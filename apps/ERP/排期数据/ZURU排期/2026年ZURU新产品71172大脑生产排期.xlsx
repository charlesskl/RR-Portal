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86F"/>
  <workbookPr codeName="ThisWorkbook"/>
  <bookViews>
    <workbookView windowWidth="25600" windowHeight="12080" tabRatio="677"/>
  </bookViews>
  <sheets>
    <sheet name="71172大脑" sheetId="12" r:id="rId1"/>
    <sheet name="彩盒MA" sheetId="3" r:id="rId2"/>
    <sheet name="产品MA" sheetId="2" r:id="rId3"/>
    <sheet name="客版MA" sheetId="15" r:id="rId4"/>
    <sheet name="取消单" sheetId="16" r:id="rId5"/>
  </sheets>
  <definedNames>
    <definedName name="_xlnm._FilterDatabase" localSheetId="0" hidden="1">'71172大脑'!$1:$303</definedName>
    <definedName name="_xlnm._FilterDatabase" localSheetId="1" hidden="1">彩盒MA!$B$3:$Q$19</definedName>
    <definedName name="_xlnm._FilterDatabase" localSheetId="4" hidden="1">取消单!$A$1:$AS$9</definedName>
    <definedName name="_xlnm._FilterDatabase" localSheetId="2" hidden="1">产品MA!$B$3:$AG$3</definedName>
    <definedName name="_xlnm.Print_Area" localSheetId="2">产品MA!$A$1:$H$40</definedName>
    <definedName name="_xlnm.Print_Titles" localSheetId="0">'71172大脑'!#REF!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dell</author>
  </authors>
  <commentList>
    <comment ref="Q67" authorId="0">
      <text>
        <r>
          <rPr>
            <b/>
            <sz val="9"/>
            <rFont val="宋体"/>
            <charset val="0"/>
          </rPr>
          <t>陈龙:</t>
        </r>
        <r>
          <rPr>
            <sz val="9"/>
            <rFont val="宋体"/>
            <charset val="0"/>
          </rPr>
          <t xml:space="preserve">
6/12寄出</t>
        </r>
      </text>
    </comment>
    <comment ref="AU67" authorId="1">
      <text>
        <r>
          <rPr>
            <b/>
            <sz val="9"/>
            <rFont val="宋体"/>
            <charset val="134"/>
          </rPr>
          <t>dell:</t>
        </r>
        <r>
          <rPr>
            <sz val="9"/>
            <rFont val="宋体"/>
            <charset val="134"/>
          </rPr>
          <t xml:space="preserve">
5/8收到资料</t>
        </r>
      </text>
    </comment>
    <comment ref="P81" authorId="0">
      <text>
        <r>
          <rPr>
            <b/>
            <sz val="9"/>
            <rFont val="宋体"/>
            <charset val="0"/>
          </rPr>
          <t>陈龙:</t>
        </r>
        <r>
          <rPr>
            <sz val="9"/>
            <rFont val="宋体"/>
            <charset val="0"/>
          </rPr>
          <t xml:space="preserve">
6月6日寄出</t>
        </r>
      </text>
    </comment>
    <comment ref="Q81" authorId="0">
      <text>
        <r>
          <rPr>
            <b/>
            <sz val="9"/>
            <rFont val="宋体"/>
            <charset val="0"/>
          </rPr>
          <t>陈龙:</t>
        </r>
        <r>
          <rPr>
            <sz val="9"/>
            <rFont val="宋体"/>
            <charset val="0"/>
          </rPr>
          <t xml:space="preserve">
6月6日寄出</t>
        </r>
      </text>
    </comment>
    <comment ref="P85" authorId="0">
      <text>
        <r>
          <rPr>
            <b/>
            <sz val="9"/>
            <rFont val="宋体"/>
            <charset val="0"/>
          </rPr>
          <t>陈龙:</t>
        </r>
        <r>
          <rPr>
            <sz val="9"/>
            <rFont val="宋体"/>
            <charset val="0"/>
          </rPr>
          <t xml:space="preserve">
5月21日寄出欠贴纸</t>
        </r>
      </text>
    </comment>
    <comment ref="O92" authorId="0">
      <text>
        <r>
          <rPr>
            <b/>
            <sz val="9"/>
            <rFont val="宋体"/>
            <charset val="134"/>
          </rPr>
          <t>陈龙:</t>
        </r>
        <r>
          <rPr>
            <sz val="9"/>
            <rFont val="宋体"/>
            <charset val="134"/>
          </rPr>
          <t xml:space="preserve">
样办2套6/2寄出</t>
        </r>
      </text>
    </comment>
    <comment ref="P92" authorId="0">
      <text>
        <r>
          <rPr>
            <b/>
            <sz val="9"/>
            <rFont val="宋体"/>
            <charset val="134"/>
          </rPr>
          <t>陈龙:</t>
        </r>
        <r>
          <rPr>
            <sz val="9"/>
            <rFont val="宋体"/>
            <charset val="134"/>
          </rPr>
          <t xml:space="preserve">
样办2套6/2寄出</t>
        </r>
      </text>
    </comment>
    <comment ref="Q92" authorId="0">
      <text>
        <r>
          <rPr>
            <b/>
            <sz val="9"/>
            <rFont val="宋体"/>
            <charset val="134"/>
          </rPr>
          <t>陈龙:</t>
        </r>
        <r>
          <rPr>
            <sz val="9"/>
            <rFont val="宋体"/>
            <charset val="134"/>
          </rPr>
          <t xml:space="preserve">
样办2套6/2寄出</t>
        </r>
      </text>
    </comment>
    <comment ref="P98" authorId="0">
      <text>
        <r>
          <rPr>
            <b/>
            <sz val="9"/>
            <rFont val="宋体"/>
            <charset val="0"/>
          </rPr>
          <t>陈龙:</t>
        </r>
        <r>
          <rPr>
            <sz val="9"/>
            <rFont val="宋体"/>
            <charset val="0"/>
          </rPr>
          <t xml:space="preserve">
6/18寄出样办</t>
        </r>
      </text>
    </comment>
    <comment ref="P111" authorId="0">
      <text>
        <r>
          <rPr>
            <b/>
            <sz val="9"/>
            <rFont val="宋体"/>
            <charset val="0"/>
          </rPr>
          <t>陈龙:</t>
        </r>
        <r>
          <rPr>
            <sz val="9"/>
            <rFont val="宋体"/>
            <charset val="0"/>
          </rPr>
          <t xml:space="preserve">
未验货已装柜</t>
        </r>
      </text>
    </comment>
    <comment ref="P112" authorId="0">
      <text>
        <r>
          <rPr>
            <b/>
            <sz val="9"/>
            <rFont val="宋体"/>
            <charset val="0"/>
          </rPr>
          <t>陈龙:</t>
        </r>
        <r>
          <rPr>
            <sz val="9"/>
            <rFont val="宋体"/>
            <charset val="0"/>
          </rPr>
          <t xml:space="preserve">
未验货已装柜</t>
        </r>
      </text>
    </comment>
    <comment ref="P113" authorId="0">
      <text>
        <r>
          <rPr>
            <b/>
            <sz val="9"/>
            <rFont val="宋体"/>
            <charset val="0"/>
          </rPr>
          <t>陈龙:</t>
        </r>
        <r>
          <rPr>
            <sz val="9"/>
            <rFont val="宋体"/>
            <charset val="0"/>
          </rPr>
          <t xml:space="preserve">
未验货已装柜</t>
        </r>
      </text>
    </comment>
    <comment ref="P125" authorId="0">
      <text>
        <r>
          <rPr>
            <b/>
            <sz val="9"/>
            <rFont val="宋体"/>
            <charset val="0"/>
          </rPr>
          <t>陈龙:</t>
        </r>
        <r>
          <rPr>
            <sz val="9"/>
            <rFont val="宋体"/>
            <charset val="0"/>
          </rPr>
          <t xml:space="preserve">
大货办7/15寄出</t>
        </r>
      </text>
    </comment>
    <comment ref="Q143" authorId="0">
      <text>
        <r>
          <rPr>
            <b/>
            <sz val="9"/>
            <rFont val="宋体"/>
            <charset val="0"/>
          </rPr>
          <t>陈龙:</t>
        </r>
        <r>
          <rPr>
            <sz val="9"/>
            <rFont val="宋体"/>
            <charset val="0"/>
          </rPr>
          <t xml:space="preserve">
7/14样办寄出</t>
        </r>
      </text>
    </comment>
    <comment ref="Q167" authorId="0">
      <text>
        <r>
          <rPr>
            <b/>
            <sz val="9"/>
            <rFont val="宋体"/>
            <charset val="0"/>
          </rPr>
          <t>陈龙:</t>
        </r>
        <r>
          <rPr>
            <sz val="9"/>
            <rFont val="宋体"/>
            <charset val="0"/>
          </rPr>
          <t xml:space="preserve">
8/5送俊达</t>
        </r>
      </text>
    </comment>
    <comment ref="P173" authorId="0">
      <text>
        <r>
          <rPr>
            <b/>
            <sz val="9"/>
            <rFont val="宋体"/>
            <charset val="0"/>
          </rPr>
          <t>陈龙:</t>
        </r>
        <r>
          <rPr>
            <sz val="9"/>
            <rFont val="宋体"/>
            <charset val="0"/>
          </rPr>
          <t xml:space="preserve">
未验货已装柜</t>
        </r>
      </text>
    </comment>
    <comment ref="X199" authorId="0">
      <text>
        <r>
          <rPr>
            <b/>
            <sz val="9"/>
            <rFont val="宋体"/>
            <charset val="0"/>
          </rPr>
          <t>陈龙:</t>
        </r>
        <r>
          <rPr>
            <sz val="9"/>
            <rFont val="宋体"/>
            <charset val="0"/>
          </rPr>
          <t xml:space="preserve">
7/24 收到资料</t>
        </r>
      </text>
    </comment>
    <comment ref="AU263" authorId="1">
      <text>
        <r>
          <rPr>
            <b/>
            <sz val="9"/>
            <rFont val="宋体"/>
            <charset val="134"/>
          </rPr>
          <t>dell:</t>
        </r>
        <r>
          <rPr>
            <sz val="9"/>
            <rFont val="宋体"/>
            <charset val="134"/>
          </rPr>
          <t xml:space="preserve">
中文说明书</t>
        </r>
      </text>
    </comment>
    <comment ref="AU264" authorId="1">
      <text>
        <r>
          <rPr>
            <b/>
            <sz val="9"/>
            <rFont val="宋体"/>
            <charset val="134"/>
          </rPr>
          <t>dell:</t>
        </r>
        <r>
          <rPr>
            <sz val="9"/>
            <rFont val="宋体"/>
            <charset val="134"/>
          </rPr>
          <t xml:space="preserve">
中文说明书</t>
        </r>
      </text>
    </comment>
    <comment ref="AU265" authorId="1">
      <text>
        <r>
          <rPr>
            <b/>
            <sz val="9"/>
            <rFont val="宋体"/>
            <charset val="134"/>
          </rPr>
          <t>dell:</t>
        </r>
        <r>
          <rPr>
            <sz val="9"/>
            <rFont val="宋体"/>
            <charset val="134"/>
          </rPr>
          <t xml:space="preserve">
中文说明书</t>
        </r>
      </text>
    </comment>
    <comment ref="AU266" authorId="1">
      <text>
        <r>
          <rPr>
            <b/>
            <sz val="9"/>
            <rFont val="宋体"/>
            <charset val="134"/>
          </rPr>
          <t>dell:</t>
        </r>
        <r>
          <rPr>
            <sz val="9"/>
            <rFont val="宋体"/>
            <charset val="134"/>
          </rPr>
          <t xml:space="preserve">
中文说明书</t>
        </r>
      </text>
    </comment>
  </commentList>
</comments>
</file>

<file path=xl/sharedStrings.xml><?xml version="1.0" encoding="utf-8"?>
<sst xmlns="http://schemas.openxmlformats.org/spreadsheetml/2006/main" count="3923" uniqueCount="1250">
  <si>
    <t>接单期</t>
  </si>
  <si>
    <t>第三方客户名称</t>
  </si>
  <si>
    <t>国家</t>
  </si>
  <si>
    <t>PO号</t>
  </si>
  <si>
    <t>第三方客户 PO NO#</t>
  </si>
  <si>
    <t>SKU</t>
  </si>
  <si>
    <t>货号</t>
  </si>
  <si>
    <t>名称</t>
  </si>
  <si>
    <t>PO数量(只)</t>
  </si>
  <si>
    <t>内箱装箱数量(只)</t>
  </si>
  <si>
    <t>外箱装箱数量(只)</t>
  </si>
  <si>
    <t>总箱数</t>
  </si>
  <si>
    <t>客PO期</t>
  </si>
  <si>
    <t>计划验货期</t>
  </si>
  <si>
    <t>第三方验货期</t>
  </si>
  <si>
    <t>验货结果</t>
  </si>
  <si>
    <t>船期SO</t>
  </si>
  <si>
    <r>
      <rPr>
        <sz val="10"/>
        <color rgb="FF2727F0"/>
        <rFont val="等线"/>
        <charset val="134"/>
      </rPr>
      <t>蓝色表示寄出</t>
    </r>
    <r>
      <rPr>
        <sz val="10"/>
        <rFont val="等线"/>
        <charset val="134"/>
      </rPr>
      <t xml:space="preserve">
</t>
    </r>
    <r>
      <rPr>
        <sz val="10"/>
        <color rgb="FFFF0000"/>
        <rFont val="等线"/>
        <charset val="134"/>
      </rPr>
      <t>黄色表示出单</t>
    </r>
  </si>
  <si>
    <t>是否有外箱贴纸</t>
  </si>
  <si>
    <t>箱唛资料</t>
  </si>
  <si>
    <t>客贴纸</t>
  </si>
  <si>
    <t>其他物料</t>
  </si>
  <si>
    <t>日期码</t>
  </si>
  <si>
    <t>额外黑白书纸</t>
  </si>
  <si>
    <t>备注</t>
  </si>
  <si>
    <t>客跟单</t>
  </si>
  <si>
    <t>单价USD</t>
  </si>
  <si>
    <t>金额USD</t>
  </si>
  <si>
    <t>发票号</t>
  </si>
  <si>
    <t>系统货号</t>
  </si>
  <si>
    <t>是否已入系统</t>
  </si>
  <si>
    <t>已完成数量</t>
  </si>
  <si>
    <t>欠数</t>
  </si>
  <si>
    <t>贴纸情况</t>
  </si>
  <si>
    <t>包装</t>
  </si>
  <si>
    <t>标准=0,客版=1</t>
  </si>
  <si>
    <t>说明书</t>
  </si>
  <si>
    <t>走货情况(离厂日期)</t>
  </si>
  <si>
    <t>71172 产品数</t>
  </si>
  <si>
    <t>71172 MA 1L彩盒</t>
  </si>
  <si>
    <t>71172 MA 3L彩盒</t>
  </si>
  <si>
    <t>71172 MA 15L说明书A版</t>
  </si>
  <si>
    <t>71172 MA15L说明书B版</t>
  </si>
  <si>
    <t>客版MA 2L(ES+PT)</t>
  </si>
  <si>
    <t>客版</t>
  </si>
  <si>
    <t>ZURU NEW ZEALAND LIMITED</t>
  </si>
  <si>
    <t>新西兰</t>
  </si>
  <si>
    <t>4500189979-10</t>
  </si>
  <si>
    <t>71172-S001-FS</t>
  </si>
  <si>
    <t>大脑</t>
  </si>
  <si>
    <t>N/A</t>
  </si>
  <si>
    <t>PASS</t>
  </si>
  <si>
    <t>需要增加隔电片和加工电池盖做货</t>
  </si>
  <si>
    <t>日期码格式：ZURU INC(BVI) 标准格式 日期：按实际生产日期
Packaging Info:
Remark: NZ Fast Start Order, MA 1L UPC包装，用fast start专用UPC贴纸，外箱除常规箱唛印刷四面外，还需要贴一张黄色A4纸，印"fast start"内容。
旧桶身小硅胶管柱未加高：打防水胶+产线现有硅胶套</t>
  </si>
  <si>
    <t>SD92</t>
  </si>
  <si>
    <t>71172-S001-1L</t>
  </si>
  <si>
    <t>已入</t>
  </si>
  <si>
    <t>KMART AUSTRALIA LTD(NEW ZEALAND)</t>
  </si>
  <si>
    <t>4500193541-40</t>
  </si>
  <si>
    <t>71172-S001</t>
  </si>
  <si>
    <t>4/13上午入仓</t>
  </si>
  <si>
    <t>有</t>
  </si>
  <si>
    <r>
      <rPr>
        <sz val="10"/>
        <color rgb="FF0000FF"/>
        <rFont val="等线"/>
        <charset val="134"/>
      </rPr>
      <t xml:space="preserve">日期码格式：ZURU INC(BVI) 标准格式 日期：按实际生产日期
Packaging Info: 77772GQ1:MA英语UPC版本包装（收缩膜和说明书, MA首选1L，如无1L可用多语且含英语的配套多语包装) +防盜贴纸(贴纸以及防盜贴纸位置图翻单PO#4500193539)+
两张张覆盖PDQ上唱片的贴纸+两张张覆盖收藏指南上唱片的贴纸+一张覆盖PDQ上数字"45"的贴纸+一张覆盖收藏指南上数字"45"的贴纸+箱唛+外箱贴纸SSCC Label
配比信息：4 mini vinyls,1 accessory
Removed了 ""Messy &lt;(&gt;&amp;&lt;)&gt; Delicious""两张唱片
77794UQ1:MA英语UPC版本包装（收缩膜和说明书, MA首选1L，如无1L可用多语且含英语的配套多语包装) +1张锂电池黑白警语书纸 + 1张防盗贴纸 (贴纸以及位置图
翻单PO#4500193539）+ 箱唛 + 外箱SSCC Label
77843GQ1：MA英语UPC版本包装（MA首选1L，如无1L可用多语且含英语的配套多语包装) +箱唛 + 外箱SSCC Label
77843-sushi &lt;(&gt;&amp;&lt;)&gt; rainbow cake: MA sushi &lt;(&gt;&amp;&lt;)&gt; rainbow cake专用黑白说明书+ 1张防盗贴纸
77843-其他款:MA UV灯说明书+1张防盗贴纸+1张说明书上面加警告语贴纸+1张收缩膜纽扣电池警告语贴纸
（贴纸资料以及位置图翻单PO#4500193539）
配比信息：Ratio: PIZZA: HAMBURGER: PANCAKES: BUBBLE TEA: Matcha TEA: TACO: SUSHI: DONUT: Charcuterie Board: RAINBOW CAKE(Rare)=10.88%: 10.88%:
10.88%: 10.88%: 10.88%: 10.88%: 10.88%: 10.88%: 10.88%: 2.08%=68:68:68:68:68:68:68:68:68:13
71172：MA英语UPC版本包装（收缩膜和说明书, MA首选1L，如无1L可用多语且含英语的配套多语包装) + 一张防盗贴纸（贴纸资料及位置图翻单PO#4500193539）+箱
唛 + 外箱SSCC Label
3PCS AA BATTERIES(INCLUDED)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71172实际上为LCL散货出柜，请注意此订单与AU po#4500193539一起合并计算
</t>
    </r>
    <r>
      <rPr>
        <sz val="10"/>
        <color rgb="FFFF0000"/>
        <rFont val="等线"/>
        <charset val="134"/>
      </rPr>
      <t>77772务必赶最晚5/11上午交仓
旧桶身小硅胶管柱未加高：打防水胶+产线现有硅胶套</t>
    </r>
  </si>
  <si>
    <t>Louise Lu</t>
  </si>
  <si>
    <t>KMART AUSTRALIA LTD</t>
  </si>
  <si>
    <t>澳大利亚</t>
  </si>
  <si>
    <t>4500193539-40</t>
  </si>
  <si>
    <t>日期码格式：ZURU INC(BVI) 标准格式 日期：按实际生产日期
Packaging Info: 77772GQ1:MA英语UPC版本包装（收缩膜和说明书, MA首选1L，如无1L可用多语且含英语的配套多语包装) +防盜贴纸(贴纸以及防盜贴纸位置图翻单PO#4500193539)+
两张张覆盖PDQ上唱片的贴纸+两张张覆盖收藏指南上唱片的贴纸+一张覆盖PDQ上数字"45"的贴纸+一张覆盖收藏指南上数字"45"的贴纸+箱唛+外箱贴纸SSCC Label
配比信息：4 mini vinyls,1 accessory
Removed了 ""Messy &lt;(&gt;&amp;&lt;)&gt; Delicious""两张唱片
77794UQ1:MA英语UPC版本包装（收缩膜和说明书, MA首选1L，如无1L可用多语且含英语的配套多语包装) +1张锂电池黑白书纸 + 1张防盗贴纸+ 箱唛 + 外箱SSCC La
bel
77843GQ1：MA英语UPC版本包装（MA首选1L，如无1L可用多语且含英语的配套多语包装) +箱唛 + 外箱SSCC Label
77843-sushi &lt;(&gt;&amp;&lt;)&gt; rainbow cake: MA sushi &lt;(&gt;&amp;&lt;)&gt; rainbow cake专用黑白说明书+ 1张防盗贴纸
77843-其他款:MA UV灯说明书+1张防盗贴纸+1张说明书上面加警告语贴纸+1张收缩膜纽扣电池警告语贴纸
配比信息：Ratio: PIZZA: HAMBURGER: PANCAKES: BUBBLE TEA: Matcha TEA: TACO: SUSHI: DONUT: Charcuterie Board: RAINBOW CAKE(Rare)=10.88%: 10.88%:
10.88%: 10.88%: 10.88%: 10.88%: 10.88%: 10.88%: 10.88%: 2.08%=68:68:68:68:68:68:68:68:68:13
71172：MA英语UPC版本包装（收缩膜和说明书, MA首选1L，如无1L可用多语且含英语的配套多语包装) + 一张防盗贴纸+箱唛 + 外箱SSCC Label
3PCS AA BATTERIES(INCLUDED)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71172实际上走LCL散货出柜，请注意此订单与NZ po#4500193541一起合并计算
77772务必赶最晚5/11上午交仓
旧桶身小硅胶管柱未加高：打防水胶+产线现有硅胶套</t>
  </si>
  <si>
    <t>KANDYTOYS LIMITED</t>
  </si>
  <si>
    <t>英国</t>
  </si>
  <si>
    <t>AS191225ZUR15
274</t>
  </si>
  <si>
    <t>4500193688-100</t>
  </si>
  <si>
    <t>计划4/18装柜</t>
  </si>
  <si>
    <t>无</t>
  </si>
  <si>
    <t>日期码格式：ZURU INC(BVI) 标准格式 日期：按实际生产日期
Packaging Info: 
71172-S001:MA UPC包装+WEEE 30L 带电池说明书 B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4.一个产品一个条码，单款有多个子件条码的请让跟单提供贴纸覆盖。
5.外箱上的条码请确保清晰可扫描，有PDQ， 需要在PDQ底部贴一张带条码并可扫描的贴纸(ZURU 跟单提供模板）。
6.所有产品按符合欧洲标准走货，微塑料需合规并增加IFUD声明，含电池的需要增加WEEE说明书。
旧桶身小硅胶管柱未加高：打防水胶+产线现有硅胶套</t>
  </si>
  <si>
    <t>Zoe Zhou</t>
  </si>
  <si>
    <t>ZURU LLC</t>
  </si>
  <si>
    <t>美国</t>
  </si>
  <si>
    <t>4500193356-10</t>
  </si>
  <si>
    <t>3/17更新</t>
  </si>
  <si>
    <t>日期码格式：DGYYYYMMDD(日期避开周末和法定节假日) 日期：按实际生产日期
Packaging Info: WMUS FAST START 项目要求:
1. 包装要求：MA 1L包装+MA说明书 (不需要客供RFID贴纸)
Remark: 2. 此单New UPC与STD不同，需加贴New UPC贴纸。贴前须用黑色笔将原UPC条码完全涂黑，使其无法扫描，再粘贴新UPC贴纸。
3.#71172——71172-S001-FS
UPC：193052109309
GTIN：10193052109306
4. 外箱印四面唛头信息，默认正唛和侧唛各两面。参考提供模版，排版供确认后，才能生产。
外箱需印刷外箱GTIN barcode（格式：ITF-14） ，确保清晰可见，可正常扫描。
MFG：DGYYYYMMDD（两面正唛打日期码）
Gross weight/lbs: 可手写上去
5. 此MTS订单不需要第三方抽板验货，但是要通过ZURU QC验货PASS后才能出货。 空运到3PL仓库。
旧桶身小硅胶管柱未加高：打防水胶+产线现有硅胶套</t>
  </si>
  <si>
    <t>Nikki Mo</t>
  </si>
  <si>
    <t>ZB05678-8.17</t>
  </si>
  <si>
    <t>4500196745-50</t>
  </si>
  <si>
    <t>日期码格式：ZURU INC(BVI) 标准格式 日期：按实际生产日期
Packaging Info: 
71172：MA英语UPC版本包装（收缩膜和说明书, MA首选1L，如无1L可用多语且含英语的配套多语包装) + 1张fast start专用UPC贴纸+贴一张黄色A4纸，印"fast sta
rt"内容。（两张贴纸及位置图翻单4500189979)+箱唛
3PCS AA BATTERIES(INCLUDED)
Remark: 1.请务必按时完货，验货。并且按期送货入货代指定仓库，如果晚了导致船期Delay将会有罚金产生或者客户要求空运，所产生的罚金和空运费由工厂承担。
2.外箱材质为ZURU标准；
3.此单需使用KMART封箱胶上下工字型封箱;从2019年6月开始，要用KMART 新版封箱胶带，此单要用"ANKO"封箱胶带
4.此单出口新西兰，请按相应的澳新标准生产；
5.产品和包装上生产批号的显示格式ZURU标准日期码格式
6.外箱信息不可手写，重量和体积需要与实际的一致(不可手写）
7. 实际外箱重量跟印在箱唛上的数据差异不能超3%，尺寸按实际数据印刷
旧桶身小硅胶管柱未加高：打防水胶+产线现有硅胶套</t>
  </si>
  <si>
    <t>TARGET US</t>
  </si>
  <si>
    <t>10001662903-3890</t>
  </si>
  <si>
    <t>4500193071-10</t>
  </si>
  <si>
    <t>4/16客上柜</t>
  </si>
  <si>
    <t>2/7收到Event Label,3/12收外箱贴纸</t>
  </si>
  <si>
    <t>日期码格式：ZURU INC(BVI) 标准格式 日期：按实际生产日期
Packaging Info: 产品包装MA 1L彩盒
Remark: 1. 71172-S001-ROBO ALIVE-BRAIN-SERIES 1-BRIAN THE BRAIN-OPEN BOX-4PCS/CTN
2. 产品包装MA 1L彩盒；彩盒上的UPC显示193052098443；
3. 每个外箱正唛箱唛信息左上方位置粘贴条码箱贴纸，每箱只贴一张; 由ZURU向艾利订购， 对应的外箱贴DPCI：087-02-9468, UPC显示10193052098440 ；
4. 每个外箱正唛信息的右侧需要贴一张Event Label，贴纸内容显示 7/19 TRANSITION TOYS Set Date 7/19/2026，工厂自行订购；
5. 产品和包装上要印刷tracking code信息，格式为ZURU常规；
6. 出货方式：货代自提
旧桶身小硅胶管柱未加高：打防水胶+产线现有硅胶套</t>
  </si>
  <si>
    <t>Holly Zheng</t>
  </si>
  <si>
    <t>ZB05677-8.17</t>
  </si>
  <si>
    <t>10001662883-3
890</t>
  </si>
  <si>
    <t>4500194286-10</t>
  </si>
  <si>
    <t>4/16客上柜-168PCS,4/18客上柜-3660PCS</t>
  </si>
  <si>
    <t>日期码格式：ZURU INC(BVI) 标准格式 日期：按实际生产日期
Packaging Info: 产品包装MA 1L彩盒
Remark: 1. 71172-S001-ROBO ALIVE-BRAIN-SERIES 1-BRIAN THE BRAIN-OPEN BOX-4PCS/CTN
2. 产品包装MA 1L彩盒；彩盒上的UPC显示193052098443；
3. 每个外箱正唛箱唛信息左上方位置粘贴条码箱贴纸，每箱只贴一张; 由ZURU向艾利订购， 对应的外箱贴DPCI：087-02-9468, UPC显示10193052098440 ；
4. 每个外箱正唛信息的右侧需要贴一张Event Label，贴纸内容显示 7/19 TRANSITION TOYS Set Date 7/19/2026，工厂自行订购；贴纸资料翻单4500193070；
5. 产品和包装上要印刷tracking code信息，格式为ZURU常规；
6. 出货方式：货代自提
此PO有新旧桶，新桶有打A</t>
  </si>
  <si>
    <t>ZB05675/ZB05676</t>
  </si>
  <si>
    <t>4500193164-30</t>
  </si>
  <si>
    <t>4/15-4/17入仓，在申请4/18上午入仓</t>
  </si>
  <si>
    <t>日期码格式：ZURU INC(BVI) 标准格式 日期：按实际生产日期
Packaging Info: 
71172：MA英语UPC版本包装（收缩膜和说明书, MA首选1L，如无1L可用多语且含英语的配套多语包装) + 一张防盗贴纸（贴纸资料及位置图翻单PO#4500193539）+箱
唛 + 外箱SSCC Label
3PCS AA BATTERIES(INCLUDED)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PO#4500193165一起合并计算，71172实际上是LCL散货出柜
旧桶身小硅胶管柱未加高：打防水胶+产线现有硅胶套</t>
  </si>
  <si>
    <t>4500193165-40</t>
  </si>
  <si>
    <r>
      <rPr>
        <sz val="10"/>
        <color rgb="FF010CDD"/>
        <rFont val="等线"/>
        <charset val="134"/>
      </rPr>
      <t xml:space="preserve">日期码格式：ZURU INC(BVI) 标准格式 日期：按实际生产日期
Packaging Info:
71172：MA英语UPC版本包装（收缩膜和说明书, MA首选1L，如无1L可用多语且含英语的配套多语包装) + 一张防盗贴纸（贴纸资料及位置图翻单PO#4500193539）+箱
唛 + 外箱SSCC Label
3PCS AA BATTERIES(INCLUDED)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PO#4500193164一起合并计算，71172实际上为LCL散货出柜
</t>
    </r>
    <r>
      <rPr>
        <sz val="10"/>
        <color rgb="FFFF0000"/>
        <rFont val="等线"/>
        <charset val="134"/>
      </rPr>
      <t>新桶身小硅胶管柱加高：未打防水胶+新开小一点有硅胶套</t>
    </r>
  </si>
  <si>
    <t>ZPO2512023</t>
  </si>
  <si>
    <t>用第二次PP阶段订购的彩盒包装</t>
  </si>
  <si>
    <t>空白箱</t>
  </si>
  <si>
    <t>新桶身小硅胶管柱加高：未打防水胶+新开小一点有硅胶套</t>
  </si>
  <si>
    <t>SMYTHS TOYS EU HQ UC</t>
  </si>
  <si>
    <t>德国</t>
  </si>
  <si>
    <t>4500195772-70</t>
  </si>
  <si>
    <t>4/21截SI</t>
  </si>
  <si>
    <t>日期码格式：ZURU INC(BVI) 标准格式 日期：按实际生产日期
Packaging Info: 
71172: MA3L-23Lwarning彩盒+1张德语callout贴纸(本单放稿)+C版WEEE声明(带电池)走货欧洲通用29L说明书
EAN#4894680057272
3PCS AA BATTERIES(INCLUDED)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电子产品需增加一张C版WEEE声明29L通用黑白说明书(不接受A版本，翻译有误)，区分带电池和不带电池出货版本, 如已做客版说明书可忽略此要求；如包装备注
上缺少此部分信息，请提醒跟单更新备注。
5.所有出往德国市场有关slime和带香味的都需要出无硼无香版本；
6.订单备注显示有分批的(不同仓库/订单号), 一定要区分客户订单号做货出货，否则会导致罚款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9.包装必须含法国回收标(Sorting Label)，如没有，请提醒跟单提供贴纸资料。
新桶身小硅胶管柱加高：未打防水胶+新开小一点有硅胶套</t>
  </si>
  <si>
    <t>Sherry Lu</t>
  </si>
  <si>
    <t>71172-S001-3L</t>
  </si>
  <si>
    <t>SMYTHS TOYS HQ UC UK</t>
  </si>
  <si>
    <t>4500196579-10</t>
  </si>
  <si>
    <t>4/24截SI</t>
  </si>
  <si>
    <t>日期码格式：ZURU INC(BVI) 标准格式 日期：按实际生产日期
Packaging Info: "71172: MA3L-23Lwarning彩盒(含法国sorting label)+C版WEEE声明(带电池)走货欧洲通用29L说明书
EAN#4894680057272
3PCS AA BATTERIES(INCLUDED)"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
新桶身小硅胶管柱加高：未打防水胶+新开小一点有硅胶套</t>
  </si>
  <si>
    <t>SMYTHS TOYS HQ UC IE</t>
  </si>
  <si>
    <t>爱尔兰</t>
  </si>
  <si>
    <t>4500195833-40</t>
  </si>
  <si>
    <t>4/27截SI</t>
  </si>
  <si>
    <t>日期码格式：ZURU INC(BVI) 标准格式 日期：按实际生产日期
Packaging Info: 
71172: MA3L-23Lwarning彩盒(含法国sorting label)+C版WEEE声明(带电池)走货欧洲通用29L说明书
EAN#4894680057272
3PCS AA BATTERIES(INCLUDED)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
新桶身小硅胶管柱加高：未打防水胶+新开小一点有硅胶套</t>
  </si>
  <si>
    <t>ASIA GOAL LIMITED TAIWAN BRANCH (H.</t>
  </si>
  <si>
    <t>台湾</t>
  </si>
  <si>
    <t>AG250407-TW</t>
  </si>
  <si>
    <t>4500193394-20</t>
  </si>
  <si>
    <t>日期码格式：ZURU INC(BVI) 标准格式 日期：按实际生产日期
Packaging Info: 此单出TW
71172：MA 1L PKG , MA 说明书 （该款无需贴纸，出ZURU 标准包装即可）
Remark:
新桶身小硅胶管柱加高：未打防水胶+新开小一点有硅胶套</t>
  </si>
  <si>
    <t>Chelsea Luo</t>
  </si>
  <si>
    <t>ARGOS  LIMITED</t>
  </si>
  <si>
    <t>4500196827-20</t>
  </si>
  <si>
    <t>日期码格式：ZURU INC(BVI) 标准格式 日期：按实际生产日期
Packaging Info: 71172： MA 包装+客人白色Cat.label 1张; MA说明书+WEEE带电池说明书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Remark:
新桶身小硅胶管柱加高：未打防水胶+新开小一点有硅胶套</t>
  </si>
  <si>
    <t>Lena  Huang</t>
  </si>
  <si>
    <t>AMAZON.COM SERVICES LLC</t>
  </si>
  <si>
    <t>8V4WFTAX</t>
  </si>
  <si>
    <t>4500194918-10</t>
  </si>
  <si>
    <t>71172-S003-MB</t>
  </si>
  <si>
    <t>大脑（邮包盒装）</t>
  </si>
  <si>
    <t>4/29截SI</t>
  </si>
  <si>
    <t>日期码格式：ZURU INC(BVI) 标准格式 日期：按实际生产日期
Packaging Info: #71172:MA 1L UPC版本 #71172带MA包装入邮包盒，邮包盒图稿翻单4500192525。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
新桶身小硅胶管柱加高：未打防水胶+新开小一点有硅胶套</t>
  </si>
  <si>
    <t>Kelly Shen/Mia Pan/P</t>
  </si>
  <si>
    <t>ZB05653-8.17</t>
  </si>
  <si>
    <t>71172-S003-MB-1L</t>
  </si>
  <si>
    <t>SMYTHS TOYS EU HQ UNLIMITED COMPANY</t>
  </si>
  <si>
    <t>法国</t>
  </si>
  <si>
    <t>4500195839-40</t>
  </si>
  <si>
    <t>4/30送库有拼柜</t>
  </si>
  <si>
    <t>日期码格式：ZURU INC(BVI) 标准格式 日期：按实际生产日期
Packaging Info: 
71172: MA3L-23Lwarning彩盒(含法国sorting label)+C版WEEE声明(带电池)走货欧洲通用29L说明书
EAN#4894680057272
3PCS AA BATTERIES(INCLUDED)
Remark: Smyths 法国
1. 请准时出货，推期会有罚款；
2. 所有产品按符合欧洲标准走货，需要是不含微塑料版本。
3. 电子产品需增加一张C版WEEE声明29L通用黑白说明书(不接受A版本，翻译有误)，区分带电池和不带电池出货版本, 如已做客版说明书可忽略此要求；如包装备注
上缺少此部分信息，请提醒跟单更新备注。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
新桶身小硅胶管柱加高：未打防水胶+新开小一点有硅胶套</t>
  </si>
  <si>
    <t>香港</t>
  </si>
  <si>
    <t>AG250406-HK</t>
  </si>
  <si>
    <t>4500193390-20</t>
  </si>
  <si>
    <t>4/30客上柜</t>
  </si>
  <si>
    <t>日期码格式：ZURU INC(BVI) 标准格式 日期：按实际生产日期
Packaging Info: 此单出HK
71172：MA 1L PKG, MA 说明书+ HK客供警语贴纸 ， 1张贴彩盒底部，1张客供电池警语贴纸贴彩盒底部，1张贴说明书
新桶身小硅胶管柱加高：未打防水胶+新开小一点有硅胶套
新桶身小硅胶管柱加高：未打防水胶+新开小一点有硅胶套</t>
  </si>
  <si>
    <t>4500195839-30</t>
  </si>
  <si>
    <t>5/4截SI</t>
  </si>
  <si>
    <t>2ZFDDQ7I</t>
  </si>
  <si>
    <t>4500194919-10</t>
  </si>
  <si>
    <t>5/5截SI</t>
  </si>
  <si>
    <t>ZB05654-8.17</t>
  </si>
  <si>
    <t>10001662884-3891</t>
  </si>
  <si>
    <t>4500193070-10</t>
  </si>
  <si>
    <t>5/6客上柜</t>
  </si>
  <si>
    <t>日期码格式：ZURU INC(BVI) 标准格式 日期：按实际生产日期
Packaging Info: 产品包装MA 1L彩盒
Remark: 1. 71172-S001-ROBO ALIVE-BRAIN-SERIES 1-BRIAN THE BRAIN-OPEN BOX-4PCS/CTN
2. 产品包装MA 1L彩盒；彩盒上的UPC显示193052098443；
3. 每个外箱正唛箱唛信息左上方位置粘贴条码箱贴纸，每箱只贴一张; 由ZURU向艾利订购， 对应的外箱贴DPCI：087-02-9468, UPC显示10193052098440 ；
4. 每个外箱正唛信息的右侧需要贴一张Event Label，贴纸内容显示 7/19 TRANSITION TOYS Set Date 7/19/2026，工厂自行订购；
5. 产品和包装上要印刷tracking code信息，格式为ZURU常规；
6. 出货方式：货代自提</t>
  </si>
  <si>
    <t>ZB05674-8.17</t>
  </si>
  <si>
    <t>MEIJER DISTRIBUTION, INC.</t>
  </si>
  <si>
    <t>4500198132-10</t>
  </si>
  <si>
    <t>71172-S004</t>
  </si>
  <si>
    <t>5/7截仓</t>
  </si>
  <si>
    <t>日期码格式：ZURU INC(BVI) 标准格式                  日期：
Packaging Info: 1.   MA UPC包装（优先1L）
  2.  客人指定箱唛排版
Remark: 出货前 Zuru QC 验货</t>
  </si>
  <si>
    <t>Agnes Zheng</t>
  </si>
  <si>
    <t>ZB05652-8.17</t>
  </si>
  <si>
    <t>71172-S004-1L</t>
  </si>
  <si>
    <t>4500198132-20</t>
  </si>
  <si>
    <t>5/8截仓</t>
  </si>
  <si>
    <t>BIG W</t>
  </si>
  <si>
    <t>47948601</t>
  </si>
  <si>
    <t>4500201310-10</t>
  </si>
  <si>
    <t>5/7装柜</t>
  </si>
  <si>
    <t>日期码格式：ZURU INC(BVI) 标准格式                  日期：按实际生产日期
Packaging Info: 1. 包装
71172:  英文MA包装 (UPC版本，首选1L，无1L可用多L含英语)+1张进口商贴纸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</si>
  <si>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Christine Liao</t>
  </si>
  <si>
    <t>ZMPO251178</t>
  </si>
  <si>
    <t>Remark:跟PP订单一起安排/大货标准箱装箱/箱唛请参照邮件附件
备注：收到样品订单后尽快安排 ，注意样板品质质量要求要高于大货品质要求 ，送货时必须要附带送货单(没有送货单和QC检验合格报告的仓库一律拒绝收货)，请知悉，谢谢！</t>
  </si>
  <si>
    <t>4500192525-10</t>
  </si>
  <si>
    <t>71172-S003-MB-MTS</t>
  </si>
  <si>
    <t>5/22 SI</t>
  </si>
  <si>
    <t>日期码格式：ZURU INC(BVI) 标准格式 日期：按实际生产日期
Packaging Info: #71172:MA 1L UPC版本 #71172带MA包装入邮包盒，邮包盒图稿跟单提供。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</si>
  <si>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SD24</t>
  </si>
  <si>
    <t>ZB05746-8.17</t>
  </si>
  <si>
    <t>AMAZON EU SARL, NDL DEUTSCHLAND</t>
  </si>
  <si>
    <t>1VCZUJZI</t>
  </si>
  <si>
    <t>4500198640-280</t>
  </si>
  <si>
    <t>日期码格式：ZURU INC(BVI) 标准格式 日期：按实际生产日期
Packaging Info: Amazon UK: 5TKIJIXX/3O77XWME/2EIMZ29W/1VCZUJZI/7N1D8FUG/5Z2UXPOL/5PNQ9H8L
Amazon DE: 4EO3QWQS/3LFCI9MA/115AX8DW
Amazon FR: 6VRKJU2V
Amazon ES: 53YR16IV
Amazon IT: 5D2ZS8EV
Amazon UK(157114DG/157140/157143/15780ABD/15788G/71172/77878/92146BDG/92147E)/DE(157114G/15788BG/92146GH/92147E)/FR(92146G)/ES(157143/77858)/IT(
157140/157143/92146G)
1. 157114DG
---157114D: 1pc 15787D 9"(Rabid Rabbit) into mailbox, 12mailboxes/ctn; 客版邮包盒(参考Amazon US翻单PO#4500192979);
---157114G: 1pc 15787G 9"(Mr Screech) into mailbox, 12mailboxes/ctn; 客版邮包盒(参考Amazon US翻单PO#4500192979);
2. 157140: 2PK 15774 into window box respectively, then into polybag, 6polybags/ctn, MA 5L(5L warning UPC)B 开窗彩盒+1张贴纸(含IT环保标+西班牙洗
涤说明,参考翻单PO#4500198613)+客版透明胶袋(双面打孔+含英法德意西警告语+塑料循环标, 参考翻单PO#4500166364)+1张UPC#贴纸(贴在胶袋上,参考翻单PO#450
0198613)+1张空白贴纸(贴在彩盒条码位置, 参考翻单PO#4500198613);
3. 157143: 8PK 157117 IN MAIL BOX,12mailboxes/ctn; 8 Assortment=1:1:1:1:1:1:1:1; 客版邮包盒(参考Amazon US翻单PO#4500195274);
4. 15780ABD:
---15780A: 1pc 15780A(Rabid Rabbit/Sir Nobbynuts/Nobbybits) in window box, then into polybag,12polybags/ctn; MA 5L(5L warning UPC)B开窗彩盒+MA其
它最新配套包装+客版透明胶袋(含英法德意西荷兰警告语+双面打孔+塑料循环标)+1张贴纸(含UPC#+IT环保标+ES洗涤说明);
---15780B: 1pc 15780B(Sasquoosh/Stinkface/Squooshface) in window box, then into polybag,12polybags/ctn; MA 5L(5L warning UPC)B开窗彩盒+MA其它最
新配套包装+客版透明胶袋(含英法德意西荷兰警告语+双面打孔+塑料循环标)+1张贴纸(含UPC#+IT环保标+ES洗涤说明);
---15780D: 1pc 15780D(Munch Munch/Reek-o/Munch-o) in window box, then into polybag,12polybags/ctn; MA 5L(5L warning UPC)B开窗彩盒+MA其它最新配套
包装+客版透明胶袋(含英法德意西荷兰警告语+双面打孔+塑料循环标)+1张贴纸(含UPC#+IT环保标+ES洗涤说明);
5. 15788BG:
---15788B: 1pc 15788B 9"(Sir Nobbynuts) in window box,then into polybag, 12polybags/ctn; Global onshelf date after 2026/7/9; MA 5L(5L warning UP
C)A开窗彩盒+MA其它最新配套包装+客版胶袋(含英法德意西荷兰警告语+双面打孔+塑料循环标,参考翻单PO#4500164364)+2张贴纸(1张含UPC#&lt;(&gt;&amp;&lt;)&gt;IT环保标&lt;(&gt;&amp;
&lt;)&gt;ES洗涤说明贴纸+1张上架日期贴纸)
---15788G: 1pc 15788G 9"(Sir Belch) in window box,then into polybag, 12polybags/ctn; Global onshelf date after 2026/7/9; MA 5L(5L warning UPC)A
开窗彩盒+MA其它最新配套包装+客版胶袋(含英法德意西荷兰警告语+双面打孔+塑料循环标,参考翻单PO#4500164364)+2张贴纸(1张含UPC#&lt;(&gt;&amp;&lt;)&gt;IT环保标&lt;(&gt;&amp;&lt;)&gt;E
S洗涤说明贴纸+1张上架日期贴纸)
6.71172: 1pc 71172 BRIAN THE BRAIN into open box, then into mailbox, 4mailboxes/ctn; 3PCS AA BATTERIES(INCLUDED); MA 1L(23L warning UPC)A开口彩
盒+MA 15L A说明书+客版邮包盒(参考Amazon US翻单PO#4500192525)+WEEE_带电池走货 _ 说明书欧洲EN+30L_B版;
7. 77878: 2pk 77843 in PVC tube,12tubes/ctn;Contain Sand, UV Glue and Cream Glue; SUSHI and RAINBOW CAKE(Rare) without batteries, other assortme
nts: 6PCS AG13 BATTERIES(INCLUDED); Ratio: PIZZA: HAMBURGER: PANCAKES: BUBBLE TEA: Matcha TEA: TACO: SUSHI: DONUT: Charcuterie Board: RAINBOW C
AKE(Rare)=10.88%: 10.88%: 10.88%: 10.88%: 10.88%: 10.88%: 10.88%: 10.88%: 10.88%: 2.08%=68:68:68:68:68:68:68:68:68:13; MA 1L(1L Warning UPC)A收
缩膜+1张空白贴纸(覆盖收缩上条码, 参考Amazon US翻单PO#4500192514)+MA 5L A收藏指南+MA 23L warning A SUSHI &lt;(&gt;&amp;&lt;)&gt; RAINBOW CAKE说明书+MA 23L warni
ng A UV Glue说明书+客版3L(3L warning UPC)A彩卡(参考Amazon US翻单PO#4500192514，新UK地址)+1张贴纸(含DE/IT警告语+IT环保标)+WEEE_带电池走货 _ 说明
书欧洲EN+30L_B版;
8. 92146BDGH:
---92146B: 1pc 92146B SMALL(Raccoon) into shrink wraps,24pcs/ctn;Bubble powder;NO Boron; MA 3L(8L warning EAN)A收缩膜+MA其它最新配套包装+MA 5L(
19L warning)A收藏指南+1张贴纸(含UPC+IT环保标+ES洗涤说明贴纸);
---92146D: 1pc 92146D SMALL(Deer) into shrink wraps,24pcs/ctn;Bubble powder;NO Boron; MA 3L(8L warning EAN)A收缩膜+MA其它最新配套包装+MA 5L(19L
warning)A收藏指南+1张贴纸(含UPC+IT环保标+ES洗涤说明贴纸);
---92146G: 1pc 92146G SMALL(Pigeon) into shrink wraps,24pcs/ctn;Bubble powder;NO Boron; MA 3L(8L warning EAN)A收缩膜+MA其它最新配套包装+MA 5L(19
L warning)A收藏指南+1张贴纸(含UPC+IT环保标+ES洗涤说明贴纸);
---92146H: 1pc 92146H SMALL(Owl) into shrink wraps,24pcs/ctn;Bubble powder;NO Boron; MA 3L(8L warning EAN)A收缩膜+MA其它最新配套包装+MA 5L(19L w
arning)A收藏指南+1张贴纸(含UPC+IT环保标+ES洗涤说明贴纸);
9. 92147E: 1pc 92147E LARGE(Unicorn) into shrink wrap, then into mailbox, 4mailboxes/ctn; MA 3L(8L warning EAN)A收缩膜+MA 5L(19L warning)A收藏指
南+MA 5L(19L warning)A Magic guide book说明书+MA其它最新配套包装+客版邮包盒;
10. 77858: 1pc 77858 playset into mailbox, 3mailboxes/ctn; Including magnets; 3PCS AA BATTERIES(NOT INCLUDED); MA 3L(23L warning EAN)A 透明PVC窗
彩盒+MA 23L warning A 电池黑白说明书+MA 5L A收藏指南+MA其它最新配套包装+客版邮包盒(参考Amazon US翻单PO#4500192979)+WEEE_不带电池走货 _ 说明书欧
洲EN+30L_B版
11.验货时间不迟于2026/5/11.
注意：77858需将邮包盒尺寸图&lt;(&gt;&amp;&lt;)&gt;重量图放进验货报告；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</si>
  <si>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Luna Lin</t>
  </si>
  <si>
    <t>47948602</t>
  </si>
  <si>
    <t>4500201310-20</t>
  </si>
  <si>
    <t>5/9入仓</t>
  </si>
  <si>
    <t>4500201310</t>
  </si>
  <si>
    <t>47948603</t>
  </si>
  <si>
    <t>4500201310-30</t>
  </si>
  <si>
    <t>47948604</t>
  </si>
  <si>
    <t>4500201310-40</t>
  </si>
  <si>
    <t>360 SALES SOLUTIONS INC</t>
  </si>
  <si>
    <t>加拿大</t>
  </si>
  <si>
    <t>4500199523</t>
  </si>
  <si>
    <t>2026ZURU09</t>
  </si>
  <si>
    <t>4500199523-20</t>
  </si>
  <si>
    <t>5/14 12:00前交仓</t>
  </si>
  <si>
    <t>日期码格式：  标准格式                  日期：按实际生产日期
Packaging Info: 
71172 MA 多语EAN+UPC贴纸193052098443
Remark: 出加拿大
Zuru验货. 日期跟踪码：产品外包装及产品本身都必须有日期跟踪码，ZURU标准格式日期码。（箱唛日期码按跟单提供格式）</t>
  </si>
  <si>
    <t>Katrina</t>
  </si>
  <si>
    <t>LLC SALUS</t>
  </si>
  <si>
    <t>俄罗斯联邦</t>
  </si>
  <si>
    <t>4500195784-80</t>
  </si>
  <si>
    <t>日期码格式：ZURU INC(BVI) 标准格式 日期：按实际生产日期
Packaging Info: 
71172: 1L MA UPC 彩卡+ 进口商贴纸+QR code (一物一码) ，MA 说明书。
Remark: 出厂价 ；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</si>
  <si>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Ann</t>
  </si>
  <si>
    <t>PT.MAP AKTIF ADIPERKASA, TBK</t>
  </si>
  <si>
    <t>印度尼西亚</t>
  </si>
  <si>
    <t/>
  </si>
  <si>
    <t>4500199667-10</t>
  </si>
  <si>
    <t>第三方抽样，需提前准备多7套样办</t>
  </si>
  <si>
    <t>6/4交仓</t>
  </si>
  <si>
    <t>日期码格式：ZURU INC(BVI) 标准格式 日期：按实际生产日期
Packaging Info: MA UPC包装（优先1L)+1张进口商贴纸,待提供9574/71172的贴纸资料
Remark: 9574-2pcs baby capybara: 3pcs baby capybara= 5:1</t>
  </si>
  <si>
    <t>Emma Wu</t>
  </si>
  <si>
    <t>T. PLANET SHOPS SL</t>
  </si>
  <si>
    <t>西班牙</t>
  </si>
  <si>
    <t>4500200070-10</t>
  </si>
  <si>
    <t>日期码格式：202602 日期：
Packaging Info: 1.71172:【最新MA 3L EAN版本包装+一张客户进口商内容贴纸】+最新MA 15L说明书+一张产品贴纸+WEEE带电池走货欧洲29L通用黑白说明书；
2.9574:【最新MA 3L EAN版本包装+一张客户进口商内容贴纸】+最新MA 5L说明书+WEEE不带电池走货欧洲29L通用黑白说明书；
3.77711SK1:【MA 3L EAN版本包装+一张客户进口商贴纸（含西班牙环保标)】+MA 收藏指南+MA 23L说明书+MA 3L 展示架；
4.77843GQ2:【MA 3L EAN版本包装+一张客户进口商贴纸（含西班牙环保标)】+MA 收藏指南+MA 23L说明书+MA 3L PDQ+WEEE带电池走货欧洲29L通用黑白说明书；
5.77843SK1:【MA 3L EAN版本包装+一张客户进口商贴纸（含西班牙环保标)】+MA 收藏指南+MA 23L说明书+MA 3L 展示架+WEEE带电池走货欧洲29L通用黑白说明书
；
6.157117UQ1:【MA 3L包装+一张客户进口商贴纸+一张Mother EAN条码贴纸】+MA PDQ；
7.15788:【MA 5L包装+一张客户进口商贴纸+一张Mother EAN条码贴纸】；
8.15783UQ1:【最新MA 5L包装+一张客户进口商贴纸+一张EAN条码贴纸】+MA PDQ；
9.92146TQ1:【MA 3L EAN版本包装+一张客户进口商内容贴纸】+MA 5L收藏指南+一张产品贴纸；
10.92147:【MA 3L EAN版本包装+一张客户进口商内容贴纸】+MA 5L说明书+一张产品贴纸；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以找我们跟单提供；
4. 准时完货，需安排ZURU OQC验货并要求提供客户格式的自检报告给到客户审批放货。 另外，包装贴纸上面的警告语不可以覆盖西班牙警告语。
5. 此单需要每款准备3套大货样，请注意备料；
6.注意： 同款产品含PDQ /展示架的外箱条码需要跟item包装条码不一样;
7.此单客户指定日期码：202602</t>
  </si>
  <si>
    <t>Mary Zhong</t>
  </si>
  <si>
    <t>NUEVOS ALMACENES, S.A.</t>
  </si>
  <si>
    <t>危地马拉</t>
  </si>
  <si>
    <t>4500199843</t>
  </si>
  <si>
    <t>4504719305</t>
  </si>
  <si>
    <t>4500199843-10</t>
  </si>
  <si>
    <t>日期码格式：ZURU INC(BVI) 标准格式                  日期：
Packaging Info: MA 多语包装+UPC贴纸+箱唛，无客户贴纸
Remark: 订单需提交自检报告，客户审核通过才可以出货。
外箱上的箱唛资料显示客户指定日期30-MAY-2026,产品/包装/外箱可以按ZURU 标准日期码打，也可以跟回外箱日期码，工厂自行选择,两者均可接受</t>
  </si>
  <si>
    <t>Ava Liang</t>
  </si>
  <si>
    <t>ZMPO260410</t>
  </si>
  <si>
    <t>ZMPO260410-10</t>
  </si>
  <si>
    <t>Remark大货版本/大货标准箱装箱/箱唛请参照邮件附件
备注：收到样品订单后尽快安排 ，注意样板品质质量要求要高于大货品质要求 ，送货时必须要附带送货单(没有送货单和QC检验合格报告的仓库一律拒绝收货)，请知悉，谢谢！</t>
  </si>
  <si>
    <t>Angus</t>
  </si>
  <si>
    <t>WALMART INC.</t>
  </si>
  <si>
    <t>4500200590</t>
  </si>
  <si>
    <t>0988641197</t>
  </si>
  <si>
    <t>4500200590-40</t>
  </si>
  <si>
    <t>71172-S002</t>
  </si>
  <si>
    <t>6/3 BV公证行验货+抽办,6/8</t>
  </si>
  <si>
    <t>4/9-粉色MOD艾利贴纸,4/22收RFID贴纸</t>
  </si>
  <si>
    <t>日期码格式：DGYYYYMMDD(日期避开周末和法定节假日)                  日期：按实际生产日期
Packaging Info: 此单为WMUS首单，需安排产中抽板，抽板时间：2026/5/21，抽板WMPO: 0988641197，抽板需完成订单数量506PCS，抽走6PCS给到测试行，请自行多备包装物料。请
于抽板前寄出5PCS样板给到我签板。
1.包装方式：
71172: MA 1L彩盒包装+MA 15L警告语 A版说明书+ RFID贴纸
Remark: 2. 外箱四面印刷紫色RFID箱唛
主唛左前下角印刷艾利贴纸替代标箱唛(ITF-14格式)，条码只印刷一面
主唛右下角加印 MADE IN CHINA以及ZURU LOGO，对角线位置加贴一张粉色MOD艾利贴纸（工厂自行打印或订购贴纸）
3. 71172 UPC：193052098443
4.此批单散箱出货，1PCS/CTN
5.此单需要验货，请自行多备包装物料。
6.产品和包装上要有日期码、MADE IN CHINA和ZURU字样。
7.每PCS要加RFID 贴纸(ZURU提供)，严格按照我们提供的位置图，不可擅自调整位置，贴纸也不可有任何破损或折坏，不可淋湿（如缺数请及时告知）</t>
  </si>
  <si>
    <t>ZB06229-8.17</t>
  </si>
  <si>
    <t>71172-S002-1L</t>
  </si>
  <si>
    <t>0988641171</t>
  </si>
  <si>
    <t>4500200590-30</t>
  </si>
  <si>
    <t>ZB06425-8.17</t>
  </si>
  <si>
    <t>UPD, INC.</t>
  </si>
  <si>
    <t>4500198024-30</t>
  </si>
  <si>
    <t>日期码格式：ZURU INC(BVI) 标准格式                  日期：按实际生产日期
Packaging Info: 1. 包装方式：MA UPC 优先1L 最新包装，出口美国
Remark: 2. 外箱箱唛红色和黑色双色印刷
 3. 产品和包装上印刷tracking code信息，格式为ZURU常规</t>
  </si>
  <si>
    <t>Angel Lin</t>
  </si>
  <si>
    <t>ZB05771-8.17</t>
  </si>
  <si>
    <t>H-E-B,  LP</t>
  </si>
  <si>
    <t>60X740350</t>
  </si>
  <si>
    <t>4500197095-40</t>
  </si>
  <si>
    <t>5/25 100%验货和抽板（多备6PCS)</t>
  </si>
  <si>
    <t>DG20260505</t>
  </si>
  <si>
    <t>日期码格式：ZURU INC(BVI) 标准格式 日期：按实际生产日期
Packaging Info: 1. 包材：ZURU MA UPC 版本，出口美国；
Remark: 2. 日期跟踪码：ZURU标准格式日期码，产品包装及产品本身都必须有ZURU标准格式日期码，并且确保两者信息保持一致(请自行调整具体年月日生产期，但不能为
周末）。
PS: 毛绒款产品包装和布标上日期码可以不一致，但需提前提供照片给到我们找客户特批出货.
3. 大货样
；#71172； 需在5月6日前每款寄出3套大货样板（含PDQ），样板须跟大货一模一样（含日期码）。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4. 验货+ 抽板 （同一天进行）
；#71172 验货时间是5月25日
验货时第三方（利丰）到工厂做100%大货现场验货和抽板，验货需打印EPM出来跟客户回签样板供第三方验货参考。
PS:EPM是跟单提供。注意毛绒款在华登厂验货，请留意验货邮件每款的工厂备注。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</si>
  <si>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Elsa  Zheng</t>
  </si>
  <si>
    <t>ZB06300-8.17</t>
  </si>
  <si>
    <t>MILLS FLEET FARM</t>
  </si>
  <si>
    <t>4891217</t>
  </si>
  <si>
    <t>4500199572-180</t>
  </si>
  <si>
    <t>5/26 SI</t>
  </si>
  <si>
    <t>日期码格式：ZURU INC(BVI) 标准格式                  日期：按实际生产日期
Packaging Info: 1. 包装：ZURU MA 1L UPC版本最新包装；出口美国;
Remark: 2. 日期跟踪码：产品包装及产品本身都必须有日期跟踪码，并且确保两者的日期跟踪码要一致；ZURU标准格式日期码(请自行调整具体年月日生产期，但不能为周
末）。
3. 出货配比: Zuru 标准 配比</t>
  </si>
  <si>
    <t>Mila Yao</t>
  </si>
  <si>
    <t>ZB05796-8.17</t>
  </si>
  <si>
    <t>ALL BRANDS TOYS PTY LTD</t>
  </si>
  <si>
    <t>86445</t>
  </si>
  <si>
    <t>4500200399-30</t>
  </si>
  <si>
    <t>日期码格式：ZURU INC(BVI) 标准格式                  日期：按实际生产日期
Packaging Info: 71126：MA_UPC版本包装（ MA首选1L，如无1L可用多语且含英语的配套多语UPC包装）+ 1张客人通用进口商贴纸（翻单4500125432）+ 箱唛.
9565GQ1：  MA_UPC版本包装（ MA首选1L，如无1L可用多语且含英语的配套多语UPC包装）+ 1张客人通用进口商贴纸(贴纸及其位置图跟回翻单4500172669）
71172：MA_UPC版本包装（ MA首选1L，如无1L可用多语且含英语的配套多语UPC包装）+ 1张客人通用进口商贴纸 + 箱唛.
Remark: 1.按实际生产日期;
2.出澳大利亚，请按照相应标准生产;</t>
  </si>
  <si>
    <t>10001823930-0581</t>
  </si>
  <si>
    <t>4500201099-10</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</si>
  <si>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 产品包装MA 1L彩盒</t>
    </r>
    <r>
      <rPr>
        <sz val="10"/>
        <color rgb="FF010CDD"/>
        <rFont val="汉仪书宋二KW"/>
        <charset val="134"/>
      </rPr>
      <t>；</t>
    </r>
    <r>
      <rPr>
        <sz val="10"/>
        <color rgb="FF010CDD"/>
        <rFont val="等线"/>
        <charset val="134"/>
      </rPr>
      <t xml:space="preserve">
Remark: 1. 71172-S001-ROBO ALIVE-BRAIN-SERIES 1-BRIAN THE BRAIN-OPEN BOX-4PCS/CTN
 2. 产品包装MA 1L彩盒</t>
    </r>
    <r>
      <rPr>
        <sz val="10"/>
        <color rgb="FF010CDD"/>
        <rFont val="汉仪书宋二KW"/>
        <charset val="134"/>
      </rPr>
      <t>；</t>
    </r>
    <r>
      <rPr>
        <sz val="10"/>
        <color rgb="FF010CDD"/>
        <rFont val="等线"/>
        <charset val="134"/>
      </rPr>
      <t>彩盒上的UPC显示193052098443</t>
    </r>
    <r>
      <rPr>
        <sz val="10"/>
        <color rgb="FF010CDD"/>
        <rFont val="汉仪书宋二KW"/>
        <charset val="134"/>
      </rPr>
      <t>；</t>
    </r>
    <r>
      <rPr>
        <sz val="10"/>
        <color rgb="FF010CDD"/>
        <rFont val="等线"/>
        <charset val="134"/>
      </rPr>
      <t xml:space="preserve">
 3. 每个外箱正唛箱唛信息左上方位置粘贴条码箱贴纸</t>
    </r>
    <r>
      <rPr>
        <sz val="10"/>
        <color rgb="FF010CDD"/>
        <rFont val="汉仪书宋二KW"/>
        <charset val="134"/>
      </rPr>
      <t>，</t>
    </r>
    <r>
      <rPr>
        <sz val="10"/>
        <color rgb="FF010CDD"/>
        <rFont val="等线"/>
        <charset val="134"/>
      </rPr>
      <t>每箱只贴一张; 由ZURU向艾利订购</t>
    </r>
    <r>
      <rPr>
        <sz val="10"/>
        <color rgb="FF010CDD"/>
        <rFont val="汉仪书宋二KW"/>
        <charset val="134"/>
      </rPr>
      <t>，</t>
    </r>
    <r>
      <rPr>
        <sz val="10"/>
        <color rgb="FF010CDD"/>
        <rFont val="等线"/>
        <charset val="134"/>
      </rPr>
      <t xml:space="preserve">  对应的外箱贴DPCI</t>
    </r>
    <r>
      <rPr>
        <sz val="10"/>
        <color rgb="FF010CDD"/>
        <rFont val="汉仪书宋二KW"/>
        <charset val="134"/>
      </rPr>
      <t>：</t>
    </r>
    <r>
      <rPr>
        <sz val="10"/>
        <color rgb="FF010CDD"/>
        <rFont val="等线"/>
        <charset val="134"/>
      </rPr>
      <t xml:space="preserve">087-02-9468, UPC显示10193052098440 </t>
    </r>
    <r>
      <rPr>
        <sz val="10"/>
        <color rgb="FF010CDD"/>
        <rFont val="汉仪书宋二KW"/>
        <charset val="134"/>
      </rPr>
      <t>；</t>
    </r>
    <r>
      <rPr>
        <sz val="10"/>
        <color rgb="FF010CDD"/>
        <rFont val="等线"/>
        <charset val="134"/>
      </rPr>
      <t xml:space="preserve">
 4. 产品和包装上要印刷tracking code信息</t>
    </r>
    <r>
      <rPr>
        <sz val="10"/>
        <color rgb="FF010CDD"/>
        <rFont val="汉仪书宋二KW"/>
        <charset val="134"/>
      </rPr>
      <t>，</t>
    </r>
    <r>
      <rPr>
        <sz val="10"/>
        <color rgb="FF010CDD"/>
        <rFont val="等线"/>
        <charset val="134"/>
      </rPr>
      <t>格式为ZURU常规</t>
    </r>
    <r>
      <rPr>
        <sz val="10"/>
        <color rgb="FF010CDD"/>
        <rFont val="汉仪书宋二KW"/>
        <charset val="134"/>
      </rPr>
      <t>；</t>
    </r>
    <r>
      <rPr>
        <sz val="10"/>
        <color rgb="FF010CDD"/>
        <rFont val="等线"/>
        <charset val="134"/>
      </rPr>
      <t xml:space="preserve">
 5. 出货方式</t>
    </r>
    <r>
      <rPr>
        <sz val="10"/>
        <color rgb="FF010CDD"/>
        <rFont val="汉仪书宋二KW"/>
        <charset val="134"/>
      </rPr>
      <t>：</t>
    </r>
    <r>
      <rPr>
        <sz val="10"/>
        <color rgb="FF010CDD"/>
        <rFont val="等线"/>
        <charset val="134"/>
      </rPr>
      <t>货代自提</t>
    </r>
  </si>
  <si>
    <t>ZB06069-8.17</t>
  </si>
  <si>
    <t>5L2NQ1EM</t>
  </si>
  <si>
    <t>4500201277-110</t>
  </si>
  <si>
    <t>日期码格式：ZURU INC(BVI) 标准格式 日期：按实际生产日期
Packaging Info: Amazon DE:48F4XT2K
Amazon ES:8SRTRZLX
Amazon UK:76R8OF5K/5L2NQ1EM/5AKNDX6G/56V56PGC/1W8YE3KG
DE(9574/157114A)/ES(15757/77806/77731/77673)/UK(157143/17588A/71172/77876/92146BDG/9574)
5. 71172:1pc 71172 BRIAN THE BRAIN into open box, then into mailbox, 4mailboxes/ctn; 3PCS AA BATTERIES(INCLUDED); MA 1L(23L warning UPC)A开口彩
盒+MA 15L A说明书+客版邮包盒(参考Amazon US翻单PO#4500192525)+WEEE_带电池走货 _ 说明书欧洲EN+30L_D版本;
12. 最迟验货不得晚于5/26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</si>
  <si>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4500202318</t>
  </si>
  <si>
    <t>0989813245</t>
  </si>
  <si>
    <t>4500202318-20</t>
  </si>
  <si>
    <t>日期码格式：DGYYYYMMDD(日期避开周末和法定节假日)                  日期：按实际生产日期
Packaging Info: 1.包装方式：
71172: MA 1L彩盒包装+MA 15L A版说明书+ RFID贴纸
Remark: 2. 外箱四面印刷紫色RFID箱唛
主唛左前下角印刷艾利贴纸替代标箱唛(ITF-14格式)，条码只印刷一面
主唛右下角加印 MADE IN CHINA以及ZURU LOGO
3. 71172 UPC：193052098443
4.此批单#71172散箱出货；
1PCS/CTN：3PCS AA BATTERIES(INCLUDED)
5.此单需要验货，请自行多备包装物料。
6.产品和包装上要有日期码、MADE IN CHINA和ZURU字样。
7.每PCS要加RFID 贴纸(ZURU提供)，严格按照我们提供的位置图，不可擅自调整位置，贴纸也不可有任何破损或折坏，不可淋湿（如缺数请及时告知）</t>
  </si>
  <si>
    <t>ZB06112-8.17</t>
  </si>
  <si>
    <t>NORWEGIAN TOY IMPORT AS - DOM</t>
  </si>
  <si>
    <t>挪威</t>
  </si>
  <si>
    <t>14992</t>
  </si>
  <si>
    <t>4500202500-20</t>
  </si>
  <si>
    <t>6/9 SI</t>
  </si>
  <si>
    <t>贴纸5月20日已回</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</si>
  <si>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 92106</t>
    </r>
    <r>
      <rPr>
        <sz val="10"/>
        <color rgb="FF010CDD"/>
        <rFont val="汉仪书宋二KW"/>
        <charset val="134"/>
      </rPr>
      <t>：</t>
    </r>
    <r>
      <rPr>
        <sz val="10"/>
        <color rgb="FF010CDD"/>
        <rFont val="等线"/>
        <charset val="134"/>
      </rPr>
      <t>MA 3L EAN收缩膜+进口商贴纸</t>
    </r>
    <r>
      <rPr>
        <sz val="10"/>
        <color rgb="FF010CDD"/>
        <rFont val="汉仪书宋二KW"/>
        <charset val="134"/>
      </rPr>
      <t>；</t>
    </r>
    <r>
      <rPr>
        <sz val="10"/>
        <color rgb="FF010CDD"/>
        <rFont val="等线"/>
        <charset val="134"/>
      </rPr>
      <t xml:space="preserve">
71172</t>
    </r>
    <r>
      <rPr>
        <sz val="10"/>
        <color rgb="FF010CDD"/>
        <rFont val="汉仪书宋二KW"/>
        <charset val="134"/>
      </rPr>
      <t>：</t>
    </r>
    <r>
      <rPr>
        <sz val="10"/>
        <color rgb="FF010CDD"/>
        <rFont val="等线"/>
        <charset val="134"/>
      </rPr>
      <t>MA 3L EAN彩盒+进口商贴纸</t>
    </r>
    <r>
      <rPr>
        <sz val="10"/>
        <color rgb="FF010CDD"/>
        <rFont val="汉仪书宋二KW"/>
        <charset val="134"/>
      </rPr>
      <t>；</t>
    </r>
    <r>
      <rPr>
        <sz val="10"/>
        <color rgb="FF010CDD"/>
        <rFont val="等线"/>
        <charset val="134"/>
      </rPr>
      <t xml:space="preserve">
Remark: 1. 产品和包装要求无硼无香</t>
    </r>
    <r>
      <rPr>
        <sz val="10"/>
        <color rgb="FF010CDD"/>
        <rFont val="汉仪书宋二KW"/>
        <charset val="134"/>
      </rPr>
      <t>，</t>
    </r>
    <r>
      <rPr>
        <sz val="10"/>
        <color rgb="FF010CDD"/>
        <rFont val="等线"/>
        <charset val="134"/>
      </rPr>
      <t>包装不能含有PVC; 此客户NTI不能出14+的产品
 2. 如有微塑料</t>
    </r>
    <r>
      <rPr>
        <sz val="10"/>
        <color rgb="FF010CDD"/>
        <rFont val="汉仪书宋二KW"/>
        <charset val="134"/>
      </rPr>
      <t>，</t>
    </r>
    <r>
      <rPr>
        <sz val="10"/>
        <color rgb="FF010CDD"/>
        <rFont val="等线"/>
        <charset val="134"/>
      </rPr>
      <t>必须合规欧洲标准</t>
    </r>
    <r>
      <rPr>
        <sz val="10"/>
        <color rgb="FF010CDD"/>
        <rFont val="汉仪书宋二KW"/>
        <charset val="134"/>
      </rPr>
      <t>，</t>
    </r>
    <r>
      <rPr>
        <sz val="10"/>
        <color rgb="FF010CDD"/>
        <rFont val="等线"/>
        <charset val="134"/>
      </rPr>
      <t>闪粉也是微塑料的一种</t>
    </r>
    <r>
      <rPr>
        <sz val="10"/>
        <color rgb="FF010CDD"/>
        <rFont val="汉仪书宋二KW"/>
        <charset val="134"/>
      </rPr>
      <t>，</t>
    </r>
    <r>
      <rPr>
        <sz val="10"/>
        <color rgb="FF010CDD"/>
        <rFont val="等线"/>
        <charset val="134"/>
      </rPr>
      <t>目前仅接受三张方式1.去除</t>
    </r>
    <r>
      <rPr>
        <sz val="10"/>
        <color rgb="FF010CDD"/>
        <rFont val="汉仪书宋二KW"/>
        <charset val="134"/>
      </rPr>
      <t>，</t>
    </r>
    <r>
      <rPr>
        <sz val="10"/>
        <color rgb="FF010CDD"/>
        <rFont val="等线"/>
        <charset val="134"/>
      </rPr>
      <t>2.用可降解材料</t>
    </r>
    <r>
      <rPr>
        <sz val="10"/>
        <color rgb="FF010CDD"/>
        <rFont val="汉仪书宋二KW"/>
        <charset val="134"/>
      </rPr>
      <t>，</t>
    </r>
    <r>
      <rPr>
        <sz val="10"/>
        <color rgb="FF010CDD"/>
        <rFont val="等线"/>
        <charset val="134"/>
      </rPr>
      <t>和3. 永久封印在固体。
 3. 带电池出货的产品,电池需要符合欧洲电池新规(EU) 2023-1542.
 4. 同一个SKU, 如果客户同时下Bulk/PDQ/SK/EC, 进口商贴纸可以只显示Bulk 的客户客户款号。产品包装上必须有客户进口商信息。</t>
    </r>
  </si>
  <si>
    <t>4500202446</t>
  </si>
  <si>
    <t>10001748602-0581</t>
  </si>
  <si>
    <t>4500202446-10</t>
  </si>
  <si>
    <t>ZB06347-8.17</t>
  </si>
  <si>
    <t>LEKIA AB</t>
  </si>
  <si>
    <t>瑞典</t>
  </si>
  <si>
    <t>160826</t>
  </si>
  <si>
    <t>4500200447-10</t>
  </si>
  <si>
    <t>6/10 SI</t>
  </si>
  <si>
    <t>WEEE 书仔5/16</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</si>
  <si>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 1. 71172: MA A3L(23L warning) EAN版彩盒+MA A15L说明书+一张额外说明书书纸(说明书上的玩法/battery safety information以及WEEE翻译成丹麦瑞典芬兰挪威
爱沙尼亚语)
Remark: 1. 包装如含PVC,请改为PET
2. 产品/包装要求无硼无香</t>
    </r>
    <r>
      <rPr>
        <sz val="10"/>
        <color rgb="FF010CDD"/>
        <rFont val="汉仪书宋二KW"/>
        <charset val="134"/>
      </rPr>
      <t>；</t>
    </r>
    <r>
      <rPr>
        <sz val="10"/>
        <color rgb="FF010CDD"/>
        <rFont val="等线"/>
        <charset val="134"/>
      </rPr>
      <t xml:space="preserve">
3. 出欧洲</t>
    </r>
    <r>
      <rPr>
        <sz val="10"/>
        <color rgb="FF010CDD"/>
        <rFont val="汉仪书宋二KW"/>
        <charset val="134"/>
      </rPr>
      <t>，</t>
    </r>
    <r>
      <rPr>
        <sz val="10"/>
        <color rgb="FF010CDD"/>
        <rFont val="等线"/>
        <charset val="134"/>
      </rPr>
      <t>微塑料需合规。
4.带电池出货的产品所用到的电池需要符合欧洲电池新规(EU) 2023-1542
5.产品/包装不含PFAS and/or Bisfenol成分</t>
    </r>
    <r>
      <rPr>
        <sz val="10"/>
        <color rgb="FF010CDD"/>
        <rFont val="汉仪书宋二KW"/>
        <charset val="134"/>
      </rPr>
      <t>，</t>
    </r>
    <r>
      <rPr>
        <sz val="10"/>
        <color rgb="FF010CDD"/>
        <rFont val="等线"/>
        <charset val="134"/>
      </rPr>
      <t>, 以及不含石棉成分
6. 产品条码如下: 请先检查条码是否正确再安排做货</t>
    </r>
    <r>
      <rPr>
        <sz val="10"/>
        <color rgb="FF010CDD"/>
        <rFont val="汉仪书宋二KW"/>
        <charset val="134"/>
      </rPr>
      <t>，</t>
    </r>
    <r>
      <rPr>
        <sz val="10"/>
        <color rgb="FF010CDD"/>
        <rFont val="等线"/>
        <charset val="134"/>
      </rPr>
      <t>如有问题请告知:
71172-S001:4894680057272</t>
    </r>
  </si>
  <si>
    <t>Sheba Ye</t>
  </si>
  <si>
    <t>ASIA GOAL LIMITED</t>
  </si>
  <si>
    <t>AG260022-HK</t>
  </si>
  <si>
    <t>4500204383-30</t>
  </si>
  <si>
    <t>日期码格式：ZURU INC(BVI) 标准格式 日期：按实际生产日期
Packaging Info: 7151/71126：MA PKG ，优先 1L（含MA说明书）+1张客供警语贴纸+1张客供电池警告贴纸+1张客供中文警告说明书
71172：MA 1L PKG, MA 说明书+ HK客供警语贴纸 ， 1张贴彩盒底部，1张客供电池警语贴纸贴彩盒底部，1张贴说明书
77711GQ1 （INT): MA 3L 收缩膜+1张UPC 条码贴纸(UPC#193052080134) + MA 3L PDQ+MA 5L 收藏指南+HK客供警语贴纸（1张贴球底部，1张贴说明书，1张贴收藏
指南）具体参考HK客供警语贴纸位置图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（77785里的77711 （INT): MA 3L 收缩膜+1张空白贴纸覆盖条码+MA 收藏指南+ MA 说明书+球底部贴1张客供警语贴纸，收藏指南贴一张客供警语贴纸，说明书贴一
张客供警语贴纸）
77843GQ1: MA 1L PKG, PDQ, MA 收藏指南，说明书+ HK客供警语贴纸，具体如下：
1张HK客供电池警语贴纸贴球顶部，1张HK客供警语贴纸贴球底部， 球内5包小配件包装袋需贴1张警语贴纸，寿司和彩虹蛋糕的黑白安全说明书 贴1张警语贴纸，UV
灯的黑白安全说明书需贴1张警语贴纸
每款HK客供贴内容都不一样，详情参考HK客供贴纸位置图。
77858: MA PKG , 优先1L+ HK客供警语贴纸（2 张HK客供警语贴纸，1张贴彩盒背面，1张贴说明书，贴纸内容不一样）
所有贴纸不得遮挡日期码
Remark: 此单出HK</t>
  </si>
  <si>
    <t>0989813225</t>
  </si>
  <si>
    <t>4500202318-10</t>
  </si>
  <si>
    <r>
      <rPr>
        <sz val="10"/>
        <color rgb="FF0000FF"/>
        <rFont val="等线"/>
        <charset val="134"/>
      </rPr>
      <t>日期码格式</t>
    </r>
    <r>
      <rPr>
        <sz val="10"/>
        <color rgb="FF0000FF"/>
        <rFont val="汉仪书宋二KW"/>
        <charset val="134"/>
      </rPr>
      <t>：</t>
    </r>
    <r>
      <rPr>
        <sz val="10"/>
        <color rgb="FF0000FF"/>
        <rFont val="等线"/>
        <charset val="134"/>
      </rPr>
      <t>DGYYYYMMDD(日期避开周末和法定节假日)                  日期</t>
    </r>
    <r>
      <rPr>
        <sz val="10"/>
        <color rgb="FF0000FF"/>
        <rFont val="汉仪书宋二KW"/>
        <charset val="134"/>
      </rPr>
      <t>：</t>
    </r>
    <r>
      <rPr>
        <sz val="10"/>
        <color rgb="FF0000FF"/>
        <rFont val="等线"/>
        <charset val="134"/>
      </rPr>
      <t>按实际生产日期
Packaging Info: 1.包装方式</t>
    </r>
    <r>
      <rPr>
        <sz val="10"/>
        <color rgb="FF0000FF"/>
        <rFont val="汉仪书宋二KW"/>
        <charset val="134"/>
      </rPr>
      <t>：</t>
    </r>
    <r>
      <rPr>
        <sz val="10"/>
        <color rgb="FF0000FF"/>
        <rFont val="等线"/>
        <charset val="134"/>
      </rPr>
      <t xml:space="preserve">
71172: MA 1L彩盒包装+MA 15L A版说明书+ RFID贴纸
Remark: 2. 外箱四面印刷紫色RFID箱唛
主唛左前下角印刷艾利贴纸替代标箱唛(ITF-14格式)</t>
    </r>
    <r>
      <rPr>
        <sz val="10"/>
        <color rgb="FF0000FF"/>
        <rFont val="汉仪书宋二KW"/>
        <charset val="134"/>
      </rPr>
      <t>，</t>
    </r>
    <r>
      <rPr>
        <sz val="10"/>
        <color rgb="FF0000FF"/>
        <rFont val="等线"/>
        <charset val="134"/>
      </rPr>
      <t>条码只印刷一面
主唛右下角加印 MADE IN CHINA以及ZURU LOGO
3. 71172 UPC</t>
    </r>
    <r>
      <rPr>
        <sz val="10"/>
        <color rgb="FF0000FF"/>
        <rFont val="汉仪书宋二KW"/>
        <charset val="134"/>
      </rPr>
      <t>：</t>
    </r>
    <r>
      <rPr>
        <sz val="10"/>
        <color rgb="FF0000FF"/>
        <rFont val="等线"/>
        <charset val="134"/>
      </rPr>
      <t>193052098443
4.此批单#71172散箱出货</t>
    </r>
    <r>
      <rPr>
        <sz val="10"/>
        <color rgb="FF0000FF"/>
        <rFont val="汉仪书宋二KW"/>
        <charset val="134"/>
      </rPr>
      <t>；</t>
    </r>
    <r>
      <rPr>
        <sz val="10"/>
        <color rgb="FF0000FF"/>
        <rFont val="等线"/>
        <charset val="134"/>
      </rPr>
      <t xml:space="preserve">
1PCS/CTN</t>
    </r>
    <r>
      <rPr>
        <sz val="10"/>
        <color rgb="FF0000FF"/>
        <rFont val="汉仪书宋二KW"/>
        <charset val="134"/>
      </rPr>
      <t>：</t>
    </r>
    <r>
      <rPr>
        <sz val="10"/>
        <color rgb="FF0000FF"/>
        <rFont val="等线"/>
        <charset val="134"/>
      </rPr>
      <t>3PCS AA BATTERIES(INCLUDED)
5.此单需要验货</t>
    </r>
    <r>
      <rPr>
        <sz val="10"/>
        <color rgb="FF0000FF"/>
        <rFont val="汉仪书宋二KW"/>
        <charset val="134"/>
      </rPr>
      <t>，</t>
    </r>
    <r>
      <rPr>
        <sz val="10"/>
        <color rgb="FF0000FF"/>
        <rFont val="等线"/>
        <charset val="134"/>
      </rPr>
      <t>请自行多备包装物料。
6.产品和包装上要有日期码、MADE IN CHINA和ZURU字样。
7.每PCS要加RFID 贴纸(ZURU提供)</t>
    </r>
    <r>
      <rPr>
        <sz val="10"/>
        <color rgb="FF0000FF"/>
        <rFont val="汉仪书宋二KW"/>
        <charset val="134"/>
      </rPr>
      <t>，</t>
    </r>
    <r>
      <rPr>
        <sz val="10"/>
        <color rgb="FF0000FF"/>
        <rFont val="等线"/>
        <charset val="134"/>
      </rPr>
      <t>严格按照我们提供的位置图</t>
    </r>
    <r>
      <rPr>
        <sz val="10"/>
        <color rgb="FF0000FF"/>
        <rFont val="汉仪书宋二KW"/>
        <charset val="134"/>
      </rPr>
      <t>，</t>
    </r>
    <r>
      <rPr>
        <sz val="10"/>
        <color rgb="FF0000FF"/>
        <rFont val="等线"/>
        <charset val="134"/>
      </rPr>
      <t>不可擅自调整位置</t>
    </r>
    <r>
      <rPr>
        <sz val="10"/>
        <color rgb="FF0000FF"/>
        <rFont val="汉仪书宋二KW"/>
        <charset val="134"/>
      </rPr>
      <t>，</t>
    </r>
    <r>
      <rPr>
        <sz val="10"/>
        <color rgb="FF0000FF"/>
        <rFont val="等线"/>
        <charset val="134"/>
      </rPr>
      <t>贴纸也不可有任何破损或折坏</t>
    </r>
    <r>
      <rPr>
        <sz val="10"/>
        <color rgb="FF0000FF"/>
        <rFont val="汉仪书宋二KW"/>
        <charset val="134"/>
      </rPr>
      <t>，</t>
    </r>
    <r>
      <rPr>
        <sz val="10"/>
        <color rgb="FF0000FF"/>
        <rFont val="等线"/>
        <charset val="134"/>
      </rPr>
      <t>不可淋湿</t>
    </r>
    <r>
      <rPr>
        <sz val="10"/>
        <color rgb="FF0000FF"/>
        <rFont val="汉仪书宋二KW"/>
        <charset val="134"/>
      </rPr>
      <t>（</t>
    </r>
    <r>
      <rPr>
        <sz val="10"/>
        <color rgb="FF0000FF"/>
        <rFont val="等线"/>
        <charset val="134"/>
      </rPr>
      <t>如缺数请及时告知</t>
    </r>
    <r>
      <rPr>
        <sz val="10"/>
        <color rgb="FF0000FF"/>
        <rFont val="汉仪书宋二KW"/>
        <charset val="134"/>
      </rPr>
      <t>）</t>
    </r>
  </si>
  <si>
    <t>ZB06228-8.17</t>
  </si>
  <si>
    <t>4500202322</t>
  </si>
  <si>
    <t>0989813201</t>
  </si>
  <si>
    <t>4500202322-10</t>
  </si>
  <si>
    <r>
      <rPr>
        <sz val="10"/>
        <color rgb="FF010CDD"/>
        <rFont val="等线"/>
        <charset val="134"/>
      </rPr>
      <t>日期码格式</t>
    </r>
    <r>
      <rPr>
        <sz val="10"/>
        <color rgb="FF010CDD"/>
        <rFont val="汉仪书宋二KW"/>
        <charset val="134"/>
      </rPr>
      <t>：</t>
    </r>
    <r>
      <rPr>
        <sz val="10"/>
        <color rgb="FF010CDD"/>
        <rFont val="等线"/>
        <charset val="134"/>
      </rPr>
      <t>DGYYYYMMDD(日期避开周末和法定节假日)                  日期</t>
    </r>
    <r>
      <rPr>
        <sz val="10"/>
        <color rgb="FF010CDD"/>
        <rFont val="汉仪书宋二KW"/>
        <charset val="134"/>
      </rPr>
      <t>：</t>
    </r>
    <r>
      <rPr>
        <sz val="10"/>
        <color rgb="FF010CDD"/>
        <rFont val="等线"/>
        <charset val="134"/>
      </rPr>
      <t>按实际生产日期
Packaging Info: 40REP 包装/箱唛翻单</t>
    </r>
    <r>
      <rPr>
        <sz val="10"/>
        <color rgb="FF010CDD"/>
        <rFont val="汉仪书宋二KW"/>
        <charset val="134"/>
      </rPr>
      <t>：</t>
    </r>
    <r>
      <rPr>
        <sz val="10"/>
        <color rgb="FF010CDD"/>
        <rFont val="等线"/>
        <charset val="134"/>
      </rPr>
      <t>4500202318
1.包装方式</t>
    </r>
    <r>
      <rPr>
        <sz val="10"/>
        <color rgb="FF010CDD"/>
        <rFont val="汉仪书宋二KW"/>
        <charset val="134"/>
      </rPr>
      <t>：</t>
    </r>
    <r>
      <rPr>
        <sz val="10"/>
        <color rgb="FF010CDD"/>
        <rFont val="等线"/>
        <charset val="134"/>
      </rPr>
      <t xml:space="preserve">
71172: MA 1L彩盒包装+MA 15L A版说明书+ RFID贴纸
Remark: 2. 外箱四面印刷紫色RFID箱唛
主唛左前下角印刷艾利贴纸替代标箱唛(ITF-14格式)</t>
    </r>
    <r>
      <rPr>
        <sz val="10"/>
        <color rgb="FF010CDD"/>
        <rFont val="汉仪书宋二KW"/>
        <charset val="134"/>
      </rPr>
      <t>，</t>
    </r>
    <r>
      <rPr>
        <sz val="10"/>
        <color rgb="FF010CDD"/>
        <rFont val="等线"/>
        <charset val="134"/>
      </rPr>
      <t>条码只印刷一面
主唛右下角加印 MADE IN CHINA以及ZURU LOGO
3. 71172 UPC</t>
    </r>
    <r>
      <rPr>
        <sz val="10"/>
        <color rgb="FF010CDD"/>
        <rFont val="汉仪书宋二KW"/>
        <charset val="134"/>
      </rPr>
      <t>：</t>
    </r>
    <r>
      <rPr>
        <sz val="10"/>
        <color rgb="FF010CDD"/>
        <rFont val="等线"/>
        <charset val="134"/>
      </rPr>
      <t>193052098443
4.此批单#71172散箱出货</t>
    </r>
    <r>
      <rPr>
        <sz val="10"/>
        <color rgb="FF010CDD"/>
        <rFont val="汉仪书宋二KW"/>
        <charset val="134"/>
      </rPr>
      <t>；</t>
    </r>
    <r>
      <rPr>
        <sz val="10"/>
        <color rgb="FF010CDD"/>
        <rFont val="等线"/>
        <charset val="134"/>
      </rPr>
      <t xml:space="preserve">
1PCS/CTN</t>
    </r>
    <r>
      <rPr>
        <sz val="10"/>
        <color rgb="FF010CDD"/>
        <rFont val="汉仪书宋二KW"/>
        <charset val="134"/>
      </rPr>
      <t>：</t>
    </r>
    <r>
      <rPr>
        <sz val="10"/>
        <color rgb="FF010CDD"/>
        <rFont val="等线"/>
        <charset val="134"/>
      </rPr>
      <t>3PCS AA BATTERIES(INCLUDED)
5.此单需要验货</t>
    </r>
    <r>
      <rPr>
        <sz val="10"/>
        <color rgb="FF010CDD"/>
        <rFont val="汉仪书宋二KW"/>
        <charset val="134"/>
      </rPr>
      <t>，</t>
    </r>
    <r>
      <rPr>
        <sz val="10"/>
        <color rgb="FF010CDD"/>
        <rFont val="等线"/>
        <charset val="134"/>
      </rPr>
      <t>请自行多备包装物料。
6.产品和包装上要有日期码、MADE IN CHINA和ZURU字样。
7.每PCS要加RFID 贴纸(ZURU提供)</t>
    </r>
    <r>
      <rPr>
        <sz val="10"/>
        <color rgb="FF010CDD"/>
        <rFont val="汉仪书宋二KW"/>
        <charset val="134"/>
      </rPr>
      <t>，</t>
    </r>
    <r>
      <rPr>
        <sz val="10"/>
        <color rgb="FF010CDD"/>
        <rFont val="等线"/>
        <charset val="134"/>
      </rPr>
      <t>严格按照我们提供的位置图</t>
    </r>
    <r>
      <rPr>
        <sz val="10"/>
        <color rgb="FF010CDD"/>
        <rFont val="汉仪书宋二KW"/>
        <charset val="134"/>
      </rPr>
      <t>，</t>
    </r>
    <r>
      <rPr>
        <sz val="10"/>
        <color rgb="FF010CDD"/>
        <rFont val="等线"/>
        <charset val="134"/>
      </rPr>
      <t>不可擅自调整位置</t>
    </r>
    <r>
      <rPr>
        <sz val="10"/>
        <color rgb="FF010CDD"/>
        <rFont val="汉仪书宋二KW"/>
        <charset val="134"/>
      </rPr>
      <t>，</t>
    </r>
    <r>
      <rPr>
        <sz val="10"/>
        <color rgb="FF010CDD"/>
        <rFont val="等线"/>
        <charset val="134"/>
      </rPr>
      <t>贴纸也不可有任何破损或折坏</t>
    </r>
    <r>
      <rPr>
        <sz val="10"/>
        <color rgb="FF010CDD"/>
        <rFont val="汉仪书宋二KW"/>
        <charset val="134"/>
      </rPr>
      <t>，</t>
    </r>
    <r>
      <rPr>
        <sz val="10"/>
        <color rgb="FF010CDD"/>
        <rFont val="等线"/>
        <charset val="134"/>
      </rPr>
      <t>不可淋湿</t>
    </r>
    <r>
      <rPr>
        <sz val="10"/>
        <color rgb="FF010CDD"/>
        <rFont val="汉仪书宋二KW"/>
        <charset val="134"/>
      </rPr>
      <t>（</t>
    </r>
    <r>
      <rPr>
        <sz val="10"/>
        <color rgb="FF010CDD"/>
        <rFont val="等线"/>
        <charset val="134"/>
      </rPr>
      <t>如缺数请及时告知</t>
    </r>
    <r>
      <rPr>
        <sz val="10"/>
        <color rgb="FF010CDD"/>
        <rFont val="汉仪书宋二KW"/>
        <charset val="134"/>
      </rPr>
      <t>）</t>
    </r>
  </si>
  <si>
    <t>ZB06260-8.17</t>
  </si>
  <si>
    <t>0989813271</t>
  </si>
  <si>
    <t>4500202322-20</t>
  </si>
  <si>
    <t>ZB06371-8.17</t>
  </si>
  <si>
    <t>0989813145</t>
  </si>
  <si>
    <t>4500202322-30</t>
  </si>
  <si>
    <t>ZB06290-8.17</t>
  </si>
  <si>
    <t>4500200458</t>
  </si>
  <si>
    <t>414770</t>
  </si>
  <si>
    <t>4500200458-10</t>
  </si>
  <si>
    <t>6/13送库有</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</si>
  <si>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 xml:space="preserve">按实际生产日期
Packaging Info: 1.71172:1L MA包装+cat label 1张+MA说明书+WEEE带电池说明书
71152:1L MA包装+cat label 1张+MA说明书+WEEE不带电池说明书
2.注意Cat.label  </t>
    </r>
    <r>
      <rPr>
        <sz val="10"/>
        <color rgb="FF010CDD"/>
        <rFont val="汉仪书宋二KW"/>
        <charset val="134"/>
      </rPr>
      <t>（</t>
    </r>
    <r>
      <rPr>
        <sz val="10"/>
        <color rgb="FF010CDD"/>
        <rFont val="等线"/>
        <charset val="134"/>
      </rPr>
      <t>要求易撕类贴纸</t>
    </r>
    <r>
      <rPr>
        <sz val="10"/>
        <color rgb="FF010CDD"/>
        <rFont val="汉仪书宋二KW"/>
        <charset val="134"/>
      </rPr>
      <t>，</t>
    </r>
    <r>
      <rPr>
        <sz val="10"/>
        <color rgb="FF010CDD"/>
        <rFont val="等线"/>
        <charset val="134"/>
      </rPr>
      <t>但是粘性不能过低</t>
    </r>
    <r>
      <rPr>
        <sz val="10"/>
        <color rgb="FF010CDD"/>
        <rFont val="汉仪书宋二KW"/>
        <charset val="134"/>
      </rPr>
      <t>），</t>
    </r>
    <r>
      <rPr>
        <sz val="10"/>
        <color rgb="FF010CDD"/>
        <rFont val="等线"/>
        <charset val="134"/>
      </rPr>
      <t>同时此贴纸每个订单都是不相同的</t>
    </r>
    <r>
      <rPr>
        <sz val="10"/>
        <color rgb="FF010CDD"/>
        <rFont val="汉仪书宋二KW"/>
        <charset val="134"/>
      </rPr>
      <t>（</t>
    </r>
    <r>
      <rPr>
        <sz val="10"/>
        <color rgb="FF010CDD"/>
        <rFont val="等线"/>
        <charset val="134"/>
      </rPr>
      <t>会显示客户对应的订单号</t>
    </r>
    <r>
      <rPr>
        <sz val="10"/>
        <color rgb="FF010CDD"/>
        <rFont val="汉仪书宋二KW"/>
        <charset val="134"/>
      </rPr>
      <t>），</t>
    </r>
    <r>
      <rPr>
        <sz val="10"/>
        <color rgb="FF010CDD"/>
        <rFont val="等线"/>
        <charset val="134"/>
      </rPr>
      <t>切勿翻旧订单购买。此贴纸由ZURU提
供贴纸图稿和贴纸位置图给工厂后</t>
    </r>
    <r>
      <rPr>
        <sz val="10"/>
        <color rgb="FF010CDD"/>
        <rFont val="汉仪书宋二KW"/>
        <charset val="134"/>
      </rPr>
      <t>，</t>
    </r>
    <r>
      <rPr>
        <sz val="10"/>
        <color rgb="FF010CDD"/>
        <rFont val="等线"/>
        <charset val="134"/>
      </rPr>
      <t>工厂自行购买。
3.请先检查条码是否正确再安排做</t>
    </r>
    <r>
      <rPr>
        <sz val="10"/>
        <color rgb="FF010CDD"/>
        <rFont val="汉仪书宋二KW"/>
        <charset val="134"/>
      </rPr>
      <t>，</t>
    </r>
    <r>
      <rPr>
        <sz val="10"/>
        <color rgb="FF010CDD"/>
        <rFont val="等线"/>
        <charset val="134"/>
      </rPr>
      <t xml:space="preserve">标签上的目录编号数字高度必须至少为5mm  </t>
    </r>
    <r>
      <rPr>
        <sz val="10"/>
        <color rgb="FF010CDD"/>
        <rFont val="汉仪书宋二KW"/>
        <charset val="134"/>
      </rPr>
      <t>（</t>
    </r>
    <r>
      <rPr>
        <sz val="10"/>
        <color rgb="FF010CDD"/>
        <rFont val="等线"/>
        <charset val="134"/>
      </rPr>
      <t>14.17pt</t>
    </r>
    <r>
      <rPr>
        <sz val="10"/>
        <color rgb="FF010CDD"/>
        <rFont val="汉仪书宋二KW"/>
        <charset val="134"/>
      </rPr>
      <t>）</t>
    </r>
    <r>
      <rPr>
        <sz val="10"/>
        <color rgb="FF010CDD"/>
        <rFont val="等线"/>
        <charset val="134"/>
      </rPr>
      <t xml:space="preserve">
Remark: *MA包装最新版本
 *包装日期码按ZURU格式即可</t>
    </r>
    <r>
      <rPr>
        <sz val="10"/>
        <color rgb="FF010CDD"/>
        <rFont val="汉仪书宋二KW"/>
        <charset val="134"/>
      </rPr>
      <t>，</t>
    </r>
    <r>
      <rPr>
        <sz val="10"/>
        <color rgb="FF010CDD"/>
        <rFont val="等线"/>
        <charset val="134"/>
      </rPr>
      <t>请确保不迟于外箱日期码</t>
    </r>
    <r>
      <rPr>
        <sz val="10"/>
        <color rgb="FF010CDD"/>
        <rFont val="汉仪书宋二KW"/>
        <charset val="134"/>
      </rPr>
      <t>，</t>
    </r>
    <r>
      <rPr>
        <sz val="10"/>
        <color rgb="FF010CDD"/>
        <rFont val="等线"/>
        <charset val="134"/>
      </rPr>
      <t>可等于或者早于外箱日期码</t>
    </r>
    <r>
      <rPr>
        <sz val="10"/>
        <color rgb="FF010CDD"/>
        <rFont val="汉仪书宋二KW"/>
        <charset val="134"/>
      </rPr>
      <t>，</t>
    </r>
    <r>
      <rPr>
        <sz val="10"/>
        <color rgb="FF010CDD"/>
        <rFont val="等线"/>
        <charset val="134"/>
      </rPr>
      <t>必须为法定工作日。
 *外箱尺寸任何一条边长度超过75cm或者每箱重量超过10KG</t>
    </r>
    <r>
      <rPr>
        <sz val="10"/>
        <color rgb="FF010CDD"/>
        <rFont val="汉仪书宋二KW"/>
        <charset val="134"/>
      </rPr>
      <t>，</t>
    </r>
    <r>
      <rPr>
        <sz val="10"/>
        <color rgb="FF010CDD"/>
        <rFont val="等线"/>
        <charset val="134"/>
      </rPr>
      <t>需要在外箱上加三脚架符号</t>
    </r>
    <r>
      <rPr>
        <sz val="10"/>
        <color rgb="FF010CDD"/>
        <rFont val="汉仪书宋二KW"/>
        <charset val="134"/>
      </rPr>
      <t>，</t>
    </r>
    <r>
      <rPr>
        <sz val="10"/>
        <color rgb="FF010CDD"/>
        <rFont val="等线"/>
        <charset val="134"/>
      </rPr>
      <t>有问题请与ZURU跟单同事核实。
 *主拼工厂需要准备密网安排装柜
 *出欧洲电子产品需要加WEEE说明书</t>
    </r>
    <r>
      <rPr>
        <sz val="10"/>
        <color rgb="FF010CDD"/>
        <rFont val="汉仪书宋二KW"/>
        <charset val="134"/>
      </rPr>
      <t>，</t>
    </r>
    <r>
      <rPr>
        <sz val="10"/>
        <color rgb="FF010CDD"/>
        <rFont val="等线"/>
        <charset val="134"/>
      </rPr>
      <t>区分带电池和不带电池两种版本</t>
    </r>
    <r>
      <rPr>
        <sz val="10"/>
        <color rgb="FF010CDD"/>
        <rFont val="汉仪书宋二KW"/>
        <charset val="134"/>
      </rPr>
      <t>，</t>
    </r>
    <r>
      <rPr>
        <sz val="10"/>
        <color rgb="FF010CDD"/>
        <rFont val="等线"/>
        <charset val="134"/>
      </rPr>
      <t>不是电子产品可忽略。
*订单必须经过ZURU QC验货并且通过后方可出货。
 *订单出英国</t>
    </r>
    <r>
      <rPr>
        <sz val="10"/>
        <color rgb="FF010CDD"/>
        <rFont val="汉仪书宋二KW"/>
        <charset val="134"/>
      </rPr>
      <t>，</t>
    </r>
    <r>
      <rPr>
        <sz val="10"/>
        <color rgb="FF010CDD"/>
        <rFont val="等线"/>
        <charset val="134"/>
      </rPr>
      <t>请注意检查产品及包装应带UKCA图标</t>
    </r>
    <r>
      <rPr>
        <sz val="10"/>
        <color rgb="FF010CDD"/>
        <rFont val="汉仪书宋二KW"/>
        <charset val="134"/>
      </rPr>
      <t>，</t>
    </r>
    <r>
      <rPr>
        <sz val="10"/>
        <color rgb="FF010CDD"/>
        <rFont val="等线"/>
        <charset val="134"/>
      </rPr>
      <t>包装显示ZURU UK LTD信息</t>
    </r>
    <r>
      <rPr>
        <sz val="10"/>
        <color rgb="FF010CDD"/>
        <rFont val="汉仪书宋二KW"/>
        <charset val="134"/>
      </rPr>
      <t>，</t>
    </r>
    <r>
      <rPr>
        <sz val="10"/>
        <color rgb="FF010CDD"/>
        <rFont val="等线"/>
        <charset val="134"/>
      </rPr>
      <t>QC同事请查核</t>
    </r>
    <r>
      <rPr>
        <sz val="10"/>
        <color rgb="FF010CDD"/>
        <rFont val="汉仪书宋二KW"/>
        <charset val="134"/>
      </rPr>
      <t>，</t>
    </r>
    <r>
      <rPr>
        <sz val="10"/>
        <color rgb="FF010CDD"/>
        <rFont val="等线"/>
        <charset val="134"/>
      </rPr>
      <t xml:space="preserve">如有问题与跟单确认。
 *条码扫描会显示客户7位数产品号而不是客户的订单号码。
 *标签上的目录编号数字高度必须至少为5mm  </t>
    </r>
    <r>
      <rPr>
        <sz val="10"/>
        <color rgb="FF010CDD"/>
        <rFont val="汉仪书宋二KW"/>
        <charset val="134"/>
      </rPr>
      <t>（</t>
    </r>
    <r>
      <rPr>
        <sz val="10"/>
        <color rgb="FF010CDD"/>
        <rFont val="等线"/>
        <charset val="134"/>
      </rPr>
      <t>14.17pt</t>
    </r>
    <r>
      <rPr>
        <sz val="10"/>
        <color rgb="FF010CDD"/>
        <rFont val="汉仪书宋二KW"/>
        <charset val="134"/>
      </rPr>
      <t>）</t>
    </r>
    <r>
      <rPr>
        <sz val="10"/>
        <color rgb="FF010CDD"/>
        <rFont val="等线"/>
        <charset val="134"/>
      </rPr>
      <t>。
 *所有产品按符合欧洲标准走货</t>
    </r>
    <r>
      <rPr>
        <sz val="10"/>
        <color rgb="FF010CDD"/>
        <rFont val="汉仪书宋二KW"/>
        <charset val="134"/>
      </rPr>
      <t>，</t>
    </r>
    <r>
      <rPr>
        <sz val="10"/>
        <color rgb="FF010CDD"/>
        <rFont val="等线"/>
        <charset val="134"/>
      </rPr>
      <t>需要是不含微塑料版本 。
 *若任何产品涉及到硼的</t>
    </r>
    <r>
      <rPr>
        <sz val="10"/>
        <color rgb="FF010CDD"/>
        <rFont val="汉仪书宋二KW"/>
        <charset val="134"/>
      </rPr>
      <t>，</t>
    </r>
    <r>
      <rPr>
        <sz val="10"/>
        <color rgb="FF010CDD"/>
        <rFont val="等线"/>
        <charset val="134"/>
      </rPr>
      <t>请使用低硼版本(没有则忽略此要求)
 *客户不接受PVC材质包装。
 *外箱不得使用带金属夹子或带扣。
 *出欧洲的电子产品需要额外增加WEEE电池说明书</t>
    </r>
    <r>
      <rPr>
        <sz val="10"/>
        <color rgb="FF010CDD"/>
        <rFont val="汉仪书宋二KW"/>
        <charset val="134"/>
      </rPr>
      <t>，</t>
    </r>
    <r>
      <rPr>
        <sz val="10"/>
        <color rgb="FF010CDD"/>
        <rFont val="等线"/>
        <charset val="134"/>
      </rPr>
      <t>区分带电池走货和不带电池走货两种版本</t>
    </r>
    <r>
      <rPr>
        <sz val="10"/>
        <color rgb="FF010CDD"/>
        <rFont val="汉仪书宋二KW"/>
        <charset val="134"/>
      </rPr>
      <t>，</t>
    </r>
    <r>
      <rPr>
        <sz val="10"/>
        <color rgb="FF010CDD"/>
        <rFont val="等线"/>
        <charset val="134"/>
      </rPr>
      <t>如果不是电子产品可忽略
 *主拼工厂需要提前准备密网用于装柜</t>
    </r>
    <r>
      <rPr>
        <sz val="10"/>
        <color rgb="FF010CDD"/>
        <rFont val="汉仪书宋二KW"/>
        <charset val="134"/>
      </rPr>
      <t>，</t>
    </r>
    <r>
      <rPr>
        <sz val="10"/>
        <color rgb="FF010CDD"/>
        <rFont val="等线"/>
        <charset val="134"/>
      </rPr>
      <t>装柜拉网请务必按照客人要求固定好</t>
    </r>
    <r>
      <rPr>
        <sz val="10"/>
        <color rgb="FF010CDD"/>
        <rFont val="汉仪书宋二KW"/>
        <charset val="134"/>
      </rPr>
      <t>，</t>
    </r>
    <r>
      <rPr>
        <sz val="10"/>
        <color rgb="FF010CDD"/>
        <rFont val="等线"/>
        <charset val="134"/>
      </rPr>
      <t>避免货物在运输过程中坍塌</t>
    </r>
    <r>
      <rPr>
        <sz val="10"/>
        <color rgb="FF010CDD"/>
        <rFont val="汉仪书宋二KW"/>
        <charset val="134"/>
      </rPr>
      <t>，</t>
    </r>
    <r>
      <rPr>
        <sz val="10"/>
        <color rgb="FF010CDD"/>
        <rFont val="等线"/>
        <charset val="134"/>
      </rPr>
      <t>不规范的拉网或者漏掉都会导致客人罚款</t>
    </r>
  </si>
  <si>
    <t>Lena Huang</t>
  </si>
  <si>
    <t>4500200592</t>
  </si>
  <si>
    <t>0988641156</t>
  </si>
  <si>
    <t>4500200592-30</t>
  </si>
  <si>
    <t>6/16 SI</t>
  </si>
  <si>
    <r>
      <rPr>
        <sz val="10"/>
        <color rgb="FF010CDD"/>
        <rFont val="等线"/>
        <charset val="134"/>
      </rPr>
      <t>日期码格式</t>
    </r>
    <r>
      <rPr>
        <sz val="10"/>
        <color rgb="FF010CDD"/>
        <rFont val="汉仪书宋二KW"/>
        <charset val="134"/>
      </rPr>
      <t>：</t>
    </r>
    <r>
      <rPr>
        <sz val="10"/>
        <color rgb="FF010CDD"/>
        <rFont val="等线"/>
        <charset val="134"/>
      </rPr>
      <t>DGYYYYMMDD(日期避开周末和法定节假日)                  日期</t>
    </r>
    <r>
      <rPr>
        <sz val="10"/>
        <color rgb="FF010CDD"/>
        <rFont val="汉仪书宋二KW"/>
        <charset val="134"/>
      </rPr>
      <t>：</t>
    </r>
    <r>
      <rPr>
        <sz val="10"/>
        <color rgb="FF010CDD"/>
        <rFont val="等线"/>
        <charset val="134"/>
      </rPr>
      <t>按实际生产日期
Packaging Info: 包装/箱唛翻单</t>
    </r>
    <r>
      <rPr>
        <sz val="10"/>
        <color rgb="FF010CDD"/>
        <rFont val="汉仪书宋二KW"/>
        <charset val="134"/>
      </rPr>
      <t>：</t>
    </r>
    <r>
      <rPr>
        <sz val="10"/>
        <color rgb="FF010CDD"/>
        <rFont val="等线"/>
        <charset val="134"/>
      </rPr>
      <t>4500200590
1.包装方式</t>
    </r>
    <r>
      <rPr>
        <sz val="10"/>
        <color rgb="FF010CDD"/>
        <rFont val="汉仪书宋二KW"/>
        <charset val="134"/>
      </rPr>
      <t>：</t>
    </r>
    <r>
      <rPr>
        <sz val="10"/>
        <color rgb="FF010CDD"/>
        <rFont val="等线"/>
        <charset val="134"/>
      </rPr>
      <t xml:space="preserve">
71172: MA 1L彩盒包装+MA 15L警告语 A版说明书+ RFID贴纸
Remark: 2. 外箱四面印刷紫色RFID箱唛
主唛左前下角印刷艾利贴纸替代标箱唛(ITF-14格式)</t>
    </r>
    <r>
      <rPr>
        <sz val="10"/>
        <color rgb="FF010CDD"/>
        <rFont val="汉仪书宋二KW"/>
        <charset val="134"/>
      </rPr>
      <t>，</t>
    </r>
    <r>
      <rPr>
        <sz val="10"/>
        <color rgb="FF010CDD"/>
        <rFont val="等线"/>
        <charset val="134"/>
      </rPr>
      <t>条码只印刷一面
主唛右下角加印 MADE IN CHINA以及ZURU LOGO</t>
    </r>
    <r>
      <rPr>
        <sz val="10"/>
        <color rgb="FF010CDD"/>
        <rFont val="汉仪书宋二KW"/>
        <charset val="134"/>
      </rPr>
      <t>，</t>
    </r>
    <r>
      <rPr>
        <sz val="10"/>
        <color rgb="FF010CDD"/>
        <rFont val="等线"/>
        <charset val="134"/>
      </rPr>
      <t>对角线位置加贴一张粉色MOD艾利贴纸</t>
    </r>
    <r>
      <rPr>
        <sz val="10"/>
        <color rgb="FF010CDD"/>
        <rFont val="汉仪书宋二KW"/>
        <charset val="134"/>
      </rPr>
      <t>（</t>
    </r>
    <r>
      <rPr>
        <sz val="10"/>
        <color rgb="FF010CDD"/>
        <rFont val="等线"/>
        <charset val="134"/>
      </rPr>
      <t>工厂自行打印或订购贴纸</t>
    </r>
    <r>
      <rPr>
        <sz val="10"/>
        <color rgb="FF010CDD"/>
        <rFont val="汉仪书宋二KW"/>
        <charset val="134"/>
      </rPr>
      <t>）</t>
    </r>
    <r>
      <rPr>
        <sz val="10"/>
        <color rgb="FF010CDD"/>
        <rFont val="等线"/>
        <charset val="134"/>
      </rPr>
      <t xml:space="preserve">
3. 71172 UPC</t>
    </r>
    <r>
      <rPr>
        <sz val="10"/>
        <color rgb="FF010CDD"/>
        <rFont val="汉仪书宋二KW"/>
        <charset val="134"/>
      </rPr>
      <t>：</t>
    </r>
    <r>
      <rPr>
        <sz val="10"/>
        <color rgb="FF010CDD"/>
        <rFont val="等线"/>
        <charset val="134"/>
      </rPr>
      <t>193052098443
4.此批单散箱出货</t>
    </r>
    <r>
      <rPr>
        <sz val="10"/>
        <color rgb="FF010CDD"/>
        <rFont val="汉仪书宋二KW"/>
        <charset val="134"/>
      </rPr>
      <t>，</t>
    </r>
    <r>
      <rPr>
        <sz val="10"/>
        <color rgb="FF010CDD"/>
        <rFont val="等线"/>
        <charset val="134"/>
      </rPr>
      <t>1PCS/CTN
5.此单需要验货</t>
    </r>
    <r>
      <rPr>
        <sz val="10"/>
        <color rgb="FF010CDD"/>
        <rFont val="汉仪书宋二KW"/>
        <charset val="134"/>
      </rPr>
      <t>，</t>
    </r>
    <r>
      <rPr>
        <sz val="10"/>
        <color rgb="FF010CDD"/>
        <rFont val="等线"/>
        <charset val="134"/>
      </rPr>
      <t>请自行多备包装物料。
6.产品和包装上要有日期码、MADE IN CHINA和ZURU字样。
7.每PCS要加RFID 贴纸(ZURU提供)</t>
    </r>
    <r>
      <rPr>
        <sz val="10"/>
        <color rgb="FF010CDD"/>
        <rFont val="汉仪书宋二KW"/>
        <charset val="134"/>
      </rPr>
      <t>，</t>
    </r>
    <r>
      <rPr>
        <sz val="10"/>
        <color rgb="FF010CDD"/>
        <rFont val="等线"/>
        <charset val="134"/>
      </rPr>
      <t>严格按照我们提供的位置图</t>
    </r>
    <r>
      <rPr>
        <sz val="10"/>
        <color rgb="FF010CDD"/>
        <rFont val="汉仪书宋二KW"/>
        <charset val="134"/>
      </rPr>
      <t>，</t>
    </r>
    <r>
      <rPr>
        <sz val="10"/>
        <color rgb="FF010CDD"/>
        <rFont val="等线"/>
        <charset val="134"/>
      </rPr>
      <t>不可擅自调整位置</t>
    </r>
    <r>
      <rPr>
        <sz val="10"/>
        <color rgb="FF010CDD"/>
        <rFont val="汉仪书宋二KW"/>
        <charset val="134"/>
      </rPr>
      <t>，</t>
    </r>
    <r>
      <rPr>
        <sz val="10"/>
        <color rgb="FF010CDD"/>
        <rFont val="等线"/>
        <charset val="134"/>
      </rPr>
      <t>贴纸也不可有任何破损或折坏</t>
    </r>
    <r>
      <rPr>
        <sz val="10"/>
        <color rgb="FF010CDD"/>
        <rFont val="汉仪书宋二KW"/>
        <charset val="134"/>
      </rPr>
      <t>，</t>
    </r>
    <r>
      <rPr>
        <sz val="10"/>
        <color rgb="FF010CDD"/>
        <rFont val="等线"/>
        <charset val="134"/>
      </rPr>
      <t>不可淋湿</t>
    </r>
    <r>
      <rPr>
        <sz val="10"/>
        <color rgb="FF010CDD"/>
        <rFont val="汉仪书宋二KW"/>
        <charset val="134"/>
      </rPr>
      <t>（</t>
    </r>
    <r>
      <rPr>
        <sz val="10"/>
        <color rgb="FF010CDD"/>
        <rFont val="等线"/>
        <charset val="134"/>
      </rPr>
      <t>如缺数请及时告知</t>
    </r>
    <r>
      <rPr>
        <sz val="10"/>
        <color rgb="FF010CDD"/>
        <rFont val="汉仪书宋二KW"/>
        <charset val="134"/>
      </rPr>
      <t>）</t>
    </r>
  </si>
  <si>
    <t>ZB06291-8.17</t>
  </si>
  <si>
    <t>0988641246</t>
  </si>
  <si>
    <t>4500200592-40</t>
  </si>
  <si>
    <t>ZB06261-8.17</t>
  </si>
  <si>
    <t>4500200594</t>
  </si>
  <si>
    <t>0988641229</t>
  </si>
  <si>
    <t>4500200594-20</t>
  </si>
  <si>
    <t>6/22 SI</t>
  </si>
  <si>
    <t>ZB06424-8.17</t>
  </si>
  <si>
    <t>MID-STATES DISTRIBUTING, LLC</t>
  </si>
  <si>
    <t>1736153-99</t>
  </si>
  <si>
    <t>4500201308-430</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</si>
  <si>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 1.使用 MA UPC版本包装</t>
    </r>
    <r>
      <rPr>
        <sz val="10"/>
        <color rgb="FF010CDD"/>
        <rFont val="汉仪书宋二KW"/>
        <charset val="134"/>
      </rPr>
      <t>，</t>
    </r>
    <r>
      <rPr>
        <sz val="10"/>
        <color rgb="FF010CDD"/>
        <rFont val="等线"/>
        <charset val="134"/>
      </rPr>
      <t>优先1L</t>
    </r>
    <r>
      <rPr>
        <sz val="10"/>
        <color rgb="FF010CDD"/>
        <rFont val="汉仪书宋二KW"/>
        <charset val="134"/>
      </rPr>
      <t>，</t>
    </r>
    <r>
      <rPr>
        <sz val="10"/>
        <color rgb="FF010CDD"/>
        <rFont val="等线"/>
        <charset val="134"/>
      </rPr>
      <t>出口美国。
157117UQ1</t>
    </r>
    <r>
      <rPr>
        <sz val="10"/>
        <color rgb="FF010CDD"/>
        <rFont val="汉仪书宋二KW"/>
        <charset val="134"/>
      </rPr>
      <t>：</t>
    </r>
    <r>
      <rPr>
        <sz val="10"/>
        <color rgb="FF010CDD"/>
        <rFont val="等线"/>
        <charset val="134"/>
      </rPr>
      <t>8 Assortment=1:1:1:1:1:1:1:1.
15758SLD</t>
    </r>
    <r>
      <rPr>
        <sz val="10"/>
        <color rgb="FF010CDD"/>
        <rFont val="汉仪书宋二KW"/>
        <charset val="134"/>
      </rPr>
      <t>：</t>
    </r>
    <r>
      <rPr>
        <sz val="10"/>
        <color rgb="FF010CDD"/>
        <rFont val="等线"/>
        <charset val="134"/>
      </rPr>
      <t>4 Assortments; even ratio.
15783UQ1</t>
    </r>
    <r>
      <rPr>
        <sz val="10"/>
        <color rgb="FF010CDD"/>
        <rFont val="汉仪书宋二KW"/>
        <charset val="134"/>
      </rPr>
      <t>：</t>
    </r>
    <r>
      <rPr>
        <sz val="10"/>
        <color rgb="FF010CDD"/>
        <rFont val="等线"/>
        <charset val="134"/>
      </rPr>
      <t>7 Assortments; Rare assortment 1/24, others even ratio.
15787</t>
    </r>
    <r>
      <rPr>
        <sz val="10"/>
        <color rgb="FF010CDD"/>
        <rFont val="汉仪书宋二KW"/>
        <charset val="134"/>
      </rPr>
      <t>：</t>
    </r>
    <r>
      <rPr>
        <sz val="10"/>
        <color rgb="FF010CDD"/>
        <rFont val="等线"/>
        <charset val="134"/>
      </rPr>
      <t>4 Assortments; Even ratio.
15789UQ1</t>
    </r>
    <r>
      <rPr>
        <sz val="10"/>
        <color rgb="FF010CDD"/>
        <rFont val="汉仪书宋二KW"/>
        <charset val="134"/>
      </rPr>
      <t>：</t>
    </r>
    <r>
      <rPr>
        <sz val="10"/>
        <color rgb="FF010CDD"/>
        <rFont val="等线"/>
        <charset val="134"/>
      </rPr>
      <t>7 Assortments; Rare assortment 1/24, others even ratio.
25257</t>
    </r>
    <r>
      <rPr>
        <sz val="10"/>
        <color rgb="FF010CDD"/>
        <rFont val="汉仪书宋二KW"/>
        <charset val="134"/>
      </rPr>
      <t>：</t>
    </r>
    <r>
      <rPr>
        <sz val="10"/>
        <color rgb="FF010CDD"/>
        <rFont val="等线"/>
        <charset val="134"/>
      </rPr>
      <t>Duck:Crocodile:Fish=4:4:4.
7153</t>
    </r>
    <r>
      <rPr>
        <sz val="10"/>
        <color rgb="FF010CDD"/>
        <rFont val="汉仪书宋二KW"/>
        <charset val="134"/>
      </rPr>
      <t>：</t>
    </r>
    <r>
      <rPr>
        <sz val="10"/>
        <color rgb="FF010CDD"/>
        <rFont val="等线"/>
        <charset val="134"/>
      </rPr>
      <t>Mix #7149</t>
    </r>
    <r>
      <rPr>
        <sz val="10"/>
        <color rgb="FF010CDD"/>
        <rFont val="汉仪书宋二KW"/>
        <charset val="134"/>
      </rPr>
      <t>（</t>
    </r>
    <r>
      <rPr>
        <sz val="10"/>
        <color rgb="FF010CDD"/>
        <rFont val="等线"/>
        <charset val="134"/>
      </rPr>
      <t>2asst)+#7150</t>
    </r>
    <r>
      <rPr>
        <sz val="10"/>
        <color rgb="FF010CDD"/>
        <rFont val="汉仪书宋二KW"/>
        <charset val="134"/>
      </rPr>
      <t>（</t>
    </r>
    <r>
      <rPr>
        <sz val="10"/>
        <color rgb="FF010CDD"/>
        <rFont val="等线"/>
        <charset val="134"/>
      </rPr>
      <t>2asst).
7154</t>
    </r>
    <r>
      <rPr>
        <sz val="10"/>
        <color rgb="FF010CDD"/>
        <rFont val="汉仪书宋二KW"/>
        <charset val="134"/>
      </rPr>
      <t>：</t>
    </r>
    <r>
      <rPr>
        <sz val="10"/>
        <color rgb="FF010CDD"/>
        <rFont val="等线"/>
        <charset val="134"/>
      </rPr>
      <t>Mix #7149</t>
    </r>
    <r>
      <rPr>
        <sz val="10"/>
        <color rgb="FF010CDD"/>
        <rFont val="汉仪书宋二KW"/>
        <charset val="134"/>
      </rPr>
      <t>（</t>
    </r>
    <r>
      <rPr>
        <sz val="10"/>
        <color rgb="FF010CDD"/>
        <rFont val="等线"/>
        <charset val="134"/>
      </rPr>
      <t>8asst)+#7150</t>
    </r>
    <r>
      <rPr>
        <sz val="10"/>
        <color rgb="FF010CDD"/>
        <rFont val="汉仪书宋二KW"/>
        <charset val="134"/>
      </rPr>
      <t>（</t>
    </r>
    <r>
      <rPr>
        <sz val="10"/>
        <color rgb="FF010CDD"/>
        <rFont val="等线"/>
        <charset val="134"/>
      </rPr>
      <t>4asst).
92119</t>
    </r>
    <r>
      <rPr>
        <sz val="10"/>
        <color rgb="FF010CDD"/>
        <rFont val="汉仪书宋二KW"/>
        <charset val="134"/>
      </rPr>
      <t>：</t>
    </r>
    <r>
      <rPr>
        <sz val="10"/>
        <color rgb="FF010CDD"/>
        <rFont val="等线"/>
        <charset val="134"/>
      </rPr>
      <t>7 Assortment, Polar bear: Penguin: Walrus: Mammoth: Owl: Seal: Snow man=10:10:10:10:10:8:2. Snow man is the rare item.
92146TQ2</t>
    </r>
    <r>
      <rPr>
        <sz val="10"/>
        <color rgb="FF010CDD"/>
        <rFont val="汉仪书宋二KW"/>
        <charset val="134"/>
      </rPr>
      <t>：</t>
    </r>
    <r>
      <rPr>
        <sz val="10"/>
        <color rgb="FF010CDD"/>
        <rFont val="等线"/>
        <charset val="134"/>
      </rPr>
      <t>6 Assortment, Cat:Raccoon:Deer:Tiger:Pigeon:Owl=1:1:1:1:1:1.
92147</t>
    </r>
    <r>
      <rPr>
        <sz val="10"/>
        <color rgb="FF010CDD"/>
        <rFont val="汉仪书宋二KW"/>
        <charset val="134"/>
      </rPr>
      <t>：</t>
    </r>
    <r>
      <rPr>
        <sz val="10"/>
        <color rgb="FF010CDD"/>
        <rFont val="等线"/>
        <charset val="134"/>
      </rPr>
      <t>6 Assortment,Black Cat:Owl:Axolotl:Unicorn:Bat:Bunny=1:1:1:1:1:1.
Remark: 1.产品和包装上印刷tracking code信息</t>
    </r>
    <r>
      <rPr>
        <sz val="10"/>
        <color rgb="FF010CDD"/>
        <rFont val="汉仪书宋二KW"/>
        <charset val="134"/>
      </rPr>
      <t>，</t>
    </r>
    <r>
      <rPr>
        <sz val="10"/>
        <color rgb="FF010CDD"/>
        <rFont val="等线"/>
        <charset val="134"/>
      </rPr>
      <t>格式为ZURU常规。
2.ZURU QC验货</t>
    </r>
  </si>
  <si>
    <t>Cara Li</t>
  </si>
  <si>
    <t>ZB06466-8.17</t>
  </si>
  <si>
    <t>A000214035</t>
  </si>
  <si>
    <t>4500201308-440</t>
  </si>
  <si>
    <t>ZB06828-8.17</t>
  </si>
  <si>
    <t>4500201308-450</t>
  </si>
  <si>
    <t>ZB06208-8.17</t>
  </si>
  <si>
    <t>4500201308-460</t>
  </si>
  <si>
    <t>4500201308-470</t>
  </si>
  <si>
    <t>ESAL ENTERPRISES FZC</t>
  </si>
  <si>
    <t>卡塔尔</t>
  </si>
  <si>
    <t>4500202591-140</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</si>
  <si>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 出QATAR, 包装不能有希伯来语</t>
    </r>
    <r>
      <rPr>
        <sz val="10"/>
        <color rgb="FF010CDD"/>
        <rFont val="汉仪书宋二KW"/>
        <charset val="134"/>
      </rPr>
      <t>，</t>
    </r>
    <r>
      <rPr>
        <sz val="10"/>
        <color rgb="FF010CDD"/>
        <rFont val="等线"/>
        <charset val="134"/>
      </rPr>
      <t>带Slime</t>
    </r>
    <r>
      <rPr>
        <sz val="10"/>
        <color rgb="FF010CDD"/>
        <rFont val="汉仪书宋二KW"/>
        <charset val="134"/>
      </rPr>
      <t>（</t>
    </r>
    <r>
      <rPr>
        <sz val="10"/>
        <color rgb="FF010CDD"/>
        <rFont val="等线"/>
        <charset val="134"/>
      </rPr>
      <t>口水胶)的产品需寄2套MA样板到SZ办公室</t>
    </r>
    <r>
      <rPr>
        <sz val="10"/>
        <color rgb="FF010CDD"/>
        <rFont val="汉仪书宋二KW"/>
        <charset val="134"/>
      </rPr>
      <t>，</t>
    </r>
    <r>
      <rPr>
        <sz val="10"/>
        <color rgb="FF010CDD"/>
        <rFont val="等线"/>
        <charset val="134"/>
      </rPr>
      <t xml:space="preserve"> 急需寄出给客户测试。
所有RBC的产品</t>
    </r>
    <r>
      <rPr>
        <sz val="10"/>
        <color rgb="FF010CDD"/>
        <rFont val="汉仪书宋二KW"/>
        <charset val="134"/>
      </rPr>
      <t>（</t>
    </r>
    <r>
      <rPr>
        <sz val="10"/>
        <color rgb="FF010CDD"/>
        <rFont val="等线"/>
        <charset val="134"/>
      </rPr>
      <t>内外</t>
    </r>
    <r>
      <rPr>
        <sz val="10"/>
        <color rgb="FF010CDD"/>
        <rFont val="汉仪书宋二KW"/>
        <charset val="134"/>
      </rPr>
      <t>）</t>
    </r>
    <r>
      <rPr>
        <sz val="10"/>
        <color rgb="FF010CDD"/>
        <rFont val="等线"/>
        <charset val="134"/>
      </rPr>
      <t>包装不能有彩虹。
所有包装含说明书</t>
    </r>
    <r>
      <rPr>
        <sz val="10"/>
        <color rgb="FF010CDD"/>
        <rFont val="汉仪书宋二KW"/>
        <charset val="134"/>
      </rPr>
      <t>，</t>
    </r>
    <r>
      <rPr>
        <sz val="10"/>
        <color rgb="FF010CDD"/>
        <rFont val="等线"/>
        <charset val="134"/>
      </rPr>
      <t>说明书上都需要有阿拉伯语</t>
    </r>
    <r>
      <rPr>
        <sz val="10"/>
        <color rgb="FF010CDD"/>
        <rFont val="汉仪书宋二KW"/>
        <charset val="134"/>
      </rPr>
      <t>（</t>
    </r>
    <r>
      <rPr>
        <sz val="10"/>
        <color rgb="FF010CDD"/>
        <rFont val="等线"/>
        <charset val="134"/>
      </rPr>
      <t>AR)</t>
    </r>
    <r>
      <rPr>
        <sz val="10"/>
        <color rgb="FF010CDD"/>
        <rFont val="汉仪书宋二KW"/>
        <charset val="134"/>
      </rPr>
      <t>，</t>
    </r>
    <r>
      <rPr>
        <sz val="10"/>
        <color rgb="FF010CDD"/>
        <rFont val="等线"/>
        <charset val="134"/>
      </rPr>
      <t xml:space="preserve"> 或者带单独的阿拉伯语</t>
    </r>
    <r>
      <rPr>
        <sz val="10"/>
        <color rgb="FF010CDD"/>
        <rFont val="汉仪书宋二KW"/>
        <charset val="134"/>
      </rPr>
      <t>（</t>
    </r>
    <r>
      <rPr>
        <sz val="10"/>
        <color rgb="FF010CDD"/>
        <rFont val="等线"/>
        <charset val="134"/>
      </rPr>
      <t>AR)说明书出货。
71172</t>
    </r>
    <r>
      <rPr>
        <sz val="10"/>
        <color rgb="FF010CDD"/>
        <rFont val="汉仪书宋二KW"/>
        <charset val="134"/>
      </rPr>
      <t>：</t>
    </r>
    <r>
      <rPr>
        <sz val="10"/>
        <color rgb="FF010CDD"/>
        <rFont val="等线"/>
        <charset val="134"/>
      </rPr>
      <t>MA PKG+进口商贴纸 (含G Mark, QR code, 阿拉伯警语); 贴纸上的QR code需微信可扫; 扫描结果另外通知</t>
    </r>
    <r>
      <rPr>
        <sz val="10"/>
        <color rgb="FF010CDD"/>
        <rFont val="汉仪书宋二KW"/>
        <charset val="134"/>
      </rPr>
      <t>；</t>
    </r>
    <r>
      <rPr>
        <sz val="10"/>
        <color rgb="FF010CDD"/>
        <rFont val="等线"/>
        <charset val="134"/>
      </rPr>
      <t xml:space="preserve"> UPC条码显示193052098443</t>
    </r>
    <r>
      <rPr>
        <sz val="10"/>
        <color rgb="FF010CDD"/>
        <rFont val="汉仪书宋二KW"/>
        <charset val="134"/>
      </rPr>
      <t>；</t>
    </r>
    <r>
      <rPr>
        <sz val="10"/>
        <color rgb="FF010CDD"/>
        <rFont val="等线"/>
        <charset val="134"/>
      </rPr>
      <t>含MA说明书</t>
    </r>
    <r>
      <rPr>
        <sz val="10"/>
        <color rgb="FF010CDD"/>
        <rFont val="汉仪书宋二KW"/>
        <charset val="134"/>
      </rPr>
      <t>，</t>
    </r>
    <r>
      <rPr>
        <sz val="10"/>
        <color rgb="FF010CDD"/>
        <rFont val="等线"/>
        <charset val="134"/>
      </rPr>
      <t>需
加一张黑白印刷的说明纸一起出货</t>
    </r>
    <r>
      <rPr>
        <sz val="10"/>
        <color rgb="FF010CDD"/>
        <rFont val="汉仪书宋二KW"/>
        <charset val="134"/>
      </rPr>
      <t>，</t>
    </r>
    <r>
      <rPr>
        <sz val="10"/>
        <color rgb="FF010CDD"/>
        <rFont val="等线"/>
        <charset val="134"/>
      </rPr>
      <t xml:space="preserve"> 所有AW翻单4500202382。
客人箱唛排版</t>
    </r>
    <r>
      <rPr>
        <sz val="10"/>
        <color rgb="FF010CDD"/>
        <rFont val="汉仪书宋二KW"/>
        <charset val="134"/>
      </rPr>
      <t>，</t>
    </r>
    <r>
      <rPr>
        <sz val="10"/>
        <color rgb="FF010CDD"/>
        <rFont val="等线"/>
        <charset val="134"/>
      </rPr>
      <t>印4面</t>
    </r>
    <r>
      <rPr>
        <sz val="10"/>
        <color rgb="FF010CDD"/>
        <rFont val="汉仪书宋二KW"/>
        <charset val="134"/>
      </rPr>
      <t>，</t>
    </r>
    <r>
      <rPr>
        <sz val="10"/>
        <color rgb="FF010CDD"/>
        <rFont val="等线"/>
        <charset val="134"/>
      </rPr>
      <t>条码内容193052098443.
Remark:</t>
    </r>
  </si>
  <si>
    <t>Doris Shou</t>
  </si>
  <si>
    <t>沙特</t>
  </si>
  <si>
    <t>4500202631-180</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</si>
  <si>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 出KSA, 所有包装不能有希伯来语</t>
    </r>
    <r>
      <rPr>
        <sz val="10"/>
        <color rgb="FF010CDD"/>
        <rFont val="汉仪书宋二KW"/>
        <charset val="134"/>
      </rPr>
      <t>（</t>
    </r>
    <r>
      <rPr>
        <sz val="10"/>
        <color rgb="FF010CDD"/>
        <rFont val="等线"/>
        <charset val="134"/>
      </rPr>
      <t>HE), 所有RBC的产品</t>
    </r>
    <r>
      <rPr>
        <sz val="10"/>
        <color rgb="FF010CDD"/>
        <rFont val="汉仪书宋二KW"/>
        <charset val="134"/>
      </rPr>
      <t>（</t>
    </r>
    <r>
      <rPr>
        <sz val="10"/>
        <color rgb="FF010CDD"/>
        <rFont val="等线"/>
        <charset val="134"/>
      </rPr>
      <t>内外</t>
    </r>
    <r>
      <rPr>
        <sz val="10"/>
        <color rgb="FF010CDD"/>
        <rFont val="汉仪书宋二KW"/>
        <charset val="134"/>
      </rPr>
      <t>）</t>
    </r>
    <r>
      <rPr>
        <sz val="10"/>
        <color rgb="FF010CDD"/>
        <rFont val="等线"/>
        <charset val="134"/>
      </rPr>
      <t>包装上都不能有彩虹
所有包装含说明书</t>
    </r>
    <r>
      <rPr>
        <sz val="10"/>
        <color rgb="FF010CDD"/>
        <rFont val="汉仪书宋二KW"/>
        <charset val="134"/>
      </rPr>
      <t>，</t>
    </r>
    <r>
      <rPr>
        <sz val="10"/>
        <color rgb="FF010CDD"/>
        <rFont val="等线"/>
        <charset val="134"/>
      </rPr>
      <t>说明书上都需要有阿拉伯语</t>
    </r>
    <r>
      <rPr>
        <sz val="10"/>
        <color rgb="FF010CDD"/>
        <rFont val="汉仪书宋二KW"/>
        <charset val="134"/>
      </rPr>
      <t>（</t>
    </r>
    <r>
      <rPr>
        <sz val="10"/>
        <color rgb="FF010CDD"/>
        <rFont val="等线"/>
        <charset val="134"/>
      </rPr>
      <t>AR)</t>
    </r>
    <r>
      <rPr>
        <sz val="10"/>
        <color rgb="FF010CDD"/>
        <rFont val="汉仪书宋二KW"/>
        <charset val="134"/>
      </rPr>
      <t>，</t>
    </r>
    <r>
      <rPr>
        <sz val="10"/>
        <color rgb="FF010CDD"/>
        <rFont val="等线"/>
        <charset val="134"/>
      </rPr>
      <t xml:space="preserve"> 或者带单独的阿拉伯语</t>
    </r>
    <r>
      <rPr>
        <sz val="10"/>
        <color rgb="FF010CDD"/>
        <rFont val="汉仪书宋二KW"/>
        <charset val="134"/>
      </rPr>
      <t>（</t>
    </r>
    <r>
      <rPr>
        <sz val="10"/>
        <color rgb="FF010CDD"/>
        <rFont val="等线"/>
        <charset val="134"/>
      </rPr>
      <t>AR)说明书出货。
71172</t>
    </r>
    <r>
      <rPr>
        <sz val="10"/>
        <color rgb="FF010CDD"/>
        <rFont val="汉仪书宋二KW"/>
        <charset val="134"/>
      </rPr>
      <t>：</t>
    </r>
    <r>
      <rPr>
        <sz val="10"/>
        <color rgb="FF010CDD"/>
        <rFont val="等线"/>
        <charset val="134"/>
      </rPr>
      <t>MA PKG+进口商贴纸 (含G Mark, QR code, 阿拉伯警语); 贴纸上的QR code需微信可扫; 扫描结果另外通知</t>
    </r>
    <r>
      <rPr>
        <sz val="10"/>
        <color rgb="FF010CDD"/>
        <rFont val="汉仪书宋二KW"/>
        <charset val="134"/>
      </rPr>
      <t>；</t>
    </r>
    <r>
      <rPr>
        <sz val="10"/>
        <color rgb="FF010CDD"/>
        <rFont val="等线"/>
        <charset val="134"/>
      </rPr>
      <t xml:space="preserve"> UPC条码显示193052098443</t>
    </r>
    <r>
      <rPr>
        <sz val="10"/>
        <color rgb="FF010CDD"/>
        <rFont val="汉仪书宋二KW"/>
        <charset val="134"/>
      </rPr>
      <t>；</t>
    </r>
    <r>
      <rPr>
        <sz val="10"/>
        <color rgb="FF010CDD"/>
        <rFont val="等线"/>
        <charset val="134"/>
      </rPr>
      <t>含MA说明书</t>
    </r>
    <r>
      <rPr>
        <sz val="10"/>
        <color rgb="FF010CDD"/>
        <rFont val="汉仪书宋二KW"/>
        <charset val="134"/>
      </rPr>
      <t>，</t>
    </r>
    <r>
      <rPr>
        <sz val="10"/>
        <color rgb="FF010CDD"/>
        <rFont val="等线"/>
        <charset val="134"/>
      </rPr>
      <t>需
加一张黑白印刷的阿拉伯语说明纸一起出货</t>
    </r>
    <r>
      <rPr>
        <sz val="10"/>
        <color rgb="FF010CDD"/>
        <rFont val="汉仪书宋二KW"/>
        <charset val="134"/>
      </rPr>
      <t>，</t>
    </r>
    <r>
      <rPr>
        <sz val="10"/>
        <color rgb="FF010CDD"/>
        <rFont val="等线"/>
        <charset val="134"/>
      </rPr>
      <t xml:space="preserve"> AW翻单4500202382。
客人箱唛排版</t>
    </r>
    <r>
      <rPr>
        <sz val="10"/>
        <color rgb="FF010CDD"/>
        <rFont val="汉仪书宋二KW"/>
        <charset val="134"/>
      </rPr>
      <t>，</t>
    </r>
    <r>
      <rPr>
        <sz val="10"/>
        <color rgb="FF010CDD"/>
        <rFont val="等线"/>
        <charset val="134"/>
      </rPr>
      <t>印4面</t>
    </r>
    <r>
      <rPr>
        <sz val="10"/>
        <color rgb="FF010CDD"/>
        <rFont val="汉仪书宋二KW"/>
        <charset val="134"/>
      </rPr>
      <t>，</t>
    </r>
    <r>
      <rPr>
        <sz val="10"/>
        <color rgb="FF010CDD"/>
        <rFont val="等线"/>
        <charset val="134"/>
      </rPr>
      <t>条码内容193052098443.
2. 客人箱唛排版</t>
    </r>
    <r>
      <rPr>
        <sz val="10"/>
        <color rgb="FF010CDD"/>
        <rFont val="汉仪书宋二KW"/>
        <charset val="134"/>
      </rPr>
      <t>，</t>
    </r>
    <r>
      <rPr>
        <sz val="10"/>
        <color rgb="FF010CDD"/>
        <rFont val="等线"/>
        <charset val="134"/>
      </rPr>
      <t>印4面</t>
    </r>
    <r>
      <rPr>
        <sz val="10"/>
        <color rgb="FF010CDD"/>
        <rFont val="汉仪书宋二KW"/>
        <charset val="134"/>
      </rPr>
      <t>，</t>
    </r>
    <r>
      <rPr>
        <sz val="10"/>
        <color rgb="FF010CDD"/>
        <rFont val="等线"/>
        <charset val="134"/>
      </rPr>
      <t>条码内容193052028174</t>
    </r>
    <r>
      <rPr>
        <sz val="10"/>
        <color rgb="FF010CDD"/>
        <rFont val="汉仪书宋二KW"/>
        <charset val="134"/>
      </rPr>
      <t>；</t>
    </r>
    <r>
      <rPr>
        <sz val="10"/>
        <color rgb="FF010CDD"/>
        <rFont val="等线"/>
        <charset val="134"/>
      </rPr>
      <t xml:space="preserve">
Remark:</t>
    </r>
  </si>
  <si>
    <t>KIDDISVIT LTD</t>
  </si>
  <si>
    <t>乌克兰</t>
  </si>
  <si>
    <t>4500203583</t>
  </si>
  <si>
    <t>4500203583-50</t>
  </si>
  <si>
    <t>大货办1套</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</si>
  <si>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 
71172</t>
    </r>
    <r>
      <rPr>
        <sz val="10"/>
        <color rgb="FF010CDD"/>
        <rFont val="汉仪书宋二KW"/>
        <charset val="134"/>
      </rPr>
      <t>：</t>
    </r>
    <r>
      <rPr>
        <sz val="10"/>
        <color rgb="FF010CDD"/>
        <rFont val="等线"/>
        <charset val="134"/>
      </rPr>
      <t>3L EAN 彩卡+ 进口商贴纸</t>
    </r>
    <r>
      <rPr>
        <sz val="10"/>
        <color rgb="FF010CDD"/>
        <rFont val="汉仪书宋二KW"/>
        <charset val="134"/>
      </rPr>
      <t>（</t>
    </r>
    <r>
      <rPr>
        <sz val="10"/>
        <color rgb="FF010CDD"/>
        <rFont val="等线"/>
        <charset val="134"/>
      </rPr>
      <t>需要覆盖MA 包装上RU俄文警告语</t>
    </r>
    <r>
      <rPr>
        <sz val="10"/>
        <color rgb="FF010CDD"/>
        <rFont val="汉仪书宋二KW"/>
        <charset val="134"/>
      </rPr>
      <t>），</t>
    </r>
    <r>
      <rPr>
        <sz val="10"/>
        <color rgb="FF010CDD"/>
        <rFont val="等线"/>
        <charset val="134"/>
      </rPr>
      <t xml:space="preserve"> 客版说明书</t>
    </r>
    <r>
      <rPr>
        <sz val="10"/>
        <color rgb="FF010CDD"/>
        <rFont val="汉仪书宋二KW"/>
        <charset val="134"/>
      </rPr>
      <t>（</t>
    </r>
    <r>
      <rPr>
        <sz val="10"/>
        <color rgb="FF010CDD"/>
        <rFont val="等线"/>
        <charset val="134"/>
      </rPr>
      <t xml:space="preserve">不含RU俄罗斯警告语 </t>
    </r>
    <r>
      <rPr>
        <sz val="10"/>
        <color rgb="FF010CDD"/>
        <rFont val="汉仪书宋二KW"/>
        <charset val="134"/>
      </rPr>
      <t>，</t>
    </r>
    <r>
      <rPr>
        <sz val="10"/>
        <color rgb="FF010CDD"/>
        <rFont val="等线"/>
        <charset val="134"/>
      </rPr>
      <t xml:space="preserve"> 需要有UA乌克兰警告语</t>
    </r>
    <r>
      <rPr>
        <sz val="10"/>
        <color rgb="FF010CDD"/>
        <rFont val="汉仪书宋二KW"/>
        <charset val="134"/>
      </rPr>
      <t>），</t>
    </r>
    <r>
      <rPr>
        <sz val="10"/>
        <color rgb="FF010CDD"/>
        <rFont val="等线"/>
        <charset val="134"/>
      </rPr>
      <t xml:space="preserve"> 增加EN+28L_C版(无俄
语版</t>
    </r>
    <r>
      <rPr>
        <sz val="10"/>
        <color rgb="FF010CDD"/>
        <rFont val="汉仪书宋二KW"/>
        <charset val="134"/>
      </rPr>
      <t>）</t>
    </r>
    <r>
      <rPr>
        <sz val="10"/>
        <color rgb="FF010CDD"/>
        <rFont val="等线"/>
        <charset val="134"/>
      </rPr>
      <t xml:space="preserve">WEEE_带电池走货说明书 </t>
    </r>
    <r>
      <rPr>
        <sz val="10"/>
        <color rgb="FF010CDD"/>
        <rFont val="汉仪书宋二KW"/>
        <charset val="134"/>
      </rPr>
      <t>；</t>
    </r>
    <r>
      <rPr>
        <sz val="10"/>
        <color rgb="FF010CDD"/>
        <rFont val="等线"/>
        <charset val="134"/>
      </rPr>
      <t xml:space="preserve">
Remark: 1.此单出欧洲需满足EU测试标准要求</t>
    </r>
    <r>
      <rPr>
        <sz val="10"/>
        <color rgb="FF010CDD"/>
        <rFont val="汉仪书宋二KW"/>
        <charset val="134"/>
      </rPr>
      <t>，</t>
    </r>
    <r>
      <rPr>
        <sz val="10"/>
        <color rgb="FF010CDD"/>
        <rFont val="等线"/>
        <charset val="134"/>
      </rPr>
      <t>另外不能出闪粉</t>
    </r>
    <r>
      <rPr>
        <sz val="10"/>
        <color rgb="FF010CDD"/>
        <rFont val="汉仪书宋二KW"/>
        <charset val="134"/>
      </rPr>
      <t>（</t>
    </r>
    <r>
      <rPr>
        <sz val="10"/>
        <color rgb="FF010CDD"/>
        <rFont val="等线"/>
        <charset val="134"/>
      </rPr>
      <t>若产品本身不含闪粉则忽略这句话</t>
    </r>
    <r>
      <rPr>
        <sz val="10"/>
        <color rgb="FF010CDD"/>
        <rFont val="汉仪书宋二KW"/>
        <charset val="134"/>
      </rPr>
      <t>）；</t>
    </r>
    <r>
      <rPr>
        <sz val="10"/>
        <color rgb="FF010CDD"/>
        <rFont val="等线"/>
        <charset val="134"/>
      </rPr>
      <t>包装上需要有CE logo .
2.若产品有比例请使用标准比例
3.此单会有第三方验货。
4.此单客户的包装/说明书/收藏指南上均不可出现俄罗斯语言</t>
    </r>
    <r>
      <rPr>
        <sz val="10"/>
        <color rgb="FF010CDD"/>
        <rFont val="汉仪书宋二KW"/>
        <charset val="134"/>
      </rPr>
      <t>，</t>
    </r>
    <r>
      <rPr>
        <sz val="10"/>
        <color rgb="FF010CDD"/>
        <rFont val="等线"/>
        <charset val="134"/>
      </rPr>
      <t>若有我遗漏的地方请务必告知
5.若产品中的口水胶/棉花泥等配件已提前印刷好了日期码</t>
    </r>
    <r>
      <rPr>
        <sz val="10"/>
        <color rgb="FF010CDD"/>
        <rFont val="汉仪书宋二KW"/>
        <charset val="134"/>
      </rPr>
      <t>，</t>
    </r>
    <r>
      <rPr>
        <sz val="10"/>
        <color rgb="FF010CDD"/>
        <rFont val="等线"/>
        <charset val="134"/>
      </rPr>
      <t>需明确告知ZURU跟单日期码是多少</t>
    </r>
    <r>
      <rPr>
        <sz val="10"/>
        <color rgb="FF010CDD"/>
        <rFont val="汉仪书宋二KW"/>
        <charset val="134"/>
      </rPr>
      <t>，</t>
    </r>
    <r>
      <rPr>
        <sz val="10"/>
        <color rgb="FF010CDD"/>
        <rFont val="等线"/>
        <charset val="134"/>
      </rPr>
      <t>客户不接受距离货物到店时间只有半年的有效期 .</t>
    </r>
  </si>
  <si>
    <t>71172-S001-3L-客说明书</t>
  </si>
  <si>
    <t>4500202325</t>
  </si>
  <si>
    <t>0989813124</t>
  </si>
  <si>
    <t>4500202325-10</t>
  </si>
  <si>
    <t>6/12 自检</t>
  </si>
  <si>
    <t>6/24 SI</t>
  </si>
  <si>
    <r>
      <rPr>
        <sz val="10"/>
        <color rgb="FF0000FF"/>
        <rFont val="等线"/>
        <charset val="134"/>
      </rPr>
      <t>日期码格式</t>
    </r>
    <r>
      <rPr>
        <sz val="10"/>
        <color rgb="FF0000FF"/>
        <rFont val="汉仪书宋二KW"/>
        <charset val="134"/>
      </rPr>
      <t>：</t>
    </r>
    <r>
      <rPr>
        <sz val="10"/>
        <color rgb="FF0000FF"/>
        <rFont val="等线"/>
        <charset val="134"/>
      </rPr>
      <t>DGYYYYMMDD(日期避开周末和法定节假日)                  日期</t>
    </r>
    <r>
      <rPr>
        <sz val="10"/>
        <color rgb="FF0000FF"/>
        <rFont val="汉仪书宋二KW"/>
        <charset val="134"/>
      </rPr>
      <t>：</t>
    </r>
    <r>
      <rPr>
        <sz val="10"/>
        <color rgb="FF0000FF"/>
        <rFont val="等线"/>
        <charset val="134"/>
      </rPr>
      <t>按实际生产日期
Packaging Info: 40REP 包装/箱唛翻单</t>
    </r>
    <r>
      <rPr>
        <sz val="10"/>
        <color rgb="FF0000FF"/>
        <rFont val="汉仪书宋二KW"/>
        <charset val="134"/>
      </rPr>
      <t>：</t>
    </r>
    <r>
      <rPr>
        <sz val="10"/>
        <color rgb="FF0000FF"/>
        <rFont val="等线"/>
        <charset val="134"/>
      </rPr>
      <t>4500202318
1.包装方式</t>
    </r>
    <r>
      <rPr>
        <sz val="10"/>
        <color rgb="FF0000FF"/>
        <rFont val="汉仪书宋二KW"/>
        <charset val="134"/>
      </rPr>
      <t>：</t>
    </r>
    <r>
      <rPr>
        <sz val="10"/>
        <color rgb="FF0000FF"/>
        <rFont val="等线"/>
        <charset val="134"/>
      </rPr>
      <t xml:space="preserve">
71172: MA 1L彩盒包装+MA 15L A版说明书+ RFID贴纸
Remark: 2. 外箱四面印刷紫色RFID箱唛
主唛左前下角印刷艾利贴纸替代标箱唛(ITF-14格式)</t>
    </r>
    <r>
      <rPr>
        <sz val="10"/>
        <color rgb="FF0000FF"/>
        <rFont val="汉仪书宋二KW"/>
        <charset val="134"/>
      </rPr>
      <t>，</t>
    </r>
    <r>
      <rPr>
        <sz val="10"/>
        <color rgb="FF0000FF"/>
        <rFont val="等线"/>
        <charset val="134"/>
      </rPr>
      <t>条码只印刷一面
主唛右下角加印 MADE IN CHINA以及ZURU LOGO
3. 71172 UPC</t>
    </r>
    <r>
      <rPr>
        <sz val="10"/>
        <color rgb="FF0000FF"/>
        <rFont val="汉仪书宋二KW"/>
        <charset val="134"/>
      </rPr>
      <t>：</t>
    </r>
    <r>
      <rPr>
        <sz val="10"/>
        <color rgb="FF0000FF"/>
        <rFont val="等线"/>
        <charset val="134"/>
      </rPr>
      <t>193052098443
4.此批单#71172散箱出货</t>
    </r>
    <r>
      <rPr>
        <sz val="10"/>
        <color rgb="FF0000FF"/>
        <rFont val="汉仪书宋二KW"/>
        <charset val="134"/>
      </rPr>
      <t>；</t>
    </r>
    <r>
      <rPr>
        <sz val="10"/>
        <color rgb="FF0000FF"/>
        <rFont val="等线"/>
        <charset val="134"/>
      </rPr>
      <t xml:space="preserve">
1PCS/CTN</t>
    </r>
    <r>
      <rPr>
        <sz val="10"/>
        <color rgb="FF0000FF"/>
        <rFont val="汉仪书宋二KW"/>
        <charset val="134"/>
      </rPr>
      <t>：</t>
    </r>
    <r>
      <rPr>
        <sz val="10"/>
        <color rgb="FF0000FF"/>
        <rFont val="等线"/>
        <charset val="134"/>
      </rPr>
      <t>3PCS AA BATTERIES(INCLUDED)
5.此单需要验货</t>
    </r>
    <r>
      <rPr>
        <sz val="10"/>
        <color rgb="FF0000FF"/>
        <rFont val="汉仪书宋二KW"/>
        <charset val="134"/>
      </rPr>
      <t>，</t>
    </r>
    <r>
      <rPr>
        <sz val="10"/>
        <color rgb="FF0000FF"/>
        <rFont val="等线"/>
        <charset val="134"/>
      </rPr>
      <t>请自行多备包装物料。
6.产品和包装上要有日期码、MADE IN CHINA和ZURU字样。
7.每PCS要加RFID 贴纸(ZURU提供)</t>
    </r>
    <r>
      <rPr>
        <sz val="10"/>
        <color rgb="FF0000FF"/>
        <rFont val="汉仪书宋二KW"/>
        <charset val="134"/>
      </rPr>
      <t>，</t>
    </r>
    <r>
      <rPr>
        <sz val="10"/>
        <color rgb="FF0000FF"/>
        <rFont val="等线"/>
        <charset val="134"/>
      </rPr>
      <t>严格按照我们提供的位置图</t>
    </r>
    <r>
      <rPr>
        <sz val="10"/>
        <color rgb="FF0000FF"/>
        <rFont val="汉仪书宋二KW"/>
        <charset val="134"/>
      </rPr>
      <t>，</t>
    </r>
    <r>
      <rPr>
        <sz val="10"/>
        <color rgb="FF0000FF"/>
        <rFont val="等线"/>
        <charset val="134"/>
      </rPr>
      <t>不可擅自调整位置</t>
    </r>
    <r>
      <rPr>
        <sz val="10"/>
        <color rgb="FF0000FF"/>
        <rFont val="汉仪书宋二KW"/>
        <charset val="134"/>
      </rPr>
      <t>，</t>
    </r>
    <r>
      <rPr>
        <sz val="10"/>
        <color rgb="FF0000FF"/>
        <rFont val="等线"/>
        <charset val="134"/>
      </rPr>
      <t>贴纸也不可有任何破损或折坏</t>
    </r>
    <r>
      <rPr>
        <sz val="10"/>
        <color rgb="FF0000FF"/>
        <rFont val="汉仪书宋二KW"/>
        <charset val="134"/>
      </rPr>
      <t>，</t>
    </r>
    <r>
      <rPr>
        <sz val="10"/>
        <color rgb="FF0000FF"/>
        <rFont val="等线"/>
        <charset val="134"/>
      </rPr>
      <t>不可淋湿</t>
    </r>
    <r>
      <rPr>
        <sz val="10"/>
        <color rgb="FF0000FF"/>
        <rFont val="汉仪书宋二KW"/>
        <charset val="134"/>
      </rPr>
      <t>（</t>
    </r>
    <r>
      <rPr>
        <sz val="10"/>
        <color rgb="FF0000FF"/>
        <rFont val="等线"/>
        <charset val="134"/>
      </rPr>
      <t>如缺数请及时告知</t>
    </r>
    <r>
      <rPr>
        <sz val="10"/>
        <color rgb="FF0000FF"/>
        <rFont val="汉仪书宋二KW"/>
        <charset val="134"/>
      </rPr>
      <t>）</t>
    </r>
  </si>
  <si>
    <t>ZB06461-8.17</t>
  </si>
  <si>
    <t>0989813177</t>
  </si>
  <si>
    <t>4500202325-20</t>
  </si>
  <si>
    <t>6/16自检</t>
  </si>
  <si>
    <t>ZB06508-8.17</t>
  </si>
  <si>
    <t>0989813333</t>
  </si>
  <si>
    <t>4500202325-30</t>
  </si>
  <si>
    <t>ZB06773-8.17</t>
  </si>
  <si>
    <t>4500200598</t>
  </si>
  <si>
    <t>0988641100</t>
  </si>
  <si>
    <t>4500200598-30</t>
  </si>
  <si>
    <t>7/2 SI</t>
  </si>
  <si>
    <r>
      <rPr>
        <sz val="10"/>
        <color rgb="FF0000FF"/>
        <rFont val="等线"/>
        <charset val="134"/>
      </rPr>
      <t>日期码格式</t>
    </r>
    <r>
      <rPr>
        <sz val="10"/>
        <color rgb="FF0000FF"/>
        <rFont val="汉仪书宋二KW"/>
        <charset val="134"/>
      </rPr>
      <t>：</t>
    </r>
    <r>
      <rPr>
        <sz val="10"/>
        <color rgb="FF0000FF"/>
        <rFont val="等线"/>
        <charset val="134"/>
      </rPr>
      <t>DGYYYYMMDD(日期避开周末和法定节假日)                  日期</t>
    </r>
    <r>
      <rPr>
        <sz val="10"/>
        <color rgb="FF0000FF"/>
        <rFont val="汉仪书宋二KW"/>
        <charset val="134"/>
      </rPr>
      <t>：</t>
    </r>
    <r>
      <rPr>
        <sz val="10"/>
        <color rgb="FF0000FF"/>
        <rFont val="等线"/>
        <charset val="134"/>
      </rPr>
      <t>按实际生产日期
Packaging Info: 包装/箱唛翻单</t>
    </r>
    <r>
      <rPr>
        <sz val="10"/>
        <color rgb="FF0000FF"/>
        <rFont val="汉仪书宋二KW"/>
        <charset val="134"/>
      </rPr>
      <t>：</t>
    </r>
    <r>
      <rPr>
        <sz val="10"/>
        <color rgb="FF0000FF"/>
        <rFont val="等线"/>
        <charset val="134"/>
      </rPr>
      <t>4500200590
1.包装方式</t>
    </r>
    <r>
      <rPr>
        <sz val="10"/>
        <color rgb="FF0000FF"/>
        <rFont val="汉仪书宋二KW"/>
        <charset val="134"/>
      </rPr>
      <t>：</t>
    </r>
    <r>
      <rPr>
        <sz val="10"/>
        <color rgb="FF0000FF"/>
        <rFont val="等线"/>
        <charset val="134"/>
      </rPr>
      <t xml:space="preserve">
71172: MA 1L彩盒包装+MA 15L警告语 A版说明书+ RFID贴纸
Remark: 2. 外箱四面印刷紫色RFID箱唛
主唛左前下角印刷艾利贴纸替代标箱唛(ITF-14格式)</t>
    </r>
    <r>
      <rPr>
        <sz val="10"/>
        <color rgb="FF0000FF"/>
        <rFont val="汉仪书宋二KW"/>
        <charset val="134"/>
      </rPr>
      <t>，</t>
    </r>
    <r>
      <rPr>
        <sz val="10"/>
        <color rgb="FF0000FF"/>
        <rFont val="等线"/>
        <charset val="134"/>
      </rPr>
      <t>条码只印刷一面
主唛右下角加印 MADE IN CHINA以及ZURU LOGO</t>
    </r>
    <r>
      <rPr>
        <sz val="10"/>
        <color rgb="FF0000FF"/>
        <rFont val="汉仪书宋二KW"/>
        <charset val="134"/>
      </rPr>
      <t>，</t>
    </r>
    <r>
      <rPr>
        <sz val="10"/>
        <color rgb="FF0000FF"/>
        <rFont val="等线"/>
        <charset val="134"/>
      </rPr>
      <t>对角线位置加贴一张粉色MOD艾利贴纸</t>
    </r>
    <r>
      <rPr>
        <sz val="10"/>
        <color rgb="FF0000FF"/>
        <rFont val="汉仪书宋二KW"/>
        <charset val="134"/>
      </rPr>
      <t>（</t>
    </r>
    <r>
      <rPr>
        <sz val="10"/>
        <color rgb="FF0000FF"/>
        <rFont val="等线"/>
        <charset val="134"/>
      </rPr>
      <t>工厂自行打印或订购贴纸</t>
    </r>
    <r>
      <rPr>
        <sz val="10"/>
        <color rgb="FF0000FF"/>
        <rFont val="汉仪书宋二KW"/>
        <charset val="134"/>
      </rPr>
      <t>）</t>
    </r>
    <r>
      <rPr>
        <sz val="10"/>
        <color rgb="FF0000FF"/>
        <rFont val="等线"/>
        <charset val="134"/>
      </rPr>
      <t xml:space="preserve">
3. 71172 UPC</t>
    </r>
    <r>
      <rPr>
        <sz val="10"/>
        <color rgb="FF0000FF"/>
        <rFont val="汉仪书宋二KW"/>
        <charset val="134"/>
      </rPr>
      <t>：</t>
    </r>
    <r>
      <rPr>
        <sz val="10"/>
        <color rgb="FF0000FF"/>
        <rFont val="等线"/>
        <charset val="134"/>
      </rPr>
      <t>193052098443
4.此批单散箱出货</t>
    </r>
    <r>
      <rPr>
        <sz val="10"/>
        <color rgb="FF0000FF"/>
        <rFont val="汉仪书宋二KW"/>
        <charset val="134"/>
      </rPr>
      <t>，</t>
    </r>
    <r>
      <rPr>
        <sz val="10"/>
        <color rgb="FF0000FF"/>
        <rFont val="等线"/>
        <charset val="134"/>
      </rPr>
      <t>1PCS/CTN
5.此单需要验货</t>
    </r>
    <r>
      <rPr>
        <sz val="10"/>
        <color rgb="FF0000FF"/>
        <rFont val="汉仪书宋二KW"/>
        <charset val="134"/>
      </rPr>
      <t>，</t>
    </r>
    <r>
      <rPr>
        <sz val="10"/>
        <color rgb="FF0000FF"/>
        <rFont val="等线"/>
        <charset val="134"/>
      </rPr>
      <t>请自行多备包装物料。
6.产品和包装上要有日期码、MADE IN CHINA和ZURU字样。
7.每PCS要加RFID 贴纸(ZURU提供)</t>
    </r>
    <r>
      <rPr>
        <sz val="10"/>
        <color rgb="FF0000FF"/>
        <rFont val="汉仪书宋二KW"/>
        <charset val="134"/>
      </rPr>
      <t>，</t>
    </r>
    <r>
      <rPr>
        <sz val="10"/>
        <color rgb="FF0000FF"/>
        <rFont val="等线"/>
        <charset val="134"/>
      </rPr>
      <t>严格按照我们提供的位置图</t>
    </r>
    <r>
      <rPr>
        <sz val="10"/>
        <color rgb="FF0000FF"/>
        <rFont val="汉仪书宋二KW"/>
        <charset val="134"/>
      </rPr>
      <t>，</t>
    </r>
    <r>
      <rPr>
        <sz val="10"/>
        <color rgb="FF0000FF"/>
        <rFont val="等线"/>
        <charset val="134"/>
      </rPr>
      <t>不可擅自调整位置</t>
    </r>
    <r>
      <rPr>
        <sz val="10"/>
        <color rgb="FF0000FF"/>
        <rFont val="汉仪书宋二KW"/>
        <charset val="134"/>
      </rPr>
      <t>，</t>
    </r>
    <r>
      <rPr>
        <sz val="10"/>
        <color rgb="FF0000FF"/>
        <rFont val="等线"/>
        <charset val="134"/>
      </rPr>
      <t>贴纸也不可有任何破损或折坏</t>
    </r>
    <r>
      <rPr>
        <sz val="10"/>
        <color rgb="FF0000FF"/>
        <rFont val="汉仪书宋二KW"/>
        <charset val="134"/>
      </rPr>
      <t>，</t>
    </r>
    <r>
      <rPr>
        <sz val="10"/>
        <color rgb="FF0000FF"/>
        <rFont val="等线"/>
        <charset val="134"/>
      </rPr>
      <t>不可淋湿</t>
    </r>
    <r>
      <rPr>
        <sz val="10"/>
        <color rgb="FF0000FF"/>
        <rFont val="汉仪书宋二KW"/>
        <charset val="134"/>
      </rPr>
      <t>（</t>
    </r>
    <r>
      <rPr>
        <sz val="10"/>
        <color rgb="FF0000FF"/>
        <rFont val="等线"/>
        <charset val="134"/>
      </rPr>
      <t>如缺数请及时告知</t>
    </r>
    <r>
      <rPr>
        <sz val="10"/>
        <color rgb="FF0000FF"/>
        <rFont val="汉仪书宋二KW"/>
        <charset val="134"/>
      </rPr>
      <t>）</t>
    </r>
  </si>
  <si>
    <t>ZB06692-8.17</t>
  </si>
  <si>
    <t>0988641135</t>
  </si>
  <si>
    <t>4500200598-40</t>
  </si>
  <si>
    <t>ZB06693-8.17</t>
  </si>
  <si>
    <t>YOYO LLC</t>
  </si>
  <si>
    <t>吉尔吉斯斯坦</t>
  </si>
  <si>
    <t>4500201054</t>
  </si>
  <si>
    <t>4500201054-60</t>
  </si>
  <si>
    <t>6/16入仓</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</si>
  <si>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 MA UPC包装+通用贴纸</t>
    </r>
    <r>
      <rPr>
        <sz val="10"/>
        <color rgb="FF010CDD"/>
        <rFont val="汉仪书宋二KW"/>
        <charset val="134"/>
      </rPr>
      <t>，</t>
    </r>
    <r>
      <rPr>
        <sz val="10"/>
        <color rgb="FF010CDD"/>
        <rFont val="等线"/>
        <charset val="134"/>
      </rPr>
      <t>MA PDQ, MA 说明书</t>
    </r>
    <r>
      <rPr>
        <sz val="10"/>
        <color rgb="FF010CDD"/>
        <rFont val="汉仪书宋二KW"/>
        <charset val="134"/>
      </rPr>
      <t>（</t>
    </r>
    <r>
      <rPr>
        <sz val="10"/>
        <color rgb="FF010CDD"/>
        <rFont val="等线"/>
        <charset val="134"/>
      </rPr>
      <t>如有</t>
    </r>
    <r>
      <rPr>
        <sz val="10"/>
        <color rgb="FF010CDD"/>
        <rFont val="汉仪书宋二KW"/>
        <charset val="134"/>
      </rPr>
      <t>）</t>
    </r>
    <r>
      <rPr>
        <sz val="10"/>
        <color rgb="FF010CDD"/>
        <rFont val="等线"/>
        <charset val="134"/>
      </rPr>
      <t xml:space="preserve">
Remark: 1</t>
    </r>
    <r>
      <rPr>
        <sz val="10"/>
        <color rgb="FF010CDD"/>
        <rFont val="汉仪书宋二KW"/>
        <charset val="134"/>
      </rPr>
      <t>，</t>
    </r>
    <r>
      <rPr>
        <sz val="10"/>
        <color rgb="FF010CDD"/>
        <rFont val="等线"/>
        <charset val="134"/>
      </rPr>
      <t>标准配比</t>
    </r>
    <r>
      <rPr>
        <sz val="10"/>
        <color rgb="FF010CDD"/>
        <rFont val="汉仪书宋二KW"/>
        <charset val="134"/>
      </rPr>
      <t>；</t>
    </r>
    <r>
      <rPr>
        <sz val="10"/>
        <color rgb="FF010CDD"/>
        <rFont val="等线"/>
        <charset val="134"/>
      </rPr>
      <t xml:space="preserve">
2</t>
    </r>
    <r>
      <rPr>
        <sz val="10"/>
        <color rgb="FF010CDD"/>
        <rFont val="汉仪书宋二KW"/>
        <charset val="134"/>
      </rPr>
      <t>，</t>
    </r>
    <r>
      <rPr>
        <sz val="10"/>
        <color rgb="FF010CDD"/>
        <rFont val="等线"/>
        <charset val="134"/>
      </rPr>
      <t>需要通过ZURU 验货结果后才能出货 (工厂需要主动提前同ZURU QC预约验货避免延期出货造成不必要麻烦)</t>
    </r>
    <r>
      <rPr>
        <sz val="10"/>
        <color rgb="FF010CDD"/>
        <rFont val="汉仪书宋二KW"/>
        <charset val="134"/>
      </rPr>
      <t>；</t>
    </r>
  </si>
  <si>
    <t>Ann Zhang</t>
  </si>
  <si>
    <t>ZETA PLAY LLC</t>
  </si>
  <si>
    <t>阿塞拜疆</t>
  </si>
  <si>
    <t>4500203207</t>
  </si>
  <si>
    <t>4500203207-80</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</si>
  <si>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 MA UPC 包装+通用贴纸</t>
    </r>
    <r>
      <rPr>
        <sz val="10"/>
        <color rgb="FF010CDD"/>
        <rFont val="汉仪书宋二KW"/>
        <charset val="134"/>
      </rPr>
      <t>，</t>
    </r>
    <r>
      <rPr>
        <sz val="10"/>
        <color rgb="FF010CDD"/>
        <rFont val="等线"/>
        <charset val="134"/>
      </rPr>
      <t>MA PDQ/说明书/收藏指南</t>
    </r>
    <r>
      <rPr>
        <sz val="10"/>
        <color rgb="FF010CDD"/>
        <rFont val="汉仪书宋二KW"/>
        <charset val="134"/>
      </rPr>
      <t>（</t>
    </r>
    <r>
      <rPr>
        <sz val="10"/>
        <color rgb="FF010CDD"/>
        <rFont val="等线"/>
        <charset val="134"/>
      </rPr>
      <t>如有</t>
    </r>
    <r>
      <rPr>
        <sz val="10"/>
        <color rgb="FF010CDD"/>
        <rFont val="汉仪书宋二KW"/>
        <charset val="134"/>
      </rPr>
      <t>）</t>
    </r>
    <r>
      <rPr>
        <sz val="10"/>
        <color rgb="FF010CDD"/>
        <rFont val="等线"/>
        <charset val="134"/>
      </rPr>
      <t xml:space="preserve">
Remark:</t>
    </r>
  </si>
  <si>
    <t>4500202327</t>
  </si>
  <si>
    <t>0989812986</t>
  </si>
  <si>
    <t>4500202327-10</t>
  </si>
  <si>
    <t>ZB06557-8.17</t>
  </si>
  <si>
    <t>0989813325</t>
  </si>
  <si>
    <t>4500202327-20</t>
  </si>
  <si>
    <t>ZB06805-8.17</t>
  </si>
  <si>
    <t>0989813334</t>
  </si>
  <si>
    <t>4500202327-30</t>
  </si>
  <si>
    <t>ZB06611-8.17</t>
  </si>
  <si>
    <t>0989813074</t>
  </si>
  <si>
    <t>4500202327-40</t>
  </si>
  <si>
    <t>ZB06750-8.17</t>
  </si>
  <si>
    <t>CRG</t>
  </si>
  <si>
    <t>哥斯达黎加</t>
  </si>
  <si>
    <t>4500205015-60</t>
  </si>
  <si>
    <t>6/24截仓</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</si>
  <si>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71137/71101/71172/77843GQ2/77858:MA 多语包装+进口商贴纸+UPC贴纸+箱唛
Remark: 后续提供的进口商贴纸和UPC贴纸合并为一张的话</t>
    </r>
    <r>
      <rPr>
        <sz val="10"/>
        <color rgb="FF0000FF"/>
        <rFont val="汉仪书宋二KW"/>
        <charset val="134"/>
      </rPr>
      <t>，</t>
    </r>
    <r>
      <rPr>
        <sz val="10"/>
        <color rgb="FF0000FF"/>
        <rFont val="等线"/>
        <charset val="134"/>
      </rPr>
      <t>请忽略订单的UPC贴纸需求</t>
    </r>
    <r>
      <rPr>
        <sz val="10"/>
        <color rgb="FF0000FF"/>
        <rFont val="汉仪书宋二KW"/>
        <charset val="134"/>
      </rPr>
      <t>，</t>
    </r>
    <r>
      <rPr>
        <sz val="10"/>
        <color rgb="FF0000FF"/>
        <rFont val="等线"/>
        <charset val="134"/>
      </rPr>
      <t>产品的条码必须是UPC的</t>
    </r>
  </si>
  <si>
    <t>4500204487-10</t>
  </si>
  <si>
    <t>6/23 SI</t>
  </si>
  <si>
    <t>WEEE书仔5/20</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</si>
  <si>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1. 71172: MA A3L(23L warning) EAN版彩盒+MA A15L说明书+一张额外说明书书纸(说明书上的玩法/battery safety information以及WEEE翻译成丹麦瑞典芬兰挪威
爱沙尼亚语--书纸翻单PO#4500200447))
Remark: 1. 包装如含PVC,请改为PET
2. 产品/包装要求无硼无香</t>
    </r>
    <r>
      <rPr>
        <sz val="10"/>
        <color rgb="FF0000FF"/>
        <rFont val="汉仪书宋二KW"/>
        <charset val="134"/>
      </rPr>
      <t>；</t>
    </r>
    <r>
      <rPr>
        <sz val="10"/>
        <color rgb="FF0000FF"/>
        <rFont val="等线"/>
        <charset val="134"/>
      </rPr>
      <t xml:space="preserve">
3. 出欧洲</t>
    </r>
    <r>
      <rPr>
        <sz val="10"/>
        <color rgb="FF0000FF"/>
        <rFont val="汉仪书宋二KW"/>
        <charset val="134"/>
      </rPr>
      <t>，</t>
    </r>
    <r>
      <rPr>
        <sz val="10"/>
        <color rgb="FF0000FF"/>
        <rFont val="等线"/>
        <charset val="134"/>
      </rPr>
      <t>微塑料需合规。
4.带电池出货的产品所用到的电池需要符合欧洲电池新规(EU) 2023-1542
5.产品/包装不含PFAS and/or Bisfenol成分, 以及不含石棉成分
6. 产品条码如下: 请先检查条码是否正确再安排做货</t>
    </r>
    <r>
      <rPr>
        <sz val="10"/>
        <color rgb="FF0000FF"/>
        <rFont val="汉仪书宋二KW"/>
        <charset val="134"/>
      </rPr>
      <t>，</t>
    </r>
    <r>
      <rPr>
        <sz val="10"/>
        <color rgb="FF0000FF"/>
        <rFont val="等线"/>
        <charset val="134"/>
      </rPr>
      <t>如有问题请告知:
71172-S001:4894680057272</t>
    </r>
  </si>
  <si>
    <t>Sheba</t>
  </si>
  <si>
    <t>JOINCO  IMPORTACAO  E  EXPORTACAO  LDA</t>
  </si>
  <si>
    <t>葡萄牙</t>
  </si>
  <si>
    <t>4500205940-30</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</si>
  <si>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Info:3.71172</t>
    </r>
    <r>
      <rPr>
        <sz val="10"/>
        <color rgb="FF0000FF"/>
        <rFont val="汉仪书宋二KW"/>
        <charset val="134"/>
      </rPr>
      <t>：</t>
    </r>
    <r>
      <rPr>
        <sz val="10"/>
        <color rgb="FF0000FF"/>
        <rFont val="等线"/>
        <charset val="134"/>
      </rPr>
      <t>最新MA 3L EAN 版本包装+ 一张进口商贴纸+最新MA 15L 说明书</t>
    </r>
    <r>
      <rPr>
        <sz val="10"/>
        <color rgb="FF0000FF"/>
        <rFont val="汉仪书宋二KW"/>
        <charset val="134"/>
      </rPr>
      <t>；</t>
    </r>
    <r>
      <rPr>
        <sz val="10"/>
        <color rgb="FF0000FF"/>
        <rFont val="等线"/>
        <charset val="134"/>
      </rPr>
      <t xml:space="preserve">
Remark: 1.此单有第三方验货</t>
    </r>
    <r>
      <rPr>
        <sz val="10"/>
        <color rgb="FF0000FF"/>
        <rFont val="汉仪书宋二KW"/>
        <charset val="134"/>
      </rPr>
      <t>，</t>
    </r>
    <r>
      <rPr>
        <sz val="10"/>
        <color rgb="FF0000FF"/>
        <rFont val="等线"/>
        <charset val="134"/>
      </rPr>
      <t>请多备料。走LC信用证。需准时完货 延期有罚款。
2.大货样品2套/item</t>
    </r>
    <r>
      <rPr>
        <sz val="10"/>
        <color rgb="FF0000FF"/>
        <rFont val="汉仪书宋二KW"/>
        <charset val="134"/>
      </rPr>
      <t>，</t>
    </r>
    <r>
      <rPr>
        <sz val="10"/>
        <color rgb="FF0000FF"/>
        <rFont val="等线"/>
        <charset val="134"/>
      </rPr>
      <t>CRD前两周寄出。
3. 此单出葡萄牙</t>
    </r>
    <r>
      <rPr>
        <sz val="10"/>
        <color rgb="FF0000FF"/>
        <rFont val="汉仪书宋二KW"/>
        <charset val="134"/>
      </rPr>
      <t>，</t>
    </r>
    <r>
      <rPr>
        <sz val="10"/>
        <color rgb="FF0000FF"/>
        <rFont val="等线"/>
        <charset val="134"/>
      </rPr>
      <t>需满足EU测试标准</t>
    </r>
    <r>
      <rPr>
        <sz val="10"/>
        <color rgb="FF0000FF"/>
        <rFont val="汉仪书宋二KW"/>
        <charset val="134"/>
      </rPr>
      <t>，</t>
    </r>
    <r>
      <rPr>
        <sz val="10"/>
        <color rgb="FF0000FF"/>
        <rFont val="等线"/>
        <charset val="134"/>
      </rPr>
      <t>微塑料需符合法规</t>
    </r>
  </si>
  <si>
    <t>Miya  Fang</t>
  </si>
  <si>
    <t>4500204054</t>
  </si>
  <si>
    <t>4400564507</t>
  </si>
  <si>
    <t>4500204054-130</t>
  </si>
  <si>
    <t>6/18送库有6/22 SI</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</si>
  <si>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"71172: MA3L-23Lwarning彩盒(含法国sorting label)+D版WEEE声明(带电池)走货欧洲通用29L说明书
EAN#4894680057272
3PCS AA BATTERIES(INCLUDED)"
Remark: Smyths 法国
 1. 请准时出货</t>
    </r>
    <r>
      <rPr>
        <sz val="10"/>
        <color rgb="FF0000FF"/>
        <rFont val="汉仪书宋二KW"/>
        <charset val="134"/>
      </rPr>
      <t>，</t>
    </r>
    <r>
      <rPr>
        <sz val="10"/>
        <color rgb="FF0000FF"/>
        <rFont val="等线"/>
        <charset val="134"/>
      </rPr>
      <t>推期会有罚款</t>
    </r>
    <r>
      <rPr>
        <sz val="10"/>
        <color rgb="FF0000FF"/>
        <rFont val="汉仪书宋二KW"/>
        <charset val="134"/>
      </rPr>
      <t>；</t>
    </r>
    <r>
      <rPr>
        <sz val="10"/>
        <color rgb="FF0000FF"/>
        <rFont val="等线"/>
        <charset val="134"/>
      </rPr>
      <t xml:space="preserve">
 2. 所有产品按符合欧洲标准走货</t>
    </r>
    <r>
      <rPr>
        <sz val="10"/>
        <color rgb="FF0000FF"/>
        <rFont val="汉仪书宋二KW"/>
        <charset val="134"/>
      </rPr>
      <t>，</t>
    </r>
    <r>
      <rPr>
        <sz val="10"/>
        <color rgb="FF0000FF"/>
        <rFont val="等线"/>
        <charset val="134"/>
      </rPr>
      <t>需要是不含微塑料版本。
 3. 电子产品需增加一张C版WEEE声明29L通用黑白说明书(不接受A版本</t>
    </r>
    <r>
      <rPr>
        <sz val="10"/>
        <color rgb="FF0000FF"/>
        <rFont val="汉仪书宋二KW"/>
        <charset val="134"/>
      </rPr>
      <t>，</t>
    </r>
    <r>
      <rPr>
        <sz val="10"/>
        <color rgb="FF0000FF"/>
        <rFont val="等线"/>
        <charset val="134"/>
      </rPr>
      <t>翻译有误)</t>
    </r>
    <r>
      <rPr>
        <sz val="10"/>
        <color rgb="FF0000FF"/>
        <rFont val="汉仪书宋二KW"/>
        <charset val="134"/>
      </rPr>
      <t>，</t>
    </r>
    <r>
      <rPr>
        <sz val="10"/>
        <color rgb="FF0000FF"/>
        <rFont val="等线"/>
        <charset val="134"/>
      </rPr>
      <t>区分带电池和不带电池出货版本, 如已做客版说明书可忽略此要求</t>
    </r>
    <r>
      <rPr>
        <sz val="10"/>
        <color rgb="FF0000FF"/>
        <rFont val="汉仪书宋二KW"/>
        <charset val="134"/>
      </rPr>
      <t>；</t>
    </r>
    <r>
      <rPr>
        <sz val="10"/>
        <color rgb="FF0000FF"/>
        <rFont val="等线"/>
        <charset val="134"/>
      </rPr>
      <t>如包装备注
上缺少此部分信息</t>
    </r>
    <r>
      <rPr>
        <sz val="10"/>
        <color rgb="FF0000FF"/>
        <rFont val="汉仪书宋二KW"/>
        <charset val="134"/>
      </rPr>
      <t>，</t>
    </r>
    <r>
      <rPr>
        <sz val="10"/>
        <color rgb="FF0000FF"/>
        <rFont val="等线"/>
        <charset val="134"/>
      </rPr>
      <t>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t>
    </r>
    <r>
      <rPr>
        <sz val="10"/>
        <color rgb="FF0000FF"/>
        <rFont val="汉仪书宋二KW"/>
        <charset val="134"/>
      </rPr>
      <t>，</t>
    </r>
    <r>
      <rPr>
        <sz val="10"/>
        <color rgb="FF0000FF"/>
        <rFont val="等线"/>
        <charset val="134"/>
      </rPr>
      <t>否则会导致罚款  。
6.包装日期码按ZURU格式即可</t>
    </r>
    <r>
      <rPr>
        <sz val="10"/>
        <color rgb="FF0000FF"/>
        <rFont val="汉仪书宋二KW"/>
        <charset val="134"/>
      </rPr>
      <t>，</t>
    </r>
    <r>
      <rPr>
        <sz val="10"/>
        <color rgb="FF0000FF"/>
        <rFont val="等线"/>
        <charset val="134"/>
      </rPr>
      <t>请确保不迟于外箱日期码</t>
    </r>
    <r>
      <rPr>
        <sz val="10"/>
        <color rgb="FF0000FF"/>
        <rFont val="汉仪书宋二KW"/>
        <charset val="134"/>
      </rPr>
      <t>，</t>
    </r>
    <r>
      <rPr>
        <sz val="10"/>
        <color rgb="FF0000FF"/>
        <rFont val="等线"/>
        <charset val="134"/>
      </rPr>
      <t>可等于或者早于外箱日期码</t>
    </r>
    <r>
      <rPr>
        <sz val="10"/>
        <color rgb="FF0000FF"/>
        <rFont val="汉仪书宋二KW"/>
        <charset val="134"/>
      </rPr>
      <t>，</t>
    </r>
    <r>
      <rPr>
        <sz val="10"/>
        <color rgb="FF0000FF"/>
        <rFont val="等线"/>
        <charset val="134"/>
      </rPr>
      <t>必须为法定工作日。
7.做货前请先复核包装条码与订单是否一致再安排</t>
    </r>
    <r>
      <rPr>
        <sz val="10"/>
        <color rgb="FF0000FF"/>
        <rFont val="汉仪书宋二KW"/>
        <charset val="134"/>
      </rPr>
      <t>，</t>
    </r>
    <r>
      <rPr>
        <sz val="10"/>
        <color rgb="FF0000FF"/>
        <rFont val="等线"/>
        <charset val="134"/>
      </rPr>
      <t>对不上的需与ZURU跟单确认再安排。
8.包装必须含法国回收标(Sorting Label)</t>
    </r>
    <r>
      <rPr>
        <sz val="10"/>
        <color rgb="FF0000FF"/>
        <rFont val="汉仪书宋二KW"/>
        <charset val="134"/>
      </rPr>
      <t>，</t>
    </r>
    <r>
      <rPr>
        <sz val="10"/>
        <color rgb="FF0000FF"/>
        <rFont val="等线"/>
        <charset val="134"/>
      </rPr>
      <t>如没有</t>
    </r>
    <r>
      <rPr>
        <sz val="10"/>
        <color rgb="FF0000FF"/>
        <rFont val="汉仪书宋二KW"/>
        <charset val="134"/>
      </rPr>
      <t>，</t>
    </r>
    <r>
      <rPr>
        <sz val="10"/>
        <color rgb="FF0000FF"/>
        <rFont val="等线"/>
        <charset val="134"/>
      </rPr>
      <t>请提醒跟单提供贴纸资料。</t>
    </r>
  </si>
  <si>
    <t>4400564839</t>
  </si>
  <si>
    <t>4500204054-140</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</si>
  <si>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"71172: MA3L-23Lwarning彩盒(含法国sorting label)+D版WEEE声明(带电池)走货欧洲通用29L说明书
EAN#4894680057272
3PCS AA BATTERIES(INCLUDED)"
Remark: Smyths 法国
 1. 请准时出货</t>
    </r>
    <r>
      <rPr>
        <sz val="10"/>
        <color rgb="FF0000FF"/>
        <rFont val="汉仪书宋二KW"/>
        <charset val="134"/>
      </rPr>
      <t>，</t>
    </r>
    <r>
      <rPr>
        <sz val="10"/>
        <color rgb="FF0000FF"/>
        <rFont val="等线"/>
        <charset val="134"/>
      </rPr>
      <t>推期会有罚款</t>
    </r>
    <r>
      <rPr>
        <sz val="10"/>
        <color rgb="FF0000FF"/>
        <rFont val="汉仪书宋二KW"/>
        <charset val="134"/>
      </rPr>
      <t>；</t>
    </r>
    <r>
      <rPr>
        <sz val="10"/>
        <color rgb="FF0000FF"/>
        <rFont val="等线"/>
        <charset val="134"/>
      </rPr>
      <t xml:space="preserve">
 2. 所有产品按符合欧洲标准走货</t>
    </r>
    <r>
      <rPr>
        <sz val="10"/>
        <color rgb="FF0000FF"/>
        <rFont val="汉仪书宋二KW"/>
        <charset val="134"/>
      </rPr>
      <t>，</t>
    </r>
    <r>
      <rPr>
        <sz val="10"/>
        <color rgb="FF0000FF"/>
        <rFont val="等线"/>
        <charset val="134"/>
      </rPr>
      <t>需要是不含微塑料版本。
 3. 电子产品需增加一张C版WEEE声明29L通用黑白说明书(不接受A版本</t>
    </r>
    <r>
      <rPr>
        <sz val="10"/>
        <color rgb="FF0000FF"/>
        <rFont val="汉仪书宋二KW"/>
        <charset val="134"/>
      </rPr>
      <t>，</t>
    </r>
    <r>
      <rPr>
        <sz val="10"/>
        <color rgb="FF0000FF"/>
        <rFont val="等线"/>
        <charset val="134"/>
      </rPr>
      <t>翻译有误)</t>
    </r>
    <r>
      <rPr>
        <sz val="10"/>
        <color rgb="FF0000FF"/>
        <rFont val="汉仪书宋二KW"/>
        <charset val="134"/>
      </rPr>
      <t>，</t>
    </r>
    <r>
      <rPr>
        <sz val="10"/>
        <color rgb="FF0000FF"/>
        <rFont val="等线"/>
        <charset val="134"/>
      </rPr>
      <t>区分带电池和不带电池出货版本, 如已做客版说明书可忽略此要求</t>
    </r>
    <r>
      <rPr>
        <sz val="10"/>
        <color rgb="FF0000FF"/>
        <rFont val="汉仪书宋二KW"/>
        <charset val="134"/>
      </rPr>
      <t>；</t>
    </r>
    <r>
      <rPr>
        <sz val="10"/>
        <color rgb="FF0000FF"/>
        <rFont val="等线"/>
        <charset val="134"/>
      </rPr>
      <t>如包装备注
上缺少此部分信息</t>
    </r>
    <r>
      <rPr>
        <sz val="10"/>
        <color rgb="FF0000FF"/>
        <rFont val="汉仪书宋二KW"/>
        <charset val="134"/>
      </rPr>
      <t>，</t>
    </r>
    <r>
      <rPr>
        <sz val="10"/>
        <color rgb="FF0000FF"/>
        <rFont val="等线"/>
        <charset val="134"/>
      </rPr>
      <t>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t>
    </r>
    <r>
      <rPr>
        <sz val="10"/>
        <color rgb="FF0000FF"/>
        <rFont val="汉仪书宋二KW"/>
        <charset val="134"/>
      </rPr>
      <t>，</t>
    </r>
    <r>
      <rPr>
        <sz val="10"/>
        <color rgb="FF0000FF"/>
        <rFont val="等线"/>
        <charset val="134"/>
      </rPr>
      <t>否则会导致罚款  。
6.包装日期码按ZURU格式即可</t>
    </r>
    <r>
      <rPr>
        <sz val="10"/>
        <color rgb="FF0000FF"/>
        <rFont val="汉仪书宋二KW"/>
        <charset val="134"/>
      </rPr>
      <t>，</t>
    </r>
    <r>
      <rPr>
        <sz val="10"/>
        <color rgb="FF0000FF"/>
        <rFont val="等线"/>
        <charset val="134"/>
      </rPr>
      <t>请确保不迟于外箱日期码</t>
    </r>
    <r>
      <rPr>
        <sz val="10"/>
        <color rgb="FF0000FF"/>
        <rFont val="汉仪书宋二KW"/>
        <charset val="134"/>
      </rPr>
      <t>，</t>
    </r>
    <r>
      <rPr>
        <sz val="10"/>
        <color rgb="FF0000FF"/>
        <rFont val="等线"/>
        <charset val="134"/>
      </rPr>
      <t>可等于或者早于外箱日期码</t>
    </r>
    <r>
      <rPr>
        <sz val="10"/>
        <color rgb="FF0000FF"/>
        <rFont val="汉仪书宋二KW"/>
        <charset val="134"/>
      </rPr>
      <t>，</t>
    </r>
    <r>
      <rPr>
        <sz val="10"/>
        <color rgb="FF0000FF"/>
        <rFont val="等线"/>
        <charset val="134"/>
      </rPr>
      <t>必须为法定工作日。
7.做货前请先复核包装条码与订单是否一致再安排</t>
    </r>
    <r>
      <rPr>
        <sz val="10"/>
        <color rgb="FF0000FF"/>
        <rFont val="汉仪书宋二KW"/>
        <charset val="134"/>
      </rPr>
      <t>，</t>
    </r>
    <r>
      <rPr>
        <sz val="10"/>
        <color rgb="FF0000FF"/>
        <rFont val="等线"/>
        <charset val="134"/>
      </rPr>
      <t>对不上的需与ZURU跟单确认再安排。
8.包装必须含法国回收标(Sorting Label)</t>
    </r>
    <r>
      <rPr>
        <sz val="10"/>
        <color rgb="FF0000FF"/>
        <rFont val="汉仪书宋二KW"/>
        <charset val="134"/>
      </rPr>
      <t>，</t>
    </r>
    <r>
      <rPr>
        <sz val="10"/>
        <color rgb="FF0000FF"/>
        <rFont val="等线"/>
        <charset val="134"/>
      </rPr>
      <t>如没有</t>
    </r>
    <r>
      <rPr>
        <sz val="10"/>
        <color rgb="FF0000FF"/>
        <rFont val="汉仪书宋二KW"/>
        <charset val="134"/>
      </rPr>
      <t>，</t>
    </r>
    <r>
      <rPr>
        <sz val="10"/>
        <color rgb="FF0000FF"/>
        <rFont val="等线"/>
        <charset val="134"/>
      </rPr>
      <t>请提醒跟单提供贴纸资料。</t>
    </r>
  </si>
  <si>
    <t>4500204928</t>
  </si>
  <si>
    <t>10001737601-3890</t>
  </si>
  <si>
    <t>4500204928-10</t>
  </si>
  <si>
    <t>7/9客上柜</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</si>
  <si>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 产品包装MA 1L彩盒
Remark: 1. 71172-S001-ROBO ALIVE-BRAIN-SERIES 1-BRIAN THE BRAIN-OPEN BOX-4PCS/CTN
 2. 产品包装MA 1L彩盒</t>
    </r>
    <r>
      <rPr>
        <sz val="10"/>
        <color rgb="FF010CDD"/>
        <rFont val="汉仪书宋二KW"/>
        <charset val="134"/>
      </rPr>
      <t>；</t>
    </r>
    <r>
      <rPr>
        <sz val="10"/>
        <color rgb="FF010CDD"/>
        <rFont val="等线"/>
        <charset val="134"/>
      </rPr>
      <t>彩盒上的UPC显示193052098443</t>
    </r>
    <r>
      <rPr>
        <sz val="10"/>
        <color rgb="FF010CDD"/>
        <rFont val="汉仪书宋二KW"/>
        <charset val="134"/>
      </rPr>
      <t>；</t>
    </r>
    <r>
      <rPr>
        <sz val="10"/>
        <color rgb="FF010CDD"/>
        <rFont val="等线"/>
        <charset val="134"/>
      </rPr>
      <t xml:space="preserve">
 3. 每个外箱正唛箱唛信息左上方位置粘贴条码箱贴纸</t>
    </r>
    <r>
      <rPr>
        <sz val="10"/>
        <color rgb="FF010CDD"/>
        <rFont val="汉仪书宋二KW"/>
        <charset val="134"/>
      </rPr>
      <t>，</t>
    </r>
    <r>
      <rPr>
        <sz val="10"/>
        <color rgb="FF010CDD"/>
        <rFont val="等线"/>
        <charset val="134"/>
      </rPr>
      <t>每箱只贴一张; 由ZURU向艾利订购</t>
    </r>
    <r>
      <rPr>
        <sz val="10"/>
        <color rgb="FF010CDD"/>
        <rFont val="汉仪书宋二KW"/>
        <charset val="134"/>
      </rPr>
      <t>，</t>
    </r>
    <r>
      <rPr>
        <sz val="10"/>
        <color rgb="FF010CDD"/>
        <rFont val="等线"/>
        <charset val="134"/>
      </rPr>
      <t xml:space="preserve">  对应的外箱贴DPCI</t>
    </r>
    <r>
      <rPr>
        <sz val="10"/>
        <color rgb="FF010CDD"/>
        <rFont val="汉仪书宋二KW"/>
        <charset val="134"/>
      </rPr>
      <t>：</t>
    </r>
    <r>
      <rPr>
        <sz val="10"/>
        <color rgb="FF010CDD"/>
        <rFont val="等线"/>
        <charset val="134"/>
      </rPr>
      <t xml:space="preserve">087-02-9468, UPC显示10193052098440 </t>
    </r>
    <r>
      <rPr>
        <sz val="10"/>
        <color rgb="FF010CDD"/>
        <rFont val="汉仪书宋二KW"/>
        <charset val="134"/>
      </rPr>
      <t>；</t>
    </r>
    <r>
      <rPr>
        <sz val="10"/>
        <color rgb="FF010CDD"/>
        <rFont val="等线"/>
        <charset val="134"/>
      </rPr>
      <t xml:space="preserve">
 4. 产品和包装上要印刷tracking code信息</t>
    </r>
    <r>
      <rPr>
        <sz val="10"/>
        <color rgb="FF010CDD"/>
        <rFont val="汉仪书宋二KW"/>
        <charset val="134"/>
      </rPr>
      <t>，</t>
    </r>
    <r>
      <rPr>
        <sz val="10"/>
        <color rgb="FF010CDD"/>
        <rFont val="等线"/>
        <charset val="134"/>
      </rPr>
      <t>格式为ZURU常规</t>
    </r>
    <r>
      <rPr>
        <sz val="10"/>
        <color rgb="FF010CDD"/>
        <rFont val="汉仪书宋二KW"/>
        <charset val="134"/>
      </rPr>
      <t>；</t>
    </r>
    <r>
      <rPr>
        <sz val="10"/>
        <color rgb="FF010CDD"/>
        <rFont val="等线"/>
        <charset val="134"/>
      </rPr>
      <t xml:space="preserve">
 5. 出货方式</t>
    </r>
    <r>
      <rPr>
        <sz val="10"/>
        <color rgb="FF010CDD"/>
        <rFont val="汉仪书宋二KW"/>
        <charset val="134"/>
      </rPr>
      <t>：</t>
    </r>
    <r>
      <rPr>
        <sz val="10"/>
        <color rgb="FF010CDD"/>
        <rFont val="等线"/>
        <charset val="134"/>
      </rPr>
      <t>货代自提</t>
    </r>
  </si>
  <si>
    <t>ZB06829-8.17</t>
  </si>
  <si>
    <t>ESAL TRADING L.L.C.</t>
  </si>
  <si>
    <t>阿拉伯联合酋长国</t>
  </si>
  <si>
    <t>4500202382-180</t>
  </si>
  <si>
    <t>7/6 SI</t>
  </si>
  <si>
    <t>5/21增加AR黑白双面说明纸</t>
  </si>
  <si>
    <t>日期码格式：ZURU INC(BVI) 标准格式 日期：按实际生产日期
Packaging Info: 出UAE, 包装不能有希伯来语，需备两套大货版寄到SZ办公室。
所有RBC的产品（内外）包装上不能有彩虹。
77673TQ1:MA 1L PKG, PDQ+彩色贴纸+进口商贴纸（贴纸翻单4500162345）；收缩膜+进口商贴纸(含G Mark, QR code, 阿拉伯警语) （贴纸翻单4500162345）；贴
纸上的QR code需微信可扫;
MA收藏指南+彩色贴纸（贴纸翻单4500162345）； MA说明书+一张客制黑白说明书纸（书纸翻单4500162345）；
客人箱唛排版，印4面，条码内容：193052079404
77803GQ2:MA 1L PKG, 收缩膜(加UPC贴纸+进口商贴纸) +贴纸+客版PDQ跟回77782GQ1-S001-INT（翻单号4500161302）+客版收藏指南（客版包装翻单4500162410）;
PDQ+进口商贴纸， 贴纸AW翻单4500189510。
客人箱唛排版，印4面，条码内容193052092403
77843GQ2:MA 1L PKG+进口商贴纸 (含G Mark, QR code, 阿拉伯警语); 贴纸上的QR code需微信可扫; 扫描结果另外通知； UPC条码显示193052099105；
客人箱唛排版，印4面，条码内容193052099105
77858:MA 1L PKG+进口商贴纸 (含G Mark, QR code, 阿拉伯警语); 贴纸上的QR code需微信可扫; 扫描结果另外通知； UPC条码显示193052100238；
客人箱唛排版，印4面，条码内容193052100238
9565GQ1:MA 1L 收缩膜+进口商贴纸(含G Mark, QR code, 阿拉伯警语) ；贴纸上的QR code需微信可扫; MA说明书(不含希伯来语/Hebrew/He)+一张客制黑白说明书
纸(翻单4500167242)；MA PDQ+进口商贴纸; 产品年龄2+;AW翻单4500193317
4 assortment, Orange:blue:pink:brown=5:5:6:6
客人箱唛排版，印4面，条码内容：193052084545；
返工消耗4500189510/4500189525的库存，需将WEEE(含希伯来语）的说明书去除。
9574:MA 1L PKG+进口商贴纸 (含G Mark, QR code, 阿拉伯警语); 贴纸上的QR code需微信可扫; 扫描结果另外通知； UPC条码显示193052098436；
客人箱唛排版，印4面，条码内容193052098436
92104TQ1: 客版收缩膜(含G Mark, QR code, 阿拉伯警语); 贴纸上的QR code需微信可扫; UPC条码显示193052064417; 客版PDQ+进口商贴纸; 客版收藏指南; 客版
镭射贴纸；MA 口水胶袋+贴纸；产品年龄3+；AW翻单4500189525
客人箱唛排版，印4面，条码内容193052064417；
92105: 客版包装(含G Mark, QR code, 阿拉伯警语); 贴纸上的QR code需微信可扫，扫描结果另外通知; UPC条码显示193052064165；客版收藏指南/客版贴纸/客
版证明卡， MA 胶袋。
客人箱唛排版，印4面，条码内容193052064165
92119:客版收缩膜 (含G Mark, QR code, 阿拉伯警语); 贴纸上的QR code需微信可扫; UPC条码显示193052078391; 客版收藏指南; MA 口水胶袋+贴纸；产品年龄3
+；AW全部翻单4500189525
客人箱唛排版，印4面，条码内容193052078391；
92119-S001: 7 Assortment, Polar bear: Penguin: Walrus: Mammoth: Owl: Seal: Snow man=10:10:10:10:10:8:2. Snow man is the rare item.
92125：1. 客版收缩膜 (含G Mark, QR code, 阿拉伯警语); 贴纸上的QR code需微信可扫，扫描结果另外通知; UPC条码显示193052083951; 客版收藏指南；客版
镭射贴纸；客版出生证明卡片；MA 口水胶袋/罐子+logo贴纸；产品年龄3+；AW全部翻单4500189525
2. 6 Assortments,siamese cat:pink-white cat:purple cat:black cat:brown-white cat:orange cat=1:1:1:1:1:1, no rare;
3.客人箱唛排版，印4面，条码内容193052083951；
92129TQ1：客版收缩膜(含G Mark, QR code, 阿拉伯警语); 贴纸上的QR code需微信可扫，扫描结果另外通知; UPC条码显示193052088925;客版PDQ+进口商贴纸; 客
版收藏指南; 客版镭射贴纸；MA 口水胶袋+贴纸；产品年龄3+；AW全部翻单4500189525
客人箱唛排版，印4面，条码内容193052088925；
7 assortments, Ratio: Elephant: Toucan: Zebra: Sloth: Giraffe: Tiger: Peacock=10: 10: 10: 10: 10: 8: 2;
92146TQ1：客版收缩膜 (含G Mark, QR code, 阿拉伯警语); 贴纸上的QR code需微信可扫; 扫描结果另外通知； UPC条码显示193052100375；客版PDQ, 客版收藏
指南，其他配件包装为MA。
客人箱唛排版，印4面，条码内容1193052100375.
92147：客版收缩膜 (含G Mark, QR code, 阿拉伯警语); 贴纸上的QR code需微信可扫; 扫描结果另外通知； UPC条码显示193052100382；客版收藏指南，其他配件
等包装用MA.
客人箱唛排版，印4面，条码内容193052100382.
9283：客版收缩膜(含G Mark, QR code, 阿拉伯警语); 贴纸上的QR code需微信可扫; UPC条码显示193052050106; 客版收藏指南;客版卡片；客版地图指南；客版镭
射贴纸；MA 口水胶袋+贴纸；产品年龄3+；AW全部翻单4500189525
客人箱唛排版，印4面，条码内容193052050106；
9283-S001: Kitten:Bunny:Puppy:Cow:Elephant:Flamingo=1:1:1:1:1:1;
9296：客版收缩膜(含G Mark, QR code, 阿拉伯警语); 贴纸上的QR code需微信可扫; 扫描结果另外通知； UPC条码显示193052057129；客版收藏指南，其他配件为
MA。
客人箱唛排版，印4面，条码内容193052057129.
9298TQ1：客版收缩膜 (含G Mark, QR code, 阿拉伯警语); 贴纸上的QR code需微信可扫; UPC条码显示193052057426; 客版PDQ+进口商贴纸; 客版收藏指南; MA 口
水胶袋+贴纸；产品年龄3+；AW全部翻单4500189510
客人箱唛排版，印4面，条码内容193052057426；
7 assortment (6 common + 1 rare)=CORGI(Rare):SHEPHERD:POODLE:DALMATIAN: SCHNAUZER:BROWN DALNATIAN:HOUND DOG=2:8:10:10:10:10:10;
71152：MA 1L 收缩膜+进口商贴纸 (含G Mark, QR code, 阿拉伯警语)( 贴纸翻单4500162474); 贴纸上的QR code需微信可扫，扫描结果另外通知; 收缩膜上UPC条
码为193052079190；说明书+贴纸(说明书贴纸翻单4500162345); 产品年龄3+；
客人箱唛排版，印4面，条码内容193052079190；
所有包装需要不含希伯来语/Hebrew/(He) 语言
 71172：MA PKG+进口商贴纸 (含G Mark, QR code, 阿拉伯警语); 贴纸上的QR code需微信可扫; 扫描结果另外通知； UPC条码显示193052098443；含MA说明书，需
 另外加一张阿拉伯语的黑白印刷sheet一起出货。
 客人箱唛排版，印4面，条码内容193052098443.
7132：1. MA 彩盒+进口商贴纸 (含G Mark, QR code, 阿拉伯警语)(贴纸翻单4500128286); 贴纸上的QR code需微信可扫，扫描结果为40935; UPC条码显示19305202
8174; MA说明书(不含希伯来语/Hebrew/He); 产品年龄3+;
2. 客人箱唛排版，印4面，条码内容193052028174；
所有包装需要不含希伯来语/Hebrew/(He) 语言
7133：MA 彩盒+进口商贴纸 (含G Mark, QR code, 阿拉伯警语)（贴纸翻单4500148906）; 贴纸上的QR code需微信可扫，扫描结果另外通知; 收缩膜上UPC条码为19
3052028181；客版说明书（说明书翻单4500148906）；产品年龄3+；
客人箱唛排版，印4面，条码内容193052028181；
所有包装需要不含希伯来语/Hebrew/(He) 语言
Remark:</t>
  </si>
  <si>
    <t>4500204025</t>
  </si>
  <si>
    <t>4400563555</t>
  </si>
  <si>
    <t>4500204025-90</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</si>
  <si>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"71172: MA3L-23Lwarning彩盒(含法国sorting label)+D版WEEE声明(带电池)走货欧洲通用29L说明书
EAN#4894680057272
3PCS AA BATTERIES(INCLUDED)"
 7 Assortments; Rare assortment 1/24, others even ratio
 *外箱四面需要贴一张限制上架日期贴纸(GLOBAL ONSHELF DATE:2026/6/14), 翻PO#4500203953*"
Remark: Smyths 英国/爱尔兰
 1. 请准时出货</t>
    </r>
    <r>
      <rPr>
        <sz val="10"/>
        <color rgb="FF0000FF"/>
        <rFont val="汉仪书宋二KW"/>
        <charset val="134"/>
      </rPr>
      <t>，</t>
    </r>
    <r>
      <rPr>
        <sz val="10"/>
        <color rgb="FF0000FF"/>
        <rFont val="等线"/>
        <charset val="134"/>
      </rPr>
      <t>推期会有罚款</t>
    </r>
    <r>
      <rPr>
        <sz val="10"/>
        <color rgb="FF0000FF"/>
        <rFont val="汉仪书宋二KW"/>
        <charset val="134"/>
      </rPr>
      <t>；</t>
    </r>
    <r>
      <rPr>
        <sz val="10"/>
        <color rgb="FF0000FF"/>
        <rFont val="等线"/>
        <charset val="134"/>
      </rPr>
      <t xml:space="preserve">
 2. 所有产品按符合欧洲标准走货</t>
    </r>
    <r>
      <rPr>
        <sz val="10"/>
        <color rgb="FF0000FF"/>
        <rFont val="汉仪书宋二KW"/>
        <charset val="134"/>
      </rPr>
      <t>，</t>
    </r>
    <r>
      <rPr>
        <sz val="10"/>
        <color rgb="FF0000FF"/>
        <rFont val="等线"/>
        <charset val="134"/>
      </rPr>
      <t>需要是不含微塑料版本。
3.包装日期码按ZURU格式即可</t>
    </r>
    <r>
      <rPr>
        <sz val="10"/>
        <color rgb="FF0000FF"/>
        <rFont val="汉仪书宋二KW"/>
        <charset val="134"/>
      </rPr>
      <t>，</t>
    </r>
    <r>
      <rPr>
        <sz val="10"/>
        <color rgb="FF0000FF"/>
        <rFont val="等线"/>
        <charset val="134"/>
      </rPr>
      <t>请确保不迟于外箱日期码</t>
    </r>
    <r>
      <rPr>
        <sz val="10"/>
        <color rgb="FF0000FF"/>
        <rFont val="汉仪书宋二KW"/>
        <charset val="134"/>
      </rPr>
      <t>，</t>
    </r>
    <r>
      <rPr>
        <sz val="10"/>
        <color rgb="FF0000FF"/>
        <rFont val="等线"/>
        <charset val="134"/>
      </rPr>
      <t>可等于或者早于外箱日期码</t>
    </r>
    <r>
      <rPr>
        <sz val="10"/>
        <color rgb="FF0000FF"/>
        <rFont val="汉仪书宋二KW"/>
        <charset val="134"/>
      </rPr>
      <t>，</t>
    </r>
    <r>
      <rPr>
        <sz val="10"/>
        <color rgb="FF0000FF"/>
        <rFont val="等线"/>
        <charset val="134"/>
      </rPr>
      <t>必须为法定工作日</t>
    </r>
    <r>
      <rPr>
        <sz val="10"/>
        <color rgb="FF0000FF"/>
        <rFont val="汉仪书宋二KW"/>
        <charset val="134"/>
      </rPr>
      <t>，</t>
    </r>
    <r>
      <rPr>
        <sz val="10"/>
        <color rgb="FF0000FF"/>
        <rFont val="等线"/>
        <charset val="134"/>
      </rPr>
      <t>印刷前请先检查外箱日期码。
4.请注意检查产品及包装应带UKCA图标</t>
    </r>
    <r>
      <rPr>
        <sz val="10"/>
        <color rgb="FF0000FF"/>
        <rFont val="汉仪书宋二KW"/>
        <charset val="134"/>
      </rPr>
      <t>（</t>
    </r>
    <r>
      <rPr>
        <sz val="10"/>
        <color rgb="FF0000FF"/>
        <rFont val="等线"/>
        <charset val="134"/>
      </rPr>
      <t>14+产品除外</t>
    </r>
    <r>
      <rPr>
        <sz val="10"/>
        <color rgb="FF0000FF"/>
        <rFont val="汉仪书宋二KW"/>
        <charset val="134"/>
      </rPr>
      <t>），</t>
    </r>
    <r>
      <rPr>
        <sz val="10"/>
        <color rgb="FF0000FF"/>
        <rFont val="等线"/>
        <charset val="134"/>
      </rPr>
      <t>包装显示ZURU UK LTD/ZURU France地址信息</t>
    </r>
    <r>
      <rPr>
        <sz val="10"/>
        <color rgb="FF0000FF"/>
        <rFont val="汉仪书宋二KW"/>
        <charset val="134"/>
      </rPr>
      <t>，</t>
    </r>
    <r>
      <rPr>
        <sz val="10"/>
        <color rgb="FF0000FF"/>
        <rFont val="等线"/>
        <charset val="134"/>
      </rPr>
      <t>QC部门请查核</t>
    </r>
    <r>
      <rPr>
        <sz val="10"/>
        <color rgb="FF0000FF"/>
        <rFont val="汉仪书宋二KW"/>
        <charset val="134"/>
      </rPr>
      <t>，</t>
    </r>
    <r>
      <rPr>
        <sz val="10"/>
        <color rgb="FF0000FF"/>
        <rFont val="等线"/>
        <charset val="134"/>
      </rPr>
      <t>如有问题与跟单确认
5.电子产品需增加一张C版WEEE声明29L通用黑白说明书(不接受A版本</t>
    </r>
    <r>
      <rPr>
        <sz val="10"/>
        <color rgb="FF0000FF"/>
        <rFont val="汉仪书宋二KW"/>
        <charset val="134"/>
      </rPr>
      <t>，</t>
    </r>
    <r>
      <rPr>
        <sz val="10"/>
        <color rgb="FF0000FF"/>
        <rFont val="等线"/>
        <charset val="134"/>
      </rPr>
      <t>翻译有误)</t>
    </r>
    <r>
      <rPr>
        <sz val="10"/>
        <color rgb="FF0000FF"/>
        <rFont val="汉仪书宋二KW"/>
        <charset val="134"/>
      </rPr>
      <t>，</t>
    </r>
    <r>
      <rPr>
        <sz val="10"/>
        <color rgb="FF0000FF"/>
        <rFont val="等线"/>
        <charset val="134"/>
      </rPr>
      <t>区分带电池和不带电池出货版本, 如已做客版说明书可忽略此要求</t>
    </r>
    <r>
      <rPr>
        <sz val="10"/>
        <color rgb="FF0000FF"/>
        <rFont val="汉仪书宋二KW"/>
        <charset val="134"/>
      </rPr>
      <t>；</t>
    </r>
    <r>
      <rPr>
        <sz val="10"/>
        <color rgb="FF0000FF"/>
        <rFont val="等线"/>
        <charset val="134"/>
      </rPr>
      <t>如包装备注
上缺少此部分信息</t>
    </r>
    <r>
      <rPr>
        <sz val="10"/>
        <color rgb="FF0000FF"/>
        <rFont val="汉仪书宋二KW"/>
        <charset val="134"/>
      </rPr>
      <t>，</t>
    </r>
    <r>
      <rPr>
        <sz val="10"/>
        <color rgb="FF0000FF"/>
        <rFont val="等线"/>
        <charset val="134"/>
      </rPr>
      <t>请提醒跟单更新备注。
6.订单备注显示有分批的(不同仓库/订单号), 一定要区分客户订单号做货出货</t>
    </r>
    <r>
      <rPr>
        <sz val="10"/>
        <color rgb="FF0000FF"/>
        <rFont val="汉仪书宋二KW"/>
        <charset val="134"/>
      </rPr>
      <t>，</t>
    </r>
    <r>
      <rPr>
        <sz val="10"/>
        <color rgb="FF0000FF"/>
        <rFont val="等线"/>
        <charset val="134"/>
      </rPr>
      <t>否则会导致罚款  。
7.做货前请先复核包装条码与订单是否一致再安排</t>
    </r>
    <r>
      <rPr>
        <sz val="10"/>
        <color rgb="FF0000FF"/>
        <rFont val="汉仪书宋二KW"/>
        <charset val="134"/>
      </rPr>
      <t>，</t>
    </r>
    <r>
      <rPr>
        <sz val="10"/>
        <color rgb="FF0000FF"/>
        <rFont val="等线"/>
        <charset val="134"/>
      </rPr>
      <t>对不上的需与ZURU跟单确认再安排。
8.包装必须含法国回收标(Sorting Label)</t>
    </r>
    <r>
      <rPr>
        <sz val="10"/>
        <color rgb="FF0000FF"/>
        <rFont val="汉仪书宋二KW"/>
        <charset val="134"/>
      </rPr>
      <t>，</t>
    </r>
    <r>
      <rPr>
        <sz val="10"/>
        <color rgb="FF0000FF"/>
        <rFont val="等线"/>
        <charset val="134"/>
      </rPr>
      <t>如没有</t>
    </r>
    <r>
      <rPr>
        <sz val="10"/>
        <color rgb="FF0000FF"/>
        <rFont val="汉仪书宋二KW"/>
        <charset val="134"/>
      </rPr>
      <t>，</t>
    </r>
    <r>
      <rPr>
        <sz val="10"/>
        <color rgb="FF0000FF"/>
        <rFont val="等线"/>
        <charset val="134"/>
      </rPr>
      <t>请提醒跟单提供贴纸资料。</t>
    </r>
  </si>
  <si>
    <t>ARMY &amp; AIR FORCE EXCHANGE SERVICE</t>
  </si>
  <si>
    <t>0092593222</t>
  </si>
  <si>
    <t>4500206179-360</t>
  </si>
  <si>
    <t>HOLD</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</si>
  <si>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 1. MA+UPC版包裝,优先1L</t>
    </r>
    <r>
      <rPr>
        <sz val="10"/>
        <color rgb="FF010CDD"/>
        <rFont val="汉仪书宋二KW"/>
        <charset val="134"/>
      </rPr>
      <t>，</t>
    </r>
    <r>
      <rPr>
        <sz val="10"/>
        <color rgb="FF010CDD"/>
        <rFont val="等线"/>
        <charset val="134"/>
      </rPr>
      <t>出口美国
Remark: 2. PO# 0092593216, 0092593219, 0092593222, 这3个订单外箱需要贴4x6"UCC 贴纸</t>
    </r>
    <r>
      <rPr>
        <sz val="10"/>
        <color rgb="FF010CDD"/>
        <rFont val="汉仪书宋二KW"/>
        <charset val="134"/>
      </rPr>
      <t>，</t>
    </r>
    <r>
      <rPr>
        <sz val="10"/>
        <color rgb="FF010CDD"/>
        <rFont val="等线"/>
        <charset val="134"/>
      </rPr>
      <t>只需贴一面</t>
    </r>
    <r>
      <rPr>
        <sz val="10"/>
        <color rgb="FF010CDD"/>
        <rFont val="汉仪书宋二KW"/>
        <charset val="134"/>
      </rPr>
      <t>（</t>
    </r>
    <r>
      <rPr>
        <sz val="10"/>
        <color rgb="FF010CDD"/>
        <rFont val="等线"/>
        <charset val="134"/>
      </rPr>
      <t>UCC贴纸为客供贴纸</t>
    </r>
    <r>
      <rPr>
        <sz val="10"/>
        <color rgb="FF010CDD"/>
        <rFont val="汉仪书宋二KW"/>
        <charset val="134"/>
      </rPr>
      <t>）</t>
    </r>
    <r>
      <rPr>
        <sz val="10"/>
        <color rgb="FF010CDD"/>
        <rFont val="等线"/>
        <charset val="134"/>
      </rPr>
      <t>。PO# 0092593217, 0092593221</t>
    </r>
    <r>
      <rPr>
        <sz val="10"/>
        <color rgb="FF010CDD"/>
        <rFont val="汉仪书宋二KW"/>
        <charset val="134"/>
      </rPr>
      <t>，</t>
    </r>
    <r>
      <rPr>
        <sz val="10"/>
        <color rgb="FF010CDD"/>
        <rFont val="等线"/>
        <charset val="134"/>
      </rPr>
      <t>这2个订
单外箱不需要UCC贴纸。
 3. ZURU QC 验货。
 4. 产品和包裝上需印刷tracking code信息</t>
    </r>
    <r>
      <rPr>
        <sz val="10"/>
        <color rgb="FF010CDD"/>
        <rFont val="汉仪书宋二KW"/>
        <charset val="134"/>
      </rPr>
      <t>，</t>
    </r>
    <r>
      <rPr>
        <sz val="10"/>
        <color rgb="FF010CDD"/>
        <rFont val="等线"/>
        <charset val="134"/>
      </rPr>
      <t>格式为ZURU常规。</t>
    </r>
  </si>
  <si>
    <t>ZB06751-8.17</t>
  </si>
  <si>
    <t>4500206179</t>
  </si>
  <si>
    <t>0092593221</t>
  </si>
  <si>
    <t>4500206179-370</t>
  </si>
  <si>
    <t>ZB06627-8.17</t>
  </si>
  <si>
    <t>0092593219</t>
  </si>
  <si>
    <t>4500206179-380</t>
  </si>
  <si>
    <t>ZB06635-8.17</t>
  </si>
  <si>
    <t>0092593216</t>
  </si>
  <si>
    <t>4500206179-390</t>
  </si>
  <si>
    <t>0092593217</t>
  </si>
  <si>
    <t>4500206179-400</t>
  </si>
  <si>
    <t>SALLING GROUP A/S</t>
  </si>
  <si>
    <t>丹麦</t>
  </si>
  <si>
    <t>4045802239</t>
  </si>
  <si>
    <t>4500203672-10</t>
  </si>
  <si>
    <t>6/30 SI</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</si>
  <si>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 1. MA A3L(23L warning) EAN版彩盒+MA A15L说明书+一张额外说明书书纸(说明书上的玩法/battery safety information以及WEEE翻译成丹麦瑞典芬兰挪威爱沙尼
亚语--书纸翻单Lekia PO#4500200447)
Remark: * 71172是新品</t>
    </r>
    <r>
      <rPr>
        <sz val="10"/>
        <color rgb="FF010CDD"/>
        <rFont val="汉仪书宋二KW"/>
        <charset val="134"/>
      </rPr>
      <t>，</t>
    </r>
    <r>
      <rPr>
        <sz val="10"/>
        <color rgb="FF010CDD"/>
        <rFont val="等线"/>
        <charset val="134"/>
      </rPr>
      <t>请在6/10寄两套大货样给客人留底
 1. 包装如含PVC,请改为PET
 2. 产品/包装要求无硼无香</t>
    </r>
    <r>
      <rPr>
        <sz val="10"/>
        <color rgb="FF010CDD"/>
        <rFont val="汉仪书宋二KW"/>
        <charset val="134"/>
      </rPr>
      <t>；</t>
    </r>
    <r>
      <rPr>
        <sz val="10"/>
        <color rgb="FF010CDD"/>
        <rFont val="等线"/>
        <charset val="134"/>
      </rPr>
      <t xml:space="preserve">
 3. 出欧洲</t>
    </r>
    <r>
      <rPr>
        <sz val="10"/>
        <color rgb="FF010CDD"/>
        <rFont val="汉仪书宋二KW"/>
        <charset val="134"/>
      </rPr>
      <t>，</t>
    </r>
    <r>
      <rPr>
        <sz val="10"/>
        <color rgb="FF010CDD"/>
        <rFont val="等线"/>
        <charset val="134"/>
      </rPr>
      <t>微塑料需合规。
4.带电池出货的产品所用到的电池需要符合欧洲电池新规(EU) 2023-1542
5.关于贴纸</t>
    </r>
    <r>
      <rPr>
        <sz val="10"/>
        <color rgb="FF010CDD"/>
        <rFont val="汉仪书宋二KW"/>
        <charset val="134"/>
      </rPr>
      <t>，</t>
    </r>
    <r>
      <rPr>
        <sz val="10"/>
        <color rgb="FF010CDD"/>
        <rFont val="等线"/>
        <charset val="134"/>
      </rPr>
      <t>如果贴纸位置图的包装版本与大货不一致</t>
    </r>
    <r>
      <rPr>
        <sz val="10"/>
        <color rgb="FF010CDD"/>
        <rFont val="汉仪书宋二KW"/>
        <charset val="134"/>
      </rPr>
      <t>，</t>
    </r>
    <r>
      <rPr>
        <sz val="10"/>
        <color rgb="FF010CDD"/>
        <rFont val="等线"/>
        <charset val="134"/>
      </rPr>
      <t>请工厂提前提出, 跟单会重新调整确认是否更新贴纸或调整位置图
6.产品/包装不含PFAS and/or Bisfenol成分,以及不含石棉成分
7. 产品条码如下: 请先检查条码是否正确再安排做货</t>
    </r>
    <r>
      <rPr>
        <sz val="10"/>
        <color rgb="FF010CDD"/>
        <rFont val="汉仪书宋二KW"/>
        <charset val="134"/>
      </rPr>
      <t>，</t>
    </r>
    <r>
      <rPr>
        <sz val="10"/>
        <color rgb="FF010CDD"/>
        <rFont val="等线"/>
        <charset val="134"/>
      </rPr>
      <t>如有问题请告知:
71172-S001:4894680057272</t>
    </r>
  </si>
  <si>
    <t>4500203674</t>
  </si>
  <si>
    <t>4045802242</t>
  </si>
  <si>
    <t>4500203674-10</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</si>
  <si>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 1. 71172: MA A3L(23L warning) EAN版彩盒+MA A15L说明书+一张额外说明书书纸(说明书上的玩法/battery safety information以及WEEE翻译成丹麦瑞典芬兰挪威
爱沙尼亚语--书纸翻单Lekia PO#4500200447)
Remark: * 请准备1个40尺平柜的安全网</t>
    </r>
    <r>
      <rPr>
        <sz val="10"/>
        <color rgb="FF010CDD"/>
        <rFont val="汉仪书宋二KW"/>
        <charset val="134"/>
      </rPr>
      <t>，</t>
    </r>
    <r>
      <rPr>
        <sz val="10"/>
        <color rgb="FF010CDD"/>
        <rFont val="等线"/>
        <charset val="134"/>
      </rPr>
      <t>客人要求所有柜货需要加安全网出货</t>
    </r>
    <r>
      <rPr>
        <sz val="10"/>
        <color rgb="FF010CDD"/>
        <rFont val="汉仪书宋二KW"/>
        <charset val="134"/>
      </rPr>
      <t>，</t>
    </r>
    <r>
      <rPr>
        <sz val="10"/>
        <color rgb="FF010CDD"/>
        <rFont val="等线"/>
        <charset val="134"/>
      </rPr>
      <t>漏拉网会有罚款产生
 * 77711+92146是新品</t>
    </r>
    <r>
      <rPr>
        <sz val="10"/>
        <color rgb="FF010CDD"/>
        <rFont val="汉仪书宋二KW"/>
        <charset val="134"/>
      </rPr>
      <t>，</t>
    </r>
    <r>
      <rPr>
        <sz val="10"/>
        <color rgb="FF010CDD"/>
        <rFont val="等线"/>
        <charset val="134"/>
      </rPr>
      <t>请在6/10各寄两套大货样给客人留底
 1. 包装如含PVC,请改为PET
 2. 产品/包装要求无硼无香</t>
    </r>
    <r>
      <rPr>
        <sz val="10"/>
        <color rgb="FF010CDD"/>
        <rFont val="汉仪书宋二KW"/>
        <charset val="134"/>
      </rPr>
      <t>；</t>
    </r>
    <r>
      <rPr>
        <sz val="10"/>
        <color rgb="FF010CDD"/>
        <rFont val="等线"/>
        <charset val="134"/>
      </rPr>
      <t xml:space="preserve">
 3. 出欧洲</t>
    </r>
    <r>
      <rPr>
        <sz val="10"/>
        <color rgb="FF010CDD"/>
        <rFont val="汉仪书宋二KW"/>
        <charset val="134"/>
      </rPr>
      <t>，</t>
    </r>
    <r>
      <rPr>
        <sz val="10"/>
        <color rgb="FF010CDD"/>
        <rFont val="等线"/>
        <charset val="134"/>
      </rPr>
      <t>微塑料需合规。
4.带电池出货的产品所用到的电池需要符合欧洲电池新规(EU) 2023-1542
5.关于贴纸</t>
    </r>
    <r>
      <rPr>
        <sz val="10"/>
        <color rgb="FF010CDD"/>
        <rFont val="汉仪书宋二KW"/>
        <charset val="134"/>
      </rPr>
      <t>，</t>
    </r>
    <r>
      <rPr>
        <sz val="10"/>
        <color rgb="FF010CDD"/>
        <rFont val="等线"/>
        <charset val="134"/>
      </rPr>
      <t>如果贴纸位置图的包装版本与大货不一致</t>
    </r>
    <r>
      <rPr>
        <sz val="10"/>
        <color rgb="FF010CDD"/>
        <rFont val="汉仪书宋二KW"/>
        <charset val="134"/>
      </rPr>
      <t>，</t>
    </r>
    <r>
      <rPr>
        <sz val="10"/>
        <color rgb="FF010CDD"/>
        <rFont val="等线"/>
        <charset val="134"/>
      </rPr>
      <t>请工厂提前提出, 跟单会重新调整确认是否更新贴纸或调整位置图
6.产品/包装不含PFAS and/or Bisfenol成分,以及不含石棉成分
7. 产品条码如下: 请先检查条码是否正确再安排做货</t>
    </r>
    <r>
      <rPr>
        <sz val="10"/>
        <color rgb="FF010CDD"/>
        <rFont val="汉仪书宋二KW"/>
        <charset val="134"/>
      </rPr>
      <t>，</t>
    </r>
    <r>
      <rPr>
        <sz val="10"/>
        <color rgb="FF010CDD"/>
        <rFont val="等线"/>
        <charset val="134"/>
      </rPr>
      <t>如有问题请告知:
71172-S001:4894680057272
77711GQ1-S002-INT:4894680043350
92146TQ1-S002:4894680058934</t>
    </r>
  </si>
  <si>
    <t>4500202341</t>
  </si>
  <si>
    <t>0989813181</t>
  </si>
  <si>
    <t>4500202341-10</t>
  </si>
  <si>
    <t>7/9 SI</t>
  </si>
  <si>
    <t>ZB06881-8.17</t>
  </si>
  <si>
    <t>0989813277</t>
  </si>
  <si>
    <t>4500202341-20</t>
  </si>
  <si>
    <t>ZB06860-8.17</t>
  </si>
  <si>
    <t>0989813289</t>
  </si>
  <si>
    <t>4500202341-30</t>
  </si>
  <si>
    <t>ZB07002-8.17</t>
  </si>
  <si>
    <t>Zuru  Poland  Sp.  Z  o.o.</t>
  </si>
  <si>
    <t>波兰</t>
  </si>
  <si>
    <t>5200010084</t>
  </si>
  <si>
    <t>4500207562-140</t>
  </si>
  <si>
    <t>71172-S001-MTS</t>
  </si>
  <si>
    <t>7/1 SI</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</si>
  <si>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Info:71172</t>
    </r>
    <r>
      <rPr>
        <sz val="10"/>
        <color rgb="FF010CDD"/>
        <rFont val="汉仪书宋二KW"/>
        <charset val="134"/>
      </rPr>
      <t>：</t>
    </r>
    <r>
      <rPr>
        <sz val="10"/>
        <color rgb="FF010CDD"/>
        <rFont val="等线"/>
        <charset val="134"/>
      </rPr>
      <t>MA  3L+23L  EAN  彩盒+MA  15L  说明书+1*HU  黑白说明贴纸</t>
    </r>
    <r>
      <rPr>
        <sz val="10"/>
        <color rgb="FF010CDD"/>
        <rFont val="汉仪书宋二KW"/>
        <charset val="134"/>
      </rPr>
      <t>（</t>
    </r>
    <r>
      <rPr>
        <sz val="10"/>
        <color rgb="FF010CDD"/>
        <rFont val="等线"/>
        <charset val="134"/>
      </rPr>
      <t>贴在说明书上</t>
    </r>
    <r>
      <rPr>
        <sz val="10"/>
        <color rgb="FF010CDD"/>
        <rFont val="汉仪书宋二KW"/>
        <charset val="134"/>
      </rPr>
      <t>）</t>
    </r>
    <r>
      <rPr>
        <sz val="10"/>
        <color rgb="FF010CDD"/>
        <rFont val="等线"/>
        <charset val="134"/>
      </rPr>
      <t>+1*D版  29L  WEEE带电池走货说明书
Remark: "1.波兰内销单</t>
    </r>
    <r>
      <rPr>
        <sz val="10"/>
        <color rgb="FF010CDD"/>
        <rFont val="汉仪书宋二KW"/>
        <charset val="134"/>
      </rPr>
      <t>，</t>
    </r>
    <r>
      <rPr>
        <sz val="10"/>
        <color rgb="FF010CDD"/>
        <rFont val="等线"/>
        <charset val="134"/>
      </rPr>
      <t>需要通过ZURU  验货结果后才能出货  (工厂需要主动提前同ZURU  QC预约验货避免延期出货造成不必要麻烦)</t>
    </r>
    <r>
      <rPr>
        <sz val="10"/>
        <color rgb="FF010CDD"/>
        <rFont val="汉仪书宋二KW"/>
        <charset val="134"/>
      </rPr>
      <t>；</t>
    </r>
    <r>
      <rPr>
        <sz val="10"/>
        <color rgb="FF010CDD"/>
        <rFont val="等线"/>
        <charset val="134"/>
      </rPr>
      <t xml:space="preserve">
   2.  产品如含有化学品</t>
    </r>
    <r>
      <rPr>
        <sz val="10"/>
        <color rgb="FF010CDD"/>
        <rFont val="汉仪书宋二KW"/>
        <charset val="134"/>
      </rPr>
      <t>，</t>
    </r>
    <r>
      <rPr>
        <sz val="10"/>
        <color rgb="FF010CDD"/>
        <rFont val="等线"/>
        <charset val="134"/>
      </rPr>
      <t>需要无硼无香</t>
    </r>
    <r>
      <rPr>
        <sz val="10"/>
        <color rgb="FF010CDD"/>
        <rFont val="汉仪书宋二KW"/>
        <charset val="134"/>
      </rPr>
      <t>；</t>
    </r>
    <r>
      <rPr>
        <sz val="10"/>
        <color rgb="FF010CDD"/>
        <rFont val="等线"/>
        <charset val="134"/>
      </rPr>
      <t>无微塑料</t>
    </r>
    <r>
      <rPr>
        <sz val="10"/>
        <color rgb="FF010CDD"/>
        <rFont val="汉仪书宋二KW"/>
        <charset val="134"/>
      </rPr>
      <t>，</t>
    </r>
    <r>
      <rPr>
        <sz val="10"/>
        <color rgb="FF010CDD"/>
        <rFont val="等线"/>
        <charset val="134"/>
      </rPr>
      <t>如果产品含有Slime、泥、沙子</t>
    </r>
    <r>
      <rPr>
        <sz val="10"/>
        <color rgb="FF010CDD"/>
        <rFont val="汉仪书宋二KW"/>
        <charset val="134"/>
      </rPr>
      <t>，</t>
    </r>
    <r>
      <rPr>
        <sz val="10"/>
        <color rgb="FF010CDD"/>
        <rFont val="等线"/>
        <charset val="134"/>
      </rPr>
      <t>需要增加一张MTS  PO  SLIME,  DOUGH,  SAND  化学品警语多语说明书</t>
    </r>
    <r>
      <rPr>
        <sz val="10"/>
        <color rgb="FF010CDD"/>
        <rFont val="汉仪书宋二KW"/>
        <charset val="134"/>
      </rPr>
      <t>；</t>
    </r>
    <r>
      <rPr>
        <sz val="10"/>
        <color rgb="FF010CDD"/>
        <rFont val="等线"/>
        <charset val="134"/>
      </rPr>
      <t xml:space="preserve">
   3.  若有特定款有特殊外箱条码要求时,需要明确列出产品款对应的具体外箱条码号码/条码类型  (若无,可以忽略此需求)</t>
    </r>
    <r>
      <rPr>
        <sz val="10"/>
        <color rgb="FF010CDD"/>
        <rFont val="汉仪书宋二KW"/>
        <charset val="134"/>
      </rPr>
      <t>；</t>
    </r>
    <r>
      <rPr>
        <sz val="10"/>
        <color rgb="FF010CDD"/>
        <rFont val="等线"/>
        <charset val="134"/>
      </rPr>
      <t xml:space="preserve">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t>
    </r>
    <r>
      <rPr>
        <sz val="10"/>
        <color rgb="FF010CDD"/>
        <rFont val="汉仪书宋二KW"/>
        <charset val="134"/>
      </rPr>
      <t>，</t>
    </r>
    <r>
      <rPr>
        <sz val="10"/>
        <color rgb="FF010CDD"/>
        <rFont val="等线"/>
        <charset val="134"/>
      </rPr>
      <t>不能早于产品的日期码</t>
    </r>
    <r>
      <rPr>
        <sz val="10"/>
        <color rgb="FF010CDD"/>
        <rFont val="汉仪书宋二KW"/>
        <charset val="134"/>
      </rPr>
      <t>；</t>
    </r>
    <r>
      <rPr>
        <sz val="10"/>
        <color rgb="FF010CDD"/>
        <rFont val="等线"/>
        <charset val="134"/>
      </rPr>
      <t xml:space="preserve">
   6.  所有出往波兰的电子产品身上需要加字唛</t>
    </r>
    <r>
      <rPr>
        <sz val="10"/>
        <color rgb="FF010CDD"/>
        <rFont val="汉仪书宋二KW"/>
        <charset val="134"/>
      </rPr>
      <t>，</t>
    </r>
    <r>
      <rPr>
        <sz val="10"/>
        <color rgb="FF010CDD"/>
        <rFont val="等线"/>
        <charset val="134"/>
      </rPr>
      <t>为ZURU  FRANCE  地址</t>
    </r>
    <r>
      <rPr>
        <sz val="10"/>
        <color rgb="FF010CDD"/>
        <rFont val="汉仪书宋二KW"/>
        <charset val="134"/>
      </rPr>
      <t>，</t>
    </r>
    <r>
      <rPr>
        <sz val="10"/>
        <color rgb="FF010CDD"/>
        <rFont val="等线"/>
        <charset val="134"/>
      </rPr>
      <t>需跟包装上的地址一致  (如无电子产品</t>
    </r>
    <r>
      <rPr>
        <sz val="10"/>
        <color rgb="FF010CDD"/>
        <rFont val="汉仪书宋二KW"/>
        <charset val="134"/>
      </rPr>
      <t>，</t>
    </r>
    <r>
      <rPr>
        <sz val="10"/>
        <color rgb="FF010CDD"/>
        <rFont val="等线"/>
        <charset val="134"/>
      </rPr>
      <t>产品布标有此地址</t>
    </r>
    <r>
      <rPr>
        <sz val="10"/>
        <color rgb="FF010CDD"/>
        <rFont val="汉仪书宋二KW"/>
        <charset val="134"/>
      </rPr>
      <t>，</t>
    </r>
    <r>
      <rPr>
        <sz val="10"/>
        <color rgb="FF010CDD"/>
        <rFont val="等线"/>
        <charset val="134"/>
      </rPr>
      <t>或产品太小无法增加可忽略此信
息。如产品无法加字唛</t>
    </r>
    <r>
      <rPr>
        <sz val="10"/>
        <color rgb="FF010CDD"/>
        <rFont val="汉仪书宋二KW"/>
        <charset val="134"/>
      </rPr>
      <t>，</t>
    </r>
    <r>
      <rPr>
        <sz val="10"/>
        <color rgb="FF010CDD"/>
        <rFont val="等线"/>
        <charset val="134"/>
      </rPr>
      <t>需让对应跟单提供产品贴纸资料)
新地址</t>
    </r>
    <r>
      <rPr>
        <sz val="10"/>
        <color rgb="FF010CDD"/>
        <rFont val="汉仪书宋二KW"/>
        <charset val="134"/>
      </rPr>
      <t>：</t>
    </r>
    <r>
      <rPr>
        <sz val="10"/>
        <color rgb="FF010CDD"/>
        <rFont val="等线"/>
        <charset val="134"/>
      </rPr>
      <t>ZURU  France  33  rue  Paul  Meurice  75020  Paris,  France
旧地址</t>
    </r>
    <r>
      <rPr>
        <sz val="10"/>
        <color rgb="FF010CDD"/>
        <rFont val="汉仪书宋二KW"/>
        <charset val="134"/>
      </rPr>
      <t>：</t>
    </r>
    <r>
      <rPr>
        <sz val="10"/>
        <color rgb="FF010CDD"/>
        <rFont val="等线"/>
        <charset val="134"/>
      </rPr>
      <t>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所有出往波兰订单的电子产品需增加一张最新版本的欧洲通用WEEE声明说明书</t>
    </r>
    <r>
      <rPr>
        <sz val="10"/>
        <color rgb="FF010CDD"/>
        <rFont val="汉仪书宋二KW"/>
        <charset val="134"/>
      </rPr>
      <t>，</t>
    </r>
    <r>
      <rPr>
        <sz val="10"/>
        <color rgb="FF010CDD"/>
        <rFont val="等线"/>
        <charset val="134"/>
      </rPr>
      <t>区分带电池和不带电池版本,  如已做客版说明书可忽略此要求。"</t>
    </r>
  </si>
  <si>
    <t>Faye  Lei,Amy  Xiao</t>
  </si>
  <si>
    <t>71172-S001-MTS-3L</t>
  </si>
  <si>
    <t>SIPLEC</t>
  </si>
  <si>
    <t>1346737</t>
  </si>
  <si>
    <t>4500201774-60</t>
  </si>
  <si>
    <t>6/30第三方验货+抽板测试</t>
  </si>
  <si>
    <r>
      <rPr>
        <sz val="10"/>
        <color rgb="FF0000FF"/>
        <rFont val="等线"/>
        <charset val="134"/>
      </rPr>
      <t>第三方抽样</t>
    </r>
    <r>
      <rPr>
        <sz val="10"/>
        <color rgb="FF0000FF"/>
        <rFont val="汉仪书宋二KW"/>
        <charset val="134"/>
      </rPr>
      <t>，</t>
    </r>
    <r>
      <rPr>
        <sz val="10"/>
        <color rgb="FF0000FF"/>
        <rFont val="等线"/>
        <charset val="134"/>
      </rPr>
      <t>抽板8-10套</t>
    </r>
  </si>
  <si>
    <t>1346737-26</t>
  </si>
  <si>
    <r>
      <rPr>
        <sz val="10"/>
        <color rgb="FF0000FF"/>
        <rFont val="等线"/>
        <charset val="134"/>
      </rPr>
      <t>日期码格式</t>
    </r>
    <r>
      <rPr>
        <sz val="10"/>
        <color rgb="FF0000FF"/>
        <rFont val="汉仪书宋二KW"/>
        <charset val="134"/>
      </rPr>
      <t>：</t>
    </r>
    <r>
      <rPr>
        <sz val="10"/>
        <color rgb="FF0000FF"/>
        <rFont val="等线"/>
        <charset val="134"/>
      </rPr>
      <t>1346737-26 日期</t>
    </r>
    <r>
      <rPr>
        <sz val="10"/>
        <color rgb="FF0000FF"/>
        <rFont val="汉仪书宋二KW"/>
        <charset val="134"/>
      </rPr>
      <t>：</t>
    </r>
    <r>
      <rPr>
        <sz val="10"/>
        <color rgb="FF0000FF"/>
        <rFont val="等线"/>
        <charset val="134"/>
      </rPr>
      <t xml:space="preserve">
Packaging Info: 71152-S001: 客版彩盒(含客人指定条码/客人指定日期码1346737-26</t>
    </r>
    <r>
      <rPr>
        <sz val="10"/>
        <color rgb="FF0000FF"/>
        <rFont val="汉仪书宋二KW"/>
        <charset val="134"/>
      </rPr>
      <t>）</t>
    </r>
    <r>
      <rPr>
        <sz val="10"/>
        <color rgb="FF0000FF"/>
        <rFont val="等线"/>
        <charset val="134"/>
      </rPr>
      <t xml:space="preserve">+ MA 5L+9L B版说明书 + 额外客版黑白说明书 (含PT/SI语言+ FR/ES/PL/PT SI 5L WEEE 不
带电池出货最新版 </t>
    </r>
    <r>
      <rPr>
        <sz val="10"/>
        <color rgb="FF0000FF"/>
        <rFont val="汉仪书宋二KW"/>
        <charset val="134"/>
      </rPr>
      <t>）</t>
    </r>
    <r>
      <rPr>
        <sz val="10"/>
        <color rgb="FF0000FF"/>
        <rFont val="等线"/>
        <charset val="134"/>
      </rPr>
      <t>+ 客人指定型号干燥器
71126-S001: MA3L EAN彩卡+客户贴纸(含SI语言+客人指定条码+客人指定日期码1346737-26)+ MA5+9L警语说明书+额外黑白说明书书纸(含PL+SI语言+WEEE不带电池
出货最新版</t>
    </r>
    <r>
      <rPr>
        <sz val="10"/>
        <color rgb="FF0000FF"/>
        <rFont val="汉仪书宋二KW"/>
        <charset val="134"/>
      </rPr>
      <t>）</t>
    </r>
    <r>
      <rPr>
        <sz val="10"/>
        <color rgb="FF0000FF"/>
        <rFont val="等线"/>
        <charset val="134"/>
      </rPr>
      <t xml:space="preserve">+客人指定干燥剂
71137-S001: MA23L警语EAN-B版彩盒+客户贴纸(含客户产品条码+指定日期码:1346737-26) + MA 5L B版说明书 + 额外客版黑白说明书 (含PL/PT/SI语言+ FR/ES/PL
/PT SI 5L WEEE 不带电池出货最新版 </t>
    </r>
    <r>
      <rPr>
        <sz val="10"/>
        <color rgb="FF0000FF"/>
        <rFont val="汉仪书宋二KW"/>
        <charset val="134"/>
      </rPr>
      <t>）</t>
    </r>
    <r>
      <rPr>
        <sz val="10"/>
        <color rgb="FF0000FF"/>
        <rFont val="等线"/>
        <charset val="134"/>
      </rPr>
      <t>+ 客人指定型号干燥器
9561-S001: MA5L+6L B版EAN彩卡+客户贴纸(含PT/PL/SI语言+客人指定条码+客人指定日期码1346737-26)+MA5L收藏指南+MA5L指导书+额外客版黑白收藏指南/指导
书书纸(含PT/PL/SI语言)+MA Slime 袋子+ SLIME 额外贴纸(PL/SI语言)+WEEE带电池出货最新版+客人指定干燥剂
71152-S001: 客版彩盒(含客人指定条码/客人指定日期码1346737-26</t>
    </r>
    <r>
      <rPr>
        <sz val="10"/>
        <color rgb="FF0000FF"/>
        <rFont val="汉仪书宋二KW"/>
        <charset val="134"/>
      </rPr>
      <t>）</t>
    </r>
    <r>
      <rPr>
        <sz val="10"/>
        <color rgb="FF0000FF"/>
        <rFont val="等线"/>
        <charset val="134"/>
      </rPr>
      <t xml:space="preserve">+ MA 5L+9L B版说明书 + 额外客版黑白说明书 (含PT/SI语言+ FR/ES/PL/PT SI 5L WEEE 不
带电池出货最新版 </t>
    </r>
    <r>
      <rPr>
        <sz val="10"/>
        <color rgb="FF0000FF"/>
        <rFont val="汉仪书宋二KW"/>
        <charset val="134"/>
      </rPr>
      <t>）</t>
    </r>
    <r>
      <rPr>
        <sz val="10"/>
        <color rgb="FF0000FF"/>
        <rFont val="等线"/>
        <charset val="134"/>
      </rPr>
      <t>+ 客人指定型号干燥器
71126-S001: MA3L EAN彩卡+客户贴纸(含SI语言+客人指定条码+客人指定日期码1346737-26)+ MA5+9L警语说明书+额外黑白说明书书纸(含PL+SI语言+WEEE不带电池
出货最新版</t>
    </r>
    <r>
      <rPr>
        <sz val="10"/>
        <color rgb="FF0000FF"/>
        <rFont val="汉仪书宋二KW"/>
        <charset val="134"/>
      </rPr>
      <t>）</t>
    </r>
    <r>
      <rPr>
        <sz val="10"/>
        <color rgb="FF0000FF"/>
        <rFont val="等线"/>
        <charset val="134"/>
      </rPr>
      <t xml:space="preserve">+客人指定干燥剂
71137-S001: MA23L警语EAN-B版彩盒+客户贴纸(含客户产品条码+指定日期码:1346737-26) + MA 5L B版说明书 + 额外客版黑白说明书 (含PL/PT/SI语言+ FR/ES/PL
/PT SI 5L WEEE 不带电池出货最新版 </t>
    </r>
    <r>
      <rPr>
        <sz val="10"/>
        <color rgb="FF0000FF"/>
        <rFont val="汉仪书宋二KW"/>
        <charset val="134"/>
      </rPr>
      <t>）</t>
    </r>
    <r>
      <rPr>
        <sz val="10"/>
        <color rgb="FF0000FF"/>
        <rFont val="等线"/>
        <charset val="134"/>
      </rPr>
      <t>+ 客人指定型号干燥器
9561-S001: MA5L+6L B版EAN彩卡+客户贴纸(含PT/PL/SI语言+客人指定条码+客人指定日期码1346737-26)+MA5L收藏指南+MA5L指导书+额外客版黑白收藏指南/指导
书书纸(含PT/PL/SI语言)+MA Slime 袋子+ SLIME 额外贴纸(PL/SI语言)+WEEE带电池出货最新版+客人指定干燥剂
77772SK1-S002</t>
    </r>
    <r>
      <rPr>
        <sz val="10"/>
        <color rgb="FF0000FF"/>
        <rFont val="汉仪书宋二KW"/>
        <charset val="134"/>
      </rPr>
      <t>：</t>
    </r>
    <r>
      <rPr>
        <sz val="10"/>
        <color rgb="FF0000FF"/>
        <rFont val="等线"/>
        <charset val="134"/>
      </rPr>
      <t>MA3L EAN收缩膜+2张客户贴纸(含法国回收标+PT/PL/SI语言+客人指定条码+客人指定日期码1346737-26)+MA5L收藏指南+额外收藏指南贴纸(含PT/PL
/SI语言</t>
    </r>
    <r>
      <rPr>
        <sz val="10"/>
        <color rgb="FF0000FF"/>
        <rFont val="汉仪书宋二KW"/>
        <charset val="134"/>
      </rPr>
      <t>）</t>
    </r>
    <r>
      <rPr>
        <sz val="10"/>
        <color rgb="FF0000FF"/>
        <rFont val="等线"/>
        <charset val="134"/>
      </rPr>
      <t>+MA小袋子+MA23L组装说明书+MA3L展示架
77772SK1-S002</t>
    </r>
    <r>
      <rPr>
        <sz val="10"/>
        <color rgb="FF0000FF"/>
        <rFont val="汉仪书宋二KW"/>
        <charset val="134"/>
      </rPr>
      <t>：</t>
    </r>
    <r>
      <rPr>
        <sz val="10"/>
        <color rgb="FF0000FF"/>
        <rFont val="等线"/>
        <charset val="134"/>
      </rPr>
      <t>MA3L EAN收缩膜+2张客户贴纸(含法国回收标+PT/PL/SI语言+客人指定条码+客人指定日期码1346737-26)+MA5L收藏指南+额外收藏指南贴纸(含PT/
PL/SI语言</t>
    </r>
    <r>
      <rPr>
        <sz val="10"/>
        <color rgb="FF0000FF"/>
        <rFont val="汉仪书宋二KW"/>
        <charset val="134"/>
      </rPr>
      <t>）</t>
    </r>
    <r>
      <rPr>
        <sz val="10"/>
        <color rgb="FF0000FF"/>
        <rFont val="等线"/>
        <charset val="134"/>
      </rPr>
      <t>+MA小袋子+MA23L组装说明书+MA3L展示架
9296-S001: MA3L+23L警语EAN B版收缩膜+客人贴纸(含指定条码+指定日期码1346737-26</t>
    </r>
    <r>
      <rPr>
        <sz val="10"/>
        <color rgb="FF0000FF"/>
        <rFont val="汉仪书宋二KW"/>
        <charset val="134"/>
      </rPr>
      <t>）</t>
    </r>
    <r>
      <rPr>
        <sz val="10"/>
        <color rgb="FF0000FF"/>
        <rFont val="等线"/>
        <charset val="134"/>
      </rPr>
      <t>+MA车缝标+MA 3L吊牌+额外吊牌贴纸(含PL/PT/SI语言</t>
    </r>
    <r>
      <rPr>
        <sz val="10"/>
        <color rgb="FF0000FF"/>
        <rFont val="汉仪书宋二KW"/>
        <charset val="134"/>
      </rPr>
      <t>）</t>
    </r>
    <r>
      <rPr>
        <sz val="10"/>
        <color rgb="FF0000FF"/>
        <rFont val="等线"/>
        <charset val="134"/>
      </rPr>
      <t>+MA9L警示语B版S
LIME塑胶袋+额外贴纸(含SL语言)+MA23L B版种子袋子+MA23L 警语收藏指南B版+客人指定干燥剂
9574-S001: MA3L+23L EAN警语彩卡A版+客户贴纸</t>
    </r>
    <r>
      <rPr>
        <sz val="10"/>
        <color rgb="FF0000FF"/>
        <rFont val="汉仪书宋二KW"/>
        <charset val="134"/>
      </rPr>
      <t>（</t>
    </r>
    <r>
      <rPr>
        <sz val="10"/>
        <color rgb="FF0000FF"/>
        <rFont val="等线"/>
        <charset val="134"/>
      </rPr>
      <t>含客户产品条码+指定日期码:1346737-26)+MA7L说明书B版+额外黑白说明书( 含PT/PL/SI语言+5L WEEE不带电池
出货</t>
    </r>
    <r>
      <rPr>
        <sz val="10"/>
        <color rgb="FF0000FF"/>
        <rFont val="汉仪书宋二KW"/>
        <charset val="134"/>
      </rPr>
      <t>）</t>
    </r>
    <r>
      <rPr>
        <sz val="10"/>
        <color rgb="FF0000FF"/>
        <rFont val="等线"/>
        <charset val="134"/>
      </rPr>
      <t>+客人指定干燥剂
77858-S001: MA23L 警语EAN彩卡+客户贴纸(含客人指定条码+客人指定日期码1346737-26)+MA5L收藏指南+额外收藏指南黑白书纸(含PT/PL/SI语言</t>
    </r>
    <r>
      <rPr>
        <sz val="10"/>
        <color rgb="FF0000FF"/>
        <rFont val="汉仪书宋二KW"/>
        <charset val="134"/>
      </rPr>
      <t>）</t>
    </r>
    <r>
      <rPr>
        <sz val="10"/>
        <color rgb="FF0000FF"/>
        <rFont val="等线"/>
        <charset val="134"/>
      </rPr>
      <t>+MA23L电池说明
书+MA袋子+MA贴纸+WEEE不带电池出货最新版+客人指定干燥剂
77711GQ2-S001-INT</t>
    </r>
    <r>
      <rPr>
        <sz val="10"/>
        <color rgb="FF0000FF"/>
        <rFont val="汉仪书宋二KW"/>
        <charset val="134"/>
      </rPr>
      <t>：</t>
    </r>
    <r>
      <rPr>
        <sz val="10"/>
        <color rgb="FF0000FF"/>
        <rFont val="等线"/>
        <charset val="134"/>
      </rPr>
      <t>MA3L EAN收缩膜+客户贴纸(含法国回收标+PT/PL/SI语言+客人指定条码+客人指定日期码1346737-26)+MA配件卡+MA5L玩法说明书+额外玩法贴
纸(含PT/PL/SI语言</t>
    </r>
    <r>
      <rPr>
        <sz val="10"/>
        <color rgb="FF0000FF"/>
        <rFont val="汉仪书宋二KW"/>
        <charset val="134"/>
      </rPr>
      <t>）</t>
    </r>
    <r>
      <rPr>
        <sz val="10"/>
        <color rgb="FF0000FF"/>
        <rFont val="等线"/>
        <charset val="134"/>
      </rPr>
      <t>+MA5L UV Glue 贴纸+额外UV Glue 贴纸(PT/PL/SI语言</t>
    </r>
    <r>
      <rPr>
        <sz val="10"/>
        <color rgb="FF0000FF"/>
        <rFont val="汉仪书宋二KW"/>
        <charset val="134"/>
      </rPr>
      <t>）</t>
    </r>
    <r>
      <rPr>
        <sz val="10"/>
        <color rgb="FF0000FF"/>
        <rFont val="等线"/>
        <charset val="134"/>
      </rPr>
      <t>+MA纸袋+MA配件卡+MA23L说明书+MA3L展示盒
77673TQ1-S002</t>
    </r>
    <r>
      <rPr>
        <sz val="10"/>
        <color rgb="FF0000FF"/>
        <rFont val="汉仪书宋二KW"/>
        <charset val="134"/>
      </rPr>
      <t>：</t>
    </r>
    <r>
      <rPr>
        <sz val="10"/>
        <color rgb="FF0000FF"/>
        <rFont val="等线"/>
        <charset val="134"/>
      </rPr>
      <t>MA3L EAN彩卡+客户贴纸(含PT/PL/SI语言+客人指定条码+客人指定日期码1346737-26)+MA5L收藏指南+额外收藏指南贴纸(含PT/PL/SI语言</t>
    </r>
    <r>
      <rPr>
        <sz val="10"/>
        <color rgb="FF0000FF"/>
        <rFont val="汉仪书宋二KW"/>
        <charset val="134"/>
      </rPr>
      <t>）</t>
    </r>
    <r>
      <rPr>
        <sz val="10"/>
        <color rgb="FF0000FF"/>
        <rFont val="等线"/>
        <charset val="134"/>
      </rPr>
      <t>+MA23L
说明书+WEEE带电池出货最新版+MA3L展示盒+客人指定干燥剂
Remark: 1.预计6/24第三方验货+抽板测试</t>
    </r>
    <r>
      <rPr>
        <sz val="10"/>
        <color rgb="FF0000FF"/>
        <rFont val="汉仪书宋二KW"/>
        <charset val="134"/>
      </rPr>
      <t>，</t>
    </r>
    <r>
      <rPr>
        <sz val="10"/>
        <color rgb="FF0000FF"/>
        <rFont val="等线"/>
        <charset val="134"/>
      </rPr>
      <t>71126/71172 需每款抽板10-12套左右测试</t>
    </r>
    <r>
      <rPr>
        <sz val="10"/>
        <color rgb="FF0000FF"/>
        <rFont val="汉仪书宋二KW"/>
        <charset val="134"/>
      </rPr>
      <t>，</t>
    </r>
    <r>
      <rPr>
        <sz val="10"/>
        <color rgb="FF0000FF"/>
        <rFont val="等线"/>
        <charset val="134"/>
      </rPr>
      <t>请多备料</t>
    </r>
    <r>
      <rPr>
        <sz val="10"/>
        <color rgb="FF0000FF"/>
        <rFont val="汉仪书宋二KW"/>
        <charset val="134"/>
      </rPr>
      <t>；</t>
    </r>
    <r>
      <rPr>
        <sz val="10"/>
        <color rgb="FF0000FF"/>
        <rFont val="等线"/>
        <charset val="134"/>
      </rPr>
      <t xml:space="preserve">
2.交期前两周前准备好2套大货样给SIPLEC HK OFFICE / 实验室
3.指定日期码1346737-26
4.需在checkpoints上采购外箱贴纸, 跟单会通过邮件发送采购指引</t>
    </r>
    <r>
      <rPr>
        <sz val="10"/>
        <color rgb="FF0000FF"/>
        <rFont val="汉仪书宋二KW"/>
        <charset val="134"/>
      </rPr>
      <t>；</t>
    </r>
    <r>
      <rPr>
        <sz val="10"/>
        <color rgb="FF0000FF"/>
        <rFont val="等线"/>
        <charset val="134"/>
      </rPr>
      <t>.
5. #71152/71126/71137/9561/71172/9296/9574/9574/77858/77673TQ1 - 带电产品每箱放3包透明颗粒状干燥剂(每包约5g)</t>
    </r>
    <r>
      <rPr>
        <sz val="10"/>
        <color rgb="FF0000FF"/>
        <rFont val="汉仪书宋二KW"/>
        <charset val="134"/>
      </rPr>
      <t>，</t>
    </r>
    <r>
      <rPr>
        <sz val="10"/>
        <color rgb="FF0000FF"/>
        <rFont val="等线"/>
        <charset val="134"/>
      </rPr>
      <t>包干燥剂的袋子要有"SILICA GEL - D
O NOT EAT - DESSICANT - THROW AWAY " 字样</t>
    </r>
    <r>
      <rPr>
        <sz val="10"/>
        <color rgb="FF0000FF"/>
        <rFont val="汉仪书宋二KW"/>
        <charset val="134"/>
      </rPr>
      <t>；</t>
    </r>
    <r>
      <rPr>
        <sz val="10"/>
        <color rgb="FF0000FF"/>
        <rFont val="等线"/>
        <charset val="134"/>
      </rPr>
      <t xml:space="preserve">
6. 包装禁止使用PVC塑料</t>
    </r>
    <r>
      <rPr>
        <sz val="10"/>
        <color rgb="FF0000FF"/>
        <rFont val="汉仪书宋二KW"/>
        <charset val="134"/>
      </rPr>
      <t>；</t>
    </r>
    <r>
      <rPr>
        <sz val="10"/>
        <color rgb="FF0000FF"/>
        <rFont val="等线"/>
        <charset val="134"/>
      </rPr>
      <t xml:space="preserve">
7. 此票出法国</t>
    </r>
    <r>
      <rPr>
        <sz val="10"/>
        <color rgb="FF0000FF"/>
        <rFont val="汉仪书宋二KW"/>
        <charset val="134"/>
      </rPr>
      <t>，</t>
    </r>
    <r>
      <rPr>
        <sz val="10"/>
        <color rgb="FF0000FF"/>
        <rFont val="等线"/>
        <charset val="134"/>
      </rPr>
      <t>需符合EU标准及微塑料法规</t>
    </r>
    <r>
      <rPr>
        <sz val="10"/>
        <color rgb="FF0000FF"/>
        <rFont val="汉仪书宋二KW"/>
        <charset val="134"/>
      </rPr>
      <t>，</t>
    </r>
    <r>
      <rPr>
        <sz val="10"/>
        <color rgb="FF0000FF"/>
        <rFont val="等线"/>
        <charset val="134"/>
      </rPr>
      <t>包装需含法国回收logo</t>
    </r>
    <r>
      <rPr>
        <sz val="10"/>
        <color rgb="FF0000FF"/>
        <rFont val="汉仪书宋二KW"/>
        <charset val="134"/>
      </rPr>
      <t>；</t>
    </r>
  </si>
  <si>
    <t>Ula Zhao</t>
  </si>
  <si>
    <t>4500201774</t>
  </si>
  <si>
    <t>4500201774-70</t>
  </si>
  <si>
    <t>1346748</t>
  </si>
  <si>
    <t>4500201727-50</t>
  </si>
  <si>
    <t>第三方验货+抽办8-10套左右测试,</t>
  </si>
  <si>
    <t>8/11装柜</t>
  </si>
  <si>
    <r>
      <rPr>
        <sz val="10"/>
        <color rgb="FF0000FF"/>
        <rFont val="等线"/>
        <charset val="134"/>
      </rPr>
      <t>日期码格式</t>
    </r>
    <r>
      <rPr>
        <sz val="10"/>
        <color rgb="FF0000FF"/>
        <rFont val="汉仪书宋二KW"/>
        <charset val="134"/>
      </rPr>
      <t>：</t>
    </r>
    <r>
      <rPr>
        <sz val="10"/>
        <color rgb="FF0000FF"/>
        <rFont val="等线"/>
        <charset val="134"/>
      </rPr>
      <t>1346737-26 日期</t>
    </r>
    <r>
      <rPr>
        <sz val="10"/>
        <color rgb="FF0000FF"/>
        <rFont val="汉仪书宋二KW"/>
        <charset val="134"/>
      </rPr>
      <t>：</t>
    </r>
    <r>
      <rPr>
        <sz val="10"/>
        <color rgb="FF0000FF"/>
        <rFont val="等线"/>
        <charset val="134"/>
      </rPr>
      <t xml:space="preserve">
Packaging Info: 71152-S001: 客版彩盒(含客人指定条码/客人指定日期码1346737-26</t>
    </r>
    <r>
      <rPr>
        <sz val="10"/>
        <color rgb="FF0000FF"/>
        <rFont val="汉仪书宋二KW"/>
        <charset val="134"/>
      </rPr>
      <t>）</t>
    </r>
    <r>
      <rPr>
        <sz val="10"/>
        <color rgb="FF0000FF"/>
        <rFont val="等线"/>
        <charset val="134"/>
      </rPr>
      <t xml:space="preserve">+ MA 5L+9L B版说明书 + 额外客版黑白说明书 (含PT/SI语言+ FR/ES/PL/PT SI 5L WEEE 不
带电池出货最新版 </t>
    </r>
    <r>
      <rPr>
        <sz val="10"/>
        <color rgb="FF0000FF"/>
        <rFont val="汉仪书宋二KW"/>
        <charset val="134"/>
      </rPr>
      <t>）</t>
    </r>
    <r>
      <rPr>
        <sz val="10"/>
        <color rgb="FF0000FF"/>
        <rFont val="等线"/>
        <charset val="134"/>
      </rPr>
      <t>+ 客人指定型号干燥器
71126-S001: MA3L EAN彩卡+客户贴纸(含SI语言+客人指定条码+客人指定日期码1346737-26)+ MA5+9L警语说明书+额外黑白说明书书纸(含PL+SI语言+WEEE不带电池
出货最新版</t>
    </r>
    <r>
      <rPr>
        <sz val="10"/>
        <color rgb="FF0000FF"/>
        <rFont val="汉仪书宋二KW"/>
        <charset val="134"/>
      </rPr>
      <t>）</t>
    </r>
    <r>
      <rPr>
        <sz val="10"/>
        <color rgb="FF0000FF"/>
        <rFont val="等线"/>
        <charset val="134"/>
      </rPr>
      <t xml:space="preserve">+客人指定干燥剂
71137-S001: MA23L警语EAN-B版彩盒+客户贴纸(含客户产品条码+指定日期码:1346737-26) + MA 5L B版说明书 + 额外客版黑白说明书 (含PL/PT/SI语言+ FR/ES/PL
/PT SI 5L WEEE 不带电池出货最新版 </t>
    </r>
    <r>
      <rPr>
        <sz val="10"/>
        <color rgb="FF0000FF"/>
        <rFont val="汉仪书宋二KW"/>
        <charset val="134"/>
      </rPr>
      <t>）</t>
    </r>
    <r>
      <rPr>
        <sz val="10"/>
        <color rgb="FF0000FF"/>
        <rFont val="等线"/>
        <charset val="134"/>
      </rPr>
      <t>+ 客人指定型号干燥器
9561-S001: MA5L+6L B版EAN彩卡+客户贴纸(含PT/PL/SI语言+客人指定条码+客人指定日期码1346737-26)+MA5L收藏指南+MA5L指导书+额外客版黑白收藏指南/指导
书书纸(含PT/PL/SI语言)+MA Slime 袋子+ SLIME 额外贴纸(PL/SI语言)+WEEE带电池出货最新版+客人指定干燥剂
9296-S001: MA3L+23L警语EAN B版收缩膜+客人贴纸(含指定条码+指定日期码1346737-26</t>
    </r>
    <r>
      <rPr>
        <sz val="10"/>
        <color rgb="FF0000FF"/>
        <rFont val="汉仪书宋二KW"/>
        <charset val="134"/>
      </rPr>
      <t>）</t>
    </r>
    <r>
      <rPr>
        <sz val="10"/>
        <color rgb="FF0000FF"/>
        <rFont val="等线"/>
        <charset val="134"/>
      </rPr>
      <t>+MA车缝标+MA 3L吊牌+额外吊牌贴纸(含PL/PT/SI语言</t>
    </r>
    <r>
      <rPr>
        <sz val="10"/>
        <color rgb="FF0000FF"/>
        <rFont val="汉仪书宋二KW"/>
        <charset val="134"/>
      </rPr>
      <t>）</t>
    </r>
    <r>
      <rPr>
        <sz val="10"/>
        <color rgb="FF0000FF"/>
        <rFont val="等线"/>
        <charset val="134"/>
      </rPr>
      <t>+MA9L警示语B版SL
IME塑胶袋+额外贴纸(含SL语言)+MA23L B版种子袋子+MA23L 警语收藏指南B版+客人指定干燥剂
9574-S001: MA3L+23L EAN警语彩卡A版+客户贴纸</t>
    </r>
    <r>
      <rPr>
        <sz val="10"/>
        <color rgb="FF0000FF"/>
        <rFont val="汉仪书宋二KW"/>
        <charset val="134"/>
      </rPr>
      <t>（</t>
    </r>
    <r>
      <rPr>
        <sz val="10"/>
        <color rgb="FF0000FF"/>
        <rFont val="等线"/>
        <charset val="134"/>
      </rPr>
      <t>含客户产品条码+指定日期码:1346737-26)+MA7L说明书B版+额外黑白说明书( 含PT/PL/SI语言+5L WEEE不带电池
出货</t>
    </r>
    <r>
      <rPr>
        <sz val="10"/>
        <color rgb="FF0000FF"/>
        <rFont val="汉仪书宋二KW"/>
        <charset val="134"/>
      </rPr>
      <t>）</t>
    </r>
    <r>
      <rPr>
        <sz val="10"/>
        <color rgb="FF0000FF"/>
        <rFont val="等线"/>
        <charset val="134"/>
      </rPr>
      <t>+客人指定干燥剂
77772GQ2-S001: MA3L EAN收缩膜+2张客户贴纸(含法国回收标+PT/PL/SI语言+客人指定条码+客人指定日期码1346737-26)+MA5L收藏指南+额外收藏指南贴纸(含PT/PL
/SI语言</t>
    </r>
    <r>
      <rPr>
        <sz val="10"/>
        <color rgb="FF0000FF"/>
        <rFont val="汉仪书宋二KW"/>
        <charset val="134"/>
      </rPr>
      <t>）</t>
    </r>
    <r>
      <rPr>
        <sz val="10"/>
        <color rgb="FF0000FF"/>
        <rFont val="等线"/>
        <charset val="134"/>
      </rPr>
      <t>+MA小袋子+MA23L组装说明书+MA3L展示盒
77794UQ1-S001: 客版彩卡(含FR/ES/PT/PL/SI语言+客人指定条码+客人指定日期码1346737-26)+MA5L+23L警语收藏指南+MA小袋子+MA23L 使用说明书+MA23L锂电池说
明书+MA23L说明书+MA23L组装说明书+WEEE 带电池出货最新版+MA3L展示盒+客人指定干燥剂
77858-S001: MA23L 警语EAN彩卡+客户贴纸(含客人指定条码+客人指定日期码1346737-26)+MA5L收藏指南+额外收藏指南黑白书纸(含PT/PL/SI语言</t>
    </r>
    <r>
      <rPr>
        <sz val="10"/>
        <color rgb="FF0000FF"/>
        <rFont val="汉仪书宋二KW"/>
        <charset val="134"/>
      </rPr>
      <t>）</t>
    </r>
    <r>
      <rPr>
        <sz val="10"/>
        <color rgb="FF0000FF"/>
        <rFont val="等线"/>
        <charset val="134"/>
      </rPr>
      <t>+MA23L电池说明
书+MA袋子+MA贴纸+WEEE不带电池出货最新版+客人指定干燥剂
77711GQ2-S001-INT</t>
    </r>
    <r>
      <rPr>
        <sz val="10"/>
        <color rgb="FF0000FF"/>
        <rFont val="汉仪书宋二KW"/>
        <charset val="134"/>
      </rPr>
      <t>：</t>
    </r>
    <r>
      <rPr>
        <sz val="10"/>
        <color rgb="FF0000FF"/>
        <rFont val="等线"/>
        <charset val="134"/>
      </rPr>
      <t>MA3L EAN收缩膜+客户贴纸(含法国回收标+PT/PL/SI语言+客人指定条码+客人指定日期码1346737-26)+MA配件卡+MA5L玩法说明书+额外玩法贴
纸(含PT/PL/SI语言</t>
    </r>
    <r>
      <rPr>
        <sz val="10"/>
        <color rgb="FF0000FF"/>
        <rFont val="汉仪书宋二KW"/>
        <charset val="134"/>
      </rPr>
      <t>）</t>
    </r>
    <r>
      <rPr>
        <sz val="10"/>
        <color rgb="FF0000FF"/>
        <rFont val="等线"/>
        <charset val="134"/>
      </rPr>
      <t>+MA5L UV Glue 贴纸+额外UV Glue 贴纸(PT/PL/SI语言</t>
    </r>
    <r>
      <rPr>
        <sz val="10"/>
        <color rgb="FF0000FF"/>
        <rFont val="汉仪书宋二KW"/>
        <charset val="134"/>
      </rPr>
      <t>）</t>
    </r>
    <r>
      <rPr>
        <sz val="10"/>
        <color rgb="FF0000FF"/>
        <rFont val="等线"/>
        <charset val="134"/>
      </rPr>
      <t>+MA纸袋+MA配件卡+MA23L说明书+MA3L展示盒
77673TQ1-S002</t>
    </r>
    <r>
      <rPr>
        <sz val="10"/>
        <color rgb="FF0000FF"/>
        <rFont val="汉仪书宋二KW"/>
        <charset val="134"/>
      </rPr>
      <t>：</t>
    </r>
    <r>
      <rPr>
        <sz val="10"/>
        <color rgb="FF0000FF"/>
        <rFont val="等线"/>
        <charset val="134"/>
      </rPr>
      <t>MA3L EAN彩卡+客户贴纸(含PT/PL/SI语言+客人指定条码+客人指定日期码1346737-26)+MA5L收藏指南+额外收藏指南贴纸(含PT/PL/SI语言</t>
    </r>
    <r>
      <rPr>
        <sz val="10"/>
        <color rgb="FF0000FF"/>
        <rFont val="汉仪书宋二KW"/>
        <charset val="134"/>
      </rPr>
      <t>）</t>
    </r>
    <r>
      <rPr>
        <sz val="10"/>
        <color rgb="FF0000FF"/>
        <rFont val="等线"/>
        <charset val="134"/>
      </rPr>
      <t>+MA23L
说明书+WEEE带电池出货最新版+MA3L展示盒+客人指定干燥剂
77772SK1-S002</t>
    </r>
    <r>
      <rPr>
        <sz val="10"/>
        <color rgb="FF0000FF"/>
        <rFont val="汉仪书宋二KW"/>
        <charset val="134"/>
      </rPr>
      <t>：</t>
    </r>
    <r>
      <rPr>
        <sz val="10"/>
        <color rgb="FF0000FF"/>
        <rFont val="等线"/>
        <charset val="134"/>
      </rPr>
      <t>MA3L EAN收缩膜+2张客户贴纸(含法国回收标+PT/PL/SI语言+客人指定条码+客人指定日期码1346737-26)+MA5L收藏指南+额外收藏指南贴纸(含PT/PL
/SI语言</t>
    </r>
    <r>
      <rPr>
        <sz val="10"/>
        <color rgb="FF0000FF"/>
        <rFont val="汉仪书宋二KW"/>
        <charset val="134"/>
      </rPr>
      <t>）</t>
    </r>
    <r>
      <rPr>
        <sz val="10"/>
        <color rgb="FF0000FF"/>
        <rFont val="等线"/>
        <charset val="134"/>
      </rPr>
      <t>+MA小袋子+MA23L组装说明书+MA3L展示架
71172-S001</t>
    </r>
    <r>
      <rPr>
        <sz val="10"/>
        <color rgb="FF0000FF"/>
        <rFont val="汉仪书宋二KW"/>
        <charset val="134"/>
      </rPr>
      <t>：</t>
    </r>
    <r>
      <rPr>
        <sz val="10"/>
        <color rgb="FF0000FF"/>
        <rFont val="等线"/>
        <charset val="134"/>
      </rPr>
      <t>MA23L警语EAN-A版彩盒+客户贴纸(含客户产品条码+指定日期码:1346737-26) + MA 15L B版说明书 + WEEE 带电池出货最新版+ 客人指定型号干燥剂
Remark: 1.预计6/24第三方验货+抽板测试</t>
    </r>
    <r>
      <rPr>
        <sz val="10"/>
        <color rgb="FF0000FF"/>
        <rFont val="汉仪书宋二KW"/>
        <charset val="134"/>
      </rPr>
      <t>，</t>
    </r>
    <r>
      <rPr>
        <sz val="10"/>
        <color rgb="FF0000FF"/>
        <rFont val="等线"/>
        <charset val="134"/>
      </rPr>
      <t>71126/71172 每款抽板10-12套左右测试</t>
    </r>
    <r>
      <rPr>
        <sz val="10"/>
        <color rgb="FF0000FF"/>
        <rFont val="汉仪书宋二KW"/>
        <charset val="134"/>
      </rPr>
      <t>，</t>
    </r>
    <r>
      <rPr>
        <sz val="10"/>
        <color rgb="FF0000FF"/>
        <rFont val="等线"/>
        <charset val="134"/>
      </rPr>
      <t>请多备料</t>
    </r>
    <r>
      <rPr>
        <sz val="10"/>
        <color rgb="FF0000FF"/>
        <rFont val="汉仪书宋二KW"/>
        <charset val="134"/>
      </rPr>
      <t>；</t>
    </r>
    <r>
      <rPr>
        <sz val="10"/>
        <color rgb="FF0000FF"/>
        <rFont val="等线"/>
        <charset val="134"/>
      </rPr>
      <t xml:space="preserve">
2.交期前两周前准备好2套大货样给SIPLEC HK OFFICE / 实验室签板</t>
    </r>
    <r>
      <rPr>
        <sz val="10"/>
        <color rgb="FF0000FF"/>
        <rFont val="汉仪书宋二KW"/>
        <charset val="134"/>
      </rPr>
      <t>；</t>
    </r>
    <r>
      <rPr>
        <sz val="10"/>
        <color rgb="FF0000FF"/>
        <rFont val="等线"/>
        <charset val="134"/>
      </rPr>
      <t xml:space="preserve">
3.指定日期码1346737-26
4.需在checkpoints上采购外箱贴纸, 跟单会通过邮件发送采购指引</t>
    </r>
    <r>
      <rPr>
        <sz val="10"/>
        <color rgb="FF0000FF"/>
        <rFont val="汉仪书宋二KW"/>
        <charset val="134"/>
      </rPr>
      <t>；</t>
    </r>
    <r>
      <rPr>
        <sz val="10"/>
        <color rgb="FF0000FF"/>
        <rFont val="等线"/>
        <charset val="134"/>
      </rPr>
      <t>.
5. #71152/71126/71137/9561/71172/9296/9574/77794UQ1/77858/77673TQ1 带电产品每箱放3包透明颗粒状干燥剂(每包约5g)</t>
    </r>
    <r>
      <rPr>
        <sz val="10"/>
        <color rgb="FF0000FF"/>
        <rFont val="汉仪书宋二KW"/>
        <charset val="134"/>
      </rPr>
      <t>，</t>
    </r>
    <r>
      <rPr>
        <sz val="10"/>
        <color rgb="FF0000FF"/>
        <rFont val="等线"/>
        <charset val="134"/>
      </rPr>
      <t>包干燥剂的袋子要有"SILICA GEL -
DO NOT EAT - DESSICANT - THROW AWAY " 字样</t>
    </r>
    <r>
      <rPr>
        <sz val="10"/>
        <color rgb="FF0000FF"/>
        <rFont val="汉仪书宋二KW"/>
        <charset val="134"/>
      </rPr>
      <t>；</t>
    </r>
    <r>
      <rPr>
        <sz val="10"/>
        <color rgb="FF0000FF"/>
        <rFont val="等线"/>
        <charset val="134"/>
      </rPr>
      <t xml:space="preserve">
6. 包装禁止使用PVC塑料</t>
    </r>
    <r>
      <rPr>
        <sz val="10"/>
        <color rgb="FF0000FF"/>
        <rFont val="汉仪书宋二KW"/>
        <charset val="134"/>
      </rPr>
      <t>；</t>
    </r>
    <r>
      <rPr>
        <sz val="10"/>
        <color rgb="FF0000FF"/>
        <rFont val="等线"/>
        <charset val="134"/>
      </rPr>
      <t xml:space="preserve">
7. 此票出法国</t>
    </r>
    <r>
      <rPr>
        <sz val="10"/>
        <color rgb="FF0000FF"/>
        <rFont val="汉仪书宋二KW"/>
        <charset val="134"/>
      </rPr>
      <t>，</t>
    </r>
    <r>
      <rPr>
        <sz val="10"/>
        <color rgb="FF0000FF"/>
        <rFont val="等线"/>
        <charset val="134"/>
      </rPr>
      <t>需符合EU标准及微塑料法规</t>
    </r>
    <r>
      <rPr>
        <sz val="10"/>
        <color rgb="FF0000FF"/>
        <rFont val="汉仪书宋二KW"/>
        <charset val="134"/>
      </rPr>
      <t>，</t>
    </r>
    <r>
      <rPr>
        <sz val="10"/>
        <color rgb="FF0000FF"/>
        <rFont val="等线"/>
        <charset val="134"/>
      </rPr>
      <t>包装需含法国回收logo</t>
    </r>
    <r>
      <rPr>
        <sz val="10"/>
        <color rgb="FF0000FF"/>
        <rFont val="汉仪书宋二KW"/>
        <charset val="134"/>
      </rPr>
      <t>；</t>
    </r>
  </si>
  <si>
    <t>TARGET  US</t>
  </si>
  <si>
    <t>10001824483-3891</t>
  </si>
  <si>
    <t>4500206924-10</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</si>
  <si>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产品包装MA  1L彩盒
Remark: 1.  71172-S001-ROBO  ALIVE-BRAIN-SERIES  1-BRIAN  THE  BRAIN-OPEN  BOX-4PCS/CTN
   2.  产品包装MA  1L彩盒</t>
    </r>
    <r>
      <rPr>
        <sz val="10"/>
        <color rgb="FF0000FF"/>
        <rFont val="汉仪书宋二KW"/>
        <charset val="134"/>
      </rPr>
      <t>；</t>
    </r>
    <r>
      <rPr>
        <sz val="10"/>
        <color rgb="FF0000FF"/>
        <rFont val="等线"/>
        <charset val="134"/>
      </rPr>
      <t>彩盒上的UPC显示193052098443</t>
    </r>
    <r>
      <rPr>
        <sz val="10"/>
        <color rgb="FF0000FF"/>
        <rFont val="汉仪书宋二KW"/>
        <charset val="134"/>
      </rPr>
      <t>；</t>
    </r>
    <r>
      <rPr>
        <sz val="10"/>
        <color rgb="FF0000FF"/>
        <rFont val="等线"/>
        <charset val="134"/>
      </rPr>
      <t xml:space="preserve">
   3.  每个外箱正唛箱唛信息左上方位置粘贴条码箱贴纸</t>
    </r>
    <r>
      <rPr>
        <sz val="10"/>
        <color rgb="FF0000FF"/>
        <rFont val="汉仪书宋二KW"/>
        <charset val="134"/>
      </rPr>
      <t>，</t>
    </r>
    <r>
      <rPr>
        <sz val="10"/>
        <color rgb="FF0000FF"/>
        <rFont val="等线"/>
        <charset val="134"/>
      </rPr>
      <t>每箱只贴一张;  由ZURU向艾利订购</t>
    </r>
    <r>
      <rPr>
        <sz val="10"/>
        <color rgb="FF0000FF"/>
        <rFont val="汉仪书宋二KW"/>
        <charset val="134"/>
      </rPr>
      <t>，</t>
    </r>
    <r>
      <rPr>
        <sz val="10"/>
        <color rgb="FF0000FF"/>
        <rFont val="等线"/>
        <charset val="134"/>
      </rPr>
      <t xml:space="preserve">     对应的外箱贴DPCI</t>
    </r>
    <r>
      <rPr>
        <sz val="10"/>
        <color rgb="FF0000FF"/>
        <rFont val="汉仪书宋二KW"/>
        <charset val="134"/>
      </rPr>
      <t>：</t>
    </r>
    <r>
      <rPr>
        <sz val="10"/>
        <color rgb="FF0000FF"/>
        <rFont val="等线"/>
        <charset val="134"/>
      </rPr>
      <t xml:space="preserve">087-02-9468,  UPC显示10193052098440  </t>
    </r>
    <r>
      <rPr>
        <sz val="10"/>
        <color rgb="FF0000FF"/>
        <rFont val="汉仪书宋二KW"/>
        <charset val="134"/>
      </rPr>
      <t>；</t>
    </r>
    <r>
      <rPr>
        <sz val="10"/>
        <color rgb="FF0000FF"/>
        <rFont val="等线"/>
        <charset val="134"/>
      </rPr>
      <t xml:space="preserve">
   4.  产品和包装上要印刷tracking  code信息</t>
    </r>
    <r>
      <rPr>
        <sz val="10"/>
        <color rgb="FF0000FF"/>
        <rFont val="汉仪书宋二KW"/>
        <charset val="134"/>
      </rPr>
      <t>，</t>
    </r>
    <r>
      <rPr>
        <sz val="10"/>
        <color rgb="FF0000FF"/>
        <rFont val="等线"/>
        <charset val="134"/>
      </rPr>
      <t>格式为ZURU常规</t>
    </r>
    <r>
      <rPr>
        <sz val="10"/>
        <color rgb="FF0000FF"/>
        <rFont val="汉仪书宋二KW"/>
        <charset val="134"/>
      </rPr>
      <t>；</t>
    </r>
    <r>
      <rPr>
        <sz val="10"/>
        <color rgb="FF0000FF"/>
        <rFont val="等线"/>
        <charset val="134"/>
      </rPr>
      <t xml:space="preserve">
   5.  出货方式</t>
    </r>
    <r>
      <rPr>
        <sz val="10"/>
        <color rgb="FF0000FF"/>
        <rFont val="汉仪书宋二KW"/>
        <charset val="134"/>
      </rPr>
      <t>：</t>
    </r>
    <r>
      <rPr>
        <sz val="10"/>
        <color rgb="FF0000FF"/>
        <rFont val="等线"/>
        <charset val="134"/>
      </rPr>
      <t>货代自提</t>
    </r>
  </si>
  <si>
    <t>Holly  Zheng</t>
  </si>
  <si>
    <t>ZB06694-8.17</t>
  </si>
  <si>
    <t>4500202343</t>
  </si>
  <si>
    <t>0989813107</t>
  </si>
  <si>
    <t>4500202343-10</t>
  </si>
  <si>
    <t>7/13 SI</t>
  </si>
  <si>
    <t>ZB06880-8.17</t>
  </si>
  <si>
    <t>0989813203</t>
  </si>
  <si>
    <t>4500202343-20</t>
  </si>
  <si>
    <t>ZB06904-8.17</t>
  </si>
  <si>
    <t>0989813250</t>
  </si>
  <si>
    <t>4500202343-30</t>
  </si>
  <si>
    <t>ZB07085-8.17</t>
  </si>
  <si>
    <t>10001737602-3891</t>
  </si>
  <si>
    <t>4500203643-10</t>
  </si>
  <si>
    <t>6/30客上柜</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</si>
  <si>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产品包装MA 1L彩盒
Remark: 1. 71172-S001-ROBO ALIVE-BRAIN-SERIES 1-BRIAN THE BRAIN-OPEN BOX-4PCS/CTN
 2. 产品包装MA 1L彩盒</t>
    </r>
    <r>
      <rPr>
        <sz val="10"/>
        <color rgb="FF0000FF"/>
        <rFont val="汉仪书宋二KW"/>
        <charset val="134"/>
      </rPr>
      <t>；</t>
    </r>
    <r>
      <rPr>
        <sz val="10"/>
        <color rgb="FF0000FF"/>
        <rFont val="等线"/>
        <charset val="134"/>
      </rPr>
      <t>彩盒上的UPC显示193052098443</t>
    </r>
    <r>
      <rPr>
        <sz val="10"/>
        <color rgb="FF0000FF"/>
        <rFont val="汉仪书宋二KW"/>
        <charset val="134"/>
      </rPr>
      <t>；</t>
    </r>
    <r>
      <rPr>
        <sz val="10"/>
        <color rgb="FF0000FF"/>
        <rFont val="等线"/>
        <charset val="134"/>
      </rPr>
      <t xml:space="preserve">
 3. 每个外箱正唛箱唛信息左上方位置粘贴条码箱贴纸</t>
    </r>
    <r>
      <rPr>
        <sz val="10"/>
        <color rgb="FF0000FF"/>
        <rFont val="汉仪书宋二KW"/>
        <charset val="134"/>
      </rPr>
      <t>，</t>
    </r>
    <r>
      <rPr>
        <sz val="10"/>
        <color rgb="FF0000FF"/>
        <rFont val="等线"/>
        <charset val="134"/>
      </rPr>
      <t>每箱只贴一张; 由ZURU向艾利订购</t>
    </r>
    <r>
      <rPr>
        <sz val="10"/>
        <color rgb="FF0000FF"/>
        <rFont val="汉仪书宋二KW"/>
        <charset val="134"/>
      </rPr>
      <t>，</t>
    </r>
    <r>
      <rPr>
        <sz val="10"/>
        <color rgb="FF0000FF"/>
        <rFont val="等线"/>
        <charset val="134"/>
      </rPr>
      <t xml:space="preserve">  对应的外箱贴DPCI</t>
    </r>
    <r>
      <rPr>
        <sz val="10"/>
        <color rgb="FF0000FF"/>
        <rFont val="汉仪书宋二KW"/>
        <charset val="134"/>
      </rPr>
      <t>：</t>
    </r>
    <r>
      <rPr>
        <sz val="10"/>
        <color rgb="FF0000FF"/>
        <rFont val="等线"/>
        <charset val="134"/>
      </rPr>
      <t xml:space="preserve">087-02-9468, UPC显示10193052098440 </t>
    </r>
    <r>
      <rPr>
        <sz val="10"/>
        <color rgb="FF0000FF"/>
        <rFont val="汉仪书宋二KW"/>
        <charset val="134"/>
      </rPr>
      <t>；</t>
    </r>
    <r>
      <rPr>
        <sz val="10"/>
        <color rgb="FF0000FF"/>
        <rFont val="等线"/>
        <charset val="134"/>
      </rPr>
      <t xml:space="preserve">
 4. 产品和包装上要印刷tracking code信息</t>
    </r>
    <r>
      <rPr>
        <sz val="10"/>
        <color rgb="FF0000FF"/>
        <rFont val="汉仪书宋二KW"/>
        <charset val="134"/>
      </rPr>
      <t>，</t>
    </r>
    <r>
      <rPr>
        <sz val="10"/>
        <color rgb="FF0000FF"/>
        <rFont val="等线"/>
        <charset val="134"/>
      </rPr>
      <t>格式为ZURU常规</t>
    </r>
    <r>
      <rPr>
        <sz val="10"/>
        <color rgb="FF0000FF"/>
        <rFont val="汉仪书宋二KW"/>
        <charset val="134"/>
      </rPr>
      <t>；</t>
    </r>
    <r>
      <rPr>
        <sz val="10"/>
        <color rgb="FF0000FF"/>
        <rFont val="等线"/>
        <charset val="134"/>
      </rPr>
      <t xml:space="preserve">
 5. 出货方式</t>
    </r>
    <r>
      <rPr>
        <sz val="10"/>
        <color rgb="FF0000FF"/>
        <rFont val="汉仪书宋二KW"/>
        <charset val="134"/>
      </rPr>
      <t>：</t>
    </r>
    <r>
      <rPr>
        <sz val="10"/>
        <color rgb="FF0000FF"/>
        <rFont val="等线"/>
        <charset val="134"/>
      </rPr>
      <t>货代自提</t>
    </r>
  </si>
  <si>
    <t>ZB06676-8.17</t>
  </si>
  <si>
    <t>4500206926</t>
  </si>
  <si>
    <t>10001737592-3891</t>
  </si>
  <si>
    <t>4500206926-10</t>
  </si>
  <si>
    <t>ZB06903-8.17</t>
  </si>
  <si>
    <t>AMAZON CA (VENDOR CENTER)</t>
  </si>
  <si>
    <t>6PY9BUKW</t>
  </si>
  <si>
    <t>4500206305-330</t>
  </si>
  <si>
    <r>
      <rPr>
        <sz val="10"/>
        <color rgb="FF0000FF"/>
        <rFont val="等线"/>
        <charset val="134"/>
      </rPr>
      <t>大脑</t>
    </r>
    <r>
      <rPr>
        <sz val="10"/>
        <color rgb="FF0000FF"/>
        <rFont val="汉仪书宋二KW"/>
        <charset val="134"/>
      </rPr>
      <t>（</t>
    </r>
    <r>
      <rPr>
        <sz val="10"/>
        <color rgb="FF0000FF"/>
        <rFont val="等线"/>
        <charset val="134"/>
      </rPr>
      <t>邮包盒装</t>
    </r>
    <r>
      <rPr>
        <sz val="10"/>
        <color rgb="FF0000FF"/>
        <rFont val="汉仪书宋二KW"/>
        <charset val="134"/>
      </rPr>
      <t>）</t>
    </r>
  </si>
  <si>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2. #71172:MA 3L 版本 #71172带MA包装入邮包盒</t>
    </r>
    <r>
      <rPr>
        <sz val="10"/>
        <color rgb="FF0000FF"/>
        <rFont val="汉仪书宋二KW"/>
        <charset val="134"/>
      </rPr>
      <t>，</t>
    </r>
    <r>
      <rPr>
        <sz val="10"/>
        <color rgb="FF0000FF"/>
        <rFont val="等线"/>
        <charset val="134"/>
      </rPr>
      <t>邮包盒图稿翻单#4500192525。
Remark: 1. Amazon FOB订单</t>
    </r>
    <r>
      <rPr>
        <sz val="10"/>
        <color rgb="FF0000FF"/>
        <rFont val="汉仪书宋二KW"/>
        <charset val="134"/>
      </rPr>
      <t>，</t>
    </r>
    <r>
      <rPr>
        <sz val="10"/>
        <color rgb="FF0000FF"/>
        <rFont val="等线"/>
        <charset val="134"/>
      </rPr>
      <t xml:space="preserve">出口CA。外箱最长边不能超过25"  </t>
    </r>
    <r>
      <rPr>
        <sz val="10"/>
        <color rgb="FF0000FF"/>
        <rFont val="汉仪书宋二KW"/>
        <charset val="134"/>
      </rPr>
      <t>（</t>
    </r>
    <r>
      <rPr>
        <sz val="10"/>
        <color rgb="FF0000FF"/>
        <rFont val="等线"/>
        <charset val="134"/>
      </rPr>
      <t>超过了</t>
    </r>
    <r>
      <rPr>
        <sz val="10"/>
        <color rgb="FF0000FF"/>
        <rFont val="汉仪书宋二KW"/>
        <charset val="134"/>
      </rPr>
      <t>，</t>
    </r>
    <r>
      <rPr>
        <sz val="10"/>
        <color rgb="FF0000FF"/>
        <rFont val="等线"/>
        <charset val="134"/>
      </rPr>
      <t>case pack只能为1</t>
    </r>
    <r>
      <rPr>
        <sz val="10"/>
        <color rgb="FF0000FF"/>
        <rFont val="汉仪书宋二KW"/>
        <charset val="134"/>
      </rPr>
      <t>），</t>
    </r>
    <r>
      <rPr>
        <sz val="10"/>
        <color rgb="FF0000FF"/>
        <rFont val="等线"/>
        <charset val="134"/>
      </rPr>
      <t>不符合要求的大货</t>
    </r>
    <r>
      <rPr>
        <sz val="10"/>
        <color rgb="FF0000FF"/>
        <rFont val="汉仪书宋二KW"/>
        <charset val="134"/>
      </rPr>
      <t>，</t>
    </r>
    <r>
      <rPr>
        <sz val="10"/>
        <color rgb="FF0000FF"/>
        <rFont val="等线"/>
        <charset val="134"/>
      </rPr>
      <t>一律不接受。
2. 外箱正面印ZURU Logo + SSCC LABEL</t>
    </r>
    <r>
      <rPr>
        <sz val="10"/>
        <color rgb="FF0000FF"/>
        <rFont val="汉仪书宋二KW"/>
        <charset val="134"/>
      </rPr>
      <t>（</t>
    </r>
    <r>
      <rPr>
        <sz val="10"/>
        <color rgb="FF0000FF"/>
        <rFont val="等线"/>
        <charset val="134"/>
      </rPr>
      <t>客供贴纸)</t>
    </r>
    <r>
      <rPr>
        <sz val="10"/>
        <color rgb="FF0000FF"/>
        <rFont val="汉仪书宋二KW"/>
        <charset val="134"/>
      </rPr>
      <t>，</t>
    </r>
    <r>
      <rPr>
        <sz val="10"/>
        <color rgb="FF0000FF"/>
        <rFont val="等线"/>
        <charset val="134"/>
      </rPr>
      <t>侧面印item#</t>
    </r>
    <r>
      <rPr>
        <sz val="10"/>
        <color rgb="FF0000FF"/>
        <rFont val="汉仪书宋二KW"/>
        <charset val="134"/>
      </rPr>
      <t>（</t>
    </r>
    <r>
      <rPr>
        <sz val="10"/>
        <color rgb="FF0000FF"/>
        <rFont val="等线"/>
        <charset val="134"/>
      </rPr>
      <t>订单上显示的SKU#) + carton size(以工厂实际尺寸为准</t>
    </r>
    <r>
      <rPr>
        <sz val="10"/>
        <color rgb="FF0000FF"/>
        <rFont val="汉仪书宋二KW"/>
        <charset val="134"/>
      </rPr>
      <t>，</t>
    </r>
    <r>
      <rPr>
        <sz val="10"/>
        <color rgb="FF0000FF"/>
        <rFont val="等线"/>
        <charset val="134"/>
      </rPr>
      <t>单位: inch) + MADE IN CHINA</t>
    </r>
    <r>
      <rPr>
        <sz val="10"/>
        <color rgb="FF0000FF"/>
        <rFont val="汉仪书宋二KW"/>
        <charset val="134"/>
      </rPr>
      <t>，</t>
    </r>
    <r>
      <rPr>
        <sz val="10"/>
        <color rgb="FF0000FF"/>
        <rFont val="等线"/>
        <charset val="134"/>
      </rPr>
      <t xml:space="preserve">
日期使用ZURU 标准版本 SSCC Label 显示的是客人自己的item#</t>
    </r>
    <r>
      <rPr>
        <sz val="10"/>
        <color rgb="FF0000FF"/>
        <rFont val="汉仪书宋二KW"/>
        <charset val="134"/>
      </rPr>
      <t>，</t>
    </r>
    <r>
      <rPr>
        <sz val="10"/>
        <color rgb="FF0000FF"/>
        <rFont val="等线"/>
        <charset val="134"/>
      </rPr>
      <t>SSCC Label 贴在外箱正面的正中间</t>
    </r>
    <r>
      <rPr>
        <sz val="10"/>
        <color rgb="FF0000FF"/>
        <rFont val="汉仪书宋二KW"/>
        <charset val="134"/>
      </rPr>
      <t>，</t>
    </r>
    <r>
      <rPr>
        <sz val="10"/>
        <color rgb="FF0000FF"/>
        <rFont val="等线"/>
        <charset val="134"/>
      </rPr>
      <t>贴一面即可</t>
    </r>
    <r>
      <rPr>
        <sz val="10"/>
        <color rgb="FF0000FF"/>
        <rFont val="汉仪书宋二KW"/>
        <charset val="134"/>
      </rPr>
      <t>，</t>
    </r>
    <r>
      <rPr>
        <sz val="10"/>
        <color rgb="FF0000FF"/>
        <rFont val="等线"/>
        <charset val="134"/>
      </rPr>
      <t>跟单订购</t>
    </r>
    <r>
      <rPr>
        <sz val="10"/>
        <color rgb="FF0000FF"/>
        <rFont val="汉仪书宋二KW"/>
        <charset val="134"/>
      </rPr>
      <t>，</t>
    </r>
    <r>
      <rPr>
        <sz val="10"/>
        <color rgb="FF0000FF"/>
        <rFont val="等线"/>
        <charset val="134"/>
      </rPr>
      <t>贴纸离外箱距必须至少3cm</t>
    </r>
    <r>
      <rPr>
        <sz val="10"/>
        <color rgb="FF0000FF"/>
        <rFont val="汉仪书宋二KW"/>
        <charset val="134"/>
      </rPr>
      <t>，</t>
    </r>
    <r>
      <rPr>
        <sz val="10"/>
        <color rgb="FF0000FF"/>
        <rFont val="等线"/>
        <charset val="134"/>
      </rPr>
      <t>每一
张SSCC label 都是唯一且有不同流水及条码的</t>
    </r>
    <r>
      <rPr>
        <sz val="10"/>
        <color rgb="FF0000FF"/>
        <rFont val="汉仪书宋二KW"/>
        <charset val="134"/>
      </rPr>
      <t>，</t>
    </r>
    <r>
      <rPr>
        <sz val="10"/>
        <color rgb="FF0000FF"/>
        <rFont val="等线"/>
        <charset val="134"/>
      </rPr>
      <t>没有损耗</t>
    </r>
    <r>
      <rPr>
        <sz val="10"/>
        <color rgb="FF0000FF"/>
        <rFont val="汉仪书宋二KW"/>
        <charset val="134"/>
      </rPr>
      <t>，</t>
    </r>
    <r>
      <rPr>
        <sz val="10"/>
        <color rgb="FF0000FF"/>
        <rFont val="等线"/>
        <charset val="134"/>
      </rPr>
      <t xml:space="preserve">绝对不可贴错 </t>
    </r>
    <r>
      <rPr>
        <sz val="10"/>
        <color rgb="FF0000FF"/>
        <rFont val="汉仪书宋二KW"/>
        <charset val="134"/>
      </rPr>
      <t>，</t>
    </r>
    <r>
      <rPr>
        <sz val="10"/>
        <color rgb="FF0000FF"/>
        <rFont val="等线"/>
        <charset val="134"/>
      </rPr>
      <t>否则贴错或损坏一张会导致全部都错</t>
    </r>
    <r>
      <rPr>
        <sz val="10"/>
        <color rgb="FF0000FF"/>
        <rFont val="汉仪书宋二KW"/>
        <charset val="134"/>
      </rPr>
      <t>，</t>
    </r>
    <r>
      <rPr>
        <sz val="10"/>
        <color rgb="FF0000FF"/>
        <rFont val="等线"/>
        <charset val="134"/>
      </rPr>
      <t>千万要注意: SSCC 贴纸务必要在正中间(可以覆
盖Logo &lt;(&gt;&amp;&lt;)&gt; 箱唛)</t>
    </r>
    <r>
      <rPr>
        <sz val="10"/>
        <color rgb="FF0000FF"/>
        <rFont val="汉仪书宋二KW"/>
        <charset val="134"/>
      </rPr>
      <t>，</t>
    </r>
    <r>
      <rPr>
        <sz val="10"/>
        <color rgb="FF0000FF"/>
        <rFont val="等线"/>
        <charset val="134"/>
      </rPr>
      <t>否则会影响到仓库扫描识别。
3. 日期码使用ZURU标准版本。
 4. 如果大货有要求入邮包盒</t>
    </r>
    <r>
      <rPr>
        <sz val="10"/>
        <color rgb="FF0000FF"/>
        <rFont val="汉仪书宋二KW"/>
        <charset val="134"/>
      </rPr>
      <t>，</t>
    </r>
    <r>
      <rPr>
        <sz val="10"/>
        <color rgb="FF0000FF"/>
        <rFont val="等线"/>
        <charset val="134"/>
      </rPr>
      <t>则对应的邮包盒上面要打上日期码。
 5. 按照客户PO# 装柜/箱号顺序装柜</t>
    </r>
    <r>
      <rPr>
        <sz val="10"/>
        <color rgb="FF0000FF"/>
        <rFont val="汉仪书宋二KW"/>
        <charset val="134"/>
      </rPr>
      <t>，</t>
    </r>
    <r>
      <rPr>
        <sz val="10"/>
        <color rgb="FF0000FF"/>
        <rFont val="等线"/>
        <charset val="134"/>
      </rPr>
      <t>跟单会提前给到装柜计划。在大货生产/仓库存放时</t>
    </r>
    <r>
      <rPr>
        <sz val="10"/>
        <color rgb="FF0000FF"/>
        <rFont val="汉仪书宋二KW"/>
        <charset val="134"/>
      </rPr>
      <t>，</t>
    </r>
    <r>
      <rPr>
        <sz val="10"/>
        <color rgb="FF0000FF"/>
        <rFont val="等线"/>
        <charset val="134"/>
      </rPr>
      <t>请留意该装柜要求</t>
    </r>
    <r>
      <rPr>
        <sz val="10"/>
        <color rgb="FF0000FF"/>
        <rFont val="汉仪书宋二KW"/>
        <charset val="134"/>
      </rPr>
      <t>，</t>
    </r>
    <r>
      <rPr>
        <sz val="10"/>
        <color rgb="FF0000FF"/>
        <rFont val="等线"/>
        <charset val="134"/>
      </rPr>
      <t>以便装柜时不混乱</t>
    </r>
    <r>
      <rPr>
        <sz val="10"/>
        <color rgb="FF0000FF"/>
        <rFont val="汉仪书宋二KW"/>
        <charset val="134"/>
      </rPr>
      <t>（</t>
    </r>
    <r>
      <rPr>
        <sz val="10"/>
        <color rgb="FF0000FF"/>
        <rFont val="等线"/>
        <charset val="134"/>
      </rPr>
      <t>避免装错/装漏/找不到货号等
 )。
 6. 出口加拿大</t>
    </r>
    <r>
      <rPr>
        <sz val="10"/>
        <color rgb="FF0000FF"/>
        <rFont val="汉仪书宋二KW"/>
        <charset val="134"/>
      </rPr>
      <t>，</t>
    </r>
    <r>
      <rPr>
        <sz val="10"/>
        <color rgb="FF0000FF"/>
        <rFont val="等线"/>
        <charset val="134"/>
      </rPr>
      <t>包装需要至少2/3L UPC版</t>
    </r>
    <r>
      <rPr>
        <sz val="10"/>
        <color rgb="FF0000FF"/>
        <rFont val="汉仪书宋二KW"/>
        <charset val="134"/>
      </rPr>
      <t>，</t>
    </r>
    <r>
      <rPr>
        <sz val="10"/>
        <color rgb="FF0000FF"/>
        <rFont val="等线"/>
        <charset val="134"/>
      </rPr>
      <t>无硼版本。
 7.邮包盒上要印刷日期码</t>
    </r>
  </si>
  <si>
    <t>Kelly Shen</t>
  </si>
  <si>
    <t>71172-S003-MB-3L</t>
  </si>
  <si>
    <t>4500206305</t>
  </si>
  <si>
    <t>67WUVMQF</t>
  </si>
  <si>
    <t>4500206305-340</t>
  </si>
  <si>
    <t>3K4SB2UH</t>
  </si>
  <si>
    <t>4500206305-350</t>
  </si>
  <si>
    <t>3CEYQTYW</t>
  </si>
  <si>
    <t>4500206305-360</t>
  </si>
  <si>
    <t>4500206329</t>
  </si>
  <si>
    <t>2YJRGBEQ</t>
  </si>
  <si>
    <t>4500206329-20</t>
  </si>
  <si>
    <r>
      <rPr>
        <sz val="10"/>
        <color rgb="FF010CDD"/>
        <rFont val="等线"/>
        <charset val="134"/>
      </rPr>
      <t>大脑</t>
    </r>
    <r>
      <rPr>
        <sz val="10"/>
        <color rgb="FF010CDD"/>
        <rFont val="汉仪书宋二KW"/>
        <charset val="134"/>
      </rPr>
      <t>（</t>
    </r>
    <r>
      <rPr>
        <sz val="10"/>
        <color rgb="FF010CDD"/>
        <rFont val="等线"/>
        <charset val="134"/>
      </rPr>
      <t>邮包盒装</t>
    </r>
    <r>
      <rPr>
        <sz val="10"/>
        <color rgb="FF010CDD"/>
        <rFont val="汉仪书宋二KW"/>
        <charset val="134"/>
      </rPr>
      <t>）</t>
    </r>
  </si>
  <si>
    <t>ZURU未验货已装柜</t>
  </si>
  <si>
    <t>7/15 SI</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</si>
  <si>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 
#71172:MA 3L 版本 #71172带MA包装入邮包盒</t>
    </r>
    <r>
      <rPr>
        <sz val="10"/>
        <color rgb="FF010CDD"/>
        <rFont val="汉仪书宋二KW"/>
        <charset val="134"/>
      </rPr>
      <t>，</t>
    </r>
    <r>
      <rPr>
        <sz val="10"/>
        <color rgb="FF010CDD"/>
        <rFont val="等线"/>
        <charset val="134"/>
      </rPr>
      <t>邮包盒图稿翻单#4500192525。
Remark: 1. Amazon FOB订单</t>
    </r>
    <r>
      <rPr>
        <sz val="10"/>
        <color rgb="FF010CDD"/>
        <rFont val="汉仪书宋二KW"/>
        <charset val="134"/>
      </rPr>
      <t>，</t>
    </r>
    <r>
      <rPr>
        <sz val="10"/>
        <color rgb="FF010CDD"/>
        <rFont val="等线"/>
        <charset val="134"/>
      </rPr>
      <t xml:space="preserve">出口CA。外箱最长边不能超过25"  </t>
    </r>
    <r>
      <rPr>
        <sz val="10"/>
        <color rgb="FF010CDD"/>
        <rFont val="汉仪书宋二KW"/>
        <charset val="134"/>
      </rPr>
      <t>（</t>
    </r>
    <r>
      <rPr>
        <sz val="10"/>
        <color rgb="FF010CDD"/>
        <rFont val="等线"/>
        <charset val="134"/>
      </rPr>
      <t>超过了</t>
    </r>
    <r>
      <rPr>
        <sz val="10"/>
        <color rgb="FF010CDD"/>
        <rFont val="汉仪书宋二KW"/>
        <charset val="134"/>
      </rPr>
      <t>，</t>
    </r>
    <r>
      <rPr>
        <sz val="10"/>
        <color rgb="FF010CDD"/>
        <rFont val="等线"/>
        <charset val="134"/>
      </rPr>
      <t>case pack只能为1</t>
    </r>
    <r>
      <rPr>
        <sz val="10"/>
        <color rgb="FF010CDD"/>
        <rFont val="汉仪书宋二KW"/>
        <charset val="134"/>
      </rPr>
      <t>），</t>
    </r>
    <r>
      <rPr>
        <sz val="10"/>
        <color rgb="FF010CDD"/>
        <rFont val="等线"/>
        <charset val="134"/>
      </rPr>
      <t>不符合要求的大货</t>
    </r>
    <r>
      <rPr>
        <sz val="10"/>
        <color rgb="FF010CDD"/>
        <rFont val="汉仪书宋二KW"/>
        <charset val="134"/>
      </rPr>
      <t>，</t>
    </r>
    <r>
      <rPr>
        <sz val="10"/>
        <color rgb="FF010CDD"/>
        <rFont val="等线"/>
        <charset val="134"/>
      </rPr>
      <t>一律不接受。
2. 外箱正面印ZURU Logo + SSCC LABEL</t>
    </r>
    <r>
      <rPr>
        <sz val="10"/>
        <color rgb="FF010CDD"/>
        <rFont val="汉仪书宋二KW"/>
        <charset val="134"/>
      </rPr>
      <t>（</t>
    </r>
    <r>
      <rPr>
        <sz val="10"/>
        <color rgb="FF010CDD"/>
        <rFont val="等线"/>
        <charset val="134"/>
      </rPr>
      <t>客供贴纸)</t>
    </r>
    <r>
      <rPr>
        <sz val="10"/>
        <color rgb="FF010CDD"/>
        <rFont val="汉仪书宋二KW"/>
        <charset val="134"/>
      </rPr>
      <t>，</t>
    </r>
    <r>
      <rPr>
        <sz val="10"/>
        <color rgb="FF010CDD"/>
        <rFont val="等线"/>
        <charset val="134"/>
      </rPr>
      <t>侧面印item#</t>
    </r>
    <r>
      <rPr>
        <sz val="10"/>
        <color rgb="FF010CDD"/>
        <rFont val="汉仪书宋二KW"/>
        <charset val="134"/>
      </rPr>
      <t>（</t>
    </r>
    <r>
      <rPr>
        <sz val="10"/>
        <color rgb="FF010CDD"/>
        <rFont val="等线"/>
        <charset val="134"/>
      </rPr>
      <t>订单上显示的SKU#) + carton size(以工厂实际尺寸为准</t>
    </r>
    <r>
      <rPr>
        <sz val="10"/>
        <color rgb="FF010CDD"/>
        <rFont val="汉仪书宋二KW"/>
        <charset val="134"/>
      </rPr>
      <t>，</t>
    </r>
    <r>
      <rPr>
        <sz val="10"/>
        <color rgb="FF010CDD"/>
        <rFont val="等线"/>
        <charset val="134"/>
      </rPr>
      <t>单位: inch) + MADE IN CHINA</t>
    </r>
    <r>
      <rPr>
        <sz val="10"/>
        <color rgb="FF010CDD"/>
        <rFont val="汉仪书宋二KW"/>
        <charset val="134"/>
      </rPr>
      <t>，</t>
    </r>
    <r>
      <rPr>
        <sz val="10"/>
        <color rgb="FF010CDD"/>
        <rFont val="等线"/>
        <charset val="134"/>
      </rPr>
      <t xml:space="preserve">
日期使用ZURU 标准版本 SSCC Label 显示的是客人自己的item#</t>
    </r>
    <r>
      <rPr>
        <sz val="10"/>
        <color rgb="FF010CDD"/>
        <rFont val="汉仪书宋二KW"/>
        <charset val="134"/>
      </rPr>
      <t>，</t>
    </r>
    <r>
      <rPr>
        <sz val="10"/>
        <color rgb="FF010CDD"/>
        <rFont val="等线"/>
        <charset val="134"/>
      </rPr>
      <t>SSCC Label 贴在外箱正面的正中间</t>
    </r>
    <r>
      <rPr>
        <sz val="10"/>
        <color rgb="FF010CDD"/>
        <rFont val="汉仪书宋二KW"/>
        <charset val="134"/>
      </rPr>
      <t>，</t>
    </r>
    <r>
      <rPr>
        <sz val="10"/>
        <color rgb="FF010CDD"/>
        <rFont val="等线"/>
        <charset val="134"/>
      </rPr>
      <t>贴一面即可</t>
    </r>
    <r>
      <rPr>
        <sz val="10"/>
        <color rgb="FF010CDD"/>
        <rFont val="汉仪书宋二KW"/>
        <charset val="134"/>
      </rPr>
      <t>，</t>
    </r>
    <r>
      <rPr>
        <sz val="10"/>
        <color rgb="FF010CDD"/>
        <rFont val="等线"/>
        <charset val="134"/>
      </rPr>
      <t>跟单订购</t>
    </r>
    <r>
      <rPr>
        <sz val="10"/>
        <color rgb="FF010CDD"/>
        <rFont val="汉仪书宋二KW"/>
        <charset val="134"/>
      </rPr>
      <t>，</t>
    </r>
    <r>
      <rPr>
        <sz val="10"/>
        <color rgb="FF010CDD"/>
        <rFont val="等线"/>
        <charset val="134"/>
      </rPr>
      <t>贴纸离外箱距必须至少3cm</t>
    </r>
    <r>
      <rPr>
        <sz val="10"/>
        <color rgb="FF010CDD"/>
        <rFont val="汉仪书宋二KW"/>
        <charset val="134"/>
      </rPr>
      <t>，</t>
    </r>
    <r>
      <rPr>
        <sz val="10"/>
        <color rgb="FF010CDD"/>
        <rFont val="等线"/>
        <charset val="134"/>
      </rPr>
      <t>每一
张SSCC label 都是唯一且有不同流水及条码的</t>
    </r>
    <r>
      <rPr>
        <sz val="10"/>
        <color rgb="FF010CDD"/>
        <rFont val="汉仪书宋二KW"/>
        <charset val="134"/>
      </rPr>
      <t>，</t>
    </r>
    <r>
      <rPr>
        <sz val="10"/>
        <color rgb="FF010CDD"/>
        <rFont val="等线"/>
        <charset val="134"/>
      </rPr>
      <t>没有损耗</t>
    </r>
    <r>
      <rPr>
        <sz val="10"/>
        <color rgb="FF010CDD"/>
        <rFont val="汉仪书宋二KW"/>
        <charset val="134"/>
      </rPr>
      <t>，</t>
    </r>
    <r>
      <rPr>
        <sz val="10"/>
        <color rgb="FF010CDD"/>
        <rFont val="等线"/>
        <charset val="134"/>
      </rPr>
      <t xml:space="preserve">绝对不可贴错 </t>
    </r>
    <r>
      <rPr>
        <sz val="10"/>
        <color rgb="FF010CDD"/>
        <rFont val="汉仪书宋二KW"/>
        <charset val="134"/>
      </rPr>
      <t>，</t>
    </r>
    <r>
      <rPr>
        <sz val="10"/>
        <color rgb="FF010CDD"/>
        <rFont val="等线"/>
        <charset val="134"/>
      </rPr>
      <t>否则贴错或损坏一张会导致全部都错</t>
    </r>
    <r>
      <rPr>
        <sz val="10"/>
        <color rgb="FF010CDD"/>
        <rFont val="汉仪书宋二KW"/>
        <charset val="134"/>
      </rPr>
      <t>，</t>
    </r>
    <r>
      <rPr>
        <sz val="10"/>
        <color rgb="FF010CDD"/>
        <rFont val="等线"/>
        <charset val="134"/>
      </rPr>
      <t>千万要注意: SSCC 贴纸务必要在正中间(可以覆
盖Logo &lt;(&gt;&amp;&lt;)&gt; 箱唛)</t>
    </r>
    <r>
      <rPr>
        <sz val="10"/>
        <color rgb="FF010CDD"/>
        <rFont val="汉仪书宋二KW"/>
        <charset val="134"/>
      </rPr>
      <t>，</t>
    </r>
    <r>
      <rPr>
        <sz val="10"/>
        <color rgb="FF010CDD"/>
        <rFont val="等线"/>
        <charset val="134"/>
      </rPr>
      <t>否则会影响到仓库扫描识别。
3. 日期码使用ZURU标准版本。
 4. 如果大货有要求入邮包盒</t>
    </r>
    <r>
      <rPr>
        <sz val="10"/>
        <color rgb="FF010CDD"/>
        <rFont val="汉仪书宋二KW"/>
        <charset val="134"/>
      </rPr>
      <t>，</t>
    </r>
    <r>
      <rPr>
        <sz val="10"/>
        <color rgb="FF010CDD"/>
        <rFont val="等线"/>
        <charset val="134"/>
      </rPr>
      <t>则对应的邮包盒上面要打上日期码。
 5. 按照客户PO# 装柜/箱号顺序装柜</t>
    </r>
    <r>
      <rPr>
        <sz val="10"/>
        <color rgb="FF010CDD"/>
        <rFont val="汉仪书宋二KW"/>
        <charset val="134"/>
      </rPr>
      <t>，</t>
    </r>
    <r>
      <rPr>
        <sz val="10"/>
        <color rgb="FF010CDD"/>
        <rFont val="等线"/>
        <charset val="134"/>
      </rPr>
      <t>跟单会提前给到装柜计划。在大货生产/仓库存放时</t>
    </r>
    <r>
      <rPr>
        <sz val="10"/>
        <color rgb="FF010CDD"/>
        <rFont val="汉仪书宋二KW"/>
        <charset val="134"/>
      </rPr>
      <t>，</t>
    </r>
    <r>
      <rPr>
        <sz val="10"/>
        <color rgb="FF010CDD"/>
        <rFont val="等线"/>
        <charset val="134"/>
      </rPr>
      <t>请留意该装柜要求</t>
    </r>
    <r>
      <rPr>
        <sz val="10"/>
        <color rgb="FF010CDD"/>
        <rFont val="汉仪书宋二KW"/>
        <charset val="134"/>
      </rPr>
      <t>，</t>
    </r>
    <r>
      <rPr>
        <sz val="10"/>
        <color rgb="FF010CDD"/>
        <rFont val="等线"/>
        <charset val="134"/>
      </rPr>
      <t>以便装柜时不混乱</t>
    </r>
    <r>
      <rPr>
        <sz val="10"/>
        <color rgb="FF010CDD"/>
        <rFont val="汉仪书宋二KW"/>
        <charset val="134"/>
      </rPr>
      <t>（</t>
    </r>
    <r>
      <rPr>
        <sz val="10"/>
        <color rgb="FF010CDD"/>
        <rFont val="等线"/>
        <charset val="134"/>
      </rPr>
      <t>避免装错/装漏/找不到货号等
 )。
 6. 出口加拿大</t>
    </r>
    <r>
      <rPr>
        <sz val="10"/>
        <color rgb="FF010CDD"/>
        <rFont val="汉仪书宋二KW"/>
        <charset val="134"/>
      </rPr>
      <t>，</t>
    </r>
    <r>
      <rPr>
        <sz val="10"/>
        <color rgb="FF010CDD"/>
        <rFont val="等线"/>
        <charset val="134"/>
      </rPr>
      <t>包装需要至少2/3L UPC版</t>
    </r>
    <r>
      <rPr>
        <sz val="10"/>
        <color rgb="FF010CDD"/>
        <rFont val="汉仪书宋二KW"/>
        <charset val="134"/>
      </rPr>
      <t>，</t>
    </r>
    <r>
      <rPr>
        <sz val="10"/>
        <color rgb="FF010CDD"/>
        <rFont val="等线"/>
        <charset val="134"/>
      </rPr>
      <t>无硼版本。
 7.邮包盒上要印刷日期码</t>
    </r>
  </si>
  <si>
    <t>4500206370</t>
  </si>
  <si>
    <t>7GU4ZBGQ</t>
  </si>
  <si>
    <t>4500206370-280</t>
  </si>
  <si>
    <t>73XFVX7T</t>
  </si>
  <si>
    <t>4500206370-290</t>
  </si>
  <si>
    <t>LLC  SALUS</t>
  </si>
  <si>
    <t>4500206895-610</t>
  </si>
  <si>
    <t>7/20 SI</t>
  </si>
  <si>
    <t>3/23收到QR,6/10收到贴纸资料</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</si>
  <si>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MA UPC 包装+进口商贴纸+QR code (一物一码)+MA PDQ(如有</t>
    </r>
    <r>
      <rPr>
        <sz val="10"/>
        <color rgb="FF0000FF"/>
        <rFont val="汉仪书宋二KW"/>
        <charset val="134"/>
      </rPr>
      <t>）</t>
    </r>
    <r>
      <rPr>
        <sz val="10"/>
        <color rgb="FF0000FF"/>
        <rFont val="等线"/>
        <charset val="134"/>
      </rPr>
      <t xml:space="preserve">
配比</t>
    </r>
    <r>
      <rPr>
        <sz val="10"/>
        <color rgb="FF0000FF"/>
        <rFont val="汉仪书宋二KW"/>
        <charset val="134"/>
      </rPr>
      <t>：</t>
    </r>
    <r>
      <rPr>
        <sz val="10"/>
        <color rgb="FF0000FF"/>
        <rFont val="等线"/>
        <charset val="134"/>
      </rPr>
      <t>标准配比
包装上年龄需与进口商贴纸上的一致</t>
    </r>
    <r>
      <rPr>
        <sz val="10"/>
        <color rgb="FF0000FF"/>
        <rFont val="汉仪书宋二KW"/>
        <charset val="134"/>
      </rPr>
      <t>，</t>
    </r>
    <r>
      <rPr>
        <sz val="10"/>
        <color rgb="FF0000FF"/>
        <rFont val="等线"/>
        <charset val="134"/>
      </rPr>
      <t>若不一致需加上相对应的年龄贴纸
Remark: 1.包装</t>
    </r>
    <r>
      <rPr>
        <sz val="10"/>
        <color rgb="FF0000FF"/>
        <rFont val="汉仪书宋二KW"/>
        <charset val="134"/>
      </rPr>
      <t>：</t>
    </r>
    <r>
      <rPr>
        <sz val="10"/>
        <color rgb="FF0000FF"/>
        <rFont val="等线"/>
        <charset val="134"/>
      </rPr>
      <t>MA UPC包装+进口商贴纸+QR 贴纸
2. QR 贴纸要求</t>
    </r>
    <r>
      <rPr>
        <sz val="10"/>
        <color rgb="FF0000FF"/>
        <rFont val="汉仪书宋二KW"/>
        <charset val="134"/>
      </rPr>
      <t>：</t>
    </r>
    <r>
      <rPr>
        <sz val="10"/>
        <color rgb="FF0000FF"/>
        <rFont val="等线"/>
        <charset val="134"/>
      </rPr>
      <t xml:space="preserve"> 需包含产品型号</t>
    </r>
    <r>
      <rPr>
        <sz val="10"/>
        <color rgb="FF0000FF"/>
        <rFont val="汉仪书宋二KW"/>
        <charset val="134"/>
      </rPr>
      <t>（</t>
    </r>
    <r>
      <rPr>
        <sz val="10"/>
        <color rgb="FF0000FF"/>
        <rFont val="等线"/>
        <charset val="134"/>
      </rPr>
      <t>item</t>
    </r>
    <r>
      <rPr>
        <sz val="10"/>
        <color rgb="FF0000FF"/>
        <rFont val="汉仪书宋二KW"/>
        <charset val="134"/>
      </rPr>
      <t>）</t>
    </r>
    <r>
      <rPr>
        <sz val="10"/>
        <color rgb="FF0000FF"/>
        <rFont val="等线"/>
        <charset val="134"/>
      </rPr>
      <t>+ 序列号</t>
    </r>
    <r>
      <rPr>
        <sz val="10"/>
        <color rgb="FF0000FF"/>
        <rFont val="汉仪书宋二KW"/>
        <charset val="134"/>
      </rPr>
      <t>，</t>
    </r>
    <r>
      <rPr>
        <sz val="10"/>
        <color rgb="FF0000FF"/>
        <rFont val="等线"/>
        <charset val="134"/>
      </rPr>
      <t>二维码</t>
    </r>
    <r>
      <rPr>
        <sz val="10"/>
        <color rgb="FF0000FF"/>
        <rFont val="汉仪书宋二KW"/>
        <charset val="134"/>
      </rPr>
      <t>（</t>
    </r>
    <r>
      <rPr>
        <sz val="10"/>
        <color rgb="FF0000FF"/>
        <rFont val="等线"/>
        <charset val="134"/>
      </rPr>
      <t>QR code</t>
    </r>
    <r>
      <rPr>
        <sz val="10"/>
        <color rgb="FF0000FF"/>
        <rFont val="汉仪书宋二KW"/>
        <charset val="134"/>
      </rPr>
      <t>）</t>
    </r>
    <r>
      <rPr>
        <sz val="10"/>
        <color rgb="FF0000FF"/>
        <rFont val="等线"/>
        <charset val="134"/>
      </rPr>
      <t>正方形边长 1.5cm 。
材质与粘性</t>
    </r>
    <r>
      <rPr>
        <sz val="10"/>
        <color rgb="FF0000FF"/>
        <rFont val="汉仪书宋二KW"/>
        <charset val="134"/>
      </rPr>
      <t>：</t>
    </r>
    <r>
      <rPr>
        <sz val="10"/>
        <color rgb="FF0000FF"/>
        <rFont val="等线"/>
        <charset val="134"/>
      </rPr>
      <t>采用与进口商贴纸一致的材质</t>
    </r>
    <r>
      <rPr>
        <sz val="10"/>
        <color rgb="FF0000FF"/>
        <rFont val="汉仪书宋二KW"/>
        <charset val="134"/>
      </rPr>
      <t>，</t>
    </r>
    <r>
      <rPr>
        <sz val="10"/>
        <color rgb="FF0000FF"/>
        <rFont val="等线"/>
        <charset val="134"/>
      </rPr>
      <t>强粘性、不易脱落/掉色。
印刷与尺寸</t>
    </r>
    <r>
      <rPr>
        <sz val="10"/>
        <color rgb="FF0000FF"/>
        <rFont val="汉仪书宋二KW"/>
        <charset val="134"/>
      </rPr>
      <t>：</t>
    </r>
    <r>
      <rPr>
        <sz val="10"/>
        <color rgb="FF0000FF"/>
        <rFont val="等线"/>
        <charset val="134"/>
      </rPr>
      <t>印刷质量不低于 1.5c</t>
    </r>
    <r>
      <rPr>
        <sz val="10"/>
        <color rgb="FF0000FF"/>
        <rFont val="汉仪书宋二KW"/>
        <charset val="134"/>
      </rPr>
      <t>，</t>
    </r>
    <r>
      <rPr>
        <sz val="10"/>
        <color rgb="FF0000FF"/>
        <rFont val="等线"/>
        <charset val="134"/>
      </rPr>
      <t>整体贴纸尺寸为 3×3cm</t>
    </r>
    <r>
      <rPr>
        <sz val="10"/>
        <color rgb="FF0000FF"/>
        <rFont val="汉仪书宋二KW"/>
        <charset val="134"/>
      </rPr>
      <t>（</t>
    </r>
    <r>
      <rPr>
        <sz val="10"/>
        <color rgb="FF0000FF"/>
        <rFont val="等线"/>
        <charset val="134"/>
      </rPr>
      <t>正方形</t>
    </r>
    <r>
      <rPr>
        <sz val="10"/>
        <color rgb="FF0000FF"/>
        <rFont val="汉仪书宋二KW"/>
        <charset val="134"/>
      </rPr>
      <t>）</t>
    </r>
    <r>
      <rPr>
        <sz val="10"/>
        <color rgb="FF0000FF"/>
        <rFont val="等线"/>
        <charset val="134"/>
      </rPr>
      <t>。尺寸要根据产品包装的实际大小调整</t>
    </r>
    <r>
      <rPr>
        <sz val="10"/>
        <color rgb="FF0000FF"/>
        <rFont val="汉仪书宋二KW"/>
        <charset val="134"/>
      </rPr>
      <t>，</t>
    </r>
    <r>
      <rPr>
        <sz val="10"/>
        <color rgb="FF0000FF"/>
        <rFont val="等线"/>
        <charset val="134"/>
      </rPr>
      <t>保持整体美观</t>
    </r>
    <r>
      <rPr>
        <sz val="10"/>
        <color rgb="FF0000FF"/>
        <rFont val="汉仪书宋二KW"/>
        <charset val="134"/>
      </rPr>
      <t>，</t>
    </r>
    <r>
      <rPr>
        <sz val="10"/>
        <color rgb="FF0000FF"/>
        <rFont val="等线"/>
        <charset val="134"/>
      </rPr>
      <t>二维码清晰可扫。
3. 二维码贴纸位置要远离包装上的条码及其他二维码</t>
    </r>
    <r>
      <rPr>
        <sz val="10"/>
        <color rgb="FF0000FF"/>
        <rFont val="汉仪书宋二KW"/>
        <charset val="134"/>
      </rPr>
      <t>，</t>
    </r>
    <r>
      <rPr>
        <sz val="10"/>
        <color rgb="FF0000FF"/>
        <rFont val="等线"/>
        <charset val="134"/>
      </rPr>
      <t xml:space="preserve"> 贴在背面。
4. QR code贴纸</t>
    </r>
    <r>
      <rPr>
        <sz val="10"/>
        <color rgb="FF0000FF"/>
        <rFont val="汉仪书宋二KW"/>
        <charset val="134"/>
      </rPr>
      <t>（</t>
    </r>
    <r>
      <rPr>
        <sz val="10"/>
        <color rgb="FF0000FF"/>
        <rFont val="等线"/>
        <charset val="134"/>
      </rPr>
      <t>要求一物一码</t>
    </r>
    <r>
      <rPr>
        <sz val="10"/>
        <color rgb="FF0000FF"/>
        <rFont val="汉仪书宋二KW"/>
        <charset val="134"/>
      </rPr>
      <t>，</t>
    </r>
    <r>
      <rPr>
        <sz val="10"/>
        <color rgb="FF0000FF"/>
        <rFont val="等线"/>
        <charset val="134"/>
      </rPr>
      <t>每PCS的二维码不一样</t>
    </r>
    <r>
      <rPr>
        <sz val="10"/>
        <color rgb="FF0000FF"/>
        <rFont val="汉仪书宋二KW"/>
        <charset val="134"/>
      </rPr>
      <t>）</t>
    </r>
    <r>
      <rPr>
        <sz val="10"/>
        <color rgb="FF0000FF"/>
        <rFont val="等线"/>
        <charset val="134"/>
      </rPr>
      <t xml:space="preserve">;
5. QR code 格式 </t>
    </r>
    <r>
      <rPr>
        <sz val="10"/>
        <color rgb="FF0000FF"/>
        <rFont val="汉仪书宋二KW"/>
        <charset val="134"/>
      </rPr>
      <t>：</t>
    </r>
    <r>
      <rPr>
        <sz val="10"/>
        <color rgb="FF0000FF"/>
        <rFont val="等线"/>
        <charset val="134"/>
      </rPr>
      <t xml:space="preserve">DATA MATRIX GS1 </t>
    </r>
    <r>
      <rPr>
        <sz val="10"/>
        <color rgb="FF0000FF"/>
        <rFont val="汉仪书宋二KW"/>
        <charset val="134"/>
      </rPr>
      <t>；</t>
    </r>
    <r>
      <rPr>
        <sz val="10"/>
        <color rgb="FF0000FF"/>
        <rFont val="等线"/>
        <charset val="134"/>
      </rPr>
      <t xml:space="preserve">
6. 若多个柜子</t>
    </r>
    <r>
      <rPr>
        <sz val="10"/>
        <color rgb="FF0000FF"/>
        <rFont val="汉仪书宋二KW"/>
        <charset val="134"/>
      </rPr>
      <t>，</t>
    </r>
    <r>
      <rPr>
        <sz val="10"/>
        <color rgb="FF0000FF"/>
        <rFont val="等线"/>
        <charset val="134"/>
      </rPr>
      <t>BY TRAIN 要求带电池/不带电池不同柜</t>
    </r>
    <r>
      <rPr>
        <sz val="10"/>
        <color rgb="FF0000FF"/>
        <rFont val="汉仪书宋二KW"/>
        <charset val="134"/>
      </rPr>
      <t>；</t>
    </r>
    <r>
      <rPr>
        <sz val="10"/>
        <color rgb="FF0000FF"/>
        <rFont val="等线"/>
        <charset val="134"/>
      </rPr>
      <t>装柜时同一款必须放在同一个柜子里。
7. 整张单走EXW。</t>
    </r>
  </si>
  <si>
    <t>Ann  Zhang</t>
  </si>
  <si>
    <t>0989813263</t>
  </si>
  <si>
    <t>4500207892-10</t>
  </si>
  <si>
    <t>7/3自检</t>
  </si>
  <si>
    <t>7/19 SI</t>
  </si>
  <si>
    <t>FCC说明书</t>
  </si>
  <si>
    <r>
      <rPr>
        <sz val="10"/>
        <color rgb="FF0000FF"/>
        <rFont val="等线"/>
        <charset val="134"/>
      </rPr>
      <t>日期码格式</t>
    </r>
    <r>
      <rPr>
        <sz val="10"/>
        <color rgb="FF0000FF"/>
        <rFont val="汉仪书宋二KW"/>
        <charset val="134"/>
      </rPr>
      <t>：</t>
    </r>
    <r>
      <rPr>
        <sz val="10"/>
        <color rgb="FF0000FF"/>
        <rFont val="等线"/>
        <charset val="134"/>
      </rPr>
      <t>DGYYYYMMDD(日期避开周末和法定节假日)                  日期</t>
    </r>
    <r>
      <rPr>
        <sz val="10"/>
        <color rgb="FF0000FF"/>
        <rFont val="汉仪书宋二KW"/>
        <charset val="134"/>
      </rPr>
      <t>：</t>
    </r>
    <r>
      <rPr>
        <sz val="10"/>
        <color rgb="FF0000FF"/>
        <rFont val="等线"/>
        <charset val="134"/>
      </rPr>
      <t>按实际生产日期
Packaging Info: 40REP箱唛翻单</t>
    </r>
    <r>
      <rPr>
        <sz val="10"/>
        <color rgb="FF0000FF"/>
        <rFont val="汉仪书宋二KW"/>
        <charset val="134"/>
      </rPr>
      <t>：</t>
    </r>
    <r>
      <rPr>
        <sz val="10"/>
        <color rgb="FF0000FF"/>
        <rFont val="等线"/>
        <charset val="134"/>
      </rPr>
      <t>4500202318
1.包装方式</t>
    </r>
    <r>
      <rPr>
        <sz val="10"/>
        <color rgb="FF0000FF"/>
        <rFont val="汉仪书宋二KW"/>
        <charset val="134"/>
      </rPr>
      <t>：</t>
    </r>
    <r>
      <rPr>
        <sz val="10"/>
        <color rgb="FF0000FF"/>
        <rFont val="等线"/>
        <charset val="134"/>
      </rPr>
      <t xml:space="preserve">
71172: MA 1L彩盒包装+MA 15L WARNING B版说明书+ RFID贴纸
Remark: 2. 外箱四面印刷紫色RFID箱唛
主唛左前下角印刷艾利贴纸替代标箱唛(ITF-14格式)</t>
    </r>
    <r>
      <rPr>
        <sz val="10"/>
        <color rgb="FF0000FF"/>
        <rFont val="汉仪书宋二KW"/>
        <charset val="134"/>
      </rPr>
      <t>，</t>
    </r>
    <r>
      <rPr>
        <sz val="10"/>
        <color rgb="FF0000FF"/>
        <rFont val="等线"/>
        <charset val="134"/>
      </rPr>
      <t>条码只印刷一面
主唛右下角加印 MADE IN CHINA以及ZURU LOGO
3. 71172 UPC</t>
    </r>
    <r>
      <rPr>
        <sz val="10"/>
        <color rgb="FF0000FF"/>
        <rFont val="汉仪书宋二KW"/>
        <charset val="134"/>
      </rPr>
      <t>：</t>
    </r>
    <r>
      <rPr>
        <sz val="10"/>
        <color rgb="FF0000FF"/>
        <rFont val="等线"/>
        <charset val="134"/>
      </rPr>
      <t>193052098443
4.此批单#71172散箱出货</t>
    </r>
    <r>
      <rPr>
        <sz val="10"/>
        <color rgb="FF0000FF"/>
        <rFont val="汉仪书宋二KW"/>
        <charset val="134"/>
      </rPr>
      <t>；</t>
    </r>
    <r>
      <rPr>
        <sz val="10"/>
        <color rgb="FF0000FF"/>
        <rFont val="等线"/>
        <charset val="134"/>
      </rPr>
      <t xml:space="preserve">
1PCS/CTN</t>
    </r>
    <r>
      <rPr>
        <sz val="10"/>
        <color rgb="FF0000FF"/>
        <rFont val="汉仪书宋二KW"/>
        <charset val="134"/>
      </rPr>
      <t>：</t>
    </r>
    <r>
      <rPr>
        <sz val="10"/>
        <color rgb="FF0000FF"/>
        <rFont val="等线"/>
        <charset val="134"/>
      </rPr>
      <t>3PCS AA BATTERIES(INCLUDED)
5.此单需要验货</t>
    </r>
    <r>
      <rPr>
        <sz val="10"/>
        <color rgb="FF0000FF"/>
        <rFont val="汉仪书宋二KW"/>
        <charset val="134"/>
      </rPr>
      <t>，</t>
    </r>
    <r>
      <rPr>
        <sz val="10"/>
        <color rgb="FF0000FF"/>
        <rFont val="等线"/>
        <charset val="134"/>
      </rPr>
      <t>请自行多备包装物料。
6.产品和包装上要有日期码、MADE IN CHINA和ZURU字样。
7.每PCS要加RFID 贴纸(ZURU提供)</t>
    </r>
    <r>
      <rPr>
        <sz val="10"/>
        <color rgb="FF0000FF"/>
        <rFont val="汉仪书宋二KW"/>
        <charset val="134"/>
      </rPr>
      <t>，</t>
    </r>
    <r>
      <rPr>
        <sz val="10"/>
        <color rgb="FF0000FF"/>
        <rFont val="等线"/>
        <charset val="134"/>
      </rPr>
      <t>严格按照我们提供的位置图</t>
    </r>
    <r>
      <rPr>
        <sz val="10"/>
        <color rgb="FF0000FF"/>
        <rFont val="汉仪书宋二KW"/>
        <charset val="134"/>
      </rPr>
      <t>，</t>
    </r>
    <r>
      <rPr>
        <sz val="10"/>
        <color rgb="FF0000FF"/>
        <rFont val="等线"/>
        <charset val="134"/>
      </rPr>
      <t>不可擅自调整位置</t>
    </r>
    <r>
      <rPr>
        <sz val="10"/>
        <color rgb="FF0000FF"/>
        <rFont val="汉仪书宋二KW"/>
        <charset val="134"/>
      </rPr>
      <t>，</t>
    </r>
    <r>
      <rPr>
        <sz val="10"/>
        <color rgb="FF0000FF"/>
        <rFont val="等线"/>
        <charset val="134"/>
      </rPr>
      <t>贴纸也不可有任何破损或折坏</t>
    </r>
    <r>
      <rPr>
        <sz val="10"/>
        <color rgb="FF0000FF"/>
        <rFont val="汉仪书宋二KW"/>
        <charset val="134"/>
      </rPr>
      <t>，</t>
    </r>
    <r>
      <rPr>
        <sz val="10"/>
        <color rgb="FF0000FF"/>
        <rFont val="等线"/>
        <charset val="134"/>
      </rPr>
      <t>不可淋湿</t>
    </r>
    <r>
      <rPr>
        <sz val="10"/>
        <color rgb="FF0000FF"/>
        <rFont val="汉仪书宋二KW"/>
        <charset val="134"/>
      </rPr>
      <t>（</t>
    </r>
    <r>
      <rPr>
        <sz val="10"/>
        <color rgb="FF0000FF"/>
        <rFont val="等线"/>
        <charset val="134"/>
      </rPr>
      <t>如缺数请及时告知</t>
    </r>
    <r>
      <rPr>
        <sz val="10"/>
        <color rgb="FF0000FF"/>
        <rFont val="汉仪书宋二KW"/>
        <charset val="134"/>
      </rPr>
      <t>）</t>
    </r>
  </si>
  <si>
    <t>ZB07003-8.17</t>
  </si>
  <si>
    <t>10001824477-3890</t>
  </si>
  <si>
    <t>4500208407-10</t>
  </si>
  <si>
    <t>7/15客上柜</t>
  </si>
  <si>
    <t>ZB06838</t>
  </si>
  <si>
    <t>AS191225ZUR15275</t>
  </si>
  <si>
    <t>4500208771-100</t>
  </si>
  <si>
    <t>7/10 装柜</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</si>
  <si>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71172:MA UPC 最新包装-产品条码-193052098443+WEEE 29L 带电池说明书最新版;
Remark: 1.订单出英国</t>
    </r>
    <r>
      <rPr>
        <sz val="10"/>
        <color rgb="FF0000FF"/>
        <rFont val="汉仪书宋二KW"/>
        <charset val="134"/>
      </rPr>
      <t>，</t>
    </r>
    <r>
      <rPr>
        <sz val="10"/>
        <color rgb="FF0000FF"/>
        <rFont val="等线"/>
        <charset val="134"/>
      </rPr>
      <t>请注意检查产品及包装应带CE/UKCA图标</t>
    </r>
    <r>
      <rPr>
        <sz val="10"/>
        <color rgb="FF0000FF"/>
        <rFont val="汉仪书宋二KW"/>
        <charset val="134"/>
      </rPr>
      <t>，</t>
    </r>
    <r>
      <rPr>
        <sz val="10"/>
        <color rgb="FF0000FF"/>
        <rFont val="等线"/>
        <charset val="134"/>
      </rPr>
      <t>包装需要显示ZURU UKLTD/ZURU France地址信息</t>
    </r>
    <r>
      <rPr>
        <sz val="10"/>
        <color rgb="FF0000FF"/>
        <rFont val="汉仪书宋二KW"/>
        <charset val="134"/>
      </rPr>
      <t>，</t>
    </r>
    <r>
      <rPr>
        <sz val="10"/>
        <color rgb="FF0000FF"/>
        <rFont val="等线"/>
        <charset val="134"/>
      </rPr>
      <t>QC同事请查核</t>
    </r>
    <r>
      <rPr>
        <sz val="10"/>
        <color rgb="FF0000FF"/>
        <rFont val="汉仪书宋二KW"/>
        <charset val="134"/>
      </rPr>
      <t>，</t>
    </r>
    <r>
      <rPr>
        <sz val="10"/>
        <color rgb="FF0000FF"/>
        <rFont val="等线"/>
        <charset val="134"/>
      </rPr>
      <t>如有问题与跟单确认。
2.生产日期按实际的</t>
    </r>
    <r>
      <rPr>
        <sz val="10"/>
        <color rgb="FF0000FF"/>
        <rFont val="汉仪书宋二KW"/>
        <charset val="134"/>
      </rPr>
      <t>（</t>
    </r>
    <r>
      <rPr>
        <sz val="10"/>
        <color rgb="FF0000FF"/>
        <rFont val="等线"/>
        <charset val="134"/>
      </rPr>
      <t>法定工作日</t>
    </r>
    <r>
      <rPr>
        <sz val="10"/>
        <color rgb="FF0000FF"/>
        <rFont val="汉仪书宋二KW"/>
        <charset val="134"/>
      </rPr>
      <t>），</t>
    </r>
    <r>
      <rPr>
        <sz val="10"/>
        <color rgb="FF0000FF"/>
        <rFont val="等线"/>
        <charset val="134"/>
      </rPr>
      <t>按ZURU标准格式即可</t>
    </r>
    <r>
      <rPr>
        <sz val="10"/>
        <color rgb="FF0000FF"/>
        <rFont val="汉仪书宋二KW"/>
        <charset val="134"/>
      </rPr>
      <t>，</t>
    </r>
    <r>
      <rPr>
        <sz val="10"/>
        <color rgb="FF0000FF"/>
        <rFont val="等线"/>
        <charset val="134"/>
      </rPr>
      <t>并需要在出货前提供每个产品外包上对应的生产日期明细
3.请注意所有订单都需要经过ZURU QC验货加提供客版自检报告审核且通过后方可出货
4.不接受一个款有多个条码</t>
    </r>
    <r>
      <rPr>
        <sz val="10"/>
        <color rgb="FF0000FF"/>
        <rFont val="汉仪书宋二KW"/>
        <charset val="134"/>
      </rPr>
      <t>，</t>
    </r>
    <r>
      <rPr>
        <sz val="10"/>
        <color rgb="FF0000FF"/>
        <rFont val="等线"/>
        <charset val="134"/>
      </rPr>
      <t>存在这个情况请让ZURU提供条码贴纸
5.外箱上的条码请确保清晰可扫描</t>
    </r>
    <r>
      <rPr>
        <sz val="10"/>
        <color rgb="FF0000FF"/>
        <rFont val="汉仪书宋二KW"/>
        <charset val="134"/>
      </rPr>
      <t>，</t>
    </r>
    <r>
      <rPr>
        <sz val="10"/>
        <color rgb="FF0000FF"/>
        <rFont val="等线"/>
        <charset val="134"/>
      </rPr>
      <t>有PDQ</t>
    </r>
    <r>
      <rPr>
        <sz val="10"/>
        <color rgb="FF0000FF"/>
        <rFont val="汉仪书宋二KW"/>
        <charset val="134"/>
      </rPr>
      <t>，</t>
    </r>
    <r>
      <rPr>
        <sz val="10"/>
        <color rgb="FF0000FF"/>
        <rFont val="等线"/>
        <charset val="134"/>
      </rPr>
      <t>需要在PDQ底部贴一张带条码并可扫描的贴纸(ZURU 跟单提供模板</t>
    </r>
    <r>
      <rPr>
        <sz val="10"/>
        <color rgb="FF0000FF"/>
        <rFont val="汉仪书宋二KW"/>
        <charset val="134"/>
      </rPr>
      <t>）</t>
    </r>
    <r>
      <rPr>
        <sz val="10"/>
        <color rgb="FF0000FF"/>
        <rFont val="等线"/>
        <charset val="134"/>
      </rPr>
      <t>。
6.所有产品按符合欧洲标准走货</t>
    </r>
    <r>
      <rPr>
        <sz val="10"/>
        <color rgb="FF0000FF"/>
        <rFont val="汉仪书宋二KW"/>
        <charset val="134"/>
      </rPr>
      <t>，</t>
    </r>
    <r>
      <rPr>
        <sz val="10"/>
        <color rgb="FF0000FF"/>
        <rFont val="等线"/>
        <charset val="134"/>
      </rPr>
      <t>微塑料需合规并增加IFUD声明</t>
    </r>
    <r>
      <rPr>
        <sz val="10"/>
        <color rgb="FF0000FF"/>
        <rFont val="汉仪书宋二KW"/>
        <charset val="134"/>
      </rPr>
      <t>，</t>
    </r>
    <r>
      <rPr>
        <sz val="10"/>
        <color rgb="FF0000FF"/>
        <rFont val="等线"/>
        <charset val="134"/>
      </rPr>
      <t>含电池的需要增加WEEE说明书。
7.请额外准备一套大货样</t>
    </r>
  </si>
  <si>
    <t>4400563559</t>
  </si>
  <si>
    <t>4500207210-50</t>
  </si>
  <si>
    <t>7/9 装柜</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</si>
  <si>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71172: MA3L-23Lwarning彩盒(含法国sorting label)+D版WEEE声明(带电池)走货欧洲通用29L说明书
EAN#4894680057272
3PCS AA BATTERIES(INCLUDED)
Remark: Smyths 英国/爱尔兰
 1. 请准时出货</t>
    </r>
    <r>
      <rPr>
        <sz val="10"/>
        <color rgb="FF0000FF"/>
        <rFont val="汉仪书宋二KW"/>
        <charset val="134"/>
      </rPr>
      <t>，</t>
    </r>
    <r>
      <rPr>
        <sz val="10"/>
        <color rgb="FF0000FF"/>
        <rFont val="等线"/>
        <charset val="134"/>
      </rPr>
      <t>推期会有罚款</t>
    </r>
    <r>
      <rPr>
        <sz val="10"/>
        <color rgb="FF0000FF"/>
        <rFont val="汉仪书宋二KW"/>
        <charset val="134"/>
      </rPr>
      <t>；</t>
    </r>
    <r>
      <rPr>
        <sz val="10"/>
        <color rgb="FF0000FF"/>
        <rFont val="等线"/>
        <charset val="134"/>
      </rPr>
      <t xml:space="preserve">
 2. 所有产品按符合欧洲标准走货</t>
    </r>
    <r>
      <rPr>
        <sz val="10"/>
        <color rgb="FF0000FF"/>
        <rFont val="汉仪书宋二KW"/>
        <charset val="134"/>
      </rPr>
      <t>，</t>
    </r>
    <r>
      <rPr>
        <sz val="10"/>
        <color rgb="FF0000FF"/>
        <rFont val="等线"/>
        <charset val="134"/>
      </rPr>
      <t>需要是不含微塑料版本。
3.包装日期码按ZURU格式即可</t>
    </r>
    <r>
      <rPr>
        <sz val="10"/>
        <color rgb="FF0000FF"/>
        <rFont val="汉仪书宋二KW"/>
        <charset val="134"/>
      </rPr>
      <t>，</t>
    </r>
    <r>
      <rPr>
        <sz val="10"/>
        <color rgb="FF0000FF"/>
        <rFont val="等线"/>
        <charset val="134"/>
      </rPr>
      <t>请确保不迟于外箱日期码</t>
    </r>
    <r>
      <rPr>
        <sz val="10"/>
        <color rgb="FF0000FF"/>
        <rFont val="汉仪书宋二KW"/>
        <charset val="134"/>
      </rPr>
      <t>，</t>
    </r>
    <r>
      <rPr>
        <sz val="10"/>
        <color rgb="FF0000FF"/>
        <rFont val="等线"/>
        <charset val="134"/>
      </rPr>
      <t>可等于或者早于外箱日期码</t>
    </r>
    <r>
      <rPr>
        <sz val="10"/>
        <color rgb="FF0000FF"/>
        <rFont val="汉仪书宋二KW"/>
        <charset val="134"/>
      </rPr>
      <t>，</t>
    </r>
    <r>
      <rPr>
        <sz val="10"/>
        <color rgb="FF0000FF"/>
        <rFont val="等线"/>
        <charset val="134"/>
      </rPr>
      <t>必须为法定工作日</t>
    </r>
    <r>
      <rPr>
        <sz val="10"/>
        <color rgb="FF0000FF"/>
        <rFont val="汉仪书宋二KW"/>
        <charset val="134"/>
      </rPr>
      <t>，</t>
    </r>
    <r>
      <rPr>
        <sz val="10"/>
        <color rgb="FF0000FF"/>
        <rFont val="等线"/>
        <charset val="134"/>
      </rPr>
      <t>印刷前请先检查外箱日期码。
4.请注意检查产品及包装应带UKCA图标</t>
    </r>
    <r>
      <rPr>
        <sz val="10"/>
        <color rgb="FF0000FF"/>
        <rFont val="汉仪书宋二KW"/>
        <charset val="134"/>
      </rPr>
      <t>（</t>
    </r>
    <r>
      <rPr>
        <sz val="10"/>
        <color rgb="FF0000FF"/>
        <rFont val="等线"/>
        <charset val="134"/>
      </rPr>
      <t>14+产品除外</t>
    </r>
    <r>
      <rPr>
        <sz val="10"/>
        <color rgb="FF0000FF"/>
        <rFont val="汉仪书宋二KW"/>
        <charset val="134"/>
      </rPr>
      <t>），</t>
    </r>
    <r>
      <rPr>
        <sz val="10"/>
        <color rgb="FF0000FF"/>
        <rFont val="等线"/>
        <charset val="134"/>
      </rPr>
      <t>包装显示ZURU UK LTD/ZURU France地址信息</t>
    </r>
    <r>
      <rPr>
        <sz val="10"/>
        <color rgb="FF0000FF"/>
        <rFont val="汉仪书宋二KW"/>
        <charset val="134"/>
      </rPr>
      <t>，</t>
    </r>
    <r>
      <rPr>
        <sz val="10"/>
        <color rgb="FF0000FF"/>
        <rFont val="等线"/>
        <charset val="134"/>
      </rPr>
      <t>QC部门请查核</t>
    </r>
    <r>
      <rPr>
        <sz val="10"/>
        <color rgb="FF0000FF"/>
        <rFont val="汉仪书宋二KW"/>
        <charset val="134"/>
      </rPr>
      <t>，</t>
    </r>
    <r>
      <rPr>
        <sz val="10"/>
        <color rgb="FF0000FF"/>
        <rFont val="等线"/>
        <charset val="134"/>
      </rPr>
      <t>如有问题与跟单确认
5.电子产品需增加一张WEEE声明30L通用黑白说明书(不接受A版本</t>
    </r>
    <r>
      <rPr>
        <sz val="10"/>
        <color rgb="FF0000FF"/>
        <rFont val="汉仪书宋二KW"/>
        <charset val="134"/>
      </rPr>
      <t>，</t>
    </r>
    <r>
      <rPr>
        <sz val="10"/>
        <color rgb="FF0000FF"/>
        <rFont val="等线"/>
        <charset val="134"/>
      </rPr>
      <t>翻译有误)</t>
    </r>
    <r>
      <rPr>
        <sz val="10"/>
        <color rgb="FF0000FF"/>
        <rFont val="汉仪书宋二KW"/>
        <charset val="134"/>
      </rPr>
      <t>，</t>
    </r>
    <r>
      <rPr>
        <sz val="10"/>
        <color rgb="FF0000FF"/>
        <rFont val="等线"/>
        <charset val="134"/>
      </rPr>
      <t>区分带电池和不带电池出货版本, 如已做客版说明书可忽略此要求</t>
    </r>
    <r>
      <rPr>
        <sz val="10"/>
        <color rgb="FF0000FF"/>
        <rFont val="汉仪书宋二KW"/>
        <charset val="134"/>
      </rPr>
      <t>；</t>
    </r>
    <r>
      <rPr>
        <sz val="10"/>
        <color rgb="FF0000FF"/>
        <rFont val="等线"/>
        <charset val="134"/>
      </rPr>
      <t xml:space="preserve">
6.订单备注显示有分批的</t>
    </r>
    <r>
      <rPr>
        <sz val="10"/>
        <color rgb="FF0000FF"/>
        <rFont val="汉仪书宋二KW"/>
        <charset val="134"/>
      </rPr>
      <t>（</t>
    </r>
    <r>
      <rPr>
        <sz val="10"/>
        <color rgb="FF0000FF"/>
        <rFont val="等线"/>
        <charset val="134"/>
      </rPr>
      <t>不同仓库/订单号</t>
    </r>
    <r>
      <rPr>
        <sz val="10"/>
        <color rgb="FF0000FF"/>
        <rFont val="汉仪书宋二KW"/>
        <charset val="134"/>
      </rPr>
      <t>）</t>
    </r>
    <r>
      <rPr>
        <sz val="10"/>
        <color rgb="FF0000FF"/>
        <rFont val="等线"/>
        <charset val="134"/>
      </rPr>
      <t xml:space="preserve">  </t>
    </r>
    <r>
      <rPr>
        <sz val="10"/>
        <color rgb="FF0000FF"/>
        <rFont val="汉仪书宋二KW"/>
        <charset val="134"/>
      </rPr>
      <t>，</t>
    </r>
    <r>
      <rPr>
        <sz val="10"/>
        <color rgb="FF0000FF"/>
        <rFont val="等线"/>
        <charset val="134"/>
      </rPr>
      <t>注意分开做货出货</t>
    </r>
    <r>
      <rPr>
        <sz val="10"/>
        <color rgb="FF0000FF"/>
        <rFont val="汉仪书宋二KW"/>
        <charset val="134"/>
      </rPr>
      <t>，</t>
    </r>
    <r>
      <rPr>
        <sz val="10"/>
        <color rgb="FF0000FF"/>
        <rFont val="等线"/>
        <charset val="134"/>
      </rPr>
      <t>否则会导致罚款。
7.做货前请先复核包装条码与订单是否一致再安排</t>
    </r>
    <r>
      <rPr>
        <sz val="10"/>
        <color rgb="FF0000FF"/>
        <rFont val="汉仪书宋二KW"/>
        <charset val="134"/>
      </rPr>
      <t>，</t>
    </r>
    <r>
      <rPr>
        <sz val="10"/>
        <color rgb="FF0000FF"/>
        <rFont val="等线"/>
        <charset val="134"/>
      </rPr>
      <t>对不上的需与ZURU跟单确认再安排。</t>
    </r>
  </si>
  <si>
    <t>CANDIDE IND E COM LTDA</t>
  </si>
  <si>
    <t>巴西</t>
  </si>
  <si>
    <t>4500206011-30</t>
  </si>
  <si>
    <t>7/8 SI</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</si>
  <si>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71172:MA 1L包装+进口商贴纸+客版说明书+条码贴纸+箱唛
Remark: 外箱胶带要用CANDIDE 格式</t>
    </r>
  </si>
  <si>
    <t>71172-S001-1L-客说明书</t>
  </si>
  <si>
    <t>4500207895</t>
  </si>
  <si>
    <t>0989813012</t>
  </si>
  <si>
    <t>4500207895-10</t>
  </si>
  <si>
    <r>
      <rPr>
        <sz val="10"/>
        <color rgb="FF010CDD"/>
        <rFont val="等线"/>
        <charset val="134"/>
      </rPr>
      <t>日期码格式</t>
    </r>
    <r>
      <rPr>
        <sz val="10"/>
        <color rgb="FF010CDD"/>
        <rFont val="汉仪书宋二KW"/>
        <charset val="134"/>
      </rPr>
      <t>：</t>
    </r>
    <r>
      <rPr>
        <sz val="10"/>
        <color rgb="FF010CDD"/>
        <rFont val="等线"/>
        <charset val="134"/>
      </rPr>
      <t>DGYYYYMMDD(日期避开周末和法定节假日)                  日期</t>
    </r>
    <r>
      <rPr>
        <sz val="10"/>
        <color rgb="FF010CDD"/>
        <rFont val="汉仪书宋二KW"/>
        <charset val="134"/>
      </rPr>
      <t>：</t>
    </r>
    <r>
      <rPr>
        <sz val="10"/>
        <color rgb="FF010CDD"/>
        <rFont val="等线"/>
        <charset val="134"/>
      </rPr>
      <t>按实际生产日期
Packaging Info: 40REP包装/箱唛翻单</t>
    </r>
    <r>
      <rPr>
        <sz val="10"/>
        <color rgb="FF010CDD"/>
        <rFont val="汉仪书宋二KW"/>
        <charset val="134"/>
      </rPr>
      <t>：</t>
    </r>
    <r>
      <rPr>
        <sz val="10"/>
        <color rgb="FF010CDD"/>
        <rFont val="等线"/>
        <charset val="134"/>
      </rPr>
      <t>4500207892
1.包装方式</t>
    </r>
    <r>
      <rPr>
        <sz val="10"/>
        <color rgb="FF010CDD"/>
        <rFont val="汉仪书宋二KW"/>
        <charset val="134"/>
      </rPr>
      <t>：</t>
    </r>
    <r>
      <rPr>
        <sz val="10"/>
        <color rgb="FF010CDD"/>
        <rFont val="等线"/>
        <charset val="134"/>
      </rPr>
      <t xml:space="preserve">
71172: MA 1L彩盒包装+MA 15L WARNING B版说明书+ RFID贴纸
Remark: 2. 外箱四面印刷紫色RFID箱唛
主唛左前下角印刷艾利贴纸替代标箱唛(ITF-14格式)</t>
    </r>
    <r>
      <rPr>
        <sz val="10"/>
        <color rgb="FF010CDD"/>
        <rFont val="汉仪书宋二KW"/>
        <charset val="134"/>
      </rPr>
      <t>，</t>
    </r>
    <r>
      <rPr>
        <sz val="10"/>
        <color rgb="FF010CDD"/>
        <rFont val="等线"/>
        <charset val="134"/>
      </rPr>
      <t>条码只印刷一面
主唛右下角加印 MADE IN CHINA以及ZURU LOGO
3. 71172 UPC</t>
    </r>
    <r>
      <rPr>
        <sz val="10"/>
        <color rgb="FF010CDD"/>
        <rFont val="汉仪书宋二KW"/>
        <charset val="134"/>
      </rPr>
      <t>：</t>
    </r>
    <r>
      <rPr>
        <sz val="10"/>
        <color rgb="FF010CDD"/>
        <rFont val="等线"/>
        <charset val="134"/>
      </rPr>
      <t>193052098443
4.此批单#71172散箱出货</t>
    </r>
    <r>
      <rPr>
        <sz val="10"/>
        <color rgb="FF010CDD"/>
        <rFont val="汉仪书宋二KW"/>
        <charset val="134"/>
      </rPr>
      <t>；</t>
    </r>
    <r>
      <rPr>
        <sz val="10"/>
        <color rgb="FF010CDD"/>
        <rFont val="等线"/>
        <charset val="134"/>
      </rPr>
      <t xml:space="preserve">
1PCS/CTN</t>
    </r>
    <r>
      <rPr>
        <sz val="10"/>
        <color rgb="FF010CDD"/>
        <rFont val="汉仪书宋二KW"/>
        <charset val="134"/>
      </rPr>
      <t>：</t>
    </r>
    <r>
      <rPr>
        <sz val="10"/>
        <color rgb="FF010CDD"/>
        <rFont val="等线"/>
        <charset val="134"/>
      </rPr>
      <t>3PCS AA BATTERIES(INCLUDED)
5.此单需要验货</t>
    </r>
    <r>
      <rPr>
        <sz val="10"/>
        <color rgb="FF010CDD"/>
        <rFont val="汉仪书宋二KW"/>
        <charset val="134"/>
      </rPr>
      <t>，</t>
    </r>
    <r>
      <rPr>
        <sz val="10"/>
        <color rgb="FF010CDD"/>
        <rFont val="等线"/>
        <charset val="134"/>
      </rPr>
      <t>请自行多备包装物料。
6.产品和包装上要有日期码、MADE IN CHINA和ZURU字样。
7.每PCS要加RFID 贴纸(ZURU提供)</t>
    </r>
    <r>
      <rPr>
        <sz val="10"/>
        <color rgb="FF010CDD"/>
        <rFont val="汉仪书宋二KW"/>
        <charset val="134"/>
      </rPr>
      <t>，</t>
    </r>
    <r>
      <rPr>
        <sz val="10"/>
        <color rgb="FF010CDD"/>
        <rFont val="等线"/>
        <charset val="134"/>
      </rPr>
      <t>严格按照我们提供的位置图</t>
    </r>
    <r>
      <rPr>
        <sz val="10"/>
        <color rgb="FF010CDD"/>
        <rFont val="汉仪书宋二KW"/>
        <charset val="134"/>
      </rPr>
      <t>，</t>
    </r>
    <r>
      <rPr>
        <sz val="10"/>
        <color rgb="FF010CDD"/>
        <rFont val="等线"/>
        <charset val="134"/>
      </rPr>
      <t>不可擅自调整位置</t>
    </r>
    <r>
      <rPr>
        <sz val="10"/>
        <color rgb="FF010CDD"/>
        <rFont val="汉仪书宋二KW"/>
        <charset val="134"/>
      </rPr>
      <t>，</t>
    </r>
    <r>
      <rPr>
        <sz val="10"/>
        <color rgb="FF010CDD"/>
        <rFont val="等线"/>
        <charset val="134"/>
      </rPr>
      <t>贴纸也不可有任何破损或折坏</t>
    </r>
    <r>
      <rPr>
        <sz val="10"/>
        <color rgb="FF010CDD"/>
        <rFont val="汉仪书宋二KW"/>
        <charset val="134"/>
      </rPr>
      <t>，</t>
    </r>
    <r>
      <rPr>
        <sz val="10"/>
        <color rgb="FF010CDD"/>
        <rFont val="等线"/>
        <charset val="134"/>
      </rPr>
      <t>不可淋湿</t>
    </r>
    <r>
      <rPr>
        <sz val="10"/>
        <color rgb="FF010CDD"/>
        <rFont val="汉仪书宋二KW"/>
        <charset val="134"/>
      </rPr>
      <t>（</t>
    </r>
    <r>
      <rPr>
        <sz val="10"/>
        <color rgb="FF010CDD"/>
        <rFont val="等线"/>
        <charset val="134"/>
      </rPr>
      <t>如缺数请及时告知</t>
    </r>
    <r>
      <rPr>
        <sz val="10"/>
        <color rgb="FF010CDD"/>
        <rFont val="汉仪书宋二KW"/>
        <charset val="134"/>
      </rPr>
      <t>）</t>
    </r>
  </si>
  <si>
    <t>ZB07148-8.17</t>
  </si>
  <si>
    <t>0989813313</t>
  </si>
  <si>
    <t>4500207895-20</t>
  </si>
  <si>
    <t>ZB07408-8.17</t>
  </si>
  <si>
    <t>0989813320</t>
  </si>
  <si>
    <t>4500207895-30</t>
  </si>
  <si>
    <t>ZB07035-8.17</t>
  </si>
  <si>
    <t>NASA PANAMA</t>
  </si>
  <si>
    <t>巴拿马</t>
  </si>
  <si>
    <t>4500203225-30</t>
  </si>
  <si>
    <t>8/17 SI</t>
  </si>
  <si>
    <t>日期码格式：ZURU INC(BVI) 标准格式                  日期：按实际生产日期
Packaging Info: 1.优先多语 MA UPC或者3L/5L MA EAN 包装
2.请确保包装上的条形码是UPC，如果是babyUPC、需要用mother UPC覆盖，如有不一致，请及时提出。谢谢!
71172 MA 多语EAN 包装+UPC 贴纸+箱唛
Remark: 
71172 3PCS AA BATTERIES(INCLUDED)</t>
  </si>
  <si>
    <t>Aimee Huang</t>
  </si>
  <si>
    <t>CARLOS FEDERSPIEL &amp; CIA. - UNIVERSA</t>
  </si>
  <si>
    <t>4500203841</t>
  </si>
  <si>
    <t>4500203841-30</t>
  </si>
  <si>
    <t>8/12 装柜</t>
  </si>
  <si>
    <r>
      <rPr>
        <sz val="10"/>
        <color rgb="FF010CDD"/>
        <rFont val="等线"/>
        <charset val="134"/>
      </rPr>
      <t>日期码格式</t>
    </r>
    <r>
      <rPr>
        <sz val="10"/>
        <color rgb="FF010CDD"/>
        <rFont val="汉仪书宋二KW"/>
        <charset val="134"/>
      </rPr>
      <t>：</t>
    </r>
    <r>
      <rPr>
        <sz val="10"/>
        <color rgb="FF010CDD"/>
        <rFont val="等线"/>
        <charset val="134"/>
      </rPr>
      <t xml:space="preserve"> ZURU INC(BVI) 标准格式 日期</t>
    </r>
    <r>
      <rPr>
        <sz val="10"/>
        <color rgb="FF010CDD"/>
        <rFont val="汉仪书宋二KW"/>
        <charset val="134"/>
      </rPr>
      <t>：</t>
    </r>
    <r>
      <rPr>
        <sz val="10"/>
        <color rgb="FF010CDD"/>
        <rFont val="等线"/>
        <charset val="134"/>
      </rPr>
      <t>按实际生产日期
Packaging Info: 
71172:MA 多语包装+进口商贴纸+UPC贴纸+客版说明书+箱唛</t>
    </r>
    <r>
      <rPr>
        <sz val="10"/>
        <color rgb="FF010CDD"/>
        <rFont val="汉仪书宋二KW"/>
        <charset val="134"/>
      </rPr>
      <t>，（</t>
    </r>
    <r>
      <rPr>
        <sz val="10"/>
        <color rgb="FF010CDD"/>
        <rFont val="等线"/>
        <charset val="134"/>
      </rPr>
      <t>不需要再放MA说明书</t>
    </r>
    <r>
      <rPr>
        <sz val="10"/>
        <color rgb="FF010CDD"/>
        <rFont val="汉仪书宋二KW"/>
        <charset val="134"/>
      </rPr>
      <t>），</t>
    </r>
    <r>
      <rPr>
        <sz val="10"/>
        <color rgb="FF010CDD"/>
        <rFont val="等线"/>
        <charset val="134"/>
      </rPr>
      <t>客版说明书翻单PO4500206011
71172/9574/9561/92146/92147</t>
    </r>
    <r>
      <rPr>
        <sz val="10"/>
        <color rgb="FF010CDD"/>
        <rFont val="汉仪书宋二KW"/>
        <charset val="134"/>
      </rPr>
      <t>：</t>
    </r>
    <r>
      <rPr>
        <sz val="10"/>
        <color rgb="FF010CDD"/>
        <rFont val="等线"/>
        <charset val="134"/>
      </rPr>
      <t>MA 多语包装+进口商贴纸+箱唛
其余item</t>
    </r>
    <r>
      <rPr>
        <sz val="10"/>
        <color rgb="FF010CDD"/>
        <rFont val="汉仪书宋二KW"/>
        <charset val="134"/>
      </rPr>
      <t>：</t>
    </r>
    <r>
      <rPr>
        <sz val="10"/>
        <color rgb="FF010CDD"/>
        <rFont val="等线"/>
        <charset val="134"/>
      </rPr>
      <t>MA 多语包装+进口商贴纸+UPC贴纸+箱唛
Remark</t>
    </r>
  </si>
  <si>
    <t>PRENATAL RETAIL GROUP SPAIN S.L.</t>
  </si>
  <si>
    <t>2000010381</t>
  </si>
  <si>
    <t>4500206580-10</t>
  </si>
  <si>
    <t>8/3 装柜</t>
  </si>
  <si>
    <t>LOT2626</t>
  </si>
  <si>
    <r>
      <rPr>
        <sz val="10"/>
        <color rgb="FF0000FF"/>
        <rFont val="等线"/>
        <charset val="134"/>
      </rPr>
      <t>日期码格式</t>
    </r>
    <r>
      <rPr>
        <sz val="10"/>
        <color rgb="FF0000FF"/>
        <rFont val="汉仪书宋二KW"/>
        <charset val="134"/>
      </rPr>
      <t>：</t>
    </r>
    <r>
      <rPr>
        <sz val="10"/>
        <color rgb="FF0000FF"/>
        <rFont val="等线"/>
        <charset val="134"/>
      </rPr>
      <t>LOT2626                  日期</t>
    </r>
    <r>
      <rPr>
        <sz val="10"/>
        <color rgb="FF0000FF"/>
        <rFont val="汉仪书宋二KW"/>
        <charset val="134"/>
      </rPr>
      <t>：</t>
    </r>
    <r>
      <rPr>
        <sz val="10"/>
        <color rgb="FF0000FF"/>
        <rFont val="等线"/>
        <charset val="134"/>
      </rPr>
      <t xml:space="preserve">
Packaging Info: 1. 71172: 最新MA 3L EAN彩盒+最新MA 15L说明书+一张进口商贴纸</t>
    </r>
    <r>
      <rPr>
        <sz val="10"/>
        <color rgb="FF0000FF"/>
        <rFont val="汉仪书宋二KW"/>
        <charset val="134"/>
      </rPr>
      <t>（</t>
    </r>
    <r>
      <rPr>
        <sz val="10"/>
        <color rgb="FF0000FF"/>
        <rFont val="等线"/>
        <charset val="134"/>
      </rPr>
      <t>含西班牙环保标</t>
    </r>
    <r>
      <rPr>
        <sz val="10"/>
        <color rgb="FF0000FF"/>
        <rFont val="汉仪书宋二KW"/>
        <charset val="134"/>
      </rPr>
      <t>）</t>
    </r>
    <r>
      <rPr>
        <sz val="10"/>
        <color rgb="FF0000FF"/>
        <rFont val="等线"/>
        <charset val="134"/>
      </rPr>
      <t>+一张产品贴纸+一张西/葡weee说明书纸
Remark: 1. 订单出欧洲国家-西班牙</t>
    </r>
    <r>
      <rPr>
        <sz val="10"/>
        <color rgb="FF0000FF"/>
        <rFont val="汉仪书宋二KW"/>
        <charset val="134"/>
      </rPr>
      <t>，</t>
    </r>
    <r>
      <rPr>
        <sz val="10"/>
        <color rgb="FF0000FF"/>
        <rFont val="等线"/>
        <charset val="134"/>
      </rPr>
      <t>产品不能含有闪粉/微塑料</t>
    </r>
    <r>
      <rPr>
        <sz val="10"/>
        <color rgb="FF0000FF"/>
        <rFont val="汉仪书宋二KW"/>
        <charset val="134"/>
      </rPr>
      <t>，</t>
    </r>
    <r>
      <rPr>
        <sz val="10"/>
        <color rgb="FF0000FF"/>
        <rFont val="等线"/>
        <charset val="134"/>
      </rPr>
      <t>请确保所有包装都有西班牙环保标。
 2. 客人格式日期码 LOT2626</t>
    </r>
    <r>
      <rPr>
        <sz val="10"/>
        <color rgb="FF0000FF"/>
        <rFont val="汉仪书宋二KW"/>
        <charset val="134"/>
      </rPr>
      <t>，</t>
    </r>
    <r>
      <rPr>
        <sz val="10"/>
        <color rgb="FF0000FF"/>
        <rFont val="等线"/>
        <charset val="134"/>
      </rPr>
      <t>包装</t>
    </r>
    <r>
      <rPr>
        <sz val="10"/>
        <color rgb="FF0000FF"/>
        <rFont val="汉仪书宋二KW"/>
        <charset val="134"/>
      </rPr>
      <t>（</t>
    </r>
    <r>
      <rPr>
        <sz val="10"/>
        <color rgb="FF0000FF"/>
        <rFont val="等线"/>
        <charset val="134"/>
      </rPr>
      <t>含收缩膜等</t>
    </r>
    <r>
      <rPr>
        <sz val="10"/>
        <color rgb="FF0000FF"/>
        <rFont val="汉仪书宋二KW"/>
        <charset val="134"/>
      </rPr>
      <t>）</t>
    </r>
    <r>
      <rPr>
        <sz val="10"/>
        <color rgb="FF0000FF"/>
        <rFont val="等线"/>
        <charset val="134"/>
      </rPr>
      <t>/产品/外箱 请保持一致。
 3. 新品需提供2套大货样品给客人</t>
    </r>
    <r>
      <rPr>
        <sz val="10"/>
        <color rgb="FF0000FF"/>
        <rFont val="汉仪书宋二KW"/>
        <charset val="134"/>
      </rPr>
      <t>，</t>
    </r>
    <r>
      <rPr>
        <sz val="10"/>
        <color rgb="FF0000FF"/>
        <rFont val="等线"/>
        <charset val="134"/>
      </rPr>
      <t>客人会签回一套</t>
    </r>
    <r>
      <rPr>
        <sz val="10"/>
        <color rgb="FF0000FF"/>
        <rFont val="汉仪书宋二KW"/>
        <charset val="134"/>
      </rPr>
      <t>，</t>
    </r>
    <r>
      <rPr>
        <sz val="10"/>
        <color rgb="FF0000FF"/>
        <rFont val="等线"/>
        <charset val="134"/>
      </rPr>
      <t>验货后验货员需要封1套板寄给香港办公室</t>
    </r>
    <r>
      <rPr>
        <sz val="10"/>
        <color rgb="FF0000FF"/>
        <rFont val="汉仪书宋二KW"/>
        <charset val="134"/>
      </rPr>
      <t>，</t>
    </r>
    <r>
      <rPr>
        <sz val="10"/>
        <color rgb="FF0000FF"/>
        <rFont val="等线"/>
        <charset val="134"/>
      </rPr>
      <t>请多备料</t>
    </r>
    <r>
      <rPr>
        <sz val="10"/>
        <color rgb="FF0000FF"/>
        <rFont val="汉仪书宋二KW"/>
        <charset val="134"/>
      </rPr>
      <t>，</t>
    </r>
    <r>
      <rPr>
        <sz val="10"/>
        <color rgb="FF0000FF"/>
        <rFont val="等线"/>
        <charset val="134"/>
      </rPr>
      <t>具体样板需求详见后续邮件通知
 4. 需要符合欧洲标准不能含有闪粉和微塑料</t>
    </r>
    <r>
      <rPr>
        <sz val="10"/>
        <color rgb="FF0000FF"/>
        <rFont val="汉仪书宋二KW"/>
        <charset val="134"/>
      </rPr>
      <t>，</t>
    </r>
    <r>
      <rPr>
        <sz val="10"/>
        <color rgb="FF0000FF"/>
        <rFont val="等线"/>
        <charset val="134"/>
      </rPr>
      <t>否则不合法规会有客诉产生。
 5. 硼含量需要符合欧洲标准</t>
    </r>
    <r>
      <rPr>
        <sz val="10"/>
        <color rgb="FF0000FF"/>
        <rFont val="汉仪书宋二KW"/>
        <charset val="134"/>
      </rPr>
      <t>，</t>
    </r>
    <r>
      <rPr>
        <sz val="10"/>
        <color rgb="FF0000FF"/>
        <rFont val="等线"/>
        <charset val="134"/>
      </rPr>
      <t>否则不合法规会有客诉产生
 6. 此客户需要第三方验货</t>
    </r>
    <r>
      <rPr>
        <sz val="10"/>
        <color rgb="FF0000FF"/>
        <rFont val="汉仪书宋二KW"/>
        <charset val="134"/>
      </rPr>
      <t>，</t>
    </r>
    <r>
      <rPr>
        <sz val="10"/>
        <color rgb="FF0000FF"/>
        <rFont val="等线"/>
        <charset val="134"/>
      </rPr>
      <t>请在约三方验货前必须PASS ZURU验货。
 7. 所有带电产品请复核跟单是否有提供客人指定内容的WEEE说明书</t>
    </r>
    <r>
      <rPr>
        <sz val="10"/>
        <color rgb="FF0000FF"/>
        <rFont val="汉仪书宋二KW"/>
        <charset val="134"/>
      </rPr>
      <t>（</t>
    </r>
    <r>
      <rPr>
        <sz val="10"/>
        <color rgb="FF0000FF"/>
        <rFont val="等线"/>
        <charset val="134"/>
      </rPr>
      <t>不是通用29L版本</t>
    </r>
    <r>
      <rPr>
        <sz val="10"/>
        <color rgb="FF0000FF"/>
        <rFont val="汉仪书宋二KW"/>
        <charset val="134"/>
      </rPr>
      <t>）</t>
    </r>
    <r>
      <rPr>
        <sz val="10"/>
        <color rgb="FF0000FF"/>
        <rFont val="等线"/>
        <charset val="134"/>
      </rPr>
      <t xml:space="preserve">
8.带干燥剂的产品需要加一张"干燥剂说明书14L”</t>
    </r>
  </si>
  <si>
    <t>Christine He</t>
  </si>
  <si>
    <t>AIS LTD T/A PLAY-ROOM</t>
  </si>
  <si>
    <t>4500202966</t>
  </si>
  <si>
    <t>T-AW26-07</t>
  </si>
  <si>
    <t>4500202966-10</t>
  </si>
  <si>
    <t>7/30 装柜</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</si>
  <si>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"71172: 最新MA 1L UPC彩盒+MA 15L说明书+D版WEEE声明(带电池)走货欧洲通用29L说明书
UPC#193052098443
3PCS AA BATTERIES(INCLUDED)"
"7151: 最新MA-1L UPC包装+WEEE带电池走货欧洲29语D版通用黑白说明书 (UPC#193052033482)
1PCS LR44 BATTERY(INCLUDED)"
"71137: MA-1L 最新UPC包装+WEEE不带电池走货欧洲29语C版通用黑白说明书
UPC#193052069641
2PCS AAA BATTERIES(NOT INCLUDED)"
"9574: 最新MA 1L UPC彩盒+MA 7L说明书+C版WEEE声明(不带电池)走货欧洲通用29L说明书
UPC#193052098436
3PCS AAA BATTERIES(NOT INCLUDED)
2pcs baby capybara: 3pcs baby capybara= 5:1"
"77794UQ1: 最新MA 1L UPC配套包装+D版WEEE声明(带电池)走货欧洲通用29L说明书+MA操作说明书+MA warnning说明书+MA锂电池说明书+MA PDQ
UPC#193052090409
RECHARGEABLE LITHIUM BATTERY(INCLUDED)"
"77843GQ2: 最新MA 1L UPC收缩膜+MA袋子+MA收藏指南+MA说明书+MA PDQ;
带电的8款[3PCS AG13 BATTERIES(INCLUDED)]+D版WEEE声明(带电池)走货欧洲通用29L说明书;
不带电的2款[蛋糕款和寿司款]不需要加WEEE说明书;
UPC#193052099105
SUSHI and RAINBOW CAKE(Rare) without batteries, other assortments: 3PCS AG13 BATTERIES(INCLUDED)
Ratio: PIZZA: HAMBURGER: PANCAKES: BUBBLE TEA:  Matcha TEA: TACO: SUSHI: DONUT: Charcuterie Board: RAINBOW CAKE(Rare)=10.88%: 10.88%: 10.88%: 10
.88%: 10.88%: 10.88%: 10.88%: 10.88%: 10.88%: 2.08%=68:68:68:68:68:68:68:68:68:13"
"92104TQ1-2025: 最新MA 1L UPC收缩膜+MA袋子+MA收藏指南+MA布标+MA PDQ
UPC#193052091581
MUNCHKIN(RARE): HIMALAYAN: PERSIAN: MAINE COON: RAGDOLL: RAGAMUFFIN: NORWEGIAN FOREST CAT = 2: 8: 10: 10: 10: 10: 10"
"92146TQ1: 最新MA 1L UPC收缩膜+MA袋子+MA收藏指南+MA布标+MA PDQ
UPC#193052100375
Cat:Raccoon:Deer:Tiger:Pigeon:Owl=1:1:1:1:1:1"
"15783UQ1: 最新MA 5L UPC彩盒+MA角色卡片+MA袋子+MA PDQ
UPC#193052099693
7 Assortments; Rare assortment 1/24, others even ratio"
77772GQ2: 最新MA 1L UPC收缩膜+MA组装说明+MA demo纸卡+MA袋子+客版5L收藏指南(不含Messy唱片, 翻PO#4500200925)+MA PDQ
UPC#193052090065
 4  mini vinyls,1 accessory
 *必须移除Messy Lola Young (VINYL-S1-021) 这个唱片, 比例按PM更新的安排, 如未按要求做货被客罚由工厂承担责任*
Remark: *MA版本按工厂现有最新库存即可</t>
    </r>
    <r>
      <rPr>
        <sz val="10"/>
        <color rgb="FF0000FF"/>
        <rFont val="汉仪书宋二KW"/>
        <charset val="134"/>
      </rPr>
      <t>，</t>
    </r>
    <r>
      <rPr>
        <sz val="10"/>
        <color rgb="FF0000FF"/>
        <rFont val="等线"/>
        <charset val="134"/>
      </rPr>
      <t>订单出英国</t>
    </r>
    <r>
      <rPr>
        <sz val="10"/>
        <color rgb="FF0000FF"/>
        <rFont val="汉仪书宋二KW"/>
        <charset val="134"/>
      </rPr>
      <t>，</t>
    </r>
    <r>
      <rPr>
        <sz val="10"/>
        <color rgb="FF0000FF"/>
        <rFont val="等线"/>
        <charset val="134"/>
      </rPr>
      <t>请注意检查产品及包装应带UKCA图标</t>
    </r>
    <r>
      <rPr>
        <sz val="10"/>
        <color rgb="FF0000FF"/>
        <rFont val="汉仪书宋二KW"/>
        <charset val="134"/>
      </rPr>
      <t>，</t>
    </r>
    <r>
      <rPr>
        <sz val="10"/>
        <color rgb="FF0000FF"/>
        <rFont val="等线"/>
        <charset val="134"/>
      </rPr>
      <t>包装显示ZURU UK LTD信息</t>
    </r>
    <r>
      <rPr>
        <sz val="10"/>
        <color rgb="FF0000FF"/>
        <rFont val="汉仪书宋二KW"/>
        <charset val="134"/>
      </rPr>
      <t>，</t>
    </r>
    <r>
      <rPr>
        <sz val="10"/>
        <color rgb="FF0000FF"/>
        <rFont val="等线"/>
        <charset val="134"/>
      </rPr>
      <t>QC同事请查核</t>
    </r>
    <r>
      <rPr>
        <sz val="10"/>
        <color rgb="FF0000FF"/>
        <rFont val="汉仪书宋二KW"/>
        <charset val="134"/>
      </rPr>
      <t>，</t>
    </r>
    <r>
      <rPr>
        <sz val="10"/>
        <color rgb="FF0000FF"/>
        <rFont val="等线"/>
        <charset val="134"/>
      </rPr>
      <t>如有问题与跟单确认。
 *生产日期按实际</t>
    </r>
    <r>
      <rPr>
        <sz val="10"/>
        <color rgb="FF0000FF"/>
        <rFont val="汉仪书宋二KW"/>
        <charset val="134"/>
      </rPr>
      <t>（</t>
    </r>
    <r>
      <rPr>
        <sz val="10"/>
        <color rgb="FF0000FF"/>
        <rFont val="等线"/>
        <charset val="134"/>
      </rPr>
      <t>法定工作日</t>
    </r>
    <r>
      <rPr>
        <sz val="10"/>
        <color rgb="FF0000FF"/>
        <rFont val="汉仪书宋二KW"/>
        <charset val="134"/>
      </rPr>
      <t>），</t>
    </r>
    <r>
      <rPr>
        <sz val="10"/>
        <color rgb="FF0000FF"/>
        <rFont val="等线"/>
        <charset val="134"/>
      </rPr>
      <t xml:space="preserve">按ZURU标准格式即可 </t>
    </r>
    <r>
      <rPr>
        <sz val="10"/>
        <color rgb="FF0000FF"/>
        <rFont val="汉仪书宋二KW"/>
        <charset val="134"/>
      </rPr>
      <t>，</t>
    </r>
    <r>
      <rPr>
        <sz val="10"/>
        <color rgb="FF0000FF"/>
        <rFont val="等线"/>
        <charset val="134"/>
      </rPr>
      <t xml:space="preserve">但是请知悉包装日期码需要早于或者等于外箱日期码 </t>
    </r>
    <r>
      <rPr>
        <sz val="10"/>
        <color rgb="FF0000FF"/>
        <rFont val="汉仪书宋二KW"/>
        <charset val="134"/>
      </rPr>
      <t>，</t>
    </r>
    <r>
      <rPr>
        <sz val="10"/>
        <color rgb="FF0000FF"/>
        <rFont val="等线"/>
        <charset val="134"/>
      </rPr>
      <t xml:space="preserve">不能晚于外箱日期码
 *请注意所有订单都需要经过ZURU QC验货并且通过后方可出货
 *条码以订单显示为准 </t>
    </r>
    <r>
      <rPr>
        <sz val="10"/>
        <color rgb="FF0000FF"/>
        <rFont val="汉仪书宋二KW"/>
        <charset val="134"/>
      </rPr>
      <t>，</t>
    </r>
    <r>
      <rPr>
        <sz val="10"/>
        <color rgb="FF0000FF"/>
        <rFont val="等线"/>
        <charset val="134"/>
      </rPr>
      <t xml:space="preserve">请安排生产前先核对 </t>
    </r>
    <r>
      <rPr>
        <sz val="10"/>
        <color rgb="FF0000FF"/>
        <rFont val="汉仪书宋二KW"/>
        <charset val="134"/>
      </rPr>
      <t>，</t>
    </r>
    <r>
      <rPr>
        <sz val="10"/>
        <color rgb="FF0000FF"/>
        <rFont val="等线"/>
        <charset val="134"/>
      </rPr>
      <t>有问题请提出。
 *所有产品按符合欧洲标准走货</t>
    </r>
    <r>
      <rPr>
        <sz val="10"/>
        <color rgb="FF0000FF"/>
        <rFont val="汉仪书宋二KW"/>
        <charset val="134"/>
      </rPr>
      <t>，</t>
    </r>
    <r>
      <rPr>
        <sz val="10"/>
        <color rgb="FF0000FF"/>
        <rFont val="等线"/>
        <charset val="134"/>
      </rPr>
      <t>需要是不含微塑料版本 。
 *涉及到硼的</t>
    </r>
    <r>
      <rPr>
        <sz val="10"/>
        <color rgb="FF0000FF"/>
        <rFont val="汉仪书宋二KW"/>
        <charset val="134"/>
      </rPr>
      <t>，</t>
    </r>
    <r>
      <rPr>
        <sz val="10"/>
        <color rgb="FF0000FF"/>
        <rFont val="等线"/>
        <charset val="134"/>
      </rPr>
      <t xml:space="preserve">如可选择情况下应使用低硼版本  </t>
    </r>
    <r>
      <rPr>
        <sz val="10"/>
        <color rgb="FF0000FF"/>
        <rFont val="汉仪书宋二KW"/>
        <charset val="134"/>
      </rPr>
      <t>（</t>
    </r>
    <r>
      <rPr>
        <sz val="10"/>
        <color rgb="FF0000FF"/>
        <rFont val="等线"/>
        <charset val="134"/>
      </rPr>
      <t>slime 类别低硼一般低于300ppm)</t>
    </r>
    <r>
      <rPr>
        <sz val="10"/>
        <color rgb="FF0000FF"/>
        <rFont val="汉仪书宋二KW"/>
        <charset val="134"/>
      </rPr>
      <t>，</t>
    </r>
    <r>
      <rPr>
        <sz val="10"/>
        <color rgb="FF0000FF"/>
        <rFont val="等线"/>
        <charset val="134"/>
      </rPr>
      <t>无选择的应与跟单复核再安排 。</t>
    </r>
  </si>
  <si>
    <t>Savannah Liang</t>
  </si>
  <si>
    <t>4500207896</t>
  </si>
  <si>
    <t>0989813038</t>
  </si>
  <si>
    <t>4500207896-10</t>
  </si>
  <si>
    <t>7/26 SI</t>
  </si>
  <si>
    <r>
      <rPr>
        <sz val="10"/>
        <color rgb="FF0000FF"/>
        <rFont val="等线"/>
        <charset val="134"/>
      </rPr>
      <t>日期码格式</t>
    </r>
    <r>
      <rPr>
        <sz val="10"/>
        <color rgb="FF0000FF"/>
        <rFont val="汉仪书宋二KW"/>
        <charset val="134"/>
      </rPr>
      <t>：</t>
    </r>
    <r>
      <rPr>
        <sz val="10"/>
        <color rgb="FF0000FF"/>
        <rFont val="等线"/>
        <charset val="134"/>
      </rPr>
      <t>DGYYYYMMDD(日期避开周末和法定节假日)                  日期</t>
    </r>
    <r>
      <rPr>
        <sz val="10"/>
        <color rgb="FF0000FF"/>
        <rFont val="汉仪书宋二KW"/>
        <charset val="134"/>
      </rPr>
      <t>：</t>
    </r>
    <r>
      <rPr>
        <sz val="10"/>
        <color rgb="FF0000FF"/>
        <rFont val="等线"/>
        <charset val="134"/>
      </rPr>
      <t>按实际生产日期
Packaging Info: 40REP包装/箱唛翻单</t>
    </r>
    <r>
      <rPr>
        <sz val="10"/>
        <color rgb="FF0000FF"/>
        <rFont val="汉仪书宋二KW"/>
        <charset val="134"/>
      </rPr>
      <t>：</t>
    </r>
    <r>
      <rPr>
        <sz val="10"/>
        <color rgb="FF0000FF"/>
        <rFont val="等线"/>
        <charset val="134"/>
      </rPr>
      <t>4500207892
1.包装方式</t>
    </r>
    <r>
      <rPr>
        <sz val="10"/>
        <color rgb="FF0000FF"/>
        <rFont val="汉仪书宋二KW"/>
        <charset val="134"/>
      </rPr>
      <t>：</t>
    </r>
    <r>
      <rPr>
        <sz val="10"/>
        <color rgb="FF0000FF"/>
        <rFont val="等线"/>
        <charset val="134"/>
      </rPr>
      <t xml:space="preserve">
71172: MA 1L彩盒包装+MA 15L WARNING B版说明书+ RFID贴纸
Remark: 2. 外箱四面印刷紫色RFID箱唛
主唛左前下角印刷艾利贴纸替代标箱唛(ITF-14格式)</t>
    </r>
    <r>
      <rPr>
        <sz val="10"/>
        <color rgb="FF0000FF"/>
        <rFont val="汉仪书宋二KW"/>
        <charset val="134"/>
      </rPr>
      <t>，</t>
    </r>
    <r>
      <rPr>
        <sz val="10"/>
        <color rgb="FF0000FF"/>
        <rFont val="等线"/>
        <charset val="134"/>
      </rPr>
      <t>条码只印刷一面
主唛右下角加印 MADE IN CHINA以及ZURU LOGO
3. 71172 UPC</t>
    </r>
    <r>
      <rPr>
        <sz val="10"/>
        <color rgb="FF0000FF"/>
        <rFont val="汉仪书宋二KW"/>
        <charset val="134"/>
      </rPr>
      <t>：</t>
    </r>
    <r>
      <rPr>
        <sz val="10"/>
        <color rgb="FF0000FF"/>
        <rFont val="等线"/>
        <charset val="134"/>
      </rPr>
      <t>193052098443
4.此批单#71172散箱出货</t>
    </r>
    <r>
      <rPr>
        <sz val="10"/>
        <color rgb="FF0000FF"/>
        <rFont val="汉仪书宋二KW"/>
        <charset val="134"/>
      </rPr>
      <t>；</t>
    </r>
    <r>
      <rPr>
        <sz val="10"/>
        <color rgb="FF0000FF"/>
        <rFont val="等线"/>
        <charset val="134"/>
      </rPr>
      <t xml:space="preserve">
1PCS/CTN</t>
    </r>
    <r>
      <rPr>
        <sz val="10"/>
        <color rgb="FF0000FF"/>
        <rFont val="汉仪书宋二KW"/>
        <charset val="134"/>
      </rPr>
      <t>：</t>
    </r>
    <r>
      <rPr>
        <sz val="10"/>
        <color rgb="FF0000FF"/>
        <rFont val="等线"/>
        <charset val="134"/>
      </rPr>
      <t>3PCS AA BATTERIES(INCLUDED)
5.此单需要验货</t>
    </r>
    <r>
      <rPr>
        <sz val="10"/>
        <color rgb="FF0000FF"/>
        <rFont val="汉仪书宋二KW"/>
        <charset val="134"/>
      </rPr>
      <t>，</t>
    </r>
    <r>
      <rPr>
        <sz val="10"/>
        <color rgb="FF0000FF"/>
        <rFont val="等线"/>
        <charset val="134"/>
      </rPr>
      <t>请自行多备包装物料。
6.产品和包装上要有日期码、MADE IN CHINA和ZURU字样。
7.每PCS要加RFID 贴纸(ZURU提供)</t>
    </r>
    <r>
      <rPr>
        <sz val="10"/>
        <color rgb="FF0000FF"/>
        <rFont val="汉仪书宋二KW"/>
        <charset val="134"/>
      </rPr>
      <t>，</t>
    </r>
    <r>
      <rPr>
        <sz val="10"/>
        <color rgb="FF0000FF"/>
        <rFont val="等线"/>
        <charset val="134"/>
      </rPr>
      <t>严格按照我们提供的位置图</t>
    </r>
    <r>
      <rPr>
        <sz val="10"/>
        <color rgb="FF0000FF"/>
        <rFont val="汉仪书宋二KW"/>
        <charset val="134"/>
      </rPr>
      <t>，</t>
    </r>
    <r>
      <rPr>
        <sz val="10"/>
        <color rgb="FF0000FF"/>
        <rFont val="等线"/>
        <charset val="134"/>
      </rPr>
      <t>不可擅自调整位置</t>
    </r>
    <r>
      <rPr>
        <sz val="10"/>
        <color rgb="FF0000FF"/>
        <rFont val="汉仪书宋二KW"/>
        <charset val="134"/>
      </rPr>
      <t>，</t>
    </r>
    <r>
      <rPr>
        <sz val="10"/>
        <color rgb="FF0000FF"/>
        <rFont val="等线"/>
        <charset val="134"/>
      </rPr>
      <t>贴纸也不可有任何破损或折坏</t>
    </r>
    <r>
      <rPr>
        <sz val="10"/>
        <color rgb="FF0000FF"/>
        <rFont val="汉仪书宋二KW"/>
        <charset val="134"/>
      </rPr>
      <t>，</t>
    </r>
    <r>
      <rPr>
        <sz val="10"/>
        <color rgb="FF0000FF"/>
        <rFont val="等线"/>
        <charset val="134"/>
      </rPr>
      <t>不可淋湿</t>
    </r>
    <r>
      <rPr>
        <sz val="10"/>
        <color rgb="FF0000FF"/>
        <rFont val="汉仪书宋二KW"/>
        <charset val="134"/>
      </rPr>
      <t>（</t>
    </r>
    <r>
      <rPr>
        <sz val="10"/>
        <color rgb="FF0000FF"/>
        <rFont val="等线"/>
        <charset val="134"/>
      </rPr>
      <t>如缺数请及时告知</t>
    </r>
    <r>
      <rPr>
        <sz val="10"/>
        <color rgb="FF0000FF"/>
        <rFont val="汉仪书宋二KW"/>
        <charset val="134"/>
      </rPr>
      <t>）</t>
    </r>
  </si>
  <si>
    <t>ZB07461-8.17</t>
  </si>
  <si>
    <t>0989813210</t>
  </si>
  <si>
    <t>4500207896-20</t>
  </si>
  <si>
    <t>ZB07470-8.17</t>
  </si>
  <si>
    <t>0989813304</t>
  </si>
  <si>
    <t>4500207896-30</t>
  </si>
  <si>
    <t>ZB07336-8.17</t>
  </si>
  <si>
    <t>0989813305</t>
  </si>
  <si>
    <t>4500207896-40</t>
  </si>
  <si>
    <t>ZB07149-8.17</t>
  </si>
  <si>
    <t>4500210235</t>
  </si>
  <si>
    <t>8H6SKE3L</t>
  </si>
  <si>
    <t>4500210235-140</t>
  </si>
  <si>
    <t>71ZZD34J</t>
  </si>
  <si>
    <t>4500210235-150</t>
  </si>
  <si>
    <t>5YMAFGOE</t>
  </si>
  <si>
    <t>4500210235-160</t>
  </si>
  <si>
    <t>DISTRIBUIDORA LIVERPOOL S.A DE C.V.</t>
  </si>
  <si>
    <t>墨西哥</t>
  </si>
  <si>
    <t>4500199969-70</t>
  </si>
  <si>
    <t>5/15收到价钱贴,6/25</t>
  </si>
  <si>
    <t>6/26保证书</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</si>
  <si>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71172</t>
    </r>
    <r>
      <rPr>
        <sz val="10"/>
        <color rgb="FF0000FF"/>
        <rFont val="汉仪书宋二KW"/>
        <charset val="134"/>
      </rPr>
      <t>：</t>
    </r>
    <r>
      <rPr>
        <sz val="10"/>
        <color rgb="FF0000FF"/>
        <rFont val="等线"/>
        <charset val="134"/>
      </rPr>
      <t>MA多语 包装+客版说明书</t>
    </r>
    <r>
      <rPr>
        <sz val="10"/>
        <color rgb="FF0000FF"/>
        <rFont val="汉仪书宋二KW"/>
        <charset val="134"/>
      </rPr>
      <t>（</t>
    </r>
    <r>
      <rPr>
        <sz val="10"/>
        <color rgb="FF0000FF"/>
        <rFont val="等线"/>
        <charset val="134"/>
      </rPr>
      <t>含西语</t>
    </r>
    <r>
      <rPr>
        <sz val="10"/>
        <color rgb="FF0000FF"/>
        <rFont val="汉仪书宋二KW"/>
        <charset val="134"/>
      </rPr>
      <t>）</t>
    </r>
    <r>
      <rPr>
        <sz val="10"/>
        <color rgb="FF0000FF"/>
        <rFont val="等线"/>
        <charset val="134"/>
      </rPr>
      <t>翻单4500206011+进口商贴纸+价标贴纸+保证书</t>
    </r>
    <r>
      <rPr>
        <sz val="10"/>
        <color rgb="FF0000FF"/>
        <rFont val="汉仪书宋二KW"/>
        <charset val="134"/>
      </rPr>
      <t>，</t>
    </r>
    <r>
      <rPr>
        <sz val="10"/>
        <color rgb="FF0000FF"/>
        <rFont val="等线"/>
        <charset val="134"/>
      </rPr>
      <t>包装/说明书都需要贴一张进口商贴纸
Remark: 1.此单价格贴纸</t>
    </r>
    <r>
      <rPr>
        <sz val="10"/>
        <color rgb="FF0000FF"/>
        <rFont val="汉仪书宋二KW"/>
        <charset val="134"/>
      </rPr>
      <t>（</t>
    </r>
    <r>
      <rPr>
        <sz val="10"/>
        <color rgb="FF0000FF"/>
        <rFont val="等线"/>
        <charset val="134"/>
      </rPr>
      <t>ZURU定购).-无位置图</t>
    </r>
    <r>
      <rPr>
        <sz val="10"/>
        <color rgb="FF0000FF"/>
        <rFont val="汉仪书宋二KW"/>
        <charset val="134"/>
      </rPr>
      <t>，</t>
    </r>
    <r>
      <rPr>
        <sz val="10"/>
        <color rgb="FF0000FF"/>
        <rFont val="等线"/>
        <charset val="134"/>
      </rPr>
      <t>价标贴纸贴于产品背面右上角空白处</t>
    </r>
    <r>
      <rPr>
        <sz val="10"/>
        <color rgb="FF0000FF"/>
        <rFont val="汉仪书宋二KW"/>
        <charset val="134"/>
      </rPr>
      <t>（</t>
    </r>
    <r>
      <rPr>
        <sz val="10"/>
        <color rgb="FF0000FF"/>
        <rFont val="等线"/>
        <charset val="134"/>
      </rPr>
      <t>不遮挡西班牙语处</t>
    </r>
    <r>
      <rPr>
        <sz val="10"/>
        <color rgb="FF0000FF"/>
        <rFont val="汉仪书宋二KW"/>
        <charset val="134"/>
      </rPr>
      <t>），</t>
    </r>
    <r>
      <rPr>
        <sz val="10"/>
        <color rgb="FF0000FF"/>
        <rFont val="等线"/>
        <charset val="134"/>
      </rPr>
      <t>如有特殊情况</t>
    </r>
    <r>
      <rPr>
        <sz val="10"/>
        <color rgb="FF0000FF"/>
        <rFont val="汉仪书宋二KW"/>
        <charset val="134"/>
      </rPr>
      <t>，</t>
    </r>
    <r>
      <rPr>
        <sz val="10"/>
        <color rgb="FF0000FF"/>
        <rFont val="等线"/>
        <charset val="134"/>
      </rPr>
      <t>请重新确认位置图。
2.此单有第三方监柜</t>
    </r>
    <r>
      <rPr>
        <sz val="10"/>
        <color rgb="FF0000FF"/>
        <rFont val="汉仪书宋二KW"/>
        <charset val="134"/>
      </rPr>
      <t>，</t>
    </r>
    <r>
      <rPr>
        <sz val="10"/>
        <color rgb="FF0000FF"/>
        <rFont val="等线"/>
        <charset val="134"/>
      </rPr>
      <t>不用额外准备备品</t>
    </r>
    <r>
      <rPr>
        <sz val="10"/>
        <color rgb="FF0000FF"/>
        <rFont val="汉仪书宋二KW"/>
        <charset val="134"/>
      </rPr>
      <t>，</t>
    </r>
    <r>
      <rPr>
        <sz val="10"/>
        <color rgb="FF0000FF"/>
        <rFont val="等线"/>
        <charset val="134"/>
      </rPr>
      <t>会在大货中每款拆1pc</t>
    </r>
    <r>
      <rPr>
        <sz val="10"/>
        <color rgb="FF0000FF"/>
        <rFont val="汉仪书宋二KW"/>
        <charset val="134"/>
      </rPr>
      <t>，</t>
    </r>
    <r>
      <rPr>
        <sz val="10"/>
        <color rgb="FF0000FF"/>
        <rFont val="等线"/>
        <charset val="134"/>
      </rPr>
      <t>拆了包装的产品会由监装员用客供胶带封好或在外箱上写上""opened by telescope"</t>
    </r>
  </si>
  <si>
    <t>62110212</t>
  </si>
  <si>
    <t>4500205041-40</t>
  </si>
  <si>
    <t>6/18收到价钱贴,6/25</t>
  </si>
  <si>
    <r>
      <rPr>
        <sz val="10"/>
        <color rgb="FF010CDD"/>
        <rFont val="等线"/>
        <charset val="134"/>
      </rPr>
      <t>日期码格式</t>
    </r>
    <r>
      <rPr>
        <sz val="10"/>
        <color rgb="FF010CDD"/>
        <rFont val="汉仪书宋二KW"/>
        <charset val="134"/>
      </rPr>
      <t>：</t>
    </r>
    <r>
      <rPr>
        <sz val="10"/>
        <color rgb="FF010CDD"/>
        <rFont val="等线"/>
        <charset val="134"/>
      </rPr>
      <t>ZURU INC(BVI) 标准格式 日期</t>
    </r>
    <r>
      <rPr>
        <sz val="10"/>
        <color rgb="FF010CDD"/>
        <rFont val="汉仪书宋二KW"/>
        <charset val="134"/>
      </rPr>
      <t>：</t>
    </r>
    <r>
      <rPr>
        <sz val="10"/>
        <color rgb="FF010CDD"/>
        <rFont val="等线"/>
        <charset val="134"/>
      </rPr>
      <t>按实际生产日期
Packaging Info: 
71172</t>
    </r>
    <r>
      <rPr>
        <sz val="10"/>
        <color rgb="FF010CDD"/>
        <rFont val="汉仪书宋二KW"/>
        <charset val="134"/>
      </rPr>
      <t>：</t>
    </r>
    <r>
      <rPr>
        <sz val="10"/>
        <color rgb="FF010CDD"/>
        <rFont val="等线"/>
        <charset val="134"/>
      </rPr>
      <t xml:space="preserve"> MA多语包装+进口商贴纸翻单4500199969+客版说明书翻单 4500206011</t>
    </r>
    <r>
      <rPr>
        <sz val="10"/>
        <color rgb="FF010CDD"/>
        <rFont val="汉仪书宋二KW"/>
        <charset val="134"/>
      </rPr>
      <t>（</t>
    </r>
    <r>
      <rPr>
        <sz val="10"/>
        <color rgb="FF010CDD"/>
        <rFont val="等线"/>
        <charset val="134"/>
      </rPr>
      <t>+进口商贴纸翻单4500199969</t>
    </r>
    <r>
      <rPr>
        <sz val="10"/>
        <color rgb="FF010CDD"/>
        <rFont val="汉仪书宋二KW"/>
        <charset val="134"/>
      </rPr>
      <t>）</t>
    </r>
    <r>
      <rPr>
        <sz val="10"/>
        <color rgb="FF010CDD"/>
        <rFont val="等线"/>
        <charset val="134"/>
      </rPr>
      <t>+保证书翻单4500199969
Remark: 1.此单价格贴纸</t>
    </r>
    <r>
      <rPr>
        <sz val="10"/>
        <color rgb="FF010CDD"/>
        <rFont val="汉仪书宋二KW"/>
        <charset val="134"/>
      </rPr>
      <t>（</t>
    </r>
    <r>
      <rPr>
        <sz val="10"/>
        <color rgb="FF010CDD"/>
        <rFont val="等线"/>
        <charset val="134"/>
      </rPr>
      <t>ZURU定购).-无位置图</t>
    </r>
    <r>
      <rPr>
        <sz val="10"/>
        <color rgb="FF010CDD"/>
        <rFont val="汉仪书宋二KW"/>
        <charset val="134"/>
      </rPr>
      <t>，</t>
    </r>
    <r>
      <rPr>
        <sz val="10"/>
        <color rgb="FF010CDD"/>
        <rFont val="等线"/>
        <charset val="134"/>
      </rPr>
      <t>价标贴纸贴于产品背面右上角空白处</t>
    </r>
    <r>
      <rPr>
        <sz val="10"/>
        <color rgb="FF010CDD"/>
        <rFont val="汉仪书宋二KW"/>
        <charset val="134"/>
      </rPr>
      <t>（</t>
    </r>
    <r>
      <rPr>
        <sz val="10"/>
        <color rgb="FF010CDD"/>
        <rFont val="等线"/>
        <charset val="134"/>
      </rPr>
      <t>不遮挡西班牙语处</t>
    </r>
    <r>
      <rPr>
        <sz val="10"/>
        <color rgb="FF010CDD"/>
        <rFont val="汉仪书宋二KW"/>
        <charset val="134"/>
      </rPr>
      <t>），</t>
    </r>
    <r>
      <rPr>
        <sz val="10"/>
        <color rgb="FF010CDD"/>
        <rFont val="等线"/>
        <charset val="134"/>
      </rPr>
      <t>如有特殊情况</t>
    </r>
    <r>
      <rPr>
        <sz val="10"/>
        <color rgb="FF010CDD"/>
        <rFont val="汉仪书宋二KW"/>
        <charset val="134"/>
      </rPr>
      <t>，</t>
    </r>
    <r>
      <rPr>
        <sz val="10"/>
        <color rgb="FF010CDD"/>
        <rFont val="等线"/>
        <charset val="134"/>
      </rPr>
      <t>请重新确认位置图。
2.此单有第三方监柜</t>
    </r>
    <r>
      <rPr>
        <sz val="10"/>
        <color rgb="FF010CDD"/>
        <rFont val="汉仪书宋二KW"/>
        <charset val="134"/>
      </rPr>
      <t>，</t>
    </r>
    <r>
      <rPr>
        <sz val="10"/>
        <color rgb="FF010CDD"/>
        <rFont val="等线"/>
        <charset val="134"/>
      </rPr>
      <t>不用额外准备备品</t>
    </r>
    <r>
      <rPr>
        <sz val="10"/>
        <color rgb="FF010CDD"/>
        <rFont val="汉仪书宋二KW"/>
        <charset val="134"/>
      </rPr>
      <t>，</t>
    </r>
    <r>
      <rPr>
        <sz val="10"/>
        <color rgb="FF010CDD"/>
        <rFont val="等线"/>
        <charset val="134"/>
      </rPr>
      <t>会在大货中每款拆1pc</t>
    </r>
    <r>
      <rPr>
        <sz val="10"/>
        <color rgb="FF010CDD"/>
        <rFont val="汉仪书宋二KW"/>
        <charset val="134"/>
      </rPr>
      <t>，</t>
    </r>
    <r>
      <rPr>
        <sz val="10"/>
        <color rgb="FF010CDD"/>
        <rFont val="等线"/>
        <charset val="134"/>
      </rPr>
      <t>拆了包装的产品会由监装员用客供胶带封好或在外箱上写上""opened by telescope"
3.如进口商贴纸和UPC贴纸合并为一张</t>
    </r>
    <r>
      <rPr>
        <sz val="10"/>
        <color rgb="FF010CDD"/>
        <rFont val="汉仪书宋二KW"/>
        <charset val="134"/>
      </rPr>
      <t>，</t>
    </r>
    <r>
      <rPr>
        <sz val="10"/>
        <color rgb="FF010CDD"/>
        <rFont val="等线"/>
        <charset val="134"/>
      </rPr>
      <t>请忽略UPC贴纸文档的需求</t>
    </r>
  </si>
  <si>
    <t>10001737593-3890</t>
  </si>
  <si>
    <t>4500210301-10</t>
  </si>
  <si>
    <t>7/22 客上柜</t>
  </si>
  <si>
    <r>
      <rPr>
        <sz val="10"/>
        <color rgb="FF010CDD"/>
        <rFont val="等线"/>
        <charset val="134"/>
      </rPr>
      <t>日期码格式</t>
    </r>
    <r>
      <rPr>
        <sz val="10"/>
        <color rgb="FF010CDD"/>
        <rFont val="汉仪书宋二KW"/>
        <charset val="134"/>
      </rPr>
      <t>：</t>
    </r>
    <r>
      <rPr>
        <sz val="10"/>
        <color rgb="FF010CDD"/>
        <rFont val="等线"/>
        <charset val="134"/>
      </rPr>
      <t>ZURU INC(BVI) 标准格式</t>
    </r>
    <r>
      <rPr>
        <sz val="10"/>
        <color rgb="FF010CDD"/>
        <rFont val="宋体"/>
        <charset val="134"/>
        <scheme val="minor"/>
      </rPr>
      <t xml:space="preserve">                  日期：按实际生产日期
Packaging Info: 产品包装MA 1L彩盒
Remark: 1. 71172-S001-ROBO ALIVE-BRAIN-SERIES 1-BRIAN THE BRAIN-OPEN BOX-4PCS/CTN
 2. 产品包装MA 1L彩盒；彩盒上的UPC显示193052098443；
 3. 每个外箱正唛箱唛信息左上方位置粘贴条码箱贴纸，每箱只贴一张; 由ZURU向艾利订购，  对应的外箱贴DPCI：087-02-9468, UPC显示10193052098440 ；
 4. 产品和包装上要印刷tracking code信息，格式为ZURU常规；
 5. 出货方式：货代自提</t>
    </r>
  </si>
  <si>
    <t>ZB07050-8.17</t>
  </si>
  <si>
    <t>10001824320-3891</t>
  </si>
  <si>
    <t>4500210302-10</t>
  </si>
  <si>
    <t>7/29客上柜</t>
  </si>
  <si>
    <r>
      <rPr>
        <sz val="10"/>
        <color rgb="FF0000FF"/>
        <rFont val="等线"/>
        <charset val="134"/>
      </rPr>
      <t>日期码格式</t>
    </r>
    <r>
      <rPr>
        <sz val="10"/>
        <color rgb="FF0000FF"/>
        <rFont val="汉仪书宋二KW"/>
        <charset val="134"/>
      </rPr>
      <t>：</t>
    </r>
    <r>
      <rPr>
        <sz val="10"/>
        <color rgb="FF0000FF"/>
        <rFont val="等线"/>
        <charset val="134"/>
      </rPr>
      <t>ZURU INC(BVI) 标准格式</t>
    </r>
    <r>
      <rPr>
        <sz val="10"/>
        <color rgb="FF0000FF"/>
        <rFont val="宋体"/>
        <charset val="134"/>
        <scheme val="minor"/>
      </rPr>
      <t xml:space="preserve">                  日期：按实际生产日期
Packaging Info: 产品包装MA 1L彩盒
Remark: 1. 71172-S001-ROBO ALIVE-BRAIN-SERIES 1-BRIAN THE BRAIN-OPEN BOX-4PCS/CTN
 2. 产品包装MA 1L彩盒；彩盒上的UPC显示193052098443；
 3. 每个外箱正唛箱唛信息左上方位置粘贴条码箱贴纸，每箱只贴一张; 由ZURU向艾利订购，  对应的外箱贴DPCI：087-02-9468, UPC显示10193052098440 ；
 4. 产品和包装上要印刷tracking code信息，格式为ZURU常规；
 5. 出货方式：货代自提</t>
    </r>
  </si>
  <si>
    <t>TOYS CENTRE SL</t>
  </si>
  <si>
    <t>4500211485-10</t>
  </si>
  <si>
    <t>7/29 装柜</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</si>
  <si>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71172:最新MA 3L EAN版本包装+最新MA 15L说明书+WEEE带电池走货欧洲29L通用黑白说明书</t>
    </r>
    <r>
      <rPr>
        <sz val="10"/>
        <color rgb="FF0000FF"/>
        <rFont val="汉仪书宋二KW"/>
        <charset val="134"/>
      </rPr>
      <t>；</t>
    </r>
    <r>
      <rPr>
        <sz val="10"/>
        <color rgb="FF0000FF"/>
        <rFont val="等线"/>
        <charset val="134"/>
      </rPr>
      <t xml:space="preserve">
Remark: 1. 此单出西班牙</t>
    </r>
    <r>
      <rPr>
        <sz val="10"/>
        <color rgb="FF0000FF"/>
        <rFont val="汉仪书宋二KW"/>
        <charset val="134"/>
      </rPr>
      <t>，</t>
    </r>
    <r>
      <rPr>
        <sz val="10"/>
        <color rgb="FF0000FF"/>
        <rFont val="等线"/>
        <charset val="134"/>
      </rPr>
      <t>需满足EU测试标准要求</t>
    </r>
    <r>
      <rPr>
        <sz val="10"/>
        <color rgb="FF0000FF"/>
        <rFont val="汉仪书宋二KW"/>
        <charset val="134"/>
      </rPr>
      <t>，</t>
    </r>
    <r>
      <rPr>
        <sz val="10"/>
        <color rgb="FF0000FF"/>
        <rFont val="等线"/>
        <charset val="134"/>
      </rPr>
      <t>另外微塑料需符合EU法规</t>
    </r>
    <r>
      <rPr>
        <sz val="10"/>
        <color rgb="FF0000FF"/>
        <rFont val="汉仪书宋二KW"/>
        <charset val="134"/>
      </rPr>
      <t>；</t>
    </r>
    <r>
      <rPr>
        <sz val="10"/>
        <color rgb="FF0000FF"/>
        <rFont val="等线"/>
        <charset val="134"/>
      </rPr>
      <t xml:space="preserve">
 2. 标准配比。
3.根据新电池法规</t>
    </r>
    <r>
      <rPr>
        <sz val="10"/>
        <color rgb="FF0000FF"/>
        <rFont val="汉仪书宋二KW"/>
        <charset val="134"/>
      </rPr>
      <t>（</t>
    </r>
    <r>
      <rPr>
        <sz val="10"/>
        <color rgb="FF0000FF"/>
        <rFont val="等线"/>
        <charset val="134"/>
      </rPr>
      <t>EU</t>
    </r>
    <r>
      <rPr>
        <sz val="10"/>
        <color rgb="FF0000FF"/>
        <rFont val="汉仪书宋二KW"/>
        <charset val="134"/>
      </rPr>
      <t>）</t>
    </r>
    <r>
      <rPr>
        <sz val="10"/>
        <color rgb="FF0000FF"/>
        <rFont val="等线"/>
        <charset val="134"/>
      </rPr>
      <t xml:space="preserve">  2023/1542</t>
    </r>
    <r>
      <rPr>
        <sz val="10"/>
        <color rgb="FF0000FF"/>
        <rFont val="汉仪书宋二KW"/>
        <charset val="134"/>
      </rPr>
      <t>，</t>
    </r>
    <r>
      <rPr>
        <sz val="10"/>
        <color rgb="FF0000FF"/>
        <rFont val="等线"/>
        <charset val="134"/>
      </rPr>
      <t>所有走欧洲市场的电子产品</t>
    </r>
    <r>
      <rPr>
        <sz val="10"/>
        <color rgb="FF0000FF"/>
        <rFont val="汉仪书宋二KW"/>
        <charset val="134"/>
      </rPr>
      <t>，</t>
    </r>
    <r>
      <rPr>
        <sz val="10"/>
        <color rgb="FF0000FF"/>
        <rFont val="等线"/>
        <charset val="134"/>
      </rPr>
      <t>都需要增加WEEE通用29L说明书</t>
    </r>
    <r>
      <rPr>
        <sz val="10"/>
        <color rgb="FF0000FF"/>
        <rFont val="汉仪书宋二KW"/>
        <charset val="134"/>
      </rPr>
      <t>（</t>
    </r>
    <r>
      <rPr>
        <sz val="10"/>
        <color rgb="FF0000FF"/>
        <rFont val="等线"/>
        <charset val="134"/>
      </rPr>
      <t>分带电池走货 跟不带电池走货两种</t>
    </r>
    <r>
      <rPr>
        <sz val="10"/>
        <color rgb="FF0000FF"/>
        <rFont val="汉仪书宋二KW"/>
        <charset val="134"/>
      </rPr>
      <t>），</t>
    </r>
    <r>
      <rPr>
        <sz val="10"/>
        <color rgb="FF0000FF"/>
        <rFont val="等线"/>
        <charset val="134"/>
      </rPr>
      <t>如工厂没有此文件</t>
    </r>
    <r>
      <rPr>
        <sz val="10"/>
        <color rgb="FF0000FF"/>
        <rFont val="汉仪书宋二KW"/>
        <charset val="134"/>
      </rPr>
      <t>，</t>
    </r>
    <r>
      <rPr>
        <sz val="10"/>
        <color rgb="FF0000FF"/>
        <rFont val="等线"/>
        <charset val="134"/>
      </rPr>
      <t>可
以找跟单提供。
4. 产品及包装需要印CE logo图标</t>
    </r>
    <r>
      <rPr>
        <sz val="10"/>
        <color rgb="FF0000FF"/>
        <rFont val="汉仪书宋二KW"/>
        <charset val="134"/>
      </rPr>
      <t>，</t>
    </r>
    <r>
      <rPr>
        <sz val="10"/>
        <color rgb="FF0000FF"/>
        <rFont val="等线"/>
        <charset val="134"/>
      </rPr>
      <t>包装需含有西班牙环保标 和</t>
    </r>
    <r>
      <rPr>
        <sz val="10"/>
        <color rgb="FF000000"/>
        <rFont val="等线"/>
        <charset val="134"/>
      </rPr>
      <t xml:space="preserve">care@zuru.com </t>
    </r>
    <r>
      <rPr>
        <sz val="10"/>
        <color rgb="FF0000FF"/>
        <rFont val="等线"/>
        <charset val="134"/>
      </rPr>
      <t>邮箱地址</t>
    </r>
    <r>
      <rPr>
        <sz val="10"/>
        <color rgb="FF0000FF"/>
        <rFont val="汉仪书宋二KW"/>
        <charset val="134"/>
      </rPr>
      <t>，</t>
    </r>
    <r>
      <rPr>
        <sz val="10"/>
        <color rgb="FF0000FF"/>
        <rFont val="等线"/>
        <charset val="134"/>
      </rPr>
      <t xml:space="preserve">  另外</t>
    </r>
    <r>
      <rPr>
        <sz val="10"/>
        <color rgb="FF0000FF"/>
        <rFont val="汉仪书宋二KW"/>
        <charset val="134"/>
      </rPr>
      <t>，</t>
    </r>
    <r>
      <rPr>
        <sz val="10"/>
        <color rgb="FF0000FF"/>
        <rFont val="等线"/>
        <charset val="134"/>
      </rPr>
      <t>包装贴纸上面的警告语不可以覆盖西班牙警告语。QC同事请核
查</t>
    </r>
    <r>
      <rPr>
        <sz val="10"/>
        <color rgb="FF0000FF"/>
        <rFont val="汉仪书宋二KW"/>
        <charset val="134"/>
      </rPr>
      <t>，</t>
    </r>
    <r>
      <rPr>
        <sz val="10"/>
        <color rgb="FF0000FF"/>
        <rFont val="等线"/>
        <charset val="134"/>
      </rPr>
      <t>如有问题需和跟单确认。
5.纯毛绒玩具需要西班牙语言的洗涤说明</t>
    </r>
    <r>
      <rPr>
        <sz val="10"/>
        <color rgb="FF0000FF"/>
        <rFont val="汉仪书宋二KW"/>
        <charset val="134"/>
      </rPr>
      <t>；</t>
    </r>
    <r>
      <rPr>
        <sz val="10"/>
        <color rgb="FF0000FF"/>
        <rFont val="等线"/>
        <charset val="134"/>
      </rPr>
      <t xml:space="preserve">
6.请工厂按时完货并及时验货</t>
    </r>
    <r>
      <rPr>
        <sz val="10"/>
        <color rgb="FF0000FF"/>
        <rFont val="汉仪书宋二KW"/>
        <charset val="134"/>
      </rPr>
      <t>；</t>
    </r>
    <r>
      <rPr>
        <sz val="10"/>
        <color rgb="FF0000FF"/>
        <rFont val="等线"/>
        <charset val="134"/>
      </rPr>
      <t xml:space="preserve">
7.需要准备每款2套大货样</t>
    </r>
    <r>
      <rPr>
        <sz val="10"/>
        <color rgb="FF0000FF"/>
        <rFont val="汉仪书宋二KW"/>
        <charset val="134"/>
      </rPr>
      <t>，</t>
    </r>
    <r>
      <rPr>
        <sz val="10"/>
        <color rgb="FF0000FF"/>
        <rFont val="等线"/>
        <charset val="134"/>
      </rPr>
      <t>请注意备料。</t>
    </r>
  </si>
  <si>
    <t>05737-BOD-04FALL</t>
  </si>
  <si>
    <t>4500203219-110</t>
  </si>
  <si>
    <t>8/9 装柜</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</si>
  <si>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1.优先多语 MA UPC或者3L/5L MA EAN 包装
2.请确保包装上的条形码是UPC</t>
    </r>
    <r>
      <rPr>
        <sz val="10"/>
        <color rgb="FF0000FF"/>
        <rFont val="汉仪书宋二KW"/>
        <charset val="134"/>
      </rPr>
      <t>，</t>
    </r>
    <r>
      <rPr>
        <sz val="10"/>
        <color rgb="FF0000FF"/>
        <rFont val="等线"/>
        <charset val="134"/>
      </rPr>
      <t>如果是babyUPC、需要用mother UPC覆盖</t>
    </r>
    <r>
      <rPr>
        <sz val="10"/>
        <color rgb="FF0000FF"/>
        <rFont val="汉仪书宋二KW"/>
        <charset val="134"/>
      </rPr>
      <t>，</t>
    </r>
    <r>
      <rPr>
        <sz val="10"/>
        <color rgb="FF0000FF"/>
        <rFont val="等线"/>
        <charset val="134"/>
      </rPr>
      <t>如有不一致</t>
    </r>
    <r>
      <rPr>
        <sz val="10"/>
        <color rgb="FF0000FF"/>
        <rFont val="汉仪书宋二KW"/>
        <charset val="134"/>
      </rPr>
      <t>，</t>
    </r>
    <r>
      <rPr>
        <sz val="10"/>
        <color rgb="FF0000FF"/>
        <rFont val="等线"/>
        <charset val="134"/>
      </rPr>
      <t>请及时提出。谢谢!
77794UQ1 MA多语EAN包装+UPC贴纸+MA 多语说明书+MA多语收藏指南+MA 多语PDQ +进口商贴纸+箱唛
3 .MA PDQ 优先用3L,MA 只有1L版本的情况下就用1L PDQ
4.此单MA 3L UPC/EAN 包装</t>
    </r>
    <r>
      <rPr>
        <sz val="10"/>
        <color rgb="FF0000FF"/>
        <rFont val="汉仪书宋二KW"/>
        <charset val="134"/>
      </rPr>
      <t>（</t>
    </r>
    <r>
      <rPr>
        <sz val="10"/>
        <color rgb="FF0000FF"/>
        <rFont val="等线"/>
        <charset val="134"/>
      </rPr>
      <t>EAN 包装需要用UPC贴纸覆盖</t>
    </r>
    <r>
      <rPr>
        <sz val="10"/>
        <color rgb="FF0000FF"/>
        <rFont val="汉仪书宋二KW"/>
        <charset val="134"/>
      </rPr>
      <t>）</t>
    </r>
    <r>
      <rPr>
        <sz val="10"/>
        <color rgb="FF0000FF"/>
        <rFont val="等线"/>
        <charset val="134"/>
      </rPr>
      <t>+箱唛
Remark: 
 71172 3PCS AA BATTERIES(INCLUDED)</t>
    </r>
  </si>
  <si>
    <t>CORPORACION  EL  ROSADO  S.A.  9</t>
  </si>
  <si>
    <t>厄瓜多尔</t>
  </si>
  <si>
    <t>2026-1558</t>
  </si>
  <si>
    <t>4500208470-90</t>
  </si>
  <si>
    <t>7/24 装柜</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</si>
  <si>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1.请确保包装上的条形码是UPC</t>
    </r>
    <r>
      <rPr>
        <sz val="10"/>
        <color rgb="FF0000FF"/>
        <rFont val="汉仪书宋二KW"/>
        <charset val="134"/>
      </rPr>
      <t>，</t>
    </r>
    <r>
      <rPr>
        <sz val="10"/>
        <color rgb="FF0000FF"/>
        <rFont val="等线"/>
        <charset val="134"/>
      </rPr>
      <t>如果是babyUPC</t>
    </r>
    <r>
      <rPr>
        <sz val="10"/>
        <color rgb="FF0000FF"/>
        <rFont val="汉仪书宋二KW"/>
        <charset val="134"/>
      </rPr>
      <t>，</t>
    </r>
    <r>
      <rPr>
        <sz val="10"/>
        <color rgb="FF0000FF"/>
        <rFont val="等线"/>
        <charset val="134"/>
      </rPr>
      <t>需要用mother UPC覆盖</t>
    </r>
    <r>
      <rPr>
        <sz val="10"/>
        <color rgb="FF0000FF"/>
        <rFont val="汉仪书宋二KW"/>
        <charset val="134"/>
      </rPr>
      <t>，</t>
    </r>
    <r>
      <rPr>
        <sz val="10"/>
        <color rgb="FF0000FF"/>
        <rFont val="等线"/>
        <charset val="134"/>
      </rPr>
      <t>如有不一致</t>
    </r>
    <r>
      <rPr>
        <sz val="10"/>
        <color rgb="FF0000FF"/>
        <rFont val="汉仪书宋二KW"/>
        <charset val="134"/>
      </rPr>
      <t>，</t>
    </r>
    <r>
      <rPr>
        <sz val="10"/>
        <color rgb="FF0000FF"/>
        <rFont val="等线"/>
        <charset val="134"/>
      </rPr>
      <t>请及时提出。谢谢!
2.进口商贴纸贴的位置不可以挡住西语信息
71172 MA 多语EAN 包装+UPC贴纸+客版MA 多语说明书+进口商贴纸+箱唛
Remark: 
71172 3PCS AA BATTERIES(INCLUDED)</t>
    </r>
  </si>
  <si>
    <t>Aimee  Huang</t>
  </si>
  <si>
    <t>4045803999</t>
  </si>
  <si>
    <t>4500208347-10</t>
  </si>
  <si>
    <t>8/2 装柜</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</si>
  <si>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1. 71172: MA A3L(23L warning) EAN版彩盒+MA A15L说明书+一张额外说明书书纸(说明书上的玩法/battery safety information以及WEEE翻译成丹麦瑞典芬兰挪威
爱沙尼亚语--书纸翻单Lekia PO#4500200447)
Remark: 1. 包装如含PVC,请改为PET
 2. 产品/包装要求无硼无香</t>
    </r>
    <r>
      <rPr>
        <sz val="10"/>
        <color rgb="FF0000FF"/>
        <rFont val="汉仪书宋二KW"/>
        <charset val="134"/>
      </rPr>
      <t>；</t>
    </r>
    <r>
      <rPr>
        <sz val="10"/>
        <color rgb="FF0000FF"/>
        <rFont val="等线"/>
        <charset val="134"/>
      </rPr>
      <t xml:space="preserve">
 3. 出欧洲</t>
    </r>
    <r>
      <rPr>
        <sz val="10"/>
        <color rgb="FF0000FF"/>
        <rFont val="汉仪书宋二KW"/>
        <charset val="134"/>
      </rPr>
      <t>，</t>
    </r>
    <r>
      <rPr>
        <sz val="10"/>
        <color rgb="FF0000FF"/>
        <rFont val="等线"/>
        <charset val="134"/>
      </rPr>
      <t>微塑料需合规。
4.带电池出货的产品所用到的电池需要符合欧洲电池新规(EU) 2023-1542
5.关于贴纸</t>
    </r>
    <r>
      <rPr>
        <sz val="10"/>
        <color rgb="FF0000FF"/>
        <rFont val="汉仪书宋二KW"/>
        <charset val="134"/>
      </rPr>
      <t>，</t>
    </r>
    <r>
      <rPr>
        <sz val="10"/>
        <color rgb="FF0000FF"/>
        <rFont val="等线"/>
        <charset val="134"/>
      </rPr>
      <t>如果贴纸位置图的包装版本与大货不一致</t>
    </r>
    <r>
      <rPr>
        <sz val="10"/>
        <color rgb="FF0000FF"/>
        <rFont val="汉仪书宋二KW"/>
        <charset val="134"/>
      </rPr>
      <t>，</t>
    </r>
    <r>
      <rPr>
        <sz val="10"/>
        <color rgb="FF0000FF"/>
        <rFont val="等线"/>
        <charset val="134"/>
      </rPr>
      <t>请工厂提前提出, 跟单会重新调整确认是否更新贴纸或调整位置图
6.产品/包装不含PFAS and/or Bisfenol成分,以及不含石棉成分
7. 产品条码如下: 请先检查条码是否正确再安排做货</t>
    </r>
    <r>
      <rPr>
        <sz val="10"/>
        <color rgb="FF0000FF"/>
        <rFont val="汉仪书宋二KW"/>
        <charset val="134"/>
      </rPr>
      <t>，</t>
    </r>
    <r>
      <rPr>
        <sz val="10"/>
        <color rgb="FF0000FF"/>
        <rFont val="等线"/>
        <charset val="134"/>
      </rPr>
      <t>如有问题请告知:
71172-S001:4894680057272</t>
    </r>
  </si>
  <si>
    <t>JUGUETES PANRE S.L.</t>
  </si>
  <si>
    <t>4500209512</t>
  </si>
  <si>
    <t>4500209512-10</t>
  </si>
  <si>
    <t>7/26 装柜</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</si>
  <si>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71172:【最新MA 3L EAN版本包装+一张进口商内容贴纸】+最新MA 15L说明书+WEEE带电池走货欧洲29L通用黑白说明书</t>
    </r>
    <r>
      <rPr>
        <sz val="10"/>
        <color rgb="FF0000FF"/>
        <rFont val="汉仪书宋二KW"/>
        <charset val="134"/>
      </rPr>
      <t>；</t>
    </r>
    <r>
      <rPr>
        <sz val="10"/>
        <color rgb="FF0000FF"/>
        <rFont val="等线"/>
        <charset val="134"/>
      </rPr>
      <t xml:space="preserve">
9574:【最新MA 3L EAN版本包装+一张进口商内容贴纸】+最新MA 5L说明书+WEEE不带电池走货欧洲29L通用黑白说明书</t>
    </r>
    <r>
      <rPr>
        <sz val="10"/>
        <color rgb="FF0000FF"/>
        <rFont val="汉仪书宋二KW"/>
        <charset val="134"/>
      </rPr>
      <t>；</t>
    </r>
    <r>
      <rPr>
        <sz val="10"/>
        <color rgb="FF0000FF"/>
        <rFont val="等线"/>
        <charset val="134"/>
      </rPr>
      <t xml:space="preserve">
77785</t>
    </r>
    <r>
      <rPr>
        <sz val="10"/>
        <color rgb="FF0000FF"/>
        <rFont val="汉仪书宋二KW"/>
        <charset val="134"/>
      </rPr>
      <t>：</t>
    </r>
    <r>
      <rPr>
        <sz val="10"/>
        <color rgb="FF0000FF"/>
        <rFont val="等线"/>
        <charset val="134"/>
      </rPr>
      <t>最新客版彩盒+一张进口商和条码贴纸</t>
    </r>
    <r>
      <rPr>
        <sz val="10"/>
        <color rgb="FF0000FF"/>
        <rFont val="汉仪书宋二KW"/>
        <charset val="134"/>
      </rPr>
      <t>；</t>
    </r>
    <r>
      <rPr>
        <sz val="10"/>
        <color rgb="FF0000FF"/>
        <rFont val="等线"/>
        <charset val="134"/>
      </rPr>
      <t xml:space="preserve">
子件77711</t>
    </r>
    <r>
      <rPr>
        <sz val="10"/>
        <color rgb="FF0000FF"/>
        <rFont val="汉仪书宋二KW"/>
        <charset val="134"/>
      </rPr>
      <t>：</t>
    </r>
    <r>
      <rPr>
        <sz val="10"/>
        <color rgb="FF0000FF"/>
        <rFont val="等线"/>
        <charset val="134"/>
      </rPr>
      <t>最新MA3LEAN收缩膜+一张空白贴纸覆盖原条码+最新MA5L收藏指南+最新MA23L说明书+最新MA5L creative+最新MA纸袋</t>
    </r>
    <r>
      <rPr>
        <sz val="10"/>
        <color rgb="FF0000FF"/>
        <rFont val="汉仪书宋二KW"/>
        <charset val="134"/>
      </rPr>
      <t>；</t>
    </r>
    <r>
      <rPr>
        <sz val="10"/>
        <color rgb="FF0000FF"/>
        <rFont val="等线"/>
        <charset val="134"/>
      </rPr>
      <t xml:space="preserve">
子件77673</t>
    </r>
    <r>
      <rPr>
        <sz val="10"/>
        <color rgb="FF0000FF"/>
        <rFont val="汉仪书宋二KW"/>
        <charset val="134"/>
      </rPr>
      <t>：</t>
    </r>
    <r>
      <rPr>
        <sz val="10"/>
        <color rgb="FF0000FF"/>
        <rFont val="等线"/>
        <charset val="134"/>
      </rPr>
      <t xml:space="preserve">最新MA3LEAN收缩膜+最新MA5L收藏指南+最新MA23L说明书+最新MA纸袋+MA WEEE带电池走货欧洲29L通用黑白说明书 </t>
    </r>
    <r>
      <rPr>
        <sz val="10"/>
        <color rgb="FF0000FF"/>
        <rFont val="汉仪书宋二KW"/>
        <charset val="134"/>
      </rPr>
      <t>；</t>
    </r>
    <r>
      <rPr>
        <sz val="10"/>
        <color rgb="FF0000FF"/>
        <rFont val="等线"/>
        <charset val="134"/>
      </rPr>
      <t xml:space="preserve">
77858</t>
    </r>
    <r>
      <rPr>
        <sz val="10"/>
        <color rgb="FF0000FF"/>
        <rFont val="汉仪书宋二KW"/>
        <charset val="134"/>
      </rPr>
      <t>：</t>
    </r>
    <r>
      <rPr>
        <sz val="10"/>
        <color rgb="FF0000FF"/>
        <rFont val="等线"/>
        <charset val="134"/>
      </rPr>
      <t>最新MA 3L EAN版本包装+一张进口商贴纸+MA 23L 说明书+WEEE不带电池走货欧洲29L通用黑白说明书</t>
    </r>
    <r>
      <rPr>
        <sz val="10"/>
        <color rgb="FF0000FF"/>
        <rFont val="汉仪书宋二KW"/>
        <charset val="134"/>
      </rPr>
      <t>；</t>
    </r>
    <r>
      <rPr>
        <sz val="10"/>
        <color rgb="FF0000FF"/>
        <rFont val="等线"/>
        <charset val="134"/>
      </rPr>
      <t xml:space="preserve">
77843SK1:【MA 3L EAN版本包装+一张进口商贴纸</t>
    </r>
    <r>
      <rPr>
        <sz val="10"/>
        <color rgb="FF0000FF"/>
        <rFont val="汉仪书宋二KW"/>
        <charset val="134"/>
      </rPr>
      <t>（</t>
    </r>
    <r>
      <rPr>
        <sz val="10"/>
        <color rgb="FF0000FF"/>
        <rFont val="等线"/>
        <charset val="134"/>
      </rPr>
      <t>含西班牙环保标)】+MA 收藏指南+MA 23L说明书+MA 3L 展示架+WEEE带电池走货欧洲29L通用黑白说明书</t>
    </r>
    <r>
      <rPr>
        <sz val="10"/>
        <color rgb="FF0000FF"/>
        <rFont val="汉仪书宋二KW"/>
        <charset val="134"/>
      </rPr>
      <t>；</t>
    </r>
    <r>
      <rPr>
        <sz val="10"/>
        <color rgb="FF0000FF"/>
        <rFont val="等线"/>
        <charset val="134"/>
      </rPr>
      <t xml:space="preserve">
15783UQ1:【最新MA 5L包装+一张进口商贴纸+一张EAN条码贴纸】+MA PDQ</t>
    </r>
    <r>
      <rPr>
        <sz val="10"/>
        <color rgb="FF0000FF"/>
        <rFont val="汉仪书宋二KW"/>
        <charset val="134"/>
      </rPr>
      <t>；</t>
    </r>
    <r>
      <rPr>
        <sz val="10"/>
        <color rgb="FF0000FF"/>
        <rFont val="等线"/>
        <charset val="134"/>
      </rPr>
      <t xml:space="preserve">
92147</t>
    </r>
    <r>
      <rPr>
        <sz val="10"/>
        <color rgb="FF0000FF"/>
        <rFont val="汉仪书宋二KW"/>
        <charset val="134"/>
      </rPr>
      <t>：</t>
    </r>
    <r>
      <rPr>
        <sz val="10"/>
        <color rgb="FF0000FF"/>
        <rFont val="等线"/>
        <charset val="134"/>
      </rPr>
      <t>最新MA 3L EAN版本包装+一张进口商贴纸</t>
    </r>
    <r>
      <rPr>
        <sz val="10"/>
        <color rgb="FF0000FF"/>
        <rFont val="汉仪书宋二KW"/>
        <charset val="134"/>
      </rPr>
      <t>；</t>
    </r>
    <r>
      <rPr>
        <sz val="10"/>
        <color rgb="FF0000FF"/>
        <rFont val="等线"/>
        <charset val="134"/>
      </rPr>
      <t xml:space="preserve">
77772SK1</t>
    </r>
    <r>
      <rPr>
        <sz val="10"/>
        <color rgb="FF0000FF"/>
        <rFont val="汉仪书宋二KW"/>
        <charset val="134"/>
      </rPr>
      <t>：</t>
    </r>
    <r>
      <rPr>
        <sz val="10"/>
        <color rgb="FF0000FF"/>
        <rFont val="等线"/>
        <charset val="134"/>
      </rPr>
      <t>最新MA 3L EAN包装+一张进口商贴纸+MA收藏指南/说明书+MA 3L SK</t>
    </r>
    <r>
      <rPr>
        <sz val="10"/>
        <color rgb="FF0000FF"/>
        <rFont val="汉仪书宋二KW"/>
        <charset val="134"/>
      </rPr>
      <t>；</t>
    </r>
    <r>
      <rPr>
        <sz val="10"/>
        <color rgb="FF0000FF"/>
        <rFont val="等线"/>
        <charset val="134"/>
      </rPr>
      <t xml:space="preserve">
Remark: 1. 此单出西班牙</t>
    </r>
    <r>
      <rPr>
        <sz val="10"/>
        <color rgb="FF0000FF"/>
        <rFont val="汉仪书宋二KW"/>
        <charset val="134"/>
      </rPr>
      <t>，</t>
    </r>
    <r>
      <rPr>
        <sz val="10"/>
        <color rgb="FF0000FF"/>
        <rFont val="等线"/>
        <charset val="134"/>
      </rPr>
      <t>需满足EU测试标准要求</t>
    </r>
    <r>
      <rPr>
        <sz val="10"/>
        <color rgb="FF0000FF"/>
        <rFont val="汉仪书宋二KW"/>
        <charset val="134"/>
      </rPr>
      <t>，</t>
    </r>
    <r>
      <rPr>
        <sz val="10"/>
        <color rgb="FF0000FF"/>
        <rFont val="等线"/>
        <charset val="134"/>
      </rPr>
      <t>另外微塑料需符合EU法规</t>
    </r>
    <r>
      <rPr>
        <sz val="10"/>
        <color rgb="FF0000FF"/>
        <rFont val="汉仪书宋二KW"/>
        <charset val="134"/>
      </rPr>
      <t>；</t>
    </r>
    <r>
      <rPr>
        <sz val="10"/>
        <color rgb="FF0000FF"/>
        <rFont val="等线"/>
        <charset val="134"/>
      </rPr>
      <t xml:space="preserve">
 2. 标准配比</t>
    </r>
    <r>
      <rPr>
        <sz val="10"/>
        <color rgb="FF0000FF"/>
        <rFont val="汉仪书宋二KW"/>
        <charset val="134"/>
      </rPr>
      <t>；</t>
    </r>
    <r>
      <rPr>
        <sz val="10"/>
        <color rgb="FF0000FF"/>
        <rFont val="等线"/>
        <charset val="134"/>
      </rPr>
      <t xml:space="preserve">
3.根据新电池法规</t>
    </r>
    <r>
      <rPr>
        <sz val="10"/>
        <color rgb="FF0000FF"/>
        <rFont val="汉仪书宋二KW"/>
        <charset val="134"/>
      </rPr>
      <t>（</t>
    </r>
    <r>
      <rPr>
        <sz val="10"/>
        <color rgb="FF0000FF"/>
        <rFont val="等线"/>
        <charset val="134"/>
      </rPr>
      <t>EU</t>
    </r>
    <r>
      <rPr>
        <sz val="10"/>
        <color rgb="FF0000FF"/>
        <rFont val="汉仪书宋二KW"/>
        <charset val="134"/>
      </rPr>
      <t>）</t>
    </r>
    <r>
      <rPr>
        <sz val="10"/>
        <color rgb="FF0000FF"/>
        <rFont val="等线"/>
        <charset val="134"/>
      </rPr>
      <t xml:space="preserve">  2023/1542</t>
    </r>
    <r>
      <rPr>
        <sz val="10"/>
        <color rgb="FF0000FF"/>
        <rFont val="汉仪书宋二KW"/>
        <charset val="134"/>
      </rPr>
      <t>，</t>
    </r>
    <r>
      <rPr>
        <sz val="10"/>
        <color rgb="FF0000FF"/>
        <rFont val="等线"/>
        <charset val="134"/>
      </rPr>
      <t>所有走欧洲市场的电子产品</t>
    </r>
    <r>
      <rPr>
        <sz val="10"/>
        <color rgb="FF0000FF"/>
        <rFont val="汉仪书宋二KW"/>
        <charset val="134"/>
      </rPr>
      <t>，</t>
    </r>
    <r>
      <rPr>
        <sz val="10"/>
        <color rgb="FF0000FF"/>
        <rFont val="等线"/>
        <charset val="134"/>
      </rPr>
      <t>都需要增加WEEE通用29L说明书</t>
    </r>
    <r>
      <rPr>
        <sz val="10"/>
        <color rgb="FF0000FF"/>
        <rFont val="汉仪书宋二KW"/>
        <charset val="134"/>
      </rPr>
      <t>（</t>
    </r>
    <r>
      <rPr>
        <sz val="10"/>
        <color rgb="FF0000FF"/>
        <rFont val="等线"/>
        <charset val="134"/>
      </rPr>
      <t>分带电池走货和不带电池走货两种</t>
    </r>
    <r>
      <rPr>
        <sz val="10"/>
        <color rgb="FF0000FF"/>
        <rFont val="汉仪书宋二KW"/>
        <charset val="134"/>
      </rPr>
      <t>），</t>
    </r>
    <r>
      <rPr>
        <sz val="10"/>
        <color rgb="FF0000FF"/>
        <rFont val="等线"/>
        <charset val="134"/>
      </rPr>
      <t>如工厂没有此文件</t>
    </r>
    <r>
      <rPr>
        <sz val="10"/>
        <color rgb="FF0000FF"/>
        <rFont val="汉仪书宋二KW"/>
        <charset val="134"/>
      </rPr>
      <t>，</t>
    </r>
    <r>
      <rPr>
        <sz val="10"/>
        <color rgb="FF0000FF"/>
        <rFont val="等线"/>
        <charset val="134"/>
      </rPr>
      <t>可
以找跟单提供</t>
    </r>
    <r>
      <rPr>
        <sz val="10"/>
        <color rgb="FF0000FF"/>
        <rFont val="汉仪书宋二KW"/>
        <charset val="134"/>
      </rPr>
      <t>；</t>
    </r>
    <r>
      <rPr>
        <sz val="10"/>
        <color rgb="FF0000FF"/>
        <rFont val="等线"/>
        <charset val="134"/>
      </rPr>
      <t xml:space="preserve">
4. 产品及包装需要印CE logo图标</t>
    </r>
    <r>
      <rPr>
        <sz val="10"/>
        <color rgb="FF0000FF"/>
        <rFont val="汉仪书宋二KW"/>
        <charset val="134"/>
      </rPr>
      <t>，</t>
    </r>
    <r>
      <rPr>
        <sz val="10"/>
        <color rgb="FF0000FF"/>
        <rFont val="等线"/>
        <charset val="134"/>
      </rPr>
      <t>包装需含有西班牙环保标 和care@zuru.com 邮箱地址</t>
    </r>
    <r>
      <rPr>
        <sz val="10"/>
        <color rgb="FF0000FF"/>
        <rFont val="汉仪书宋二KW"/>
        <charset val="134"/>
      </rPr>
      <t>，</t>
    </r>
    <r>
      <rPr>
        <sz val="10"/>
        <color rgb="FF0000FF"/>
        <rFont val="等线"/>
        <charset val="134"/>
      </rPr>
      <t xml:space="preserve">  另外</t>
    </r>
    <r>
      <rPr>
        <sz val="10"/>
        <color rgb="FF0000FF"/>
        <rFont val="汉仪书宋二KW"/>
        <charset val="134"/>
      </rPr>
      <t>，</t>
    </r>
    <r>
      <rPr>
        <sz val="10"/>
        <color rgb="FF0000FF"/>
        <rFont val="等线"/>
        <charset val="134"/>
      </rPr>
      <t>贴纸不可以覆盖西班牙警告语。QC同事请核查</t>
    </r>
    <r>
      <rPr>
        <sz val="10"/>
        <color rgb="FF0000FF"/>
        <rFont val="汉仪书宋二KW"/>
        <charset val="134"/>
      </rPr>
      <t>，</t>
    </r>
    <r>
      <rPr>
        <sz val="10"/>
        <color rgb="FF0000FF"/>
        <rFont val="等线"/>
        <charset val="134"/>
      </rPr>
      <t>如有问题需和
跟单确认
5.毛绒玩具需要西班牙语言的洗涤说明</t>
    </r>
    <r>
      <rPr>
        <sz val="10"/>
        <color rgb="FF0000FF"/>
        <rFont val="汉仪书宋二KW"/>
        <charset val="134"/>
      </rPr>
      <t>；</t>
    </r>
  </si>
  <si>
    <r>
      <rPr>
        <sz val="10"/>
        <color rgb="FF0000FF"/>
        <rFont val="等线"/>
        <charset val="134"/>
      </rPr>
      <t>4</t>
    </r>
    <r>
      <rPr>
        <sz val="12"/>
        <color rgb="FF0000FF"/>
        <rFont val="宋体"/>
        <charset val="0"/>
        <scheme val="minor"/>
      </rPr>
      <t xml:space="preserve">  KIDZ  SP  Z  O.O.</t>
    </r>
  </si>
  <si>
    <t>4500207393</t>
  </si>
  <si>
    <t>CarrefourAW2026</t>
  </si>
  <si>
    <t>4500207393-80</t>
  </si>
  <si>
    <t>需要1套大货办</t>
  </si>
  <si>
    <t>8/7装柜</t>
  </si>
  <si>
    <t>大货样1套</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</si>
  <si>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7.  71172:MA  1LUPC彩卡+1张进口商贴纸+MA15L说明书+WEEE带电池走货声明书
Remark: 1.  请备多1套大货样品</t>
    </r>
    <r>
      <rPr>
        <sz val="10"/>
        <color rgb="FF0000FF"/>
        <rFont val="汉仪书宋二KW"/>
        <charset val="134"/>
      </rPr>
      <t>；</t>
    </r>
    <r>
      <rPr>
        <sz val="10"/>
        <color rgb="FF0000FF"/>
        <rFont val="等线"/>
        <charset val="134"/>
      </rPr>
      <t xml:space="preserve">
   2.  此票大货需符合EU市场法规</t>
    </r>
    <r>
      <rPr>
        <sz val="10"/>
        <color rgb="FF0000FF"/>
        <rFont val="汉仪书宋二KW"/>
        <charset val="134"/>
      </rPr>
      <t>；</t>
    </r>
    <r>
      <rPr>
        <sz val="10"/>
        <color rgb="FF0000FF"/>
        <rFont val="等线"/>
        <charset val="134"/>
      </rPr>
      <t xml:space="preserve">
   3.  此票使用UPC条码;</t>
    </r>
  </si>
  <si>
    <r>
      <rPr>
        <sz val="10"/>
        <color rgb="FF0000FF"/>
        <rFont val="等线"/>
        <charset val="134"/>
      </rPr>
      <t>Ula</t>
    </r>
    <r>
      <rPr>
        <sz val="12"/>
        <color rgb="FF0000FF"/>
        <rFont val="宋体"/>
        <charset val="134"/>
        <scheme val="minor"/>
      </rPr>
      <t xml:space="preserve">  Zhao</t>
    </r>
  </si>
  <si>
    <t>ANVOL LTD.</t>
  </si>
  <si>
    <t>爱沙尼亚</t>
  </si>
  <si>
    <t>4500211542</t>
  </si>
  <si>
    <t>4500211542-10</t>
  </si>
  <si>
    <r>
      <rPr>
        <sz val="10"/>
        <color rgb="FF0000FF"/>
        <rFont val="等线"/>
        <charset val="134"/>
      </rPr>
      <t>日期码格式</t>
    </r>
    <r>
      <rPr>
        <sz val="10"/>
        <color rgb="FF0000FF"/>
        <rFont val="汉仪书宋二KW"/>
        <charset val="134"/>
      </rPr>
      <t>：</t>
    </r>
    <r>
      <rPr>
        <sz val="10"/>
        <color rgb="FF0000FF"/>
        <rFont val="等线"/>
        <charset val="134"/>
      </rPr>
      <t xml:space="preserve"> ZURU INC(BVI) 标准格式 日期</t>
    </r>
    <r>
      <rPr>
        <sz val="10"/>
        <color rgb="FF0000FF"/>
        <rFont val="汉仪书宋二KW"/>
        <charset val="134"/>
      </rPr>
      <t>：</t>
    </r>
    <r>
      <rPr>
        <sz val="10"/>
        <color rgb="FF0000FF"/>
        <rFont val="等线"/>
        <charset val="134"/>
      </rPr>
      <t>按实际生产日期
Packaging Info: 71172:A 版1L MA 彩盒</t>
    </r>
    <r>
      <rPr>
        <sz val="10"/>
        <color rgb="FF0000FF"/>
        <rFont val="汉仪书宋二KW"/>
        <charset val="134"/>
      </rPr>
      <t>；</t>
    </r>
    <r>
      <rPr>
        <sz val="10"/>
        <color rgb="FF0000FF"/>
        <rFont val="等线"/>
        <charset val="134"/>
      </rPr>
      <t>A 版 15L MA 说明书+D 版 29L 带电池走货WEEE说明书
Remark: "1、若产品有比例使用ZURU STD 比例
2、所有item 均用MA UPC 条码</t>
    </r>
    <r>
      <rPr>
        <sz val="10"/>
        <color rgb="FF0000FF"/>
        <rFont val="汉仪书宋二KW"/>
        <charset val="134"/>
      </rPr>
      <t>，</t>
    </r>
    <r>
      <rPr>
        <sz val="10"/>
        <color rgb="FF0000FF"/>
        <rFont val="等线"/>
        <charset val="134"/>
      </rPr>
      <t>若包装不是UPC 条码的请告知
3、此单出欧洲需满足EU测试标准要求</t>
    </r>
    <r>
      <rPr>
        <sz val="10"/>
        <color rgb="FF0000FF"/>
        <rFont val="汉仪书宋二KW"/>
        <charset val="134"/>
      </rPr>
      <t>，</t>
    </r>
    <r>
      <rPr>
        <sz val="10"/>
        <color rgb="FF0000FF"/>
        <rFont val="等线"/>
        <charset val="134"/>
      </rPr>
      <t>含有闪粉类的产品</t>
    </r>
    <r>
      <rPr>
        <sz val="10"/>
        <color rgb="FF0000FF"/>
        <rFont val="汉仪书宋二KW"/>
        <charset val="134"/>
      </rPr>
      <t>，</t>
    </r>
    <r>
      <rPr>
        <sz val="10"/>
        <color rgb="FF0000FF"/>
        <rFont val="等线"/>
        <charset val="134"/>
      </rPr>
      <t>闪粉必须符合欧盟要求且可降解;电池产品</t>
    </r>
    <r>
      <rPr>
        <sz val="10"/>
        <color rgb="FF0000FF"/>
        <rFont val="汉仪书宋二KW"/>
        <charset val="134"/>
      </rPr>
      <t>（</t>
    </r>
    <r>
      <rPr>
        <sz val="10"/>
        <color rgb="FF0000FF"/>
        <rFont val="等线"/>
        <charset val="134"/>
      </rPr>
      <t>带电池/不带电池走货</t>
    </r>
    <r>
      <rPr>
        <sz val="10"/>
        <color rgb="FF0000FF"/>
        <rFont val="汉仪书宋二KW"/>
        <charset val="134"/>
      </rPr>
      <t>）</t>
    </r>
    <r>
      <rPr>
        <sz val="10"/>
        <color rgb="FF0000FF"/>
        <rFont val="等线"/>
        <charset val="134"/>
      </rPr>
      <t>需要添加WEEE通用说明书"</t>
    </r>
  </si>
  <si>
    <t>Snowy Wu</t>
  </si>
  <si>
    <t>4500207897</t>
  </si>
  <si>
    <t>0989813064</t>
  </si>
  <si>
    <t>4500207897-10</t>
  </si>
  <si>
    <t>7/23 自检</t>
  </si>
  <si>
    <t>8/3 SI</t>
  </si>
  <si>
    <t>0989813209</t>
  </si>
  <si>
    <t>4500207897-20</t>
  </si>
  <si>
    <t>0989813341</t>
  </si>
  <si>
    <t>4500207897-30</t>
  </si>
  <si>
    <r>
      <rPr>
        <sz val="11"/>
        <color rgb="FF0000FF"/>
        <rFont val="等线"/>
        <charset val="134"/>
      </rPr>
      <t>AMAZON</t>
    </r>
    <r>
      <rPr>
        <sz val="12"/>
        <color rgb="FF0000FF"/>
        <rFont val="宋体"/>
        <charset val="134"/>
        <scheme val="minor"/>
      </rPr>
      <t xml:space="preserve">  CA  (VENDOR  CENTER)</t>
    </r>
  </si>
  <si>
    <t>4500209056</t>
  </si>
  <si>
    <t>8ODBB4BF</t>
  </si>
  <si>
    <t>4500209056-340</t>
  </si>
  <si>
    <t>7/25 SI</t>
  </si>
  <si>
    <t>日期码格式：ZURU  INC(BVI)  标准格式                                    日期：按实际生产日期
Packaging Info: 
#71172:MA  3L  版本  #71172带MA包装入邮包盒，邮包盒图稿翻单#4500192525。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</si>
  <si>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Kelly  Shen</t>
  </si>
  <si>
    <t>6MV6LSNB</t>
  </si>
  <si>
    <t>4500209056-350</t>
  </si>
  <si>
    <t>5F14P4WD</t>
  </si>
  <si>
    <t>4500209056-360</t>
  </si>
  <si>
    <t>4500209115</t>
  </si>
  <si>
    <t>2WURNI6S</t>
  </si>
  <si>
    <t>4500209115-170</t>
  </si>
  <si>
    <t>日期码格式：ZURU  INC(BVI)  标准格式                                    日期：按实际生产日期
Packaging Info: 
#71172:MA  3L  版本  #71172带MA包装入邮包盒，邮包盒图稿翻单#4500192525。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</si>
  <si>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SUBURBIA S DE R. L. DE C. V.</t>
  </si>
  <si>
    <t>4500204964</t>
  </si>
  <si>
    <t>6000072150</t>
  </si>
  <si>
    <t>4500204964-10</t>
  </si>
  <si>
    <r>
      <rPr>
        <sz val="11"/>
        <color rgb="FF0000FF"/>
        <rFont val="等线"/>
        <charset val="134"/>
      </rPr>
      <t>6/17寄外箱贴纸</t>
    </r>
    <r>
      <rPr>
        <sz val="11"/>
        <color rgb="FF0000FF"/>
        <rFont val="汉仪书宋二KW"/>
        <charset val="134"/>
      </rPr>
      <t>，</t>
    </r>
    <r>
      <rPr>
        <sz val="11"/>
        <color rgb="FF0000FF"/>
        <rFont val="等线"/>
        <charset val="134"/>
      </rPr>
      <t>7/1收到贴纸资料</t>
    </r>
  </si>
  <si>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1. 外箱只需四面印Zuru logo</t>
    </r>
    <r>
      <rPr>
        <sz val="10"/>
        <color rgb="FF0000FF"/>
        <rFont val="汉仪书宋二KW"/>
        <charset val="134"/>
      </rPr>
      <t>，</t>
    </r>
    <r>
      <rPr>
        <sz val="10"/>
        <color rgb="FF0000FF"/>
        <rFont val="等线"/>
        <charset val="134"/>
      </rPr>
      <t>再加2张贴纸</t>
    </r>
    <r>
      <rPr>
        <sz val="10"/>
        <color rgb="FF0000FF"/>
        <rFont val="汉仪书宋二KW"/>
        <charset val="134"/>
      </rPr>
      <t>，</t>
    </r>
    <r>
      <rPr>
        <sz val="10"/>
        <color rgb="FF0000FF"/>
        <rFont val="等线"/>
        <charset val="134"/>
      </rPr>
      <t>1张Hu贴纸</t>
    </r>
    <r>
      <rPr>
        <sz val="10"/>
        <color rgb="FF0000FF"/>
        <rFont val="汉仪书宋二KW"/>
        <charset val="134"/>
      </rPr>
      <t>（</t>
    </r>
    <r>
      <rPr>
        <sz val="10"/>
        <color rgb="FF0000FF"/>
        <rFont val="等线"/>
        <charset val="134"/>
      </rPr>
      <t>条码贴</t>
    </r>
    <r>
      <rPr>
        <sz val="10"/>
        <color rgb="FF0000FF"/>
        <rFont val="汉仪书宋二KW"/>
        <charset val="134"/>
      </rPr>
      <t>），</t>
    </r>
    <r>
      <rPr>
        <sz val="10"/>
        <color rgb="FF0000FF"/>
        <rFont val="等线"/>
        <charset val="134"/>
      </rPr>
      <t>1张ASN贴纸</t>
    </r>
    <r>
      <rPr>
        <sz val="10"/>
        <color rgb="FF0000FF"/>
        <rFont val="汉仪书宋二KW"/>
        <charset val="134"/>
      </rPr>
      <t>（</t>
    </r>
    <r>
      <rPr>
        <sz val="10"/>
        <color rgb="FF0000FF"/>
        <rFont val="等线"/>
        <charset val="134"/>
      </rPr>
      <t>尺寸6.5cm*6.3cm,潘通色号2597C</t>
    </r>
    <r>
      <rPr>
        <sz val="10"/>
        <color rgb="FF0000FF"/>
        <rFont val="汉仪书宋二KW"/>
        <charset val="134"/>
      </rPr>
      <t>），</t>
    </r>
    <r>
      <rPr>
        <sz val="10"/>
        <color rgb="FF0000FF"/>
        <rFont val="等线"/>
        <charset val="134"/>
      </rPr>
      <t>都贴于侧唛</t>
    </r>
    <r>
      <rPr>
        <sz val="10"/>
        <color rgb="FF0000FF"/>
        <rFont val="汉仪书宋二KW"/>
        <charset val="134"/>
      </rPr>
      <t>，</t>
    </r>
    <r>
      <rPr>
        <sz val="10"/>
        <color rgb="FF0000FF"/>
        <rFont val="等线"/>
        <charset val="134"/>
      </rPr>
      <t>只需贴1面(HU贴纸和ASN贴
纸客供</t>
    </r>
    <r>
      <rPr>
        <sz val="10"/>
        <color rgb="FF0000FF"/>
        <rFont val="汉仪书宋二KW"/>
        <charset val="134"/>
      </rPr>
      <t>）</t>
    </r>
    <r>
      <rPr>
        <sz val="10"/>
        <color rgb="FF0000FF"/>
        <rFont val="等线"/>
        <charset val="134"/>
      </rPr>
      <t xml:space="preserve">
2. 一个外箱对应一个HU’S(条形码),不可以混条码包装
3.带电产品含有说明书需要增加说明书贴纸,&lt;(&gt;,&lt;)&gt;MA 多语包装</t>
    </r>
    <r>
      <rPr>
        <sz val="10"/>
        <color rgb="FF0000FF"/>
        <rFont val="汉仪书宋二KW"/>
        <charset val="134"/>
      </rPr>
      <t>（</t>
    </r>
    <r>
      <rPr>
        <sz val="10"/>
        <color rgb="FF0000FF"/>
        <rFont val="等线"/>
        <charset val="134"/>
      </rPr>
      <t>含西语</t>
    </r>
    <r>
      <rPr>
        <sz val="10"/>
        <color rgb="FF0000FF"/>
        <rFont val="汉仪书宋二KW"/>
        <charset val="134"/>
      </rPr>
      <t>）</t>
    </r>
    <r>
      <rPr>
        <sz val="10"/>
        <color rgb="FF0000FF"/>
        <rFont val="等线"/>
        <charset val="134"/>
      </rPr>
      <t xml:space="preserve">
4.价格贴纸覆盖原有包装的条形码
 5. 此单有监柜要求
 71172 MA 多语包装+进口商贴纸+价格标+说明书贴纸+说明书贴纸
Remark: 71172 3PCS AA BATTERIES(INCLUDED)
77673 3PCS AG13 BATTERIES(INCLUDED) Fixed Collection
77794UQ1 RECHARGEABLE LITHIUM BATTERY(INCLUDED)
9574 3PCS AAA BATTERIES(NOT INCLUDED) 2pcs baby capybara: 3pcs baby capybara= 5:1</t>
    </r>
  </si>
  <si>
    <t>GS TIENDAS DEPARTAMENTALES, S.A. DE</t>
  </si>
  <si>
    <t>17410859</t>
  </si>
  <si>
    <t>4500207499-20</t>
  </si>
  <si>
    <r>
      <rPr>
        <sz val="10"/>
        <color rgb="FF0000FF"/>
        <rFont val="等线"/>
        <charset val="134"/>
      </rPr>
      <t>7/30 SI(有监柜</t>
    </r>
    <r>
      <rPr>
        <sz val="10"/>
        <color rgb="FF0000FF"/>
        <rFont val="汉仪书宋二KW"/>
        <charset val="134"/>
      </rPr>
      <t>）</t>
    </r>
  </si>
  <si>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71172</t>
    </r>
    <r>
      <rPr>
        <sz val="10"/>
        <color rgb="FF0000FF"/>
        <rFont val="汉仪书宋二KW"/>
        <charset val="134"/>
      </rPr>
      <t>：</t>
    </r>
    <r>
      <rPr>
        <sz val="10"/>
        <color rgb="FF0000FF"/>
        <rFont val="等线"/>
        <charset val="134"/>
      </rPr>
      <t>MA 3L EAN 包装(+ UPC 条码贴纸)+客版说明书</t>
    </r>
    <r>
      <rPr>
        <sz val="10"/>
        <color rgb="FF0000FF"/>
        <rFont val="汉仪书宋二KW"/>
        <charset val="134"/>
      </rPr>
      <t>（</t>
    </r>
    <r>
      <rPr>
        <sz val="10"/>
        <color rgb="FF0000FF"/>
        <rFont val="等线"/>
        <charset val="134"/>
      </rPr>
      <t>翻单PO4500206011</t>
    </r>
    <r>
      <rPr>
        <sz val="10"/>
        <color rgb="FF0000FF"/>
        <rFont val="汉仪书宋二KW"/>
        <charset val="134"/>
      </rPr>
      <t>）</t>
    </r>
    <r>
      <rPr>
        <sz val="10"/>
        <color rgb="FF0000FF"/>
        <rFont val="等线"/>
        <charset val="134"/>
      </rPr>
      <t>进口商贴纸+箱唛
Remark: 客户有监装要求</t>
    </r>
    <r>
      <rPr>
        <sz val="10"/>
        <color rgb="FF0000FF"/>
        <rFont val="汉仪书宋二KW"/>
        <charset val="134"/>
      </rPr>
      <t>，</t>
    </r>
    <r>
      <rPr>
        <sz val="10"/>
        <color rgb="FF0000FF"/>
        <rFont val="等线"/>
        <charset val="134"/>
      </rPr>
      <t>每款需要各准备1pc监柜样板</t>
    </r>
  </si>
  <si>
    <t>Ever Li</t>
  </si>
  <si>
    <t>04197-BOD-12-FALL</t>
  </si>
  <si>
    <t>4500203233-200</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</si>
  <si>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1.优先多语 MA UPC或者3L/5L MA EAN 包装
2.请确保包装上的条形码是UPC</t>
    </r>
    <r>
      <rPr>
        <sz val="10"/>
        <color rgb="FF0000FF"/>
        <rFont val="汉仪书宋二KW"/>
        <charset val="134"/>
      </rPr>
      <t>，</t>
    </r>
    <r>
      <rPr>
        <sz val="10"/>
        <color rgb="FF0000FF"/>
        <rFont val="等线"/>
        <charset val="134"/>
      </rPr>
      <t>如果是babyUPC、需要用mother UPC覆盖</t>
    </r>
    <r>
      <rPr>
        <sz val="10"/>
        <color rgb="FF0000FF"/>
        <rFont val="汉仪书宋二KW"/>
        <charset val="134"/>
      </rPr>
      <t>，</t>
    </r>
    <r>
      <rPr>
        <sz val="10"/>
        <color rgb="FF0000FF"/>
        <rFont val="等线"/>
        <charset val="134"/>
      </rPr>
      <t>如有不一致</t>
    </r>
    <r>
      <rPr>
        <sz val="10"/>
        <color rgb="FF0000FF"/>
        <rFont val="汉仪书宋二KW"/>
        <charset val="134"/>
      </rPr>
      <t>，</t>
    </r>
    <r>
      <rPr>
        <sz val="10"/>
        <color rgb="FF0000FF"/>
        <rFont val="等线"/>
        <charset val="134"/>
      </rPr>
      <t>请及时提出。谢谢!
3 .MA PDQ 优先用3L,MA 只有1L版本的情况下就用1L PDQ
4.此单MA 3L UPC/EAN 包装</t>
    </r>
    <r>
      <rPr>
        <sz val="10"/>
        <color rgb="FF0000FF"/>
        <rFont val="汉仪书宋二KW"/>
        <charset val="134"/>
      </rPr>
      <t>（</t>
    </r>
    <r>
      <rPr>
        <sz val="10"/>
        <color rgb="FF0000FF"/>
        <rFont val="等线"/>
        <charset val="134"/>
      </rPr>
      <t>EAN 包装需要用UPC贴纸覆盖</t>
    </r>
    <r>
      <rPr>
        <sz val="10"/>
        <color rgb="FF0000FF"/>
        <rFont val="汉仪书宋二KW"/>
        <charset val="134"/>
      </rPr>
      <t>）</t>
    </r>
    <r>
      <rPr>
        <sz val="10"/>
        <color rgb="FF0000FF"/>
        <rFont val="等线"/>
        <charset val="134"/>
      </rPr>
      <t>+箱唛
77794UQ1 MA多语EAN包装+UPC贴纸+MA 多语说明书+MA多语收藏指南+MA 多语PDQ +箱唛
Remark: 
71172 3PCS AA BATTERIES(INCLUDED)</t>
    </r>
  </si>
  <si>
    <t>10001737607-3891</t>
  </si>
  <si>
    <t>4500210593-10</t>
  </si>
  <si>
    <t>7/28客上柜</t>
  </si>
  <si>
    <t>ZB07210-8.17</t>
  </si>
  <si>
    <t>4500207899</t>
  </si>
  <si>
    <t>0989813023</t>
  </si>
  <si>
    <t>4500207899-10</t>
  </si>
  <si>
    <t>7/28 自检</t>
  </si>
  <si>
    <t>8/15 SI</t>
  </si>
  <si>
    <t>0989813103</t>
  </si>
  <si>
    <t>4500207899-20</t>
  </si>
  <si>
    <t>0989813108</t>
  </si>
  <si>
    <t>4500207899-30</t>
  </si>
  <si>
    <t>0989813308</t>
  </si>
  <si>
    <t>4500207899-40</t>
  </si>
  <si>
    <t>10001824319-3890</t>
  </si>
  <si>
    <t>4500211667-10</t>
  </si>
  <si>
    <t>8/7客上柜</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</si>
  <si>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Tracking Code:
Packaging Info: 产品包装MA 1L彩盒
Remark: 1. 71172-S001-ROBO ALIVE-BRAIN-SERIES 1-BRIAN THE BRAIN-OPEN BOX-4PCS/CTN
 2. 产品包装MA 1L彩盒</t>
    </r>
    <r>
      <rPr>
        <sz val="10"/>
        <color rgb="FF0000FF"/>
        <rFont val="汉仪书宋二KW"/>
        <charset val="134"/>
      </rPr>
      <t>；</t>
    </r>
    <r>
      <rPr>
        <sz val="10"/>
        <color rgb="FF0000FF"/>
        <rFont val="等线"/>
        <charset val="134"/>
      </rPr>
      <t>彩盒上的UPC显示193052098443</t>
    </r>
    <r>
      <rPr>
        <sz val="10"/>
        <color rgb="FF0000FF"/>
        <rFont val="汉仪书宋二KW"/>
        <charset val="134"/>
      </rPr>
      <t>；</t>
    </r>
    <r>
      <rPr>
        <sz val="10"/>
        <color rgb="FF0000FF"/>
        <rFont val="等线"/>
        <charset val="134"/>
      </rPr>
      <t xml:space="preserve">
 3. 每个外箱正唛箱唛信息左上方位置粘贴条码箱贴纸</t>
    </r>
    <r>
      <rPr>
        <sz val="10"/>
        <color rgb="FF0000FF"/>
        <rFont val="汉仪书宋二KW"/>
        <charset val="134"/>
      </rPr>
      <t>，</t>
    </r>
    <r>
      <rPr>
        <sz val="10"/>
        <color rgb="FF0000FF"/>
        <rFont val="等线"/>
        <charset val="134"/>
      </rPr>
      <t>每箱只贴一张; 由ZURU向艾利订购</t>
    </r>
    <r>
      <rPr>
        <sz val="10"/>
        <color rgb="FF0000FF"/>
        <rFont val="汉仪书宋二KW"/>
        <charset val="134"/>
      </rPr>
      <t>，</t>
    </r>
    <r>
      <rPr>
        <sz val="10"/>
        <color rgb="FF0000FF"/>
        <rFont val="等线"/>
        <charset val="134"/>
      </rPr>
      <t xml:space="preserve"> 对应的外箱贴DPCI</t>
    </r>
    <r>
      <rPr>
        <sz val="10"/>
        <color rgb="FF0000FF"/>
        <rFont val="汉仪书宋二KW"/>
        <charset val="134"/>
      </rPr>
      <t>：</t>
    </r>
    <r>
      <rPr>
        <sz val="10"/>
        <color rgb="FF0000FF"/>
        <rFont val="等线"/>
        <charset val="134"/>
      </rPr>
      <t xml:space="preserve">087-02-9468, UPC显示10193052098440 </t>
    </r>
    <r>
      <rPr>
        <sz val="10"/>
        <color rgb="FF0000FF"/>
        <rFont val="汉仪书宋二KW"/>
        <charset val="134"/>
      </rPr>
      <t>；</t>
    </r>
    <r>
      <rPr>
        <sz val="10"/>
        <color rgb="FF0000FF"/>
        <rFont val="等线"/>
        <charset val="134"/>
      </rPr>
      <t xml:space="preserve">
 4. 产品和包装上要印刷tracking code信息</t>
    </r>
    <r>
      <rPr>
        <sz val="10"/>
        <color rgb="FF0000FF"/>
        <rFont val="汉仪书宋二KW"/>
        <charset val="134"/>
      </rPr>
      <t>，</t>
    </r>
    <r>
      <rPr>
        <sz val="10"/>
        <color rgb="FF0000FF"/>
        <rFont val="等线"/>
        <charset val="134"/>
      </rPr>
      <t>格式为ZURU常规</t>
    </r>
    <r>
      <rPr>
        <sz val="10"/>
        <color rgb="FF0000FF"/>
        <rFont val="汉仪书宋二KW"/>
        <charset val="134"/>
      </rPr>
      <t>；</t>
    </r>
    <r>
      <rPr>
        <sz val="10"/>
        <color rgb="FF0000FF"/>
        <rFont val="等线"/>
        <charset val="134"/>
      </rPr>
      <t xml:space="preserve">
 5. 出货方式</t>
    </r>
    <r>
      <rPr>
        <sz val="10"/>
        <color rgb="FF0000FF"/>
        <rFont val="汉仪书宋二KW"/>
        <charset val="134"/>
      </rPr>
      <t>：</t>
    </r>
    <r>
      <rPr>
        <sz val="10"/>
        <color rgb="FF0000FF"/>
        <rFont val="等线"/>
        <charset val="134"/>
      </rPr>
      <t>货代自提</t>
    </r>
  </si>
  <si>
    <t>4500212972</t>
  </si>
  <si>
    <t>10001737606-3890</t>
  </si>
  <si>
    <t>4500212972-10</t>
  </si>
  <si>
    <t>8/13 装柜</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</si>
  <si>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产品包装MA  1L彩盒</t>
    </r>
    <r>
      <rPr>
        <sz val="10"/>
        <color rgb="FF0000FF"/>
        <rFont val="汉仪书宋二KW"/>
        <charset val="134"/>
      </rPr>
      <t>；</t>
    </r>
    <r>
      <rPr>
        <sz val="10"/>
        <color rgb="FF0000FF"/>
        <rFont val="等线"/>
        <charset val="134"/>
      </rPr>
      <t>彩盒上的UPC显示193052098443
Remark: 1.  71172-S001-ROBO  ALIVE-BRAIN-SERIES  1-BRIAN  THE  BRAIN-OPEN  BOX-4PCS/CTN
   2.  产品包装MA  1L彩盒</t>
    </r>
    <r>
      <rPr>
        <sz val="10"/>
        <color rgb="FF0000FF"/>
        <rFont val="汉仪书宋二KW"/>
        <charset val="134"/>
      </rPr>
      <t>；</t>
    </r>
    <r>
      <rPr>
        <sz val="10"/>
        <color rgb="FF0000FF"/>
        <rFont val="等线"/>
        <charset val="134"/>
      </rPr>
      <t>彩盒上的UPC显示193052098443</t>
    </r>
    <r>
      <rPr>
        <sz val="10"/>
        <color rgb="FF0000FF"/>
        <rFont val="汉仪书宋二KW"/>
        <charset val="134"/>
      </rPr>
      <t>；</t>
    </r>
    <r>
      <rPr>
        <sz val="10"/>
        <color rgb="FF0000FF"/>
        <rFont val="等线"/>
        <charset val="134"/>
      </rPr>
      <t xml:space="preserve">
   3.  每个外箱正唛箱唛信息左上方位置粘贴条码箱贴纸</t>
    </r>
    <r>
      <rPr>
        <sz val="10"/>
        <color rgb="FF0000FF"/>
        <rFont val="汉仪书宋二KW"/>
        <charset val="134"/>
      </rPr>
      <t>，</t>
    </r>
    <r>
      <rPr>
        <sz val="10"/>
        <color rgb="FF0000FF"/>
        <rFont val="等线"/>
        <charset val="134"/>
      </rPr>
      <t>每箱只贴一张;  由ZURU向艾利订购</t>
    </r>
    <r>
      <rPr>
        <sz val="10"/>
        <color rgb="FF0000FF"/>
        <rFont val="汉仪书宋二KW"/>
        <charset val="134"/>
      </rPr>
      <t>，</t>
    </r>
    <r>
      <rPr>
        <sz val="10"/>
        <color rgb="FF0000FF"/>
        <rFont val="等线"/>
        <charset val="134"/>
      </rPr>
      <t xml:space="preserve">     对应的外箱贴DPCI</t>
    </r>
    <r>
      <rPr>
        <sz val="10"/>
        <color rgb="FF0000FF"/>
        <rFont val="汉仪书宋二KW"/>
        <charset val="134"/>
      </rPr>
      <t>：</t>
    </r>
    <r>
      <rPr>
        <sz val="10"/>
        <color rgb="FF0000FF"/>
        <rFont val="等线"/>
        <charset val="134"/>
      </rPr>
      <t xml:space="preserve">087-02-9468,  UPC显示10193052098440  </t>
    </r>
    <r>
      <rPr>
        <sz val="10"/>
        <color rgb="FF0000FF"/>
        <rFont val="汉仪书宋二KW"/>
        <charset val="134"/>
      </rPr>
      <t>；</t>
    </r>
    <r>
      <rPr>
        <sz val="10"/>
        <color rgb="FF0000FF"/>
        <rFont val="等线"/>
        <charset val="134"/>
      </rPr>
      <t xml:space="preserve">
   4.  产品和包装上要印刷tracking  code信息</t>
    </r>
    <r>
      <rPr>
        <sz val="10"/>
        <color rgb="FF0000FF"/>
        <rFont val="汉仪书宋二KW"/>
        <charset val="134"/>
      </rPr>
      <t>，</t>
    </r>
    <r>
      <rPr>
        <sz val="10"/>
        <color rgb="FF0000FF"/>
        <rFont val="等线"/>
        <charset val="134"/>
      </rPr>
      <t>格式为ZURU常规</t>
    </r>
    <r>
      <rPr>
        <sz val="10"/>
        <color rgb="FF0000FF"/>
        <rFont val="汉仪书宋二KW"/>
        <charset val="134"/>
      </rPr>
      <t>；</t>
    </r>
    <r>
      <rPr>
        <sz val="10"/>
        <color rgb="FF0000FF"/>
        <rFont val="等线"/>
        <charset val="134"/>
      </rPr>
      <t xml:space="preserve">
   5.  出货方式</t>
    </r>
    <r>
      <rPr>
        <sz val="10"/>
        <color rgb="FF0000FF"/>
        <rFont val="汉仪书宋二KW"/>
        <charset val="134"/>
      </rPr>
      <t>：</t>
    </r>
    <r>
      <rPr>
        <sz val="10"/>
        <color rgb="FF0000FF"/>
        <rFont val="等线"/>
        <charset val="134"/>
      </rPr>
      <t>货代自提</t>
    </r>
  </si>
  <si>
    <t>COMERCIALIZADORA MEXICO AMERICANA S</t>
  </si>
  <si>
    <t>3301471205</t>
  </si>
  <si>
    <t>4500210269-50</t>
  </si>
  <si>
    <t>8/4装柜</t>
  </si>
  <si>
    <r>
      <rPr>
        <sz val="10"/>
        <color rgb="FF0000FF"/>
        <rFont val="等线"/>
        <charset val="134"/>
      </rPr>
      <t>日期码格式</t>
    </r>
    <r>
      <rPr>
        <sz val="10"/>
        <color rgb="FF0000FF"/>
        <rFont val="汉仪书宋二KW"/>
        <charset val="134"/>
      </rPr>
      <t>：</t>
    </r>
    <r>
      <rPr>
        <sz val="10"/>
        <color rgb="FF0000FF"/>
        <rFont val="等线"/>
        <charset val="134"/>
      </rPr>
      <t>LOTDGYYYYMMDD 日期</t>
    </r>
    <r>
      <rPr>
        <sz val="10"/>
        <color rgb="FF0000FF"/>
        <rFont val="汉仪书宋二KW"/>
        <charset val="134"/>
      </rPr>
      <t>：</t>
    </r>
    <r>
      <rPr>
        <sz val="10"/>
        <color rgb="FF0000FF"/>
        <rFont val="等线"/>
        <charset val="134"/>
      </rPr>
      <t>按实际生产日期
Packaging Info: 
71172: MA 3L EAN 包装+客版说明书</t>
    </r>
    <r>
      <rPr>
        <sz val="10"/>
        <color rgb="FF0000FF"/>
        <rFont val="汉仪书宋二KW"/>
        <charset val="134"/>
      </rPr>
      <t>（</t>
    </r>
    <r>
      <rPr>
        <sz val="10"/>
        <color rgb="FF0000FF"/>
        <rFont val="等线"/>
        <charset val="134"/>
      </rPr>
      <t>翻单PO4500206011</t>
    </r>
    <r>
      <rPr>
        <sz val="10"/>
        <color rgb="FF0000FF"/>
        <rFont val="汉仪书宋二KW"/>
        <charset val="134"/>
      </rPr>
      <t>）</t>
    </r>
    <r>
      <rPr>
        <sz val="10"/>
        <color rgb="FF0000FF"/>
        <rFont val="等线"/>
        <charset val="134"/>
      </rPr>
      <t>+UPC 贴纸+进口商贴纸+产品贴纸+说明书贴纸+保证书+箱唛
Remark: A: 客版日期码要求</t>
    </r>
    <r>
      <rPr>
        <sz val="10"/>
        <color rgb="FF0000FF"/>
        <rFont val="汉仪书宋二KW"/>
        <charset val="134"/>
      </rPr>
      <t>：</t>
    </r>
    <r>
      <rPr>
        <sz val="10"/>
        <color rgb="FF0000FF"/>
        <rFont val="等线"/>
        <charset val="134"/>
      </rPr>
      <t>LOT+ZURU标准日期码格式。东莞生产的格式</t>
    </r>
    <r>
      <rPr>
        <sz val="10"/>
        <color rgb="FF0000FF"/>
        <rFont val="汉仪书宋二KW"/>
        <charset val="134"/>
      </rPr>
      <t>：</t>
    </r>
    <r>
      <rPr>
        <sz val="10"/>
        <color rgb="FF0000FF"/>
        <rFont val="等线"/>
        <charset val="134"/>
      </rPr>
      <t>LOTDGYYYYMMDD, DG是东莞拼音首字母</t>
    </r>
    <r>
      <rPr>
        <sz val="10"/>
        <color rgb="FF0000FF"/>
        <rFont val="汉仪书宋二KW"/>
        <charset val="134"/>
      </rPr>
      <t>，</t>
    </r>
    <r>
      <rPr>
        <sz val="10"/>
        <color rgb="FF0000FF"/>
        <rFont val="等线"/>
        <charset val="134"/>
      </rPr>
      <t>YYYYMMDD是实际的年月日</t>
    </r>
    <r>
      <rPr>
        <sz val="10"/>
        <color rgb="FF0000FF"/>
        <rFont val="汉仪书宋二KW"/>
        <charset val="134"/>
      </rPr>
      <t>，</t>
    </r>
    <r>
      <rPr>
        <sz val="10"/>
        <color rgb="FF0000FF"/>
        <rFont val="等线"/>
        <charset val="134"/>
      </rPr>
      <t>例如(LOTDG20240920)
B: 此单有第三方监柜</t>
    </r>
    <r>
      <rPr>
        <sz val="10"/>
        <color rgb="FF0000FF"/>
        <rFont val="汉仪书宋二KW"/>
        <charset val="134"/>
      </rPr>
      <t>，</t>
    </r>
    <r>
      <rPr>
        <sz val="10"/>
        <color rgb="FF0000FF"/>
        <rFont val="等线"/>
        <charset val="134"/>
      </rPr>
      <t>至少多备一套完整的物料用于监柜</t>
    </r>
    <r>
      <rPr>
        <sz val="10"/>
        <color rgb="FF0000FF"/>
        <rFont val="汉仪书宋二KW"/>
        <charset val="134"/>
      </rPr>
      <t>，</t>
    </r>
    <r>
      <rPr>
        <sz val="10"/>
        <color rgb="FF0000FF"/>
        <rFont val="等线"/>
        <charset val="134"/>
      </rPr>
      <t>请多备料--通用备注</t>
    </r>
    <r>
      <rPr>
        <sz val="10"/>
        <color rgb="FF0000FF"/>
        <rFont val="汉仪书宋二KW"/>
        <charset val="134"/>
      </rPr>
      <t>，</t>
    </r>
    <r>
      <rPr>
        <sz val="10"/>
        <color rgb="FF0000FF"/>
        <rFont val="等线"/>
        <charset val="134"/>
      </rPr>
      <t>所有工厂都一样
C: WM墨西哥防霉的新要求:货物必须在出货主箱和集装箱中按要求放置干燥剂</t>
    </r>
    <r>
      <rPr>
        <sz val="10"/>
        <color rgb="FF0000FF"/>
        <rFont val="汉仪书宋二KW"/>
        <charset val="134"/>
      </rPr>
      <t>，</t>
    </r>
    <r>
      <rPr>
        <sz val="10"/>
        <color rgb="FF0000FF"/>
        <rFont val="等线"/>
        <charset val="134"/>
      </rPr>
      <t>干燥剂指定品牌干霸--通用备注</t>
    </r>
    <r>
      <rPr>
        <sz val="10"/>
        <color rgb="FF0000FF"/>
        <rFont val="汉仪书宋二KW"/>
        <charset val="134"/>
      </rPr>
      <t>，</t>
    </r>
    <r>
      <rPr>
        <sz val="10"/>
        <color rgb="FF0000FF"/>
        <rFont val="等线"/>
        <charset val="134"/>
      </rPr>
      <t>所有工厂都一样
71172</t>
    </r>
    <r>
      <rPr>
        <sz val="10"/>
        <color rgb="FF0000FF"/>
        <rFont val="汉仪书宋二KW"/>
        <charset val="134"/>
      </rPr>
      <t>：</t>
    </r>
    <r>
      <rPr>
        <sz val="10"/>
        <color rgb="FF0000FF"/>
        <rFont val="等线"/>
        <charset val="134"/>
      </rPr>
      <t>每箱放置10小包干燥剂</t>
    </r>
    <r>
      <rPr>
        <sz val="10"/>
        <color rgb="FF0000FF"/>
        <rFont val="汉仪书宋二KW"/>
        <charset val="134"/>
      </rPr>
      <t>，</t>
    </r>
    <r>
      <rPr>
        <sz val="10"/>
        <color rgb="FF0000FF"/>
        <rFont val="等线"/>
        <charset val="134"/>
      </rPr>
      <t>每包重2-3g
E: 如走柜货等loading plan 确认后再通知集装箱干燥剂数量</t>
    </r>
    <r>
      <rPr>
        <sz val="10"/>
        <color rgb="FF0000FF"/>
        <rFont val="汉仪书宋二KW"/>
        <charset val="134"/>
      </rPr>
      <t>，</t>
    </r>
    <r>
      <rPr>
        <sz val="10"/>
        <color rgb="FF0000FF"/>
        <rFont val="等线"/>
        <charset val="134"/>
      </rPr>
      <t xml:space="preserve">
每个柜子需要放置20包干燥剂</t>
    </r>
    <r>
      <rPr>
        <sz val="10"/>
        <color rgb="FF0000FF"/>
        <rFont val="汉仪书宋二KW"/>
        <charset val="134"/>
      </rPr>
      <t>，</t>
    </r>
    <r>
      <rPr>
        <sz val="10"/>
        <color rgb="FF0000FF"/>
        <rFont val="等线"/>
        <charset val="134"/>
      </rPr>
      <t>每包干燥剂1KG</t>
    </r>
  </si>
  <si>
    <t>AMIC TRADING (PTY) LTD</t>
  </si>
  <si>
    <t>南非</t>
  </si>
  <si>
    <t>4500213251</t>
  </si>
  <si>
    <t>6006-014168</t>
  </si>
  <si>
    <t>4500213251-10</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</si>
  <si>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MA PKG , 优先1L +1张通用进口商贴纸</t>
    </r>
    <r>
      <rPr>
        <sz val="10"/>
        <color rgb="FF0000FF"/>
        <rFont val="汉仪书宋二KW"/>
        <charset val="134"/>
      </rPr>
      <t>（</t>
    </r>
    <r>
      <rPr>
        <sz val="10"/>
        <color rgb="FF0000FF"/>
        <rFont val="等线"/>
        <charset val="134"/>
      </rPr>
      <t>贴背面空白处</t>
    </r>
    <r>
      <rPr>
        <sz val="10"/>
        <color rgb="FF0000FF"/>
        <rFont val="汉仪书宋二KW"/>
        <charset val="134"/>
      </rPr>
      <t>）</t>
    </r>
    <r>
      <rPr>
        <sz val="10"/>
        <color rgb="FF0000FF"/>
        <rFont val="等线"/>
        <charset val="134"/>
      </rPr>
      <t xml:space="preserve"> 不遮挡日期码
Remark</t>
    </r>
    <r>
      <rPr>
        <sz val="10"/>
        <color rgb="FF0000FF"/>
        <rFont val="汉仪书宋二KW"/>
        <charset val="134"/>
      </rPr>
      <t>：</t>
    </r>
  </si>
  <si>
    <t>PPTOYS PTE LTD (SG)</t>
  </si>
  <si>
    <t>新加坡</t>
  </si>
  <si>
    <t>ZU26051202SG</t>
  </si>
  <si>
    <t>4500212751-10</t>
  </si>
  <si>
    <t>8/6 装柜</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</si>
  <si>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MA UPC包装(优先1L)+通用进口商贴纸,71172待提供贴纸资料;
其他items 贴纸图稿和位置图翻单如下
Remark: 
Common: Equal ratio</t>
    </r>
  </si>
  <si>
    <t>4500213705</t>
  </si>
  <si>
    <t>219399647</t>
  </si>
  <si>
    <t>4500213705-10</t>
  </si>
  <si>
    <t>8/14装柜</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</si>
  <si>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1.   MA UPC包装</t>
    </r>
    <r>
      <rPr>
        <sz val="10"/>
        <color rgb="FF0000FF"/>
        <rFont val="汉仪书宋二KW"/>
        <charset val="134"/>
      </rPr>
      <t>（</t>
    </r>
    <r>
      <rPr>
        <sz val="10"/>
        <color rgb="FF0000FF"/>
        <rFont val="等线"/>
        <charset val="134"/>
      </rPr>
      <t>优先1L</t>
    </r>
    <r>
      <rPr>
        <sz val="10"/>
        <color rgb="FF0000FF"/>
        <rFont val="汉仪书宋二KW"/>
        <charset val="134"/>
      </rPr>
      <t>）</t>
    </r>
    <r>
      <rPr>
        <sz val="10"/>
        <color rgb="FF0000FF"/>
        <rFont val="等线"/>
        <charset val="134"/>
      </rPr>
      <t xml:space="preserve">
   2.  客人指定箱唛排版
Remark: 出货前 Zuru QC 验货</t>
    </r>
  </si>
  <si>
    <t>219399648</t>
  </si>
  <si>
    <t>4500213705-20</t>
  </si>
  <si>
    <t>MPO10828</t>
  </si>
  <si>
    <t>MPO10828-10</t>
  </si>
  <si>
    <t>8/5送出</t>
  </si>
  <si>
    <t>用周转箱装好送俊达混装展示架</t>
  </si>
  <si>
    <t>订ZURU标准空白 箱</t>
  </si>
  <si>
    <r>
      <rPr>
        <sz val="10"/>
        <color rgb="FF0000FF"/>
        <rFont val="等线"/>
        <charset val="134"/>
      </rPr>
      <t>Product Requirement
Remark:
① 2% loss; ② inform us to arrange inspection before delivery
包装翻单</t>
    </r>
    <r>
      <rPr>
        <sz val="10"/>
        <color rgb="FF0000FF"/>
        <rFont val="汉仪书宋二KW"/>
        <charset val="134"/>
      </rPr>
      <t>：</t>
    </r>
    <r>
      <rPr>
        <sz val="10"/>
        <color rgb="FF0000FF"/>
        <rFont val="等线"/>
        <charset val="134"/>
      </rPr>
      <t xml:space="preserve"> 4500207892
1.包装</t>
    </r>
    <r>
      <rPr>
        <sz val="10"/>
        <color rgb="FF0000FF"/>
        <rFont val="汉仪书宋二KW"/>
        <charset val="134"/>
      </rPr>
      <t>⽅</t>
    </r>
    <r>
      <rPr>
        <sz val="10"/>
        <color rgb="FF0000FF"/>
        <rFont val="等线"/>
        <charset val="134"/>
      </rPr>
      <t>式</t>
    </r>
    <r>
      <rPr>
        <sz val="10"/>
        <color rgb="FF0000FF"/>
        <rFont val="汉仪书宋二KW"/>
        <charset val="134"/>
      </rPr>
      <t>：</t>
    </r>
    <r>
      <rPr>
        <sz val="10"/>
        <color rgb="FF0000FF"/>
        <rFont val="等线"/>
        <charset val="134"/>
      </rPr>
      <t xml:space="preserve">
ZURU INC
UNIT 1201-01 12/F ENERGY PLAZA 92 GRANVILLE RD TST EAST
Tel:+86 755 6688 1988
Purchase Order71172: MA 1L彩盒包装+MA 15L WARNING B版说明书+FCC说明书+ RFID贴纸
2. UPC</t>
    </r>
    <r>
      <rPr>
        <sz val="10"/>
        <color rgb="FF0000FF"/>
        <rFont val="汉仪书宋二KW"/>
        <charset val="134"/>
      </rPr>
      <t>：</t>
    </r>
    <r>
      <rPr>
        <sz val="10"/>
        <color rgb="FF0000FF"/>
        <rFont val="等线"/>
        <charset val="134"/>
      </rPr>
      <t xml:space="preserve"> 193052098443
3PCS AA BATTERIES(INCLUDED)
3.产品和包装上要有</t>
    </r>
    <r>
      <rPr>
        <sz val="10"/>
        <color rgb="FF0000FF"/>
        <rFont val="汉仪书宋二KW"/>
        <charset val="134"/>
      </rPr>
      <t>⽇</t>
    </r>
    <r>
      <rPr>
        <sz val="10"/>
        <color rgb="FF0000FF"/>
        <rFont val="等线"/>
        <charset val="134"/>
      </rPr>
      <t>期码、 MADE IN CHINA和ZURU字样。
4.此单需要验货</t>
    </r>
    <r>
      <rPr>
        <sz val="10"/>
        <color rgb="FF0000FF"/>
        <rFont val="汉仪书宋二KW"/>
        <charset val="134"/>
      </rPr>
      <t>，</t>
    </r>
    <r>
      <rPr>
        <sz val="10"/>
        <color rgb="FF0000FF"/>
        <rFont val="等线"/>
        <charset val="134"/>
      </rPr>
      <t xml:space="preserve"> 请</t>
    </r>
    <r>
      <rPr>
        <sz val="10"/>
        <color rgb="FF0000FF"/>
        <rFont val="汉仪书宋二KW"/>
        <charset val="134"/>
      </rPr>
      <t>⾃⾏</t>
    </r>
    <r>
      <rPr>
        <sz val="10"/>
        <color rgb="FF0000FF"/>
        <rFont val="等线"/>
        <charset val="134"/>
      </rPr>
      <t>多备包装物料。
5.每PCS要加RFID 贴纸(ZURU提供)</t>
    </r>
    <r>
      <rPr>
        <sz val="10"/>
        <color rgb="FF0000FF"/>
        <rFont val="汉仪书宋二KW"/>
        <charset val="134"/>
      </rPr>
      <t>，</t>
    </r>
    <r>
      <rPr>
        <sz val="10"/>
        <color rgb="FF0000FF"/>
        <rFont val="等线"/>
        <charset val="134"/>
      </rPr>
      <t xml:space="preserve"> 严格按照我们提供的位置图</t>
    </r>
    <r>
      <rPr>
        <sz val="10"/>
        <color rgb="FF0000FF"/>
        <rFont val="汉仪书宋二KW"/>
        <charset val="134"/>
      </rPr>
      <t>，</t>
    </r>
    <r>
      <rPr>
        <sz val="10"/>
        <color rgb="FF0000FF"/>
        <rFont val="等线"/>
        <charset val="134"/>
      </rPr>
      <t xml:space="preserve"> 不可擅</t>
    </r>
    <r>
      <rPr>
        <sz val="10"/>
        <color rgb="FF0000FF"/>
        <rFont val="汉仪书宋二KW"/>
        <charset val="134"/>
      </rPr>
      <t>⾃</t>
    </r>
    <r>
      <rPr>
        <sz val="10"/>
        <color rgb="FF0000FF"/>
        <rFont val="等线"/>
        <charset val="134"/>
      </rPr>
      <t>调整位置</t>
    </r>
    <r>
      <rPr>
        <sz val="10"/>
        <color rgb="FF0000FF"/>
        <rFont val="汉仪书宋二KW"/>
        <charset val="134"/>
      </rPr>
      <t>，</t>
    </r>
    <r>
      <rPr>
        <sz val="10"/>
        <color rgb="FF0000FF"/>
        <rFont val="等线"/>
        <charset val="134"/>
      </rPr>
      <t xml:space="preserve"> 贴纸也不可有任何破损或折坏</t>
    </r>
    <r>
      <rPr>
        <sz val="10"/>
        <color rgb="FF0000FF"/>
        <rFont val="汉仪书宋二KW"/>
        <charset val="134"/>
      </rPr>
      <t>，</t>
    </r>
    <r>
      <rPr>
        <sz val="10"/>
        <color rgb="FF0000FF"/>
        <rFont val="等线"/>
        <charset val="134"/>
      </rPr>
      <t xml:space="preserve"> 不可淋湿</t>
    </r>
    <r>
      <rPr>
        <sz val="10"/>
        <color rgb="FF0000FF"/>
        <rFont val="汉仪书宋二KW"/>
        <charset val="134"/>
      </rPr>
      <t>（</t>
    </r>
    <r>
      <rPr>
        <sz val="10"/>
        <color rgb="FF0000FF"/>
        <rFont val="等线"/>
        <charset val="134"/>
      </rPr>
      <t>如缺数请及时告知</t>
    </r>
    <r>
      <rPr>
        <sz val="10"/>
        <color rgb="FF0000FF"/>
        <rFont val="汉仪书宋二KW"/>
        <charset val="134"/>
      </rPr>
      <t>）</t>
    </r>
  </si>
  <si>
    <t>4500207901</t>
  </si>
  <si>
    <t>0989813078</t>
  </si>
  <si>
    <t>4500207901-10</t>
  </si>
  <si>
    <t>0989813172</t>
  </si>
  <si>
    <t>4500207901-20</t>
  </si>
  <si>
    <t>0989813196</t>
  </si>
  <si>
    <t>4500207901-30</t>
  </si>
  <si>
    <r>
      <rPr>
        <sz val="10"/>
        <color rgb="FF0000FF"/>
        <rFont val="等线"/>
        <charset val="134"/>
      </rPr>
      <t>CANDIDE</t>
    </r>
    <r>
      <rPr>
        <sz val="12"/>
        <color rgb="FF0000FF"/>
        <rFont val="宋体"/>
        <charset val="0"/>
        <scheme val="minor"/>
      </rPr>
      <t xml:space="preserve">  IND  E  COM  LTDA</t>
    </r>
  </si>
  <si>
    <t>4500210935</t>
  </si>
  <si>
    <t>BR26317</t>
  </si>
  <si>
    <t>4500210935-10</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</si>
  <si>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MA  1L包装+进口商贴纸+客版说明书+条码贴纸+箱唛</t>
    </r>
    <r>
      <rPr>
        <sz val="10"/>
        <color rgb="FF0000FF"/>
        <rFont val="汉仪书宋二KW"/>
        <charset val="134"/>
      </rPr>
      <t>，</t>
    </r>
    <r>
      <rPr>
        <sz val="10"/>
        <color rgb="FF0000FF"/>
        <rFont val="等线"/>
        <charset val="134"/>
      </rPr>
      <t>进口商贴纸+客版说明书+条码贴纸翻单PO4500206011
Remark: 外箱胶带要用CANDIDE  的格式</t>
    </r>
  </si>
  <si>
    <r>
      <rPr>
        <sz val="10"/>
        <color rgb="FF0000FF"/>
        <rFont val="等线"/>
        <charset val="134"/>
      </rPr>
      <t>Ava</t>
    </r>
    <r>
      <rPr>
        <sz val="12"/>
        <color rgb="FF0000FF"/>
        <rFont val="宋体"/>
        <charset val="134"/>
        <scheme val="minor"/>
      </rPr>
      <t xml:space="preserve">  Liang</t>
    </r>
  </si>
  <si>
    <t>EL CORTE INGLES,S.A</t>
  </si>
  <si>
    <t>95701801</t>
  </si>
  <si>
    <t>4500212800-10</t>
  </si>
  <si>
    <t>8/10 装柜</t>
  </si>
  <si>
    <t>WEEE通用29L说明书</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</si>
  <si>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71172</t>
    </r>
    <r>
      <rPr>
        <sz val="10"/>
        <color rgb="FF0000FF"/>
        <rFont val="汉仪书宋二KW"/>
        <charset val="134"/>
      </rPr>
      <t>：</t>
    </r>
    <r>
      <rPr>
        <sz val="10"/>
        <color rgb="FF0000FF"/>
        <rFont val="等线"/>
        <charset val="134"/>
      </rPr>
      <t>最新MA 3L EAN包装+一张客供RFID贴纸+MA 15L 说明书</t>
    </r>
    <r>
      <rPr>
        <sz val="10"/>
        <color rgb="FF0000FF"/>
        <rFont val="汉仪书宋二KW"/>
        <charset val="134"/>
      </rPr>
      <t>；</t>
    </r>
    <r>
      <rPr>
        <sz val="10"/>
        <color rgb="FF0000FF"/>
        <rFont val="等线"/>
        <charset val="134"/>
      </rPr>
      <t xml:space="preserve">
Remark: 1. 此单出葡萄牙</t>
    </r>
    <r>
      <rPr>
        <sz val="10"/>
        <color rgb="FF0000FF"/>
        <rFont val="汉仪书宋二KW"/>
        <charset val="134"/>
      </rPr>
      <t>，</t>
    </r>
    <r>
      <rPr>
        <sz val="10"/>
        <color rgb="FF0000FF"/>
        <rFont val="等线"/>
        <charset val="134"/>
      </rPr>
      <t>需满足EU测试标准要求</t>
    </r>
    <r>
      <rPr>
        <sz val="10"/>
        <color rgb="FF0000FF"/>
        <rFont val="汉仪书宋二KW"/>
        <charset val="134"/>
      </rPr>
      <t>，</t>
    </r>
    <r>
      <rPr>
        <sz val="10"/>
        <color rgb="FF0000FF"/>
        <rFont val="等线"/>
        <charset val="134"/>
      </rPr>
      <t>另外微塑料需符合EU法规</t>
    </r>
    <r>
      <rPr>
        <sz val="10"/>
        <color rgb="FF0000FF"/>
        <rFont val="汉仪书宋二KW"/>
        <charset val="134"/>
      </rPr>
      <t>；</t>
    </r>
    <r>
      <rPr>
        <sz val="10"/>
        <color rgb="FF0000FF"/>
        <rFont val="等线"/>
        <charset val="134"/>
      </rPr>
      <t xml:space="preserve">
 2. 标准配比</t>
    </r>
    <r>
      <rPr>
        <sz val="10"/>
        <color rgb="FF0000FF"/>
        <rFont val="汉仪书宋二KW"/>
        <charset val="134"/>
      </rPr>
      <t>；</t>
    </r>
    <r>
      <rPr>
        <sz val="10"/>
        <color rgb="FF0000FF"/>
        <rFont val="等线"/>
        <charset val="134"/>
      </rPr>
      <t xml:space="preserve">
3.根据新电池法规</t>
    </r>
    <r>
      <rPr>
        <sz val="10"/>
        <color rgb="FF0000FF"/>
        <rFont val="汉仪书宋二KW"/>
        <charset val="134"/>
      </rPr>
      <t>（</t>
    </r>
    <r>
      <rPr>
        <sz val="10"/>
        <color rgb="FF0000FF"/>
        <rFont val="等线"/>
        <charset val="134"/>
      </rPr>
      <t>EU</t>
    </r>
    <r>
      <rPr>
        <sz val="10"/>
        <color rgb="FF0000FF"/>
        <rFont val="汉仪书宋二KW"/>
        <charset val="134"/>
      </rPr>
      <t>）</t>
    </r>
    <r>
      <rPr>
        <sz val="10"/>
        <color rgb="FF0000FF"/>
        <rFont val="等线"/>
        <charset val="134"/>
      </rPr>
      <t xml:space="preserve">  2023/1542</t>
    </r>
    <r>
      <rPr>
        <sz val="10"/>
        <color rgb="FF0000FF"/>
        <rFont val="汉仪书宋二KW"/>
        <charset val="134"/>
      </rPr>
      <t>，</t>
    </r>
    <r>
      <rPr>
        <sz val="10"/>
        <color rgb="FF0000FF"/>
        <rFont val="等线"/>
        <charset val="134"/>
      </rPr>
      <t>所有走欧洲市场的电子产品</t>
    </r>
    <r>
      <rPr>
        <sz val="10"/>
        <color rgb="FF0000FF"/>
        <rFont val="汉仪书宋二KW"/>
        <charset val="134"/>
      </rPr>
      <t>，</t>
    </r>
    <r>
      <rPr>
        <sz val="10"/>
        <color rgb="FF0000FF"/>
        <rFont val="等线"/>
        <charset val="134"/>
      </rPr>
      <t>都需要增加WEEE通用29L说明书</t>
    </r>
    <r>
      <rPr>
        <sz val="10"/>
        <color rgb="FF0000FF"/>
        <rFont val="汉仪书宋二KW"/>
        <charset val="134"/>
      </rPr>
      <t>（</t>
    </r>
    <r>
      <rPr>
        <sz val="10"/>
        <color rgb="FF0000FF"/>
        <rFont val="等线"/>
        <charset val="134"/>
      </rPr>
      <t>分带电池走货和不带电池走货两种</t>
    </r>
    <r>
      <rPr>
        <sz val="10"/>
        <color rgb="FF0000FF"/>
        <rFont val="汉仪书宋二KW"/>
        <charset val="134"/>
      </rPr>
      <t>），</t>
    </r>
    <r>
      <rPr>
        <sz val="10"/>
        <color rgb="FF0000FF"/>
        <rFont val="等线"/>
        <charset val="134"/>
      </rPr>
      <t>如工厂没有此文件</t>
    </r>
    <r>
      <rPr>
        <sz val="10"/>
        <color rgb="FF0000FF"/>
        <rFont val="汉仪书宋二KW"/>
        <charset val="134"/>
      </rPr>
      <t>，</t>
    </r>
    <r>
      <rPr>
        <sz val="10"/>
        <color rgb="FF0000FF"/>
        <rFont val="等线"/>
        <charset val="134"/>
      </rPr>
      <t>可
以找跟单提供</t>
    </r>
    <r>
      <rPr>
        <sz val="10"/>
        <color rgb="FF0000FF"/>
        <rFont val="汉仪书宋二KW"/>
        <charset val="134"/>
      </rPr>
      <t>；</t>
    </r>
    <r>
      <rPr>
        <sz val="10"/>
        <color rgb="FF0000FF"/>
        <rFont val="等线"/>
        <charset val="134"/>
      </rPr>
      <t xml:space="preserve">
4. 产品及包装需要印CE logo图标和care@zuru.com 邮箱地址
5.外箱+2pcs 条码贴</t>
    </r>
    <r>
      <rPr>
        <sz val="10"/>
        <color rgb="FF0000FF"/>
        <rFont val="汉仪书宋二KW"/>
        <charset val="134"/>
      </rPr>
      <t>（</t>
    </r>
    <r>
      <rPr>
        <sz val="10"/>
        <color rgb="FF0000FF"/>
        <rFont val="等线"/>
        <charset val="134"/>
      </rPr>
      <t>此贴纸客供</t>
    </r>
    <r>
      <rPr>
        <sz val="10"/>
        <color rgb="FF0000FF"/>
        <rFont val="汉仪书宋二KW"/>
        <charset val="134"/>
      </rPr>
      <t>）</t>
    </r>
    <r>
      <rPr>
        <sz val="10"/>
        <color rgb="FF0000FF"/>
        <rFont val="等线"/>
        <charset val="134"/>
      </rPr>
      <t xml:space="preserve">
6.订单出两个港口Madrid和Barcelona</t>
    </r>
    <r>
      <rPr>
        <sz val="10"/>
        <color rgb="FF0000FF"/>
        <rFont val="汉仪书宋二KW"/>
        <charset val="134"/>
      </rPr>
      <t>，</t>
    </r>
    <r>
      <rPr>
        <sz val="10"/>
        <color rgb="FF0000FF"/>
        <rFont val="等线"/>
        <charset val="134"/>
      </rPr>
      <t>出不同港口的外箱不同
6.订单需要签办及第三方验货</t>
    </r>
    <r>
      <rPr>
        <sz val="10"/>
        <color rgb="FF0000FF"/>
        <rFont val="汉仪书宋二KW"/>
        <charset val="134"/>
      </rPr>
      <t>，</t>
    </r>
    <r>
      <rPr>
        <sz val="10"/>
        <color rgb="FF0000FF"/>
        <rFont val="等线"/>
        <charset val="134"/>
      </rPr>
      <t>请按时完工。
7.大货样品3套/item</t>
    </r>
    <r>
      <rPr>
        <sz val="10"/>
        <color rgb="FF0000FF"/>
        <rFont val="汉仪书宋二KW"/>
        <charset val="134"/>
      </rPr>
      <t>，</t>
    </r>
    <r>
      <rPr>
        <sz val="10"/>
        <color rgb="FF0000FF"/>
        <rFont val="等线"/>
        <charset val="134"/>
      </rPr>
      <t>请多备料。</t>
    </r>
  </si>
  <si>
    <t>95701802</t>
  </si>
  <si>
    <t>4500212800-20</t>
  </si>
  <si>
    <t>4500207903</t>
  </si>
  <si>
    <t>0989813257</t>
  </si>
  <si>
    <t>4500207903-30</t>
  </si>
  <si>
    <t>TJX CANADA</t>
  </si>
  <si>
    <t>4500208821</t>
  </si>
  <si>
    <t>45204543</t>
  </si>
  <si>
    <t>4500208821-290</t>
  </si>
  <si>
    <r>
      <rPr>
        <sz val="10"/>
        <color rgb="FF0000FF"/>
        <rFont val="等线"/>
        <charset val="134"/>
      </rPr>
      <t>日期码格式</t>
    </r>
    <r>
      <rPr>
        <sz val="10"/>
        <color rgb="FF0000FF"/>
        <rFont val="汉仪书宋二KW"/>
        <charset val="134"/>
      </rPr>
      <t>：</t>
    </r>
    <r>
      <rPr>
        <sz val="10"/>
        <color rgb="FF0000FF"/>
        <rFont val="等线"/>
        <charset val="134"/>
      </rPr>
      <t xml:space="preserve">  标准格式                  日期</t>
    </r>
    <r>
      <rPr>
        <sz val="10"/>
        <color rgb="FF0000FF"/>
        <rFont val="汉仪书宋二KW"/>
        <charset val="134"/>
      </rPr>
      <t>：</t>
    </r>
    <r>
      <rPr>
        <sz val="10"/>
        <color rgb="FF0000FF"/>
        <rFont val="等线"/>
        <charset val="134"/>
      </rPr>
      <t>按实际生产日期
Packaging Info:
71172 MA 多语EAN+UPC贴纸193052098443</t>
    </r>
    <r>
      <rPr>
        <sz val="10"/>
        <color rgb="FF0000FF"/>
        <rFont val="汉仪书宋二KW"/>
        <charset val="134"/>
      </rPr>
      <t>，</t>
    </r>
    <r>
      <rPr>
        <sz val="10"/>
        <color rgb="FF0000FF"/>
        <rFont val="等线"/>
        <charset val="134"/>
      </rPr>
      <t>UPC贴纸翻单4500199523
Remark: 出加拿大
每行对应不同的客户PO</t>
    </r>
    <r>
      <rPr>
        <sz val="10"/>
        <color rgb="FF0000FF"/>
        <rFont val="汉仪书宋二KW"/>
        <charset val="134"/>
      </rPr>
      <t>，</t>
    </r>
    <r>
      <rPr>
        <sz val="10"/>
        <color rgb="FF0000FF"/>
        <rFont val="等线"/>
        <charset val="134"/>
      </rPr>
      <t>唛头要一一对应</t>
    </r>
    <r>
      <rPr>
        <sz val="10"/>
        <color rgb="FF0000FF"/>
        <rFont val="汉仪书宋二KW"/>
        <charset val="134"/>
      </rPr>
      <t>，</t>
    </r>
    <r>
      <rPr>
        <sz val="10"/>
        <color rgb="FF0000FF"/>
        <rFont val="等线"/>
        <charset val="134"/>
      </rPr>
      <t xml:space="preserve">  放唛头时跟单会提供清单
Zuru验货. 日期跟踪码</t>
    </r>
    <r>
      <rPr>
        <sz val="10"/>
        <color rgb="FF0000FF"/>
        <rFont val="汉仪书宋二KW"/>
        <charset val="134"/>
      </rPr>
      <t>：</t>
    </r>
    <r>
      <rPr>
        <sz val="10"/>
        <color rgb="FF0000FF"/>
        <rFont val="等线"/>
        <charset val="134"/>
      </rPr>
      <t>产品外包装及产品本身都必须有日期跟踪码</t>
    </r>
    <r>
      <rPr>
        <sz val="10"/>
        <color rgb="FF0000FF"/>
        <rFont val="汉仪书宋二KW"/>
        <charset val="134"/>
      </rPr>
      <t>，</t>
    </r>
    <r>
      <rPr>
        <sz val="10"/>
        <color rgb="FF0000FF"/>
        <rFont val="等线"/>
        <charset val="134"/>
      </rPr>
      <t>ZURU标准格式
日期码</t>
    </r>
  </si>
  <si>
    <t>KATRINA XIE</t>
  </si>
  <si>
    <t>4500208841</t>
  </si>
  <si>
    <t>4500208841-230</t>
  </si>
  <si>
    <r>
      <rPr>
        <sz val="10"/>
        <color rgb="FF0000FF"/>
        <rFont val="等线"/>
        <charset val="134"/>
      </rPr>
      <t>日期码格式</t>
    </r>
    <r>
      <rPr>
        <sz val="10"/>
        <color rgb="FF0000FF"/>
        <rFont val="汉仪书宋二KW"/>
        <charset val="134"/>
      </rPr>
      <t>：</t>
    </r>
    <r>
      <rPr>
        <sz val="10"/>
        <color rgb="FF0000FF"/>
        <rFont val="等线"/>
        <charset val="134"/>
      </rPr>
      <t xml:space="preserve">  标准格式                  日期</t>
    </r>
    <r>
      <rPr>
        <sz val="10"/>
        <color rgb="FF0000FF"/>
        <rFont val="汉仪书宋二KW"/>
        <charset val="134"/>
      </rPr>
      <t>：</t>
    </r>
    <r>
      <rPr>
        <sz val="10"/>
        <color rgb="FF0000FF"/>
        <rFont val="等线"/>
        <charset val="134"/>
      </rPr>
      <t>按实际生产日期
Packaging Info: 
71172 MA 多语EAN+UPC贴纸193052098443</t>
    </r>
    <r>
      <rPr>
        <sz val="10"/>
        <color rgb="FF0000FF"/>
        <rFont val="汉仪书宋二KW"/>
        <charset val="134"/>
      </rPr>
      <t>，</t>
    </r>
    <r>
      <rPr>
        <sz val="10"/>
        <color rgb="FF0000FF"/>
        <rFont val="等线"/>
        <charset val="134"/>
      </rPr>
      <t>UPC贴纸翻单4500199523
Remark: 出加拿大
有客供价格贴
每行对应不同的客户PO</t>
    </r>
    <r>
      <rPr>
        <sz val="10"/>
        <color rgb="FF0000FF"/>
        <rFont val="汉仪书宋二KW"/>
        <charset val="134"/>
      </rPr>
      <t>，</t>
    </r>
    <r>
      <rPr>
        <sz val="10"/>
        <color rgb="FF0000FF"/>
        <rFont val="等线"/>
        <charset val="134"/>
      </rPr>
      <t>唛头要一一对应</t>
    </r>
    <r>
      <rPr>
        <sz val="10"/>
        <color rgb="FF0000FF"/>
        <rFont val="汉仪书宋二KW"/>
        <charset val="134"/>
      </rPr>
      <t>，</t>
    </r>
    <r>
      <rPr>
        <sz val="10"/>
        <color rgb="FF0000FF"/>
        <rFont val="等线"/>
        <charset val="134"/>
      </rPr>
      <t xml:space="preserve">  放唛头时跟单会提供清单
Zuru验货. 日期跟踪码</t>
    </r>
    <r>
      <rPr>
        <sz val="10"/>
        <color rgb="FF0000FF"/>
        <rFont val="汉仪书宋二KW"/>
        <charset val="134"/>
      </rPr>
      <t>：</t>
    </r>
    <r>
      <rPr>
        <sz val="10"/>
        <color rgb="FF0000FF"/>
        <rFont val="等线"/>
        <charset val="134"/>
      </rPr>
      <t>产品外包装及产品本身都必须有日期跟踪码</t>
    </r>
    <r>
      <rPr>
        <sz val="10"/>
        <color rgb="FF0000FF"/>
        <rFont val="汉仪书宋二KW"/>
        <charset val="134"/>
      </rPr>
      <t>，</t>
    </r>
    <r>
      <rPr>
        <sz val="10"/>
        <color rgb="FF0000FF"/>
        <rFont val="等线"/>
        <charset val="134"/>
      </rPr>
      <t>ZURU标准格式
日期码</t>
    </r>
  </si>
  <si>
    <t>40121400</t>
  </si>
  <si>
    <t>4500208841-270</t>
  </si>
  <si>
    <t>4500213648</t>
  </si>
  <si>
    <t>10001824284-3891</t>
  </si>
  <si>
    <t>4500213648-10</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</si>
  <si>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产品包装MA 1L彩盒
Remark: "1. 71172-S001-ROBO ALIVE-BRAIN-SERIES 1-BRIAN THE BRAIN-OPEN BOX-4PCS/CTN
 2. 产品包装MA 1L彩盒</t>
    </r>
    <r>
      <rPr>
        <sz val="10"/>
        <color rgb="FF0000FF"/>
        <rFont val="汉仪书宋二KW"/>
        <charset val="134"/>
      </rPr>
      <t>；</t>
    </r>
    <r>
      <rPr>
        <sz val="10"/>
        <color rgb="FF0000FF"/>
        <rFont val="等线"/>
        <charset val="134"/>
      </rPr>
      <t>彩盒上的UPC显示193052098443</t>
    </r>
    <r>
      <rPr>
        <sz val="10"/>
        <color rgb="FF0000FF"/>
        <rFont val="汉仪书宋二KW"/>
        <charset val="134"/>
      </rPr>
      <t>；</t>
    </r>
    <r>
      <rPr>
        <sz val="10"/>
        <color rgb="FF0000FF"/>
        <rFont val="等线"/>
        <charset val="134"/>
      </rPr>
      <t xml:space="preserve">
 3. 每个外箱正唛箱唛信息左上方位置粘贴条码箱贴纸</t>
    </r>
    <r>
      <rPr>
        <sz val="10"/>
        <color rgb="FF0000FF"/>
        <rFont val="汉仪书宋二KW"/>
        <charset val="134"/>
      </rPr>
      <t>，</t>
    </r>
    <r>
      <rPr>
        <sz val="10"/>
        <color rgb="FF0000FF"/>
        <rFont val="等线"/>
        <charset val="134"/>
      </rPr>
      <t>每箱只贴一张; 由ZURU向艾利订购</t>
    </r>
    <r>
      <rPr>
        <sz val="10"/>
        <color rgb="FF0000FF"/>
        <rFont val="汉仪书宋二KW"/>
        <charset val="134"/>
      </rPr>
      <t>，</t>
    </r>
    <r>
      <rPr>
        <sz val="10"/>
        <color rgb="FF0000FF"/>
        <rFont val="等线"/>
        <charset val="134"/>
      </rPr>
      <t xml:space="preserve">  对应的外箱贴DPCI</t>
    </r>
    <r>
      <rPr>
        <sz val="10"/>
        <color rgb="FF0000FF"/>
        <rFont val="汉仪书宋二KW"/>
        <charset val="134"/>
      </rPr>
      <t>：</t>
    </r>
    <r>
      <rPr>
        <sz val="10"/>
        <color rgb="FF0000FF"/>
        <rFont val="等线"/>
        <charset val="134"/>
      </rPr>
      <t xml:space="preserve">087-02-9468, UPC显示10193052098440 </t>
    </r>
    <r>
      <rPr>
        <sz val="10"/>
        <color rgb="FF0000FF"/>
        <rFont val="汉仪书宋二KW"/>
        <charset val="134"/>
      </rPr>
      <t>；</t>
    </r>
    <r>
      <rPr>
        <sz val="10"/>
        <color rgb="FF0000FF"/>
        <rFont val="等线"/>
        <charset val="134"/>
      </rPr>
      <t xml:space="preserve">
 4. 产品和包装上要印刷tracking code信息</t>
    </r>
    <r>
      <rPr>
        <sz val="10"/>
        <color rgb="FF0000FF"/>
        <rFont val="汉仪书宋二KW"/>
        <charset val="134"/>
      </rPr>
      <t>，</t>
    </r>
    <r>
      <rPr>
        <sz val="10"/>
        <color rgb="FF0000FF"/>
        <rFont val="等线"/>
        <charset val="134"/>
      </rPr>
      <t>格式为ZURU常规</t>
    </r>
    <r>
      <rPr>
        <sz val="10"/>
        <color rgb="FF0000FF"/>
        <rFont val="汉仪书宋二KW"/>
        <charset val="134"/>
      </rPr>
      <t>；</t>
    </r>
    <r>
      <rPr>
        <sz val="10"/>
        <color rgb="FF0000FF"/>
        <rFont val="等线"/>
        <charset val="134"/>
      </rPr>
      <t xml:space="preserve">
 5. 出货方式</t>
    </r>
    <r>
      <rPr>
        <sz val="10"/>
        <color rgb="FF0000FF"/>
        <rFont val="汉仪书宋二KW"/>
        <charset val="134"/>
      </rPr>
      <t>：</t>
    </r>
    <r>
      <rPr>
        <sz val="10"/>
        <color rgb="FF0000FF"/>
        <rFont val="等线"/>
        <charset val="134"/>
      </rPr>
      <t>货代自提"</t>
    </r>
  </si>
  <si>
    <t>MPO10829</t>
  </si>
  <si>
    <r>
      <rPr>
        <sz val="10"/>
        <color rgb="FF0000FF"/>
        <rFont val="等线"/>
        <charset val="134"/>
      </rPr>
      <t>4500211306-</t>
    </r>
    <r>
      <rPr>
        <sz val="10"/>
        <color rgb="FF0000FF"/>
        <rFont val="宋体"/>
        <charset val="134"/>
      </rPr>
      <t>00010-20260817</t>
    </r>
  </si>
  <si>
    <t>MPO10829-10</t>
  </si>
  <si>
    <r>
      <rPr>
        <sz val="10"/>
        <color rgb="FF0000FF"/>
        <rFont val="等线"/>
        <charset val="134"/>
      </rPr>
      <t>Product Requirement
Purchase OrderRemark:
① 2% loss; ② inform us to arrange inspection before delivery
包装翻单</t>
    </r>
    <r>
      <rPr>
        <sz val="10"/>
        <color rgb="FF0000FF"/>
        <rFont val="汉仪书宋二KW"/>
        <charset val="134"/>
      </rPr>
      <t>：</t>
    </r>
    <r>
      <rPr>
        <sz val="10"/>
        <color rgb="FF0000FF"/>
        <rFont val="等线"/>
        <charset val="134"/>
      </rPr>
      <t xml:space="preserve"> 4500207892
1.包装</t>
    </r>
    <r>
      <rPr>
        <sz val="10"/>
        <color rgb="FF0000FF"/>
        <rFont val="汉仪书宋二KW"/>
        <charset val="134"/>
      </rPr>
      <t>⽅</t>
    </r>
    <r>
      <rPr>
        <sz val="10"/>
        <color rgb="FF0000FF"/>
        <rFont val="等线"/>
        <charset val="134"/>
      </rPr>
      <t>式</t>
    </r>
    <r>
      <rPr>
        <sz val="10"/>
        <color rgb="FF0000FF"/>
        <rFont val="汉仪书宋二KW"/>
        <charset val="134"/>
      </rPr>
      <t>：</t>
    </r>
    <r>
      <rPr>
        <sz val="10"/>
        <color rgb="FF0000FF"/>
        <rFont val="等线"/>
        <charset val="134"/>
      </rPr>
      <t xml:space="preserve">
71172: MA 1L彩盒包装+MA 15L WARNING B版说明书+FCC说明书+ RFID贴纸
2. UPC</t>
    </r>
    <r>
      <rPr>
        <sz val="10"/>
        <color rgb="FF0000FF"/>
        <rFont val="汉仪书宋二KW"/>
        <charset val="134"/>
      </rPr>
      <t>：</t>
    </r>
    <r>
      <rPr>
        <sz val="10"/>
        <color rgb="FF0000FF"/>
        <rFont val="等线"/>
        <charset val="134"/>
      </rPr>
      <t xml:space="preserve"> 193052098443
3PCS AA BATTERIES(INCLUDED)
3.产品和包装上要有</t>
    </r>
    <r>
      <rPr>
        <sz val="10"/>
        <color rgb="FF0000FF"/>
        <rFont val="汉仪书宋二KW"/>
        <charset val="134"/>
      </rPr>
      <t>⽇</t>
    </r>
    <r>
      <rPr>
        <sz val="10"/>
        <color rgb="FF0000FF"/>
        <rFont val="等线"/>
        <charset val="134"/>
      </rPr>
      <t>期码、 MADE IN CHINA和ZURU字样。
4.此单需要验货</t>
    </r>
    <r>
      <rPr>
        <sz val="10"/>
        <color rgb="FF0000FF"/>
        <rFont val="汉仪书宋二KW"/>
        <charset val="134"/>
      </rPr>
      <t>，</t>
    </r>
    <r>
      <rPr>
        <sz val="10"/>
        <color rgb="FF0000FF"/>
        <rFont val="等线"/>
        <charset val="134"/>
      </rPr>
      <t xml:space="preserve"> 请</t>
    </r>
    <r>
      <rPr>
        <sz val="10"/>
        <color rgb="FF0000FF"/>
        <rFont val="汉仪书宋二KW"/>
        <charset val="134"/>
      </rPr>
      <t>⾃⾏</t>
    </r>
    <r>
      <rPr>
        <sz val="10"/>
        <color rgb="FF0000FF"/>
        <rFont val="等线"/>
        <charset val="134"/>
      </rPr>
      <t>多备包装物料。
5.每PCS要加RFID 贴纸(ZURU提供)</t>
    </r>
    <r>
      <rPr>
        <sz val="10"/>
        <color rgb="FF0000FF"/>
        <rFont val="汉仪书宋二KW"/>
        <charset val="134"/>
      </rPr>
      <t>，</t>
    </r>
    <r>
      <rPr>
        <sz val="10"/>
        <color rgb="FF0000FF"/>
        <rFont val="等线"/>
        <charset val="134"/>
      </rPr>
      <t xml:space="preserve"> 严格按照我们提供的位置图</t>
    </r>
    <r>
      <rPr>
        <sz val="10"/>
        <color rgb="FF0000FF"/>
        <rFont val="汉仪书宋二KW"/>
        <charset val="134"/>
      </rPr>
      <t>，</t>
    </r>
    <r>
      <rPr>
        <sz val="10"/>
        <color rgb="FF0000FF"/>
        <rFont val="等线"/>
        <charset val="134"/>
      </rPr>
      <t xml:space="preserve"> 不可擅</t>
    </r>
    <r>
      <rPr>
        <sz val="10"/>
        <color rgb="FF0000FF"/>
        <rFont val="汉仪书宋二KW"/>
        <charset val="134"/>
      </rPr>
      <t>⾃</t>
    </r>
    <r>
      <rPr>
        <sz val="10"/>
        <color rgb="FF0000FF"/>
        <rFont val="等线"/>
        <charset val="134"/>
      </rPr>
      <t>调整位置</t>
    </r>
    <r>
      <rPr>
        <sz val="10"/>
        <color rgb="FF0000FF"/>
        <rFont val="汉仪书宋二KW"/>
        <charset val="134"/>
      </rPr>
      <t>，</t>
    </r>
    <r>
      <rPr>
        <sz val="10"/>
        <color rgb="FF0000FF"/>
        <rFont val="等线"/>
        <charset val="134"/>
      </rPr>
      <t xml:space="preserve"> 贴纸也不可有任何破损或折坏</t>
    </r>
    <r>
      <rPr>
        <sz val="10"/>
        <color rgb="FF0000FF"/>
        <rFont val="汉仪书宋二KW"/>
        <charset val="134"/>
      </rPr>
      <t>，</t>
    </r>
    <r>
      <rPr>
        <sz val="10"/>
        <color rgb="FF0000FF"/>
        <rFont val="等线"/>
        <charset val="134"/>
      </rPr>
      <t xml:space="preserve"> 不可淋湿</t>
    </r>
    <r>
      <rPr>
        <sz val="10"/>
        <color rgb="FF0000FF"/>
        <rFont val="汉仪书宋二KW"/>
        <charset val="134"/>
      </rPr>
      <t>（</t>
    </r>
    <r>
      <rPr>
        <sz val="10"/>
        <color rgb="FF0000FF"/>
        <rFont val="等线"/>
        <charset val="134"/>
      </rPr>
      <t>如缺数请及时告知</t>
    </r>
    <r>
      <rPr>
        <sz val="10"/>
        <color rgb="FF0000FF"/>
        <rFont val="汉仪书宋二KW"/>
        <charset val="134"/>
      </rPr>
      <t>）</t>
    </r>
    <r>
      <rPr>
        <sz val="10"/>
        <color rgb="FF0000FF"/>
        <rFont val="等线"/>
        <charset val="134"/>
      </rPr>
      <t xml:space="preserve">
仓库 联系</t>
    </r>
    <r>
      <rPr>
        <sz val="10"/>
        <color rgb="FF0000FF"/>
        <rFont val="汉仪书宋二KW"/>
        <charset val="134"/>
      </rPr>
      <t>⼈</t>
    </r>
    <r>
      <rPr>
        <sz val="10"/>
        <color rgb="FF0000FF"/>
        <rFont val="等线"/>
        <charset val="134"/>
      </rPr>
      <t xml:space="preserve"> 电话 地
Remark:</t>
    </r>
  </si>
  <si>
    <r>
      <rPr>
        <sz val="10"/>
        <color rgb="FF0000FF"/>
        <rFont val="等线"/>
        <charset val="134"/>
      </rPr>
      <t>4500211306-</t>
    </r>
    <r>
      <rPr>
        <sz val="10"/>
        <color rgb="FF0000FF"/>
        <rFont val="宋体"/>
        <charset val="134"/>
        <scheme val="minor"/>
      </rPr>
      <t xml:space="preserve">
00010-
20260817</t>
    </r>
  </si>
  <si>
    <t>MPO10829-20</t>
  </si>
  <si>
    <t>0989813160</t>
  </si>
  <si>
    <t>4500207903-10</t>
  </si>
  <si>
    <t>8/12 自检</t>
  </si>
  <si>
    <t>0989813219</t>
  </si>
  <si>
    <t>4500207903-20</t>
  </si>
  <si>
    <t>0989813339</t>
  </si>
  <si>
    <t>4500207903-40</t>
  </si>
  <si>
    <t>TIENDAS CHEDRAUI, S.A. DE C.V.</t>
  </si>
  <si>
    <t>26243</t>
  </si>
  <si>
    <t>4500213351-20</t>
  </si>
  <si>
    <t>8/22装柜</t>
  </si>
  <si>
    <t>客说明书+保证书</t>
  </si>
  <si>
    <r>
      <rPr>
        <sz val="10"/>
        <color rgb="FF0000FF"/>
        <rFont val="等线"/>
        <charset val="134"/>
      </rPr>
      <t>日期码格式</t>
    </r>
    <r>
      <rPr>
        <sz val="10"/>
        <color rgb="FF0000FF"/>
        <rFont val="汉仪书宋二KW"/>
        <charset val="134"/>
      </rPr>
      <t>：</t>
    </r>
    <r>
      <rPr>
        <sz val="10"/>
        <color rgb="FF0000FF"/>
        <rFont val="等线"/>
        <charset val="134"/>
      </rPr>
      <t>ZURU INC(BVI) 标准格式                  日期</t>
    </r>
    <r>
      <rPr>
        <sz val="10"/>
        <color rgb="FF0000FF"/>
        <rFont val="汉仪书宋二KW"/>
        <charset val="134"/>
      </rPr>
      <t>：</t>
    </r>
    <r>
      <rPr>
        <sz val="10"/>
        <color rgb="FF0000FF"/>
        <rFont val="等线"/>
        <charset val="134"/>
      </rPr>
      <t>按实际生产日期
Packaging Info: 1. 进口商贴纸贴的位置不可以挡住西语信息
 2. 请确保包装上的条形码是UPC</t>
    </r>
    <r>
      <rPr>
        <sz val="10"/>
        <color rgb="FF0000FF"/>
        <rFont val="汉仪书宋二KW"/>
        <charset val="134"/>
      </rPr>
      <t>，</t>
    </r>
    <r>
      <rPr>
        <sz val="10"/>
        <color rgb="FF0000FF"/>
        <rFont val="等线"/>
        <charset val="134"/>
      </rPr>
      <t>如果是babyUPC、需要用motherUPC覆盖</t>
    </r>
    <r>
      <rPr>
        <sz val="10"/>
        <color rgb="FF0000FF"/>
        <rFont val="汉仪书宋二KW"/>
        <charset val="134"/>
      </rPr>
      <t>，</t>
    </r>
    <r>
      <rPr>
        <sz val="10"/>
        <color rgb="FF0000FF"/>
        <rFont val="等线"/>
        <charset val="134"/>
      </rPr>
      <t>如有不一致</t>
    </r>
    <r>
      <rPr>
        <sz val="10"/>
        <color rgb="FF0000FF"/>
        <rFont val="汉仪书宋二KW"/>
        <charset val="134"/>
      </rPr>
      <t>，</t>
    </r>
    <r>
      <rPr>
        <sz val="10"/>
        <color rgb="FF0000FF"/>
        <rFont val="等线"/>
        <charset val="134"/>
      </rPr>
      <t>请及时提出。谢谢
 3.带电产品会有两个贴纸</t>
    </r>
    <r>
      <rPr>
        <sz val="10"/>
        <color rgb="FF0000FF"/>
        <rFont val="汉仪书宋二KW"/>
        <charset val="134"/>
      </rPr>
      <t>，</t>
    </r>
    <r>
      <rPr>
        <sz val="10"/>
        <color rgb="FF0000FF"/>
        <rFont val="等线"/>
        <charset val="134"/>
      </rPr>
      <t>分别贴到产品电池门+包装</t>
    </r>
    <r>
      <rPr>
        <sz val="10"/>
        <color rgb="FF0000FF"/>
        <rFont val="汉仪书宋二KW"/>
        <charset val="134"/>
      </rPr>
      <t>，</t>
    </r>
    <r>
      <rPr>
        <sz val="10"/>
        <color rgb="FF0000FF"/>
        <rFont val="等线"/>
        <charset val="134"/>
      </rPr>
      <t>外加客版说明书+一张保证书
71172 MA 多语EAN 包装+UPC贴纸+MA 多语说明书+ 电池门进口商贴纸+包装进口商贴纸+客版说明书+一张保证书+箱唛
Remark: 71172 3PCS AA BATTERIES(INCLUDED)</t>
    </r>
  </si>
  <si>
    <t>4500214490</t>
  </si>
  <si>
    <t>10001824283-3890</t>
  </si>
  <si>
    <t>4500214490-10</t>
  </si>
  <si>
    <t>日期码格式：ZURU INC(BVI) 标准格式                  日期：按实际生产日期
Packaging Info: 产品包装MA 1L彩盒
Remark: "1. 71172-S001-ROBO ALIVE-BRAIN-SERIES 1-BRIAN THE BRAIN-OPEN BOX-4PCS/CTN
 2. 产品包装MA 1L彩盒；彩盒上的UPC显示193052098443；
 3. 每个外箱正唛箱唛信息左上方位置粘贴条码箱贴纸，每箱只贴一张; 由ZURU向艾利订购，  对应的外箱贴DPCI：087-02-9468, UPC显示10193052098440 ；
 4. 产品和包装上要印刷tracking code信息，格式为ZURU常规；
 5. 出货方式：货代自提"</t>
  </si>
  <si>
    <t>MPO10830</t>
  </si>
  <si>
    <r>
      <rPr>
        <sz val="10"/>
        <color rgb="FF0000FF"/>
        <rFont val="等线"/>
        <charset val="134"/>
      </rPr>
      <t>4500211308-</t>
    </r>
    <r>
      <rPr>
        <sz val="10"/>
        <color rgb="FF0000FF"/>
        <rFont val="宋体"/>
        <charset val="134"/>
        <scheme val="minor"/>
      </rPr>
      <t xml:space="preserve">
00010-
20260821</t>
    </r>
  </si>
  <si>
    <t>MPO10830-10</t>
  </si>
  <si>
    <r>
      <rPr>
        <sz val="10"/>
        <color rgb="FF0000FF"/>
        <rFont val="等线"/>
        <charset val="134"/>
      </rPr>
      <t>Product Requirement
Remark:
① 2% loss; ② inform us to arrange inspection before delivery
包装翻单</t>
    </r>
    <r>
      <rPr>
        <sz val="10"/>
        <color rgb="FF0000FF"/>
        <rFont val="汉仪书宋二KW"/>
        <charset val="134"/>
      </rPr>
      <t>：</t>
    </r>
    <r>
      <rPr>
        <sz val="10"/>
        <color rgb="FF0000FF"/>
        <rFont val="等线"/>
        <charset val="134"/>
      </rPr>
      <t xml:space="preserve"> 4500207892
1.包装</t>
    </r>
    <r>
      <rPr>
        <sz val="10"/>
        <color rgb="FF0000FF"/>
        <rFont val="汉仪书宋二KW"/>
        <charset val="134"/>
      </rPr>
      <t>⽅</t>
    </r>
    <r>
      <rPr>
        <sz val="10"/>
        <color rgb="FF0000FF"/>
        <rFont val="等线"/>
        <charset val="134"/>
      </rPr>
      <t>式</t>
    </r>
    <r>
      <rPr>
        <sz val="10"/>
        <color rgb="FF0000FF"/>
        <rFont val="汉仪书宋二KW"/>
        <charset val="134"/>
      </rPr>
      <t>：</t>
    </r>
    <r>
      <rPr>
        <sz val="10"/>
        <color rgb="FF0000FF"/>
        <rFont val="等线"/>
        <charset val="134"/>
      </rPr>
      <t xml:space="preserve">
71172: MA 1L彩盒包装+MA 15L WARNING B版说明书+FCC说明书+ RFID贴纸
2. UPC</t>
    </r>
    <r>
      <rPr>
        <sz val="10"/>
        <color rgb="FF0000FF"/>
        <rFont val="汉仪书宋二KW"/>
        <charset val="134"/>
      </rPr>
      <t>：</t>
    </r>
    <r>
      <rPr>
        <sz val="10"/>
        <color rgb="FF0000FF"/>
        <rFont val="等线"/>
        <charset val="134"/>
      </rPr>
      <t xml:space="preserve"> 193052098443
3PCS AA BATTERIES(INCLUDED)
3.产品和包装上要有</t>
    </r>
    <r>
      <rPr>
        <sz val="10"/>
        <color rgb="FF0000FF"/>
        <rFont val="汉仪书宋二KW"/>
        <charset val="134"/>
      </rPr>
      <t>⽇</t>
    </r>
    <r>
      <rPr>
        <sz val="10"/>
        <color rgb="FF0000FF"/>
        <rFont val="等线"/>
        <charset val="134"/>
      </rPr>
      <t>期码、 MADE IN CHINA和ZURU字样。
4.此单需要验货</t>
    </r>
    <r>
      <rPr>
        <sz val="10"/>
        <color rgb="FF0000FF"/>
        <rFont val="汉仪书宋二KW"/>
        <charset val="134"/>
      </rPr>
      <t>，</t>
    </r>
    <r>
      <rPr>
        <sz val="10"/>
        <color rgb="FF0000FF"/>
        <rFont val="等线"/>
        <charset val="134"/>
      </rPr>
      <t xml:space="preserve"> 请</t>
    </r>
    <r>
      <rPr>
        <sz val="10"/>
        <color rgb="FF0000FF"/>
        <rFont val="汉仪书宋二KW"/>
        <charset val="134"/>
      </rPr>
      <t>⾃⾏</t>
    </r>
    <r>
      <rPr>
        <sz val="10"/>
        <color rgb="FF0000FF"/>
        <rFont val="等线"/>
        <charset val="134"/>
      </rPr>
      <t>多备包装物料。</t>
    </r>
  </si>
  <si>
    <t>约旦</t>
  </si>
  <si>
    <t>4500211330-130</t>
  </si>
  <si>
    <t>暂停包装</t>
  </si>
  <si>
    <t>黑白书纸（翻单4500202382）</t>
  </si>
  <si>
    <t>日期码格式：ZURU INC(BVI) 标准格式 日期：按实际生产日期
Packaging Info: 出Jordan, 包装不能有希伯来语
71172：MA PKG+1张约旦的通用进口商贴纸（新稿），  含MA说明书，需加一张黑白印刷的说明纸一起出货，说明书AW翻单4500202382。
客人箱唛排版，印4面，条码内容193052098443 .
客人箱唛排版，印4面，条码内容193052098443.；
Remark:</t>
  </si>
  <si>
    <t>MPO10830-20</t>
  </si>
  <si>
    <t>MPO10830-30</t>
  </si>
  <si>
    <t>伊拉克</t>
  </si>
  <si>
    <t>4500211382-120</t>
  </si>
  <si>
    <t>日期码格式：ZURU INC(BVI) 标准格式 日期：按实际生产日期
Packaging Info: 出Iraq, 包装不能有希伯来语
71172：MA PKG+1张伊拉克通用进口商贴纸（新稿）；
含MA说明书，需另外加一张阿拉伯语的黑白印刷sheet一起出货（说明纸AW翻单4500202382）。
Remark:</t>
  </si>
  <si>
    <t>JUGUETTOS CENTRAL DE COMPRAS, S.COO</t>
  </si>
  <si>
    <t>4500211344</t>
  </si>
  <si>
    <t>PC26103</t>
  </si>
  <si>
    <t>4500211344-100</t>
  </si>
  <si>
    <t>大货办2套</t>
  </si>
  <si>
    <t>8/24 SI</t>
  </si>
  <si>
    <t>WEEE29L通用黑白说明书</t>
  </si>
  <si>
    <r>
      <rPr>
        <sz val="10"/>
        <color rgb="FF000000"/>
        <rFont val="等线"/>
        <charset val="134"/>
      </rPr>
      <t>日期码格式：ZURU INC(BVI) 标准格式                  日期：按实际生产日期
Packaging Info: 
10.71172:最新MA 3L EAN版本包装+最新MA 15L说明书+WEEE带电池走货欧洲29L通用黑白说明书；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t>
    </r>
    <r>
      <rPr>
        <sz val="10"/>
        <color rgb="FF000000"/>
        <rFont val="等线"/>
        <charset val="134"/>
      </rPr>
      <t xml:space="preserve">care@zuru.com </t>
    </r>
    <r>
      <rPr>
        <sz val="10"/>
        <color rgb="FF000000"/>
        <rFont val="等线"/>
        <charset val="134"/>
      </rPr>
      <t>邮箱地址，  另外，包装贴纸上面的警告语不可以覆盖西班牙警告语。QC同事请核
查，如有问题需和跟单确认。
5.纯毛绒玩具需要西班牙语言的洗涤说明；
6.需ZURU OQC验货后给到客户验货图片审批通过才可以放货，请工厂按时完货并及时验货；</t>
    </r>
  </si>
  <si>
    <t>4500211374</t>
  </si>
  <si>
    <t>4400564489</t>
  </si>
  <si>
    <t>4500211374-20</t>
  </si>
  <si>
    <t>8/23装柜</t>
  </si>
  <si>
    <t>日期码格式：ZURU INC(BVI) 标准格式                  日期：按实际生产日期
Packaging Info: 
71172: MA3L-23Lwarning彩盒(含法国sorting label)+D版WEEE声明(带电池)走货欧洲通用29L说明书
EAN#4894680057272
3PCS AA BATTERIES(INCLUDED)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</si>
  <si>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4400564490</t>
  </si>
  <si>
    <t>4500211374-40</t>
  </si>
  <si>
    <t>日期码格式：ZURU INC(BVI) 标准格式                  日期：按实际生产日期
Packaging Info:
71172: MA3L-23Lwarning彩盒(含法国sorting label)+D版WEEE声明(带电池)走货欧洲通用29L说明书
EAN#4894680057272
3PCS AA BATTERIES(INCLUDED)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</si>
  <si>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4500207904</t>
  </si>
  <si>
    <t>0989812974</t>
  </si>
  <si>
    <t>4500207904-10</t>
  </si>
  <si>
    <t>日期码格式：DGYYYYMMDD(日期避开周末和法定节假日)                  日期：按实际生产日期
Packaging Info: 40REP包装/箱唛翻单：4500207892
1.包装方式：
71172: MA 1L彩盒包装+MA 15L WARNING B版说明书+ RFID贴纸
Remark: 2. 外箱四面印刷紫色RFID箱唛
主唛左前下角印刷艾利贴纸替代标箱唛(ITF-14格式)，条码只印刷一面
主唛右下角加印 MADE IN CHINA以及ZURU LOGO
3. 71172 UPC：193052098443
4.此批单#71172散箱出货；
1PCS/CTN：3PCS AA BATTERIES(INCLUDED)
5.此单需要验货，请自行多备包装物料。
6.产品和包装上要有日期码、MADE IN CHINA和ZURU字样。
7.每PCS要加RFID 贴纸(ZURU提供)，严格按照我们提供的位置图，不可擅自调整位置，贴纸也不可有任何破损或折坏，不可淋湿（如缺数请及时告知）</t>
  </si>
  <si>
    <t>0989813112</t>
  </si>
  <si>
    <t>4500207904-20</t>
  </si>
  <si>
    <t>0989813314</t>
  </si>
  <si>
    <t>4500207904-30</t>
  </si>
  <si>
    <t>4500207905</t>
  </si>
  <si>
    <t>0989813178</t>
  </si>
  <si>
    <t>4500207905-20</t>
  </si>
  <si>
    <t>10001994520-0581</t>
  </si>
  <si>
    <t>4500216835-10</t>
  </si>
  <si>
    <t>日期码格式：ZURU INC(BVI) 标准格式                  日期：按实际生产日期
Packaging Info: 产品包装MA 1L彩盒
Remark: 1. 71172-S001-ROBO ALIVE-BRAIN-SERIES 1-BRIAN THE BRAIN-OPEN BOX-4PCS/CTN
 2. 产品包装MA 1L彩盒；彩盒上的UPC显示193052098443；
 3. 每个外箱正唛箱唛信息左上方位置粘贴条码箱贴纸，每箱只贴一张; 由ZURU向艾利订购，  对应的外箱贴DPCI：087-02-9468, UPC显示10193052098440 ；
 4. 产品和包装上要印刷tracking code信息，格式为ZURU常规；
 5. 出货方式：货代自提</t>
  </si>
  <si>
    <t>ARCHIBRAND, S.A. DE C.V.</t>
  </si>
  <si>
    <t>4500210225</t>
  </si>
  <si>
    <t>4500210225-90</t>
  </si>
  <si>
    <t>保证书</t>
  </si>
  <si>
    <r>
      <rPr>
        <sz val="10"/>
        <color rgb="FF000000"/>
        <rFont val="等线"/>
        <charset val="134"/>
      </rPr>
      <t>日期码格式：ZURU INC(BVI) 标准格式 日期：按实际生产日期
Packaging Info: 
71172：MA 3L EAN包装+UPC 贴纸+进口商贴纸+箱唛+</t>
    </r>
    <r>
      <rPr>
        <sz val="10"/>
        <color rgb="FFFF0000"/>
        <rFont val="等线"/>
        <charset val="134"/>
      </rPr>
      <t>客版说明书（说明书翻单PO4500206011）+保证书</t>
    </r>
    <r>
      <rPr>
        <sz val="10"/>
        <color rgb="FF000000"/>
        <rFont val="等线"/>
        <charset val="134"/>
      </rPr>
      <t xml:space="preserve">
Remark:</t>
    </r>
  </si>
  <si>
    <t>4500210228</t>
  </si>
  <si>
    <t>4500210228-80</t>
  </si>
  <si>
    <t>贴纸和保证书翻单PO4500210225</t>
  </si>
  <si>
    <r>
      <rPr>
        <sz val="10"/>
        <color rgb="FF000000"/>
        <rFont val="等线"/>
        <charset val="134"/>
      </rPr>
      <t>日期码格式：ZURU INC(BVI) 标准格式 日期：按实际生产日期 Tracking Code:
Packaging Info: 
 71172：MA 3L EAN包装+UPC 贴纸+进口商贴纸+箱唛+保证书+客版说明书（说明书翻单PO4500206011），</t>
    </r>
    <r>
      <rPr>
        <sz val="10"/>
        <color rgb="FFFF0000"/>
        <rFont val="等线"/>
        <charset val="134"/>
      </rPr>
      <t>贴纸和保证书翻单PO4500210225</t>
    </r>
    <r>
      <rPr>
        <sz val="10"/>
        <color rgb="FF000000"/>
        <rFont val="等线"/>
        <charset val="134"/>
      </rPr>
      <t xml:space="preserve">
Remark:</t>
    </r>
  </si>
  <si>
    <t>4500210229</t>
  </si>
  <si>
    <t>4500210229-240</t>
  </si>
  <si>
    <r>
      <rPr>
        <sz val="10"/>
        <color rgb="FF000000"/>
        <rFont val="等线"/>
        <charset val="134"/>
      </rPr>
      <t>日期码格式：ZURU INC(BVI) 标准格式 日期：按实际生产日期 Tracking Code:
Packaging Info: 
 71172：MA 3L EAN包装+UPC 贴纸+进口商贴纸+箱唛+客版说明书（说明书翻单PO4500206011）+保证书</t>
    </r>
    <r>
      <rPr>
        <sz val="10"/>
        <color rgb="FFFF0000"/>
        <rFont val="等线"/>
        <charset val="134"/>
      </rPr>
      <t>，贴纸和保证书翻单PO4500210225</t>
    </r>
    <r>
      <rPr>
        <sz val="10"/>
        <color rgb="FF000000"/>
        <rFont val="等线"/>
        <charset val="134"/>
      </rPr>
      <t xml:space="preserve">
Remark:</t>
    </r>
  </si>
  <si>
    <r>
      <rPr>
        <sz val="10"/>
        <color rgb="FF000000"/>
        <rFont val="等线"/>
        <charset val="134"/>
      </rPr>
      <t>TARGET</t>
    </r>
    <r>
      <rPr>
        <sz val="12"/>
        <color rgb="FF000000"/>
        <rFont val="宋体"/>
        <charset val="134"/>
        <scheme val="minor"/>
      </rPr>
      <t xml:space="preserve">  </t>
    </r>
    <r>
      <rPr>
        <sz val="12"/>
        <color rgb="FF000000"/>
        <rFont val="宋体"/>
        <charset val="134"/>
        <scheme val="minor"/>
      </rPr>
      <t>US</t>
    </r>
  </si>
  <si>
    <t>4500215493</t>
  </si>
  <si>
    <t>10001824495-3891</t>
  </si>
  <si>
    <t>4500215493-10</t>
  </si>
  <si>
    <t>日期码格式：ZURU  INC(BVI)  标准格式                                    日期：按实际生产日期
Packaging Info: 产品包装MA  1L彩盒
Remark: 1.  71172-S001-ROBO  ALIVE-BRAIN-SERIES  1-BRIAN  THE  BRAIN-OPEN  BOX-4PCS/CTN
   2.  产品包装MA  1L彩盒；彩盒上的UPC显示193052098443；
   3.  每个外箱正唛箱唛信息左上方位置粘贴条码箱贴纸，每箱只贴一张;  由ZURU向艾利订购，     对应的外箱贴DPCI：087-02-9468,  UPC显示10193052098440  ；
   4.  产品和包装上要印刷tracking  code信息，格式为ZURU常规；
   5.  出货方式：货代自提</t>
  </si>
  <si>
    <r>
      <rPr>
        <sz val="10"/>
        <color rgb="FF000000"/>
        <rFont val="等线"/>
        <charset val="134"/>
      </rPr>
      <t>Holly</t>
    </r>
    <r>
      <rPr>
        <sz val="10"/>
        <color rgb="FF000000"/>
        <rFont val="宋体"/>
        <charset val="134"/>
        <scheme val="minor"/>
      </rPr>
      <t xml:space="preserve">  </t>
    </r>
    <r>
      <rPr>
        <sz val="10"/>
        <color rgb="FF000000"/>
        <rFont val="宋体"/>
        <charset val="134"/>
        <scheme val="minor"/>
      </rPr>
      <t>Zheng</t>
    </r>
  </si>
  <si>
    <t>COMERCIAL  JOMAN  S.L.</t>
  </si>
  <si>
    <t>4500216056-20</t>
  </si>
  <si>
    <t>贴纸翻单4500209512</t>
  </si>
  <si>
    <t>日期码格式：ZURU  INC(BVI)  标准格式                                    日期：按实际生产日期
Packaging Info:
71172:【最新MA  3L  EAN版本包装+一张进口商内容贴纸】+最新MA  15L说明书+WEEE带电池走货欧洲29L通用黑白说明书；（贴纸翻单4500209512）；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t>
  </si>
  <si>
    <r>
      <rPr>
        <sz val="10"/>
        <color rgb="FF000000"/>
        <rFont val="等线"/>
        <charset val="134"/>
      </rPr>
      <t>Mary</t>
    </r>
    <r>
      <rPr>
        <sz val="10"/>
        <color rgb="FF000000"/>
        <rFont val="宋体"/>
        <charset val="134"/>
        <scheme val="minor"/>
      </rPr>
      <t xml:space="preserve">  Zhong</t>
    </r>
  </si>
  <si>
    <t>MPO10831</t>
  </si>
  <si>
    <r>
      <rPr>
        <sz val="10"/>
        <color rgb="FF000000"/>
        <rFont val="等线"/>
        <charset val="134"/>
      </rPr>
      <t>4500211309-</t>
    </r>
    <r>
      <rPr>
        <sz val="10"/>
        <color rgb="FF000000"/>
        <rFont val="宋体"/>
        <charset val="134"/>
        <scheme val="minor"/>
      </rPr>
      <t xml:space="preserve">
00010-
20260831</t>
    </r>
  </si>
  <si>
    <t>MPO10831-10</t>
  </si>
  <si>
    <r>
      <rPr>
        <sz val="10"/>
        <color rgb="FF000000"/>
        <rFont val="等线"/>
        <charset val="134"/>
      </rPr>
      <t>Product Requirement</t>
    </r>
    <r>
      <rPr>
        <sz val="10"/>
        <color rgb="FF000000"/>
        <rFont val="等线"/>
        <charset val="134"/>
      </rPr>
      <t xml:space="preserve">
</t>
    </r>
    <r>
      <rPr>
        <sz val="10"/>
        <color rgb="FF000000"/>
        <rFont val="等线"/>
        <charset val="134"/>
      </rPr>
      <t>Remark:</t>
    </r>
    <r>
      <rPr>
        <sz val="10"/>
        <color rgb="FF000000"/>
        <rFont val="等线"/>
        <charset val="134"/>
      </rPr>
      <t xml:space="preserve">
</t>
    </r>
    <r>
      <rPr>
        <sz val="10"/>
        <color rgb="FF000000"/>
        <rFont val="等线"/>
        <charset val="134"/>
      </rPr>
      <t>① 2% loss; ② inform us to arrange inspection before delivery</t>
    </r>
    <r>
      <rPr>
        <sz val="10"/>
        <color rgb="FF000000"/>
        <rFont val="等线"/>
        <charset val="134"/>
      </rPr>
      <t xml:space="preserve">
</t>
    </r>
    <r>
      <rPr>
        <sz val="10"/>
        <color rgb="FF000000"/>
        <rFont val="等线"/>
        <charset val="134"/>
      </rPr>
      <t>包装翻单： 4500207892</t>
    </r>
    <r>
      <rPr>
        <sz val="10"/>
        <color rgb="FF000000"/>
        <rFont val="等线"/>
        <charset val="134"/>
      </rPr>
      <t xml:space="preserve">
</t>
    </r>
    <r>
      <rPr>
        <sz val="10"/>
        <color rgb="FF000000"/>
        <rFont val="等线"/>
        <charset val="134"/>
      </rPr>
      <t>1.包装⽅式：</t>
    </r>
    <r>
      <rPr>
        <sz val="10"/>
        <color rgb="FF000000"/>
        <rFont val="等线"/>
        <charset val="134"/>
      </rPr>
      <t xml:space="preserve">
</t>
    </r>
    <r>
      <rPr>
        <sz val="10"/>
        <color rgb="FF000000"/>
        <rFont val="等线"/>
        <charset val="134"/>
      </rPr>
      <t>ZURU INC</t>
    </r>
    <r>
      <rPr>
        <sz val="10"/>
        <color rgb="FF000000"/>
        <rFont val="等线"/>
        <charset val="134"/>
      </rPr>
      <t xml:space="preserve">
</t>
    </r>
    <r>
      <rPr>
        <sz val="10"/>
        <color rgb="FF000000"/>
        <rFont val="等线"/>
        <charset val="134"/>
      </rPr>
      <t>UNIT 1201-01 12/F ENERGY PLAZA 92 GRANVILLE RD TST EAST</t>
    </r>
    <r>
      <rPr>
        <sz val="10"/>
        <color rgb="FF000000"/>
        <rFont val="等线"/>
        <charset val="134"/>
      </rPr>
      <t xml:space="preserve">
</t>
    </r>
    <r>
      <rPr>
        <sz val="10"/>
        <color rgb="FF000000"/>
        <rFont val="等线"/>
        <charset val="134"/>
      </rPr>
      <t>Tel:+86 755 6688 1988</t>
    </r>
    <r>
      <rPr>
        <sz val="10"/>
        <color rgb="FF000000"/>
        <rFont val="等线"/>
        <charset val="134"/>
      </rPr>
      <t xml:space="preserve">
</t>
    </r>
    <r>
      <rPr>
        <sz val="10"/>
        <color rgb="FF000000"/>
        <rFont val="等线"/>
        <charset val="134"/>
      </rPr>
      <t>Purchase Order71172: MA 1L彩盒包装+MA 15L WARNING B版说明书+FCC说明书+ RFID贴纸</t>
    </r>
    <r>
      <rPr>
        <sz val="10"/>
        <color rgb="FF000000"/>
        <rFont val="等线"/>
        <charset val="134"/>
      </rPr>
      <t xml:space="preserve">
</t>
    </r>
    <r>
      <rPr>
        <sz val="10"/>
        <color rgb="FF000000"/>
        <rFont val="等线"/>
        <charset val="134"/>
      </rPr>
      <t>2. UPC： 193052098443</t>
    </r>
    <r>
      <rPr>
        <sz val="10"/>
        <color rgb="FF000000"/>
        <rFont val="等线"/>
        <charset val="134"/>
      </rPr>
      <t xml:space="preserve">
</t>
    </r>
    <r>
      <rPr>
        <sz val="10"/>
        <color rgb="FF000000"/>
        <rFont val="等线"/>
        <charset val="134"/>
      </rPr>
      <t>3PCS AA BATTERIES(INCLUDED)</t>
    </r>
    <r>
      <rPr>
        <sz val="10"/>
        <color rgb="FF000000"/>
        <rFont val="等线"/>
        <charset val="134"/>
      </rPr>
      <t xml:space="preserve">
</t>
    </r>
    <r>
      <rPr>
        <sz val="10"/>
        <color rgb="FF000000"/>
        <rFont val="等线"/>
        <charset val="134"/>
      </rPr>
      <t>3.产品和包装上要有⽇期码、 MADE IN CHINA和ZURU字样。</t>
    </r>
    <r>
      <rPr>
        <sz val="10"/>
        <color rgb="FF000000"/>
        <rFont val="等线"/>
        <charset val="134"/>
      </rPr>
      <t xml:space="preserve">
</t>
    </r>
    <r>
      <rPr>
        <sz val="10"/>
        <color rgb="FF000000"/>
        <rFont val="等线"/>
        <charset val="134"/>
      </rPr>
      <t>4.此单需要验货， 请⾃⾏多备包装物料。</t>
    </r>
    <r>
      <rPr>
        <sz val="10"/>
        <color rgb="FF000000"/>
        <rFont val="等线"/>
        <charset val="134"/>
      </rPr>
      <t xml:space="preserve">
</t>
    </r>
    <r>
      <rPr>
        <sz val="10"/>
        <color rgb="FF000000"/>
        <rFont val="等线"/>
        <charset val="134"/>
      </rPr>
      <t>5.每PCS要加RFID 贴纸(ZURU提供)， 严格按照我们提供的位置图， 不可擅⾃调整位置， 贴纸也不可有任何破损或折坏， 不可淋湿（如缺数请及时告知）</t>
    </r>
  </si>
  <si>
    <t>MPO10831-20</t>
  </si>
  <si>
    <t>Product Requirement
Remark:
Purchase OrderRemark:
① 2% loss; ② inform us to arrange inspection before delivery
包装翻单： 4500207892
1.包装⽅式：
71172: MA 1L彩盒包装+MA 15L WARNING B版说明书+FCC说明书+ RFID贴纸
2. UPC： 193052098443
3PCS AA BATTERIES(INCLUDED)
3.产品和包装上要有⽇期码、 MADE IN CHINA和ZURU字样。
4.此单需要验货， 请⾃⾏多备包装物料。
5.每PCS要加RFID 贴纸(ZURU提供)， 严格按照我们提供的位置图， 不可擅⾃调整位置， 贴纸也不可有任何破损或折坏， 不可淋湿（如缺数请及时告知）
仓库</t>
  </si>
  <si>
    <t>KMART  AUSTRALIA  LTD</t>
  </si>
  <si>
    <t>21796476</t>
  </si>
  <si>
    <t>4500210181-60</t>
  </si>
  <si>
    <t>8/3提供新资料</t>
  </si>
  <si>
    <t>客供QR6/18,6/22</t>
  </si>
  <si>
    <t>日期码格式：ZURU  INC(BVI)  标准格式                                    日期：按实际生产日期
Packaging Info: 
71172：MA英语UPC版本包装（收缩膜和说明书,  MA首选1L，如无1L可用多语且含英语的配套多语包装)  +  一张防盗贴纸（贴纸资料及位置图翻单PO#4500193539）+箱
唛  +  外箱SSCC  Label
3PCS  AA  BATTERIES(INCLUDED)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PO#4500210184一起合并计算</t>
  </si>
  <si>
    <r>
      <rPr>
        <sz val="10"/>
        <color rgb="FF000000"/>
        <rFont val="等线"/>
        <charset val="134"/>
      </rPr>
      <t>Louise</t>
    </r>
    <r>
      <rPr>
        <sz val="10"/>
        <color rgb="FF000000"/>
        <rFont val="宋体"/>
        <charset val="134"/>
        <scheme val="minor"/>
      </rPr>
      <t xml:space="preserve">  Lu</t>
    </r>
  </si>
  <si>
    <t>4500214656-10</t>
  </si>
  <si>
    <t>7/2收到QR,8/5收到</t>
  </si>
  <si>
    <t>日期码格式：ZURU INC(BVI) 标准格式 日期：按实际生产日期
最新MA UPC包装+进口商贴纸+QR 贴纸（一物一码）
71172-S001：客人条码 4630358 893113
1.包装：MA UPC包装+进口商贴纸+QR 贴纸
2. 条码以订单显示为准，请安排生产前先核对，有问题请提出。
3. QR 贴纸要求：  需包含产品型号（item）+ 序列号，二维码（QR code）正方形边长 1.5cm。
材质与粘性：采用与进口商贴纸一致的材质，强粘性、不易脱落/掉色。
印刷与尺寸：印刷质量不低于 1.5c，整体贴纸尺寸为 3×3cm（正方形）。尺寸要根据产品包装的实际大小调整，保持整体美观，二维码清晰可扫。
4. 二维码贴纸位置要远离包装上的条码及其他二维码，  贴在背面。
5. QR code贴纸（要求一物一码，每PCS的二维码不一样）;
6. QR code 格式：DATA MATRIX GS1；
7. 若多个柜子，BY TRAIN 要求带电池/不带电池不同柜；装柜时同一款必须放在同一个柜子里。
8. 整张单走EXW。</t>
  </si>
  <si>
    <t>Anna  Lian</t>
  </si>
  <si>
    <t>0989813171</t>
  </si>
  <si>
    <t>4500207905-10</t>
  </si>
  <si>
    <t>0989813275</t>
  </si>
  <si>
    <t>4500207905-30</t>
  </si>
  <si>
    <t>0989813315</t>
  </si>
  <si>
    <t>4500207905-40</t>
  </si>
  <si>
    <t>47974658</t>
  </si>
  <si>
    <t>4500216890-10</t>
  </si>
  <si>
    <t>贴纸翻单4500201310</t>
  </si>
  <si>
    <t>日期码格式：ZURU INC(BVI) 标准格式                  日期：按实际生产日期
Packaging Info: 71172:  英文MA包装 (UPC版本，首选1L，无1L可用多L含英语)+1张进口商贴纸，翻单PO#4500201310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如产品含纽扣电池出货, 包装前面和说明书上需加纽扣电池警语贴纸；
 4. 出无闪粉版本，需符合欧洲微塑料法规；
 5. 确保所出货的产品及包装不含PFAS（全氟/多氟烷基化合物）及其盐类和其相关物质，特别留意 PFOA、PFOS、PFHxS 不得检出。
6. 产品和包装上的日期码一致，请按要求在包装上打日期码（使用ZURU标准日期码，  若有进口商贴纸，进口商贴纸不能覆盖日期码）</t>
  </si>
  <si>
    <t>47974659</t>
  </si>
  <si>
    <t>4500216890-20</t>
  </si>
  <si>
    <t>47974660</t>
  </si>
  <si>
    <t>4500216890-30</t>
  </si>
  <si>
    <t>47974661</t>
  </si>
  <si>
    <t>4500216890-40</t>
  </si>
  <si>
    <t>MPO10832</t>
  </si>
  <si>
    <r>
      <rPr>
        <sz val="10"/>
        <color rgb="FF000000"/>
        <rFont val="等线"/>
        <charset val="134"/>
      </rPr>
      <t>4500211312-</t>
    </r>
    <r>
      <rPr>
        <sz val="10"/>
        <color rgb="FF000000"/>
        <rFont val="宋体"/>
        <charset val="134"/>
        <scheme val="minor"/>
      </rPr>
      <t xml:space="preserve">
00010-
20260903</t>
    </r>
  </si>
  <si>
    <t>MPO10832-10</t>
  </si>
  <si>
    <r>
      <rPr>
        <sz val="10"/>
        <color rgb="FF000000"/>
        <rFont val="等线"/>
        <charset val="134"/>
      </rPr>
      <t>Product Requirement</t>
    </r>
    <r>
      <rPr>
        <sz val="10"/>
        <color rgb="FF000000"/>
        <rFont val="等线"/>
        <charset val="134"/>
      </rPr>
      <t xml:space="preserve">
</t>
    </r>
    <r>
      <rPr>
        <sz val="10"/>
        <color rgb="FF000000"/>
        <rFont val="等线"/>
        <charset val="134"/>
      </rPr>
      <t>Remark:</t>
    </r>
    <r>
      <rPr>
        <sz val="10"/>
        <color rgb="FF000000"/>
        <rFont val="等线"/>
        <charset val="134"/>
      </rPr>
      <t xml:space="preserve">
</t>
    </r>
    <r>
      <rPr>
        <sz val="10"/>
        <color rgb="FF000000"/>
        <rFont val="等线"/>
        <charset val="134"/>
      </rPr>
      <t>① 2% loss; ② inform us to arrange inspection before delivery</t>
    </r>
    <r>
      <rPr>
        <sz val="10"/>
        <color rgb="FF000000"/>
        <rFont val="等线"/>
        <charset val="134"/>
      </rPr>
      <t xml:space="preserve">
</t>
    </r>
    <r>
      <rPr>
        <sz val="10"/>
        <color rgb="FF000000"/>
        <rFont val="等线"/>
        <charset val="134"/>
      </rPr>
      <t>包装翻单： 4500207892</t>
    </r>
    <r>
      <rPr>
        <sz val="10"/>
        <color rgb="FF000000"/>
        <rFont val="等线"/>
        <charset val="134"/>
      </rPr>
      <t xml:space="preserve">
</t>
    </r>
    <r>
      <rPr>
        <sz val="10"/>
        <color rgb="FF000000"/>
        <rFont val="等线"/>
        <charset val="134"/>
      </rPr>
      <t>1.包装⽅式：</t>
    </r>
    <r>
      <rPr>
        <sz val="10"/>
        <color rgb="FF000000"/>
        <rFont val="等线"/>
        <charset val="134"/>
      </rPr>
      <t xml:space="preserve">
</t>
    </r>
    <r>
      <rPr>
        <sz val="10"/>
        <color rgb="FF000000"/>
        <rFont val="等线"/>
        <charset val="134"/>
      </rPr>
      <t>71172: MA 1L彩盒包装+MA 15L WARNING B版说明书+FCC说明书+ RFID贴纸</t>
    </r>
    <r>
      <rPr>
        <sz val="10"/>
        <color rgb="FF000000"/>
        <rFont val="等线"/>
        <charset val="134"/>
      </rPr>
      <t xml:space="preserve">
</t>
    </r>
    <r>
      <rPr>
        <sz val="10"/>
        <color rgb="FF000000"/>
        <rFont val="等线"/>
        <charset val="134"/>
      </rPr>
      <t>2. UPC： 193052098443</t>
    </r>
    <r>
      <rPr>
        <sz val="10"/>
        <color rgb="FF000000"/>
        <rFont val="等线"/>
        <charset val="134"/>
      </rPr>
      <t xml:space="preserve">
</t>
    </r>
    <r>
      <rPr>
        <sz val="10"/>
        <color rgb="FF000000"/>
        <rFont val="等线"/>
        <charset val="134"/>
      </rPr>
      <t>ZURU INC</t>
    </r>
    <r>
      <rPr>
        <sz val="10"/>
        <color rgb="FF000000"/>
        <rFont val="等线"/>
        <charset val="134"/>
      </rPr>
      <t xml:space="preserve">
</t>
    </r>
    <r>
      <rPr>
        <sz val="10"/>
        <color rgb="FF000000"/>
        <rFont val="等线"/>
        <charset val="134"/>
      </rPr>
      <t>UNIT 1201-01 12/F ENERGY PLAZA 92 GRANVILLE RD TST EAST</t>
    </r>
    <r>
      <rPr>
        <sz val="10"/>
        <color rgb="FF000000"/>
        <rFont val="等线"/>
        <charset val="134"/>
      </rPr>
      <t xml:space="preserve">
</t>
    </r>
    <r>
      <rPr>
        <sz val="10"/>
        <color rgb="FF000000"/>
        <rFont val="等线"/>
        <charset val="134"/>
      </rPr>
      <t>Tel:+86 755 6688 1988</t>
    </r>
    <r>
      <rPr>
        <sz val="10"/>
        <color rgb="FF000000"/>
        <rFont val="等线"/>
        <charset val="134"/>
      </rPr>
      <t xml:space="preserve">
</t>
    </r>
    <r>
      <rPr>
        <sz val="10"/>
        <color rgb="FF000000"/>
        <rFont val="等线"/>
        <charset val="134"/>
      </rPr>
      <t>Purchase Order3PCS AA BATTERIES(INCLUDED)</t>
    </r>
    <r>
      <rPr>
        <sz val="10"/>
        <color rgb="FF000000"/>
        <rFont val="等线"/>
        <charset val="134"/>
      </rPr>
      <t xml:space="preserve">
</t>
    </r>
    <r>
      <rPr>
        <sz val="10"/>
        <color rgb="FF000000"/>
        <rFont val="等线"/>
        <charset val="134"/>
      </rPr>
      <t>3.产品和包装上要有⽇期码、 MADE IN CHINA和ZURU字样。</t>
    </r>
    <r>
      <rPr>
        <sz val="10"/>
        <color rgb="FF000000"/>
        <rFont val="等线"/>
        <charset val="134"/>
      </rPr>
      <t xml:space="preserve">
</t>
    </r>
    <r>
      <rPr>
        <sz val="10"/>
        <color rgb="FF000000"/>
        <rFont val="等线"/>
        <charset val="134"/>
      </rPr>
      <t>4.此单需要验货， 请⾃⾏多备包装物料。</t>
    </r>
    <r>
      <rPr>
        <sz val="10"/>
        <color rgb="FF000000"/>
        <rFont val="等线"/>
        <charset val="134"/>
      </rPr>
      <t xml:space="preserve">
</t>
    </r>
    <r>
      <rPr>
        <sz val="10"/>
        <color rgb="FF000000"/>
        <rFont val="等线"/>
        <charset val="134"/>
      </rPr>
      <t>5.每PCS要加RFID 贴纸(ZURU提供)， 严格按照我们提供的位置图， 不可擅⾃调整位置， 贴纸也不可有任何破损或折坏， 不可淋湿（如缺数请及时告知）</t>
    </r>
  </si>
  <si>
    <t>MPO10832-20</t>
  </si>
  <si>
    <t>MPO10832-30</t>
  </si>
  <si>
    <t>MPO10832-40</t>
  </si>
  <si>
    <t>10001824488-3890</t>
  </si>
  <si>
    <t>4500216792-10</t>
  </si>
  <si>
    <t>ESAL ENTERPRISES FZE</t>
  </si>
  <si>
    <t>黎巴嫩</t>
  </si>
  <si>
    <t>4500216094</t>
  </si>
  <si>
    <t>4500216094-60</t>
  </si>
  <si>
    <t>（贴纸翻单4500202382）</t>
  </si>
  <si>
    <t>日期码格式：ZURU INC(BVI) 标准格式                  日期：按实际生产日期
Packaging Info: 出Lebanon, 所有包装不能有希伯来语（HE)
71172：MA 1L +进口商贴纸（贴纸翻单4500202382）
Remark：</t>
  </si>
  <si>
    <r>
      <rPr>
        <sz val="10"/>
        <color rgb="FF000000"/>
        <rFont val="等线"/>
        <charset val="134"/>
      </rPr>
      <t>TARGET</t>
    </r>
    <r>
      <rPr>
        <sz val="12"/>
        <color rgb="FF000000"/>
        <rFont val="宋体"/>
        <charset val="134"/>
        <scheme val="minor"/>
      </rPr>
      <t xml:space="preserve">  </t>
    </r>
    <r>
      <rPr>
        <sz val="12"/>
        <color rgb="FF000000"/>
        <rFont val="宋体"/>
        <charset val="134"/>
        <scheme val="minor"/>
      </rPr>
      <t>AUSTRALIA</t>
    </r>
    <r>
      <rPr>
        <sz val="12"/>
        <color rgb="FF000000"/>
        <rFont val="宋体"/>
        <charset val="134"/>
        <scheme val="minor"/>
      </rPr>
      <t xml:space="preserve">  </t>
    </r>
    <r>
      <rPr>
        <sz val="12"/>
        <color rgb="FF000000"/>
        <rFont val="宋体"/>
        <charset val="134"/>
        <scheme val="minor"/>
      </rPr>
      <t>PTY</t>
    </r>
    <r>
      <rPr>
        <sz val="12"/>
        <color rgb="FF000000"/>
        <rFont val="宋体"/>
        <charset val="134"/>
        <scheme val="minor"/>
      </rPr>
      <t xml:space="preserve">  </t>
    </r>
    <r>
      <rPr>
        <sz val="12"/>
        <color rgb="FF000000"/>
        <rFont val="宋体"/>
        <charset val="134"/>
        <scheme val="minor"/>
      </rPr>
      <t>LTD</t>
    </r>
  </si>
  <si>
    <t>4500216156</t>
  </si>
  <si>
    <t>2604188</t>
  </si>
  <si>
    <t>4500216156-10</t>
  </si>
  <si>
    <t>欠SSCC</t>
  </si>
  <si>
    <t>日期码格式：ZURU  INC(BVI)  标准格式                                    日期：按实际生产日期
Packaging Info: 71172:  英文MA包装(UPC版本，首选1L，无1L可用多L含英语)+箱唛+SSCC  label外箱贴纸；
2pcs  baby  capybara:  3pcs  baby  capybara=  5:1；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</si>
  <si>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r>
      <rPr>
        <sz val="10"/>
        <color rgb="FF000000"/>
        <rFont val="等线"/>
        <charset val="134"/>
      </rPr>
      <t>Christine</t>
    </r>
    <r>
      <rPr>
        <sz val="10"/>
        <color rgb="FF000000"/>
        <rFont val="宋体"/>
        <charset val="134"/>
        <scheme val="minor"/>
      </rPr>
      <t xml:space="preserve">  </t>
    </r>
    <r>
      <rPr>
        <sz val="10"/>
        <color rgb="FF000000"/>
        <rFont val="宋体"/>
        <charset val="134"/>
        <scheme val="minor"/>
      </rPr>
      <t>Liao</t>
    </r>
  </si>
  <si>
    <r>
      <rPr>
        <sz val="10"/>
        <color rgb="FF000000"/>
        <rFont val="等线"/>
        <charset val="134"/>
      </rPr>
      <t>TOYS</t>
    </r>
    <r>
      <rPr>
        <sz val="11"/>
        <color rgb="FF000000"/>
        <rFont val="宋体"/>
        <charset val="134"/>
        <scheme val="minor"/>
      </rPr>
      <t xml:space="preserve">  </t>
    </r>
    <r>
      <rPr>
        <sz val="11"/>
        <color rgb="FF000000"/>
        <rFont val="宋体"/>
        <charset val="134"/>
        <scheme val="minor"/>
      </rPr>
      <t>"R"</t>
    </r>
    <r>
      <rPr>
        <sz val="11"/>
        <color rgb="FF000000"/>
        <rFont val="宋体"/>
        <charset val="134"/>
        <scheme val="minor"/>
      </rPr>
      <t xml:space="preserve">  </t>
    </r>
    <r>
      <rPr>
        <sz val="11"/>
        <color rgb="FF000000"/>
        <rFont val="宋体"/>
        <charset val="134"/>
        <scheme val="minor"/>
      </rPr>
      <t>US</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JAPAN,</t>
    </r>
    <r>
      <rPr>
        <sz val="11"/>
        <color rgb="FF000000"/>
        <rFont val="宋体"/>
        <charset val="134"/>
        <scheme val="minor"/>
      </rPr>
      <t xml:space="preserve">  </t>
    </r>
    <r>
      <rPr>
        <sz val="11"/>
        <color rgb="FF000000"/>
        <rFont val="宋体"/>
        <charset val="134"/>
        <scheme val="minor"/>
      </rPr>
      <t>LTD</t>
    </r>
  </si>
  <si>
    <t>日本</t>
  </si>
  <si>
    <t>4500215618</t>
  </si>
  <si>
    <t>4500215618-100</t>
  </si>
  <si>
    <t>样办1套</t>
  </si>
  <si>
    <t>fast start 贴纸</t>
  </si>
  <si>
    <t xml:space="preserve">日期码格式：ZURU  INC(BVI)  标准格式                                    日期：按实际生产日期
Packaging Info: 从PP大货中挪产品,跟PP包装  1L,外箱需加一张fast  start贴纸,箱唛待提供;  未出货的item都需加贴进口商贴纸,待提供图稿
每个SKU需寄1pc样品给到客人review,  跟PP包装,任意一个assortment,无需贴纸,寄到SZ办公室,请告知最快能寄出的时间;
Remark: </t>
  </si>
  <si>
    <r>
      <rPr>
        <sz val="10"/>
        <color rgb="FF000000"/>
        <rFont val="等线"/>
        <charset val="134"/>
      </rPr>
      <t>Emma</t>
    </r>
    <r>
      <rPr>
        <sz val="11"/>
        <color rgb="FF000000"/>
        <rFont val="宋体"/>
        <charset val="134"/>
        <scheme val="minor"/>
      </rPr>
      <t xml:space="preserve">  </t>
    </r>
    <r>
      <rPr>
        <sz val="11"/>
        <color rgb="FF000000"/>
        <rFont val="宋体"/>
        <charset val="134"/>
        <scheme val="minor"/>
      </rPr>
      <t>Wu</t>
    </r>
  </si>
  <si>
    <t>4500215583</t>
  </si>
  <si>
    <t>0989812531</t>
  </si>
  <si>
    <t>4500215583-10</t>
  </si>
  <si>
    <t>箱唛翻单：4500207892</t>
  </si>
  <si>
    <t>日期码格式：DGYYYYMMDD(日期避开周末和法定节假日)                  日期：按实际生产日期
Packaging Info: 40REP包装/箱唛翻单：4500207892
1.包装方式：
71172: MA 1L彩盒包装+MA 15L WARNING B版说明书+FCC说明书+ RFID贴纸
Remark: 2. 外箱四面印刷紫色RFID箱唛
主唛左前下角印刷艾利贴纸替代标箱唛(ITF-14格式)，条码只印刷一面
主唛右下角加印 MADE IN CHINA以及ZURU LOGO
3. 71172 UPC：193052098443
4.此批单#71172散箱出货；
1PCS/CTN：3PCS AA BATTERIES(INCLUDED)
5.此单需要验货，请自行多备包装物料。
6.产品和包装上要有日期码、MADE IN CHINA和ZURU字样。
7.每PCS要加RFID 贴纸(ZURU提供)，严格按照我们提供的位置图，不可擅自调整位置，贴纸也不可有任何破损或折坏，不可淋湿（如缺数请及时告知）</t>
  </si>
  <si>
    <t>0989813197</t>
  </si>
  <si>
    <t>4500215583-20</t>
  </si>
  <si>
    <t>0989813215</t>
  </si>
  <si>
    <t>4500215583-30</t>
  </si>
  <si>
    <t>4500216437</t>
  </si>
  <si>
    <t>6006-014718</t>
  </si>
  <si>
    <t>4500216437-10</t>
  </si>
  <si>
    <t>1张通用进口商贴纸</t>
  </si>
  <si>
    <t>日期码格式：ZURU INC(BVI) 标准格式 日期：按实际生产日期
Packaging Info: 71172：MA UPC PKG+ 1张通用进口商贴纸（贴收缩膜背面空白处）
Remark:</t>
  </si>
  <si>
    <t>EL  REGALO  UNIVERSAL  C.A.</t>
  </si>
  <si>
    <t>委内瑞拉</t>
  </si>
  <si>
    <t>4500214134-10</t>
  </si>
  <si>
    <t>日期码格式：ZURU INC(BVI) 标准格式 日期：按实际生产日期
Packaging Info: 71172/77770GQ2/77843GQ2: MA 3L EAN包装+UPC条码贴纸+进口商贴纸+箱唛
Remark:</t>
  </si>
  <si>
    <t>Doris  Shou</t>
  </si>
  <si>
    <t>THE  WAREHOUSE  LIMITED</t>
  </si>
  <si>
    <t>29625471</t>
  </si>
  <si>
    <t>4500218907-20</t>
  </si>
  <si>
    <t>日期码格式：ZURU  INC(BVI)  标准格式                                    日期：按实际生产日期
Packaging Info: MA  UPC  英语包装（优先1L英语版本，或者3L/5L含英语都可）
Remark: 此客人不接受易掉落或者剥落或者可直接触碰的闪粉，可降解也不行，但可以接受符合欧洲微塑料标准的珠光粉或者闪片。
此单出口澳大利亚/新西兰,  请按澳新标准生产.  如产品含纽扣电池出货,  包装前面和说明书上需加纽扣电池警语贴纸.
#71172:3PCS  AA  BATTERIES(INCLUDED)</t>
  </si>
  <si>
    <r>
      <rPr>
        <sz val="10"/>
        <color rgb="FF000000"/>
        <rFont val="等线"/>
        <charset val="134"/>
      </rPr>
      <t>Ivy</t>
    </r>
    <r>
      <rPr>
        <sz val="11"/>
        <color rgb="FF000000"/>
        <rFont val="宋体"/>
        <charset val="134"/>
        <scheme val="minor"/>
      </rPr>
      <t xml:space="preserve">  </t>
    </r>
    <r>
      <rPr>
        <sz val="11"/>
        <color rgb="FF000000"/>
        <rFont val="宋体"/>
        <charset val="134"/>
        <scheme val="minor"/>
      </rPr>
      <t>Li</t>
    </r>
  </si>
  <si>
    <t>29625472</t>
  </si>
  <si>
    <t>4500218907-40</t>
  </si>
  <si>
    <t>Wal-mart US</t>
  </si>
  <si>
    <t>手工单</t>
  </si>
  <si>
    <t>MO20260703-05</t>
  </si>
  <si>
    <t>TBA</t>
  </si>
  <si>
    <t>MO20260703-05-10</t>
  </si>
  <si>
    <t>箱唛翻单：4500207892，等通知印刷</t>
  </si>
  <si>
    <t>包装翻单：4500207892
1.包装方式： 
71172: MA 1L彩盒包装+MA 15L WARNING B版说明书+FCC说明书+ RFID贴纸
2. 外箱四面印刷紫色RFID箱唛 
主唛左前下角印刷艾利贴纸替代标箱唛(ITF-14格式)，条码只印刷一面
主唛右下角加印 MADE IN CHINA以及ZURU LOGO
3. 71172 UPC：193052098443        
4.此批单#71172散箱出货； 
1PCS/CTN：3PCS AA BATTERIES(INCLUDED)
5.此单需要验货，请自行多备包装物料。 
6.产品和包装上要有日期码、MADE IN CHINA和ZURU字样。 
7.每PCS要加RFID 贴纸(ZURU提供)，严格按照我们提供的位置图，不可擅自调整位置，贴纸也不可有任何破损或折坏，不可淋湿（如缺数请及时告知）</t>
  </si>
  <si>
    <t>10001860093-3891</t>
  </si>
  <si>
    <t>4500217221-10</t>
  </si>
  <si>
    <t>欠</t>
  </si>
  <si>
    <t>日期码格式：ZURU  INC(BVI) 标准格式                                    日期：按实际生产日期
Packaging Info: 产品包装MA 1L彩盒
Remark: 1. 71172-S001-ROBO  ALIVE-BRAIN-SERIES 1-BRIAN THE BRAIN-OPEN BOX-4PCS/CTN
  2. 产品包装MA  1L彩盒；彩盒上的UPC显示193052098443；
  3. 每个外箱正唛箱唛信息左上方位置粘贴条码箱贴纸，每箱只贴一张;  由ZURU向艾利订购，    对应的外箱贴DPCI：087-02-9468, UPC显示10193052098440  ；
  4. 产品和包装上要印刷tracking  code信息，格式为ZURU常规；
  5. 出货方式：货代自提</t>
  </si>
  <si>
    <t>4500215585</t>
  </si>
  <si>
    <t>0989812548</t>
  </si>
  <si>
    <t>4500215585-10</t>
  </si>
  <si>
    <t>0989812574</t>
  </si>
  <si>
    <t>4500215585-20</t>
  </si>
  <si>
    <t>0989813096</t>
  </si>
  <si>
    <t>4500215585-30</t>
  </si>
  <si>
    <t>0989813267</t>
  </si>
  <si>
    <t>4500215585-40</t>
  </si>
  <si>
    <t>0989813340</t>
  </si>
  <si>
    <t>4500215585-50</t>
  </si>
  <si>
    <t>LIMITED  LIABILITY  COMPANY   “ARMOTOP”</t>
  </si>
  <si>
    <t>1100036977</t>
  </si>
  <si>
    <t>4500217495-200</t>
  </si>
  <si>
    <t>QR7/28,8/10</t>
  </si>
  <si>
    <r>
      <rPr>
        <sz val="10"/>
        <color rgb="FF000000"/>
        <rFont val="等线"/>
        <charset val="134"/>
      </rPr>
      <t xml:space="preserve">日期码格式：ZURU INC(BVI) 标准格式 日期：按实际生产日期
Packaging Info: ;
9296/7127/71172: </t>
    </r>
    <r>
      <rPr>
        <sz val="10"/>
        <color rgb="FFFF0000"/>
        <rFont val="等线"/>
        <charset val="134"/>
      </rPr>
      <t xml:space="preserve">1L </t>
    </r>
    <r>
      <rPr>
        <sz val="10"/>
        <color rgb="FF000000"/>
        <rFont val="等线"/>
        <charset val="134"/>
      </rPr>
      <t>MA UPC包装+进口商贴纸+</t>
    </r>
    <r>
      <rPr>
        <sz val="10"/>
        <color rgb="FFFF0000"/>
        <rFont val="等线"/>
        <charset val="134"/>
      </rPr>
      <t>EAN条码贴纸</t>
    </r>
    <r>
      <rPr>
        <sz val="10"/>
        <color rgb="FF000000"/>
        <rFont val="等线"/>
        <charset val="134"/>
      </rPr>
      <t>+QR贴纸 ，MA 说明书/指南 (如有) ；
Remark: 1. QR code 贴纸 : 二维码要清晰可扫描，2年不褪色 ，强占不易脱落 ，材质同进口商贴纸纸。要求一物一码，每PCS的二维码不一样，尺寸可按包装尺寸适度调
整确保美观可扫,白底黑字，分辨率要大于300dpi，位置要远离条码。 可贴零售包装的侧面右下角/背面的右上角/挂卡的背面/正面的右上角，距离边距5mm）;
2. QR 二维码格式要求： DATA MATRIX GS1 ， 大货印刷前请发JPG 图片确认格式是否正确； 请用苹果手机下载 Честный знак 官方APP 进行扫描，必
须100%成功验证并显示正确商品信息 ; --ZURU QC 请留意 。
3.. 出货前需要按船务的指示提供零售包装上QR CODE 入外箱以及入货柜的明细清单供客户清关使用--用客户的模板（追踪到箱/到柜）；
4. 货期不能延,有罚金。
5. 若产品中的口水胶/棉花泥等配件已提前印刷好了日期码，需明确告知日期码是多少，客户要求距离货物到店时间至少还有三分之二的有效期（比如Slime有效期1
年，那到店后还需要8个月的有效） 。
6. 无特殊要求，按ZURU 标准比例；</t>
    </r>
  </si>
  <si>
    <t>MPO10833</t>
  </si>
  <si>
    <r>
      <rPr>
        <sz val="10"/>
        <color rgb="FF000000"/>
        <rFont val="等线"/>
        <charset val="134"/>
      </rPr>
      <t>4500211314-</t>
    </r>
    <r>
      <rPr>
        <sz val="10"/>
        <color rgb="FF000000"/>
        <rFont val="宋体"/>
        <charset val="134"/>
        <scheme val="minor"/>
      </rPr>
      <t xml:space="preserve">
00010-
20260917</t>
    </r>
  </si>
  <si>
    <t>MPO10833-10</t>
  </si>
  <si>
    <t>Product Requirement
Purchase Order
Remark:
① 2% loss; ② inform us to arrange inspection before delivery
包装翻单：4500207892
1.包装⽅式：
71172: MA 1L彩盒包装+MA 15L WARNING B版说明书+FCC说明书+ RFID贴纸
2. UPC：193052098443
3PCS AA BATTERIES(INCLUDED)
3.产品和包装上要有⽇期码、MADE IN CHINA和ZURU字样。
4.此单需要验货，请⾃⾏多备包装物料。
5.每PCS要加RFID 贴纸(ZURU提供)，严格按照我们提供的位置图，不可擅⾃调整位置，贴纸也不可有任何破损或折坏，不可淋湿（如缺数请及时告知）</t>
  </si>
  <si>
    <t>MPO10833-20</t>
  </si>
  <si>
    <t>Product Requirement
Remark:
① 2% loss; ② inform us to arrange inspection before delivery
包装翻单：4500207892
1.包装⽅式：
71172: MA 1L彩盒包装+MA 15L WARNING B版说明书+FCC说明书+ RFID贴纸
2. UPC：193052098443
3PCS AA BATTERIES(INCLUDED)
3.产品和包装上要有⽇期码、MADE IN CHINA和ZURU字样。
4.此单需要验货，请⾃⾏多备包装物料。
5.每PCS要加RFID 贴纸(ZURU提供)，严格按照我们提供的位置图，不可擅⾃调整位置，贴纸也不可有任何破损或折坏，不可淋湿（如缺数请及时告知）</t>
  </si>
  <si>
    <t>MELOMAN  HOME  VIDEO  LLP</t>
  </si>
  <si>
    <t>哈萨克斯坦</t>
  </si>
  <si>
    <t>4500218324-210</t>
  </si>
  <si>
    <t>日期码格式：ZURU  INC(BVI)  标准格式                                    日期：按实际生产日期
Packaging Info: MA  UPC  包装+通用贴纸，MA  PDQ/说明书（如有）
Remark: 标准配比；</t>
  </si>
  <si>
    <r>
      <rPr>
        <sz val="10"/>
        <color rgb="FF000000"/>
        <rFont val="等线"/>
        <charset val="134"/>
      </rPr>
      <t>Niki</t>
    </r>
    <r>
      <rPr>
        <sz val="10"/>
        <color rgb="FF000000"/>
        <rFont val="等线"/>
        <charset val="134"/>
      </rPr>
      <t xml:space="preserve">  </t>
    </r>
    <r>
      <rPr>
        <sz val="10"/>
        <color rgb="FF000000"/>
        <rFont val="等线"/>
        <charset val="134"/>
      </rPr>
      <t>Chen</t>
    </r>
  </si>
  <si>
    <t>4400587546</t>
  </si>
  <si>
    <t>4500218532-10</t>
  </si>
  <si>
    <t>贴纸 翻单PO#4500195772</t>
  </si>
  <si>
    <t>日期码格式：ZURU  INC(BVI) 标准格式                                    日期：按实际生产日期
Packaging Info: 71172: MA3L-23Lwarning彩盒+1张德语callout贴纸(翻单PO#4500195772 )+D版WEEE声明(带电池)走货欧洲通用29L说明书
EAN#4894680057272
3PCS AA BATTERIES(INCLUDED)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 .订单备注显示有分批的(不同仓库/订单号), 一定要区分客户订单号做货出货，否则会导致罚款    。
  7.做货前请先复核包装条码与订单是否一致再安排，对不上的需与Z URU跟单确认再安排。
  8.包装必须含法国回收标(Sorting  Label)，如没有，请提醒跟单提供贴纸资料。
  9 .包装/说明书(如有)/产品(如有)上的法国地址信息必须保持一致，不可出现包装上是新地址，说明书上是旧地址；如地址信息不一致请通知跟单更新文件；</t>
  </si>
  <si>
    <t>Savannah</t>
  </si>
  <si>
    <t>LULU SRL</t>
  </si>
  <si>
    <t>摩尔多瓦</t>
  </si>
  <si>
    <t>4500217906-80</t>
  </si>
  <si>
    <t>日期码格式：ZURU  INC(BVI) 标准格式                                    日期：按实际生产日期
Packaging Info:
 71172-S001: MA  UPC  包装+客户通用贴纸，MA 说明书（如有）
Remark: 客户LULU订单注意事项:
  1. 标准配比
  2.   产品如含有化学品（slime  等），需要低硼不含闪粉；
  3. 需要通过ZURU  验货结果后才能出货  (工厂需要主动提前同ZURU QC预约验货避免延期出货造成不必要麻烦)；
  4. 客户通用贴纸贴在包装空白处即可，切记最好不要遮住警语以及品牌，如不太确定可发跟单确认贴纸位置图；</t>
  </si>
  <si>
    <t>Niki Chen</t>
  </si>
  <si>
    <t>BIG  W</t>
  </si>
  <si>
    <t>47974662</t>
  </si>
  <si>
    <t>4500218482-10</t>
  </si>
  <si>
    <t>贴纸翻单PO#4500201310</t>
  </si>
  <si>
    <t>日期码格式：ZURU  INC(BVI)  标准格式                                    日期：按实际生产日期
Packaging Info: 71172:    英文MA包装  (UPC版本，首选1L，无1L可用多L含英语)+1张进口商贴纸，翻单PO#4500201310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如产品含纽扣电池出货,  包装前面和说明书上需加纽扣电池警语贴纸；
   4.  出无闪粉版本，需符合欧洲微塑料法规；
   5.  确保所出货的产品及包装不含PFAS（全氟/多氟烷基化合物）及其盐类和其相关物质，特别留意  PFOA、PFOS、PFHxS  不得检出。
6.  产品和包装上的日期码一致，请按要求在包装上打日期码（使用ZURU标准日期码，     若有进口商贴纸，进口商贴纸不能覆盖日期码）</t>
  </si>
  <si>
    <r>
      <rPr>
        <sz val="10"/>
        <color rgb="FF000000"/>
        <rFont val="等线"/>
        <charset val="134"/>
      </rPr>
      <t>Christine</t>
    </r>
    <r>
      <rPr>
        <sz val="11"/>
        <color rgb="FF000000"/>
        <rFont val="宋体"/>
        <charset val="134"/>
        <scheme val="minor"/>
      </rPr>
      <t xml:space="preserve">  </t>
    </r>
    <r>
      <rPr>
        <sz val="11"/>
        <color rgb="FF000000"/>
        <rFont val="宋体"/>
        <charset val="134"/>
        <scheme val="minor"/>
      </rPr>
      <t>Liao</t>
    </r>
  </si>
  <si>
    <t>47974663</t>
  </si>
  <si>
    <t>4500218482-20</t>
  </si>
  <si>
    <t>47974664</t>
  </si>
  <si>
    <t>4500218482-30</t>
  </si>
  <si>
    <t>47974665</t>
  </si>
  <si>
    <t>4500218482-40</t>
  </si>
  <si>
    <t>MO20260703-05-20</t>
  </si>
  <si>
    <r>
      <rPr>
        <sz val="11"/>
        <color rgb="FF000000"/>
        <rFont val="等线"/>
        <charset val="134"/>
      </rPr>
      <t>箱唛翻单</t>
    </r>
    <r>
      <rPr>
        <sz val="11"/>
        <color rgb="FF000000"/>
        <rFont val="汉仪书宋二KW"/>
        <charset val="134"/>
      </rPr>
      <t>：</t>
    </r>
    <r>
      <rPr>
        <sz val="11"/>
        <color rgb="FF000000"/>
        <rFont val="等线"/>
        <charset val="134"/>
      </rPr>
      <t>4500207892</t>
    </r>
    <r>
      <rPr>
        <sz val="11"/>
        <color rgb="FF000000"/>
        <rFont val="汉仪书宋二KW"/>
        <charset val="134"/>
      </rPr>
      <t>，</t>
    </r>
    <r>
      <rPr>
        <sz val="11"/>
        <color rgb="FF000000"/>
        <rFont val="等线"/>
        <charset val="134"/>
      </rPr>
      <t>等通知印刷</t>
    </r>
  </si>
  <si>
    <t>4500215586</t>
  </si>
  <si>
    <t>0989812538</t>
  </si>
  <si>
    <t>4500215586-10</t>
  </si>
  <si>
    <t>0989812564</t>
  </si>
  <si>
    <t>4500215586-20</t>
  </si>
  <si>
    <t>0989812579</t>
  </si>
  <si>
    <t>4500215586-30</t>
  </si>
  <si>
    <t>BINGO  GLOBAL  GROUP  FOR  TRADING  SUPP</t>
  </si>
  <si>
    <t>埃及</t>
  </si>
  <si>
    <t>4500198914-60</t>
  </si>
  <si>
    <t>日期码格式：ZURU INC(BVI) 标准格式 日期：按实际生产日期
Packaging Info:
Remark: 6.71172：MA EAN版本包装+一张进口商贴纸+箱唛</t>
  </si>
  <si>
    <t>Nora  Pan</t>
  </si>
  <si>
    <t>4400587545</t>
  </si>
  <si>
    <t>4500218541-10</t>
  </si>
  <si>
    <r>
      <rPr>
        <sz val="10"/>
        <color rgb="FF000000"/>
        <rFont val="等线"/>
        <charset val="134"/>
      </rPr>
      <t>日期码格式：ZURU</t>
    </r>
    <r>
      <rPr>
        <sz val="10"/>
        <color rgb="FF000000"/>
        <rFont val="等线"/>
        <charset val="134"/>
      </rPr>
      <t xml:space="preserve">  </t>
    </r>
    <r>
      <rPr>
        <sz val="10"/>
        <color rgb="FF000000"/>
        <rFont val="等线"/>
        <charset val="134"/>
      </rPr>
      <t>INC(BVI) 标准格式</t>
    </r>
    <r>
      <rPr>
        <sz val="10"/>
        <color rgb="FF000000"/>
        <rFont val="等线"/>
        <charset val="134"/>
      </rPr>
      <t xml:space="preserve">                                    </t>
    </r>
    <r>
      <rPr>
        <sz val="10"/>
        <color rgb="FF000000"/>
        <rFont val="等线"/>
        <charset val="134"/>
      </rPr>
      <t>日期：按实际生产日期</t>
    </r>
    <r>
      <rPr>
        <sz val="10"/>
        <color rgb="FF000000"/>
        <rFont val="等线"/>
        <charset val="134"/>
      </rPr>
      <t xml:space="preserve">
</t>
    </r>
    <r>
      <rPr>
        <sz val="10"/>
        <color rgb="FF000000"/>
        <rFont val="等线"/>
        <charset val="134"/>
      </rPr>
      <t>Packaging Info: 71172: MA3L-23Lwarning彩盒(含法国sorting</t>
    </r>
    <r>
      <rPr>
        <sz val="10"/>
        <color rgb="FF000000"/>
        <rFont val="等线"/>
        <charset val="134"/>
      </rPr>
      <t xml:space="preserve">  </t>
    </r>
    <r>
      <rPr>
        <sz val="10"/>
        <color rgb="FF000000"/>
        <rFont val="等线"/>
        <charset val="134"/>
      </rPr>
      <t>label)+D版WEEE声明(带电池)走货欧洲通用29L说明书</t>
    </r>
    <r>
      <rPr>
        <sz val="10"/>
        <color rgb="FF000000"/>
        <rFont val="等线"/>
        <charset val="134"/>
      </rPr>
      <t xml:space="preserve">
</t>
    </r>
    <r>
      <rPr>
        <sz val="10"/>
        <color rgb="FF000000"/>
        <rFont val="等线"/>
        <charset val="134"/>
      </rPr>
      <t>EAN#4894680057272</t>
    </r>
    <r>
      <rPr>
        <sz val="10"/>
        <color rgb="FF000000"/>
        <rFont val="等线"/>
        <charset val="134"/>
      </rPr>
      <t xml:space="preserve">
</t>
    </r>
    <r>
      <rPr>
        <sz val="10"/>
        <color rgb="FF000000"/>
        <rFont val="等线"/>
        <charset val="134"/>
      </rPr>
      <t>3PCS AA BATTERIES(INCLUDED)</t>
    </r>
    <r>
      <rPr>
        <sz val="10"/>
        <color rgb="FF000000"/>
        <rFont val="等线"/>
        <charset val="134"/>
      </rPr>
      <t xml:space="preserve">
</t>
    </r>
    <r>
      <rPr>
        <sz val="10"/>
        <color rgb="FF000000"/>
        <rFont val="等线"/>
        <charset val="134"/>
      </rPr>
      <t>Remark: Smyths 英国/爱尔兰</t>
    </r>
    <r>
      <rPr>
        <sz val="10"/>
        <color rgb="FF000000"/>
        <rFont val="等线"/>
        <charset val="134"/>
      </rPr>
      <t xml:space="preserve">
</t>
    </r>
    <r>
      <rPr>
        <sz val="10"/>
        <color rgb="FF000000"/>
        <rFont val="等线"/>
        <charset val="134"/>
      </rPr>
      <t xml:space="preserve">  </t>
    </r>
    <r>
      <rPr>
        <sz val="10"/>
        <color rgb="FF000000"/>
        <rFont val="等线"/>
        <charset val="134"/>
      </rPr>
      <t>1. 请准时出货，推期会有罚款；</t>
    </r>
    <r>
      <rPr>
        <sz val="10"/>
        <color rgb="FF000000"/>
        <rFont val="等线"/>
        <charset val="134"/>
      </rPr>
      <t xml:space="preserve">
</t>
    </r>
    <r>
      <rPr>
        <sz val="10"/>
        <color rgb="FF000000"/>
        <rFont val="等线"/>
        <charset val="134"/>
      </rPr>
      <t xml:space="preserve">  </t>
    </r>
    <r>
      <rPr>
        <sz val="10"/>
        <color rgb="FF000000"/>
        <rFont val="等线"/>
        <charset val="134"/>
      </rPr>
      <t>2. 所有产品按符合欧洲标准走货，需要是不含微塑料版本。</t>
    </r>
    <r>
      <rPr>
        <sz val="10"/>
        <color rgb="FF000000"/>
        <rFont val="等线"/>
        <charset val="134"/>
      </rPr>
      <t xml:space="preserve">
</t>
    </r>
    <r>
      <rPr>
        <sz val="10"/>
        <color rgb="FF000000"/>
        <rFont val="等线"/>
        <charset val="134"/>
      </rPr>
      <t xml:space="preserve">  </t>
    </r>
    <r>
      <rPr>
        <sz val="10"/>
        <color rgb="FF000000"/>
        <rFont val="等线"/>
        <charset val="134"/>
      </rPr>
      <t>3.包装日期码按ZURU格式即可，请确保不迟于外箱日期码，可等于或者早于外箱日期码，必须为法定工作日，印刷前请先检查外箱日期码。</t>
    </r>
    <r>
      <rPr>
        <sz val="10"/>
        <color rgb="FF000000"/>
        <rFont val="等线"/>
        <charset val="134"/>
      </rPr>
      <t xml:space="preserve">
</t>
    </r>
    <r>
      <rPr>
        <sz val="10"/>
        <color rgb="FF000000"/>
        <rFont val="等线"/>
        <charset val="134"/>
      </rPr>
      <t xml:space="preserve">  </t>
    </r>
    <r>
      <rPr>
        <sz val="10"/>
        <color rgb="FF000000"/>
        <rFont val="等线"/>
        <charset val="134"/>
      </rPr>
      <t>4.请注意检查产品及包装应带UKCA图标（14+产品除外），包装显示ZURU UK LTD/ZURU France地址信息，QC部门请查核，如有问题与跟单确认</t>
    </r>
    <r>
      <rPr>
        <sz val="10"/>
        <color rgb="FF000000"/>
        <rFont val="等线"/>
        <charset val="134"/>
      </rPr>
      <t xml:space="preserve">
</t>
    </r>
    <r>
      <rPr>
        <sz val="10"/>
        <color rgb="FF000000"/>
        <rFont val="等线"/>
        <charset val="134"/>
      </rPr>
      <t xml:space="preserve">  </t>
    </r>
    <r>
      <rPr>
        <sz val="10"/>
        <color rgb="FF000000"/>
        <rFont val="等线"/>
        <charset val="134"/>
      </rPr>
      <t>5.电子产品需增加一张WEEE声明29L通用黑白说明书，区分带电池(D版)和不带电池(C版)出货版本, 如已做带WEEE声明的客版说明书可忽略此要求；如包装备注上缺</t>
    </r>
    <r>
      <rPr>
        <sz val="10"/>
        <color rgb="FF000000"/>
        <rFont val="等线"/>
        <charset val="134"/>
      </rPr>
      <t xml:space="preserve">
</t>
    </r>
    <r>
      <rPr>
        <sz val="10"/>
        <color rgb="FF000000"/>
        <rFont val="等线"/>
        <charset val="134"/>
      </rPr>
      <t>少此部分信息，请提醒跟单更新备注。</t>
    </r>
    <r>
      <rPr>
        <sz val="10"/>
        <color rgb="FF000000"/>
        <rFont val="等线"/>
        <charset val="134"/>
      </rPr>
      <t xml:space="preserve">
</t>
    </r>
    <r>
      <rPr>
        <sz val="10"/>
        <color rgb="FF000000"/>
        <rFont val="等线"/>
        <charset val="134"/>
      </rPr>
      <t xml:space="preserve">  </t>
    </r>
    <r>
      <rPr>
        <sz val="10"/>
        <color rgb="FF000000"/>
        <rFont val="等线"/>
        <charset val="134"/>
      </rPr>
      <t>6 .订单备注显示有分批的(不同仓库/订单号), 一定要区分客户订单号做货出货，否则会导致罚款</t>
    </r>
    <r>
      <rPr>
        <sz val="10"/>
        <color rgb="FF000000"/>
        <rFont val="等线"/>
        <charset val="134"/>
      </rPr>
      <t xml:space="preserve">    </t>
    </r>
    <r>
      <rPr>
        <sz val="10"/>
        <color rgb="FF000000"/>
        <rFont val="等线"/>
        <charset val="134"/>
      </rPr>
      <t>。</t>
    </r>
    <r>
      <rPr>
        <sz val="10"/>
        <color rgb="FF000000"/>
        <rFont val="等线"/>
        <charset val="134"/>
      </rPr>
      <t xml:space="preserve">
</t>
    </r>
    <r>
      <rPr>
        <sz val="10"/>
        <color rgb="FF000000"/>
        <rFont val="等线"/>
        <charset val="134"/>
      </rPr>
      <t xml:space="preserve">  </t>
    </r>
    <r>
      <rPr>
        <sz val="10"/>
        <color rgb="FF000000"/>
        <rFont val="等线"/>
        <charset val="134"/>
      </rPr>
      <t>7.做货前请先复核包装条码与订单是否一致再安排，对不上的需与Z URU跟单确认再安排。</t>
    </r>
    <r>
      <rPr>
        <sz val="10"/>
        <color rgb="FF000000"/>
        <rFont val="等线"/>
        <charset val="134"/>
      </rPr>
      <t xml:space="preserve">
</t>
    </r>
    <r>
      <rPr>
        <sz val="10"/>
        <color rgb="FF000000"/>
        <rFont val="等线"/>
        <charset val="134"/>
      </rPr>
      <t xml:space="preserve">  </t>
    </r>
    <r>
      <rPr>
        <sz val="10"/>
        <color rgb="FF000000"/>
        <rFont val="等线"/>
        <charset val="134"/>
      </rPr>
      <t>8.包装必须含法国回收标(Sorting</t>
    </r>
    <r>
      <rPr>
        <sz val="10"/>
        <color rgb="FF000000"/>
        <rFont val="等线"/>
        <charset val="134"/>
      </rPr>
      <t xml:space="preserve">  </t>
    </r>
    <r>
      <rPr>
        <sz val="10"/>
        <color rgb="FF000000"/>
        <rFont val="等线"/>
        <charset val="134"/>
      </rPr>
      <t>Label)，如没有，请提醒跟单提供贴纸资料。</t>
    </r>
    <r>
      <rPr>
        <sz val="10"/>
        <color rgb="FF000000"/>
        <rFont val="等线"/>
        <charset val="134"/>
      </rPr>
      <t xml:space="preserve">
</t>
    </r>
    <r>
      <rPr>
        <sz val="10"/>
        <color rgb="FF000000"/>
        <rFont val="等线"/>
        <charset val="134"/>
      </rPr>
      <t xml:space="preserve">  </t>
    </r>
    <r>
      <rPr>
        <sz val="10"/>
        <color rgb="FF000000"/>
        <rFont val="等线"/>
        <charset val="134"/>
      </rPr>
      <t>9 .包装/说明书(如有)/产品(如有)上的法国地址信息必须保持一致，不可出现包装上是新地址，说明书上是旧地址；如地址信息不一致请通知跟单更新文件；</t>
    </r>
  </si>
  <si>
    <t>4500215587</t>
  </si>
  <si>
    <t>0989812544</t>
  </si>
  <si>
    <t>4500215587-10</t>
  </si>
  <si>
    <t>0989812585</t>
  </si>
  <si>
    <t>4500215587-20</t>
  </si>
  <si>
    <t>0989812612</t>
  </si>
  <si>
    <t>4500215587-30</t>
  </si>
  <si>
    <t>0989813212</t>
  </si>
  <si>
    <t>4500215587-40</t>
  </si>
  <si>
    <t>6006-014721</t>
  </si>
  <si>
    <t>4500216843-10</t>
  </si>
  <si>
    <t>日期码格式：ZURU INC(BVI) 标准格式                  日期：按实际生产日期
Packaging Info: 71172：MA UPC PKG 优先1L+ 1张通用进口商贴纸（贴收缩膜背面空白处）
Remark：</t>
  </si>
  <si>
    <t>TOYZOONA LIMITED</t>
  </si>
  <si>
    <t>肯尼亚</t>
  </si>
  <si>
    <t>4500217034-40</t>
  </si>
  <si>
    <t>日期码格式：ZURU  INC(BVI) 标准格式 日期：按实际生产日期
Packaging Info: MA UPC 1L PKG
Remark:</t>
  </si>
  <si>
    <r>
      <rPr>
        <sz val="10"/>
        <color rgb="FF000000"/>
        <rFont val="等线"/>
        <charset val="134"/>
      </rPr>
      <t>Lillian</t>
    </r>
    <r>
      <rPr>
        <sz val="10"/>
        <color rgb="FF000000"/>
        <rFont val="宋体"/>
        <charset val="134"/>
        <scheme val="minor"/>
      </rPr>
      <t xml:space="preserve">  Li</t>
    </r>
  </si>
  <si>
    <t>TARGET AUSTRALIA PTY LTD</t>
  </si>
  <si>
    <t>2614268</t>
  </si>
  <si>
    <t>4500217199-10</t>
  </si>
  <si>
    <t>日期码格式：ZURU  INC(BVI) 标准格式                                    日期：按实际生产日期
Packaging Info: 71172: 英文MA包装(UPC版本，首选1L，无1L可用多L含英语)+箱唛+SSCC  label外箱贴纸；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</si>
  <si>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4500215588</t>
  </si>
  <si>
    <t>0989812578</t>
  </si>
  <si>
    <t>4500215588-10</t>
  </si>
  <si>
    <t>0989812587</t>
  </si>
  <si>
    <t>4500215588-20</t>
  </si>
  <si>
    <t>0989812614</t>
  </si>
  <si>
    <t>4500215588-30</t>
  </si>
  <si>
    <t>ZHUYU(SHENZHEN)TRADING  CO.,LTD.</t>
  </si>
  <si>
    <t>中国</t>
  </si>
  <si>
    <t>4500209724</t>
  </si>
  <si>
    <t>5000002236</t>
  </si>
  <si>
    <t>4500209724-50</t>
  </si>
  <si>
    <t>71172-S005-PKC</t>
  </si>
  <si>
    <t>待确认</t>
  </si>
  <si>
    <t>7/3收到资料，等业务通知订箱</t>
  </si>
  <si>
    <t>等测试OK后印刷</t>
  </si>
  <si>
    <t>8套大货样</t>
  </si>
  <si>
    <t>日期码格式：ZURU  INC(BVI)  标准格式                                    日期：按实际生产日期
Packaging Info: 物料要求  SKU
1  71172  UPC:193052098443      #MA+中文说明书+中文3C贴纸
71172  77858    9574  首单    需要提供8套大货样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</si>
  <si>
    <t>Dona  Tang</t>
  </si>
  <si>
    <t>4500209724-60</t>
  </si>
  <si>
    <t>4500209724-70</t>
  </si>
  <si>
    <t>4500209724-80</t>
  </si>
  <si>
    <t>合计</t>
  </si>
  <si>
    <t>S</t>
  </si>
  <si>
    <t>71172大脑 彩盒、说明书MA剩余表</t>
  </si>
  <si>
    <t>放订人</t>
  </si>
  <si>
    <t>放MA日期</t>
  </si>
  <si>
    <t>PO号码</t>
  </si>
  <si>
    <t>MA订单号码</t>
  </si>
  <si>
    <t>数量</t>
  </si>
  <si>
    <t>版本号</t>
  </si>
  <si>
    <t>语言</t>
  </si>
  <si>
    <t>MA 1L彩盒</t>
  </si>
  <si>
    <t>MA 3L彩盒</t>
  </si>
  <si>
    <t>15L说明书A</t>
  </si>
  <si>
    <t>15L说明书B</t>
  </si>
  <si>
    <t>客版说明书</t>
  </si>
  <si>
    <t>71172EC展示架24个装</t>
  </si>
  <si>
    <t>客版包材</t>
  </si>
  <si>
    <t>Minny</t>
  </si>
  <si>
    <t>彩盒</t>
  </si>
  <si>
    <t>A</t>
  </si>
  <si>
    <t>1L</t>
  </si>
  <si>
    <t>3L</t>
  </si>
  <si>
    <t>5L</t>
  </si>
  <si>
    <t>B</t>
  </si>
  <si>
    <t>2L+5L</t>
  </si>
  <si>
    <t>2L(ES+PT)</t>
  </si>
  <si>
    <t>1.Eva4392PCS 用于CANDIDE PO 4500206011-1000PCS/4500210935-3152PCS/UNIVERSA PO 4500203841 -240PCS
2.Lilly Xiao 5536PCS用于 ARCHIBRAND PO4500210225-200PCS/4500210228-116PCS/ 4500210229-300PCS/SEARS PO 4500207499- 420PCS/WM MX PO-4500210269 4500PCS
3.Sandy 340PCS 用于LIVERPOOL PO 4500199969-300pcs，4500205041-40pcs
4.Aimee 948PCS 用于 EL ROSADO PO4500208470-400PCS /NASA PO 4500203219-116PCS/4500203233-60PCS/CHEDRAUI PO待定-372PCS</t>
  </si>
  <si>
    <t>接单总数</t>
  </si>
  <si>
    <t>彩盒MA剩余</t>
  </si>
  <si>
    <t>大脑半成品生产MA</t>
  </si>
  <si>
    <t>日期</t>
  </si>
  <si>
    <r>
      <rPr>
        <sz val="10"/>
        <rFont val="宋体"/>
        <charset val="134"/>
      </rPr>
      <t>I</t>
    </r>
    <r>
      <rPr>
        <sz val="10"/>
        <rFont val="宋体"/>
        <charset val="134"/>
      </rPr>
      <t>TEM</t>
    </r>
  </si>
  <si>
    <t>要求完成日期</t>
  </si>
  <si>
    <t>MA_RR_2073</t>
  </si>
  <si>
    <t>MA_RR_2191</t>
  </si>
  <si>
    <t>MA_RR_2319</t>
  </si>
  <si>
    <t>MA_RR_2441</t>
  </si>
  <si>
    <t>MA合计</t>
  </si>
  <si>
    <t>MA剩余</t>
  </si>
  <si>
    <t>大脑IC MA</t>
  </si>
  <si>
    <t>MA_RR_1967</t>
  </si>
  <si>
    <t>HY2410082-30/HY2410082-F9 华远科创</t>
  </si>
  <si>
    <t>MA_RR_1985</t>
  </si>
  <si>
    <t>MA_RR_2023</t>
  </si>
  <si>
    <t>MA_RR_2046</t>
  </si>
  <si>
    <t>MA_RR_2120</t>
  </si>
  <si>
    <t>MA_RR_2166</t>
  </si>
  <si>
    <t>3/24,4/15</t>
  </si>
  <si>
    <t>MA_RR_2246</t>
  </si>
  <si>
    <t>5/18,4/28</t>
  </si>
  <si>
    <t>MA-RR-2302</t>
  </si>
  <si>
    <t>6/19,5/30</t>
  </si>
  <si>
    <t>MA_RR_2329</t>
  </si>
  <si>
    <t>MA_RR_2375</t>
  </si>
  <si>
    <t>7/21,7/1</t>
  </si>
  <si>
    <t>MA_RR_2407</t>
  </si>
  <si>
    <t>8/6,7/17</t>
  </si>
  <si>
    <t>MA_RR_2443</t>
  </si>
  <si>
    <t>未经烧录的IC空白片</t>
  </si>
  <si>
    <t>HY2410082-30(IC母体:DSP-QFN32)/HY2410082-F9(IC母体:Flash-8Mb) 华远科创</t>
  </si>
  <si>
    <t>按接单IC 剩余数</t>
  </si>
  <si>
    <t>除去MA半成品 剩余数</t>
  </si>
  <si>
    <t>蓝色表示寄出
黄色表示出单</t>
  </si>
  <si>
    <t>取消日期</t>
  </si>
  <si>
    <t>DM LLC</t>
  </si>
  <si>
    <t>俄罗斯</t>
  </si>
  <si>
    <t>4500200893</t>
  </si>
  <si>
    <t>order 5377Bekasovo 2</t>
  </si>
  <si>
    <t>4500200893-80</t>
  </si>
  <si>
    <t>日期码格式：外包装/外箱不要打ZURU标准日期                  日期：
Packaging Info: 注意:  除了71172 ，其他item的进口商贴纸，EAN条码贴纸（如有）翻4500200846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MA UPC 彩卡或者收缩膜+进口商贴纸+EAN条码贴纸+QR code 贴纸  （一物一码），MA 说明书/指南（如有）
Remark: 客户DM订单注意事项:
 1. 标准配比
 2. 请按期完货，  会有罚金。
 3. 出仓库-Bekasovo 2 。
 4. 外包装(指:收缩膜/彩卡/铝箔袋/挂卡/PDQ)/外箱不要打ZURU标准日期码!胶件可以打日期码。
 5. 零售包装上的QR code贴纸（要求一物一码，每PCS的二维码不一样，二维码可扫描区域尺寸要大于15x15mm ，  整张贴纸尺寸25X40MM &lt;(&gt;&lt;&lt;)&gt;含二维码下序列号
 /Art/size等&gt;,白底黑字，分辨率要大于300dpi，位置要远离条码。  可贴零售   包装的侧面右下角/背面的右上角/挂卡的背面/正面的右上角，距离边距5mm）;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t>
  </si>
  <si>
    <t>Amy xiao</t>
  </si>
  <si>
    <t>4500200937</t>
  </si>
  <si>
    <t>order 5377Ural</t>
  </si>
  <si>
    <t>4500200937-80</t>
  </si>
  <si>
    <t>日期码格式：外包装/外箱不要打ZURU标准日期                  日期：
Packaging Info: 注意:  71172 的进口商贴纸，EAN条码贴纸（如有）翻4500200893；
     其他 item 的进口商贴纸，EAN条码贴纸（如有）翻4500200846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MA UPC 彩卡或者收缩膜+进口商贴纸+EAN条码贴纸+QR code 贴纸  （一物一码），MA 说明书/指南（如有）
Remark: 客户DM订单注意事项:
 1. 标准配比
 2. 请按期完货，  会有罚金。
 3. 出仓库- Ural 。
 4. 外包装(指:收缩膜/彩卡/铝箔袋/挂卡/PDQ)/外箱不要打ZURU标准日期码!胶件可以打日期码。
 5. 零售包装上的QR code贴纸（要求一物一码，每PCS的二维码不一样，二维码可扫描区域尺寸要大于15x15mm ，  整张贴纸尺寸25X40MM &lt;(&gt;&lt;&lt;)&gt;含二维码下序列号
 /Art/size等&gt;,白底黑字，分辨率要大于300dpi，位置要远离条码。  可贴零售   包装的侧面右下角/背面的右上角/挂卡的背面/正面的右上角，距离边距5mm）;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t>
  </si>
  <si>
    <t>4500200968</t>
  </si>
  <si>
    <t>4500200968-80</t>
  </si>
  <si>
    <t>日期码格式：外包装/外箱不要打ZURU标准日期                  日期：
Packaging Info: 注意:  71172 的进口商贴纸，EAN条码贴纸（如有）翻4500200893；
     其他 item 的进口商贴纸，EAN条码贴纸（如有）翻4500200846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MA UPC 彩卡或者收缩膜+进口商贴纸+EAN条码贴纸+QR code 贴纸  （一物一码），MA 说明书/指南（如有）
Remark: 客户DM订单注意事项:
 1. 标准配比
 2. 请按期完货，  会有罚金。
 3. 出仓库-Bekasovo 2。
 4. 外包装(指:收缩膜/彩卡/铝箔袋/挂卡/PDQ)/外箱不要打ZURU标准日期码!胶件可以打日期码。
 5. 零售包装上的QR code贴纸（要求一物一码，每PCS的二维码不一样，二维码可扫描区域尺寸要大于15x15mm ，  整张贴纸尺寸25X40MM &lt;(&gt;&lt;&lt;)&gt;含二维码下序列号
 /Art/size等&gt;,白底黑字，分辨率要大于300dpi，位置要远离条码。  可贴零售   包装的侧面右下角/背面的右上角/挂卡的背面/正面的右上角，距离边距5mm）;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t>
  </si>
  <si>
    <t>4500201001</t>
  </si>
  <si>
    <t>4500201001-80</t>
  </si>
  <si>
    <t>AMAZON UK</t>
  </si>
  <si>
    <t>4500199193</t>
  </si>
  <si>
    <t>6MTFVO4E</t>
  </si>
  <si>
    <t>4500199193-40</t>
  </si>
  <si>
    <r>
      <rPr>
        <sz val="10"/>
        <color rgb="FFFF0000"/>
        <rFont val="等线"/>
        <charset val="134"/>
      </rPr>
      <t>大脑</t>
    </r>
    <r>
      <rPr>
        <sz val="10"/>
        <color rgb="FFFF0000"/>
        <rFont val="汉仪书宋二KW"/>
        <charset val="134"/>
      </rPr>
      <t>（</t>
    </r>
    <r>
      <rPr>
        <sz val="10"/>
        <color rgb="FFFF0000"/>
        <rFont val="等线"/>
        <charset val="134"/>
      </rPr>
      <t>邮包盒装</t>
    </r>
    <r>
      <rPr>
        <sz val="10"/>
        <color rgb="FFFF0000"/>
        <rFont val="汉仪书宋二KW"/>
        <charset val="134"/>
      </rPr>
      <t>）</t>
    </r>
  </si>
  <si>
    <r>
      <rPr>
        <sz val="10"/>
        <color rgb="FFFF0000"/>
        <rFont val="等线"/>
        <charset val="134"/>
      </rPr>
      <t>日期码格式</t>
    </r>
    <r>
      <rPr>
        <sz val="10"/>
        <color rgb="FFFF0000"/>
        <rFont val="汉仪书宋二KW"/>
        <charset val="134"/>
      </rPr>
      <t>：</t>
    </r>
    <r>
      <rPr>
        <sz val="10"/>
        <color rgb="FFFF0000"/>
        <rFont val="等线"/>
        <charset val="134"/>
      </rPr>
      <t>ZURU INC(BVI) 标准格式 日期</t>
    </r>
    <r>
      <rPr>
        <sz val="10"/>
        <color rgb="FFFF0000"/>
        <rFont val="汉仪书宋二KW"/>
        <charset val="134"/>
      </rPr>
      <t>：</t>
    </r>
    <r>
      <rPr>
        <sz val="10"/>
        <color rgb="FFFF0000"/>
        <rFont val="等线"/>
        <charset val="134"/>
      </rPr>
      <t>按实际生产日期
Packaging Info: Amazon UK: 8WX462WO/6MTFVO4E/795E945F
Amazon UK(15780BD/71172/77876/77878/92146BG)
1. 15780BD:
---15780B: 1pc 15780B(Sasquoosh/Stinkface/Squooshface) in window box, then into polybag,12polybags/ctn; MA 5L(5L warning UPC)B开窗彩盒+MA其它最
新配套包装+客版透明胶袋(含英法德意西荷兰警告语+双面打孔+塑料循环标,参考翻单PO#4500198640)+1张贴纸(含UPC#+IT环保标+ES洗涤说明, 参考翻单PO#450019
8640);
---15780D: 1pc 15780D(Munch Munch/Reek-o/Munch-o) in window box, then into polybag,12polybags/ctn; MA 5L(5L warning UPC)B开窗彩盒+MA其它最新配套
包装+客版透明胶袋(含英法德意西荷兰警告语+双面打孔+塑料循环标,参考翻单PO#4500198640)+1张贴纸(含UPC#+IT环保标+ES洗涤说明, 参考翻单PO#4500198640);
2. 92146BG:
---92146B: 1pc 92146B SMALL(Raccoon) into shrink wraps,24pcs/ctn;Bubble powder;NO Boron; MA 3L(8L warning EAN)A收缩膜+MA其它最新配套包装+MA 5L(
19L warning)A收藏指南+1张贴纸(1张UPC+IT环保标+ES洗涤说明贴纸</t>
    </r>
    <r>
      <rPr>
        <sz val="10"/>
        <color rgb="FFFF0000"/>
        <rFont val="汉仪书宋二KW"/>
        <charset val="134"/>
      </rPr>
      <t>，</t>
    </r>
    <r>
      <rPr>
        <sz val="10"/>
        <color rgb="FFFF0000"/>
        <rFont val="等线"/>
        <charset val="134"/>
      </rPr>
      <t>参考翻单PO#4500198640);
---92146G: 1pc 92146G SMALL(Pigeon) into shrink wraps,24pcs/ctn;Bubble powder;NO Boron; MA 3L(8L warning EAN)A收缩膜+MA其它最新配套包装+MA 5L(19
L warning)A收藏指南+1张贴纸(1张UPC+IT环保标+ES洗涤说明贴纸</t>
    </r>
    <r>
      <rPr>
        <sz val="10"/>
        <color rgb="FFFF0000"/>
        <rFont val="汉仪书宋二KW"/>
        <charset val="134"/>
      </rPr>
      <t>，</t>
    </r>
    <r>
      <rPr>
        <sz val="10"/>
        <color rgb="FFFF0000"/>
        <rFont val="等线"/>
        <charset val="134"/>
      </rPr>
      <t>参考翻单PO#4500198640);
3. 71172: 1pc 71172 BRIAN THE BRAIN into open box, then into mailbox, 4mailboxes/ctn; 3PCS AA BATTERIES(INCLUDED); MA 1L(23L warning UPC)A开口彩
盒+MA 15L A说明书+客版邮包盒(参考Amazon US翻单PO#4500192525)+WEEE_带电池走货 _ 说明书欧洲EN+30L_B版;
4. 77876: 2pk 77772 VINYL into PVC tube,12tubes/ctn; 77772: 4 mini vinyls,1 accessory; 客版 3L(3L warning 无条码)A收缩膜(参考翻单PO#4500198642,
新UK地址)+MA 23L warning A组装黑白说明书+MA其它最新配套包装+客版3L(3L warning UPC)A彩卡(参考翻单PO#4500198642</t>
    </r>
    <r>
      <rPr>
        <sz val="10"/>
        <color rgb="FFFF0000"/>
        <rFont val="汉仪书宋二KW"/>
        <charset val="134"/>
      </rPr>
      <t>，</t>
    </r>
    <r>
      <rPr>
        <sz val="10"/>
        <color rgb="FFFF0000"/>
        <rFont val="等线"/>
        <charset val="134"/>
      </rPr>
      <t>新UK地址)+1张贴纸(含DE/IT警告语+
IT环保标, 参考翻单PO#4500198642);
5. 77878: 2pk 77843 in PVC tube,12tubes/ctn;Contain Sand, UV Glue and Cream Glue; SUSHI and RAINBOW CAKE(Rare) without batteries, other assortme
nts: 6PCS AG13 BATTERIES(INCLUDED); Ratio: PIZZA: HAMBURGER: PANCAKES: BUBBLE TEA: Matcha TEA: TACO: SUSHI: DONUT: Charcuterie Board: RAINBOW C
AKE(Rare)=10.88%: 10.88%: 10.88%: 10.88%: 10.88%: 10.88%: 10.88%: 10.88%: 10.88%: 2.08%=68:68:68:68:68:68:68:68:68:13; MA 1L(1L Warning UPC)A收
缩膜+1张空白贴纸(覆盖收缩上条码, 参考Amazon US翻单PO#4500192514)+MA 5L A收藏指南+MA 23L warning A SUSHI &lt;(&gt;&amp;&lt;)&gt; RAINBOW CAKE说明书+MA 23L warni
ng A UV Glue说明书+客版3L(3L warning UPC)A彩卡(参考Amazon US翻单PO#4500192514.,新UK地址)+1张贴纸(含DE/IT警告语+IT环保标,参考翻单PO#4500198640)+W
EEE_带电池走货 _ 说明书欧洲EN+30L_B版;
6. 验货时间不迟于2026/8/7.
Remark: 1.空白外箱</t>
    </r>
    <r>
      <rPr>
        <sz val="10"/>
        <color rgb="FFFF0000"/>
        <rFont val="汉仪书宋二KW"/>
        <charset val="134"/>
      </rPr>
      <t>（</t>
    </r>
    <r>
      <rPr>
        <sz val="10"/>
        <color rgb="FFFF0000"/>
        <rFont val="等线"/>
        <charset val="134"/>
      </rPr>
      <t>加印带Zuru字样的最新logo</t>
    </r>
    <r>
      <rPr>
        <sz val="10"/>
        <color rgb="FFFF0000"/>
        <rFont val="汉仪书宋二KW"/>
        <charset val="134"/>
      </rPr>
      <t>，</t>
    </r>
    <r>
      <rPr>
        <sz val="10"/>
        <color rgb="FFFF0000"/>
        <rFont val="等线"/>
        <charset val="134"/>
      </rPr>
      <t>除了邮包盒直接做外箱的产品</t>
    </r>
    <r>
      <rPr>
        <sz val="10"/>
        <color rgb="FFFF0000"/>
        <rFont val="汉仪书宋二KW"/>
        <charset val="134"/>
      </rPr>
      <t>）</t>
    </r>
    <r>
      <rPr>
        <sz val="10"/>
        <color rgb="FFFF0000"/>
        <rFont val="等线"/>
        <charset val="134"/>
      </rPr>
      <t xml:space="preserve"> + SSCC LABEL一张, 无箱唛</t>
    </r>
    <r>
      <rPr>
        <sz val="10"/>
        <color rgb="FFFF0000"/>
        <rFont val="汉仪书宋二KW"/>
        <charset val="134"/>
      </rPr>
      <t>，</t>
    </r>
    <r>
      <rPr>
        <sz val="10"/>
        <color rgb="FFFF0000"/>
        <rFont val="等线"/>
        <charset val="134"/>
      </rPr>
      <t>MADE IN CHINA 外箱只印一正一侧。箱唛资料按照给定的
标准去做即可</t>
    </r>
    <r>
      <rPr>
        <sz val="10"/>
        <color rgb="FFFF0000"/>
        <rFont val="汉仪书宋二KW"/>
        <charset val="134"/>
      </rPr>
      <t>，</t>
    </r>
    <r>
      <rPr>
        <sz val="10"/>
        <color rgb="FFFF0000"/>
        <rFont val="等线"/>
        <charset val="134"/>
      </rPr>
      <t>无需发回我方再行审批(新标准将另行通知)。
(SSCC LABEL竖贴在外箱正面的正中间</t>
    </r>
    <r>
      <rPr>
        <sz val="10"/>
        <color rgb="FFFF0000"/>
        <rFont val="汉仪书宋二KW"/>
        <charset val="134"/>
      </rPr>
      <t>，</t>
    </r>
    <r>
      <rPr>
        <sz val="10"/>
        <color rgb="FFFF0000"/>
        <rFont val="等线"/>
        <charset val="134"/>
      </rPr>
      <t>贴一面即可,贴纸离外箱边距必须至少3.2CM。如竖贴无法满足要求</t>
    </r>
    <r>
      <rPr>
        <sz val="10"/>
        <color rgb="FFFF0000"/>
        <rFont val="汉仪书宋二KW"/>
        <charset val="134"/>
      </rPr>
      <t>，</t>
    </r>
    <r>
      <rPr>
        <sz val="10"/>
        <color rgb="FFFF0000"/>
        <rFont val="等线"/>
        <charset val="134"/>
      </rPr>
      <t>则横贴。如横贴也无法满足要求</t>
    </r>
    <r>
      <rPr>
        <sz val="10"/>
        <color rgb="FFFF0000"/>
        <rFont val="汉仪书宋二KW"/>
        <charset val="134"/>
      </rPr>
      <t>，</t>
    </r>
    <r>
      <rPr>
        <sz val="10"/>
        <color rgb="FFFF0000"/>
        <rFont val="等线"/>
        <charset val="134"/>
      </rPr>
      <t>则竖贴</t>
    </r>
    <r>
      <rPr>
        <sz val="10"/>
        <color rgb="FFFF0000"/>
        <rFont val="汉仪书宋二KW"/>
        <charset val="134"/>
      </rPr>
      <t>，</t>
    </r>
    <r>
      <rPr>
        <sz val="10"/>
        <color rgb="FFFF0000"/>
        <rFont val="等线"/>
        <charset val="134"/>
      </rPr>
      <t>遮到ZURU lo
go无影响), SSCC贴纸由工厂直接跟勤得采购或者工厂自行采购</t>
    </r>
    <r>
      <rPr>
        <sz val="10"/>
        <color rgb="FFFF0000"/>
        <rFont val="汉仪书宋二KW"/>
        <charset val="134"/>
      </rPr>
      <t>，</t>
    </r>
    <r>
      <rPr>
        <sz val="10"/>
        <color rgb="FFFF0000"/>
        <rFont val="等线"/>
        <charset val="134"/>
      </rPr>
      <t>每一张SSCC Label都是唯一且有不同流水及条码</t>
    </r>
    <r>
      <rPr>
        <sz val="10"/>
        <color rgb="FFFF0000"/>
        <rFont val="汉仪书宋二KW"/>
        <charset val="134"/>
      </rPr>
      <t>，</t>
    </r>
    <r>
      <rPr>
        <sz val="10"/>
        <color rgb="FFFF0000"/>
        <rFont val="等线"/>
        <charset val="134"/>
      </rPr>
      <t>且需要检查条码是否能正常扫描</t>
    </r>
    <r>
      <rPr>
        <sz val="10"/>
        <color rgb="FFFF0000"/>
        <rFont val="汉仪书宋二KW"/>
        <charset val="134"/>
      </rPr>
      <t>，</t>
    </r>
    <r>
      <rPr>
        <sz val="10"/>
        <color rgb="FFFF0000"/>
        <rFont val="等线"/>
        <charset val="134"/>
      </rPr>
      <t>另外</t>
    </r>
    <r>
      <rPr>
        <sz val="10"/>
        <color rgb="FFFF0000"/>
        <rFont val="汉仪书宋二KW"/>
        <charset val="134"/>
      </rPr>
      <t>，</t>
    </r>
    <r>
      <rPr>
        <sz val="10"/>
        <color rgb="FFFF0000"/>
        <rFont val="等线"/>
        <charset val="134"/>
      </rPr>
      <t>此贴纸
印刷不可出现模糊</t>
    </r>
    <r>
      <rPr>
        <sz val="10"/>
        <color rgb="FFFF0000"/>
        <rFont val="汉仪书宋二KW"/>
        <charset val="134"/>
      </rPr>
      <t>，</t>
    </r>
    <r>
      <rPr>
        <sz val="10"/>
        <color rgb="FFFF0000"/>
        <rFont val="等线"/>
        <charset val="134"/>
      </rPr>
      <t>溢出及粘胶不牢易脱落等现象</t>
    </r>
    <r>
      <rPr>
        <sz val="10"/>
        <color rgb="FFFF0000"/>
        <rFont val="汉仪书宋二KW"/>
        <charset val="134"/>
      </rPr>
      <t>，</t>
    </r>
    <r>
      <rPr>
        <sz val="10"/>
        <color rgb="FFFF0000"/>
        <rFont val="等线"/>
        <charset val="134"/>
      </rPr>
      <t>如工厂不按此要求导致贴纸有任何问题产生的罚款将由工厂承担一切责任 ,&lt;(&gt;,&lt;)&gt; 此要求只适用Amazon UK/DE
/FR/ES/IT,不适用Amazon GPE</t>
    </r>
    <r>
      <rPr>
        <sz val="10"/>
        <color rgb="FFFF0000"/>
        <rFont val="汉仪书宋二KW"/>
        <charset val="134"/>
      </rPr>
      <t>，</t>
    </r>
    <r>
      <rPr>
        <sz val="10"/>
        <color rgb="FFFF0000"/>
        <rFont val="等线"/>
        <charset val="134"/>
      </rPr>
      <t>Amazon GPE无SSCC label, 但是有对应箱唛</t>
    </r>
    <r>
      <rPr>
        <sz val="10"/>
        <color rgb="FFFF0000"/>
        <rFont val="汉仪书宋二KW"/>
        <charset val="134"/>
      </rPr>
      <t>，</t>
    </r>
    <r>
      <rPr>
        <sz val="10"/>
        <color rgb="FFFF0000"/>
        <rFont val="等线"/>
        <charset val="134"/>
      </rPr>
      <t xml:space="preserve">需印刷到外箱 。
2.出往UK的产品+包装务必打上UKCA logo </t>
    </r>
    <r>
      <rPr>
        <sz val="10"/>
        <color rgb="FFFF0000"/>
        <rFont val="汉仪书宋二KW"/>
        <charset val="134"/>
      </rPr>
      <t>，</t>
    </r>
    <r>
      <rPr>
        <sz val="10"/>
        <color rgb="FFFF0000"/>
        <rFont val="等线"/>
        <charset val="134"/>
      </rPr>
      <t>否则客人会退货且当地会有罚款。Amazon GPE</t>
    </r>
    <r>
      <rPr>
        <sz val="10"/>
        <color rgb="FFFF0000"/>
        <rFont val="汉仪书宋二KW"/>
        <charset val="134"/>
      </rPr>
      <t>（</t>
    </r>
    <r>
      <rPr>
        <sz val="10"/>
        <color rgb="FFFF0000"/>
        <rFont val="等线"/>
        <charset val="134"/>
      </rPr>
      <t>包含UK/FR/ES/DE/IT</t>
    </r>
    <r>
      <rPr>
        <sz val="10"/>
        <color rgb="FFFF0000"/>
        <rFont val="汉仪书宋二KW"/>
        <charset val="134"/>
      </rPr>
      <t>）</t>
    </r>
    <r>
      <rPr>
        <sz val="10"/>
        <color rgb="FFFF0000"/>
        <rFont val="等线"/>
        <charset val="134"/>
      </rPr>
      <t>的订单也需满足此要求。
3.订单必须经过ZURU QC验货或者工厂自检通过后方可出货</t>
    </r>
    <r>
      <rPr>
        <sz val="10"/>
        <color rgb="FFFF0000"/>
        <rFont val="汉仪书宋二KW"/>
        <charset val="134"/>
      </rPr>
      <t>，</t>
    </r>
    <r>
      <rPr>
        <sz val="10"/>
        <color rgb="FFFF0000"/>
        <rFont val="等线"/>
        <charset val="134"/>
      </rPr>
      <t>不涉及第三方验货。
4.法国订单要求包装不使用矿物油</t>
    </r>
    <r>
      <rPr>
        <sz val="10"/>
        <color rgb="FFFF0000"/>
        <rFont val="汉仪书宋二KW"/>
        <charset val="134"/>
      </rPr>
      <t>，</t>
    </r>
    <r>
      <rPr>
        <sz val="10"/>
        <color rgb="FFFF0000"/>
        <rFont val="等线"/>
        <charset val="134"/>
      </rPr>
      <t xml:space="preserve">请按要求提供以下其中一份文件再出货 </t>
    </r>
    <r>
      <rPr>
        <sz val="10"/>
        <color rgb="FFFF0000"/>
        <rFont val="汉仪书宋二KW"/>
        <charset val="134"/>
      </rPr>
      <t>，</t>
    </r>
    <r>
      <rPr>
        <sz val="10"/>
        <color rgb="FFFF0000"/>
        <rFont val="等线"/>
        <charset val="134"/>
      </rPr>
      <t>产品出到法国被相关部门抽检出现包装不符合此要求的</t>
    </r>
    <r>
      <rPr>
        <sz val="10"/>
        <color rgb="FFFF0000"/>
        <rFont val="汉仪书宋二KW"/>
        <charset val="134"/>
      </rPr>
      <t>，</t>
    </r>
    <r>
      <rPr>
        <sz val="10"/>
        <color rgb="FFFF0000"/>
        <rFont val="等线"/>
        <charset val="134"/>
      </rPr>
      <t>供应商需要为此承担责任</t>
    </r>
    <r>
      <rPr>
        <sz val="10"/>
        <color rgb="FFFF0000"/>
        <rFont val="汉仪书宋二KW"/>
        <charset val="134"/>
      </rPr>
      <t>，</t>
    </r>
    <r>
      <rPr>
        <sz val="10"/>
        <color rgb="FFFF0000"/>
        <rFont val="等线"/>
        <charset val="134"/>
      </rPr>
      <t xml:space="preserve">
故此请严格把关。Amazon GPE</t>
    </r>
    <r>
      <rPr>
        <sz val="10"/>
        <color rgb="FFFF0000"/>
        <rFont val="汉仪书宋二KW"/>
        <charset val="134"/>
      </rPr>
      <t>（</t>
    </r>
    <r>
      <rPr>
        <sz val="10"/>
        <color rgb="FFFF0000"/>
        <rFont val="等线"/>
        <charset val="134"/>
      </rPr>
      <t>包含UK/FR/ES/DE/IT</t>
    </r>
    <r>
      <rPr>
        <sz val="10"/>
        <color rgb="FFFF0000"/>
        <rFont val="汉仪书宋二KW"/>
        <charset val="134"/>
      </rPr>
      <t>）</t>
    </r>
    <r>
      <rPr>
        <sz val="10"/>
        <color rgb="FFFF0000"/>
        <rFont val="等线"/>
        <charset val="134"/>
      </rPr>
      <t>的订单也需满足此要求。
-油墨物质""""""""由1 ~ 7个芳香环组成的MOAH""""""""的包装检测报告</t>
    </r>
    <r>
      <rPr>
        <sz val="10"/>
        <color rgb="FFFF0000"/>
        <rFont val="汉仪书宋二KW"/>
        <charset val="134"/>
      </rPr>
      <t>，</t>
    </r>
    <r>
      <rPr>
        <sz val="10"/>
        <color rgb="FFFF0000"/>
        <rFont val="等线"/>
        <charset val="134"/>
      </rPr>
      <t>要求限值≤1.0%</t>
    </r>
    <r>
      <rPr>
        <sz val="10"/>
        <color rgb="FFFF0000"/>
        <rFont val="汉仪书宋二KW"/>
        <charset val="134"/>
      </rPr>
      <t>；</t>
    </r>
    <r>
      <rPr>
        <sz val="10"/>
        <color rgb="FFFF0000"/>
        <rFont val="等线"/>
        <charset val="134"/>
      </rPr>
      <t xml:space="preserve">
-包装材料清单</t>
    </r>
    <r>
      <rPr>
        <sz val="10"/>
        <color rgb="FFFF0000"/>
        <rFont val="汉仪书宋二KW"/>
        <charset val="134"/>
      </rPr>
      <t>，</t>
    </r>
    <r>
      <rPr>
        <sz val="10"/>
        <color rgb="FFFF0000"/>
        <rFont val="等线"/>
        <charset val="134"/>
      </rPr>
      <t>包括包装油墨或物质的信息</t>
    </r>
    <r>
      <rPr>
        <sz val="10"/>
        <color rgb="FFFF0000"/>
        <rFont val="汉仪书宋二KW"/>
        <charset val="134"/>
      </rPr>
      <t>；</t>
    </r>
    <r>
      <rPr>
        <sz val="10"/>
        <color rgb="FFFF0000"/>
        <rFont val="等线"/>
        <charset val="134"/>
      </rPr>
      <t xml:space="preserve">
-油墨制造商的证书</t>
    </r>
    <r>
      <rPr>
        <sz val="10"/>
        <color rgb="FFFF0000"/>
        <rFont val="汉仪书宋二KW"/>
        <charset val="134"/>
      </rPr>
      <t>；</t>
    </r>
    <r>
      <rPr>
        <sz val="10"/>
        <color rgb="FFFF0000"/>
        <rFont val="等线"/>
        <charset val="134"/>
      </rPr>
      <t xml:space="preserve">
5.每一批次出货只能有一个生产日期</t>
    </r>
    <r>
      <rPr>
        <sz val="10"/>
        <color rgb="FFFF0000"/>
        <rFont val="汉仪书宋二KW"/>
        <charset val="134"/>
      </rPr>
      <t>，</t>
    </r>
    <r>
      <rPr>
        <sz val="10"/>
        <color rgb="FFFF0000"/>
        <rFont val="等线"/>
        <charset val="134"/>
      </rPr>
      <t>不可多个生产日期混在同一批次出货</t>
    </r>
    <r>
      <rPr>
        <sz val="10"/>
        <color rgb="FFFF0000"/>
        <rFont val="汉仪书宋二KW"/>
        <charset val="134"/>
      </rPr>
      <t>；</t>
    </r>
    <r>
      <rPr>
        <sz val="10"/>
        <color rgb="FFFF0000"/>
        <rFont val="等线"/>
        <charset val="134"/>
      </rPr>
      <t>且零售包装上必须统一加上日期码</t>
    </r>
    <r>
      <rPr>
        <sz val="10"/>
        <color rgb="FFFF0000"/>
        <rFont val="汉仪书宋二KW"/>
        <charset val="134"/>
      </rPr>
      <t>；</t>
    </r>
    <r>
      <rPr>
        <sz val="10"/>
        <color rgb="FFFF0000"/>
        <rFont val="等线"/>
        <charset val="134"/>
      </rPr>
      <t>外箱对于日期码没有硬性规定</t>
    </r>
    <r>
      <rPr>
        <sz val="10"/>
        <color rgb="FFFF0000"/>
        <rFont val="汉仪书宋二KW"/>
        <charset val="134"/>
      </rPr>
      <t>；</t>
    </r>
    <r>
      <rPr>
        <sz val="10"/>
        <color rgb="FFFF0000"/>
        <rFont val="等线"/>
        <charset val="134"/>
      </rPr>
      <t xml:space="preserve">
6.涉及到相关款式会有闪粉的或者微塑料的</t>
    </r>
    <r>
      <rPr>
        <sz val="10"/>
        <color rgb="FFFF0000"/>
        <rFont val="汉仪书宋二KW"/>
        <charset val="134"/>
      </rPr>
      <t>，</t>
    </r>
    <r>
      <rPr>
        <sz val="10"/>
        <color rgb="FFFF0000"/>
        <rFont val="等线"/>
        <charset val="134"/>
      </rPr>
      <t>请统一默认出无闪粉或者不含微塑料版本</t>
    </r>
    <r>
      <rPr>
        <sz val="10"/>
        <color rgb="FFFF0000"/>
        <rFont val="汉仪书宋二KW"/>
        <charset val="134"/>
      </rPr>
      <t>；</t>
    </r>
    <r>
      <rPr>
        <sz val="10"/>
        <color rgb="FFFF0000"/>
        <rFont val="等线"/>
        <charset val="134"/>
      </rPr>
      <t xml:space="preserve">
7.邮包盒及外箱封箱必须是工字型封箱方式</t>
    </r>
    <r>
      <rPr>
        <sz val="10"/>
        <color rgb="FFFF0000"/>
        <rFont val="汉仪书宋二KW"/>
        <charset val="134"/>
      </rPr>
      <t>；</t>
    </r>
    <r>
      <rPr>
        <sz val="10"/>
        <color rgb="FFFF0000"/>
        <rFont val="等线"/>
        <charset val="134"/>
      </rPr>
      <t xml:space="preserve">
8.5 Surprise or Mini Brands涉及包装是2个及2个以上的球入PVC桶包装时</t>
    </r>
    <r>
      <rPr>
        <sz val="10"/>
        <color rgb="FFFF0000"/>
        <rFont val="汉仪书宋二KW"/>
        <charset val="134"/>
      </rPr>
      <t>，</t>
    </r>
    <r>
      <rPr>
        <sz val="10"/>
        <color rgb="FFFF0000"/>
        <rFont val="等线"/>
        <charset val="134"/>
      </rPr>
      <t>单个球上若有UPC#或者EAN#</t>
    </r>
    <r>
      <rPr>
        <sz val="10"/>
        <color rgb="FFFF0000"/>
        <rFont val="汉仪书宋二KW"/>
        <charset val="134"/>
      </rPr>
      <t>，</t>
    </r>
    <r>
      <rPr>
        <sz val="10"/>
        <color rgb="FFFF0000"/>
        <rFont val="等线"/>
        <charset val="134"/>
      </rPr>
      <t>请用空白贴纸覆盖住</t>
    </r>
    <r>
      <rPr>
        <sz val="10"/>
        <color rgb="FFFF0000"/>
        <rFont val="汉仪书宋二KW"/>
        <charset val="134"/>
      </rPr>
      <t>，</t>
    </r>
    <r>
      <rPr>
        <sz val="10"/>
        <color rgb="FFFF0000"/>
        <rFont val="等线"/>
        <charset val="134"/>
      </rPr>
      <t>贴纸尺寸自行测量能覆盖原条码即
可</t>
    </r>
    <r>
      <rPr>
        <sz val="10"/>
        <color rgb="FFFF0000"/>
        <rFont val="汉仪书宋二KW"/>
        <charset val="134"/>
      </rPr>
      <t>；</t>
    </r>
    <r>
      <rPr>
        <sz val="10"/>
        <color rgb="FFFF0000"/>
        <rFont val="等线"/>
        <charset val="134"/>
      </rPr>
      <t xml:space="preserve">
9. 无论是工厂自检还是ZURU验货</t>
    </r>
    <r>
      <rPr>
        <sz val="10"/>
        <color rgb="FFFF0000"/>
        <rFont val="汉仪书宋二KW"/>
        <charset val="134"/>
      </rPr>
      <t>，</t>
    </r>
    <r>
      <rPr>
        <sz val="10"/>
        <color rgb="FFFF0000"/>
        <rFont val="等线"/>
        <charset val="134"/>
      </rPr>
      <t>验货报告中必须有产品6面图(正面/背面/左面/右面/顶部/底部</t>
    </r>
    <r>
      <rPr>
        <sz val="10"/>
        <color rgb="FFFF0000"/>
        <rFont val="汉仪书宋二KW"/>
        <charset val="134"/>
      </rPr>
      <t>，</t>
    </r>
    <r>
      <rPr>
        <sz val="10"/>
        <color rgb="FFFF0000"/>
        <rFont val="等线"/>
        <charset val="134"/>
      </rPr>
      <t>不带包装);
10. 按空海运鉴定报告的要求</t>
    </r>
    <r>
      <rPr>
        <sz val="10"/>
        <color rgb="FFFF0000"/>
        <rFont val="汉仪书宋二KW"/>
        <charset val="134"/>
      </rPr>
      <t>，</t>
    </r>
    <r>
      <rPr>
        <sz val="10"/>
        <color rgb="FFFF0000"/>
        <rFont val="等线"/>
        <charset val="134"/>
      </rPr>
      <t>只要带锂电池出货</t>
    </r>
    <r>
      <rPr>
        <sz val="10"/>
        <color rgb="FFFF0000"/>
        <rFont val="汉仪书宋二KW"/>
        <charset val="134"/>
      </rPr>
      <t>，</t>
    </r>
    <r>
      <rPr>
        <sz val="10"/>
        <color rgb="FFFF0000"/>
        <rFont val="等线"/>
        <charset val="134"/>
      </rPr>
      <t>都需要加贴UN贴纸</t>
    </r>
    <r>
      <rPr>
        <sz val="10"/>
        <color rgb="FFFF0000"/>
        <rFont val="汉仪书宋二KW"/>
        <charset val="134"/>
      </rPr>
      <t>；</t>
    </r>
    <r>
      <rPr>
        <sz val="10"/>
        <color rgb="FFFF0000"/>
        <rFont val="等线"/>
        <charset val="134"/>
      </rPr>
      <t xml:space="preserve">
11. 所有出往GAS市场(德国/奥地利/瑞士)的电子产品身上需要加字唛</t>
    </r>
    <r>
      <rPr>
        <sz val="10"/>
        <color rgb="FFFF0000"/>
        <rFont val="汉仪书宋二KW"/>
        <charset val="134"/>
      </rPr>
      <t>，</t>
    </r>
    <r>
      <rPr>
        <sz val="10"/>
        <color rgb="FFFF0000"/>
        <rFont val="等线"/>
        <charset val="134"/>
      </rPr>
      <t>为ZURU FRANCE 地址</t>
    </r>
    <r>
      <rPr>
        <sz val="10"/>
        <color rgb="FFFF0000"/>
        <rFont val="汉仪书宋二KW"/>
        <charset val="134"/>
      </rPr>
      <t>，</t>
    </r>
    <r>
      <rPr>
        <sz val="10"/>
        <color rgb="FFFF0000"/>
        <rFont val="等线"/>
        <charset val="134"/>
      </rPr>
      <t>需跟包装上的地址一致 (如无电子产品</t>
    </r>
    <r>
      <rPr>
        <sz val="10"/>
        <color rgb="FFFF0000"/>
        <rFont val="汉仪书宋二KW"/>
        <charset val="134"/>
      </rPr>
      <t>，</t>
    </r>
    <r>
      <rPr>
        <sz val="10"/>
        <color rgb="FFFF0000"/>
        <rFont val="等线"/>
        <charset val="134"/>
      </rPr>
      <t>产品布标有此地址</t>
    </r>
    <r>
      <rPr>
        <sz val="10"/>
        <color rgb="FFFF0000"/>
        <rFont val="汉仪书宋二KW"/>
        <charset val="134"/>
      </rPr>
      <t>，</t>
    </r>
    <r>
      <rPr>
        <sz val="10"/>
        <color rgb="FFFF0000"/>
        <rFont val="等线"/>
        <charset val="134"/>
      </rPr>
      <t>或产品
太小无法增加可忽略此信息。如产品无法加字唛</t>
    </r>
    <r>
      <rPr>
        <sz val="10"/>
        <color rgb="FFFF0000"/>
        <rFont val="汉仪书宋二KW"/>
        <charset val="134"/>
      </rPr>
      <t>，</t>
    </r>
    <r>
      <rPr>
        <sz val="10"/>
        <color rgb="FFFF0000"/>
        <rFont val="等线"/>
        <charset val="134"/>
      </rPr>
      <t>需让对应跟单提供产品贴纸资料);</t>
    </r>
    <r>
      <rPr>
        <sz val="10"/>
        <color rgb="FFFF0000"/>
        <rFont val="汉仪书宋二KW"/>
        <charset val="134"/>
      </rPr>
      <t>（</t>
    </r>
    <r>
      <rPr>
        <sz val="10"/>
        <color rgb="FFFF0000"/>
        <rFont val="等线"/>
        <charset val="134"/>
      </rPr>
      <t>Amazon GPE的订单也需满足此要求</t>
    </r>
    <r>
      <rPr>
        <sz val="10"/>
        <color rgb="FFFF0000"/>
        <rFont val="汉仪书宋二KW"/>
        <charset val="134"/>
      </rPr>
      <t>）</t>
    </r>
    <r>
      <rPr>
        <sz val="10"/>
        <color rgb="FFFF0000"/>
        <rFont val="等线"/>
        <charset val="134"/>
      </rPr>
      <t xml:space="preserve">
12. 所有出往GAS德国 (瑞士</t>
    </r>
    <r>
      <rPr>
        <sz val="10"/>
        <color rgb="FFFF0000"/>
        <rFont val="汉仪书宋二KW"/>
        <charset val="134"/>
      </rPr>
      <t>，</t>
    </r>
    <r>
      <rPr>
        <sz val="10"/>
        <color rgb="FFFF0000"/>
        <rFont val="等线"/>
        <charset val="134"/>
      </rPr>
      <t>奥地利)。水弹枪系列必须使用EN71版本</t>
    </r>
    <r>
      <rPr>
        <sz val="10"/>
        <color rgb="FFFF0000"/>
        <rFont val="汉仪书宋二KW"/>
        <charset val="134"/>
      </rPr>
      <t>（</t>
    </r>
    <r>
      <rPr>
        <sz val="10"/>
        <color rgb="FFFF0000"/>
        <rFont val="等线"/>
        <charset val="134"/>
      </rPr>
      <t>电子和非电子水弹枪系列都需要符合); 护目镜需打日期码, 格式跟ZURU标准格式一样; 枪
身上增加ZURU FRANCE公司名和地址。使用贴纸和辐射上去都可以。如果有位置</t>
    </r>
    <r>
      <rPr>
        <sz val="10"/>
        <color rgb="FFFF0000"/>
        <rFont val="汉仪书宋二KW"/>
        <charset val="134"/>
      </rPr>
      <t>，</t>
    </r>
    <r>
      <rPr>
        <sz val="10"/>
        <color rgb="FFFF0000"/>
        <rFont val="等线"/>
        <charset val="134"/>
      </rPr>
      <t>最好增加ZURU Represented by: (此最好翻译德语</t>
    </r>
    <r>
      <rPr>
        <sz val="10"/>
        <color rgb="FFFF0000"/>
        <rFont val="汉仪书宋二KW"/>
        <charset val="134"/>
      </rPr>
      <t>，</t>
    </r>
    <r>
      <rPr>
        <sz val="10"/>
        <color rgb="FFFF0000"/>
        <rFont val="等线"/>
        <charset val="134"/>
      </rPr>
      <t>如果位置不允许</t>
    </r>
    <r>
      <rPr>
        <sz val="10"/>
        <color rgb="FFFF0000"/>
        <rFont val="汉仪书宋二KW"/>
        <charset val="134"/>
      </rPr>
      <t>，</t>
    </r>
    <r>
      <rPr>
        <sz val="10"/>
        <color rgb="FFFF0000"/>
        <rFont val="等线"/>
        <charset val="134"/>
      </rPr>
      <t>那么就只增
加ZURU法国和地址)。使用最新的EN71版包装和说明书</t>
    </r>
    <r>
      <rPr>
        <sz val="10"/>
        <color rgb="FFFF0000"/>
        <rFont val="汉仪书宋二KW"/>
        <charset val="134"/>
      </rPr>
      <t>）</t>
    </r>
    <r>
      <rPr>
        <sz val="10"/>
        <color rgb="FFFF0000"/>
        <rFont val="等线"/>
        <charset val="134"/>
      </rPr>
      <t>。Amazon GPE</t>
    </r>
    <r>
      <rPr>
        <sz val="10"/>
        <color rgb="FFFF0000"/>
        <rFont val="汉仪书宋二KW"/>
        <charset val="134"/>
      </rPr>
      <t>（</t>
    </r>
    <r>
      <rPr>
        <sz val="10"/>
        <color rgb="FFFF0000"/>
        <rFont val="等线"/>
        <charset val="134"/>
      </rPr>
      <t>包含UK/FR/ES/DE/IT</t>
    </r>
    <r>
      <rPr>
        <sz val="10"/>
        <color rgb="FFFF0000"/>
        <rFont val="汉仪书宋二KW"/>
        <charset val="134"/>
      </rPr>
      <t>）</t>
    </r>
    <r>
      <rPr>
        <sz val="10"/>
        <color rgb="FFFF0000"/>
        <rFont val="等线"/>
        <charset val="134"/>
      </rPr>
      <t>的订单也需满足此要求。</t>
    </r>
  </si>
  <si>
    <t>4500199191</t>
  </si>
  <si>
    <t>3WDKG8LJ</t>
  </si>
  <si>
    <t>4500199191-100</t>
  </si>
  <si>
    <r>
      <rPr>
        <sz val="10"/>
        <color rgb="FFFF0000"/>
        <rFont val="等线"/>
        <charset val="134"/>
      </rPr>
      <t>日期码格式</t>
    </r>
    <r>
      <rPr>
        <sz val="10"/>
        <color rgb="FFFF0000"/>
        <rFont val="汉仪书宋二KW"/>
        <charset val="134"/>
      </rPr>
      <t>：</t>
    </r>
    <r>
      <rPr>
        <sz val="10"/>
        <color rgb="FFFF0000"/>
        <rFont val="等线"/>
        <charset val="134"/>
      </rPr>
      <t>ZURU INC(BVI) 标准格式 日期</t>
    </r>
    <r>
      <rPr>
        <sz val="10"/>
        <color rgb="FFFF0000"/>
        <rFont val="汉仪书宋二KW"/>
        <charset val="134"/>
      </rPr>
      <t>：</t>
    </r>
    <r>
      <rPr>
        <sz val="10"/>
        <color rgb="FFFF0000"/>
        <rFont val="等线"/>
        <charset val="134"/>
      </rPr>
      <t>按实际生产日期
Packaging Info: Amazon UK: 6FFPTG1N/3WDKG8LJ/7OUSHCDE
Amazon UK(15780BD/71172/77876/77878/92146BDG/92147E)
1. 15780BD:
---15780B: 1pc 15780B(Sasquoosh/Stinkface/Squooshface) in window box, then into polybag,12polybags/ctn; MA 5L(5L warning UPC)B开窗彩盒+MA其它最
新配套包装+客版透明胶袋(含英法德意西荷兰警告语+双面打孔+塑料循环标,参考翻单PO#4500198640)+1张贴纸(含UPC#+IT环保标+ES洗涤说明, 参考翻单PO#450019
8640);
---15780D: 1pc 15780D(Munch Munch/Reek-o/Munch-o) in window box, then into polybag,12polybags/ctn; MA 5L(5L warning UPC)B开窗彩盒+MA其它最新配套
包装+客版透明胶袋(含英法德意西荷兰警告语+双面打孔+塑料循环标,参考翻单PO#4500198640)+1张贴纸(含UPC#+IT环保标+ES洗涤说明, 参考翻单PO#4500198640);
2. 71172: 1pc 71172 BRIAN THE BRAIN into open box, then into mailbox, 4mailboxes/ctn; 3PCS AA BATTERIES( INCLUDED); MA 1L(23L warning UPC)A开口
彩盒+MA 15L A说明书+客版邮包盒(参考Amazon US翻单PO#4500192525)+WEEE_带电池走货 _ 说明书欧洲EN+30L_B版;
3. 77876: 2pk 77772 VINYL into PVC tube,12tubes/ctn; 77772: 4 mini vinyls,1 accessory; 客版 3L(3L warning 无条码)A收缩膜(参考翻单PO#4500198642,
新UK地址)+MA 23L warning A组装黑白说明书+MA其它最新配套包装+客版3L(3L warning UPC)A彩卡(参考翻单PO#4500198642</t>
    </r>
    <r>
      <rPr>
        <sz val="10"/>
        <color rgb="FFFF0000"/>
        <rFont val="汉仪书宋二KW"/>
        <charset val="134"/>
      </rPr>
      <t>，</t>
    </r>
    <r>
      <rPr>
        <sz val="10"/>
        <color rgb="FFFF0000"/>
        <rFont val="等线"/>
        <charset val="134"/>
      </rPr>
      <t>新UK地址)+1张贴纸(含DE/IT警告语+
IT环保标, 参考翻单PO#4500198642);
4. 77878: 2pk 77843 in PVC tube,12tubes/ctn;Contain Sand, UV Glue and Cream Glue; SUSHI and RAINBOW CAKE(Rare) without batteries, other assortme
nts: 6PCS AG13 BATTERIES(INCLUDED); Ratio: PIZZA: HAMBURGER: PANCAKES: BUBBLE TEA: Matcha TEA: TACO: SUSHI: DONUT: Charcuterie Board: RAINBOW C
AKE(Rare)=10.88%: 10.88%: 10.88%: 10.88%: 10.88%: 10.88%: 10.88%: 10.88%: 10.88%: 2.08%=68:68:68:68:68:68:68:68:68:13; MA 1L(1L Warning UPC)A收
缩膜+1张空白贴纸(覆盖收缩上条码, 参考Amazon US翻单PO#4500192514)+MA 5L A收藏指南+MA 23L warning A SUSHI &lt;(&gt;&amp;&lt;)&gt; RAINBOW CAKE说明书+MA 23L warni
ng A UV Glue说明书+客版3L(3L warning UPC)A彩卡(参考Amazon US翻单PO#4500192514.,新UK地址)+1张贴纸(含DE/IT警告语+IT环保标,参考翻单PO#4500198640)+W
EEE_带电池走货 _ 说明书欧洲EN+30L_B版;
5. 92146BDG:
---92146B: 1pc 92146B SMALL(Raccoon) into shrink wraps,24pcs/ctn;Bubble powder;NO Boron; MA 3L(8L warning EAN)A收缩膜+MA其它最新配套包装+MA 5L(
19L warning)A收藏指南+1张贴纸(1张UPC+IT环保标+ES洗涤说明贴纸</t>
    </r>
    <r>
      <rPr>
        <sz val="10"/>
        <color rgb="FFFF0000"/>
        <rFont val="汉仪书宋二KW"/>
        <charset val="134"/>
      </rPr>
      <t>，</t>
    </r>
    <r>
      <rPr>
        <sz val="10"/>
        <color rgb="FFFF0000"/>
        <rFont val="等线"/>
        <charset val="134"/>
      </rPr>
      <t>参考翻单PO#4500198640);
---92146D: 1pc 92146D SMALL(Deer) into shrink wraps,24pcs/ctn;Bubble powder;NO Boron; MA 3L(8L warning EAN)A收缩膜+MA其它最新配套包装+MA 5L(19L
warning)A收藏指南+1张贴纸(1张UPC+IT环保标+ES洗涤说明贴纸</t>
    </r>
    <r>
      <rPr>
        <sz val="10"/>
        <color rgb="FFFF0000"/>
        <rFont val="汉仪书宋二KW"/>
        <charset val="134"/>
      </rPr>
      <t>，</t>
    </r>
    <r>
      <rPr>
        <sz val="10"/>
        <color rgb="FFFF0000"/>
        <rFont val="等线"/>
        <charset val="134"/>
      </rPr>
      <t>参考翻单PO#4500198640);
---92146G: 1pc 92146G SMALL(Pigeon) into shrink wraps,24pcs/ctn;Bubble powder;NO Boron; MA 3L(8L warning EAN)A收缩膜+MA其它最新配套包装+MA 5L(19
L warning)A收藏指南+1张贴纸(1张UPC+IT环保标+ES洗涤说明贴纸</t>
    </r>
    <r>
      <rPr>
        <sz val="10"/>
        <color rgb="FFFF0000"/>
        <rFont val="汉仪书宋二KW"/>
        <charset val="134"/>
      </rPr>
      <t>，</t>
    </r>
    <r>
      <rPr>
        <sz val="10"/>
        <color rgb="FFFF0000"/>
        <rFont val="等线"/>
        <charset val="134"/>
      </rPr>
      <t>参考翻单PO#4500198640);
6. 92147E: 1pc 92147E LARGE(Unicorn) into shrink wrap, then into mailbox, 4mailboxes/ctn; MA 3L(8L warning EAN)A收缩膜+MA 5L(19L warning)A收藏指
南+MA 5L(19L warning)A Magic guide book说明书+MA其它最新配套包装+客版邮包盒(参考翻单PO#4500198640);
7. 验货时间不迟于2026/7/3.
Remark: 1.空白外箱</t>
    </r>
    <r>
      <rPr>
        <sz val="10"/>
        <color rgb="FFFF0000"/>
        <rFont val="汉仪书宋二KW"/>
        <charset val="134"/>
      </rPr>
      <t>（</t>
    </r>
    <r>
      <rPr>
        <sz val="10"/>
        <color rgb="FFFF0000"/>
        <rFont val="等线"/>
        <charset val="134"/>
      </rPr>
      <t>加印带Zuru字样的最新logo</t>
    </r>
    <r>
      <rPr>
        <sz val="10"/>
        <color rgb="FFFF0000"/>
        <rFont val="汉仪书宋二KW"/>
        <charset val="134"/>
      </rPr>
      <t>，</t>
    </r>
    <r>
      <rPr>
        <sz val="10"/>
        <color rgb="FFFF0000"/>
        <rFont val="等线"/>
        <charset val="134"/>
      </rPr>
      <t>除了邮包盒直接做外箱的产品</t>
    </r>
    <r>
      <rPr>
        <sz val="10"/>
        <color rgb="FFFF0000"/>
        <rFont val="汉仪书宋二KW"/>
        <charset val="134"/>
      </rPr>
      <t>）</t>
    </r>
    <r>
      <rPr>
        <sz val="10"/>
        <color rgb="FFFF0000"/>
        <rFont val="等线"/>
        <charset val="134"/>
      </rPr>
      <t xml:space="preserve"> + SSCC LABEL一张, 无箱唛</t>
    </r>
    <r>
      <rPr>
        <sz val="10"/>
        <color rgb="FFFF0000"/>
        <rFont val="汉仪书宋二KW"/>
        <charset val="134"/>
      </rPr>
      <t>，</t>
    </r>
    <r>
      <rPr>
        <sz val="10"/>
        <color rgb="FFFF0000"/>
        <rFont val="等线"/>
        <charset val="134"/>
      </rPr>
      <t>MADE IN CHINA 外箱只印一正一侧。箱唛资料按照给定的
标准去做即可</t>
    </r>
    <r>
      <rPr>
        <sz val="10"/>
        <color rgb="FFFF0000"/>
        <rFont val="汉仪书宋二KW"/>
        <charset val="134"/>
      </rPr>
      <t>，</t>
    </r>
    <r>
      <rPr>
        <sz val="10"/>
        <color rgb="FFFF0000"/>
        <rFont val="等线"/>
        <charset val="134"/>
      </rPr>
      <t>无需发回我方再行审批(新标准将另行通知)。
(SSCC LABEL竖贴在外箱正面的正中间</t>
    </r>
    <r>
      <rPr>
        <sz val="10"/>
        <color rgb="FFFF0000"/>
        <rFont val="汉仪书宋二KW"/>
        <charset val="134"/>
      </rPr>
      <t>，</t>
    </r>
    <r>
      <rPr>
        <sz val="10"/>
        <color rgb="FFFF0000"/>
        <rFont val="等线"/>
        <charset val="134"/>
      </rPr>
      <t>贴一面即可,贴纸离外箱边距必须至少3.2CM。如竖贴无法满足要求</t>
    </r>
    <r>
      <rPr>
        <sz val="10"/>
        <color rgb="FFFF0000"/>
        <rFont val="汉仪书宋二KW"/>
        <charset val="134"/>
      </rPr>
      <t>，</t>
    </r>
    <r>
      <rPr>
        <sz val="10"/>
        <color rgb="FFFF0000"/>
        <rFont val="等线"/>
        <charset val="134"/>
      </rPr>
      <t>则横贴。如横贴也无法满足要求</t>
    </r>
    <r>
      <rPr>
        <sz val="10"/>
        <color rgb="FFFF0000"/>
        <rFont val="汉仪书宋二KW"/>
        <charset val="134"/>
      </rPr>
      <t>，</t>
    </r>
    <r>
      <rPr>
        <sz val="10"/>
        <color rgb="FFFF0000"/>
        <rFont val="等线"/>
        <charset val="134"/>
      </rPr>
      <t>则竖贴</t>
    </r>
    <r>
      <rPr>
        <sz val="10"/>
        <color rgb="FFFF0000"/>
        <rFont val="汉仪书宋二KW"/>
        <charset val="134"/>
      </rPr>
      <t>，</t>
    </r>
    <r>
      <rPr>
        <sz val="10"/>
        <color rgb="FFFF0000"/>
        <rFont val="等线"/>
        <charset val="134"/>
      </rPr>
      <t>遮到ZURU lo
go无影响), SSCC贴纸由工厂直接跟勤得采购或者工厂自行采购</t>
    </r>
    <r>
      <rPr>
        <sz val="10"/>
        <color rgb="FFFF0000"/>
        <rFont val="汉仪书宋二KW"/>
        <charset val="134"/>
      </rPr>
      <t>，</t>
    </r>
    <r>
      <rPr>
        <sz val="10"/>
        <color rgb="FFFF0000"/>
        <rFont val="等线"/>
        <charset val="134"/>
      </rPr>
      <t>每一张SSCC Label都是唯一且有不同流水及条码</t>
    </r>
    <r>
      <rPr>
        <sz val="10"/>
        <color rgb="FFFF0000"/>
        <rFont val="汉仪书宋二KW"/>
        <charset val="134"/>
      </rPr>
      <t>，</t>
    </r>
    <r>
      <rPr>
        <sz val="10"/>
        <color rgb="FFFF0000"/>
        <rFont val="等线"/>
        <charset val="134"/>
      </rPr>
      <t>且需要检查条码是否能正常扫描</t>
    </r>
    <r>
      <rPr>
        <sz val="10"/>
        <color rgb="FFFF0000"/>
        <rFont val="汉仪书宋二KW"/>
        <charset val="134"/>
      </rPr>
      <t>，</t>
    </r>
    <r>
      <rPr>
        <sz val="10"/>
        <color rgb="FFFF0000"/>
        <rFont val="等线"/>
        <charset val="134"/>
      </rPr>
      <t>另外</t>
    </r>
    <r>
      <rPr>
        <sz val="10"/>
        <color rgb="FFFF0000"/>
        <rFont val="汉仪书宋二KW"/>
        <charset val="134"/>
      </rPr>
      <t>，</t>
    </r>
    <r>
      <rPr>
        <sz val="10"/>
        <color rgb="FFFF0000"/>
        <rFont val="等线"/>
        <charset val="134"/>
      </rPr>
      <t>此贴纸
印刷不可出现模糊</t>
    </r>
    <r>
      <rPr>
        <sz val="10"/>
        <color rgb="FFFF0000"/>
        <rFont val="汉仪书宋二KW"/>
        <charset val="134"/>
      </rPr>
      <t>，</t>
    </r>
    <r>
      <rPr>
        <sz val="10"/>
        <color rgb="FFFF0000"/>
        <rFont val="等线"/>
        <charset val="134"/>
      </rPr>
      <t>溢出及粘胶不牢易脱落等现象</t>
    </r>
    <r>
      <rPr>
        <sz val="10"/>
        <color rgb="FFFF0000"/>
        <rFont val="汉仪书宋二KW"/>
        <charset val="134"/>
      </rPr>
      <t>，</t>
    </r>
    <r>
      <rPr>
        <sz val="10"/>
        <color rgb="FFFF0000"/>
        <rFont val="等线"/>
        <charset val="134"/>
      </rPr>
      <t>如工厂不按此要求导致贴纸有任何问题产生的罚款将由工厂承担一切责任 ,&lt;(&gt;,&lt;)&gt; 此要求只适用Amazon UK/DE
/FR/ES/IT,不适用Amazon GPE</t>
    </r>
    <r>
      <rPr>
        <sz val="10"/>
        <color rgb="FFFF0000"/>
        <rFont val="汉仪书宋二KW"/>
        <charset val="134"/>
      </rPr>
      <t>，</t>
    </r>
    <r>
      <rPr>
        <sz val="10"/>
        <color rgb="FFFF0000"/>
        <rFont val="等线"/>
        <charset val="134"/>
      </rPr>
      <t>Amazon GPE无SSCC label, 但是有对应箱唛</t>
    </r>
    <r>
      <rPr>
        <sz val="10"/>
        <color rgb="FFFF0000"/>
        <rFont val="汉仪书宋二KW"/>
        <charset val="134"/>
      </rPr>
      <t>，</t>
    </r>
    <r>
      <rPr>
        <sz val="10"/>
        <color rgb="FFFF0000"/>
        <rFont val="等线"/>
        <charset val="134"/>
      </rPr>
      <t xml:space="preserve">需印刷到外箱 。
2.出往UK的产品+包装务必打上UKCA logo </t>
    </r>
    <r>
      <rPr>
        <sz val="10"/>
        <color rgb="FFFF0000"/>
        <rFont val="汉仪书宋二KW"/>
        <charset val="134"/>
      </rPr>
      <t>，</t>
    </r>
    <r>
      <rPr>
        <sz val="10"/>
        <color rgb="FFFF0000"/>
        <rFont val="等线"/>
        <charset val="134"/>
      </rPr>
      <t>否则客人会退货且当地会有罚款。Amazon GPE</t>
    </r>
    <r>
      <rPr>
        <sz val="10"/>
        <color rgb="FFFF0000"/>
        <rFont val="汉仪书宋二KW"/>
        <charset val="134"/>
      </rPr>
      <t>（</t>
    </r>
    <r>
      <rPr>
        <sz val="10"/>
        <color rgb="FFFF0000"/>
        <rFont val="等线"/>
        <charset val="134"/>
      </rPr>
      <t>包含UK/FR/ES/DE/IT</t>
    </r>
    <r>
      <rPr>
        <sz val="10"/>
        <color rgb="FFFF0000"/>
        <rFont val="汉仪书宋二KW"/>
        <charset val="134"/>
      </rPr>
      <t>）</t>
    </r>
    <r>
      <rPr>
        <sz val="10"/>
        <color rgb="FFFF0000"/>
        <rFont val="等线"/>
        <charset val="134"/>
      </rPr>
      <t>的订单也需满足此要求。
3.订单必须经过ZURU QC验货或者工厂自检通过后方可出货</t>
    </r>
    <r>
      <rPr>
        <sz val="10"/>
        <color rgb="FFFF0000"/>
        <rFont val="汉仪书宋二KW"/>
        <charset val="134"/>
      </rPr>
      <t>，</t>
    </r>
    <r>
      <rPr>
        <sz val="10"/>
        <color rgb="FFFF0000"/>
        <rFont val="等线"/>
        <charset val="134"/>
      </rPr>
      <t>不涉及第三方验货。
4.法国订单要求包装不使用矿物油</t>
    </r>
    <r>
      <rPr>
        <sz val="10"/>
        <color rgb="FFFF0000"/>
        <rFont val="汉仪书宋二KW"/>
        <charset val="134"/>
      </rPr>
      <t>，</t>
    </r>
    <r>
      <rPr>
        <sz val="10"/>
        <color rgb="FFFF0000"/>
        <rFont val="等线"/>
        <charset val="134"/>
      </rPr>
      <t xml:space="preserve">请按要求提供以下其中一份文件再出货 </t>
    </r>
    <r>
      <rPr>
        <sz val="10"/>
        <color rgb="FFFF0000"/>
        <rFont val="汉仪书宋二KW"/>
        <charset val="134"/>
      </rPr>
      <t>，</t>
    </r>
    <r>
      <rPr>
        <sz val="10"/>
        <color rgb="FFFF0000"/>
        <rFont val="等线"/>
        <charset val="134"/>
      </rPr>
      <t>产品出到法国被相关部门抽检出现包装不符合此要求的</t>
    </r>
    <r>
      <rPr>
        <sz val="10"/>
        <color rgb="FFFF0000"/>
        <rFont val="汉仪书宋二KW"/>
        <charset val="134"/>
      </rPr>
      <t>，</t>
    </r>
    <r>
      <rPr>
        <sz val="10"/>
        <color rgb="FFFF0000"/>
        <rFont val="等线"/>
        <charset val="134"/>
      </rPr>
      <t>供应商需要为此承担责任</t>
    </r>
    <r>
      <rPr>
        <sz val="10"/>
        <color rgb="FFFF0000"/>
        <rFont val="汉仪书宋二KW"/>
        <charset val="134"/>
      </rPr>
      <t>，</t>
    </r>
    <r>
      <rPr>
        <sz val="10"/>
        <color rgb="FFFF0000"/>
        <rFont val="等线"/>
        <charset val="134"/>
      </rPr>
      <t xml:space="preserve">
故此请严格把关。Amazon GPE</t>
    </r>
    <r>
      <rPr>
        <sz val="10"/>
        <color rgb="FFFF0000"/>
        <rFont val="汉仪书宋二KW"/>
        <charset val="134"/>
      </rPr>
      <t>（</t>
    </r>
    <r>
      <rPr>
        <sz val="10"/>
        <color rgb="FFFF0000"/>
        <rFont val="等线"/>
        <charset val="134"/>
      </rPr>
      <t>包含UK/FR/ES/DE/IT</t>
    </r>
    <r>
      <rPr>
        <sz val="10"/>
        <color rgb="FFFF0000"/>
        <rFont val="汉仪书宋二KW"/>
        <charset val="134"/>
      </rPr>
      <t>）</t>
    </r>
    <r>
      <rPr>
        <sz val="10"/>
        <color rgb="FFFF0000"/>
        <rFont val="等线"/>
        <charset val="134"/>
      </rPr>
      <t>的订单也需满足此要求。
-油墨物质""""""""由1 ~ 7个芳香环组成的MOAH""""""""的包装检测报告</t>
    </r>
    <r>
      <rPr>
        <sz val="10"/>
        <color rgb="FFFF0000"/>
        <rFont val="汉仪书宋二KW"/>
        <charset val="134"/>
      </rPr>
      <t>，</t>
    </r>
    <r>
      <rPr>
        <sz val="10"/>
        <color rgb="FFFF0000"/>
        <rFont val="等线"/>
        <charset val="134"/>
      </rPr>
      <t>要求限值≤1.0%</t>
    </r>
    <r>
      <rPr>
        <sz val="10"/>
        <color rgb="FFFF0000"/>
        <rFont val="汉仪书宋二KW"/>
        <charset val="134"/>
      </rPr>
      <t>；</t>
    </r>
    <r>
      <rPr>
        <sz val="10"/>
        <color rgb="FFFF0000"/>
        <rFont val="等线"/>
        <charset val="134"/>
      </rPr>
      <t xml:space="preserve">
-包装材料清单</t>
    </r>
    <r>
      <rPr>
        <sz val="10"/>
        <color rgb="FFFF0000"/>
        <rFont val="汉仪书宋二KW"/>
        <charset val="134"/>
      </rPr>
      <t>，</t>
    </r>
    <r>
      <rPr>
        <sz val="10"/>
        <color rgb="FFFF0000"/>
        <rFont val="等线"/>
        <charset val="134"/>
      </rPr>
      <t>包括包装油墨或物质的信息</t>
    </r>
    <r>
      <rPr>
        <sz val="10"/>
        <color rgb="FFFF0000"/>
        <rFont val="汉仪书宋二KW"/>
        <charset val="134"/>
      </rPr>
      <t>；</t>
    </r>
    <r>
      <rPr>
        <sz val="10"/>
        <color rgb="FFFF0000"/>
        <rFont val="等线"/>
        <charset val="134"/>
      </rPr>
      <t xml:space="preserve">
-油墨制造商的证书</t>
    </r>
    <r>
      <rPr>
        <sz val="10"/>
        <color rgb="FFFF0000"/>
        <rFont val="汉仪书宋二KW"/>
        <charset val="134"/>
      </rPr>
      <t>；</t>
    </r>
    <r>
      <rPr>
        <sz val="10"/>
        <color rgb="FFFF0000"/>
        <rFont val="等线"/>
        <charset val="134"/>
      </rPr>
      <t xml:space="preserve">
5.每一批次出货只能有一个生产日期</t>
    </r>
    <r>
      <rPr>
        <sz val="10"/>
        <color rgb="FFFF0000"/>
        <rFont val="汉仪书宋二KW"/>
        <charset val="134"/>
      </rPr>
      <t>，</t>
    </r>
    <r>
      <rPr>
        <sz val="10"/>
        <color rgb="FFFF0000"/>
        <rFont val="等线"/>
        <charset val="134"/>
      </rPr>
      <t>不可多个生产日期混在同一批次出货</t>
    </r>
    <r>
      <rPr>
        <sz val="10"/>
        <color rgb="FFFF0000"/>
        <rFont val="汉仪书宋二KW"/>
        <charset val="134"/>
      </rPr>
      <t>；</t>
    </r>
    <r>
      <rPr>
        <sz val="10"/>
        <color rgb="FFFF0000"/>
        <rFont val="等线"/>
        <charset val="134"/>
      </rPr>
      <t>且零售包装上必须统一加上日期码</t>
    </r>
    <r>
      <rPr>
        <sz val="10"/>
        <color rgb="FFFF0000"/>
        <rFont val="汉仪书宋二KW"/>
        <charset val="134"/>
      </rPr>
      <t>；</t>
    </r>
    <r>
      <rPr>
        <sz val="10"/>
        <color rgb="FFFF0000"/>
        <rFont val="等线"/>
        <charset val="134"/>
      </rPr>
      <t>外箱对于日期码没有硬性规定</t>
    </r>
    <r>
      <rPr>
        <sz val="10"/>
        <color rgb="FFFF0000"/>
        <rFont val="汉仪书宋二KW"/>
        <charset val="134"/>
      </rPr>
      <t>；</t>
    </r>
    <r>
      <rPr>
        <sz val="10"/>
        <color rgb="FFFF0000"/>
        <rFont val="等线"/>
        <charset val="134"/>
      </rPr>
      <t xml:space="preserve">
6.涉及到相关款式会有闪粉的或者微塑料的</t>
    </r>
    <r>
      <rPr>
        <sz val="10"/>
        <color rgb="FFFF0000"/>
        <rFont val="汉仪书宋二KW"/>
        <charset val="134"/>
      </rPr>
      <t>，</t>
    </r>
    <r>
      <rPr>
        <sz val="10"/>
        <color rgb="FFFF0000"/>
        <rFont val="等线"/>
        <charset val="134"/>
      </rPr>
      <t>请统一默认出无闪粉或者不含微塑料版本</t>
    </r>
    <r>
      <rPr>
        <sz val="10"/>
        <color rgb="FFFF0000"/>
        <rFont val="汉仪书宋二KW"/>
        <charset val="134"/>
      </rPr>
      <t>；</t>
    </r>
    <r>
      <rPr>
        <sz val="10"/>
        <color rgb="FFFF0000"/>
        <rFont val="等线"/>
        <charset val="134"/>
      </rPr>
      <t xml:space="preserve">
7.邮包盒及外箱封箱必须是工字型封箱方式</t>
    </r>
    <r>
      <rPr>
        <sz val="10"/>
        <color rgb="FFFF0000"/>
        <rFont val="汉仪书宋二KW"/>
        <charset val="134"/>
      </rPr>
      <t>；</t>
    </r>
    <r>
      <rPr>
        <sz val="10"/>
        <color rgb="FFFF0000"/>
        <rFont val="等线"/>
        <charset val="134"/>
      </rPr>
      <t xml:space="preserve">
8.5 Surprise or Mini Brands涉及包装是2个及2个以上的球入PVC桶包装时</t>
    </r>
    <r>
      <rPr>
        <sz val="10"/>
        <color rgb="FFFF0000"/>
        <rFont val="汉仪书宋二KW"/>
        <charset val="134"/>
      </rPr>
      <t>，</t>
    </r>
    <r>
      <rPr>
        <sz val="10"/>
        <color rgb="FFFF0000"/>
        <rFont val="等线"/>
        <charset val="134"/>
      </rPr>
      <t>单个球上若有UPC#或者EAN#</t>
    </r>
    <r>
      <rPr>
        <sz val="10"/>
        <color rgb="FFFF0000"/>
        <rFont val="汉仪书宋二KW"/>
        <charset val="134"/>
      </rPr>
      <t>，</t>
    </r>
    <r>
      <rPr>
        <sz val="10"/>
        <color rgb="FFFF0000"/>
        <rFont val="等线"/>
        <charset val="134"/>
      </rPr>
      <t>请用空白贴纸覆盖住</t>
    </r>
    <r>
      <rPr>
        <sz val="10"/>
        <color rgb="FFFF0000"/>
        <rFont val="汉仪书宋二KW"/>
        <charset val="134"/>
      </rPr>
      <t>，</t>
    </r>
    <r>
      <rPr>
        <sz val="10"/>
        <color rgb="FFFF0000"/>
        <rFont val="等线"/>
        <charset val="134"/>
      </rPr>
      <t>贴纸尺寸自行测量能覆盖原条码即
可</t>
    </r>
    <r>
      <rPr>
        <sz val="10"/>
        <color rgb="FFFF0000"/>
        <rFont val="汉仪书宋二KW"/>
        <charset val="134"/>
      </rPr>
      <t>；</t>
    </r>
    <r>
      <rPr>
        <sz val="10"/>
        <color rgb="FFFF0000"/>
        <rFont val="等线"/>
        <charset val="134"/>
      </rPr>
      <t xml:space="preserve">
9. 无论是工厂自检还是ZURU验货</t>
    </r>
    <r>
      <rPr>
        <sz val="10"/>
        <color rgb="FFFF0000"/>
        <rFont val="汉仪书宋二KW"/>
        <charset val="134"/>
      </rPr>
      <t>，</t>
    </r>
    <r>
      <rPr>
        <sz val="10"/>
        <color rgb="FFFF0000"/>
        <rFont val="等线"/>
        <charset val="134"/>
      </rPr>
      <t>验货报告中必须有产品6面图(正面/背面/左面/右面/顶部/底部</t>
    </r>
    <r>
      <rPr>
        <sz val="10"/>
        <color rgb="FFFF0000"/>
        <rFont val="汉仪书宋二KW"/>
        <charset val="134"/>
      </rPr>
      <t>，</t>
    </r>
    <r>
      <rPr>
        <sz val="10"/>
        <color rgb="FFFF0000"/>
        <rFont val="等线"/>
        <charset val="134"/>
      </rPr>
      <t>不带包装);
10. 按空海运鉴定报告的要求</t>
    </r>
    <r>
      <rPr>
        <sz val="10"/>
        <color rgb="FFFF0000"/>
        <rFont val="汉仪书宋二KW"/>
        <charset val="134"/>
      </rPr>
      <t>，</t>
    </r>
    <r>
      <rPr>
        <sz val="10"/>
        <color rgb="FFFF0000"/>
        <rFont val="等线"/>
        <charset val="134"/>
      </rPr>
      <t>只要带锂电池出货</t>
    </r>
    <r>
      <rPr>
        <sz val="10"/>
        <color rgb="FFFF0000"/>
        <rFont val="汉仪书宋二KW"/>
        <charset val="134"/>
      </rPr>
      <t>，</t>
    </r>
    <r>
      <rPr>
        <sz val="10"/>
        <color rgb="FFFF0000"/>
        <rFont val="等线"/>
        <charset val="134"/>
      </rPr>
      <t>都需要加贴UN贴纸</t>
    </r>
    <r>
      <rPr>
        <sz val="10"/>
        <color rgb="FFFF0000"/>
        <rFont val="汉仪书宋二KW"/>
        <charset val="134"/>
      </rPr>
      <t>；</t>
    </r>
    <r>
      <rPr>
        <sz val="10"/>
        <color rgb="FFFF0000"/>
        <rFont val="等线"/>
        <charset val="134"/>
      </rPr>
      <t xml:space="preserve">
11. 所有出往GAS市场(德国/奥地利/瑞士)的电子产品身上需要加字唛</t>
    </r>
    <r>
      <rPr>
        <sz val="10"/>
        <color rgb="FFFF0000"/>
        <rFont val="汉仪书宋二KW"/>
        <charset val="134"/>
      </rPr>
      <t>，</t>
    </r>
    <r>
      <rPr>
        <sz val="10"/>
        <color rgb="FFFF0000"/>
        <rFont val="等线"/>
        <charset val="134"/>
      </rPr>
      <t>为ZURU FRANCE 地址</t>
    </r>
    <r>
      <rPr>
        <sz val="10"/>
        <color rgb="FFFF0000"/>
        <rFont val="汉仪书宋二KW"/>
        <charset val="134"/>
      </rPr>
      <t>，</t>
    </r>
    <r>
      <rPr>
        <sz val="10"/>
        <color rgb="FFFF0000"/>
        <rFont val="等线"/>
        <charset val="134"/>
      </rPr>
      <t>需跟包装上的地址一致 (如无电子产品</t>
    </r>
    <r>
      <rPr>
        <sz val="10"/>
        <color rgb="FFFF0000"/>
        <rFont val="汉仪书宋二KW"/>
        <charset val="134"/>
      </rPr>
      <t>，</t>
    </r>
    <r>
      <rPr>
        <sz val="10"/>
        <color rgb="FFFF0000"/>
        <rFont val="等线"/>
        <charset val="134"/>
      </rPr>
      <t>产品布标有此地址</t>
    </r>
    <r>
      <rPr>
        <sz val="10"/>
        <color rgb="FFFF0000"/>
        <rFont val="汉仪书宋二KW"/>
        <charset val="134"/>
      </rPr>
      <t>，</t>
    </r>
    <r>
      <rPr>
        <sz val="10"/>
        <color rgb="FFFF0000"/>
        <rFont val="等线"/>
        <charset val="134"/>
      </rPr>
      <t>或产品
太小无法增加可忽略此信息。如产品无法加字唛</t>
    </r>
    <r>
      <rPr>
        <sz val="10"/>
        <color rgb="FFFF0000"/>
        <rFont val="汉仪书宋二KW"/>
        <charset val="134"/>
      </rPr>
      <t>，</t>
    </r>
    <r>
      <rPr>
        <sz val="10"/>
        <color rgb="FFFF0000"/>
        <rFont val="等线"/>
        <charset val="134"/>
      </rPr>
      <t>需让对应跟单提供产品贴纸资料);</t>
    </r>
    <r>
      <rPr>
        <sz val="10"/>
        <color rgb="FFFF0000"/>
        <rFont val="汉仪书宋二KW"/>
        <charset val="134"/>
      </rPr>
      <t>（</t>
    </r>
    <r>
      <rPr>
        <sz val="10"/>
        <color rgb="FFFF0000"/>
        <rFont val="等线"/>
        <charset val="134"/>
      </rPr>
      <t>Amazon GPE的订单也需满足此要求</t>
    </r>
    <r>
      <rPr>
        <sz val="10"/>
        <color rgb="FFFF0000"/>
        <rFont val="汉仪书宋二KW"/>
        <charset val="134"/>
      </rPr>
      <t>）</t>
    </r>
    <r>
      <rPr>
        <sz val="10"/>
        <color rgb="FFFF0000"/>
        <rFont val="等线"/>
        <charset val="134"/>
      </rPr>
      <t xml:space="preserve">
12. 所有出往GAS德国 (瑞士</t>
    </r>
    <r>
      <rPr>
        <sz val="10"/>
        <color rgb="FFFF0000"/>
        <rFont val="汉仪书宋二KW"/>
        <charset val="134"/>
      </rPr>
      <t>，</t>
    </r>
    <r>
      <rPr>
        <sz val="10"/>
        <color rgb="FFFF0000"/>
        <rFont val="等线"/>
        <charset val="134"/>
      </rPr>
      <t>奥地利)。水弹枪系列必须使用EN71版本</t>
    </r>
    <r>
      <rPr>
        <sz val="10"/>
        <color rgb="FFFF0000"/>
        <rFont val="汉仪书宋二KW"/>
        <charset val="134"/>
      </rPr>
      <t>（</t>
    </r>
    <r>
      <rPr>
        <sz val="10"/>
        <color rgb="FFFF0000"/>
        <rFont val="等线"/>
        <charset val="134"/>
      </rPr>
      <t>电子和非电子水弹枪系列都需要符合); 护目镜需打日期码, 格式跟ZURU标准格式一样; 枪
身上增加ZURU FRANCE公司名和地址。使用贴纸和辐射上去都可以。如果有位置</t>
    </r>
    <r>
      <rPr>
        <sz val="10"/>
        <color rgb="FFFF0000"/>
        <rFont val="汉仪书宋二KW"/>
        <charset val="134"/>
      </rPr>
      <t>，</t>
    </r>
    <r>
      <rPr>
        <sz val="10"/>
        <color rgb="FFFF0000"/>
        <rFont val="等线"/>
        <charset val="134"/>
      </rPr>
      <t>最好增加ZURU Represented by: (此最好翻译德语</t>
    </r>
    <r>
      <rPr>
        <sz val="10"/>
        <color rgb="FFFF0000"/>
        <rFont val="汉仪书宋二KW"/>
        <charset val="134"/>
      </rPr>
      <t>，</t>
    </r>
    <r>
      <rPr>
        <sz val="10"/>
        <color rgb="FFFF0000"/>
        <rFont val="等线"/>
        <charset val="134"/>
      </rPr>
      <t>如果位置不允许</t>
    </r>
    <r>
      <rPr>
        <sz val="10"/>
        <color rgb="FFFF0000"/>
        <rFont val="汉仪书宋二KW"/>
        <charset val="134"/>
      </rPr>
      <t>，</t>
    </r>
    <r>
      <rPr>
        <sz val="10"/>
        <color rgb="FFFF0000"/>
        <rFont val="等线"/>
        <charset val="134"/>
      </rPr>
      <t>那么就只增
加ZURU法国和地址)。使用最新的EN71版包装和说明书</t>
    </r>
    <r>
      <rPr>
        <sz val="10"/>
        <color rgb="FFFF0000"/>
        <rFont val="汉仪书宋二KW"/>
        <charset val="134"/>
      </rPr>
      <t>）</t>
    </r>
    <r>
      <rPr>
        <sz val="10"/>
        <color rgb="FFFF0000"/>
        <rFont val="等线"/>
        <charset val="134"/>
      </rPr>
      <t>。Amazon GPE</t>
    </r>
    <r>
      <rPr>
        <sz val="10"/>
        <color rgb="FFFF0000"/>
        <rFont val="汉仪书宋二KW"/>
        <charset val="134"/>
      </rPr>
      <t>（</t>
    </r>
    <r>
      <rPr>
        <sz val="10"/>
        <color rgb="FFFF0000"/>
        <rFont val="等线"/>
        <charset val="134"/>
      </rPr>
      <t>包含UK/FR/ES/DE/IT</t>
    </r>
    <r>
      <rPr>
        <sz val="10"/>
        <color rgb="FFFF0000"/>
        <rFont val="汉仪书宋二KW"/>
        <charset val="134"/>
      </rPr>
      <t>）</t>
    </r>
    <r>
      <rPr>
        <sz val="10"/>
        <color rgb="FFFF0000"/>
        <rFont val="等线"/>
        <charset val="134"/>
      </rPr>
      <t>的订单也需满足此要求。</t>
    </r>
  </si>
  <si>
    <t>THE  FARMERS'  TRADING  COMPANY  LIMITE</t>
  </si>
  <si>
    <t>4500210838-10</t>
  </si>
  <si>
    <r>
      <rPr>
        <sz val="11"/>
        <color rgb="FFFF0000"/>
        <rFont val="等线"/>
        <charset val="134"/>
      </rPr>
      <t>6/29收到价钱贴</t>
    </r>
    <r>
      <rPr>
        <sz val="11"/>
        <color rgb="FFFF0000"/>
        <rFont val="汉仪书宋二KW"/>
        <charset val="134"/>
      </rPr>
      <t>，</t>
    </r>
    <r>
      <rPr>
        <sz val="11"/>
        <color rgb="FFFF0000"/>
        <rFont val="等线"/>
        <charset val="134"/>
      </rPr>
      <t>欠</t>
    </r>
  </si>
  <si>
    <r>
      <rPr>
        <sz val="10"/>
        <color rgb="FFFF0000"/>
        <rFont val="等线"/>
        <charset val="134"/>
      </rPr>
      <t>日期码格式</t>
    </r>
    <r>
      <rPr>
        <sz val="10"/>
        <color rgb="FFFF0000"/>
        <rFont val="汉仪书宋二KW"/>
        <charset val="134"/>
      </rPr>
      <t>：</t>
    </r>
    <r>
      <rPr>
        <sz val="10"/>
        <color rgb="FFFF0000"/>
        <rFont val="等线"/>
        <charset val="134"/>
      </rPr>
      <t>ZURU INC(BVI) 标准格式 日期</t>
    </r>
    <r>
      <rPr>
        <sz val="10"/>
        <color rgb="FFFF0000"/>
        <rFont val="汉仪书宋二KW"/>
        <charset val="134"/>
      </rPr>
      <t>：</t>
    </r>
    <r>
      <rPr>
        <sz val="10"/>
        <color rgb="FFFF0000"/>
        <rFont val="等线"/>
        <charset val="134"/>
      </rPr>
      <t>按实际生产日期
Packaging Info: 1. 71172:MA 1L A版 UPC PKG + MA B版多语说明书 +(带客人新logo</t>
    </r>
    <r>
      <rPr>
        <sz val="10"/>
        <color rgb="FFFF0000"/>
        <rFont val="汉仪书宋二KW"/>
        <charset val="134"/>
      </rPr>
      <t>）</t>
    </r>
    <r>
      <rPr>
        <sz val="10"/>
        <color rgb="FFFF0000"/>
        <rFont val="等线"/>
        <charset val="134"/>
      </rPr>
      <t>可移动材质的价格贴纸</t>
    </r>
    <r>
      <rPr>
        <sz val="10"/>
        <color rgb="FFFF0000"/>
        <rFont val="汉仪书宋二KW"/>
        <charset val="134"/>
      </rPr>
      <t>（</t>
    </r>
    <r>
      <rPr>
        <sz val="10"/>
        <color rgb="FFFF0000"/>
        <rFont val="等线"/>
        <charset val="134"/>
      </rPr>
      <t>价格贴纸要切易撕线</t>
    </r>
    <r>
      <rPr>
        <sz val="10"/>
        <color rgb="FFFF0000"/>
        <rFont val="汉仪书宋二KW"/>
        <charset val="134"/>
      </rPr>
      <t>）</t>
    </r>
    <r>
      <rPr>
        <sz val="10"/>
        <color rgb="FFFF0000"/>
        <rFont val="等线"/>
        <charset val="134"/>
      </rPr>
      <t>+新的客人纽扣电池警告语贴纸</t>
    </r>
    <r>
      <rPr>
        <sz val="10"/>
        <color rgb="FFFF0000"/>
        <rFont val="汉仪书宋二KW"/>
        <charset val="134"/>
      </rPr>
      <t>（</t>
    </r>
    <r>
      <rPr>
        <sz val="10"/>
        <color rgb="FFFF0000"/>
        <rFont val="等线"/>
        <charset val="134"/>
      </rPr>
      <t>包装用新的
纽扣电池警告语贴纸</t>
    </r>
    <r>
      <rPr>
        <sz val="10"/>
        <color rgb="FFFF0000"/>
        <rFont val="汉仪书宋二KW"/>
        <charset val="134"/>
      </rPr>
      <t>，</t>
    </r>
    <r>
      <rPr>
        <sz val="10"/>
        <color rgb="FFFF0000"/>
        <rFont val="等线"/>
        <charset val="134"/>
      </rPr>
      <t>说明书用旧的大的警告语贴纸</t>
    </r>
    <r>
      <rPr>
        <sz val="10"/>
        <color rgb="FFFF0000"/>
        <rFont val="汉仪书宋二KW"/>
        <charset val="134"/>
      </rPr>
      <t>）</t>
    </r>
    <r>
      <rPr>
        <sz val="10"/>
        <color rgb="FFFF0000"/>
        <rFont val="等线"/>
        <charset val="134"/>
      </rPr>
      <t>新的警告语贴纸邮件后复
Remark: 1.此单出新西兰
2.CRD日期基于我司 QC完成验货;
3.请确保发货100%的订单数量/ sku;
4.箱唛请按邮件确认的文档
5.我司验货日期(请联系Mia Yu Mia.yu@zuru.com提前预定验货日期)</t>
    </r>
    <r>
      <rPr>
        <sz val="10"/>
        <color rgb="FFFF0000"/>
        <rFont val="汉仪书宋二KW"/>
        <charset val="134"/>
      </rPr>
      <t>，</t>
    </r>
    <r>
      <rPr>
        <sz val="10"/>
        <color rgb="FFFF0000"/>
        <rFont val="等线"/>
        <charset val="134"/>
      </rPr>
      <t>预约验货至少需在完货日期前一周申请</t>
    </r>
  </si>
  <si>
    <r>
      <rPr>
        <sz val="10"/>
        <color rgb="FFFF0000"/>
        <rFont val="等线"/>
        <charset val="134"/>
      </rPr>
      <t>Jess</t>
    </r>
    <r>
      <rPr>
        <sz val="10"/>
        <color rgb="FFFF0000"/>
        <rFont val="宋体"/>
        <charset val="134"/>
        <scheme val="minor"/>
      </rPr>
      <t xml:space="preserve">  Huang</t>
    </r>
  </si>
  <si>
    <t>10001860092-3890</t>
  </si>
  <si>
    <t>4500218205-10</t>
  </si>
  <si>
    <r>
      <rPr>
        <sz val="10"/>
        <color rgb="FFFF0000"/>
        <rFont val="等线"/>
        <charset val="134"/>
      </rPr>
      <t>日期码格式</t>
    </r>
    <r>
      <rPr>
        <sz val="10"/>
        <color rgb="FFFF0000"/>
        <rFont val="汉仪书宋二KW"/>
        <charset val="134"/>
      </rPr>
      <t>：</t>
    </r>
    <r>
      <rPr>
        <sz val="10"/>
        <color rgb="FFFF0000"/>
        <rFont val="等线"/>
        <charset val="134"/>
      </rPr>
      <t>ZURU  INC(BVI)  标准格式                                    日期</t>
    </r>
    <r>
      <rPr>
        <sz val="10"/>
        <color rgb="FFFF0000"/>
        <rFont val="汉仪书宋二KW"/>
        <charset val="134"/>
      </rPr>
      <t>：</t>
    </r>
    <r>
      <rPr>
        <sz val="10"/>
        <color rgb="FFFF0000"/>
        <rFont val="等线"/>
        <charset val="134"/>
      </rPr>
      <t>按实际生产日期
Packaging Info: 产品包装MA  1L彩盒
Remark: 1.  71172-S001-ROBO  ALIVE-BRAIN-SERIES  1-BRIAN  THE  BRAIN-OPEN  BOX-4PCS/CTN
   2.  产品包装MA  1L彩盒</t>
    </r>
    <r>
      <rPr>
        <sz val="10"/>
        <color rgb="FFFF0000"/>
        <rFont val="汉仪书宋二KW"/>
        <charset val="134"/>
      </rPr>
      <t>；</t>
    </r>
    <r>
      <rPr>
        <sz val="10"/>
        <color rgb="FFFF0000"/>
        <rFont val="等线"/>
        <charset val="134"/>
      </rPr>
      <t>彩盒上的UPC显示193052098443</t>
    </r>
    <r>
      <rPr>
        <sz val="10"/>
        <color rgb="FFFF0000"/>
        <rFont val="汉仪书宋二KW"/>
        <charset val="134"/>
      </rPr>
      <t>；</t>
    </r>
    <r>
      <rPr>
        <sz val="10"/>
        <color rgb="FFFF0000"/>
        <rFont val="等线"/>
        <charset val="134"/>
      </rPr>
      <t xml:space="preserve">
   3.  每个外箱正唛箱唛信息左上方位置粘贴条码箱贴纸</t>
    </r>
    <r>
      <rPr>
        <sz val="10"/>
        <color rgb="FFFF0000"/>
        <rFont val="汉仪书宋二KW"/>
        <charset val="134"/>
      </rPr>
      <t>，</t>
    </r>
    <r>
      <rPr>
        <sz val="10"/>
        <color rgb="FFFF0000"/>
        <rFont val="等线"/>
        <charset val="134"/>
      </rPr>
      <t>每箱只贴一张;  由ZURU向艾利订购</t>
    </r>
    <r>
      <rPr>
        <sz val="10"/>
        <color rgb="FFFF0000"/>
        <rFont val="汉仪书宋二KW"/>
        <charset val="134"/>
      </rPr>
      <t>，</t>
    </r>
    <r>
      <rPr>
        <sz val="10"/>
        <color rgb="FFFF0000"/>
        <rFont val="等线"/>
        <charset val="134"/>
      </rPr>
      <t xml:space="preserve">     对应的外箱贴DPCI</t>
    </r>
    <r>
      <rPr>
        <sz val="10"/>
        <color rgb="FFFF0000"/>
        <rFont val="汉仪书宋二KW"/>
        <charset val="134"/>
      </rPr>
      <t>：</t>
    </r>
    <r>
      <rPr>
        <sz val="10"/>
        <color rgb="FFFF0000"/>
        <rFont val="等线"/>
        <charset val="134"/>
      </rPr>
      <t xml:space="preserve">087-02-9468,  UPC显示10193052098440  </t>
    </r>
    <r>
      <rPr>
        <sz val="10"/>
        <color rgb="FFFF0000"/>
        <rFont val="汉仪书宋二KW"/>
        <charset val="134"/>
      </rPr>
      <t>；</t>
    </r>
    <r>
      <rPr>
        <sz val="10"/>
        <color rgb="FFFF0000"/>
        <rFont val="等线"/>
        <charset val="134"/>
      </rPr>
      <t xml:space="preserve">
   4.  产品和包装上要印刷tracking  code信息</t>
    </r>
    <r>
      <rPr>
        <sz val="10"/>
        <color rgb="FFFF0000"/>
        <rFont val="汉仪书宋二KW"/>
        <charset val="134"/>
      </rPr>
      <t>，</t>
    </r>
    <r>
      <rPr>
        <sz val="10"/>
        <color rgb="FFFF0000"/>
        <rFont val="等线"/>
        <charset val="134"/>
      </rPr>
      <t>格式为ZURU常规</t>
    </r>
    <r>
      <rPr>
        <sz val="10"/>
        <color rgb="FFFF0000"/>
        <rFont val="汉仪书宋二KW"/>
        <charset val="134"/>
      </rPr>
      <t>；</t>
    </r>
    <r>
      <rPr>
        <sz val="10"/>
        <color rgb="FFFF0000"/>
        <rFont val="等线"/>
        <charset val="134"/>
      </rPr>
      <t xml:space="preserve">
   5.  出货方式</t>
    </r>
    <r>
      <rPr>
        <sz val="10"/>
        <color rgb="FFFF0000"/>
        <rFont val="汉仪书宋二KW"/>
        <charset val="134"/>
      </rPr>
      <t>：</t>
    </r>
    <r>
      <rPr>
        <sz val="10"/>
        <color rgb="FFFF0000"/>
        <rFont val="等线"/>
        <charset val="134"/>
      </rPr>
      <t>货代自提</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</si>
</sst>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409]#,##0.0000;\-[$$-409]#,##0.0000"/>
    <numFmt numFmtId="178" formatCode="yyyy/m/d&quot;周&quot;aaa"/>
    <numFmt numFmtId="179" formatCode="0.0000_ "/>
    <numFmt numFmtId="180" formatCode="0.00_ "/>
    <numFmt numFmtId="181" formatCode="0.00##"/>
    <numFmt numFmtId="182" formatCode="#,##0_ "/>
    <numFmt numFmtId="183" formatCode="0_ "/>
  </numFmts>
  <fonts count="74">
    <font>
      <sz val="11"/>
      <color theme="1"/>
      <name val="宋体"/>
      <charset val="134"/>
      <scheme val="minor"/>
    </font>
    <font>
      <sz val="11"/>
      <color rgb="FFFF0000"/>
      <name val="等线"/>
      <charset val="134"/>
    </font>
    <font>
      <sz val="10"/>
      <color rgb="FFFF0000"/>
      <name val="等线"/>
      <charset val="134"/>
    </font>
    <font>
      <sz val="11"/>
      <color rgb="FFFF0000"/>
      <name val="宋体"/>
      <charset val="134"/>
      <scheme val="minor"/>
    </font>
    <font>
      <b/>
      <sz val="10"/>
      <color rgb="FFFF0000"/>
      <name val="等线"/>
      <charset val="134"/>
    </font>
    <font>
      <b/>
      <sz val="12"/>
      <name val="宋体"/>
      <charset val="134"/>
    </font>
    <font>
      <sz val="10"/>
      <name val="宋体"/>
      <charset val="134"/>
    </font>
    <font>
      <sz val="10"/>
      <color rgb="FF000000"/>
      <name val="宋体"/>
      <charset val="134"/>
    </font>
    <font>
      <sz val="11"/>
      <color rgb="FF000000"/>
      <name val="宋体"/>
      <charset val="134"/>
    </font>
    <font>
      <sz val="10"/>
      <name val="等线"/>
      <charset val="134"/>
    </font>
    <font>
      <sz val="11"/>
      <name val="宋体"/>
      <charset val="134"/>
      <scheme val="minor"/>
    </font>
    <font>
      <b/>
      <sz val="14"/>
      <name val="宋体"/>
      <charset val="134"/>
    </font>
    <font>
      <sz val="10"/>
      <color rgb="FF000000"/>
      <name val="等线"/>
      <charset val="134"/>
    </font>
    <font>
      <sz val="11"/>
      <color theme="1"/>
      <name val="Calibri"/>
      <charset val="134"/>
    </font>
    <font>
      <sz val="11"/>
      <name val="Calibri"/>
      <charset val="134"/>
    </font>
    <font>
      <sz val="11"/>
      <name val="等线"/>
      <charset val="134"/>
    </font>
    <font>
      <sz val="10"/>
      <color rgb="FF010CDD"/>
      <name val="等线"/>
      <charset val="134"/>
    </font>
    <font>
      <sz val="10"/>
      <color rgb="FF0000FF"/>
      <name val="等线"/>
      <charset val="134"/>
    </font>
    <font>
      <sz val="11"/>
      <color rgb="FF0000FF"/>
      <name val="等线"/>
      <charset val="134"/>
    </font>
    <font>
      <sz val="12"/>
      <name val="宋体"/>
      <charset val="134"/>
    </font>
    <font>
      <b/>
      <sz val="11"/>
      <name val="等线"/>
      <charset val="134"/>
    </font>
    <font>
      <b/>
      <sz val="10"/>
      <color rgb="FF0000FF"/>
      <name val="等线"/>
      <charset val="134"/>
    </font>
    <font>
      <sz val="10"/>
      <color rgb="FF2727F0"/>
      <name val="等线"/>
      <charset val="134"/>
    </font>
    <font>
      <b/>
      <sz val="10"/>
      <name val="等线"/>
      <charset val="134"/>
    </font>
    <font>
      <b/>
      <sz val="10"/>
      <color rgb="FF000000"/>
      <name val="等线"/>
      <charset val="134"/>
    </font>
    <font>
      <sz val="11"/>
      <color rgb="FF000000"/>
      <name val="等线"/>
      <charset val="134"/>
    </font>
    <font>
      <sz val="11"/>
      <color rgb="FF010CDD"/>
      <name val="等线"/>
      <charset val="134"/>
    </font>
    <font>
      <b/>
      <sz val="10"/>
      <color rgb="FF010CDD"/>
      <name val="等线"/>
      <charset val="134"/>
    </font>
    <font>
      <sz val="11"/>
      <color rgb="FF0000FF"/>
      <name val="宋体"/>
      <charset val="134"/>
      <scheme val="minor"/>
    </font>
    <font>
      <sz val="9"/>
      <color rgb="FF010CDD"/>
      <name val="STSong-Light-Identity-H"/>
      <charset val="134"/>
    </font>
    <font>
      <sz val="11"/>
      <color rgb="FF010CDD"/>
      <name val="宋体"/>
      <charset val="134"/>
      <scheme val="minor"/>
    </font>
    <font>
      <sz val="11"/>
      <color rgb="FF010CDD"/>
      <name val="宋体"/>
      <charset val="134"/>
    </font>
    <font>
      <sz val="11"/>
      <color rgb="FF0000FF"/>
      <name val="宋体"/>
      <charset val="134"/>
    </font>
    <font>
      <sz val="10"/>
      <color rgb="FF0000FF"/>
      <name val="宋体"/>
      <charset val="134"/>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1"/>
      <color indexed="8"/>
      <name val="宋体"/>
      <charset val="134"/>
    </font>
    <font>
      <sz val="11"/>
      <color theme="1"/>
      <name val="Times New Roman"/>
      <charset val="134"/>
    </font>
    <font>
      <sz val="10"/>
      <color rgb="FF010CDD"/>
      <name val="汉仪书宋二KW"/>
      <charset val="134"/>
    </font>
    <font>
      <sz val="10"/>
      <color rgb="FF0000FF"/>
      <name val="汉仪书宋二KW"/>
      <charset val="134"/>
    </font>
    <font>
      <sz val="11"/>
      <color rgb="FF0000FF"/>
      <name val="汉仪书宋二KW"/>
      <charset val="134"/>
    </font>
    <font>
      <sz val="10"/>
      <color rgb="FF0000FF"/>
      <name val="宋体"/>
      <charset val="134"/>
      <scheme val="minor"/>
    </font>
    <font>
      <sz val="10"/>
      <color rgb="FF000000"/>
      <name val="宋体"/>
      <charset val="134"/>
      <scheme val="minor"/>
    </font>
    <font>
      <sz val="11"/>
      <color rgb="FF000000"/>
      <name val="汉仪书宋二KW"/>
      <charset val="134"/>
    </font>
    <font>
      <sz val="10"/>
      <color rgb="FFFF0000"/>
      <name val="汉仪书宋二KW"/>
      <charset val="134"/>
    </font>
    <font>
      <sz val="12"/>
      <color rgb="FF0000FF"/>
      <name val="宋体"/>
      <charset val="134"/>
      <scheme val="minor"/>
    </font>
    <font>
      <sz val="11"/>
      <color rgb="FFFF0000"/>
      <name val="汉仪书宋二KW"/>
      <charset val="134"/>
    </font>
    <font>
      <sz val="12"/>
      <color rgb="FF000000"/>
      <name val="宋体"/>
      <charset val="134"/>
      <scheme val="minor"/>
    </font>
    <font>
      <sz val="10"/>
      <color rgb="FF010CDD"/>
      <name val="宋体"/>
      <charset val="134"/>
      <scheme val="minor"/>
    </font>
    <font>
      <sz val="12"/>
      <color rgb="FF0000FF"/>
      <name val="宋体"/>
      <charset val="0"/>
      <scheme val="minor"/>
    </font>
    <font>
      <sz val="10"/>
      <color rgb="FFFF0000"/>
      <name val="宋体"/>
      <charset val="134"/>
      <scheme val="minor"/>
    </font>
    <font>
      <sz val="9"/>
      <name val="宋体"/>
      <charset val="134"/>
    </font>
    <font>
      <b/>
      <sz val="9"/>
      <name val="宋体"/>
      <charset val="134"/>
    </font>
    <font>
      <sz val="9"/>
      <name val="宋体"/>
      <charset val="0"/>
    </font>
    <font>
      <b/>
      <sz val="9"/>
      <name val="宋体"/>
      <charset val="0"/>
    </font>
  </fonts>
  <fills count="3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rgb="FFFFB6C1"/>
        <bgColor indexed="64"/>
      </patternFill>
    </fill>
    <fill>
      <patternFill patternType="solid">
        <fgColor rgb="FFC6EF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style="medium">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bottom style="thin">
        <color rgb="FF000000"/>
      </bottom>
      <diagonal/>
    </border>
    <border>
      <left/>
      <right style="thin">
        <color auto="1"/>
      </right>
      <top/>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style="thin">
        <color auto="1"/>
      </right>
      <top/>
      <bottom style="thin">
        <color auto="1"/>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176"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7" borderId="43"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44" applyNumberFormat="0" applyFill="0" applyAlignment="0" applyProtection="0">
      <alignment vertical="center"/>
    </xf>
    <xf numFmtId="0" fontId="41" fillId="0" borderId="44" applyNumberFormat="0" applyFill="0" applyAlignment="0" applyProtection="0">
      <alignment vertical="center"/>
    </xf>
    <xf numFmtId="0" fontId="42" fillId="0" borderId="45" applyNumberFormat="0" applyFill="0" applyAlignment="0" applyProtection="0">
      <alignment vertical="center"/>
    </xf>
    <xf numFmtId="0" fontId="42" fillId="0" borderId="0" applyNumberFormat="0" applyFill="0" applyBorder="0" applyAlignment="0" applyProtection="0">
      <alignment vertical="center"/>
    </xf>
    <xf numFmtId="0" fontId="43" fillId="8" borderId="46" applyNumberFormat="0" applyAlignment="0" applyProtection="0">
      <alignment vertical="center"/>
    </xf>
    <xf numFmtId="0" fontId="44" fillId="9" borderId="47" applyNumberFormat="0" applyAlignment="0" applyProtection="0">
      <alignment vertical="center"/>
    </xf>
    <xf numFmtId="0" fontId="45" fillId="9" borderId="46" applyNumberFormat="0" applyAlignment="0" applyProtection="0">
      <alignment vertical="center"/>
    </xf>
    <xf numFmtId="0" fontId="46" fillId="10" borderId="48" applyNumberFormat="0" applyAlignment="0" applyProtection="0">
      <alignment vertical="center"/>
    </xf>
    <xf numFmtId="0" fontId="47" fillId="0" borderId="49" applyNumberFormat="0" applyFill="0" applyAlignment="0" applyProtection="0">
      <alignment vertical="center"/>
    </xf>
    <xf numFmtId="0" fontId="48" fillId="0" borderId="50" applyNumberFormat="0" applyFill="0" applyAlignment="0" applyProtection="0">
      <alignment vertical="center"/>
    </xf>
    <xf numFmtId="0" fontId="49" fillId="6" borderId="0" applyNumberFormat="0" applyBorder="0" applyAlignment="0" applyProtection="0">
      <alignment vertical="center"/>
    </xf>
    <xf numFmtId="0" fontId="50" fillId="11" borderId="0" applyNumberFormat="0" applyBorder="0" applyAlignment="0" applyProtection="0">
      <alignment vertical="center"/>
    </xf>
    <xf numFmtId="0" fontId="51" fillId="12" borderId="0" applyNumberFormat="0" applyBorder="0" applyAlignment="0" applyProtection="0">
      <alignment vertical="center"/>
    </xf>
    <xf numFmtId="0" fontId="52" fillId="13" borderId="0" applyNumberFormat="0" applyBorder="0" applyAlignment="0" applyProtection="0">
      <alignment vertical="center"/>
    </xf>
    <xf numFmtId="0" fontId="53" fillId="14" borderId="0" applyNumberFormat="0" applyBorder="0" applyAlignment="0" applyProtection="0">
      <alignment vertical="center"/>
    </xf>
    <xf numFmtId="0" fontId="53" fillId="15" borderId="0" applyNumberFormat="0" applyBorder="0" applyAlignment="0" applyProtection="0">
      <alignment vertical="center"/>
    </xf>
    <xf numFmtId="0" fontId="52" fillId="16" borderId="0" applyNumberFormat="0" applyBorder="0" applyAlignment="0" applyProtection="0">
      <alignment vertical="center"/>
    </xf>
    <xf numFmtId="0" fontId="52" fillId="17" borderId="0" applyNumberFormat="0" applyBorder="0" applyAlignment="0" applyProtection="0">
      <alignment vertical="center"/>
    </xf>
    <xf numFmtId="0" fontId="53" fillId="18" borderId="0" applyNumberFormat="0" applyBorder="0" applyAlignment="0" applyProtection="0">
      <alignment vertical="center"/>
    </xf>
    <xf numFmtId="0" fontId="53" fillId="19" borderId="0" applyNumberFormat="0" applyBorder="0" applyAlignment="0" applyProtection="0">
      <alignment vertical="center"/>
    </xf>
    <xf numFmtId="0" fontId="52" fillId="20" borderId="0" applyNumberFormat="0" applyBorder="0" applyAlignment="0" applyProtection="0">
      <alignment vertical="center"/>
    </xf>
    <xf numFmtId="0" fontId="52" fillId="21" borderId="0" applyNumberFormat="0" applyBorder="0" applyAlignment="0" applyProtection="0">
      <alignment vertical="center"/>
    </xf>
    <xf numFmtId="0" fontId="53" fillId="22" borderId="0" applyNumberFormat="0" applyBorder="0" applyAlignment="0" applyProtection="0">
      <alignment vertical="center"/>
    </xf>
    <xf numFmtId="0" fontId="53" fillId="23" borderId="0" applyNumberFormat="0" applyBorder="0" applyAlignment="0" applyProtection="0">
      <alignment vertical="center"/>
    </xf>
    <xf numFmtId="0" fontId="52" fillId="24" borderId="0" applyNumberFormat="0" applyBorder="0" applyAlignment="0" applyProtection="0">
      <alignment vertical="center"/>
    </xf>
    <xf numFmtId="0" fontId="52" fillId="25" borderId="0" applyNumberFormat="0" applyBorder="0" applyAlignment="0" applyProtection="0">
      <alignment vertical="center"/>
    </xf>
    <xf numFmtId="0" fontId="53" fillId="26" borderId="0" applyNumberFormat="0" applyBorder="0" applyAlignment="0" applyProtection="0">
      <alignment vertical="center"/>
    </xf>
    <xf numFmtId="0" fontId="53"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3" fillId="30" borderId="0" applyNumberFormat="0" applyBorder="0" applyAlignment="0" applyProtection="0">
      <alignment vertical="center"/>
    </xf>
    <xf numFmtId="0" fontId="53"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3" fillId="34" borderId="0" applyNumberFormat="0" applyBorder="0" applyAlignment="0" applyProtection="0">
      <alignment vertical="center"/>
    </xf>
    <xf numFmtId="0" fontId="53" fillId="35" borderId="0" applyNumberFormat="0" applyBorder="0" applyAlignment="0" applyProtection="0">
      <alignment vertical="center"/>
    </xf>
    <xf numFmtId="0" fontId="52" fillId="36" borderId="0" applyNumberFormat="0" applyBorder="0" applyAlignment="0" applyProtection="0">
      <alignment vertical="center"/>
    </xf>
    <xf numFmtId="176" fontId="19" fillId="0" borderId="0">
      <alignment vertical="center"/>
    </xf>
    <xf numFmtId="0" fontId="19" fillId="0" borderId="0"/>
    <xf numFmtId="177" fontId="19" fillId="0" borderId="0"/>
    <xf numFmtId="0" fontId="54" fillId="0" borderId="0"/>
    <xf numFmtId="176" fontId="55" fillId="0" borderId="0">
      <alignment vertical="center"/>
    </xf>
    <xf numFmtId="0" fontId="55" fillId="0" borderId="0">
      <alignment vertical="center"/>
    </xf>
    <xf numFmtId="0" fontId="56" fillId="0" borderId="0">
      <alignment vertical="center"/>
    </xf>
  </cellStyleXfs>
  <cellXfs count="550">
    <xf numFmtId="176" fontId="0" fillId="0" borderId="0" xfId="0">
      <alignment vertical="center"/>
    </xf>
    <xf numFmtId="176" fontId="1" fillId="0" borderId="0" xfId="0" applyFont="1" applyProtection="1">
      <alignment vertical="center"/>
      <protection locked="0"/>
    </xf>
    <xf numFmtId="176" fontId="2" fillId="0" borderId="0" xfId="0" applyFont="1" applyAlignment="1" applyProtection="1">
      <alignment horizontal="center" vertical="center"/>
      <protection locked="0"/>
    </xf>
    <xf numFmtId="176" fontId="2" fillId="0" borderId="0" xfId="0" applyFont="1" applyFill="1" applyAlignment="1" applyProtection="1">
      <alignment horizontal="center" vertical="center"/>
      <protection locked="0"/>
    </xf>
    <xf numFmtId="176" fontId="2" fillId="2" borderId="1" xfId="0" applyFont="1" applyFill="1" applyBorder="1" applyAlignment="1" applyProtection="1">
      <alignment horizontal="center" vertical="center"/>
      <protection locked="0"/>
    </xf>
    <xf numFmtId="176" fontId="3" fillId="0" borderId="0" xfId="0" applyFont="1">
      <alignment vertical="center"/>
    </xf>
    <xf numFmtId="178" fontId="2" fillId="0" borderId="2" xfId="0" applyNumberFormat="1" applyFont="1" applyBorder="1" applyAlignment="1">
      <alignment horizontal="center" vertical="center" wrapText="1" shrinkToFit="1"/>
    </xf>
    <xf numFmtId="176" fontId="2" fillId="0" borderId="2" xfId="0" applyFont="1" applyBorder="1" applyAlignment="1" applyProtection="1">
      <alignment horizontal="center" vertical="center" wrapText="1" shrinkToFit="1"/>
      <protection locked="0"/>
    </xf>
    <xf numFmtId="0" fontId="2" fillId="0" borderId="2" xfId="0" applyNumberFormat="1" applyFont="1" applyBorder="1" applyAlignment="1" applyProtection="1">
      <alignment horizontal="center" vertical="center" wrapText="1" shrinkToFit="1"/>
      <protection locked="0"/>
    </xf>
    <xf numFmtId="49" fontId="2" fillId="0" borderId="2" xfId="0" applyNumberFormat="1" applyFont="1" applyBorder="1" applyAlignment="1" applyProtection="1">
      <alignment horizontal="center" vertical="center" wrapText="1" shrinkToFit="1"/>
      <protection locked="0"/>
    </xf>
    <xf numFmtId="178" fontId="2" fillId="0" borderId="2" xfId="0" applyNumberFormat="1" applyFont="1" applyBorder="1" applyAlignment="1" applyProtection="1">
      <alignment horizontal="center" vertical="center" wrapText="1" shrinkToFit="1"/>
      <protection locked="0"/>
    </xf>
    <xf numFmtId="178" fontId="1" fillId="0" borderId="2" xfId="0" applyNumberFormat="1" applyFont="1" applyBorder="1" applyAlignment="1" applyProtection="1">
      <alignment horizontal="center" vertical="center" wrapText="1" shrinkToFit="1"/>
      <protection locked="0"/>
    </xf>
    <xf numFmtId="58" fontId="1" fillId="0" borderId="2" xfId="0" applyNumberFormat="1" applyFont="1" applyBorder="1" applyAlignment="1" applyProtection="1">
      <alignment horizontal="center" vertical="center" wrapText="1" shrinkToFit="1"/>
      <protection locked="0"/>
    </xf>
    <xf numFmtId="0" fontId="2" fillId="0" borderId="2" xfId="0" applyNumberFormat="1" applyFont="1" applyBorder="1" applyAlignment="1" applyProtection="1">
      <alignment horizontal="center" vertical="center" shrinkToFit="1"/>
      <protection locked="0"/>
    </xf>
    <xf numFmtId="0" fontId="4" fillId="0" borderId="2" xfId="0" applyNumberFormat="1" applyFont="1" applyBorder="1" applyAlignment="1" applyProtection="1">
      <alignment horizontal="center" vertical="center" wrapText="1"/>
      <protection locked="0"/>
    </xf>
    <xf numFmtId="0" fontId="1" fillId="0" borderId="2" xfId="0" applyNumberFormat="1" applyFont="1" applyBorder="1" applyProtection="1">
      <alignment vertical="center"/>
      <protection locked="0"/>
    </xf>
    <xf numFmtId="176" fontId="1" fillId="2" borderId="2" xfId="0" applyFont="1" applyFill="1" applyBorder="1" applyProtection="1">
      <alignment vertical="center"/>
      <protection locked="0"/>
    </xf>
    <xf numFmtId="178" fontId="2" fillId="0" borderId="3" xfId="0" applyNumberFormat="1" applyFont="1" applyBorder="1" applyAlignment="1">
      <alignment horizontal="center" vertical="center" wrapText="1" shrinkToFit="1"/>
    </xf>
    <xf numFmtId="0" fontId="1" fillId="0" borderId="3" xfId="0" applyNumberFormat="1" applyFont="1" applyBorder="1" applyAlignment="1" applyProtection="1">
      <alignment horizontal="center" vertical="center" wrapText="1"/>
      <protection locked="0"/>
    </xf>
    <xf numFmtId="176" fontId="2" fillId="0" borderId="3" xfId="0" applyFont="1" applyBorder="1" applyAlignment="1" applyProtection="1">
      <alignment horizontal="center" vertical="center"/>
      <protection locked="0"/>
    </xf>
    <xf numFmtId="0" fontId="2" fillId="0" borderId="3" xfId="0" applyNumberFormat="1" applyFont="1" applyBorder="1" applyAlignment="1" applyProtection="1">
      <alignment horizontal="center" vertical="center"/>
      <protection locked="0"/>
    </xf>
    <xf numFmtId="0" fontId="2" fillId="0" borderId="3" xfId="0" applyNumberFormat="1" applyFont="1" applyBorder="1" applyAlignment="1" applyProtection="1">
      <alignment horizontal="center" vertical="center" wrapText="1"/>
      <protection locked="0"/>
    </xf>
    <xf numFmtId="0" fontId="2" fillId="0" borderId="3" xfId="0" applyNumberFormat="1" applyFont="1" applyBorder="1" applyAlignment="1" applyProtection="1">
      <alignment horizontal="center" vertical="center" wrapText="1" shrinkToFit="1"/>
      <protection locked="0"/>
    </xf>
    <xf numFmtId="3" fontId="2" fillId="0" borderId="3" xfId="0" applyNumberFormat="1" applyFont="1" applyBorder="1" applyAlignment="1" applyProtection="1">
      <alignment horizontal="center" vertical="center"/>
      <protection locked="0"/>
    </xf>
    <xf numFmtId="178" fontId="2" fillId="0" borderId="3" xfId="0" applyNumberFormat="1" applyFont="1" applyBorder="1" applyAlignment="1" applyProtection="1">
      <alignment horizontal="center" vertical="center" wrapText="1" shrinkToFit="1"/>
      <protection locked="0"/>
    </xf>
    <xf numFmtId="58" fontId="1" fillId="0" borderId="3" xfId="0" applyNumberFormat="1" applyFont="1" applyBorder="1" applyAlignment="1" applyProtection="1">
      <alignment horizontal="center" vertical="center" wrapText="1" shrinkToFit="1"/>
      <protection locked="0"/>
    </xf>
    <xf numFmtId="176" fontId="2" fillId="0" borderId="3" xfId="0" applyFont="1" applyBorder="1" applyAlignment="1" applyProtection="1">
      <alignment horizontal="center" vertical="center" wrapText="1"/>
      <protection locked="0"/>
    </xf>
    <xf numFmtId="179" fontId="2" fillId="0" borderId="2" xfId="0" applyNumberFormat="1" applyFont="1" applyBorder="1" applyAlignment="1" applyProtection="1">
      <alignment horizontal="center" vertical="center"/>
      <protection locked="0"/>
    </xf>
    <xf numFmtId="180" fontId="2" fillId="0" borderId="2" xfId="0" applyNumberFormat="1" applyFont="1" applyBorder="1" applyAlignment="1" applyProtection="1">
      <alignment horizontal="center" vertical="center"/>
      <protection locked="0"/>
    </xf>
    <xf numFmtId="0" fontId="2" fillId="0" borderId="2" xfId="0" applyNumberFormat="1" applyFont="1" applyBorder="1" applyAlignment="1" applyProtection="1">
      <alignment horizontal="center" vertical="center"/>
      <protection locked="0"/>
    </xf>
    <xf numFmtId="0" fontId="2" fillId="0" borderId="2" xfId="0" applyNumberFormat="1" applyFont="1" applyBorder="1" applyAlignment="1" applyProtection="1">
      <alignment horizontal="center" vertical="center" wrapText="1"/>
      <protection locked="0"/>
    </xf>
    <xf numFmtId="176" fontId="2" fillId="2" borderId="2" xfId="0" applyFont="1" applyFill="1" applyBorder="1" applyAlignment="1" applyProtection="1">
      <alignment horizontal="center" vertical="center"/>
      <protection locked="0"/>
    </xf>
    <xf numFmtId="178" fontId="2" fillId="0" borderId="3" xfId="0" applyNumberFormat="1" applyFont="1" applyFill="1" applyBorder="1" applyAlignment="1">
      <alignment horizontal="center" vertical="center" wrapText="1" shrinkToFit="1"/>
    </xf>
    <xf numFmtId="0" fontId="1" fillId="0" borderId="3" xfId="0" applyNumberFormat="1" applyFont="1" applyFill="1" applyBorder="1" applyAlignment="1" applyProtection="1">
      <alignment horizontal="center" vertical="center" wrapText="1"/>
      <protection locked="0"/>
    </xf>
    <xf numFmtId="176" fontId="2" fillId="0" borderId="3" xfId="0" applyFont="1" applyFill="1" applyBorder="1" applyAlignment="1" applyProtection="1">
      <alignment horizontal="center" vertical="center"/>
      <protection locked="0"/>
    </xf>
    <xf numFmtId="0" fontId="2" fillId="0" borderId="3" xfId="0" applyNumberFormat="1" applyFont="1" applyFill="1" applyBorder="1" applyAlignment="1" applyProtection="1">
      <alignment horizontal="center" vertical="center"/>
      <protection locked="0"/>
    </xf>
    <xf numFmtId="0" fontId="2" fillId="0" borderId="3" xfId="0" applyNumberFormat="1" applyFont="1" applyFill="1" applyBorder="1" applyAlignment="1" applyProtection="1">
      <alignment horizontal="center" vertical="center" wrapText="1"/>
      <protection locked="0"/>
    </xf>
    <xf numFmtId="0" fontId="2" fillId="0" borderId="3" xfId="0" applyNumberFormat="1" applyFont="1" applyFill="1" applyBorder="1" applyAlignment="1" applyProtection="1">
      <alignment horizontal="center" vertical="center" wrapText="1" shrinkToFit="1"/>
      <protection locked="0"/>
    </xf>
    <xf numFmtId="178" fontId="2" fillId="0" borderId="3" xfId="0" applyNumberFormat="1" applyFont="1" applyFill="1" applyBorder="1" applyAlignment="1" applyProtection="1">
      <alignment horizontal="center" vertical="center" wrapText="1" shrinkToFit="1"/>
      <protection locked="0"/>
    </xf>
    <xf numFmtId="58" fontId="1" fillId="0" borderId="2" xfId="0" applyNumberFormat="1" applyFont="1" applyFill="1" applyBorder="1" applyAlignment="1" applyProtection="1">
      <alignment horizontal="center" vertical="center" wrapText="1" shrinkToFit="1"/>
      <protection locked="0"/>
    </xf>
    <xf numFmtId="58" fontId="1" fillId="0" borderId="3" xfId="0" applyNumberFormat="1" applyFont="1" applyFill="1" applyBorder="1" applyAlignment="1" applyProtection="1">
      <alignment horizontal="center" vertical="center" wrapText="1" shrinkToFit="1"/>
      <protection locked="0"/>
    </xf>
    <xf numFmtId="176" fontId="2" fillId="0" borderId="3" xfId="0" applyFont="1" applyFill="1" applyBorder="1" applyAlignment="1" applyProtection="1">
      <alignment horizontal="center" vertical="center" wrapText="1"/>
      <protection locked="0"/>
    </xf>
    <xf numFmtId="179" fontId="2" fillId="0" borderId="2" xfId="0" applyNumberFormat="1" applyFont="1" applyFill="1" applyBorder="1" applyAlignment="1" applyProtection="1">
      <alignment horizontal="center" vertical="center"/>
      <protection locked="0"/>
    </xf>
    <xf numFmtId="180" fontId="2" fillId="0" borderId="2" xfId="0" applyNumberFormat="1" applyFont="1" applyFill="1" applyBorder="1" applyAlignment="1" applyProtection="1">
      <alignment horizontal="center" vertical="center"/>
      <protection locked="0"/>
    </xf>
    <xf numFmtId="0" fontId="2" fillId="0" borderId="2" xfId="0" applyNumberFormat="1" applyFont="1" applyFill="1" applyBorder="1" applyAlignment="1" applyProtection="1">
      <alignment horizontal="center" vertical="center"/>
      <protection locked="0"/>
    </xf>
    <xf numFmtId="0" fontId="2" fillId="0" borderId="2" xfId="0" applyNumberFormat="1" applyFont="1" applyFill="1" applyBorder="1" applyAlignment="1" applyProtection="1">
      <alignment horizontal="center" vertical="center" wrapText="1"/>
      <protection locked="0"/>
    </xf>
    <xf numFmtId="0" fontId="2" fillId="2" borderId="2" xfId="0" applyNumberFormat="1" applyFont="1" applyFill="1" applyBorder="1" applyAlignment="1" applyProtection="1">
      <alignment horizontal="center" vertical="center"/>
      <protection locked="0"/>
    </xf>
    <xf numFmtId="178" fontId="2" fillId="0" borderId="1" xfId="0" applyNumberFormat="1" applyFont="1" applyFill="1" applyBorder="1" applyAlignment="1">
      <alignment horizontal="center" vertical="center" wrapText="1" shrinkToFit="1"/>
    </xf>
    <xf numFmtId="176" fontId="2" fillId="0" borderId="1" xfId="0" applyFont="1" applyFill="1" applyBorder="1" applyAlignment="1" applyProtection="1">
      <alignment horizontal="center" vertical="center" wrapText="1" shrinkToFit="1"/>
      <protection locked="0"/>
    </xf>
    <xf numFmtId="0" fontId="2" fillId="0" borderId="1" xfId="0" applyNumberFormat="1" applyFont="1" applyFill="1" applyBorder="1" applyAlignment="1" applyProtection="1">
      <alignment horizontal="center" vertical="center" wrapText="1" shrinkToFit="1"/>
      <protection locked="0"/>
    </xf>
    <xf numFmtId="49" fontId="2" fillId="0" borderId="1" xfId="0" applyNumberFormat="1" applyFont="1" applyFill="1" applyBorder="1" applyAlignment="1" applyProtection="1">
      <alignment horizontal="center" vertical="center" wrapText="1" shrinkToFit="1"/>
      <protection locked="0"/>
    </xf>
    <xf numFmtId="178" fontId="2" fillId="0" borderId="1" xfId="0" applyNumberFormat="1" applyFont="1" applyFill="1" applyBorder="1" applyAlignment="1" applyProtection="1">
      <alignment horizontal="center" vertical="center" wrapText="1" shrinkToFit="1"/>
      <protection locked="0"/>
    </xf>
    <xf numFmtId="178" fontId="1" fillId="0" borderId="1" xfId="0" applyNumberFormat="1" applyFont="1" applyFill="1" applyBorder="1" applyAlignment="1" applyProtection="1">
      <alignment horizontal="center" vertical="center" wrapText="1" shrinkToFit="1"/>
      <protection locked="0"/>
    </xf>
    <xf numFmtId="58" fontId="1" fillId="0" borderId="1" xfId="0" applyNumberFormat="1" applyFont="1" applyFill="1" applyBorder="1" applyAlignment="1" applyProtection="1">
      <alignment horizontal="center" vertical="center" wrapText="1" shrinkToFit="1"/>
      <protection locked="0"/>
    </xf>
    <xf numFmtId="181" fontId="2" fillId="0" borderId="1" xfId="0" applyNumberFormat="1" applyFont="1" applyFill="1" applyBorder="1" applyAlignment="1" applyProtection="1">
      <alignment horizontal="center" vertical="center" wrapText="1" shrinkToFit="1"/>
      <protection locked="0"/>
    </xf>
    <xf numFmtId="0" fontId="3" fillId="0" borderId="1" xfId="0" applyNumberFormat="1" applyFont="1" applyFill="1" applyBorder="1" applyAlignment="1">
      <alignment horizontal="center" vertical="center"/>
    </xf>
    <xf numFmtId="0" fontId="2" fillId="0" borderId="1" xfId="0" applyNumberFormat="1" applyFont="1" applyFill="1" applyBorder="1" applyAlignment="1" applyProtection="1">
      <alignment horizontal="center" vertical="center"/>
      <protection locked="0"/>
    </xf>
    <xf numFmtId="0" fontId="1" fillId="0" borderId="1" xfId="0" applyNumberFormat="1" applyFont="1" applyFill="1" applyBorder="1" applyProtection="1">
      <alignment vertical="center"/>
      <protection locked="0"/>
    </xf>
    <xf numFmtId="176" fontId="1" fillId="0" borderId="1" xfId="0" applyFont="1" applyFill="1" applyBorder="1" applyProtection="1">
      <alignment vertical="center"/>
      <protection locked="0"/>
    </xf>
    <xf numFmtId="0" fontId="2" fillId="0" borderId="4" xfId="0" applyNumberFormat="1" applyFont="1" applyFill="1" applyBorder="1" applyAlignment="1" applyProtection="1">
      <alignment horizontal="center" vertical="center"/>
      <protection locked="0"/>
    </xf>
    <xf numFmtId="176" fontId="2" fillId="0" borderId="1" xfId="0" applyNumberFormat="1" applyFont="1" applyFill="1" applyBorder="1" applyAlignment="1" applyProtection="1">
      <alignment horizontal="center" vertical="center"/>
      <protection locked="0"/>
    </xf>
    <xf numFmtId="176" fontId="2" fillId="0" borderId="5" xfId="0" applyFont="1" applyFill="1" applyBorder="1" applyAlignment="1" applyProtection="1">
      <alignment horizontal="center" vertical="center"/>
      <protection locked="0"/>
    </xf>
    <xf numFmtId="176" fontId="3" fillId="0" borderId="0" xfId="0" applyFont="1" applyFill="1" applyBorder="1">
      <alignment vertical="center"/>
    </xf>
    <xf numFmtId="176" fontId="3" fillId="0" borderId="1" xfId="0" applyFont="1" applyFill="1" applyBorder="1">
      <alignment vertical="center"/>
    </xf>
    <xf numFmtId="178" fontId="2" fillId="2" borderId="1" xfId="0" applyNumberFormat="1" applyFont="1" applyFill="1" applyBorder="1" applyAlignment="1">
      <alignment horizontal="center" vertical="center" wrapText="1" shrinkToFit="1"/>
    </xf>
    <xf numFmtId="176" fontId="2" fillId="2" borderId="1" xfId="0" applyFont="1" applyFill="1" applyBorder="1" applyAlignment="1" applyProtection="1">
      <alignment horizontal="center" vertical="center" wrapText="1" shrinkToFit="1"/>
      <protection locked="0"/>
    </xf>
    <xf numFmtId="0" fontId="2" fillId="2" borderId="1" xfId="0" applyNumberFormat="1" applyFont="1" applyFill="1" applyBorder="1" applyAlignment="1" applyProtection="1">
      <alignment horizontal="center" vertical="center" wrapText="1" shrinkToFit="1"/>
      <protection locked="0"/>
    </xf>
    <xf numFmtId="49" fontId="2" fillId="2" borderId="1" xfId="0" applyNumberFormat="1" applyFont="1" applyFill="1" applyBorder="1" applyAlignment="1" applyProtection="1">
      <alignment horizontal="center" vertical="center" wrapText="1" shrinkToFit="1"/>
      <protection locked="0"/>
    </xf>
    <xf numFmtId="0" fontId="2" fillId="2" borderId="3" xfId="0" applyNumberFormat="1" applyFont="1" applyFill="1" applyBorder="1" applyAlignment="1" applyProtection="1">
      <alignment horizontal="center" vertical="center" wrapText="1" shrinkToFit="1"/>
      <protection locked="0"/>
    </xf>
    <xf numFmtId="178" fontId="2" fillId="2" borderId="1" xfId="0" applyNumberFormat="1" applyFont="1" applyFill="1" applyBorder="1" applyAlignment="1" applyProtection="1">
      <alignment horizontal="center" vertical="center" wrapText="1" shrinkToFit="1"/>
      <protection locked="0"/>
    </xf>
    <xf numFmtId="178" fontId="1" fillId="2" borderId="1" xfId="0" applyNumberFormat="1" applyFont="1" applyFill="1" applyBorder="1" applyAlignment="1" applyProtection="1">
      <alignment horizontal="center" vertical="center" wrapText="1" shrinkToFit="1"/>
      <protection locked="0"/>
    </xf>
    <xf numFmtId="58" fontId="1" fillId="2" borderId="1" xfId="0" applyNumberFormat="1" applyFont="1" applyFill="1" applyBorder="1" applyAlignment="1" applyProtection="1">
      <alignment horizontal="center" vertical="center" wrapText="1" shrinkToFit="1"/>
      <protection locked="0"/>
    </xf>
    <xf numFmtId="181" fontId="2" fillId="2" borderId="1" xfId="0" applyNumberFormat="1" applyFont="1" applyFill="1" applyBorder="1" applyAlignment="1" applyProtection="1">
      <alignment horizontal="center" vertical="center" wrapText="1" shrinkToFit="1"/>
      <protection locked="0"/>
    </xf>
    <xf numFmtId="0" fontId="2" fillId="2" borderId="1" xfId="0" applyNumberFormat="1" applyFont="1" applyFill="1" applyBorder="1" applyAlignment="1" applyProtection="1">
      <alignment horizontal="center" vertical="center" wrapText="1"/>
      <protection locked="0"/>
    </xf>
    <xf numFmtId="176" fontId="2" fillId="2" borderId="3" xfId="0" applyFont="1" applyFill="1" applyBorder="1" applyAlignment="1" applyProtection="1">
      <alignment horizontal="center" vertical="center"/>
      <protection locked="0"/>
    </xf>
    <xf numFmtId="176" fontId="2" fillId="2" borderId="0" xfId="0" applyFont="1" applyFill="1" applyBorder="1" applyAlignment="1" applyProtection="1">
      <alignment horizontal="center" vertical="center"/>
      <protection locked="0"/>
    </xf>
    <xf numFmtId="0" fontId="2" fillId="2" borderId="4" xfId="0" applyNumberFormat="1" applyFont="1" applyFill="1" applyBorder="1" applyAlignment="1" applyProtection="1">
      <alignment horizontal="center" vertical="center"/>
      <protection locked="0"/>
    </xf>
    <xf numFmtId="0" fontId="2" fillId="2" borderId="1" xfId="0" applyNumberFormat="1" applyFont="1" applyFill="1" applyBorder="1" applyAlignment="1" applyProtection="1">
      <alignment horizontal="center" vertical="center"/>
      <protection locked="0"/>
    </xf>
    <xf numFmtId="176" fontId="3" fillId="2" borderId="1" xfId="0" applyFont="1" applyFill="1" applyBorder="1">
      <alignment vertical="center"/>
    </xf>
    <xf numFmtId="176" fontId="3" fillId="2" borderId="4" xfId="0" applyFont="1" applyFill="1" applyBorder="1">
      <alignment vertical="center"/>
    </xf>
    <xf numFmtId="176" fontId="2" fillId="2" borderId="1" xfId="0" applyNumberFormat="1" applyFont="1" applyFill="1" applyBorder="1" applyAlignment="1" applyProtection="1">
      <alignment horizontal="center" vertical="center"/>
      <protection locked="0"/>
    </xf>
    <xf numFmtId="176" fontId="0" fillId="0" borderId="0" xfId="0" applyFill="1">
      <alignment vertical="center"/>
    </xf>
    <xf numFmtId="0" fontId="0" fillId="0" borderId="0" xfId="0" applyNumberFormat="1">
      <alignment vertical="center"/>
    </xf>
    <xf numFmtId="0" fontId="0" fillId="0" borderId="0" xfId="0" applyNumberFormat="1" applyAlignment="1">
      <alignment horizontal="center" vertical="center"/>
    </xf>
    <xf numFmtId="176" fontId="5" fillId="3" borderId="6" xfId="0" applyFont="1" applyFill="1" applyBorder="1" applyAlignment="1">
      <alignment horizontal="center" vertical="center"/>
    </xf>
    <xf numFmtId="176" fontId="5" fillId="3" borderId="7" xfId="0" applyFont="1" applyFill="1" applyBorder="1" applyAlignment="1">
      <alignment horizontal="center" vertical="center"/>
    </xf>
    <xf numFmtId="176" fontId="5" fillId="3" borderId="8" xfId="0" applyFont="1" applyFill="1" applyBorder="1" applyAlignment="1">
      <alignment horizontal="center" vertical="center"/>
    </xf>
    <xf numFmtId="0" fontId="0" fillId="4" borderId="0" xfId="0" applyNumberFormat="1" applyFill="1">
      <alignment vertical="center"/>
    </xf>
    <xf numFmtId="0" fontId="0" fillId="4" borderId="0" xfId="0" applyNumberFormat="1" applyFill="1" applyAlignment="1">
      <alignment horizontal="center" vertical="center"/>
    </xf>
    <xf numFmtId="176" fontId="0" fillId="4" borderId="0" xfId="0" applyFill="1">
      <alignment vertical="center"/>
    </xf>
    <xf numFmtId="176" fontId="6" fillId="0" borderId="9" xfId="0" applyFont="1" applyBorder="1" applyAlignment="1">
      <alignment horizontal="center" vertical="center"/>
    </xf>
    <xf numFmtId="0" fontId="6" fillId="0" borderId="3" xfId="0" applyNumberFormat="1" applyFont="1" applyBorder="1" applyAlignment="1">
      <alignment horizontal="center" vertical="center"/>
    </xf>
    <xf numFmtId="0" fontId="6" fillId="0" borderId="10" xfId="0" applyNumberFormat="1" applyFont="1" applyBorder="1" applyAlignment="1">
      <alignment horizontal="center" vertical="center"/>
    </xf>
    <xf numFmtId="0" fontId="6" fillId="0" borderId="10" xfId="0" applyNumberFormat="1" applyFont="1" applyBorder="1" applyAlignment="1">
      <alignment horizontal="center" vertical="center" wrapText="1"/>
    </xf>
    <xf numFmtId="0" fontId="6" fillId="0" borderId="11" xfId="0" applyNumberFormat="1" applyFont="1" applyBorder="1" applyAlignment="1">
      <alignment horizontal="center" vertical="center" wrapText="1"/>
    </xf>
    <xf numFmtId="176" fontId="0" fillId="0" borderId="12" xfId="0" applyBorder="1" applyAlignment="1">
      <alignment horizontal="center" vertical="center"/>
    </xf>
    <xf numFmtId="176" fontId="6" fillId="0" borderId="13" xfId="0" applyFont="1" applyBorder="1" applyAlignment="1">
      <alignment horizontal="center" vertical="center"/>
    </xf>
    <xf numFmtId="0" fontId="6" fillId="0" borderId="2" xfId="0" applyNumberFormat="1" applyFont="1" applyBorder="1" applyAlignment="1">
      <alignment horizontal="center" vertical="center"/>
    </xf>
    <xf numFmtId="0" fontId="6" fillId="0" borderId="3" xfId="0" applyNumberFormat="1" applyFont="1" applyBorder="1" applyAlignment="1">
      <alignment horizontal="center" vertical="center" wrapText="1"/>
    </xf>
    <xf numFmtId="0" fontId="6" fillId="0" borderId="14" xfId="0" applyNumberFormat="1" applyFont="1" applyBorder="1" applyAlignment="1">
      <alignment horizontal="center" vertical="center" wrapText="1"/>
    </xf>
    <xf numFmtId="176" fontId="0" fillId="0" borderId="15" xfId="0" applyBorder="1" applyAlignment="1">
      <alignment horizontal="center" vertical="center"/>
    </xf>
    <xf numFmtId="178" fontId="6" fillId="0" borderId="13" xfId="0" applyNumberFormat="1" applyFont="1" applyBorder="1" applyAlignment="1">
      <alignment horizontal="center" vertical="center"/>
    </xf>
    <xf numFmtId="178" fontId="6" fillId="0" borderId="16" xfId="0" applyNumberFormat="1" applyFont="1" applyBorder="1" applyAlignment="1">
      <alignment horizontal="center" vertical="center"/>
    </xf>
    <xf numFmtId="178" fontId="6" fillId="0" borderId="16" xfId="0" applyNumberFormat="1" applyFont="1" applyFill="1" applyBorder="1" applyAlignment="1">
      <alignment horizontal="center" vertical="center"/>
    </xf>
    <xf numFmtId="178" fontId="6" fillId="0" borderId="13" xfId="0" applyNumberFormat="1" applyFont="1" applyFill="1" applyBorder="1" applyAlignment="1">
      <alignment horizontal="center" vertical="center"/>
    </xf>
    <xf numFmtId="0" fontId="6" fillId="0" borderId="2" xfId="0" applyNumberFormat="1" applyFont="1" applyFill="1" applyBorder="1" applyAlignment="1">
      <alignment horizontal="center" vertical="center"/>
    </xf>
    <xf numFmtId="176" fontId="0" fillId="0" borderId="15" xfId="0" applyFill="1" applyBorder="1" applyAlignment="1">
      <alignment horizontal="center" vertical="center"/>
    </xf>
    <xf numFmtId="0" fontId="0" fillId="0" borderId="0" xfId="0" applyNumberFormat="1" applyFill="1">
      <alignment vertical="center"/>
    </xf>
    <xf numFmtId="0" fontId="0" fillId="0" borderId="0" xfId="0" applyNumberFormat="1" applyFill="1" applyAlignment="1">
      <alignment horizontal="center" vertical="center"/>
    </xf>
    <xf numFmtId="178" fontId="6" fillId="2" borderId="13" xfId="0" applyNumberFormat="1" applyFont="1" applyFill="1" applyBorder="1" applyAlignment="1">
      <alignment horizontal="center" vertical="center"/>
    </xf>
    <xf numFmtId="0" fontId="6" fillId="2" borderId="2" xfId="0" applyNumberFormat="1" applyFont="1" applyFill="1" applyBorder="1" applyAlignment="1">
      <alignment horizontal="center" vertical="center"/>
    </xf>
    <xf numFmtId="178" fontId="6" fillId="2" borderId="16" xfId="0" applyNumberFormat="1" applyFont="1" applyFill="1" applyBorder="1" applyAlignment="1">
      <alignment horizontal="center" vertical="center"/>
    </xf>
    <xf numFmtId="0" fontId="6" fillId="0" borderId="16" xfId="0" applyNumberFormat="1" applyFont="1" applyBorder="1" applyAlignment="1">
      <alignment horizontal="center" vertical="center"/>
    </xf>
    <xf numFmtId="0" fontId="6" fillId="0" borderId="17" xfId="0" applyNumberFormat="1" applyFont="1" applyBorder="1" applyAlignment="1">
      <alignment horizontal="center" vertical="center"/>
    </xf>
    <xf numFmtId="176" fontId="5" fillId="2" borderId="18" xfId="0" applyFont="1" applyFill="1" applyBorder="1" applyAlignment="1">
      <alignment horizontal="center" vertical="center"/>
    </xf>
    <xf numFmtId="176" fontId="5" fillId="2" borderId="19" xfId="0" applyFont="1" applyFill="1" applyBorder="1" applyAlignment="1">
      <alignment horizontal="center" vertical="center"/>
    </xf>
    <xf numFmtId="176" fontId="5" fillId="2" borderId="20" xfId="0" applyFont="1" applyFill="1" applyBorder="1" applyAlignment="1">
      <alignment horizontal="center" vertical="center"/>
    </xf>
    <xf numFmtId="0" fontId="6" fillId="0" borderId="2" xfId="0" applyNumberFormat="1" applyFont="1" applyBorder="1" applyAlignment="1">
      <alignment horizontal="center" vertical="center" wrapText="1"/>
    </xf>
    <xf numFmtId="178" fontId="7" fillId="0" borderId="16" xfId="0" applyNumberFormat="1" applyFont="1" applyFill="1" applyBorder="1" applyAlignment="1">
      <alignment horizontal="center" vertical="center"/>
    </xf>
    <xf numFmtId="0" fontId="7" fillId="0" borderId="2" xfId="0" applyNumberFormat="1" applyFont="1" applyFill="1" applyBorder="1" applyAlignment="1">
      <alignment horizontal="center" vertical="center"/>
    </xf>
    <xf numFmtId="0" fontId="7" fillId="2" borderId="2" xfId="0" applyNumberFormat="1" applyFont="1" applyFill="1" applyBorder="1" applyAlignment="1">
      <alignment horizontal="center" vertical="center"/>
    </xf>
    <xf numFmtId="178" fontId="7" fillId="2" borderId="16" xfId="0" applyNumberFormat="1" applyFont="1" applyFill="1" applyBorder="1" applyAlignment="1">
      <alignment horizontal="center" vertical="center"/>
    </xf>
    <xf numFmtId="176" fontId="8" fillId="2" borderId="15" xfId="0" applyFont="1" applyFill="1" applyBorder="1" applyAlignment="1">
      <alignment horizontal="center" vertical="center" wrapText="1"/>
    </xf>
    <xf numFmtId="0" fontId="6" fillId="0" borderId="21" xfId="0" applyNumberFormat="1" applyFont="1" applyFill="1" applyBorder="1" applyAlignment="1">
      <alignment horizontal="center" vertical="center"/>
    </xf>
    <xf numFmtId="0" fontId="6" fillId="0" borderId="21" xfId="0" applyNumberFormat="1" applyFont="1" applyBorder="1" applyAlignment="1">
      <alignment horizontal="center" vertical="center"/>
    </xf>
    <xf numFmtId="176" fontId="6" fillId="0" borderId="22" xfId="0" applyFont="1" applyBorder="1" applyAlignment="1">
      <alignment horizontal="center" vertical="center"/>
    </xf>
    <xf numFmtId="0" fontId="6" fillId="0" borderId="23" xfId="0" applyNumberFormat="1" applyFont="1" applyBorder="1" applyAlignment="1">
      <alignment horizontal="center" vertical="center"/>
    </xf>
    <xf numFmtId="0" fontId="6" fillId="0" borderId="24" xfId="0" applyNumberFormat="1" applyFont="1" applyBorder="1" applyAlignment="1">
      <alignment horizontal="center" vertical="center"/>
    </xf>
    <xf numFmtId="176" fontId="0" fillId="0" borderId="25" xfId="0" applyBorder="1" applyAlignment="1">
      <alignment horizontal="center" vertical="center"/>
    </xf>
    <xf numFmtId="176" fontId="9" fillId="0" borderId="0" xfId="0" applyFont="1" applyAlignment="1">
      <alignment horizontal="center" vertical="center"/>
    </xf>
    <xf numFmtId="176" fontId="9" fillId="0" borderId="0" xfId="0" applyFont="1" applyFill="1" applyAlignment="1">
      <alignment horizontal="center" vertical="center"/>
    </xf>
    <xf numFmtId="176" fontId="9" fillId="2" borderId="0" xfId="0" applyFont="1" applyFill="1" applyAlignment="1">
      <alignment horizontal="center" vertical="center"/>
    </xf>
    <xf numFmtId="176" fontId="10" fillId="0" borderId="0" xfId="0" applyFont="1" applyAlignment="1">
      <alignment horizontal="center" vertical="center"/>
    </xf>
    <xf numFmtId="0" fontId="10" fillId="0" borderId="0" xfId="0" applyNumberFormat="1" applyFont="1" applyAlignment="1">
      <alignment horizontal="center" vertical="center"/>
    </xf>
    <xf numFmtId="176" fontId="11" fillId="3" borderId="26" xfId="0" applyFont="1" applyFill="1" applyBorder="1" applyAlignment="1">
      <alignment horizontal="center" vertical="center"/>
    </xf>
    <xf numFmtId="176" fontId="11" fillId="3" borderId="27" xfId="0" applyFont="1" applyFill="1" applyBorder="1" applyAlignment="1">
      <alignment horizontal="center" vertical="center"/>
    </xf>
    <xf numFmtId="176" fontId="11" fillId="3" borderId="28" xfId="0" applyFont="1" applyFill="1" applyBorder="1" applyAlignment="1">
      <alignment horizontal="center" vertical="center"/>
    </xf>
    <xf numFmtId="176" fontId="9" fillId="0" borderId="17" xfId="0" applyFont="1" applyBorder="1" applyAlignment="1">
      <alignment horizontal="center" vertical="center"/>
    </xf>
    <xf numFmtId="176" fontId="9" fillId="0" borderId="29" xfId="0" applyFont="1" applyBorder="1" applyAlignment="1">
      <alignment horizontal="center" vertical="center"/>
    </xf>
    <xf numFmtId="0" fontId="9" fillId="0" borderId="30" xfId="0" applyNumberFormat="1" applyFont="1" applyBorder="1" applyAlignment="1">
      <alignment horizontal="center" vertical="center"/>
    </xf>
    <xf numFmtId="0" fontId="9" fillId="0" borderId="31" xfId="0" applyNumberFormat="1" applyFont="1" applyBorder="1" applyAlignment="1">
      <alignment horizontal="center" vertical="center"/>
    </xf>
    <xf numFmtId="0" fontId="9" fillId="4" borderId="2" xfId="0" applyNumberFormat="1" applyFont="1" applyFill="1" applyBorder="1" applyAlignment="1">
      <alignment horizontal="center" vertical="center" wrapText="1"/>
    </xf>
    <xf numFmtId="0" fontId="12" fillId="4" borderId="2" xfId="0" applyNumberFormat="1" applyFont="1" applyFill="1" applyBorder="1" applyAlignment="1">
      <alignment horizontal="center" vertical="center" wrapText="1"/>
    </xf>
    <xf numFmtId="0" fontId="9" fillId="4" borderId="14" xfId="0" applyNumberFormat="1" applyFont="1" applyFill="1" applyBorder="1" applyAlignment="1">
      <alignment horizontal="center" vertical="center" wrapText="1"/>
    </xf>
    <xf numFmtId="176" fontId="9" fillId="0" borderId="32" xfId="0" applyFont="1" applyBorder="1" applyAlignment="1">
      <alignment horizontal="center" vertical="center"/>
    </xf>
    <xf numFmtId="176" fontId="9" fillId="0" borderId="13" xfId="0" applyFont="1" applyBorder="1" applyAlignment="1">
      <alignment horizontal="center" vertical="center"/>
    </xf>
    <xf numFmtId="0" fontId="9" fillId="0" borderId="2" xfId="0" applyNumberFormat="1" applyFont="1" applyBorder="1" applyAlignment="1">
      <alignment horizontal="center" vertical="center"/>
    </xf>
    <xf numFmtId="0" fontId="13" fillId="4" borderId="2" xfId="0" applyNumberFormat="1" applyFont="1" applyFill="1" applyBorder="1" applyAlignment="1">
      <alignment horizontal="center" vertical="center"/>
    </xf>
    <xf numFmtId="182" fontId="14" fillId="0" borderId="2" xfId="0" applyNumberFormat="1" applyFont="1" applyBorder="1" applyAlignment="1">
      <alignment horizontal="center" vertical="center" wrapText="1"/>
    </xf>
    <xf numFmtId="0" fontId="9" fillId="0" borderId="17" xfId="0" applyNumberFormat="1" applyFont="1" applyBorder="1" applyAlignment="1">
      <alignment horizontal="center" vertical="center"/>
    </xf>
    <xf numFmtId="176" fontId="9" fillId="0" borderId="15" xfId="0" applyFont="1" applyBorder="1" applyAlignment="1">
      <alignment horizontal="center" vertical="center"/>
    </xf>
    <xf numFmtId="176" fontId="9" fillId="0" borderId="17" xfId="0" applyFont="1" applyFill="1" applyBorder="1" applyAlignment="1">
      <alignment horizontal="center" vertical="center"/>
    </xf>
    <xf numFmtId="176" fontId="9" fillId="0" borderId="13" xfId="0" applyFont="1" applyFill="1" applyBorder="1" applyAlignment="1">
      <alignment horizontal="center" vertical="center"/>
    </xf>
    <xf numFmtId="0" fontId="9" fillId="0" borderId="2"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182" fontId="14" fillId="0" borderId="2" xfId="0" applyNumberFormat="1" applyFont="1" applyFill="1" applyBorder="1" applyAlignment="1">
      <alignment horizontal="center" vertical="center" wrapText="1"/>
    </xf>
    <xf numFmtId="0" fontId="9" fillId="0" borderId="17" xfId="0" applyNumberFormat="1" applyFont="1" applyFill="1" applyBorder="1" applyAlignment="1">
      <alignment horizontal="center" vertical="center"/>
    </xf>
    <xf numFmtId="176" fontId="9" fillId="0" borderId="15" xfId="0" applyFont="1" applyFill="1" applyBorder="1" applyAlignment="1">
      <alignment horizontal="center" vertical="center"/>
    </xf>
    <xf numFmtId="0" fontId="12" fillId="0" borderId="17" xfId="0" applyNumberFormat="1" applyFont="1" applyFill="1" applyBorder="1" applyAlignment="1">
      <alignment horizontal="center" vertical="center"/>
    </xf>
    <xf numFmtId="176" fontId="9" fillId="0" borderId="13" xfId="0" applyNumberFormat="1" applyFont="1" applyFill="1" applyBorder="1" applyAlignment="1">
      <alignment horizontal="center" vertical="center"/>
    </xf>
    <xf numFmtId="176" fontId="12" fillId="0" borderId="15" xfId="0" applyFont="1" applyFill="1" applyBorder="1" applyAlignment="1">
      <alignment horizontal="center" vertical="center" wrapText="1"/>
    </xf>
    <xf numFmtId="176" fontId="9" fillId="2" borderId="17" xfId="0" applyFont="1" applyFill="1" applyBorder="1" applyAlignment="1">
      <alignment horizontal="center" vertical="center"/>
    </xf>
    <xf numFmtId="176" fontId="9" fillId="2" borderId="13" xfId="0" applyNumberFormat="1" applyFont="1" applyFill="1" applyBorder="1" applyAlignment="1">
      <alignment horizontal="center" vertical="center"/>
    </xf>
    <xf numFmtId="0" fontId="9" fillId="2" borderId="2" xfId="0" applyNumberFormat="1" applyFont="1" applyFill="1" applyBorder="1" applyAlignment="1">
      <alignment horizontal="center" vertical="center"/>
    </xf>
    <xf numFmtId="0" fontId="13" fillId="2" borderId="2" xfId="0" applyNumberFormat="1" applyFont="1" applyFill="1" applyBorder="1" applyAlignment="1">
      <alignment horizontal="center" vertical="center"/>
    </xf>
    <xf numFmtId="182" fontId="14" fillId="2" borderId="2" xfId="0" applyNumberFormat="1" applyFont="1" applyFill="1" applyBorder="1" applyAlignment="1">
      <alignment horizontal="center" vertical="center" wrapText="1"/>
    </xf>
    <xf numFmtId="0" fontId="9" fillId="2" borderId="17" xfId="0" applyNumberFormat="1" applyFont="1" applyFill="1" applyBorder="1" applyAlignment="1">
      <alignment horizontal="center" vertical="center"/>
    </xf>
    <xf numFmtId="176" fontId="9" fillId="2" borderId="15" xfId="0" applyFont="1" applyFill="1" applyBorder="1" applyAlignment="1">
      <alignment horizontal="center" vertical="center"/>
    </xf>
    <xf numFmtId="0" fontId="12" fillId="2" borderId="17" xfId="0" applyNumberFormat="1" applyFont="1" applyFill="1" applyBorder="1" applyAlignment="1">
      <alignment horizontal="center" vertical="center"/>
    </xf>
    <xf numFmtId="176" fontId="9" fillId="0" borderId="13" xfId="0" applyNumberFormat="1" applyFont="1" applyBorder="1" applyAlignment="1">
      <alignment horizontal="center" vertical="center"/>
    </xf>
    <xf numFmtId="176" fontId="9" fillId="0" borderId="22" xfId="0" applyFont="1" applyBorder="1" applyAlignment="1">
      <alignment horizontal="center" vertical="center"/>
    </xf>
    <xf numFmtId="0" fontId="9" fillId="0" borderId="23" xfId="0" applyNumberFormat="1" applyFont="1" applyBorder="1" applyAlignment="1">
      <alignment horizontal="center" vertical="center"/>
    </xf>
    <xf numFmtId="0" fontId="9" fillId="0" borderId="24" xfId="0" applyNumberFormat="1" applyFont="1" applyBorder="1" applyAlignment="1">
      <alignment horizontal="center" vertical="center"/>
    </xf>
    <xf numFmtId="183" fontId="9" fillId="2" borderId="23" xfId="0" applyNumberFormat="1" applyFont="1" applyFill="1" applyBorder="1" applyAlignment="1">
      <alignment horizontal="center" vertical="center"/>
    </xf>
    <xf numFmtId="0" fontId="9" fillId="2" borderId="23" xfId="0" applyNumberFormat="1" applyFont="1" applyFill="1" applyBorder="1" applyAlignment="1">
      <alignment horizontal="center" vertical="center"/>
    </xf>
    <xf numFmtId="183" fontId="9" fillId="2" borderId="24" xfId="0" applyNumberFormat="1" applyFont="1" applyFill="1" applyBorder="1" applyAlignment="1">
      <alignment horizontal="center" vertical="center"/>
    </xf>
    <xf numFmtId="176" fontId="9" fillId="0" borderId="25" xfId="0" applyFont="1" applyBorder="1" applyAlignment="1">
      <alignment horizontal="center" vertical="center"/>
    </xf>
    <xf numFmtId="176" fontId="15" fillId="0" borderId="0" xfId="0" applyFont="1" applyFill="1" applyProtection="1">
      <alignment vertical="center"/>
      <protection locked="0"/>
    </xf>
    <xf numFmtId="176" fontId="16" fillId="0" borderId="0" xfId="0" applyFont="1" applyFill="1" applyAlignment="1" applyProtection="1">
      <alignment horizontal="center" vertical="center"/>
      <protection locked="0"/>
    </xf>
    <xf numFmtId="176" fontId="17" fillId="0" borderId="0" xfId="0" applyFont="1" applyFill="1" applyAlignment="1" applyProtection="1">
      <alignment horizontal="center" vertical="center"/>
      <protection locked="0"/>
    </xf>
    <xf numFmtId="176" fontId="18" fillId="0" borderId="0" xfId="0" applyFont="1" applyFill="1" applyProtection="1">
      <alignment vertical="center"/>
      <protection locked="0"/>
    </xf>
    <xf numFmtId="176" fontId="17" fillId="0" borderId="1" xfId="0" applyFont="1" applyFill="1" applyBorder="1" applyAlignment="1" applyProtection="1">
      <alignment horizontal="center" vertical="center"/>
      <protection locked="0"/>
    </xf>
    <xf numFmtId="176" fontId="17" fillId="0" borderId="0" xfId="0" applyFont="1" applyFill="1" applyBorder="1" applyAlignment="1" applyProtection="1">
      <alignment horizontal="center" vertical="center"/>
      <protection locked="0"/>
    </xf>
    <xf numFmtId="176" fontId="12" fillId="0" borderId="0" xfId="0" applyFont="1" applyFill="1" applyBorder="1" applyAlignment="1" applyProtection="1">
      <alignment horizontal="center" vertical="center"/>
      <protection locked="0"/>
    </xf>
    <xf numFmtId="176" fontId="12" fillId="0" borderId="0" xfId="0" applyFont="1" applyFill="1" applyAlignment="1" applyProtection="1">
      <alignment horizontal="center" vertical="center"/>
      <protection locked="0"/>
    </xf>
    <xf numFmtId="176" fontId="12" fillId="0" borderId="1" xfId="0" applyFont="1" applyFill="1" applyBorder="1" applyAlignment="1" applyProtection="1">
      <alignment horizontal="center" vertical="center"/>
      <protection locked="0"/>
    </xf>
    <xf numFmtId="176" fontId="9" fillId="0" borderId="0" xfId="0" applyFont="1" applyFill="1" applyAlignment="1" applyProtection="1">
      <alignment horizontal="center" vertical="center"/>
      <protection locked="0"/>
    </xf>
    <xf numFmtId="176" fontId="15" fillId="0" borderId="0" xfId="0" applyFont="1" applyFill="1" applyAlignment="1">
      <alignment horizontal="center" vertical="center"/>
    </xf>
    <xf numFmtId="0" fontId="15" fillId="0" borderId="0" xfId="0" applyNumberFormat="1" applyFont="1" applyFill="1" applyAlignment="1" applyProtection="1">
      <alignment horizontal="center" vertical="center" wrapText="1"/>
      <protection locked="0"/>
    </xf>
    <xf numFmtId="176" fontId="15" fillId="0" borderId="0" xfId="0" applyFont="1" applyFill="1" applyAlignment="1" applyProtection="1">
      <alignment horizontal="center" vertical="center"/>
      <protection locked="0"/>
    </xf>
    <xf numFmtId="0" fontId="15" fillId="0" borderId="0" xfId="0" applyNumberFormat="1" applyFont="1" applyFill="1" applyAlignment="1" applyProtection="1">
      <alignment horizontal="center" vertical="center"/>
      <protection locked="0"/>
    </xf>
    <xf numFmtId="49" fontId="15" fillId="0" borderId="0" xfId="0" applyNumberFormat="1" applyFont="1" applyFill="1" applyAlignment="1" applyProtection="1">
      <alignment horizontal="center" vertical="center"/>
      <protection locked="0"/>
    </xf>
    <xf numFmtId="49" fontId="15" fillId="0" borderId="0" xfId="0" applyNumberFormat="1" applyFont="1" applyFill="1" applyAlignment="1" applyProtection="1">
      <alignment horizontal="center" vertical="center" wrapText="1"/>
      <protection locked="0"/>
    </xf>
    <xf numFmtId="178" fontId="15" fillId="0" borderId="0" xfId="0" applyNumberFormat="1" applyFont="1" applyFill="1" applyAlignment="1" applyProtection="1">
      <alignment horizontal="center" vertical="center"/>
      <protection locked="0"/>
    </xf>
    <xf numFmtId="178" fontId="9" fillId="0" borderId="0" xfId="0" applyNumberFormat="1" applyFont="1" applyFill="1" applyAlignment="1" applyProtection="1">
      <alignment horizontal="center" vertical="center"/>
      <protection locked="0"/>
    </xf>
    <xf numFmtId="178" fontId="9" fillId="0" borderId="0" xfId="0" applyNumberFormat="1" applyFont="1" applyFill="1" applyAlignment="1" applyProtection="1">
      <alignment horizontal="center" vertical="center" wrapText="1"/>
      <protection locked="0"/>
    </xf>
    <xf numFmtId="58" fontId="15" fillId="0" borderId="0" xfId="0" applyNumberFormat="1" applyFont="1" applyFill="1" applyAlignment="1" applyProtection="1">
      <alignment horizontal="center" vertical="center" wrapText="1" shrinkToFit="1"/>
      <protection locked="0"/>
    </xf>
    <xf numFmtId="178" fontId="15" fillId="0" borderId="0" xfId="0" applyNumberFormat="1" applyFont="1" applyFill="1" applyAlignment="1" applyProtection="1">
      <alignment horizontal="center" vertical="center" wrapText="1"/>
      <protection locked="0"/>
    </xf>
    <xf numFmtId="0" fontId="19" fillId="0" borderId="0" xfId="0" applyNumberFormat="1" applyFont="1" applyFill="1" applyAlignment="1" applyProtection="1">
      <alignment horizontal="center" vertical="center"/>
      <protection locked="0"/>
    </xf>
    <xf numFmtId="0" fontId="20" fillId="0" borderId="0" xfId="0" applyNumberFormat="1" applyFont="1" applyFill="1" applyAlignment="1" applyProtection="1">
      <alignment horizontal="center" vertical="center"/>
      <protection locked="0"/>
    </xf>
    <xf numFmtId="0" fontId="21" fillId="0" borderId="0" xfId="0" applyNumberFormat="1" applyFont="1" applyFill="1" applyAlignment="1" applyProtection="1">
      <alignment horizontal="center" vertical="center"/>
      <protection locked="0"/>
    </xf>
    <xf numFmtId="176" fontId="20" fillId="0" borderId="0" xfId="0" applyFont="1" applyFill="1" applyProtection="1">
      <alignment vertical="center"/>
      <protection locked="0"/>
    </xf>
    <xf numFmtId="0" fontId="15" fillId="0" borderId="0" xfId="0" applyNumberFormat="1" applyFont="1" applyFill="1" applyProtection="1">
      <alignment vertical="center"/>
      <protection locked="0"/>
    </xf>
    <xf numFmtId="178" fontId="9" fillId="0" borderId="2" xfId="0" applyNumberFormat="1" applyFont="1" applyFill="1" applyBorder="1" applyAlignment="1">
      <alignment horizontal="center" vertical="center" wrapText="1" shrinkToFit="1"/>
    </xf>
    <xf numFmtId="176" fontId="9" fillId="0" borderId="2" xfId="0" applyFont="1" applyFill="1" applyBorder="1" applyAlignment="1" applyProtection="1">
      <alignment horizontal="center" vertical="center" wrapText="1" shrinkToFit="1"/>
      <protection locked="0"/>
    </xf>
    <xf numFmtId="0" fontId="9" fillId="0" borderId="2" xfId="0" applyNumberFormat="1" applyFont="1" applyFill="1" applyBorder="1" applyAlignment="1" applyProtection="1">
      <alignment horizontal="center" vertical="center" wrapText="1" shrinkToFit="1"/>
      <protection locked="0"/>
    </xf>
    <xf numFmtId="49" fontId="9" fillId="0" borderId="2" xfId="0" applyNumberFormat="1" applyFont="1" applyFill="1" applyBorder="1" applyAlignment="1" applyProtection="1">
      <alignment horizontal="center" vertical="center" wrapText="1" shrinkToFit="1"/>
      <protection locked="0"/>
    </xf>
    <xf numFmtId="178" fontId="9" fillId="0" borderId="2" xfId="0" applyNumberFormat="1" applyFont="1" applyFill="1" applyBorder="1" applyAlignment="1" applyProtection="1">
      <alignment horizontal="center" vertical="center" wrapText="1" shrinkToFit="1"/>
      <protection locked="0"/>
    </xf>
    <xf numFmtId="178" fontId="15" fillId="0" borderId="2" xfId="0" applyNumberFormat="1" applyFont="1" applyFill="1" applyBorder="1" applyAlignment="1" applyProtection="1">
      <alignment horizontal="center" vertical="center" wrapText="1" shrinkToFit="1"/>
      <protection locked="0"/>
    </xf>
    <xf numFmtId="176" fontId="22" fillId="0" borderId="2" xfId="0" applyFont="1" applyFill="1" applyBorder="1" applyAlignment="1" applyProtection="1">
      <alignment horizontal="center" vertical="center" wrapText="1" shrinkToFit="1"/>
      <protection locked="0"/>
    </xf>
    <xf numFmtId="58" fontId="15" fillId="0" borderId="2" xfId="0" applyNumberFormat="1" applyFont="1" applyFill="1" applyBorder="1" applyAlignment="1" applyProtection="1">
      <alignment horizontal="center" vertical="center" wrapText="1" shrinkToFit="1"/>
      <protection locked="0"/>
    </xf>
    <xf numFmtId="178" fontId="12" fillId="0" borderId="2" xfId="0" applyNumberFormat="1" applyFont="1" applyFill="1" applyBorder="1" applyAlignment="1" applyProtection="1">
      <alignment horizontal="center" vertical="center" wrapText="1" shrinkToFit="1"/>
      <protection locked="0"/>
    </xf>
    <xf numFmtId="0" fontId="19" fillId="0" borderId="2" xfId="0" applyNumberFormat="1" applyFont="1" applyFill="1" applyBorder="1" applyAlignment="1" applyProtection="1">
      <alignment horizontal="center" vertical="center" shrinkToFit="1"/>
      <protection locked="0"/>
    </xf>
    <xf numFmtId="0" fontId="23" fillId="0" borderId="2" xfId="0" applyNumberFormat="1" applyFont="1" applyFill="1" applyBorder="1" applyAlignment="1" applyProtection="1">
      <alignment horizontal="center" vertical="center" wrapText="1"/>
      <protection locked="0"/>
    </xf>
    <xf numFmtId="0" fontId="24" fillId="0" borderId="2" xfId="0" applyNumberFormat="1" applyFont="1" applyFill="1" applyBorder="1" applyAlignment="1" applyProtection="1">
      <alignment horizontal="center" vertical="center" wrapText="1"/>
      <protection locked="0"/>
    </xf>
    <xf numFmtId="0" fontId="25" fillId="0" borderId="2" xfId="0" applyNumberFormat="1" applyFont="1" applyFill="1" applyBorder="1" applyProtection="1">
      <alignment vertical="center"/>
      <protection locked="0"/>
    </xf>
    <xf numFmtId="178" fontId="16" fillId="0" borderId="3" xfId="0" applyNumberFormat="1" applyFont="1" applyFill="1" applyBorder="1" applyAlignment="1">
      <alignment horizontal="center" vertical="center" wrapText="1" shrinkToFit="1"/>
    </xf>
    <xf numFmtId="0" fontId="26" fillId="0" borderId="3" xfId="0" applyNumberFormat="1" applyFont="1" applyFill="1" applyBorder="1" applyAlignment="1" applyProtection="1">
      <alignment horizontal="center" vertical="center" wrapText="1"/>
      <protection locked="0"/>
    </xf>
    <xf numFmtId="176" fontId="16" fillId="0" borderId="3" xfId="0" applyFont="1" applyFill="1" applyBorder="1" applyAlignment="1" applyProtection="1">
      <alignment horizontal="center" vertical="center"/>
      <protection locked="0"/>
    </xf>
    <xf numFmtId="0" fontId="16" fillId="0" borderId="3" xfId="0" applyNumberFormat="1" applyFont="1" applyFill="1" applyBorder="1" applyAlignment="1" applyProtection="1">
      <alignment horizontal="center" vertical="center"/>
      <protection locked="0"/>
    </xf>
    <xf numFmtId="0" fontId="16" fillId="0" borderId="3" xfId="0" applyNumberFormat="1" applyFont="1" applyFill="1" applyBorder="1" applyAlignment="1" applyProtection="1">
      <alignment horizontal="center" vertical="center" wrapText="1"/>
      <protection locked="0"/>
    </xf>
    <xf numFmtId="0" fontId="16" fillId="0" borderId="3" xfId="0" applyNumberFormat="1" applyFont="1" applyFill="1" applyBorder="1" applyAlignment="1" applyProtection="1">
      <alignment horizontal="center" vertical="center" wrapText="1" shrinkToFit="1"/>
      <protection locked="0"/>
    </xf>
    <xf numFmtId="178" fontId="16" fillId="0" borderId="3" xfId="0" applyNumberFormat="1" applyFont="1" applyFill="1" applyBorder="1" applyAlignment="1" applyProtection="1">
      <alignment horizontal="center" vertical="center" wrapText="1" shrinkToFit="1"/>
      <protection locked="0"/>
    </xf>
    <xf numFmtId="176" fontId="9" fillId="0" borderId="3" xfId="0" applyFont="1" applyFill="1" applyBorder="1" applyAlignment="1" applyProtection="1">
      <alignment horizontal="center" vertical="center" wrapText="1" shrinkToFit="1"/>
      <protection locked="0"/>
    </xf>
    <xf numFmtId="58" fontId="26" fillId="0" borderId="2" xfId="0" applyNumberFormat="1" applyFont="1" applyFill="1" applyBorder="1" applyAlignment="1" applyProtection="1">
      <alignment horizontal="center" vertical="center" wrapText="1" shrinkToFit="1"/>
      <protection locked="0"/>
    </xf>
    <xf numFmtId="58" fontId="26" fillId="0" borderId="3" xfId="0" applyNumberFormat="1" applyFont="1" applyFill="1" applyBorder="1" applyAlignment="1" applyProtection="1">
      <alignment horizontal="center" vertical="center" wrapText="1" shrinkToFit="1"/>
      <protection locked="0"/>
    </xf>
    <xf numFmtId="176" fontId="16" fillId="0" borderId="3" xfId="0" applyFont="1" applyFill="1" applyBorder="1" applyAlignment="1" applyProtection="1">
      <alignment horizontal="center" vertical="center" wrapText="1"/>
      <protection locked="0"/>
    </xf>
    <xf numFmtId="179" fontId="16" fillId="0" borderId="2" xfId="0" applyNumberFormat="1" applyFont="1" applyFill="1" applyBorder="1" applyAlignment="1" applyProtection="1">
      <alignment horizontal="center" vertical="center"/>
      <protection locked="0"/>
    </xf>
    <xf numFmtId="180" fontId="16" fillId="0" borderId="2" xfId="0" applyNumberFormat="1" applyFont="1" applyFill="1" applyBorder="1" applyAlignment="1" applyProtection="1">
      <alignment horizontal="center" vertical="center"/>
      <protection locked="0"/>
    </xf>
    <xf numFmtId="0" fontId="16" fillId="0" borderId="1" xfId="0" applyNumberFormat="1" applyFont="1" applyBorder="1" applyAlignment="1" applyProtection="1">
      <alignment horizontal="center" vertical="center"/>
      <protection locked="0"/>
    </xf>
    <xf numFmtId="0" fontId="17" fillId="0" borderId="2" xfId="0" applyNumberFormat="1" applyFont="1" applyFill="1" applyBorder="1" applyAlignment="1" applyProtection="1">
      <alignment horizontal="center" vertical="center" wrapText="1"/>
      <protection locked="0"/>
    </xf>
    <xf numFmtId="0" fontId="16" fillId="0" borderId="2" xfId="0" applyNumberFormat="1" applyFont="1" applyFill="1" applyBorder="1" applyAlignment="1" applyProtection="1">
      <alignment horizontal="center" vertical="center"/>
      <protection locked="0"/>
    </xf>
    <xf numFmtId="0" fontId="16" fillId="0" borderId="2" xfId="0" applyNumberFormat="1" applyFont="1" applyFill="1" applyBorder="1" applyAlignment="1" applyProtection="1">
      <alignment horizontal="center" vertical="center" wrapText="1"/>
      <protection locked="0"/>
    </xf>
    <xf numFmtId="178" fontId="17" fillId="0" borderId="3" xfId="0" applyNumberFormat="1" applyFont="1" applyFill="1" applyBorder="1" applyAlignment="1">
      <alignment horizontal="center" vertical="center" wrapText="1" shrinkToFit="1"/>
    </xf>
    <xf numFmtId="0" fontId="18" fillId="0" borderId="3" xfId="0" applyNumberFormat="1" applyFont="1" applyFill="1" applyBorder="1" applyAlignment="1" applyProtection="1">
      <alignment horizontal="center" vertical="center" wrapText="1"/>
      <protection locked="0"/>
    </xf>
    <xf numFmtId="176" fontId="17" fillId="0" borderId="3" xfId="0" applyFont="1" applyFill="1" applyBorder="1" applyAlignment="1" applyProtection="1">
      <alignment horizontal="center" vertical="center"/>
      <protection locked="0"/>
    </xf>
    <xf numFmtId="0" fontId="17" fillId="0" borderId="3" xfId="0" applyNumberFormat="1" applyFont="1" applyFill="1" applyBorder="1" applyAlignment="1" applyProtection="1">
      <alignment horizontal="center" vertical="center"/>
      <protection locked="0"/>
    </xf>
    <xf numFmtId="0" fontId="17" fillId="0" borderId="3" xfId="0" applyNumberFormat="1" applyFont="1" applyFill="1" applyBorder="1" applyAlignment="1" applyProtection="1">
      <alignment horizontal="center" vertical="center" wrapText="1"/>
      <protection locked="0"/>
    </xf>
    <xf numFmtId="0" fontId="17" fillId="0" borderId="3" xfId="0" applyNumberFormat="1" applyFont="1" applyFill="1" applyBorder="1" applyAlignment="1" applyProtection="1">
      <alignment horizontal="center" vertical="center" wrapText="1" shrinkToFit="1"/>
      <protection locked="0"/>
    </xf>
    <xf numFmtId="178" fontId="17" fillId="0" borderId="3" xfId="0" applyNumberFormat="1" applyFont="1" applyFill="1" applyBorder="1" applyAlignment="1" applyProtection="1">
      <alignment horizontal="center" vertical="center" wrapText="1" shrinkToFit="1"/>
      <protection locked="0"/>
    </xf>
    <xf numFmtId="58" fontId="18" fillId="0" borderId="2" xfId="0" applyNumberFormat="1" applyFont="1" applyFill="1" applyBorder="1" applyAlignment="1" applyProtection="1">
      <alignment horizontal="center" vertical="center" wrapText="1" shrinkToFit="1"/>
      <protection locked="0"/>
    </xf>
    <xf numFmtId="58" fontId="18" fillId="0" borderId="3" xfId="0" applyNumberFormat="1" applyFont="1" applyFill="1" applyBorder="1" applyAlignment="1" applyProtection="1">
      <alignment horizontal="center" vertical="center" wrapText="1" shrinkToFit="1"/>
      <protection locked="0"/>
    </xf>
    <xf numFmtId="176" fontId="17" fillId="0" borderId="3" xfId="0" applyFont="1" applyFill="1" applyBorder="1" applyAlignment="1" applyProtection="1">
      <alignment horizontal="center" vertical="center" wrapText="1"/>
      <protection locked="0"/>
    </xf>
    <xf numFmtId="179" fontId="17" fillId="0" borderId="2" xfId="0" applyNumberFormat="1" applyFont="1" applyFill="1" applyBorder="1" applyAlignment="1" applyProtection="1">
      <alignment horizontal="center" vertical="center"/>
      <protection locked="0"/>
    </xf>
    <xf numFmtId="180" fontId="17" fillId="0" borderId="2" xfId="0" applyNumberFormat="1" applyFont="1" applyFill="1" applyBorder="1" applyAlignment="1" applyProtection="1">
      <alignment horizontal="center" vertical="center"/>
      <protection locked="0"/>
    </xf>
    <xf numFmtId="0" fontId="17" fillId="0" borderId="1" xfId="0" applyNumberFormat="1" applyFont="1" applyBorder="1" applyAlignment="1" applyProtection="1">
      <alignment horizontal="center" vertical="center"/>
      <protection locked="0"/>
    </xf>
    <xf numFmtId="0" fontId="17" fillId="0" borderId="2" xfId="0" applyNumberFormat="1" applyFont="1" applyFill="1" applyBorder="1" applyAlignment="1" applyProtection="1">
      <alignment horizontal="center" vertical="center"/>
      <protection locked="0"/>
    </xf>
    <xf numFmtId="0" fontId="16" fillId="5" borderId="1" xfId="0" applyNumberFormat="1" applyFont="1" applyFill="1" applyBorder="1" applyAlignment="1" applyProtection="1">
      <alignment horizontal="center" vertical="center"/>
      <protection locked="0"/>
    </xf>
    <xf numFmtId="176" fontId="16" fillId="0" borderId="3" xfId="0" applyFont="1" applyFill="1" applyBorder="1" applyAlignment="1" applyProtection="1">
      <alignment horizontal="center" vertical="center" wrapText="1" shrinkToFit="1"/>
      <protection locked="0"/>
    </xf>
    <xf numFmtId="49" fontId="16" fillId="0" borderId="3" xfId="0" applyNumberFormat="1" applyFont="1" applyFill="1" applyBorder="1" applyAlignment="1" applyProtection="1">
      <alignment horizontal="center" vertical="center" wrapText="1" shrinkToFit="1"/>
      <protection locked="0"/>
    </xf>
    <xf numFmtId="181" fontId="16" fillId="0" borderId="2" xfId="0" applyNumberFormat="1" applyFont="1" applyFill="1" applyBorder="1" applyAlignment="1" applyProtection="1">
      <alignment horizontal="center" vertical="center" wrapText="1" shrinkToFit="1"/>
      <protection locked="0"/>
    </xf>
    <xf numFmtId="0" fontId="16" fillId="0" borderId="1" xfId="0" applyNumberFormat="1" applyFont="1" applyBorder="1" applyAlignment="1" applyProtection="1">
      <alignment horizontal="center" vertical="center" wrapText="1" shrinkToFit="1"/>
      <protection locked="0"/>
    </xf>
    <xf numFmtId="0" fontId="16" fillId="0" borderId="2" xfId="0" applyNumberFormat="1" applyFont="1" applyFill="1" applyBorder="1" applyAlignment="1" applyProtection="1">
      <alignment horizontal="center" vertical="center" wrapText="1" shrinkToFit="1"/>
      <protection locked="0"/>
    </xf>
    <xf numFmtId="0" fontId="27" fillId="0" borderId="2" xfId="0" applyNumberFormat="1" applyFont="1" applyFill="1" applyBorder="1" applyAlignment="1" applyProtection="1">
      <alignment horizontal="center" vertical="center" wrapText="1"/>
      <protection locked="0"/>
    </xf>
    <xf numFmtId="0" fontId="26" fillId="0" borderId="2" xfId="0" applyNumberFormat="1" applyFont="1" applyFill="1" applyBorder="1" applyProtection="1">
      <alignment vertical="center"/>
      <protection locked="0"/>
    </xf>
    <xf numFmtId="176" fontId="26" fillId="0" borderId="0" xfId="0" applyFont="1" applyFill="1" applyProtection="1">
      <alignment vertical="center"/>
      <protection locked="0"/>
    </xf>
    <xf numFmtId="0" fontId="16" fillId="6" borderId="1" xfId="0" applyNumberFormat="1" applyFont="1" applyFill="1" applyBorder="1" applyAlignment="1" applyProtection="1">
      <alignment horizontal="center" vertical="center"/>
      <protection locked="0"/>
    </xf>
    <xf numFmtId="0" fontId="16" fillId="0" borderId="33" xfId="0" applyNumberFormat="1" applyFont="1" applyFill="1" applyBorder="1" applyAlignment="1" applyProtection="1">
      <alignment horizontal="center" vertical="center"/>
      <protection locked="0"/>
    </xf>
    <xf numFmtId="176" fontId="17" fillId="0" borderId="3" xfId="0" applyFont="1" applyFill="1" applyBorder="1" applyAlignment="1" applyProtection="1">
      <alignment horizontal="center" vertical="center" wrapText="1" shrinkToFit="1"/>
      <protection locked="0"/>
    </xf>
    <xf numFmtId="0" fontId="17" fillId="0" borderId="17" xfId="0" applyNumberFormat="1" applyFont="1" applyFill="1" applyBorder="1" applyAlignment="1" applyProtection="1">
      <alignment horizontal="center" vertical="center"/>
      <protection locked="0"/>
    </xf>
    <xf numFmtId="0" fontId="17" fillId="0" borderId="1" xfId="0" applyNumberFormat="1" applyFont="1" applyFill="1" applyBorder="1" applyAlignment="1" applyProtection="1">
      <alignment horizontal="center" vertical="center"/>
      <protection locked="0"/>
    </xf>
    <xf numFmtId="0" fontId="16" fillId="0" borderId="17" xfId="0" applyNumberFormat="1" applyFont="1" applyFill="1" applyBorder="1" applyAlignment="1" applyProtection="1">
      <alignment horizontal="center" vertical="center"/>
      <protection locked="0"/>
    </xf>
    <xf numFmtId="0" fontId="16" fillId="0" borderId="1" xfId="0" applyNumberFormat="1" applyFont="1" applyFill="1" applyBorder="1" applyAlignment="1" applyProtection="1">
      <alignment horizontal="center" vertical="center"/>
      <protection locked="0"/>
    </xf>
    <xf numFmtId="0" fontId="27" fillId="0" borderId="1" xfId="0" applyNumberFormat="1" applyFont="1" applyFill="1" applyBorder="1" applyAlignment="1" applyProtection="1">
      <alignment horizontal="center" vertical="center" wrapText="1"/>
      <protection locked="0"/>
    </xf>
    <xf numFmtId="0" fontId="26" fillId="0" borderId="1" xfId="0" applyNumberFormat="1" applyFont="1" applyFill="1" applyBorder="1" applyProtection="1">
      <alignment vertical="center"/>
      <protection locked="0"/>
    </xf>
    <xf numFmtId="0" fontId="17" fillId="5" borderId="1" xfId="0" applyNumberFormat="1" applyFont="1" applyFill="1" applyBorder="1" applyAlignment="1" applyProtection="1">
      <alignment horizontal="center" vertical="center"/>
      <protection locked="0"/>
    </xf>
    <xf numFmtId="181" fontId="17" fillId="0" borderId="2" xfId="0" applyNumberFormat="1" applyFont="1" applyFill="1" applyBorder="1" applyAlignment="1" applyProtection="1">
      <alignment horizontal="center" vertical="center"/>
      <protection locked="0"/>
    </xf>
    <xf numFmtId="178" fontId="18" fillId="0" borderId="3" xfId="0" applyNumberFormat="1" applyFont="1" applyFill="1" applyBorder="1" applyAlignment="1" applyProtection="1">
      <alignment horizontal="center" vertical="center" wrapText="1" shrinkToFit="1"/>
      <protection locked="0"/>
    </xf>
    <xf numFmtId="49" fontId="17" fillId="0" borderId="2" xfId="0" applyNumberFormat="1" applyFont="1" applyFill="1" applyBorder="1" applyAlignment="1" applyProtection="1">
      <alignment horizontal="center" vertical="center" wrapText="1" shrinkToFit="1"/>
      <protection locked="0"/>
    </xf>
    <xf numFmtId="49" fontId="17" fillId="0" borderId="3" xfId="0" applyNumberFormat="1" applyFont="1" applyFill="1" applyBorder="1" applyAlignment="1" applyProtection="1">
      <alignment horizontal="center" vertical="center" wrapText="1" shrinkToFit="1"/>
      <protection locked="0"/>
    </xf>
    <xf numFmtId="0" fontId="17" fillId="0" borderId="2" xfId="0" applyNumberFormat="1" applyFont="1" applyFill="1" applyBorder="1" applyAlignment="1" applyProtection="1">
      <alignment horizontal="center" vertical="center" wrapText="1" shrinkToFit="1"/>
      <protection locked="0"/>
    </xf>
    <xf numFmtId="0" fontId="17" fillId="0" borderId="1" xfId="0" applyNumberFormat="1" applyFont="1" applyBorder="1" applyAlignment="1" applyProtection="1">
      <alignment horizontal="center" vertical="center" wrapText="1" shrinkToFit="1"/>
      <protection locked="0"/>
    </xf>
    <xf numFmtId="0" fontId="18" fillId="0" borderId="1" xfId="0" applyNumberFormat="1" applyFont="1" applyFill="1" applyBorder="1" applyProtection="1">
      <alignment vertical="center"/>
      <protection locked="0"/>
    </xf>
    <xf numFmtId="181" fontId="16" fillId="0" borderId="2" xfId="0" applyNumberFormat="1" applyFont="1" applyFill="1" applyBorder="1" applyAlignment="1" applyProtection="1">
      <alignment horizontal="center" vertical="center"/>
      <protection locked="0"/>
    </xf>
    <xf numFmtId="181" fontId="17" fillId="0" borderId="2" xfId="0" applyNumberFormat="1" applyFont="1" applyFill="1" applyBorder="1" applyAlignment="1" applyProtection="1">
      <alignment horizontal="center" vertical="center" wrapText="1" shrinkToFit="1"/>
      <protection locked="0"/>
    </xf>
    <xf numFmtId="0" fontId="17" fillId="5" borderId="1" xfId="0" applyNumberFormat="1" applyFont="1" applyFill="1" applyBorder="1" applyAlignment="1" applyProtection="1">
      <alignment horizontal="center" vertical="center" wrapText="1" shrinkToFit="1"/>
      <protection locked="0"/>
    </xf>
    <xf numFmtId="49" fontId="16" fillId="0" borderId="2" xfId="0" applyNumberFormat="1" applyFont="1" applyFill="1" applyBorder="1" applyAlignment="1" applyProtection="1">
      <alignment horizontal="center" vertical="center" wrapText="1" shrinkToFit="1"/>
      <protection locked="0"/>
    </xf>
    <xf numFmtId="176" fontId="16" fillId="0" borderId="2" xfId="0" applyFont="1" applyFill="1" applyBorder="1" applyAlignment="1" applyProtection="1">
      <alignment horizontal="center" vertical="center" wrapText="1" shrinkToFit="1"/>
      <protection locked="0"/>
    </xf>
    <xf numFmtId="0" fontId="16" fillId="5" borderId="1" xfId="0" applyNumberFormat="1" applyFont="1" applyFill="1" applyBorder="1" applyAlignment="1" applyProtection="1">
      <alignment horizontal="center" vertical="center" wrapText="1" shrinkToFit="1"/>
      <protection locked="0"/>
    </xf>
    <xf numFmtId="178" fontId="16" fillId="0" borderId="0" xfId="0" applyNumberFormat="1" applyFont="1" applyFill="1" applyBorder="1" applyAlignment="1" applyProtection="1">
      <alignment horizontal="center" vertical="center" wrapText="1" shrinkToFit="1"/>
      <protection locked="0"/>
    </xf>
    <xf numFmtId="176" fontId="0" fillId="0" borderId="3" xfId="0" applyFill="1" applyBorder="1">
      <alignment vertical="center"/>
    </xf>
    <xf numFmtId="176" fontId="0" fillId="0" borderId="0" xfId="0" applyFill="1" applyBorder="1">
      <alignment vertical="center"/>
    </xf>
    <xf numFmtId="0" fontId="17" fillId="0" borderId="34" xfId="0" applyNumberFormat="1" applyFont="1" applyFill="1" applyBorder="1" applyAlignment="1" applyProtection="1">
      <alignment horizontal="center" vertical="center" wrapText="1" shrinkToFit="1"/>
      <protection locked="0"/>
    </xf>
    <xf numFmtId="181" fontId="17" fillId="0" borderId="1" xfId="0" applyNumberFormat="1" applyFont="1" applyFill="1" applyBorder="1" applyAlignment="1" applyProtection="1">
      <alignment horizontal="center" vertical="center" wrapText="1" shrinkToFit="1"/>
      <protection locked="0"/>
    </xf>
    <xf numFmtId="0" fontId="17" fillId="0" borderId="1" xfId="0" applyNumberFormat="1" applyFont="1" applyFill="1" applyBorder="1" applyAlignment="1" applyProtection="1">
      <alignment horizontal="center" vertical="center" wrapText="1" shrinkToFit="1"/>
      <protection locked="0"/>
    </xf>
    <xf numFmtId="0" fontId="17" fillId="0" borderId="1" xfId="0" applyNumberFormat="1" applyFont="1" applyFill="1" applyBorder="1" applyAlignment="1" applyProtection="1">
      <alignment horizontal="center" vertical="center" wrapText="1"/>
      <protection locked="0"/>
    </xf>
    <xf numFmtId="176" fontId="17" fillId="0" borderId="34" xfId="0" applyFont="1" applyFill="1" applyBorder="1" applyAlignment="1" applyProtection="1">
      <alignment horizontal="center" vertical="center"/>
      <protection locked="0"/>
    </xf>
    <xf numFmtId="0" fontId="18" fillId="0" borderId="2" xfId="0" applyNumberFormat="1" applyFont="1" applyFill="1" applyBorder="1" applyProtection="1">
      <alignment vertical="center"/>
      <protection locked="0"/>
    </xf>
    <xf numFmtId="176" fontId="18" fillId="0" borderId="0" xfId="0" applyFont="1" applyFill="1" applyBorder="1" applyProtection="1">
      <alignment vertical="center"/>
      <protection locked="0"/>
    </xf>
    <xf numFmtId="0" fontId="17" fillId="0" borderId="4" xfId="0" applyNumberFormat="1" applyFont="1" applyFill="1" applyBorder="1" applyAlignment="1" applyProtection="1">
      <alignment horizontal="center" vertical="center"/>
      <protection locked="0"/>
    </xf>
    <xf numFmtId="176" fontId="28" fillId="0" borderId="0" xfId="0" applyFont="1" applyFill="1" applyBorder="1">
      <alignment vertical="center"/>
    </xf>
    <xf numFmtId="178" fontId="26" fillId="0" borderId="3" xfId="0" applyNumberFormat="1" applyFont="1" applyFill="1" applyBorder="1" applyAlignment="1" applyProtection="1">
      <alignment horizontal="center" vertical="center" wrapText="1" shrinkToFit="1"/>
      <protection locked="0"/>
    </xf>
    <xf numFmtId="176" fontId="29" fillId="0" borderId="3" xfId="0" applyFont="1" applyFill="1" applyBorder="1" applyAlignment="1" applyProtection="1">
      <alignment vertical="center" wrapText="1"/>
      <protection locked="0"/>
    </xf>
    <xf numFmtId="176" fontId="29" fillId="0" borderId="3" xfId="0" applyFont="1" applyFill="1" applyBorder="1" applyAlignment="1">
      <alignment horizontal="center" vertical="center" wrapText="1"/>
    </xf>
    <xf numFmtId="178" fontId="17" fillId="0" borderId="1" xfId="0" applyNumberFormat="1" applyFont="1" applyFill="1" applyBorder="1" applyAlignment="1" applyProtection="1">
      <alignment horizontal="center" vertical="center" wrapText="1" shrinkToFit="1"/>
      <protection locked="0"/>
    </xf>
    <xf numFmtId="0" fontId="28" fillId="0" borderId="2" xfId="0" applyNumberFormat="1" applyFont="1" applyFill="1" applyBorder="1" applyAlignment="1">
      <alignment horizontal="center" vertical="center"/>
    </xf>
    <xf numFmtId="0" fontId="17" fillId="6" borderId="1" xfId="0" applyNumberFormat="1" applyFont="1" applyFill="1" applyBorder="1" applyAlignment="1" applyProtection="1">
      <alignment horizontal="center" vertical="center" wrapText="1" shrinkToFit="1"/>
      <protection locked="0"/>
    </xf>
    <xf numFmtId="178" fontId="16" fillId="0" borderId="1" xfId="0" applyNumberFormat="1" applyFont="1" applyFill="1" applyBorder="1" applyAlignment="1" applyProtection="1">
      <alignment horizontal="center" vertical="center" wrapText="1" shrinkToFit="1"/>
      <protection locked="0"/>
    </xf>
    <xf numFmtId="0" fontId="30" fillId="0" borderId="3" xfId="0" applyNumberFormat="1" applyFont="1" applyFill="1" applyBorder="1" applyAlignment="1">
      <alignment horizontal="center" vertical="center"/>
    </xf>
    <xf numFmtId="0" fontId="30" fillId="0" borderId="2" xfId="0" applyNumberFormat="1" applyFont="1" applyFill="1" applyBorder="1" applyAlignment="1">
      <alignment horizontal="center" vertical="center"/>
    </xf>
    <xf numFmtId="0" fontId="28" fillId="0" borderId="3" xfId="0" applyNumberFormat="1" applyFont="1" applyFill="1" applyBorder="1" applyAlignment="1">
      <alignment horizontal="center" vertical="center"/>
    </xf>
    <xf numFmtId="176" fontId="30" fillId="0" borderId="0" xfId="0" applyFont="1" applyFill="1" applyBorder="1">
      <alignment vertical="center"/>
    </xf>
    <xf numFmtId="58" fontId="26" fillId="0" borderId="1" xfId="0" applyNumberFormat="1" applyFont="1" applyFill="1" applyBorder="1" applyAlignment="1" applyProtection="1">
      <alignment horizontal="center" vertical="center" wrapText="1" shrinkToFit="1"/>
      <protection locked="0"/>
    </xf>
    <xf numFmtId="0" fontId="16" fillId="0" borderId="0" xfId="0" applyNumberFormat="1" applyFont="1" applyFill="1" applyBorder="1" applyAlignment="1" applyProtection="1">
      <alignment horizontal="center" vertical="center" wrapText="1" shrinkToFit="1"/>
      <protection locked="0"/>
    </xf>
    <xf numFmtId="176" fontId="30" fillId="0" borderId="3" xfId="0" applyFont="1" applyFill="1" applyBorder="1">
      <alignment vertical="center"/>
    </xf>
    <xf numFmtId="58" fontId="18" fillId="0" borderId="1" xfId="0" applyNumberFormat="1" applyFont="1" applyFill="1" applyBorder="1" applyAlignment="1" applyProtection="1">
      <alignment horizontal="center" vertical="center" wrapText="1" shrinkToFit="1"/>
      <protection locked="0"/>
    </xf>
    <xf numFmtId="0" fontId="31" fillId="0" borderId="2" xfId="0" applyNumberFormat="1" applyFont="1" applyFill="1" applyBorder="1" applyAlignment="1">
      <alignment horizontal="center" vertical="center"/>
    </xf>
    <xf numFmtId="176" fontId="26" fillId="0" borderId="2" xfId="0" applyFont="1" applyFill="1" applyBorder="1" applyProtection="1">
      <alignment vertical="center"/>
      <protection locked="0"/>
    </xf>
    <xf numFmtId="176" fontId="26" fillId="0" borderId="1" xfId="0" applyFont="1" applyFill="1" applyBorder="1" applyProtection="1">
      <alignment vertical="center"/>
      <protection locked="0"/>
    </xf>
    <xf numFmtId="176" fontId="16" fillId="0" borderId="1" xfId="0" applyFont="1" applyFill="1" applyBorder="1" applyAlignment="1" applyProtection="1">
      <alignment horizontal="center" vertical="center"/>
      <protection locked="0"/>
    </xf>
    <xf numFmtId="178" fontId="16" fillId="0" borderId="0" xfId="0" applyNumberFormat="1" applyFont="1" applyFill="1" applyBorder="1" applyAlignment="1">
      <alignment horizontal="center" vertical="center" wrapText="1" shrinkToFit="1"/>
    </xf>
    <xf numFmtId="176" fontId="16" fillId="0" borderId="0" xfId="0" applyFont="1" applyFill="1" applyBorder="1" applyAlignment="1" applyProtection="1">
      <alignment horizontal="center" vertical="center" wrapText="1" shrinkToFit="1"/>
      <protection locked="0"/>
    </xf>
    <xf numFmtId="49" fontId="16" fillId="0" borderId="0" xfId="0" applyNumberFormat="1" applyFont="1" applyFill="1" applyBorder="1" applyAlignment="1" applyProtection="1">
      <alignment horizontal="center" vertical="center" wrapText="1" shrinkToFit="1"/>
      <protection locked="0"/>
    </xf>
    <xf numFmtId="0" fontId="32" fillId="0" borderId="2" xfId="0" applyNumberFormat="1" applyFont="1" applyFill="1" applyBorder="1" applyAlignment="1">
      <alignment horizontal="center" vertical="center"/>
    </xf>
    <xf numFmtId="176" fontId="18" fillId="0" borderId="1" xfId="0" applyFont="1" applyFill="1" applyBorder="1" applyProtection="1">
      <alignment vertical="center"/>
      <protection locked="0"/>
    </xf>
    <xf numFmtId="176" fontId="18" fillId="0" borderId="3" xfId="0" applyFont="1" applyFill="1" applyBorder="1" applyProtection="1">
      <alignment vertical="center"/>
      <protection locked="0"/>
    </xf>
    <xf numFmtId="176" fontId="17" fillId="0" borderId="2" xfId="0" applyFont="1" applyFill="1" applyBorder="1" applyAlignment="1" applyProtection="1">
      <alignment horizontal="center" vertical="center"/>
      <protection locked="0"/>
    </xf>
    <xf numFmtId="176" fontId="28" fillId="0" borderId="1" xfId="0" applyFont="1" applyFill="1" applyBorder="1">
      <alignment vertical="center"/>
    </xf>
    <xf numFmtId="178" fontId="17" fillId="0" borderId="0" xfId="0" applyNumberFormat="1" applyFont="1" applyFill="1" applyBorder="1" applyAlignment="1">
      <alignment horizontal="center" vertical="center" wrapText="1" shrinkToFit="1"/>
    </xf>
    <xf numFmtId="176" fontId="17" fillId="0" borderId="0" xfId="0" applyFont="1" applyFill="1" applyBorder="1" applyAlignment="1" applyProtection="1">
      <alignment horizontal="center" vertical="center" wrapText="1" shrinkToFit="1"/>
      <protection locked="0"/>
    </xf>
    <xf numFmtId="0" fontId="17" fillId="0" borderId="0" xfId="0" applyNumberFormat="1" applyFont="1" applyFill="1" applyBorder="1" applyAlignment="1" applyProtection="1">
      <alignment horizontal="center" vertical="center" wrapText="1" shrinkToFit="1"/>
      <protection locked="0"/>
    </xf>
    <xf numFmtId="49" fontId="17" fillId="0" borderId="0" xfId="0" applyNumberFormat="1" applyFont="1" applyFill="1" applyBorder="1" applyAlignment="1" applyProtection="1">
      <alignment horizontal="center" vertical="center" wrapText="1" shrinkToFit="1"/>
      <protection locked="0"/>
    </xf>
    <xf numFmtId="176" fontId="28" fillId="0" borderId="3" xfId="0" applyFont="1" applyFill="1" applyBorder="1">
      <alignment vertical="center"/>
    </xf>
    <xf numFmtId="176" fontId="18" fillId="0" borderId="2" xfId="0" applyFont="1" applyFill="1" applyBorder="1" applyProtection="1">
      <alignment vertical="center"/>
      <protection locked="0"/>
    </xf>
    <xf numFmtId="176" fontId="17" fillId="0" borderId="3" xfId="0" applyNumberFormat="1" applyFont="1" applyFill="1" applyBorder="1" applyAlignment="1" applyProtection="1">
      <alignment horizontal="center" vertical="center" wrapText="1" shrinkToFit="1"/>
      <protection locked="0"/>
    </xf>
    <xf numFmtId="176" fontId="17" fillId="0" borderId="2" xfId="0" applyFont="1" applyFill="1" applyBorder="1" applyAlignment="1" applyProtection="1">
      <alignment horizontal="center" vertical="center" wrapText="1" shrinkToFit="1"/>
      <protection locked="0"/>
    </xf>
    <xf numFmtId="176" fontId="18" fillId="0" borderId="5" xfId="0" applyFont="1" applyFill="1" applyBorder="1" applyProtection="1">
      <alignment vertical="center"/>
      <protection locked="0"/>
    </xf>
    <xf numFmtId="176" fontId="33" fillId="0" borderId="3" xfId="0" applyFont="1" applyFill="1" applyBorder="1" applyAlignment="1" applyProtection="1">
      <alignment horizontal="center" vertical="center" wrapText="1"/>
      <protection locked="0"/>
    </xf>
    <xf numFmtId="0" fontId="18" fillId="0" borderId="0" xfId="0" applyNumberFormat="1" applyFont="1" applyFill="1" applyBorder="1" applyAlignment="1" applyProtection="1">
      <alignment horizontal="center" vertical="center" wrapText="1"/>
      <protection locked="0"/>
    </xf>
    <xf numFmtId="0" fontId="17" fillId="0" borderId="0" xfId="0" applyNumberFormat="1" applyFont="1" applyFill="1" applyBorder="1" applyAlignment="1" applyProtection="1">
      <alignment horizontal="center" vertical="center"/>
      <protection locked="0"/>
    </xf>
    <xf numFmtId="0" fontId="17" fillId="0" borderId="0" xfId="0" applyNumberFormat="1" applyFont="1" applyFill="1" applyBorder="1" applyAlignment="1" applyProtection="1">
      <alignment horizontal="center" vertical="center" wrapText="1"/>
      <protection locked="0"/>
    </xf>
    <xf numFmtId="178" fontId="17" fillId="0" borderId="1" xfId="0" applyNumberFormat="1" applyFont="1" applyFill="1" applyBorder="1" applyAlignment="1">
      <alignment horizontal="center" vertical="center" wrapText="1" shrinkToFit="1"/>
    </xf>
    <xf numFmtId="176" fontId="17" fillId="0" borderId="1" xfId="0" applyFont="1" applyFill="1" applyBorder="1" applyAlignment="1" applyProtection="1">
      <alignment horizontal="center" vertical="center" wrapText="1" shrinkToFit="1"/>
      <protection locked="0"/>
    </xf>
    <xf numFmtId="49" fontId="17" fillId="0" borderId="1" xfId="0" applyNumberFormat="1" applyFont="1" applyFill="1" applyBorder="1" applyAlignment="1" applyProtection="1">
      <alignment horizontal="center" vertical="center" wrapText="1" shrinkToFit="1"/>
      <protection locked="0"/>
    </xf>
    <xf numFmtId="178" fontId="17" fillId="0" borderId="10" xfId="0" applyNumberFormat="1" applyFont="1" applyFill="1" applyBorder="1" applyAlignment="1" applyProtection="1">
      <alignment horizontal="center" vertical="center" wrapText="1" shrinkToFit="1"/>
      <protection locked="0"/>
    </xf>
    <xf numFmtId="176" fontId="17" fillId="0" borderId="10" xfId="0" applyFont="1" applyFill="1" applyBorder="1" applyAlignment="1" applyProtection="1">
      <alignment horizontal="center" vertical="center" wrapText="1" shrinkToFit="1"/>
      <protection locked="0"/>
    </xf>
    <xf numFmtId="178" fontId="17" fillId="0" borderId="10" xfId="0" applyNumberFormat="1" applyFont="1" applyFill="1" applyBorder="1" applyAlignment="1">
      <alignment horizontal="center" vertical="center" wrapText="1" shrinkToFit="1"/>
    </xf>
    <xf numFmtId="0" fontId="17" fillId="0" borderId="10" xfId="0" applyNumberFormat="1" applyFont="1" applyFill="1" applyBorder="1" applyAlignment="1" applyProtection="1">
      <alignment horizontal="center" vertical="center" wrapText="1" shrinkToFit="1"/>
      <protection locked="0"/>
    </xf>
    <xf numFmtId="49" fontId="17" fillId="0" borderId="10" xfId="0" applyNumberFormat="1" applyFont="1" applyFill="1" applyBorder="1" applyAlignment="1" applyProtection="1">
      <alignment horizontal="center" vertical="center" wrapText="1" shrinkToFit="1"/>
      <protection locked="0"/>
    </xf>
    <xf numFmtId="178" fontId="17" fillId="0" borderId="14" xfId="0" applyNumberFormat="1" applyFont="1" applyFill="1" applyBorder="1" applyAlignment="1" applyProtection="1">
      <alignment horizontal="center" vertical="center" wrapText="1" shrinkToFit="1"/>
      <protection locked="0"/>
    </xf>
    <xf numFmtId="178" fontId="18" fillId="0" borderId="14" xfId="0" applyNumberFormat="1" applyFont="1" applyFill="1" applyBorder="1" applyAlignment="1" applyProtection="1">
      <alignment horizontal="center" vertical="center" wrapText="1" shrinkToFit="1"/>
      <protection locked="0"/>
    </xf>
    <xf numFmtId="176" fontId="17" fillId="0" borderId="35" xfId="0" applyFont="1" applyFill="1" applyBorder="1" applyAlignment="1" applyProtection="1">
      <alignment horizontal="center" vertical="center" wrapText="1" shrinkToFit="1"/>
      <protection locked="0"/>
    </xf>
    <xf numFmtId="58" fontId="18" fillId="0" borderId="33" xfId="0" applyNumberFormat="1" applyFont="1" applyFill="1" applyBorder="1" applyAlignment="1" applyProtection="1">
      <alignment horizontal="center" vertical="center" wrapText="1" shrinkToFit="1"/>
      <protection locked="0"/>
    </xf>
    <xf numFmtId="58" fontId="18" fillId="0" borderId="10" xfId="0" applyNumberFormat="1" applyFont="1" applyFill="1" applyBorder="1" applyAlignment="1" applyProtection="1">
      <alignment horizontal="center" vertical="center" wrapText="1" shrinkToFit="1"/>
      <protection locked="0"/>
    </xf>
    <xf numFmtId="178" fontId="17" fillId="0" borderId="4" xfId="0" applyNumberFormat="1" applyFont="1" applyFill="1" applyBorder="1" applyAlignment="1" applyProtection="1">
      <alignment horizontal="center" vertical="center" wrapText="1" shrinkToFit="1"/>
      <protection locked="0"/>
    </xf>
    <xf numFmtId="176" fontId="17" fillId="0" borderId="5" xfId="0" applyFont="1" applyFill="1" applyBorder="1" applyAlignment="1" applyProtection="1">
      <alignment horizontal="center" vertical="center" wrapText="1" shrinkToFit="1"/>
      <protection locked="0"/>
    </xf>
    <xf numFmtId="178" fontId="17" fillId="0" borderId="35" xfId="0" applyNumberFormat="1" applyFont="1" applyFill="1" applyBorder="1" applyAlignment="1" applyProtection="1">
      <alignment horizontal="center" vertical="center" wrapText="1" shrinkToFit="1"/>
      <protection locked="0"/>
    </xf>
    <xf numFmtId="181" fontId="17" fillId="0" borderId="33" xfId="0" applyNumberFormat="1" applyFont="1" applyFill="1" applyBorder="1" applyAlignment="1" applyProtection="1">
      <alignment horizontal="center" vertical="center" wrapText="1" shrinkToFit="1"/>
      <protection locked="0"/>
    </xf>
    <xf numFmtId="0" fontId="17" fillId="0" borderId="33" xfId="0" applyNumberFormat="1" applyFont="1" applyFill="1" applyBorder="1" applyAlignment="1" applyProtection="1">
      <alignment horizontal="center" vertical="center" wrapText="1" shrinkToFit="1"/>
      <protection locked="0"/>
    </xf>
    <xf numFmtId="0" fontId="17" fillId="0" borderId="36" xfId="0" applyNumberFormat="1" applyFont="1" applyBorder="1" applyAlignment="1" applyProtection="1">
      <alignment horizontal="center" vertical="center" wrapText="1" shrinkToFit="1"/>
      <protection locked="0"/>
    </xf>
    <xf numFmtId="0" fontId="28" fillId="0" borderId="33" xfId="0" applyNumberFormat="1" applyFont="1" applyFill="1" applyBorder="1" applyAlignment="1">
      <alignment horizontal="center" vertical="center"/>
    </xf>
    <xf numFmtId="0" fontId="17" fillId="0" borderId="37" xfId="0" applyNumberFormat="1" applyFont="1" applyFill="1" applyBorder="1" applyAlignment="1" applyProtection="1">
      <alignment horizontal="center" vertical="center"/>
      <protection locked="0"/>
    </xf>
    <xf numFmtId="178" fontId="17" fillId="0" borderId="38" xfId="0" applyNumberFormat="1" applyFont="1" applyFill="1" applyBorder="1" applyAlignment="1" applyProtection="1">
      <alignment horizontal="center" vertical="center" wrapText="1" shrinkToFit="1"/>
      <protection locked="0"/>
    </xf>
    <xf numFmtId="178" fontId="17" fillId="0" borderId="34" xfId="0" applyNumberFormat="1" applyFont="1" applyFill="1" applyBorder="1" applyAlignment="1">
      <alignment horizontal="center" vertical="center" wrapText="1" shrinkToFit="1"/>
    </xf>
    <xf numFmtId="176" fontId="17" fillId="0" borderId="34" xfId="0" applyFont="1" applyFill="1" applyBorder="1" applyAlignment="1" applyProtection="1">
      <alignment horizontal="center" vertical="center" wrapText="1" shrinkToFit="1"/>
      <protection locked="0"/>
    </xf>
    <xf numFmtId="49" fontId="17" fillId="0" borderId="34" xfId="0" applyNumberFormat="1" applyFont="1" applyFill="1" applyBorder="1" applyAlignment="1" applyProtection="1">
      <alignment horizontal="center" vertical="center" wrapText="1" shrinkToFit="1"/>
      <protection locked="0"/>
    </xf>
    <xf numFmtId="178" fontId="17" fillId="0" borderId="34" xfId="0" applyNumberFormat="1" applyFont="1" applyFill="1" applyBorder="1" applyAlignment="1" applyProtection="1">
      <alignment horizontal="center" vertical="center" wrapText="1" shrinkToFit="1"/>
      <protection locked="0"/>
    </xf>
    <xf numFmtId="176" fontId="17" fillId="0" borderId="39" xfId="0" applyFont="1" applyFill="1" applyBorder="1" applyAlignment="1" applyProtection="1">
      <alignment horizontal="center" vertical="center" wrapText="1" shrinkToFit="1"/>
      <protection locked="0"/>
    </xf>
    <xf numFmtId="58" fontId="18" fillId="0" borderId="34" xfId="0" applyNumberFormat="1" applyFont="1" applyFill="1" applyBorder="1" applyAlignment="1" applyProtection="1">
      <alignment horizontal="center" vertical="center" wrapText="1" shrinkToFit="1"/>
      <protection locked="0"/>
    </xf>
    <xf numFmtId="176" fontId="28" fillId="0" borderId="2" xfId="0" applyFont="1" applyFill="1" applyBorder="1">
      <alignment vertical="center"/>
    </xf>
    <xf numFmtId="0" fontId="32" fillId="0" borderId="3" xfId="0" applyNumberFormat="1" applyFont="1" applyFill="1" applyBorder="1" applyAlignment="1">
      <alignment horizontal="center" vertical="center"/>
    </xf>
    <xf numFmtId="181" fontId="17" fillId="0" borderId="3" xfId="0" applyNumberFormat="1" applyFont="1" applyFill="1" applyBorder="1" applyAlignment="1" applyProtection="1">
      <alignment horizontal="center" vertical="center" wrapText="1" shrinkToFit="1"/>
      <protection locked="0"/>
    </xf>
    <xf numFmtId="0" fontId="17" fillId="0" borderId="34" xfId="0" applyNumberFormat="1" applyFont="1" applyBorder="1" applyAlignment="1" applyProtection="1">
      <alignment horizontal="center" vertical="center" wrapText="1" shrinkToFit="1"/>
      <protection locked="0"/>
    </xf>
    <xf numFmtId="0" fontId="18" fillId="0" borderId="3" xfId="0" applyNumberFormat="1" applyFont="1" applyFill="1" applyBorder="1" applyProtection="1">
      <alignment vertical="center"/>
      <protection locked="0"/>
    </xf>
    <xf numFmtId="0" fontId="17" fillId="0" borderId="14" xfId="0" applyNumberFormat="1" applyFont="1" applyFill="1" applyBorder="1" applyAlignment="1" applyProtection="1">
      <alignment horizontal="center" vertical="center"/>
      <protection locked="0"/>
    </xf>
    <xf numFmtId="176" fontId="17" fillId="0" borderId="0" xfId="0" applyFont="1" applyFill="1" applyBorder="1" applyAlignment="1" applyProtection="1">
      <alignment horizontal="center" vertical="center"/>
    </xf>
    <xf numFmtId="178" fontId="17" fillId="0" borderId="0" xfId="0" applyNumberFormat="1" applyFont="1" applyFill="1" applyBorder="1" applyAlignment="1" applyProtection="1">
      <alignment horizontal="center" vertical="center" wrapText="1" shrinkToFit="1"/>
      <protection locked="0"/>
    </xf>
    <xf numFmtId="176" fontId="17" fillId="0" borderId="0" xfId="0" applyFont="1" applyFill="1" applyBorder="1" applyAlignment="1" applyProtection="1">
      <alignment horizontal="center" vertical="center" wrapText="1" shrinkToFit="1"/>
    </xf>
    <xf numFmtId="0" fontId="28" fillId="0" borderId="1" xfId="0" applyNumberFormat="1" applyFont="1" applyFill="1" applyBorder="1" applyAlignment="1">
      <alignment horizontal="center" vertical="center"/>
    </xf>
    <xf numFmtId="58" fontId="18" fillId="0" borderId="36" xfId="0" applyNumberFormat="1" applyFont="1" applyFill="1" applyBorder="1" applyAlignment="1" applyProtection="1">
      <alignment horizontal="center" vertical="center" wrapText="1" shrinkToFit="1"/>
      <protection locked="0"/>
    </xf>
    <xf numFmtId="0" fontId="17" fillId="0" borderId="40" xfId="0" applyNumberFormat="1" applyFont="1" applyFill="1" applyBorder="1" applyAlignment="1" applyProtection="1">
      <alignment horizontal="center" vertical="center"/>
      <protection locked="0"/>
    </xf>
    <xf numFmtId="176" fontId="28" fillId="0" borderId="10" xfId="0" applyFont="1" applyFill="1" applyBorder="1">
      <alignment vertical="center"/>
    </xf>
    <xf numFmtId="176" fontId="17" fillId="0" borderId="17" xfId="0" applyFont="1" applyFill="1" applyBorder="1" applyAlignment="1" applyProtection="1">
      <alignment horizontal="center" vertical="center"/>
      <protection locked="0"/>
    </xf>
    <xf numFmtId="0" fontId="17" fillId="0" borderId="41" xfId="0" applyNumberFormat="1" applyFont="1" applyFill="1" applyBorder="1" applyAlignment="1" applyProtection="1">
      <alignment horizontal="center" vertical="center"/>
      <protection locked="0"/>
    </xf>
    <xf numFmtId="176" fontId="28" fillId="0" borderId="5" xfId="0" applyFont="1" applyFill="1" applyBorder="1">
      <alignment vertical="center"/>
    </xf>
    <xf numFmtId="0" fontId="17" fillId="0" borderId="17" xfId="0" applyNumberFormat="1" applyFont="1" applyFill="1" applyBorder="1" applyAlignment="1" applyProtection="1">
      <alignment horizontal="center" vertical="center" wrapText="1" shrinkToFit="1"/>
      <protection locked="0"/>
    </xf>
    <xf numFmtId="0" fontId="17" fillId="0" borderId="11" xfId="0" applyNumberFormat="1" applyFont="1" applyFill="1" applyBorder="1" applyAlignment="1" applyProtection="1">
      <alignment horizontal="center" vertical="center" wrapText="1" shrinkToFit="1"/>
      <protection locked="0"/>
    </xf>
    <xf numFmtId="178" fontId="17" fillId="0" borderId="36" xfId="0" applyNumberFormat="1" applyFont="1" applyFill="1" applyBorder="1" applyAlignment="1" applyProtection="1">
      <alignment horizontal="center" vertical="center" wrapText="1" shrinkToFit="1"/>
      <protection locked="0"/>
    </xf>
    <xf numFmtId="0" fontId="17" fillId="0" borderId="4" xfId="0" applyNumberFormat="1" applyFont="1" applyFill="1" applyBorder="1" applyAlignment="1" applyProtection="1">
      <alignment horizontal="center" vertical="center" wrapText="1" shrinkToFit="1"/>
      <protection locked="0"/>
    </xf>
    <xf numFmtId="178" fontId="17" fillId="0" borderId="5" xfId="0" applyNumberFormat="1" applyFont="1" applyFill="1" applyBorder="1" applyAlignment="1" applyProtection="1">
      <alignment horizontal="center" vertical="center" wrapText="1" shrinkToFit="1"/>
      <protection locked="0"/>
    </xf>
    <xf numFmtId="0" fontId="17" fillId="0" borderId="42" xfId="0" applyNumberFormat="1" applyFont="1" applyFill="1" applyBorder="1" applyAlignment="1" applyProtection="1">
      <alignment horizontal="center" vertical="center" wrapText="1" shrinkToFit="1"/>
      <protection locked="0"/>
    </xf>
    <xf numFmtId="0" fontId="17" fillId="0" borderId="33" xfId="0" applyNumberFormat="1" applyFont="1" applyFill="1" applyBorder="1" applyAlignment="1" applyProtection="1">
      <alignment horizontal="center" vertical="center" wrapText="1"/>
      <protection locked="0"/>
    </xf>
    <xf numFmtId="176" fontId="18" fillId="0" borderId="33" xfId="0" applyFont="1" applyFill="1" applyBorder="1" applyProtection="1">
      <alignment vertical="center"/>
      <protection locked="0"/>
    </xf>
    <xf numFmtId="176" fontId="18" fillId="0" borderId="10" xfId="0" applyFont="1" applyFill="1" applyBorder="1" applyProtection="1">
      <alignment vertical="center"/>
      <protection locked="0"/>
    </xf>
    <xf numFmtId="176" fontId="17" fillId="0" borderId="33" xfId="0" applyFont="1" applyFill="1" applyBorder="1" applyAlignment="1" applyProtection="1">
      <alignment horizontal="center" vertical="center"/>
      <protection locked="0"/>
    </xf>
    <xf numFmtId="0" fontId="17" fillId="0" borderId="21" xfId="0" applyNumberFormat="1" applyFont="1" applyFill="1" applyBorder="1" applyAlignment="1" applyProtection="1">
      <alignment horizontal="center" vertical="center" wrapText="1" shrinkToFit="1"/>
      <protection locked="0"/>
    </xf>
    <xf numFmtId="176" fontId="17" fillId="0" borderId="1" xfId="0" applyFont="1" applyFill="1" applyBorder="1" applyAlignment="1" applyProtection="1">
      <alignment horizontal="center" vertical="center"/>
    </xf>
    <xf numFmtId="176" fontId="17" fillId="0" borderId="1" xfId="0" applyFont="1" applyFill="1" applyBorder="1" applyAlignment="1" applyProtection="1">
      <alignment horizontal="center" vertical="center" wrapText="1" shrinkToFit="1"/>
    </xf>
    <xf numFmtId="178" fontId="12" fillId="0" borderId="34" xfId="0" applyNumberFormat="1" applyFont="1" applyFill="1" applyBorder="1" applyAlignment="1">
      <alignment horizontal="center" vertical="center" wrapText="1" shrinkToFit="1"/>
    </xf>
    <xf numFmtId="176" fontId="12" fillId="0" borderId="38" xfId="0" applyFont="1" applyFill="1" applyBorder="1" applyAlignment="1" applyProtection="1">
      <alignment horizontal="center" vertical="center" wrapText="1" shrinkToFit="1"/>
      <protection locked="0"/>
    </xf>
    <xf numFmtId="176" fontId="12" fillId="0" borderId="3" xfId="0" applyFont="1" applyFill="1" applyBorder="1" applyAlignment="1" applyProtection="1">
      <alignment horizontal="center" vertical="center" wrapText="1" shrinkToFit="1"/>
      <protection locked="0"/>
    </xf>
    <xf numFmtId="0" fontId="12" fillId="0" borderId="3" xfId="0" applyNumberFormat="1" applyFont="1" applyFill="1" applyBorder="1" applyAlignment="1" applyProtection="1">
      <alignment horizontal="center" vertical="center" wrapText="1" shrinkToFit="1"/>
      <protection locked="0"/>
    </xf>
    <xf numFmtId="49" fontId="12" fillId="0" borderId="3" xfId="0" applyNumberFormat="1" applyFont="1" applyFill="1" applyBorder="1" applyAlignment="1" applyProtection="1">
      <alignment horizontal="center" vertical="center" wrapText="1" shrinkToFit="1"/>
      <protection locked="0"/>
    </xf>
    <xf numFmtId="178" fontId="12" fillId="0" borderId="3" xfId="0" applyNumberFormat="1" applyFont="1" applyFill="1" applyBorder="1" applyAlignment="1" applyProtection="1">
      <alignment horizontal="center" vertical="center" wrapText="1" shrinkToFit="1"/>
      <protection locked="0"/>
    </xf>
    <xf numFmtId="178" fontId="25" fillId="0" borderId="3" xfId="0" applyNumberFormat="1" applyFont="1" applyFill="1" applyBorder="1" applyAlignment="1" applyProtection="1">
      <alignment horizontal="center" vertical="center" wrapText="1" shrinkToFit="1"/>
      <protection locked="0"/>
    </xf>
    <xf numFmtId="58" fontId="25" fillId="0" borderId="3" xfId="0" applyNumberFormat="1" applyFont="1" applyFill="1" applyBorder="1" applyAlignment="1" applyProtection="1">
      <alignment horizontal="center" vertical="center" wrapText="1" shrinkToFit="1"/>
      <protection locked="0"/>
    </xf>
    <xf numFmtId="178" fontId="12" fillId="0" borderId="1" xfId="0" applyNumberFormat="1" applyFont="1" applyFill="1" applyBorder="1" applyAlignment="1" applyProtection="1">
      <alignment horizontal="center" vertical="center" wrapText="1" shrinkToFit="1"/>
      <protection locked="0"/>
    </xf>
    <xf numFmtId="181" fontId="12" fillId="0" borderId="3" xfId="0" applyNumberFormat="1" applyFont="1" applyFill="1" applyBorder="1" applyAlignment="1" applyProtection="1">
      <alignment horizontal="center" vertical="center" wrapText="1" shrinkToFit="1"/>
      <protection locked="0"/>
    </xf>
    <xf numFmtId="0" fontId="12" fillId="0" borderId="2" xfId="0" applyNumberFormat="1" applyFont="1" applyFill="1" applyBorder="1" applyAlignment="1" applyProtection="1">
      <alignment horizontal="center" vertical="center" wrapText="1" shrinkToFit="1"/>
      <protection locked="0"/>
    </xf>
    <xf numFmtId="0" fontId="12" fillId="0" borderId="34" xfId="0" applyNumberFormat="1" applyFont="1" applyBorder="1" applyAlignment="1" applyProtection="1">
      <alignment horizontal="center" vertical="center" wrapText="1" shrinkToFit="1"/>
      <protection locked="0"/>
    </xf>
    <xf numFmtId="0" fontId="9" fillId="0" borderId="3" xfId="0" applyNumberFormat="1" applyFont="1" applyFill="1" applyBorder="1" applyAlignment="1" applyProtection="1">
      <alignment horizontal="center" vertical="center" wrapText="1"/>
      <protection locked="0"/>
    </xf>
    <xf numFmtId="0" fontId="12" fillId="0" borderId="3" xfId="0" applyNumberFormat="1" applyFont="1" applyFill="1" applyBorder="1" applyAlignment="1" applyProtection="1">
      <alignment horizontal="center" vertical="center"/>
      <protection locked="0"/>
    </xf>
    <xf numFmtId="0" fontId="9" fillId="0" borderId="3" xfId="0" applyNumberFormat="1" applyFont="1" applyFill="1" applyBorder="1" applyAlignment="1" applyProtection="1">
      <alignment horizontal="center" vertical="center"/>
      <protection locked="0"/>
    </xf>
    <xf numFmtId="0" fontId="25" fillId="0" borderId="0" xfId="0" applyNumberFormat="1" applyFont="1" applyFill="1" applyBorder="1" applyProtection="1">
      <alignment vertical="center"/>
      <protection locked="0"/>
    </xf>
    <xf numFmtId="176" fontId="25" fillId="0" borderId="0" xfId="0" applyFont="1" applyFill="1" applyBorder="1" applyProtection="1">
      <alignment vertical="center"/>
      <protection locked="0"/>
    </xf>
    <xf numFmtId="0" fontId="12" fillId="0" borderId="14" xfId="0" applyNumberFormat="1" applyFont="1" applyFill="1" applyBorder="1" applyAlignment="1" applyProtection="1">
      <alignment horizontal="center" vertical="center"/>
      <protection locked="0"/>
    </xf>
    <xf numFmtId="0" fontId="12" fillId="0" borderId="1" xfId="0" applyNumberFormat="1" applyFont="1" applyFill="1" applyBorder="1" applyAlignment="1" applyProtection="1">
      <alignment horizontal="center" vertical="center"/>
      <protection locked="0"/>
    </xf>
    <xf numFmtId="176" fontId="0" fillId="0" borderId="5" xfId="0" applyFill="1" applyBorder="1">
      <alignment vertical="center"/>
    </xf>
    <xf numFmtId="176" fontId="12" fillId="0" borderId="0" xfId="0" applyFont="1" applyFill="1" applyBorder="1" applyAlignment="1" applyProtection="1">
      <alignment horizontal="center" vertical="center"/>
    </xf>
    <xf numFmtId="178" fontId="12" fillId="0" borderId="0" xfId="0" applyNumberFormat="1" applyFont="1" applyFill="1" applyBorder="1" applyAlignment="1" applyProtection="1">
      <alignment horizontal="center" vertical="center" wrapText="1" shrinkToFit="1"/>
      <protection locked="0"/>
    </xf>
    <xf numFmtId="176" fontId="12" fillId="0" borderId="0" xfId="0" applyFont="1" applyFill="1" applyBorder="1" applyAlignment="1" applyProtection="1">
      <alignment horizontal="center" vertical="center" wrapText="1" shrinkToFit="1"/>
    </xf>
    <xf numFmtId="178" fontId="12" fillId="0" borderId="3" xfId="0" applyNumberFormat="1" applyFont="1" applyFill="1" applyBorder="1" applyAlignment="1">
      <alignment horizontal="center" vertical="center" wrapText="1" shrinkToFit="1"/>
    </xf>
    <xf numFmtId="178" fontId="12" fillId="2" borderId="3" xfId="0" applyNumberFormat="1" applyFont="1" applyFill="1" applyBorder="1" applyAlignment="1" applyProtection="1">
      <alignment horizontal="center" vertical="center" wrapText="1" shrinkToFit="1"/>
      <protection locked="0"/>
    </xf>
    <xf numFmtId="58" fontId="25" fillId="0" borderId="2" xfId="0" applyNumberFormat="1" applyFont="1" applyFill="1" applyBorder="1" applyAlignment="1" applyProtection="1">
      <alignment horizontal="center" vertical="center" wrapText="1" shrinkToFit="1"/>
      <protection locked="0"/>
    </xf>
    <xf numFmtId="181" fontId="12" fillId="0" borderId="2" xfId="0" applyNumberFormat="1" applyFont="1" applyFill="1" applyBorder="1" applyAlignment="1" applyProtection="1">
      <alignment horizontal="center" vertical="center" wrapText="1" shrinkToFit="1"/>
      <protection locked="0"/>
    </xf>
    <xf numFmtId="0" fontId="12" fillId="0" borderId="1" xfId="0" applyNumberFormat="1" applyFont="1" applyBorder="1" applyAlignment="1" applyProtection="1">
      <alignment horizontal="center" vertical="center" wrapText="1" shrinkToFit="1"/>
      <protection locked="0"/>
    </xf>
    <xf numFmtId="0" fontId="8" fillId="0" borderId="2" xfId="0" applyNumberFormat="1" applyFont="1" applyFill="1" applyBorder="1" applyAlignment="1">
      <alignment horizontal="center" vertical="center"/>
    </xf>
    <xf numFmtId="0" fontId="12" fillId="0" borderId="2" xfId="0" applyNumberFormat="1" applyFont="1" applyFill="1" applyBorder="1" applyAlignment="1" applyProtection="1">
      <alignment horizontal="center" vertical="center"/>
      <protection locked="0"/>
    </xf>
    <xf numFmtId="176" fontId="25" fillId="0" borderId="3" xfId="0" applyFont="1" applyFill="1" applyBorder="1" applyProtection="1">
      <alignment vertical="center"/>
      <protection locked="0"/>
    </xf>
    <xf numFmtId="176" fontId="12" fillId="0" borderId="2" xfId="0" applyFont="1" applyFill="1" applyBorder="1" applyAlignment="1" applyProtection="1">
      <alignment horizontal="center" vertical="center"/>
      <protection locked="0"/>
    </xf>
    <xf numFmtId="0" fontId="12" fillId="0" borderId="17" xfId="0" applyNumberFormat="1" applyFont="1" applyFill="1" applyBorder="1" applyAlignment="1" applyProtection="1">
      <alignment horizontal="center" vertical="center"/>
      <protection locked="0"/>
    </xf>
    <xf numFmtId="176" fontId="0" fillId="0" borderId="1" xfId="0" applyFill="1" applyBorder="1">
      <alignment vertical="center"/>
    </xf>
    <xf numFmtId="178" fontId="12" fillId="0" borderId="0" xfId="0" applyNumberFormat="1" applyFont="1" applyFill="1" applyBorder="1" applyAlignment="1">
      <alignment horizontal="center" vertical="center" wrapText="1" shrinkToFit="1"/>
    </xf>
    <xf numFmtId="176" fontId="12" fillId="0" borderId="0" xfId="0" applyFont="1" applyFill="1" applyBorder="1" applyAlignment="1" applyProtection="1">
      <alignment horizontal="center" vertical="center" wrapText="1" shrinkToFit="1"/>
      <protection locked="0"/>
    </xf>
    <xf numFmtId="0" fontId="12" fillId="0" borderId="0" xfId="0" applyNumberFormat="1" applyFont="1" applyFill="1" applyBorder="1" applyAlignment="1" applyProtection="1">
      <alignment horizontal="center" vertical="center" wrapText="1" shrinkToFit="1"/>
      <protection locked="0"/>
    </xf>
    <xf numFmtId="49" fontId="12" fillId="0" borderId="0" xfId="0" applyNumberFormat="1" applyFont="1" applyFill="1" applyBorder="1" applyAlignment="1" applyProtection="1">
      <alignment horizontal="center" vertical="center" wrapText="1" shrinkToFit="1"/>
      <protection locked="0"/>
    </xf>
    <xf numFmtId="178" fontId="12" fillId="0" borderId="1" xfId="0" applyNumberFormat="1" applyFont="1" applyFill="1" applyBorder="1" applyAlignment="1">
      <alignment horizontal="center" vertical="center" wrapText="1" shrinkToFit="1"/>
    </xf>
    <xf numFmtId="176" fontId="12" fillId="0" borderId="1" xfId="0" applyFont="1" applyFill="1" applyBorder="1" applyAlignment="1" applyProtection="1">
      <alignment horizontal="center" vertical="center" wrapText="1" shrinkToFit="1"/>
      <protection locked="0"/>
    </xf>
    <xf numFmtId="0" fontId="12" fillId="0" borderId="1" xfId="0" applyNumberFormat="1" applyFont="1" applyFill="1" applyBorder="1" applyAlignment="1" applyProtection="1">
      <alignment horizontal="center" vertical="center" wrapText="1" shrinkToFit="1"/>
      <protection locked="0"/>
    </xf>
    <xf numFmtId="49" fontId="12" fillId="0" borderId="1" xfId="0" applyNumberFormat="1" applyFont="1" applyFill="1" applyBorder="1" applyAlignment="1" applyProtection="1">
      <alignment horizontal="center" vertical="center" wrapText="1" shrinkToFit="1"/>
      <protection locked="0"/>
    </xf>
    <xf numFmtId="178" fontId="25" fillId="0" borderId="1" xfId="0" applyNumberFormat="1" applyFont="1" applyFill="1" applyBorder="1" applyAlignment="1" applyProtection="1">
      <alignment horizontal="center" vertical="center" wrapText="1" shrinkToFit="1"/>
      <protection locked="0"/>
    </xf>
    <xf numFmtId="58" fontId="25" fillId="0" borderId="1" xfId="0" applyNumberFormat="1" applyFont="1" applyFill="1" applyBorder="1" applyAlignment="1" applyProtection="1">
      <alignment horizontal="center" vertical="center" wrapText="1" shrinkToFit="1"/>
      <protection locked="0"/>
    </xf>
    <xf numFmtId="181" fontId="12" fillId="0" borderId="1" xfId="0" applyNumberFormat="1" applyFont="1" applyFill="1" applyBorder="1" applyAlignment="1" applyProtection="1">
      <alignment horizontal="center" vertical="center" wrapText="1" shrinkToFit="1"/>
      <protection locked="0"/>
    </xf>
    <xf numFmtId="176" fontId="25" fillId="0" borderId="1" xfId="0" applyFont="1" applyFill="1" applyBorder="1" applyProtection="1">
      <alignment vertical="center"/>
      <protection locked="0"/>
    </xf>
    <xf numFmtId="0" fontId="12" fillId="0" borderId="4" xfId="0" applyNumberFormat="1" applyFont="1" applyFill="1" applyBorder="1" applyAlignment="1" applyProtection="1">
      <alignment horizontal="center" vertical="center"/>
      <protection locked="0"/>
    </xf>
    <xf numFmtId="0" fontId="9" fillId="0" borderId="2" xfId="0" applyNumberFormat="1" applyFont="1" applyFill="1" applyBorder="1" applyAlignment="1" applyProtection="1">
      <alignment horizontal="center" vertical="center" wrapText="1"/>
      <protection locked="0"/>
    </xf>
    <xf numFmtId="0" fontId="12" fillId="0" borderId="0" xfId="0" applyNumberFormat="1" applyFont="1" applyFill="1" applyBorder="1" applyAlignment="1" applyProtection="1">
      <alignment horizontal="center" vertical="center"/>
      <protection locked="0"/>
    </xf>
    <xf numFmtId="0" fontId="9" fillId="0" borderId="0" xfId="0" applyNumberFormat="1" applyFont="1" applyFill="1" applyBorder="1" applyAlignment="1" applyProtection="1">
      <alignment horizontal="center" vertical="center"/>
      <protection locked="0"/>
    </xf>
    <xf numFmtId="176" fontId="0" fillId="0" borderId="1" xfId="0" applyBorder="1">
      <alignment vertical="center"/>
    </xf>
    <xf numFmtId="0" fontId="9" fillId="0" borderId="1" xfId="0" applyNumberFormat="1" applyFont="1" applyFill="1" applyBorder="1" applyAlignment="1" applyProtection="1">
      <alignment horizontal="center" vertical="center"/>
      <protection locked="0"/>
    </xf>
    <xf numFmtId="0" fontId="25" fillId="0" borderId="1" xfId="0" applyNumberFormat="1" applyFont="1" applyFill="1" applyBorder="1" applyProtection="1">
      <alignment vertical="center"/>
      <protection locked="0"/>
    </xf>
    <xf numFmtId="176" fontId="12" fillId="0" borderId="5" xfId="0" applyFont="1" applyFill="1" applyBorder="1" applyAlignment="1" applyProtection="1">
      <alignment horizontal="center" vertical="center"/>
      <protection locked="0"/>
    </xf>
    <xf numFmtId="0" fontId="9" fillId="0" borderId="2" xfId="0" applyNumberFormat="1" applyFont="1" applyFill="1" applyBorder="1" applyAlignment="1" applyProtection="1">
      <alignment horizontal="center" vertical="center"/>
      <protection locked="0"/>
    </xf>
    <xf numFmtId="0" fontId="10" fillId="0" borderId="2" xfId="0" applyNumberFormat="1" applyFont="1" applyFill="1" applyBorder="1" applyAlignment="1">
      <alignment horizontal="center" vertical="center"/>
    </xf>
    <xf numFmtId="176" fontId="25" fillId="0" borderId="5" xfId="0" applyFont="1" applyFill="1" applyBorder="1" applyProtection="1">
      <alignment vertical="center"/>
      <protection locked="0"/>
    </xf>
    <xf numFmtId="176" fontId="25" fillId="0" borderId="0" xfId="0" applyFont="1" applyFill="1" applyProtection="1">
      <alignment vertical="center"/>
      <protection locked="0"/>
    </xf>
    <xf numFmtId="0" fontId="10" fillId="0" borderId="3" xfId="0" applyNumberFormat="1" applyFont="1" applyFill="1" applyBorder="1" applyAlignment="1">
      <alignment horizontal="center" vertical="center"/>
    </xf>
    <xf numFmtId="176" fontId="34" fillId="0" borderId="1" xfId="0" applyFont="1" applyFill="1" applyBorder="1">
      <alignment vertical="center"/>
    </xf>
    <xf numFmtId="176" fontId="34" fillId="0" borderId="0" xfId="0" applyFont="1" applyFill="1" applyBorder="1">
      <alignment vertical="center"/>
    </xf>
    <xf numFmtId="178" fontId="12" fillId="0" borderId="10" xfId="0" applyNumberFormat="1" applyFont="1" applyFill="1" applyBorder="1" applyAlignment="1">
      <alignment horizontal="center" vertical="center" wrapText="1" shrinkToFit="1"/>
    </xf>
    <xf numFmtId="176" fontId="12" fillId="0" borderId="10" xfId="0" applyFont="1" applyFill="1" applyBorder="1" applyAlignment="1" applyProtection="1">
      <alignment horizontal="center" vertical="center" wrapText="1" shrinkToFit="1"/>
      <protection locked="0"/>
    </xf>
    <xf numFmtId="0" fontId="12" fillId="0" borderId="10" xfId="0" applyNumberFormat="1" applyFont="1" applyFill="1" applyBorder="1" applyAlignment="1" applyProtection="1">
      <alignment horizontal="center" vertical="center" wrapText="1" shrinkToFit="1"/>
      <protection locked="0"/>
    </xf>
    <xf numFmtId="49" fontId="12" fillId="0" borderId="10" xfId="0" applyNumberFormat="1" applyFont="1" applyFill="1" applyBorder="1" applyAlignment="1" applyProtection="1">
      <alignment horizontal="center" vertical="center" wrapText="1" shrinkToFit="1"/>
      <protection locked="0"/>
    </xf>
    <xf numFmtId="178" fontId="12" fillId="0" borderId="10" xfId="0" applyNumberFormat="1" applyFont="1" applyFill="1" applyBorder="1" applyAlignment="1" applyProtection="1">
      <alignment horizontal="center" vertical="center" wrapText="1" shrinkToFit="1"/>
      <protection locked="0"/>
    </xf>
    <xf numFmtId="178" fontId="25" fillId="0" borderId="10" xfId="0" applyNumberFormat="1" applyFont="1" applyFill="1" applyBorder="1" applyAlignment="1" applyProtection="1">
      <alignment horizontal="center" vertical="center" wrapText="1" shrinkToFit="1"/>
      <protection locked="0"/>
    </xf>
    <xf numFmtId="58" fontId="25" fillId="0" borderId="33" xfId="0" applyNumberFormat="1" applyFont="1" applyFill="1" applyBorder="1" applyAlignment="1" applyProtection="1">
      <alignment horizontal="center" vertical="center" wrapText="1" shrinkToFit="1"/>
      <protection locked="0"/>
    </xf>
    <xf numFmtId="58" fontId="25" fillId="0" borderId="10" xfId="0" applyNumberFormat="1" applyFont="1" applyFill="1" applyBorder="1" applyAlignment="1" applyProtection="1">
      <alignment horizontal="center" vertical="center" wrapText="1" shrinkToFit="1"/>
      <protection locked="0"/>
    </xf>
    <xf numFmtId="181" fontId="12" fillId="0" borderId="33" xfId="0" applyNumberFormat="1" applyFont="1" applyFill="1" applyBorder="1" applyAlignment="1" applyProtection="1">
      <alignment horizontal="center" vertical="center" wrapText="1" shrinkToFit="1"/>
      <protection locked="0"/>
    </xf>
    <xf numFmtId="0" fontId="12" fillId="0" borderId="36" xfId="0" applyNumberFormat="1" applyFont="1" applyBorder="1" applyAlignment="1" applyProtection="1">
      <alignment horizontal="center" vertical="center" wrapText="1" shrinkToFit="1"/>
      <protection locked="0"/>
    </xf>
    <xf numFmtId="0" fontId="9" fillId="0" borderId="33" xfId="0" applyNumberFormat="1" applyFont="1" applyFill="1" applyBorder="1" applyAlignment="1" applyProtection="1">
      <alignment horizontal="center" vertical="center" wrapText="1"/>
      <protection locked="0"/>
    </xf>
    <xf numFmtId="0" fontId="12" fillId="0" borderId="33" xfId="0" applyNumberFormat="1" applyFont="1" applyFill="1" applyBorder="1" applyAlignment="1" applyProtection="1">
      <alignment horizontal="center" vertical="center" wrapText="1" shrinkToFit="1"/>
      <protection locked="0"/>
    </xf>
    <xf numFmtId="0" fontId="12" fillId="0" borderId="37" xfId="0" applyNumberFormat="1" applyFont="1" applyFill="1" applyBorder="1" applyAlignment="1" applyProtection="1">
      <alignment horizontal="center" vertical="center"/>
      <protection locked="0"/>
    </xf>
    <xf numFmtId="0" fontId="12" fillId="0" borderId="36" xfId="0" applyNumberFormat="1" applyFont="1" applyFill="1" applyBorder="1" applyAlignment="1" applyProtection="1">
      <alignment horizontal="center" vertical="center"/>
      <protection locked="0"/>
    </xf>
    <xf numFmtId="0" fontId="25" fillId="0" borderId="36" xfId="0" applyNumberFormat="1" applyFont="1" applyFill="1" applyBorder="1" applyProtection="1">
      <alignment vertical="center"/>
      <protection locked="0"/>
    </xf>
    <xf numFmtId="0" fontId="8" fillId="0" borderId="1" xfId="0" applyNumberFormat="1" applyFont="1" applyFill="1" applyBorder="1" applyAlignment="1">
      <alignment horizontal="center" vertical="center"/>
    </xf>
    <xf numFmtId="0" fontId="12" fillId="0" borderId="1" xfId="0" applyNumberFormat="1" applyFont="1" applyFill="1" applyBorder="1" applyAlignment="1" applyProtection="1">
      <alignment horizontal="center" vertical="center" wrapText="1"/>
      <protection locked="0"/>
    </xf>
    <xf numFmtId="176" fontId="12" fillId="0" borderId="34" xfId="0" applyFont="1" applyFill="1" applyBorder="1" applyAlignment="1" applyProtection="1">
      <alignment horizontal="center" vertical="center" wrapText="1" shrinkToFit="1"/>
      <protection locked="0"/>
    </xf>
    <xf numFmtId="0" fontId="12" fillId="0" borderId="34" xfId="0" applyNumberFormat="1" applyFont="1" applyFill="1" applyBorder="1" applyAlignment="1" applyProtection="1">
      <alignment horizontal="center" vertical="center" wrapText="1" shrinkToFit="1"/>
      <protection locked="0"/>
    </xf>
    <xf numFmtId="49" fontId="12" fillId="0" borderId="34" xfId="0" applyNumberFormat="1" applyFont="1" applyFill="1" applyBorder="1" applyAlignment="1" applyProtection="1">
      <alignment horizontal="center" vertical="center" wrapText="1" shrinkToFit="1"/>
      <protection locked="0"/>
    </xf>
    <xf numFmtId="178" fontId="12" fillId="0" borderId="34" xfId="0" applyNumberFormat="1" applyFont="1" applyFill="1" applyBorder="1" applyAlignment="1" applyProtection="1">
      <alignment horizontal="center" vertical="center" wrapText="1" shrinkToFit="1"/>
      <protection locked="0"/>
    </xf>
    <xf numFmtId="178" fontId="25" fillId="0" borderId="34" xfId="0" applyNumberFormat="1" applyFont="1" applyFill="1" applyBorder="1" applyAlignment="1" applyProtection="1">
      <alignment horizontal="center" vertical="center" wrapText="1" shrinkToFit="1"/>
      <protection locked="0"/>
    </xf>
    <xf numFmtId="58" fontId="25" fillId="0" borderId="34" xfId="0" applyNumberFormat="1" applyFont="1" applyFill="1" applyBorder="1" applyAlignment="1" applyProtection="1">
      <alignment horizontal="center" vertical="center" wrapText="1" shrinkToFit="1"/>
      <protection locked="0"/>
    </xf>
    <xf numFmtId="181" fontId="12" fillId="0" borderId="34" xfId="0" applyNumberFormat="1" applyFont="1" applyFill="1" applyBorder="1" applyAlignment="1" applyProtection="1">
      <alignment horizontal="center" vertical="center" wrapText="1" shrinkToFit="1"/>
      <protection locked="0"/>
    </xf>
    <xf numFmtId="176" fontId="12" fillId="0" borderId="34" xfId="0" applyFont="1" applyFill="1" applyBorder="1" applyAlignment="1" applyProtection="1">
      <alignment horizontal="center" vertical="center"/>
      <protection locked="0"/>
    </xf>
    <xf numFmtId="176" fontId="25" fillId="0" borderId="34" xfId="0" applyFont="1" applyFill="1" applyBorder="1" applyProtection="1">
      <alignment vertical="center"/>
      <protection locked="0"/>
    </xf>
    <xf numFmtId="0" fontId="12" fillId="0" borderId="41" xfId="0" applyNumberFormat="1" applyFont="1" applyFill="1" applyBorder="1" applyAlignment="1" applyProtection="1">
      <alignment horizontal="center" vertical="center"/>
      <protection locked="0"/>
    </xf>
    <xf numFmtId="0" fontId="12" fillId="0" borderId="34" xfId="0" applyNumberFormat="1" applyFont="1" applyFill="1" applyBorder="1" applyAlignment="1" applyProtection="1">
      <alignment horizontal="center" vertical="center"/>
      <protection locked="0"/>
    </xf>
    <xf numFmtId="176" fontId="0" fillId="0" borderId="34" xfId="0" applyFill="1" applyBorder="1">
      <alignment vertical="center"/>
    </xf>
    <xf numFmtId="0" fontId="12" fillId="2" borderId="1" xfId="0" applyNumberFormat="1" applyFont="1" applyFill="1" applyBorder="1" applyAlignment="1" applyProtection="1">
      <alignment horizontal="center" vertical="center" wrapText="1" shrinkToFit="1"/>
      <protection locked="0"/>
    </xf>
    <xf numFmtId="0" fontId="9" fillId="0" borderId="1" xfId="0" applyNumberFormat="1" applyFont="1" applyFill="1" applyBorder="1" applyAlignment="1" applyProtection="1">
      <alignment horizontal="center" vertical="center" wrapText="1"/>
      <protection locked="0"/>
    </xf>
    <xf numFmtId="0" fontId="10" fillId="0" borderId="1" xfId="0" applyNumberFormat="1" applyFont="1" applyFill="1" applyBorder="1" applyAlignment="1">
      <alignment horizontal="center" vertical="center"/>
    </xf>
    <xf numFmtId="0" fontId="12" fillId="0" borderId="4" xfId="0" applyNumberFormat="1" applyFont="1" applyFill="1" applyBorder="1" applyAlignment="1" applyProtection="1">
      <alignment horizontal="center" vertical="center" wrapText="1" shrinkToFit="1"/>
      <protection locked="0"/>
    </xf>
    <xf numFmtId="0" fontId="12" fillId="0" borderId="5" xfId="0" applyNumberFormat="1" applyFont="1" applyFill="1" applyBorder="1" applyAlignment="1" applyProtection="1">
      <alignment horizontal="center" vertical="center" wrapText="1" shrinkToFit="1"/>
      <protection locked="0"/>
    </xf>
    <xf numFmtId="176" fontId="34" fillId="0" borderId="3" xfId="0" applyFont="1" applyFill="1" applyBorder="1">
      <alignment vertical="center"/>
    </xf>
    <xf numFmtId="176" fontId="12" fillId="0" borderId="3" xfId="0" applyFont="1" applyFill="1" applyBorder="1" applyAlignment="1" applyProtection="1">
      <alignment horizontal="center" vertical="center"/>
      <protection locked="0"/>
    </xf>
    <xf numFmtId="176" fontId="25" fillId="0" borderId="2" xfId="0" applyFont="1" applyFill="1" applyBorder="1" applyProtection="1">
      <alignment vertical="center"/>
      <protection locked="0"/>
    </xf>
    <xf numFmtId="178" fontId="12" fillId="0" borderId="36" xfId="0" applyNumberFormat="1" applyFont="1" applyFill="1" applyBorder="1" applyAlignment="1">
      <alignment horizontal="center" vertical="center" wrapText="1" shrinkToFit="1"/>
    </xf>
    <xf numFmtId="176" fontId="12" fillId="0" borderId="36" xfId="0" applyFont="1" applyFill="1" applyBorder="1" applyAlignment="1" applyProtection="1">
      <alignment horizontal="center" vertical="center" wrapText="1" shrinkToFit="1"/>
      <protection locked="0"/>
    </xf>
    <xf numFmtId="0" fontId="12" fillId="0" borderId="36" xfId="0" applyNumberFormat="1" applyFont="1" applyFill="1" applyBorder="1" applyAlignment="1" applyProtection="1">
      <alignment horizontal="center" vertical="center" wrapText="1" shrinkToFit="1"/>
      <protection locked="0"/>
    </xf>
    <xf numFmtId="49" fontId="12" fillId="0" borderId="36" xfId="0" applyNumberFormat="1" applyFont="1" applyFill="1" applyBorder="1" applyAlignment="1" applyProtection="1">
      <alignment horizontal="center" vertical="center" wrapText="1" shrinkToFit="1"/>
      <protection locked="0"/>
    </xf>
    <xf numFmtId="0" fontId="17" fillId="0" borderId="36" xfId="0" applyNumberFormat="1" applyFont="1" applyFill="1" applyBorder="1" applyAlignment="1" applyProtection="1">
      <alignment horizontal="center" vertical="center" wrapText="1" shrinkToFit="1"/>
      <protection locked="0"/>
    </xf>
    <xf numFmtId="178" fontId="12" fillId="0" borderId="36" xfId="0" applyNumberFormat="1" applyFont="1" applyFill="1" applyBorder="1" applyAlignment="1" applyProtection="1">
      <alignment horizontal="center" vertical="center" wrapText="1" shrinkToFit="1"/>
      <protection locked="0"/>
    </xf>
    <xf numFmtId="178" fontId="25" fillId="0" borderId="36" xfId="0" applyNumberFormat="1" applyFont="1" applyFill="1" applyBorder="1" applyAlignment="1" applyProtection="1">
      <alignment horizontal="center" vertical="center" wrapText="1" shrinkToFit="1"/>
      <protection locked="0"/>
    </xf>
    <xf numFmtId="58" fontId="25" fillId="0" borderId="36" xfId="0" applyNumberFormat="1" applyFont="1" applyFill="1" applyBorder="1" applyAlignment="1" applyProtection="1">
      <alignment horizontal="center" vertical="center" wrapText="1" shrinkToFit="1"/>
      <protection locked="0"/>
    </xf>
    <xf numFmtId="181" fontId="12" fillId="0" borderId="36" xfId="0" applyNumberFormat="1" applyFont="1" applyFill="1" applyBorder="1" applyAlignment="1" applyProtection="1">
      <alignment horizontal="center" vertical="center" wrapText="1" shrinkToFit="1"/>
      <protection locked="0"/>
    </xf>
    <xf numFmtId="176" fontId="25" fillId="0" borderId="36" xfId="0" applyFont="1" applyFill="1" applyBorder="1" applyProtection="1">
      <alignment vertical="center"/>
      <protection locked="0"/>
    </xf>
    <xf numFmtId="176" fontId="12" fillId="0" borderId="36" xfId="0" applyFont="1" applyFill="1" applyBorder="1" applyAlignment="1" applyProtection="1">
      <alignment horizontal="center" vertical="center"/>
      <protection locked="0"/>
    </xf>
    <xf numFmtId="0" fontId="12" fillId="0" borderId="40" xfId="0" applyNumberFormat="1" applyFont="1" applyFill="1" applyBorder="1" applyAlignment="1" applyProtection="1">
      <alignment horizontal="center" vertical="center"/>
      <protection locked="0"/>
    </xf>
    <xf numFmtId="176" fontId="0" fillId="0" borderId="36" xfId="0" applyFill="1" applyBorder="1">
      <alignment vertical="center"/>
    </xf>
    <xf numFmtId="176" fontId="0" fillId="0" borderId="36" xfId="0" applyBorder="1">
      <alignment vertical="center"/>
    </xf>
    <xf numFmtId="58" fontId="25" fillId="2" borderId="36" xfId="0" applyNumberFormat="1" applyFont="1" applyFill="1" applyBorder="1" applyAlignment="1" applyProtection="1">
      <alignment horizontal="center" vertical="center" wrapText="1" shrinkToFit="1"/>
      <protection locked="0"/>
    </xf>
    <xf numFmtId="176" fontId="34" fillId="0" borderId="36" xfId="0" applyFont="1" applyFill="1" applyBorder="1">
      <alignment vertical="center"/>
    </xf>
    <xf numFmtId="178" fontId="12" fillId="2" borderId="36" xfId="0" applyNumberFormat="1" applyFont="1" applyFill="1" applyBorder="1" applyAlignment="1" applyProtection="1">
      <alignment horizontal="center" vertical="center" wrapText="1" shrinkToFit="1"/>
      <protection locked="0"/>
    </xf>
    <xf numFmtId="176" fontId="34" fillId="0" borderId="34" xfId="0" applyFont="1" applyFill="1" applyBorder="1">
      <alignment vertical="center"/>
    </xf>
    <xf numFmtId="178" fontId="12" fillId="2" borderId="1" xfId="0" applyNumberFormat="1" applyFont="1" applyFill="1" applyBorder="1" applyAlignment="1" applyProtection="1">
      <alignment horizontal="center" vertical="center" wrapText="1" shrinkToFit="1"/>
      <protection locked="0"/>
    </xf>
    <xf numFmtId="176" fontId="0" fillId="0" borderId="5" xfId="0" applyBorder="1">
      <alignment vertical="center"/>
    </xf>
    <xf numFmtId="176" fontId="34" fillId="0" borderId="5" xfId="0" applyFont="1" applyFill="1" applyBorder="1">
      <alignment vertical="center"/>
    </xf>
    <xf numFmtId="58" fontId="25" fillId="2" borderId="1" xfId="0" applyNumberFormat="1" applyFont="1" applyFill="1" applyBorder="1" applyAlignment="1" applyProtection="1">
      <alignment horizontal="center" vertical="center" wrapText="1" shrinkToFit="1"/>
      <protection locked="0"/>
    </xf>
    <xf numFmtId="0" fontId="12" fillId="3" borderId="1" xfId="0" applyNumberFormat="1" applyFont="1" applyFill="1" applyBorder="1" applyAlignment="1" applyProtection="1">
      <alignment horizontal="center" vertical="center" wrapText="1" shrinkToFit="1"/>
      <protection locked="0"/>
    </xf>
    <xf numFmtId="0" fontId="12" fillId="0" borderId="1" xfId="0" applyNumberFormat="1" applyFont="1" applyFill="1" applyBorder="1" applyAlignment="1">
      <alignment vertical="center" wrapText="1"/>
    </xf>
    <xf numFmtId="0" fontId="12" fillId="0" borderId="2" xfId="0" applyNumberFormat="1" applyFont="1" applyFill="1" applyBorder="1" applyAlignment="1" applyProtection="1">
      <alignment horizontal="center" vertical="center" wrapText="1"/>
      <protection locked="0"/>
    </xf>
    <xf numFmtId="176" fontId="34" fillId="0" borderId="4" xfId="0" applyFont="1" applyFill="1" applyBorder="1">
      <alignment vertical="center"/>
    </xf>
    <xf numFmtId="176" fontId="12" fillId="0" borderId="4" xfId="0" applyFont="1" applyFill="1" applyBorder="1" applyAlignment="1" applyProtection="1">
      <alignment horizontal="center" vertical="center"/>
      <protection locked="0"/>
    </xf>
    <xf numFmtId="0" fontId="25" fillId="0" borderId="3" xfId="0" applyNumberFormat="1" applyFont="1" applyFill="1" applyBorder="1" applyProtection="1">
      <alignment vertical="center"/>
      <protection locked="0"/>
    </xf>
    <xf numFmtId="49" fontId="12" fillId="0" borderId="2" xfId="0" applyNumberFormat="1" applyFont="1" applyFill="1" applyBorder="1" applyAlignment="1" applyProtection="1">
      <alignment horizontal="center" vertical="center" wrapText="1" shrinkToFit="1"/>
      <protection locked="0"/>
    </xf>
    <xf numFmtId="178" fontId="9" fillId="0" borderId="2" xfId="0" applyNumberFormat="1" applyFont="1" applyFill="1" applyBorder="1" applyAlignment="1">
      <alignment horizontal="center" vertical="center" shrinkToFit="1"/>
    </xf>
    <xf numFmtId="0" fontId="15" fillId="0" borderId="3" xfId="0" applyNumberFormat="1" applyFont="1" applyFill="1" applyBorder="1" applyAlignment="1" applyProtection="1">
      <alignment horizontal="center" vertical="center" wrapText="1"/>
      <protection locked="0"/>
    </xf>
    <xf numFmtId="176" fontId="9" fillId="0" borderId="2" xfId="0" applyFont="1" applyFill="1" applyBorder="1" applyAlignment="1" applyProtection="1">
      <alignment horizontal="center" vertical="center"/>
      <protection locked="0"/>
    </xf>
    <xf numFmtId="0" fontId="22" fillId="0" borderId="2" xfId="0" applyNumberFormat="1" applyFont="1" applyFill="1" applyBorder="1" applyAlignment="1" applyProtection="1">
      <alignment horizontal="center" vertical="center" wrapText="1"/>
      <protection locked="0"/>
    </xf>
    <xf numFmtId="178" fontId="9" fillId="0" borderId="2" xfId="0" applyNumberFormat="1" applyFont="1" applyFill="1" applyBorder="1" applyAlignment="1" applyProtection="1">
      <alignment horizontal="center" vertical="center" shrinkToFit="1"/>
      <protection locked="0"/>
    </xf>
    <xf numFmtId="176" fontId="9" fillId="0" borderId="2" xfId="0" applyFont="1" applyFill="1" applyBorder="1" applyAlignment="1" applyProtection="1">
      <alignment horizontal="center" vertical="center" wrapText="1"/>
      <protection locked="0"/>
    </xf>
    <xf numFmtId="179" fontId="9" fillId="0" borderId="2" xfId="0" applyNumberFormat="1" applyFont="1" applyFill="1" applyBorder="1" applyAlignment="1" applyProtection="1">
      <alignment horizontal="center" vertical="center"/>
      <protection locked="0"/>
    </xf>
    <xf numFmtId="180" fontId="9" fillId="0" borderId="2" xfId="0" applyNumberFormat="1" applyFont="1" applyFill="1" applyBorder="1" applyAlignment="1" applyProtection="1">
      <alignment horizontal="center" vertical="center"/>
      <protection locked="0"/>
    </xf>
    <xf numFmtId="0" fontId="12" fillId="0" borderId="1" xfId="0" applyNumberFormat="1" applyFont="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1" fillId="0" borderId="2" xfId="0" applyNumberFormat="1" applyFont="1" applyFill="1" applyBorder="1" applyAlignment="1" applyProtection="1">
      <alignment horizontal="center" vertical="center"/>
      <protection locked="0"/>
    </xf>
    <xf numFmtId="176" fontId="23" fillId="0" borderId="2" xfId="0" applyFont="1" applyFill="1" applyBorder="1" applyAlignment="1" applyProtection="1">
      <alignment horizontal="center" vertical="center"/>
      <protection locked="0"/>
    </xf>
    <xf numFmtId="176" fontId="12" fillId="0" borderId="1" xfId="0" applyFont="1" applyBorder="1" applyAlignment="1" applyProtection="1">
      <alignment horizontal="center" vertical="center"/>
      <protection locked="0"/>
    </xf>
    <xf numFmtId="178" fontId="9" fillId="0" borderId="3" xfId="0" applyNumberFormat="1" applyFont="1" applyFill="1" applyBorder="1" applyAlignment="1">
      <alignment horizontal="center" vertical="center" shrinkToFit="1"/>
    </xf>
    <xf numFmtId="176" fontId="9" fillId="0" borderId="3" xfId="0" applyFont="1" applyFill="1" applyBorder="1" applyAlignment="1" applyProtection="1">
      <alignment horizontal="center" vertical="center"/>
      <protection locked="0"/>
    </xf>
    <xf numFmtId="178" fontId="9" fillId="0" borderId="3" xfId="0" applyNumberFormat="1" applyFont="1" applyFill="1" applyBorder="1" applyAlignment="1" applyProtection="1">
      <alignment horizontal="center" vertical="center" shrinkToFit="1"/>
      <protection locked="0"/>
    </xf>
    <xf numFmtId="178" fontId="9" fillId="0" borderId="3" xfId="0" applyNumberFormat="1" applyFont="1" applyFill="1" applyBorder="1" applyAlignment="1" applyProtection="1">
      <alignment horizontal="center" vertical="center" wrapText="1" shrinkToFit="1"/>
      <protection locked="0"/>
    </xf>
    <xf numFmtId="178" fontId="9" fillId="0" borderId="38" xfId="0" applyNumberFormat="1" applyFont="1" applyFill="1" applyBorder="1" applyAlignment="1" applyProtection="1">
      <alignment horizontal="center" vertical="center" wrapText="1" shrinkToFit="1"/>
      <protection locked="0"/>
    </xf>
    <xf numFmtId="0" fontId="9" fillId="0" borderId="38" xfId="0" applyNumberFormat="1" applyFont="1" applyFill="1" applyBorder="1" applyAlignment="1" applyProtection="1">
      <alignment horizontal="center" vertical="center" wrapText="1"/>
      <protection locked="0"/>
    </xf>
    <xf numFmtId="179" fontId="9" fillId="0" borderId="3" xfId="0" applyNumberFormat="1" applyFont="1" applyFill="1" applyBorder="1" applyAlignment="1" applyProtection="1">
      <alignment horizontal="center" vertical="center"/>
      <protection locked="0"/>
    </xf>
    <xf numFmtId="180" fontId="9" fillId="0" borderId="3" xfId="0" applyNumberFormat="1" applyFont="1" applyFill="1" applyBorder="1" applyAlignment="1" applyProtection="1">
      <alignment horizontal="center" vertical="center"/>
      <protection locked="0"/>
    </xf>
    <xf numFmtId="0" fontId="12" fillId="0" borderId="34" xfId="0" applyNumberFormat="1" applyFont="1" applyBorder="1" applyAlignment="1" applyProtection="1">
      <alignment horizontal="center" vertical="center"/>
      <protection locked="0"/>
    </xf>
    <xf numFmtId="0" fontId="15" fillId="0" borderId="2" xfId="0" applyNumberFormat="1" applyFont="1" applyFill="1" applyBorder="1" applyAlignment="1" applyProtection="1">
      <alignment horizontal="center" vertical="center" wrapText="1"/>
      <protection locked="0"/>
    </xf>
    <xf numFmtId="178" fontId="9" fillId="0" borderId="0" xfId="0" applyNumberFormat="1" applyFont="1" applyFill="1" applyAlignment="1">
      <alignment horizontal="center" vertical="center" shrinkToFit="1"/>
    </xf>
    <xf numFmtId="0" fontId="9" fillId="0" borderId="0" xfId="0" applyNumberFormat="1" applyFont="1" applyFill="1" applyAlignment="1" applyProtection="1">
      <alignment horizontal="center" vertical="center"/>
      <protection locked="0"/>
    </xf>
    <xf numFmtId="0" fontId="9" fillId="0" borderId="0" xfId="0" applyNumberFormat="1" applyFont="1" applyFill="1" applyAlignment="1" applyProtection="1">
      <alignment horizontal="center" vertical="center" wrapText="1"/>
      <protection locked="0"/>
    </xf>
    <xf numFmtId="178" fontId="9" fillId="0" borderId="0" xfId="0" applyNumberFormat="1" applyFont="1" applyFill="1" applyAlignment="1" applyProtection="1">
      <alignment horizontal="center" vertical="center" shrinkToFit="1"/>
      <protection locked="0"/>
    </xf>
    <xf numFmtId="178" fontId="9" fillId="0" borderId="0" xfId="0" applyNumberFormat="1" applyFont="1" applyFill="1" applyAlignment="1" applyProtection="1">
      <alignment horizontal="center" vertical="center" wrapText="1" shrinkToFit="1"/>
      <protection locked="0"/>
    </xf>
    <xf numFmtId="179" fontId="9" fillId="0" borderId="0" xfId="0" applyNumberFormat="1" applyFont="1" applyFill="1" applyAlignment="1" applyProtection="1">
      <alignment horizontal="center" vertical="center"/>
      <protection locked="0"/>
    </xf>
    <xf numFmtId="180" fontId="9" fillId="0" borderId="0" xfId="0" applyNumberFormat="1" applyFont="1" applyFill="1" applyAlignment="1" applyProtection="1">
      <alignment horizontal="center" vertical="center"/>
      <protection locked="0"/>
    </xf>
    <xf numFmtId="0" fontId="12" fillId="0" borderId="0" xfId="0" applyNumberFormat="1" applyFont="1" applyAlignment="1" applyProtection="1">
      <alignment horizontal="center" vertical="center"/>
      <protection locked="0"/>
    </xf>
    <xf numFmtId="0" fontId="23" fillId="0" borderId="0" xfId="0" applyNumberFormat="1" applyFont="1" applyFill="1" applyAlignment="1" applyProtection="1">
      <alignment horizontal="center" vertical="center"/>
      <protection locked="0"/>
    </xf>
    <xf numFmtId="176" fontId="23" fillId="0" borderId="0" xfId="0" applyFont="1" applyFill="1" applyAlignment="1" applyProtection="1">
      <alignment horizontal="center" vertical="center"/>
      <protection locked="0"/>
    </xf>
    <xf numFmtId="0" fontId="25" fillId="0" borderId="0" xfId="0" applyNumberFormat="1" applyFont="1" applyAlignment="1" applyProtection="1">
      <alignment horizontal="center" vertical="center"/>
      <protection locked="0"/>
    </xf>
    <xf numFmtId="0" fontId="25" fillId="0" borderId="0" xfId="0" applyNumberFormat="1" applyFont="1" applyFill="1" applyAlignment="1" applyProtection="1">
      <alignment horizontal="center" vertical="center"/>
      <protection locked="0"/>
    </xf>
    <xf numFmtId="49" fontId="12" fillId="0" borderId="1" xfId="0" applyNumberFormat="1" applyFont="1" applyFill="1" applyBorder="1" applyAlignment="1" applyProtection="1" quotePrefix="1">
      <alignment horizontal="center" vertical="center" wrapText="1" shrinkToFit="1"/>
      <protection locked="0"/>
    </xf>
    <xf numFmtId="49" fontId="12" fillId="0" borderId="34" xfId="0" applyNumberFormat="1" applyFont="1" applyFill="1" applyBorder="1" applyAlignment="1" applyProtection="1" quotePrefix="1">
      <alignment horizontal="center" vertical="center" wrapText="1" shrinkToFit="1"/>
      <protection locked="0"/>
    </xf>
    <xf numFmtId="49" fontId="12" fillId="0" borderId="36" xfId="0" applyNumberFormat="1" applyFont="1" applyFill="1" applyBorder="1" applyAlignment="1" applyProtection="1" quotePrefix="1">
      <alignment horizontal="center" vertical="center" wrapText="1" shrinkToFit="1"/>
      <protection locked="0"/>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30" xfId="49"/>
    <cellStyle name="常规 2" xfId="50"/>
    <cellStyle name="常规 2 2" xfId="51"/>
    <cellStyle name="常规 3" xfId="52"/>
    <cellStyle name="常规 4" xfId="53"/>
    <cellStyle name="常规 4 3" xfId="54"/>
    <cellStyle name="常规 6 2 2" xfId="55"/>
  </cellStyles>
  <dxfs count="1">
    <dxf>
      <font>
        <color rgb="FF9C0006"/>
      </font>
      <fill>
        <patternFill patternType="solid">
          <bgColor rgb="FFFFC7CE"/>
        </patternFill>
      </fill>
    </dxf>
  </dxfs>
  <tableStyles count="0" defaultTableStyle="TableStyleMedium2" defaultPivotStyle="PivotStyleLight16"/>
  <colors>
    <mruColors>
      <color rgb="00FFFFFF"/>
      <color rgb="003E2CEA"/>
      <color rgb="0092D050"/>
      <color rgb="00010CDD"/>
      <color rgb="00000000"/>
      <color rgb="000000FF"/>
      <color rgb="00FF0000"/>
      <color rgb="0000B0F0"/>
      <color rgb="000FB7FD"/>
      <color rgb="00FFFF0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353" dbFileVersion="0" changeLogVersion="0">
    <open main="63" threadCnt="1"/>
    <sheetInfos>
      <sheetInfo cellCmpFml="315" sheetStid="12">
        <open main="28" threadCnt="1"/>
      </sheetInfo>
      <sheetInfo cellCmpFml="17" sheetStid="3">
        <open threadCnt="1"/>
      </sheetInfo>
      <sheetInfo cellCmpFml="7" sheetStid="2">
        <open threadCnt="1"/>
      </sheetInfo>
      <sheetInfo cellCmpFml="0" sheetStid="15">
        <open threadCnt="1"/>
      </sheetInfo>
      <sheetInfo cellCmpFml="14" sheetStid="16">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www.wps.cn/officeDocument/2023/relationships/woinfos" Target="woinfos.xml"/><Relationship Id="rId13" Type="http://schemas.openxmlformats.org/officeDocument/2006/relationships/styles" Target="styles.xml"/><Relationship Id="rId12" Type="http://schemas.openxmlformats.org/officeDocument/2006/relationships/customXml" Target="../customXml/item5.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25</xdr:col>
      <xdr:colOff>0</xdr:colOff>
      <xdr:row>22</xdr:row>
      <xdr:rowOff>0</xdr:rowOff>
    </xdr:from>
    <xdr:to>
      <xdr:col>25</xdr:col>
      <xdr:colOff>0</xdr:colOff>
      <xdr:row>22</xdr:row>
      <xdr:rowOff>0</xdr:rowOff>
    </xdr:to>
    <xdr:pic>
      <xdr:nvPicPr>
        <xdr:cNvPr id="2" name="图片 1"/>
        <xdr:cNvPicPr>
          <a:picLocks noChangeAspect="1"/>
        </xdr:cNvPicPr>
      </xdr:nvPicPr>
      <xdr:blipFill>
        <a:stretch>
          <a:fillRect/>
        </a:stretch>
      </xdr:blipFill>
      <xdr:spPr>
        <a:xfrm>
          <a:off x="24143335" y="11118215"/>
          <a:ext cx="0" cy="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303"/>
  <sheetViews>
    <sheetView tabSelected="1" zoomScale="80" zoomScaleNormal="80" workbookViewId="0">
      <pane xSplit="14" ySplit="1" topLeftCell="AQ222" activePane="bottomRight" state="frozen"/>
      <selection/>
      <selection pane="topRight"/>
      <selection pane="bottomLeft"/>
      <selection pane="bottomRight" activeCell="A222" sqref="$A222:$XFD222"/>
    </sheetView>
  </sheetViews>
  <sheetFormatPr defaultColWidth="9" defaultRowHeight="23" customHeight="1"/>
  <cols>
    <col min="1" max="1" width="13.9083333333333" style="187" customWidth="1"/>
    <col min="2" max="2" width="15.8166666666667" style="188" customWidth="1"/>
    <col min="3" max="3" width="9.76666666666667" style="189" customWidth="1"/>
    <col min="4" max="4" width="12.0333333333333" style="190" customWidth="1"/>
    <col min="5" max="5" width="15.8333333333333" style="191" customWidth="1"/>
    <col min="6" max="6" width="14.6333333333333" style="192" customWidth="1"/>
    <col min="7" max="7" width="12.5" style="188" customWidth="1"/>
    <col min="8" max="8" width="9.85833333333333" style="188" customWidth="1"/>
    <col min="9" max="9" width="9" style="190" customWidth="1"/>
    <col min="10" max="12" width="7.18333333333333" style="190" customWidth="1"/>
    <col min="13" max="13" width="13.275" style="193" customWidth="1"/>
    <col min="14" max="14" width="13.275" style="194" customWidth="1"/>
    <col min="15" max="15" width="12.4583333333333" style="195" customWidth="1"/>
    <col min="16" max="16" width="10.8333333333333" style="193" customWidth="1"/>
    <col min="17" max="17" width="12.3583333333333" style="189" customWidth="1"/>
    <col min="18" max="18" width="9.4" style="189" customWidth="1"/>
    <col min="19" max="19" width="7.68333333333333" style="196" customWidth="1"/>
    <col min="20" max="20" width="15.8166666666667" style="196" customWidth="1"/>
    <col min="21" max="21" width="15.275" style="196" customWidth="1"/>
    <col min="22" max="22" width="13.1416666666667" style="197" customWidth="1"/>
    <col min="23" max="24" width="13.9833333333333" style="197" customWidth="1"/>
    <col min="25" max="25" width="30.4583333333333" style="198" customWidth="1"/>
    <col min="26" max="26" width="10.4583333333333" style="190" customWidth="1"/>
    <col min="27" max="27" width="10.9083333333333" style="190" customWidth="1"/>
    <col min="28" max="28" width="11" style="190" customWidth="1"/>
    <col min="29" max="29" width="11.9083333333333" style="190" customWidth="1"/>
    <col min="30" max="30" width="15.1833333333333" style="191" customWidth="1"/>
    <col min="31" max="31" width="11.4583333333333" style="190" customWidth="1"/>
    <col min="32" max="32" width="11.1833333333333" style="190" hidden="1" customWidth="1"/>
    <col min="33" max="33" width="7.45833333333333" style="190" hidden="1" customWidth="1"/>
    <col min="34" max="34" width="5.54166666666667" style="189" hidden="1" customWidth="1"/>
    <col min="35" max="35" width="9.63333333333333" style="189" hidden="1" customWidth="1"/>
    <col min="36" max="36" width="12.1833333333333" style="188" hidden="1" customWidth="1"/>
    <col min="37" max="37" width="8.36666666666667" style="190" hidden="1" customWidth="1"/>
    <col min="38" max="38" width="14.6333333333333" style="188" hidden="1" customWidth="1"/>
    <col min="39" max="39" width="9" style="190" hidden="1" customWidth="1"/>
    <col min="40" max="40" width="9" style="190" customWidth="1" outlineLevel="1"/>
    <col min="41" max="41" width="10.7833333333333" style="190" customWidth="1" outlineLevel="1"/>
    <col min="42" max="42" width="9.21666666666667" style="199" customWidth="1"/>
    <col min="43" max="43" width="9.21666666666667" style="200" customWidth="1"/>
    <col min="44" max="46" width="9.21666666666667" style="201" customWidth="1"/>
    <col min="47" max="47" width="9.21666666666667" style="202" customWidth="1"/>
    <col min="48" max="16384" width="9" style="177"/>
  </cols>
  <sheetData>
    <row r="1" s="177" customFormat="1" ht="39" customHeight="1" spans="1:53">
      <c r="A1" s="203" t="s">
        <v>0</v>
      </c>
      <c r="B1" s="204" t="s">
        <v>1</v>
      </c>
      <c r="C1" s="204" t="s">
        <v>2</v>
      </c>
      <c r="D1" s="205" t="s">
        <v>3</v>
      </c>
      <c r="E1" s="206" t="s">
        <v>4</v>
      </c>
      <c r="F1" s="206" t="s">
        <v>5</v>
      </c>
      <c r="G1" s="205" t="s">
        <v>6</v>
      </c>
      <c r="H1" s="205" t="s">
        <v>7</v>
      </c>
      <c r="I1" s="205" t="s">
        <v>8</v>
      </c>
      <c r="J1" s="205" t="s">
        <v>9</v>
      </c>
      <c r="K1" s="205" t="s">
        <v>10</v>
      </c>
      <c r="L1" s="205" t="s">
        <v>11</v>
      </c>
      <c r="M1" s="207" t="s">
        <v>12</v>
      </c>
      <c r="N1" s="207" t="s">
        <v>13</v>
      </c>
      <c r="O1" s="207" t="s">
        <v>14</v>
      </c>
      <c r="P1" s="208" t="s">
        <v>15</v>
      </c>
      <c r="Q1" s="204" t="s">
        <v>16</v>
      </c>
      <c r="R1" s="209" t="s">
        <v>17</v>
      </c>
      <c r="S1" s="210" t="s">
        <v>18</v>
      </c>
      <c r="T1" s="210" t="s">
        <v>19</v>
      </c>
      <c r="U1" s="210" t="s">
        <v>20</v>
      </c>
      <c r="V1" s="207" t="s">
        <v>21</v>
      </c>
      <c r="W1" s="207" t="s">
        <v>22</v>
      </c>
      <c r="X1" s="211" t="s">
        <v>23</v>
      </c>
      <c r="Y1" s="212" t="s">
        <v>24</v>
      </c>
      <c r="Z1" s="205" t="s">
        <v>25</v>
      </c>
      <c r="AA1" s="205" t="s">
        <v>26</v>
      </c>
      <c r="AB1" s="205" t="s">
        <v>27</v>
      </c>
      <c r="AC1" s="205" t="s">
        <v>28</v>
      </c>
      <c r="AD1" s="206" t="s">
        <v>29</v>
      </c>
      <c r="AE1" s="205" t="s">
        <v>30</v>
      </c>
      <c r="AF1" s="205" t="s">
        <v>31</v>
      </c>
      <c r="AG1" s="205" t="s">
        <v>32</v>
      </c>
      <c r="AH1" s="204" t="s">
        <v>33</v>
      </c>
      <c r="AI1" s="205" t="s">
        <v>30</v>
      </c>
      <c r="AJ1" s="205" t="s">
        <v>34</v>
      </c>
      <c r="AK1" s="205" t="s">
        <v>35</v>
      </c>
      <c r="AL1" s="205" t="s">
        <v>36</v>
      </c>
      <c r="AM1" s="205" t="s">
        <v>35</v>
      </c>
      <c r="AN1" s="205" t="s">
        <v>37</v>
      </c>
      <c r="AO1" s="205" t="s">
        <v>38</v>
      </c>
      <c r="AP1" s="213" t="s">
        <v>39</v>
      </c>
      <c r="AQ1" s="213" t="s">
        <v>40</v>
      </c>
      <c r="AR1" s="213" t="s">
        <v>41</v>
      </c>
      <c r="AS1" s="213" t="s">
        <v>42</v>
      </c>
      <c r="AT1" s="214" t="s">
        <v>43</v>
      </c>
      <c r="AU1" s="213" t="s">
        <v>44</v>
      </c>
      <c r="AV1" s="215"/>
    </row>
    <row r="2" s="178" customFormat="1" ht="42.3" customHeight="1" spans="1:53">
      <c r="A2" s="216">
        <v>46016</v>
      </c>
      <c r="B2" s="217" t="s">
        <v>45</v>
      </c>
      <c r="C2" s="218" t="s">
        <v>46</v>
      </c>
      <c r="D2" s="219">
        <v>4500189979</v>
      </c>
      <c r="E2" s="220">
        <v>5200008513</v>
      </c>
      <c r="F2" s="219" t="s">
        <v>47</v>
      </c>
      <c r="G2" s="221" t="s">
        <v>48</v>
      </c>
      <c r="H2" s="220" t="s">
        <v>49</v>
      </c>
      <c r="I2" s="219">
        <v>32</v>
      </c>
      <c r="J2" s="221">
        <v>0</v>
      </c>
      <c r="K2" s="221">
        <v>4</v>
      </c>
      <c r="L2" s="221">
        <f t="shared" ref="L2:L65" si="0">I2/K2</f>
        <v>8</v>
      </c>
      <c r="M2" s="222">
        <v>46041</v>
      </c>
      <c r="N2" s="222">
        <v>46037</v>
      </c>
      <c r="O2" s="222" t="s">
        <v>50</v>
      </c>
      <c r="P2" s="222" t="s">
        <v>51</v>
      </c>
      <c r="Q2" s="222">
        <v>46111</v>
      </c>
      <c r="R2" s="223" t="s">
        <v>52</v>
      </c>
      <c r="S2" s="224"/>
      <c r="T2" s="225"/>
      <c r="U2" s="225"/>
      <c r="V2" s="222"/>
      <c r="W2" s="222"/>
      <c r="X2" s="222"/>
      <c r="Y2" s="226" t="s">
        <v>53</v>
      </c>
      <c r="Z2" s="220" t="s">
        <v>54</v>
      </c>
      <c r="AA2" s="227">
        <v>9.86</v>
      </c>
      <c r="AB2" s="228">
        <f t="shared" ref="AB2:AB11" si="1">I2*AA2</f>
        <v>315.52</v>
      </c>
      <c r="AC2" s="229"/>
      <c r="AD2" s="230" t="s">
        <v>55</v>
      </c>
      <c r="AE2" s="218" t="s">
        <v>56</v>
      </c>
      <c r="AF2" s="231"/>
      <c r="AG2" s="231"/>
      <c r="AH2" s="218"/>
      <c r="AI2" s="218"/>
      <c r="AJ2" s="232"/>
      <c r="AK2" s="231"/>
      <c r="AL2" s="232"/>
      <c r="AM2" s="231"/>
      <c r="AN2" s="231"/>
      <c r="AO2" s="231">
        <f t="shared" ref="AO2:AO11" si="2">I2</f>
        <v>32</v>
      </c>
      <c r="AP2" s="231"/>
      <c r="AQ2" s="231"/>
      <c r="AR2" s="231"/>
      <c r="AS2" s="231"/>
      <c r="AT2" s="231"/>
      <c r="AU2" s="231"/>
    </row>
    <row r="3" s="179" customFormat="1" ht="43.4" customHeight="1" spans="1:53">
      <c r="A3" s="233">
        <v>46078</v>
      </c>
      <c r="B3" s="234" t="s">
        <v>57</v>
      </c>
      <c r="C3" s="235" t="s">
        <v>46</v>
      </c>
      <c r="D3" s="236">
        <v>4500193541</v>
      </c>
      <c r="E3" s="237">
        <v>21431981</v>
      </c>
      <c r="F3" s="236" t="s">
        <v>58</v>
      </c>
      <c r="G3" s="238" t="s">
        <v>59</v>
      </c>
      <c r="H3" s="237" t="s">
        <v>49</v>
      </c>
      <c r="I3" s="236">
        <v>108</v>
      </c>
      <c r="J3" s="238">
        <v>0</v>
      </c>
      <c r="K3" s="238">
        <v>4</v>
      </c>
      <c r="L3" s="238">
        <f t="shared" si="0"/>
        <v>27</v>
      </c>
      <c r="M3" s="239">
        <v>46121</v>
      </c>
      <c r="N3" s="239">
        <v>46123</v>
      </c>
      <c r="O3" s="239" t="s">
        <v>50</v>
      </c>
      <c r="P3" s="239" t="s">
        <v>51</v>
      </c>
      <c r="Q3" s="239" t="s">
        <v>60</v>
      </c>
      <c r="R3" s="239"/>
      <c r="S3" s="240" t="s">
        <v>61</v>
      </c>
      <c r="T3" s="241">
        <v>46088</v>
      </c>
      <c r="U3" s="241">
        <v>46099</v>
      </c>
      <c r="V3" s="239"/>
      <c r="W3" s="239"/>
      <c r="X3" s="239"/>
      <c r="Y3" s="242" t="s">
        <v>62</v>
      </c>
      <c r="Z3" s="237" t="s">
        <v>63</v>
      </c>
      <c r="AA3" s="243">
        <v>9.86</v>
      </c>
      <c r="AB3" s="244">
        <f t="shared" si="1"/>
        <v>1064.88</v>
      </c>
      <c r="AC3" s="245"/>
      <c r="AD3" s="230" t="s">
        <v>55</v>
      </c>
      <c r="AE3" s="235" t="s">
        <v>56</v>
      </c>
      <c r="AF3" s="246"/>
      <c r="AG3" s="246"/>
      <c r="AH3" s="235"/>
      <c r="AI3" s="235"/>
      <c r="AJ3" s="230"/>
      <c r="AK3" s="246"/>
      <c r="AL3" s="230"/>
      <c r="AM3" s="246"/>
      <c r="AN3" s="246"/>
      <c r="AO3" s="246">
        <f t="shared" si="2"/>
        <v>108</v>
      </c>
      <c r="AP3" s="246">
        <f t="shared" ref="AP3:AP11" si="3">I3</f>
        <v>108</v>
      </c>
      <c r="AQ3" s="246"/>
      <c r="AR3" s="246">
        <f t="shared" ref="AR3:AR11" si="4">I3</f>
        <v>108</v>
      </c>
      <c r="AS3" s="246"/>
      <c r="AT3" s="246"/>
      <c r="AU3" s="246"/>
    </row>
    <row r="4" s="179" customFormat="1" ht="39" customHeight="1" spans="1:53">
      <c r="A4" s="233">
        <v>46078</v>
      </c>
      <c r="B4" s="234" t="s">
        <v>64</v>
      </c>
      <c r="C4" s="235" t="s">
        <v>65</v>
      </c>
      <c r="D4" s="236">
        <v>4500193539</v>
      </c>
      <c r="E4" s="237">
        <v>21431979</v>
      </c>
      <c r="F4" s="236" t="s">
        <v>66</v>
      </c>
      <c r="G4" s="238" t="s">
        <v>59</v>
      </c>
      <c r="H4" s="237" t="s">
        <v>49</v>
      </c>
      <c r="I4" s="236">
        <v>1392</v>
      </c>
      <c r="J4" s="238">
        <v>0</v>
      </c>
      <c r="K4" s="238">
        <v>4</v>
      </c>
      <c r="L4" s="238">
        <f t="shared" si="0"/>
        <v>348</v>
      </c>
      <c r="M4" s="239">
        <v>46121</v>
      </c>
      <c r="N4" s="239">
        <v>46123</v>
      </c>
      <c r="O4" s="239" t="s">
        <v>50</v>
      </c>
      <c r="P4" s="239" t="s">
        <v>51</v>
      </c>
      <c r="Q4" s="239" t="s">
        <v>60</v>
      </c>
      <c r="R4" s="239"/>
      <c r="S4" s="240" t="s">
        <v>61</v>
      </c>
      <c r="T4" s="241">
        <v>46088</v>
      </c>
      <c r="U4" s="241">
        <v>46099</v>
      </c>
      <c r="V4" s="239"/>
      <c r="W4" s="239"/>
      <c r="X4" s="239"/>
      <c r="Y4" s="242" t="s">
        <v>67</v>
      </c>
      <c r="Z4" s="237" t="s">
        <v>63</v>
      </c>
      <c r="AA4" s="243">
        <v>9.86</v>
      </c>
      <c r="AB4" s="244">
        <f t="shared" si="1"/>
        <v>13725.12</v>
      </c>
      <c r="AC4" s="245"/>
      <c r="AD4" s="230" t="s">
        <v>55</v>
      </c>
      <c r="AE4" s="235" t="s">
        <v>56</v>
      </c>
      <c r="AF4" s="246"/>
      <c r="AG4" s="246"/>
      <c r="AH4" s="235"/>
      <c r="AI4" s="235"/>
      <c r="AJ4" s="230"/>
      <c r="AK4" s="246"/>
      <c r="AL4" s="230"/>
      <c r="AM4" s="246"/>
      <c r="AN4" s="246"/>
      <c r="AO4" s="246">
        <f t="shared" si="2"/>
        <v>1392</v>
      </c>
      <c r="AP4" s="246">
        <f t="shared" si="3"/>
        <v>1392</v>
      </c>
      <c r="AQ4" s="246"/>
      <c r="AR4" s="246">
        <f t="shared" si="4"/>
        <v>1392</v>
      </c>
      <c r="AS4" s="246"/>
      <c r="AT4" s="246"/>
      <c r="AU4" s="246"/>
    </row>
    <row r="5" s="178" customFormat="1" ht="39" customHeight="1" spans="1:53">
      <c r="A5" s="216">
        <v>46065</v>
      </c>
      <c r="B5" s="217" t="s">
        <v>68</v>
      </c>
      <c r="C5" s="218" t="s">
        <v>69</v>
      </c>
      <c r="D5" s="219">
        <v>4500193688</v>
      </c>
      <c r="E5" s="220" t="s">
        <v>70</v>
      </c>
      <c r="F5" s="219" t="s">
        <v>71</v>
      </c>
      <c r="G5" s="221" t="s">
        <v>59</v>
      </c>
      <c r="H5" s="220" t="s">
        <v>49</v>
      </c>
      <c r="I5" s="219">
        <v>500</v>
      </c>
      <c r="J5" s="221">
        <v>0</v>
      </c>
      <c r="K5" s="221">
        <v>4</v>
      </c>
      <c r="L5" s="221">
        <f t="shared" si="0"/>
        <v>125</v>
      </c>
      <c r="M5" s="222">
        <v>46125</v>
      </c>
      <c r="N5" s="222">
        <v>46125</v>
      </c>
      <c r="O5" s="222" t="s">
        <v>50</v>
      </c>
      <c r="P5" s="222" t="s">
        <v>51</v>
      </c>
      <c r="Q5" s="222" t="s">
        <v>72</v>
      </c>
      <c r="R5" s="222"/>
      <c r="S5" s="224" t="s">
        <v>73</v>
      </c>
      <c r="T5" s="225">
        <v>46091</v>
      </c>
      <c r="U5" s="224">
        <v>46125</v>
      </c>
      <c r="V5" s="222"/>
      <c r="W5" s="222"/>
      <c r="X5" s="222"/>
      <c r="Y5" s="226" t="s">
        <v>74</v>
      </c>
      <c r="Z5" s="220" t="s">
        <v>75</v>
      </c>
      <c r="AA5" s="227">
        <v>9.86</v>
      </c>
      <c r="AB5" s="228">
        <f t="shared" si="1"/>
        <v>4930</v>
      </c>
      <c r="AC5" s="229"/>
      <c r="AD5" s="230" t="s">
        <v>55</v>
      </c>
      <c r="AE5" s="235" t="s">
        <v>56</v>
      </c>
      <c r="AF5" s="231"/>
      <c r="AG5" s="231"/>
      <c r="AH5" s="218"/>
      <c r="AI5" s="218"/>
      <c r="AJ5" s="232"/>
      <c r="AK5" s="231"/>
      <c r="AL5" s="232"/>
      <c r="AM5" s="231"/>
      <c r="AN5" s="231"/>
      <c r="AO5" s="231">
        <f t="shared" si="2"/>
        <v>500</v>
      </c>
      <c r="AP5" s="231">
        <f t="shared" si="3"/>
        <v>500</v>
      </c>
      <c r="AQ5" s="231"/>
      <c r="AR5" s="231">
        <f t="shared" si="4"/>
        <v>500</v>
      </c>
      <c r="AS5" s="231"/>
      <c r="AT5" s="231"/>
      <c r="AU5" s="231"/>
    </row>
    <row r="6" s="178" customFormat="1" ht="39" customHeight="1" spans="1:53">
      <c r="A6" s="216">
        <v>46059</v>
      </c>
      <c r="B6" s="217" t="s">
        <v>76</v>
      </c>
      <c r="C6" s="218" t="s">
        <v>77</v>
      </c>
      <c r="D6" s="219">
        <v>4500193356</v>
      </c>
      <c r="E6" s="220">
        <v>5200008960</v>
      </c>
      <c r="F6" s="219" t="s">
        <v>78</v>
      </c>
      <c r="G6" s="221" t="s">
        <v>48</v>
      </c>
      <c r="H6" s="220" t="s">
        <v>49</v>
      </c>
      <c r="I6" s="219">
        <v>20</v>
      </c>
      <c r="J6" s="221">
        <v>0</v>
      </c>
      <c r="K6" s="221">
        <v>4</v>
      </c>
      <c r="L6" s="221">
        <f t="shared" si="0"/>
        <v>5</v>
      </c>
      <c r="M6" s="222">
        <v>46118</v>
      </c>
      <c r="N6" s="222">
        <v>46126</v>
      </c>
      <c r="O6" s="222" t="s">
        <v>50</v>
      </c>
      <c r="P6" s="222" t="s">
        <v>51</v>
      </c>
      <c r="Q6" s="222"/>
      <c r="R6" s="222"/>
      <c r="S6" s="224" t="s">
        <v>73</v>
      </c>
      <c r="T6" s="225" t="s">
        <v>79</v>
      </c>
      <c r="U6" s="225">
        <v>46060</v>
      </c>
      <c r="V6" s="222"/>
      <c r="W6" s="222"/>
      <c r="X6" s="222"/>
      <c r="Y6" s="226" t="s">
        <v>80</v>
      </c>
      <c r="Z6" s="220" t="s">
        <v>81</v>
      </c>
      <c r="AA6" s="227">
        <v>5.916</v>
      </c>
      <c r="AB6" s="228">
        <f t="shared" si="1"/>
        <v>118.32</v>
      </c>
      <c r="AC6" s="247" t="s">
        <v>82</v>
      </c>
      <c r="AD6" s="230" t="s">
        <v>55</v>
      </c>
      <c r="AE6" s="218" t="s">
        <v>56</v>
      </c>
      <c r="AF6" s="231"/>
      <c r="AG6" s="231"/>
      <c r="AH6" s="218"/>
      <c r="AI6" s="218"/>
      <c r="AJ6" s="232"/>
      <c r="AK6" s="231"/>
      <c r="AL6" s="232"/>
      <c r="AM6" s="231"/>
      <c r="AN6" s="231"/>
      <c r="AO6" s="231">
        <f t="shared" si="2"/>
        <v>20</v>
      </c>
      <c r="AP6" s="231">
        <f t="shared" si="3"/>
        <v>20</v>
      </c>
      <c r="AQ6" s="231"/>
      <c r="AR6" s="231">
        <f t="shared" si="4"/>
        <v>20</v>
      </c>
      <c r="AS6" s="231"/>
      <c r="AT6" s="231"/>
      <c r="AU6" s="231"/>
    </row>
    <row r="7" s="178" customFormat="1" ht="39" customHeight="1" spans="1:53">
      <c r="A7" s="216">
        <v>46094</v>
      </c>
      <c r="B7" s="248" t="s">
        <v>45</v>
      </c>
      <c r="C7" s="248" t="s">
        <v>46</v>
      </c>
      <c r="D7" s="221">
        <v>4500196745</v>
      </c>
      <c r="E7" s="249">
        <v>5200009279</v>
      </c>
      <c r="F7" s="249" t="s">
        <v>83</v>
      </c>
      <c r="G7" s="221" t="s">
        <v>48</v>
      </c>
      <c r="H7" s="221" t="s">
        <v>49</v>
      </c>
      <c r="I7" s="221">
        <v>20</v>
      </c>
      <c r="J7" s="221">
        <v>0</v>
      </c>
      <c r="K7" s="221">
        <v>4</v>
      </c>
      <c r="L7" s="221">
        <f t="shared" si="0"/>
        <v>5</v>
      </c>
      <c r="M7" s="222">
        <v>46121</v>
      </c>
      <c r="N7" s="222">
        <v>46126</v>
      </c>
      <c r="O7" s="222" t="s">
        <v>50</v>
      </c>
      <c r="P7" s="222" t="s">
        <v>51</v>
      </c>
      <c r="Q7" s="222">
        <v>46128</v>
      </c>
      <c r="R7" s="248" t="s">
        <v>52</v>
      </c>
      <c r="S7" s="224" t="s">
        <v>73</v>
      </c>
      <c r="T7" s="225">
        <v>46094</v>
      </c>
      <c r="U7" s="225">
        <v>46104</v>
      </c>
      <c r="V7" s="222"/>
      <c r="W7" s="222"/>
      <c r="X7" s="222"/>
      <c r="Y7" s="221" t="s">
        <v>84</v>
      </c>
      <c r="Z7" s="220" t="s">
        <v>63</v>
      </c>
      <c r="AA7" s="250">
        <v>9.86</v>
      </c>
      <c r="AB7" s="228">
        <f t="shared" si="1"/>
        <v>197.2</v>
      </c>
      <c r="AC7" s="251"/>
      <c r="AD7" s="230" t="s">
        <v>55</v>
      </c>
      <c r="AE7" s="218" t="s">
        <v>56</v>
      </c>
      <c r="AF7" s="252"/>
      <c r="AG7" s="252"/>
      <c r="AH7" s="248"/>
      <c r="AI7" s="221"/>
      <c r="AJ7" s="252"/>
      <c r="AK7" s="252"/>
      <c r="AL7" s="252"/>
      <c r="AM7" s="252"/>
      <c r="AN7" s="252"/>
      <c r="AO7" s="231">
        <f t="shared" si="2"/>
        <v>20</v>
      </c>
      <c r="AP7" s="231">
        <f t="shared" si="3"/>
        <v>20</v>
      </c>
      <c r="AQ7" s="253"/>
      <c r="AR7" s="231">
        <f t="shared" si="4"/>
        <v>20</v>
      </c>
      <c r="AS7" s="231"/>
      <c r="AT7" s="231"/>
      <c r="AU7" s="254"/>
      <c r="AV7" s="255"/>
      <c r="AW7" s="255"/>
      <c r="AX7" s="255"/>
      <c r="AY7" s="255"/>
      <c r="AZ7" s="255"/>
      <c r="BA7" s="255"/>
    </row>
    <row r="8" s="178" customFormat="1" ht="39" customHeight="1" spans="1:53">
      <c r="A8" s="216">
        <v>46065</v>
      </c>
      <c r="B8" s="217" t="s">
        <v>85</v>
      </c>
      <c r="C8" s="218" t="s">
        <v>77</v>
      </c>
      <c r="D8" s="219">
        <v>4500193071</v>
      </c>
      <c r="E8" s="220" t="s">
        <v>86</v>
      </c>
      <c r="F8" s="219" t="s">
        <v>87</v>
      </c>
      <c r="G8" s="221" t="s">
        <v>59</v>
      </c>
      <c r="H8" s="220" t="s">
        <v>49</v>
      </c>
      <c r="I8" s="219">
        <v>188</v>
      </c>
      <c r="J8" s="221">
        <v>0</v>
      </c>
      <c r="K8" s="221">
        <v>4</v>
      </c>
      <c r="L8" s="221">
        <f t="shared" si="0"/>
        <v>47</v>
      </c>
      <c r="M8" s="222">
        <v>46119</v>
      </c>
      <c r="N8" s="222">
        <v>46127</v>
      </c>
      <c r="O8" s="222" t="s">
        <v>50</v>
      </c>
      <c r="P8" s="222" t="s">
        <v>51</v>
      </c>
      <c r="Q8" s="222" t="s">
        <v>88</v>
      </c>
      <c r="R8" s="222"/>
      <c r="S8" s="224" t="s">
        <v>61</v>
      </c>
      <c r="T8" s="225">
        <v>46085</v>
      </c>
      <c r="U8" s="225" t="s">
        <v>89</v>
      </c>
      <c r="V8" s="222"/>
      <c r="W8" s="222"/>
      <c r="X8" s="222"/>
      <c r="Y8" s="226" t="s">
        <v>90</v>
      </c>
      <c r="Z8" s="220" t="s">
        <v>91</v>
      </c>
      <c r="AA8" s="227">
        <v>5.82</v>
      </c>
      <c r="AB8" s="228">
        <f t="shared" si="1"/>
        <v>1094.16</v>
      </c>
      <c r="AC8" s="247" t="s">
        <v>92</v>
      </c>
      <c r="AD8" s="230" t="s">
        <v>55</v>
      </c>
      <c r="AE8" s="235" t="s">
        <v>56</v>
      </c>
      <c r="AF8" s="231"/>
      <c r="AG8" s="231"/>
      <c r="AH8" s="218"/>
      <c r="AI8" s="218"/>
      <c r="AJ8" s="232"/>
      <c r="AK8" s="231"/>
      <c r="AL8" s="232"/>
      <c r="AM8" s="231"/>
      <c r="AN8" s="231"/>
      <c r="AO8" s="231">
        <f t="shared" si="2"/>
        <v>188</v>
      </c>
      <c r="AP8" s="231">
        <f t="shared" si="3"/>
        <v>188</v>
      </c>
      <c r="AQ8" s="231"/>
      <c r="AR8" s="231">
        <f t="shared" si="4"/>
        <v>188</v>
      </c>
      <c r="AS8" s="231"/>
      <c r="AT8" s="231"/>
      <c r="AU8" s="231"/>
    </row>
    <row r="9" s="178" customFormat="1" ht="39" customHeight="1" spans="1:53">
      <c r="A9" s="216">
        <v>46079</v>
      </c>
      <c r="B9" s="217" t="s">
        <v>85</v>
      </c>
      <c r="C9" s="218" t="s">
        <v>77</v>
      </c>
      <c r="D9" s="219">
        <v>4500194286</v>
      </c>
      <c r="E9" s="220" t="s">
        <v>93</v>
      </c>
      <c r="F9" s="219" t="s">
        <v>94</v>
      </c>
      <c r="G9" s="221" t="s">
        <v>59</v>
      </c>
      <c r="H9" s="220" t="s">
        <v>49</v>
      </c>
      <c r="I9" s="219">
        <v>3828</v>
      </c>
      <c r="J9" s="221">
        <v>0</v>
      </c>
      <c r="K9" s="221">
        <v>4</v>
      </c>
      <c r="L9" s="221">
        <f t="shared" si="0"/>
        <v>957</v>
      </c>
      <c r="M9" s="222">
        <v>46119</v>
      </c>
      <c r="N9" s="222">
        <v>46127</v>
      </c>
      <c r="O9" s="222" t="s">
        <v>50</v>
      </c>
      <c r="P9" s="222" t="s">
        <v>51</v>
      </c>
      <c r="Q9" s="222" t="s">
        <v>95</v>
      </c>
      <c r="R9" s="222"/>
      <c r="S9" s="224" t="s">
        <v>61</v>
      </c>
      <c r="T9" s="225">
        <v>46085</v>
      </c>
      <c r="U9" s="225" t="s">
        <v>89</v>
      </c>
      <c r="V9" s="222"/>
      <c r="W9" s="222"/>
      <c r="X9" s="222"/>
      <c r="Y9" s="226" t="s">
        <v>96</v>
      </c>
      <c r="Z9" s="220" t="s">
        <v>91</v>
      </c>
      <c r="AA9" s="227">
        <v>5.82</v>
      </c>
      <c r="AB9" s="228">
        <f t="shared" si="1"/>
        <v>22278.96</v>
      </c>
      <c r="AC9" s="256" t="s">
        <v>97</v>
      </c>
      <c r="AD9" s="230" t="s">
        <v>55</v>
      </c>
      <c r="AE9" s="235" t="s">
        <v>56</v>
      </c>
      <c r="AF9" s="231"/>
      <c r="AG9" s="231"/>
      <c r="AH9" s="218"/>
      <c r="AI9" s="218"/>
      <c r="AJ9" s="232"/>
      <c r="AK9" s="231"/>
      <c r="AL9" s="232"/>
      <c r="AM9" s="231"/>
      <c r="AN9" s="231"/>
      <c r="AO9" s="231">
        <f t="shared" si="2"/>
        <v>3828</v>
      </c>
      <c r="AP9" s="231">
        <f t="shared" si="3"/>
        <v>3828</v>
      </c>
      <c r="AQ9" s="231"/>
      <c r="AR9" s="231">
        <f t="shared" si="4"/>
        <v>3828</v>
      </c>
      <c r="AS9" s="231"/>
      <c r="AT9" s="231"/>
      <c r="AU9" s="231"/>
    </row>
    <row r="10" s="178" customFormat="1" ht="39" customHeight="1" spans="1:53">
      <c r="A10" s="216">
        <v>46086</v>
      </c>
      <c r="B10" s="217" t="s">
        <v>64</v>
      </c>
      <c r="C10" s="218" t="s">
        <v>65</v>
      </c>
      <c r="D10" s="219">
        <v>4500193164</v>
      </c>
      <c r="E10" s="220">
        <v>21570516</v>
      </c>
      <c r="F10" s="219" t="s">
        <v>98</v>
      </c>
      <c r="G10" s="221" t="s">
        <v>59</v>
      </c>
      <c r="H10" s="220" t="s">
        <v>49</v>
      </c>
      <c r="I10" s="219">
        <v>1320</v>
      </c>
      <c r="J10" s="221">
        <v>0</v>
      </c>
      <c r="K10" s="221">
        <v>4</v>
      </c>
      <c r="L10" s="221">
        <f t="shared" si="0"/>
        <v>330</v>
      </c>
      <c r="M10" s="222">
        <v>46125</v>
      </c>
      <c r="N10" s="222">
        <v>46129</v>
      </c>
      <c r="O10" s="222" t="s">
        <v>50</v>
      </c>
      <c r="P10" s="222" t="s">
        <v>51</v>
      </c>
      <c r="Q10" s="222" t="s">
        <v>99</v>
      </c>
      <c r="R10" s="222"/>
      <c r="S10" s="224" t="s">
        <v>61</v>
      </c>
      <c r="T10" s="225">
        <v>46093</v>
      </c>
      <c r="U10" s="224">
        <v>46105</v>
      </c>
      <c r="V10" s="222"/>
      <c r="W10" s="222"/>
      <c r="X10" s="222"/>
      <c r="Y10" s="226" t="s">
        <v>100</v>
      </c>
      <c r="Z10" s="220" t="s">
        <v>63</v>
      </c>
      <c r="AA10" s="227">
        <v>9.86</v>
      </c>
      <c r="AB10" s="228">
        <f t="shared" si="1"/>
        <v>13015.2</v>
      </c>
      <c r="AC10" s="229"/>
      <c r="AD10" s="230" t="s">
        <v>55</v>
      </c>
      <c r="AE10" s="235" t="s">
        <v>56</v>
      </c>
      <c r="AF10" s="231"/>
      <c r="AG10" s="231"/>
      <c r="AH10" s="218"/>
      <c r="AI10" s="218"/>
      <c r="AJ10" s="232"/>
      <c r="AK10" s="231"/>
      <c r="AL10" s="232"/>
      <c r="AM10" s="231"/>
      <c r="AN10" s="231"/>
      <c r="AO10" s="231">
        <f t="shared" si="2"/>
        <v>1320</v>
      </c>
      <c r="AP10" s="231">
        <f t="shared" si="3"/>
        <v>1320</v>
      </c>
      <c r="AQ10" s="231"/>
      <c r="AR10" s="231">
        <f t="shared" si="4"/>
        <v>1320</v>
      </c>
      <c r="AS10" s="231"/>
      <c r="AT10" s="231"/>
      <c r="AU10" s="231"/>
    </row>
    <row r="11" s="178" customFormat="1" ht="48.75" customHeight="1" spans="1:53">
      <c r="A11" s="216">
        <v>46086</v>
      </c>
      <c r="B11" s="217" t="s">
        <v>57</v>
      </c>
      <c r="C11" s="218" t="s">
        <v>46</v>
      </c>
      <c r="D11" s="219">
        <v>4500193165</v>
      </c>
      <c r="E11" s="220">
        <v>21570517</v>
      </c>
      <c r="F11" s="219" t="s">
        <v>101</v>
      </c>
      <c r="G11" s="221" t="s">
        <v>59</v>
      </c>
      <c r="H11" s="220" t="s">
        <v>49</v>
      </c>
      <c r="I11" s="219">
        <v>180</v>
      </c>
      <c r="J11" s="221">
        <v>0</v>
      </c>
      <c r="K11" s="221">
        <v>4</v>
      </c>
      <c r="L11" s="221">
        <f t="shared" si="0"/>
        <v>45</v>
      </c>
      <c r="M11" s="222">
        <v>46125</v>
      </c>
      <c r="N11" s="222">
        <v>46129</v>
      </c>
      <c r="O11" s="222" t="s">
        <v>50</v>
      </c>
      <c r="P11" s="222" t="s">
        <v>51</v>
      </c>
      <c r="Q11" s="222" t="s">
        <v>99</v>
      </c>
      <c r="R11" s="222"/>
      <c r="S11" s="224" t="s">
        <v>61</v>
      </c>
      <c r="T11" s="225">
        <v>46093</v>
      </c>
      <c r="U11" s="224">
        <v>46105</v>
      </c>
      <c r="V11" s="222"/>
      <c r="W11" s="222"/>
      <c r="X11" s="222"/>
      <c r="Y11" s="226" t="s">
        <v>102</v>
      </c>
      <c r="Z11" s="220" t="s">
        <v>63</v>
      </c>
      <c r="AA11" s="227">
        <v>9.86</v>
      </c>
      <c r="AB11" s="228">
        <f t="shared" si="1"/>
        <v>1774.8</v>
      </c>
      <c r="AC11" s="229"/>
      <c r="AD11" s="230" t="s">
        <v>55</v>
      </c>
      <c r="AE11" s="235" t="s">
        <v>56</v>
      </c>
      <c r="AF11" s="231"/>
      <c r="AG11" s="231"/>
      <c r="AH11" s="218"/>
      <c r="AI11" s="218"/>
      <c r="AJ11" s="232"/>
      <c r="AK11" s="231"/>
      <c r="AL11" s="232"/>
      <c r="AM11" s="231"/>
      <c r="AN11" s="231"/>
      <c r="AO11" s="231">
        <f t="shared" si="2"/>
        <v>180</v>
      </c>
      <c r="AP11" s="257">
        <f t="shared" si="3"/>
        <v>180</v>
      </c>
      <c r="AQ11" s="257"/>
      <c r="AR11" s="257">
        <f t="shared" si="4"/>
        <v>180</v>
      </c>
      <c r="AS11" s="257"/>
      <c r="AT11" s="257"/>
      <c r="AU11" s="257"/>
    </row>
    <row r="12" s="179" customFormat="1" ht="39" customHeight="1" spans="1:53">
      <c r="A12" s="233">
        <v>46022</v>
      </c>
      <c r="B12" s="234"/>
      <c r="C12" s="235"/>
      <c r="D12" s="236" t="s">
        <v>103</v>
      </c>
      <c r="E12" s="237"/>
      <c r="F12" s="236"/>
      <c r="G12" s="238" t="s">
        <v>59</v>
      </c>
      <c r="H12" s="238" t="s">
        <v>49</v>
      </c>
      <c r="I12" s="236">
        <v>500</v>
      </c>
      <c r="J12" s="238">
        <v>0</v>
      </c>
      <c r="K12" s="238">
        <v>4</v>
      </c>
      <c r="L12" s="238">
        <f t="shared" si="0"/>
        <v>125</v>
      </c>
      <c r="M12" s="239">
        <v>46042</v>
      </c>
      <c r="N12" s="239">
        <v>46133</v>
      </c>
      <c r="O12" s="239" t="s">
        <v>50</v>
      </c>
      <c r="P12" s="239" t="s">
        <v>51</v>
      </c>
      <c r="Q12" s="239"/>
      <c r="R12" s="258" t="s">
        <v>104</v>
      </c>
      <c r="S12" s="240" t="s">
        <v>50</v>
      </c>
      <c r="T12" s="241" t="s">
        <v>105</v>
      </c>
      <c r="U12" s="240" t="s">
        <v>73</v>
      </c>
      <c r="V12" s="239"/>
      <c r="W12" s="239"/>
      <c r="X12" s="239"/>
      <c r="Y12" s="242" t="s">
        <v>106</v>
      </c>
      <c r="Z12" s="237"/>
      <c r="AA12" s="243"/>
      <c r="AB12" s="244"/>
      <c r="AC12" s="245"/>
      <c r="AD12" s="230" t="s">
        <v>55</v>
      </c>
      <c r="AE12" s="218" t="s">
        <v>56</v>
      </c>
      <c r="AF12" s="246"/>
      <c r="AG12" s="246"/>
      <c r="AH12" s="235"/>
      <c r="AI12" s="235"/>
      <c r="AJ12" s="230"/>
      <c r="AK12" s="246"/>
      <c r="AL12" s="230"/>
      <c r="AM12" s="246"/>
      <c r="AN12" s="246"/>
      <c r="AO12" s="259"/>
      <c r="AP12" s="260"/>
      <c r="AQ12" s="260"/>
      <c r="AR12" s="260"/>
      <c r="AS12" s="260"/>
      <c r="AT12" s="260"/>
      <c r="AU12" s="260"/>
    </row>
    <row r="13" s="178" customFormat="1" ht="39" customHeight="1" spans="1:53">
      <c r="A13" s="216">
        <v>46091</v>
      </c>
      <c r="B13" s="217" t="s">
        <v>107</v>
      </c>
      <c r="C13" s="218" t="s">
        <v>108</v>
      </c>
      <c r="D13" s="219">
        <v>4500195772</v>
      </c>
      <c r="E13" s="220">
        <v>4400545646</v>
      </c>
      <c r="F13" s="219" t="s">
        <v>109</v>
      </c>
      <c r="G13" s="221" t="s">
        <v>59</v>
      </c>
      <c r="H13" s="220" t="s">
        <v>49</v>
      </c>
      <c r="I13" s="219">
        <v>1800</v>
      </c>
      <c r="J13" s="221">
        <v>0</v>
      </c>
      <c r="K13" s="221">
        <v>4</v>
      </c>
      <c r="L13" s="221">
        <f t="shared" si="0"/>
        <v>450</v>
      </c>
      <c r="M13" s="222">
        <v>46127</v>
      </c>
      <c r="N13" s="222">
        <v>46133</v>
      </c>
      <c r="O13" s="222" t="s">
        <v>50</v>
      </c>
      <c r="P13" s="222" t="s">
        <v>51</v>
      </c>
      <c r="Q13" s="222" t="s">
        <v>110</v>
      </c>
      <c r="R13" s="222"/>
      <c r="S13" s="224" t="s">
        <v>73</v>
      </c>
      <c r="T13" s="225">
        <v>46095</v>
      </c>
      <c r="U13" s="224">
        <v>46100</v>
      </c>
      <c r="V13" s="222"/>
      <c r="W13" s="222"/>
      <c r="X13" s="222"/>
      <c r="Y13" s="226" t="s">
        <v>111</v>
      </c>
      <c r="Z13" s="220" t="s">
        <v>112</v>
      </c>
      <c r="AA13" s="227">
        <v>9.86</v>
      </c>
      <c r="AB13" s="228">
        <f t="shared" ref="AB13:AB26" si="5">I13*AA13</f>
        <v>17748</v>
      </c>
      <c r="AC13" s="229"/>
      <c r="AD13" s="232" t="s">
        <v>113</v>
      </c>
      <c r="AE13" s="235" t="s">
        <v>56</v>
      </c>
      <c r="AF13" s="231"/>
      <c r="AG13" s="231"/>
      <c r="AH13" s="218"/>
      <c r="AI13" s="218"/>
      <c r="AJ13" s="232"/>
      <c r="AK13" s="231"/>
      <c r="AL13" s="232"/>
      <c r="AM13" s="231"/>
      <c r="AN13" s="231"/>
      <c r="AO13" s="261">
        <f t="shared" ref="AO13:AO76" si="6">I13</f>
        <v>1800</v>
      </c>
      <c r="AP13" s="262"/>
      <c r="AQ13" s="262">
        <f>I13</f>
        <v>1800</v>
      </c>
      <c r="AR13" s="262">
        <f t="shared" ref="AR13:AR37" si="7">I13</f>
        <v>1800</v>
      </c>
      <c r="AS13" s="262"/>
      <c r="AT13" s="262"/>
      <c r="AU13" s="262"/>
    </row>
    <row r="14" s="179" customFormat="1" ht="39" customHeight="1" spans="1:53">
      <c r="A14" s="233">
        <v>46093</v>
      </c>
      <c r="B14" s="234" t="s">
        <v>114</v>
      </c>
      <c r="C14" s="235" t="s">
        <v>69</v>
      </c>
      <c r="D14" s="236">
        <v>4500196579</v>
      </c>
      <c r="E14" s="237">
        <v>4400544507</v>
      </c>
      <c r="F14" s="236" t="s">
        <v>115</v>
      </c>
      <c r="G14" s="238" t="s">
        <v>59</v>
      </c>
      <c r="H14" s="237" t="s">
        <v>49</v>
      </c>
      <c r="I14" s="236">
        <v>2500</v>
      </c>
      <c r="J14" s="238">
        <v>0</v>
      </c>
      <c r="K14" s="238">
        <v>4</v>
      </c>
      <c r="L14" s="238">
        <f t="shared" si="0"/>
        <v>625</v>
      </c>
      <c r="M14" s="239">
        <v>46125</v>
      </c>
      <c r="N14" s="239">
        <v>46134</v>
      </c>
      <c r="O14" s="239" t="s">
        <v>50</v>
      </c>
      <c r="P14" s="239" t="s">
        <v>51</v>
      </c>
      <c r="Q14" s="239" t="s">
        <v>116</v>
      </c>
      <c r="R14" s="239"/>
      <c r="S14" s="240" t="s">
        <v>73</v>
      </c>
      <c r="T14" s="241">
        <v>46094</v>
      </c>
      <c r="U14" s="240">
        <v>46093</v>
      </c>
      <c r="V14" s="239"/>
      <c r="W14" s="239"/>
      <c r="X14" s="239"/>
      <c r="Y14" s="242" t="s">
        <v>117</v>
      </c>
      <c r="Z14" s="237" t="s">
        <v>112</v>
      </c>
      <c r="AA14" s="243">
        <v>9.86</v>
      </c>
      <c r="AB14" s="244">
        <f t="shared" si="5"/>
        <v>24650</v>
      </c>
      <c r="AC14" s="245"/>
      <c r="AD14" s="232" t="s">
        <v>113</v>
      </c>
      <c r="AE14" s="235" t="s">
        <v>56</v>
      </c>
      <c r="AF14" s="246"/>
      <c r="AG14" s="246"/>
      <c r="AH14" s="235"/>
      <c r="AI14" s="235"/>
      <c r="AJ14" s="230"/>
      <c r="AK14" s="246"/>
      <c r="AL14" s="230"/>
      <c r="AM14" s="246"/>
      <c r="AN14" s="246"/>
      <c r="AO14" s="259">
        <f t="shared" si="6"/>
        <v>2500</v>
      </c>
      <c r="AP14" s="260"/>
      <c r="AQ14" s="260">
        <f>I14</f>
        <v>2500</v>
      </c>
      <c r="AR14" s="260">
        <f t="shared" si="7"/>
        <v>2500</v>
      </c>
      <c r="AS14" s="260"/>
      <c r="AT14" s="260"/>
      <c r="AU14" s="260"/>
    </row>
    <row r="15" s="178" customFormat="1" ht="39" customHeight="1" spans="1:53">
      <c r="A15" s="216">
        <v>46091</v>
      </c>
      <c r="B15" s="217" t="s">
        <v>118</v>
      </c>
      <c r="C15" s="218" t="s">
        <v>119</v>
      </c>
      <c r="D15" s="219">
        <v>4500195833</v>
      </c>
      <c r="E15" s="220">
        <v>4400544510</v>
      </c>
      <c r="F15" s="219" t="s">
        <v>120</v>
      </c>
      <c r="G15" s="221" t="s">
        <v>59</v>
      </c>
      <c r="H15" s="220" t="s">
        <v>49</v>
      </c>
      <c r="I15" s="219">
        <v>500</v>
      </c>
      <c r="J15" s="221">
        <v>0</v>
      </c>
      <c r="K15" s="221">
        <v>4</v>
      </c>
      <c r="L15" s="221">
        <f t="shared" si="0"/>
        <v>125</v>
      </c>
      <c r="M15" s="222">
        <v>46129</v>
      </c>
      <c r="N15" s="222">
        <v>46136</v>
      </c>
      <c r="O15" s="222" t="s">
        <v>50</v>
      </c>
      <c r="P15" s="222" t="s">
        <v>51</v>
      </c>
      <c r="Q15" s="222" t="s">
        <v>121</v>
      </c>
      <c r="R15" s="222"/>
      <c r="S15" s="224" t="s">
        <v>73</v>
      </c>
      <c r="T15" s="225">
        <v>46095</v>
      </c>
      <c r="U15" s="224">
        <v>46093</v>
      </c>
      <c r="V15" s="222"/>
      <c r="W15" s="222"/>
      <c r="X15" s="222"/>
      <c r="Y15" s="226" t="s">
        <v>122</v>
      </c>
      <c r="Z15" s="220" t="s">
        <v>112</v>
      </c>
      <c r="AA15" s="227">
        <v>9.86</v>
      </c>
      <c r="AB15" s="228">
        <f t="shared" si="5"/>
        <v>4930</v>
      </c>
      <c r="AC15" s="229"/>
      <c r="AD15" s="232" t="s">
        <v>113</v>
      </c>
      <c r="AE15" s="235" t="s">
        <v>56</v>
      </c>
      <c r="AF15" s="231"/>
      <c r="AG15" s="231"/>
      <c r="AH15" s="218"/>
      <c r="AI15" s="218"/>
      <c r="AJ15" s="232"/>
      <c r="AK15" s="231"/>
      <c r="AL15" s="232"/>
      <c r="AM15" s="231"/>
      <c r="AN15" s="231"/>
      <c r="AO15" s="261">
        <f t="shared" si="6"/>
        <v>500</v>
      </c>
      <c r="AP15" s="262"/>
      <c r="AQ15" s="262">
        <f>I15</f>
        <v>500</v>
      </c>
      <c r="AR15" s="262">
        <f t="shared" si="7"/>
        <v>500</v>
      </c>
      <c r="AS15" s="262"/>
      <c r="AT15" s="262"/>
      <c r="AU15" s="262"/>
    </row>
    <row r="16" s="179" customFormat="1" ht="39" customHeight="1" spans="1:53">
      <c r="A16" s="233">
        <v>46061</v>
      </c>
      <c r="B16" s="234" t="s">
        <v>123</v>
      </c>
      <c r="C16" s="235" t="s">
        <v>124</v>
      </c>
      <c r="D16" s="236">
        <v>4500193394</v>
      </c>
      <c r="E16" s="237" t="s">
        <v>125</v>
      </c>
      <c r="F16" s="236" t="s">
        <v>126</v>
      </c>
      <c r="G16" s="238" t="s">
        <v>59</v>
      </c>
      <c r="H16" s="237" t="s">
        <v>49</v>
      </c>
      <c r="I16" s="236">
        <v>120</v>
      </c>
      <c r="J16" s="238">
        <v>0</v>
      </c>
      <c r="K16" s="238">
        <v>4</v>
      </c>
      <c r="L16" s="238">
        <f t="shared" si="0"/>
        <v>30</v>
      </c>
      <c r="M16" s="239">
        <v>46134</v>
      </c>
      <c r="N16" s="239">
        <v>46136</v>
      </c>
      <c r="O16" s="239" t="s">
        <v>50</v>
      </c>
      <c r="P16" s="222" t="s">
        <v>51</v>
      </c>
      <c r="Q16" s="239"/>
      <c r="R16" s="239"/>
      <c r="S16" s="240" t="s">
        <v>73</v>
      </c>
      <c r="T16" s="241">
        <v>46067</v>
      </c>
      <c r="U16" s="240" t="s">
        <v>73</v>
      </c>
      <c r="V16" s="239"/>
      <c r="W16" s="239"/>
      <c r="X16" s="239"/>
      <c r="Y16" s="242" t="s">
        <v>127</v>
      </c>
      <c r="Z16" s="237" t="s">
        <v>128</v>
      </c>
      <c r="AA16" s="243">
        <v>9.86</v>
      </c>
      <c r="AB16" s="244">
        <f t="shared" si="5"/>
        <v>1183.2</v>
      </c>
      <c r="AC16" s="245"/>
      <c r="AD16" s="230" t="s">
        <v>55</v>
      </c>
      <c r="AE16" s="235" t="s">
        <v>56</v>
      </c>
      <c r="AF16" s="246"/>
      <c r="AG16" s="246"/>
      <c r="AH16" s="235"/>
      <c r="AI16" s="235"/>
      <c r="AJ16" s="230"/>
      <c r="AK16" s="246"/>
      <c r="AL16" s="230"/>
      <c r="AM16" s="246"/>
      <c r="AN16" s="246"/>
      <c r="AO16" s="259">
        <f t="shared" si="6"/>
        <v>120</v>
      </c>
      <c r="AP16" s="260">
        <f>I16</f>
        <v>120</v>
      </c>
      <c r="AQ16" s="260"/>
      <c r="AR16" s="260">
        <f t="shared" si="7"/>
        <v>120</v>
      </c>
      <c r="AS16" s="260"/>
      <c r="AT16" s="260"/>
      <c r="AU16" s="260"/>
    </row>
    <row r="17" s="178" customFormat="1" ht="39" customHeight="1" spans="1:53">
      <c r="A17" s="216">
        <v>46094</v>
      </c>
      <c r="B17" s="248" t="s">
        <v>129</v>
      </c>
      <c r="C17" s="248" t="s">
        <v>69</v>
      </c>
      <c r="D17" s="221">
        <v>4500196827</v>
      </c>
      <c r="E17" s="249"/>
      <c r="F17" s="249" t="s">
        <v>130</v>
      </c>
      <c r="G17" s="221" t="s">
        <v>59</v>
      </c>
      <c r="H17" s="221" t="s">
        <v>49</v>
      </c>
      <c r="I17" s="221">
        <v>500</v>
      </c>
      <c r="J17" s="221">
        <v>0</v>
      </c>
      <c r="K17" s="221">
        <v>4</v>
      </c>
      <c r="L17" s="221">
        <f t="shared" si="0"/>
        <v>125</v>
      </c>
      <c r="M17" s="222">
        <v>46133</v>
      </c>
      <c r="N17" s="222">
        <v>46139</v>
      </c>
      <c r="O17" s="222" t="s">
        <v>50</v>
      </c>
      <c r="P17" s="222" t="s">
        <v>51</v>
      </c>
      <c r="Q17" s="248" t="s">
        <v>121</v>
      </c>
      <c r="R17" s="248"/>
      <c r="S17" s="224" t="s">
        <v>73</v>
      </c>
      <c r="T17" s="225">
        <v>46106</v>
      </c>
      <c r="U17" s="225">
        <v>46106</v>
      </c>
      <c r="V17" s="222"/>
      <c r="W17" s="222"/>
      <c r="X17" s="222"/>
      <c r="Y17" s="221" t="s">
        <v>131</v>
      </c>
      <c r="Z17" s="221" t="s">
        <v>132</v>
      </c>
      <c r="AA17" s="250">
        <v>9.86</v>
      </c>
      <c r="AB17" s="252">
        <f t="shared" si="5"/>
        <v>4930</v>
      </c>
      <c r="AC17" s="251"/>
      <c r="AD17" s="230" t="s">
        <v>55</v>
      </c>
      <c r="AE17" s="235" t="s">
        <v>56</v>
      </c>
      <c r="AF17" s="252"/>
      <c r="AG17" s="252"/>
      <c r="AH17" s="248"/>
      <c r="AI17" s="221"/>
      <c r="AJ17" s="252"/>
      <c r="AK17" s="252"/>
      <c r="AL17" s="252"/>
      <c r="AM17" s="252"/>
      <c r="AN17" s="252"/>
      <c r="AO17" s="261">
        <f t="shared" si="6"/>
        <v>500</v>
      </c>
      <c r="AP17" s="262">
        <f>I17</f>
        <v>500</v>
      </c>
      <c r="AQ17" s="263"/>
      <c r="AR17" s="262">
        <f t="shared" si="7"/>
        <v>500</v>
      </c>
      <c r="AS17" s="262"/>
      <c r="AT17" s="262"/>
      <c r="AU17" s="264"/>
      <c r="AV17" s="255"/>
      <c r="AW17" s="255"/>
      <c r="AX17" s="255"/>
      <c r="AY17" s="255"/>
      <c r="AZ17" s="255"/>
      <c r="BA17" s="255"/>
    </row>
    <row r="18" s="179" customFormat="1" ht="39" customHeight="1" spans="1:53">
      <c r="A18" s="233">
        <v>46083</v>
      </c>
      <c r="B18" s="234" t="s">
        <v>133</v>
      </c>
      <c r="C18" s="235" t="s">
        <v>77</v>
      </c>
      <c r="D18" s="236">
        <v>4500194918</v>
      </c>
      <c r="E18" s="237" t="s">
        <v>134</v>
      </c>
      <c r="F18" s="236" t="s">
        <v>135</v>
      </c>
      <c r="G18" s="238" t="s">
        <v>136</v>
      </c>
      <c r="H18" s="237" t="s">
        <v>137</v>
      </c>
      <c r="I18" s="236">
        <v>84</v>
      </c>
      <c r="J18" s="238">
        <v>0</v>
      </c>
      <c r="K18" s="238">
        <v>4</v>
      </c>
      <c r="L18" s="238">
        <f t="shared" si="0"/>
        <v>21</v>
      </c>
      <c r="M18" s="239">
        <v>46140</v>
      </c>
      <c r="N18" s="239">
        <v>46140</v>
      </c>
      <c r="O18" s="239" t="s">
        <v>50</v>
      </c>
      <c r="P18" s="239" t="s">
        <v>51</v>
      </c>
      <c r="Q18" s="239" t="s">
        <v>138</v>
      </c>
      <c r="R18" s="239"/>
      <c r="S18" s="240" t="s">
        <v>61</v>
      </c>
      <c r="T18" s="241">
        <v>46084</v>
      </c>
      <c r="U18" s="240">
        <v>46123</v>
      </c>
      <c r="V18" s="239"/>
      <c r="W18" s="239"/>
      <c r="X18" s="239"/>
      <c r="Y18" s="242" t="s">
        <v>139</v>
      </c>
      <c r="Z18" s="237" t="s">
        <v>140</v>
      </c>
      <c r="AA18" s="243">
        <v>5.916</v>
      </c>
      <c r="AB18" s="244">
        <f t="shared" si="5"/>
        <v>496.944</v>
      </c>
      <c r="AC18" s="265" t="s">
        <v>141</v>
      </c>
      <c r="AD18" s="230" t="s">
        <v>142</v>
      </c>
      <c r="AE18" s="235" t="s">
        <v>56</v>
      </c>
      <c r="AF18" s="246"/>
      <c r="AG18" s="246"/>
      <c r="AH18" s="235"/>
      <c r="AI18" s="235"/>
      <c r="AJ18" s="230"/>
      <c r="AK18" s="246"/>
      <c r="AL18" s="230"/>
      <c r="AM18" s="246"/>
      <c r="AN18" s="246"/>
      <c r="AO18" s="259">
        <f t="shared" si="6"/>
        <v>84</v>
      </c>
      <c r="AP18" s="260">
        <f>I18</f>
        <v>84</v>
      </c>
      <c r="AQ18" s="260"/>
      <c r="AR18" s="260">
        <f t="shared" si="7"/>
        <v>84</v>
      </c>
      <c r="AS18" s="260"/>
      <c r="AT18" s="260"/>
      <c r="AU18" s="260"/>
    </row>
    <row r="19" s="179" customFormat="1" ht="39" customHeight="1" spans="1:53">
      <c r="A19" s="233">
        <v>46091</v>
      </c>
      <c r="B19" s="234" t="s">
        <v>143</v>
      </c>
      <c r="C19" s="235" t="s">
        <v>144</v>
      </c>
      <c r="D19" s="236">
        <v>4500195839</v>
      </c>
      <c r="E19" s="237">
        <v>4400544509</v>
      </c>
      <c r="F19" s="236" t="s">
        <v>145</v>
      </c>
      <c r="G19" s="238" t="s">
        <v>59</v>
      </c>
      <c r="H19" s="237" t="s">
        <v>49</v>
      </c>
      <c r="I19" s="236">
        <v>216</v>
      </c>
      <c r="J19" s="238">
        <v>0</v>
      </c>
      <c r="K19" s="238">
        <v>4</v>
      </c>
      <c r="L19" s="238">
        <f t="shared" si="0"/>
        <v>54</v>
      </c>
      <c r="M19" s="239">
        <v>46129</v>
      </c>
      <c r="N19" s="239">
        <v>46141</v>
      </c>
      <c r="O19" s="239" t="s">
        <v>50</v>
      </c>
      <c r="P19" s="239" t="s">
        <v>51</v>
      </c>
      <c r="Q19" s="239" t="s">
        <v>146</v>
      </c>
      <c r="R19" s="239"/>
      <c r="S19" s="240" t="s">
        <v>73</v>
      </c>
      <c r="T19" s="241">
        <v>46095</v>
      </c>
      <c r="U19" s="240">
        <v>46093</v>
      </c>
      <c r="V19" s="239"/>
      <c r="W19" s="239"/>
      <c r="X19" s="239"/>
      <c r="Y19" s="242" t="s">
        <v>147</v>
      </c>
      <c r="Z19" s="237" t="s">
        <v>112</v>
      </c>
      <c r="AA19" s="243">
        <v>9.86</v>
      </c>
      <c r="AB19" s="244">
        <f t="shared" si="5"/>
        <v>2129.76</v>
      </c>
      <c r="AC19" s="245"/>
      <c r="AD19" s="232" t="s">
        <v>113</v>
      </c>
      <c r="AE19" s="235" t="s">
        <v>56</v>
      </c>
      <c r="AF19" s="246"/>
      <c r="AG19" s="246"/>
      <c r="AH19" s="235"/>
      <c r="AI19" s="235"/>
      <c r="AJ19" s="230"/>
      <c r="AK19" s="246"/>
      <c r="AL19" s="230"/>
      <c r="AM19" s="246"/>
      <c r="AN19" s="246"/>
      <c r="AO19" s="259">
        <f t="shared" si="6"/>
        <v>216</v>
      </c>
      <c r="AP19" s="260"/>
      <c r="AQ19" s="260">
        <f>I19</f>
        <v>216</v>
      </c>
      <c r="AR19" s="260">
        <f t="shared" si="7"/>
        <v>216</v>
      </c>
      <c r="AS19" s="260"/>
      <c r="AT19" s="260"/>
      <c r="AU19" s="260"/>
    </row>
    <row r="20" s="178" customFormat="1" ht="39" customHeight="1" spans="1:53">
      <c r="A20" s="216">
        <v>46061</v>
      </c>
      <c r="B20" s="217" t="s">
        <v>123</v>
      </c>
      <c r="C20" s="218" t="s">
        <v>148</v>
      </c>
      <c r="D20" s="219">
        <v>4500193390</v>
      </c>
      <c r="E20" s="220" t="s">
        <v>149</v>
      </c>
      <c r="F20" s="219" t="s">
        <v>150</v>
      </c>
      <c r="G20" s="221" t="s">
        <v>59</v>
      </c>
      <c r="H20" s="220" t="s">
        <v>49</v>
      </c>
      <c r="I20" s="219">
        <v>120</v>
      </c>
      <c r="J20" s="221">
        <v>0</v>
      </c>
      <c r="K20" s="221">
        <v>4</v>
      </c>
      <c r="L20" s="221">
        <f t="shared" si="0"/>
        <v>30</v>
      </c>
      <c r="M20" s="222">
        <v>46134</v>
      </c>
      <c r="N20" s="222">
        <v>46141</v>
      </c>
      <c r="O20" s="222" t="s">
        <v>50</v>
      </c>
      <c r="P20" s="222" t="s">
        <v>51</v>
      </c>
      <c r="Q20" s="222" t="s">
        <v>151</v>
      </c>
      <c r="R20" s="222"/>
      <c r="S20" s="224" t="s">
        <v>73</v>
      </c>
      <c r="T20" s="225">
        <v>46067</v>
      </c>
      <c r="U20" s="224">
        <v>46105</v>
      </c>
      <c r="V20" s="222"/>
      <c r="W20" s="222"/>
      <c r="X20" s="222"/>
      <c r="Y20" s="226" t="s">
        <v>152</v>
      </c>
      <c r="Z20" s="220" t="s">
        <v>128</v>
      </c>
      <c r="AA20" s="227">
        <v>9.86</v>
      </c>
      <c r="AB20" s="228">
        <f t="shared" si="5"/>
        <v>1183.2</v>
      </c>
      <c r="AC20" s="229"/>
      <c r="AD20" s="230" t="s">
        <v>55</v>
      </c>
      <c r="AE20" s="235" t="s">
        <v>56</v>
      </c>
      <c r="AF20" s="231"/>
      <c r="AG20" s="231"/>
      <c r="AH20" s="218"/>
      <c r="AI20" s="218"/>
      <c r="AJ20" s="232"/>
      <c r="AK20" s="231"/>
      <c r="AL20" s="232"/>
      <c r="AM20" s="231"/>
      <c r="AN20" s="231"/>
      <c r="AO20" s="261">
        <f t="shared" si="6"/>
        <v>120</v>
      </c>
      <c r="AP20" s="262">
        <f>I20</f>
        <v>120</v>
      </c>
      <c r="AQ20" s="262"/>
      <c r="AR20" s="262">
        <f t="shared" si="7"/>
        <v>120</v>
      </c>
      <c r="AS20" s="262"/>
      <c r="AT20" s="262"/>
      <c r="AU20" s="262"/>
    </row>
    <row r="21" s="179" customFormat="1" ht="39" customHeight="1" spans="1:53">
      <c r="A21" s="233">
        <v>46091</v>
      </c>
      <c r="B21" s="234" t="s">
        <v>143</v>
      </c>
      <c r="C21" s="235" t="s">
        <v>144</v>
      </c>
      <c r="D21" s="236">
        <v>4500195839</v>
      </c>
      <c r="E21" s="237">
        <v>4400544508</v>
      </c>
      <c r="F21" s="236" t="s">
        <v>153</v>
      </c>
      <c r="G21" s="238" t="s">
        <v>59</v>
      </c>
      <c r="H21" s="237" t="s">
        <v>49</v>
      </c>
      <c r="I21" s="236">
        <v>444</v>
      </c>
      <c r="J21" s="238">
        <v>0</v>
      </c>
      <c r="K21" s="238">
        <v>4</v>
      </c>
      <c r="L21" s="238">
        <f t="shared" si="0"/>
        <v>111</v>
      </c>
      <c r="M21" s="239">
        <v>46129</v>
      </c>
      <c r="N21" s="239">
        <v>46142</v>
      </c>
      <c r="O21" s="239" t="s">
        <v>50</v>
      </c>
      <c r="P21" s="239" t="s">
        <v>51</v>
      </c>
      <c r="Q21" s="239" t="s">
        <v>154</v>
      </c>
      <c r="R21" s="239"/>
      <c r="S21" s="240" t="s">
        <v>73</v>
      </c>
      <c r="T21" s="241">
        <v>46095</v>
      </c>
      <c r="U21" s="240">
        <v>46093</v>
      </c>
      <c r="V21" s="239"/>
      <c r="W21" s="239"/>
      <c r="X21" s="239"/>
      <c r="Y21" s="242" t="s">
        <v>147</v>
      </c>
      <c r="Z21" s="237" t="s">
        <v>112</v>
      </c>
      <c r="AA21" s="243">
        <v>9.86</v>
      </c>
      <c r="AB21" s="244">
        <f t="shared" si="5"/>
        <v>4377.84</v>
      </c>
      <c r="AC21" s="245"/>
      <c r="AD21" s="232" t="s">
        <v>113</v>
      </c>
      <c r="AE21" s="235" t="s">
        <v>56</v>
      </c>
      <c r="AF21" s="246"/>
      <c r="AG21" s="246"/>
      <c r="AH21" s="235"/>
      <c r="AI21" s="235"/>
      <c r="AJ21" s="230"/>
      <c r="AK21" s="246"/>
      <c r="AL21" s="230"/>
      <c r="AM21" s="246"/>
      <c r="AN21" s="246"/>
      <c r="AO21" s="259">
        <f t="shared" si="6"/>
        <v>444</v>
      </c>
      <c r="AP21" s="260"/>
      <c r="AQ21" s="260">
        <f>I21</f>
        <v>444</v>
      </c>
      <c r="AR21" s="260">
        <f t="shared" si="7"/>
        <v>444</v>
      </c>
      <c r="AS21" s="260"/>
      <c r="AT21" s="260"/>
      <c r="AU21" s="260"/>
    </row>
    <row r="22" s="179" customFormat="1" ht="39" customHeight="1" spans="1:53">
      <c r="A22" s="233">
        <v>46083</v>
      </c>
      <c r="B22" s="234" t="s">
        <v>133</v>
      </c>
      <c r="C22" s="235" t="s">
        <v>77</v>
      </c>
      <c r="D22" s="236">
        <v>4500194919</v>
      </c>
      <c r="E22" s="237" t="s">
        <v>155</v>
      </c>
      <c r="F22" s="236" t="s">
        <v>156</v>
      </c>
      <c r="G22" s="238" t="s">
        <v>136</v>
      </c>
      <c r="H22" s="237" t="s">
        <v>137</v>
      </c>
      <c r="I22" s="236">
        <v>268</v>
      </c>
      <c r="J22" s="238">
        <v>0</v>
      </c>
      <c r="K22" s="238">
        <v>4</v>
      </c>
      <c r="L22" s="238">
        <f t="shared" si="0"/>
        <v>67</v>
      </c>
      <c r="M22" s="239">
        <v>46140</v>
      </c>
      <c r="N22" s="239">
        <v>46142</v>
      </c>
      <c r="O22" s="239" t="s">
        <v>50</v>
      </c>
      <c r="P22" s="239" t="s">
        <v>51</v>
      </c>
      <c r="Q22" s="239" t="s">
        <v>157</v>
      </c>
      <c r="R22" s="239"/>
      <c r="S22" s="240" t="s">
        <v>61</v>
      </c>
      <c r="T22" s="241">
        <v>46084</v>
      </c>
      <c r="U22" s="240">
        <v>46123</v>
      </c>
      <c r="V22" s="239"/>
      <c r="W22" s="239"/>
      <c r="X22" s="239"/>
      <c r="Y22" s="242" t="s">
        <v>139</v>
      </c>
      <c r="Z22" s="237" t="s">
        <v>140</v>
      </c>
      <c r="AA22" s="243">
        <v>5.916</v>
      </c>
      <c r="AB22" s="244">
        <f t="shared" si="5"/>
        <v>1585.488</v>
      </c>
      <c r="AC22" s="265" t="s">
        <v>158</v>
      </c>
      <c r="AD22" s="230" t="s">
        <v>142</v>
      </c>
      <c r="AE22" s="235" t="s">
        <v>56</v>
      </c>
      <c r="AF22" s="246"/>
      <c r="AG22" s="246"/>
      <c r="AH22" s="235"/>
      <c r="AI22" s="235"/>
      <c r="AJ22" s="230"/>
      <c r="AK22" s="246"/>
      <c r="AL22" s="230"/>
      <c r="AM22" s="246"/>
      <c r="AN22" s="246"/>
      <c r="AO22" s="259">
        <f t="shared" si="6"/>
        <v>268</v>
      </c>
      <c r="AP22" s="260">
        <f t="shared" ref="AP22:AP32" si="8">I22</f>
        <v>268</v>
      </c>
      <c r="AQ22" s="260"/>
      <c r="AR22" s="260">
        <f t="shared" si="7"/>
        <v>268</v>
      </c>
      <c r="AS22" s="260"/>
      <c r="AT22" s="260"/>
      <c r="AU22" s="260"/>
    </row>
    <row r="23" s="179" customFormat="1" ht="39" customHeight="1" spans="1:53">
      <c r="A23" s="233">
        <v>46065</v>
      </c>
      <c r="B23" s="234" t="s">
        <v>85</v>
      </c>
      <c r="C23" s="235" t="s">
        <v>77</v>
      </c>
      <c r="D23" s="236">
        <v>4500193070</v>
      </c>
      <c r="E23" s="237" t="s">
        <v>159</v>
      </c>
      <c r="F23" s="236" t="s">
        <v>160</v>
      </c>
      <c r="G23" s="238" t="s">
        <v>59</v>
      </c>
      <c r="H23" s="237" t="s">
        <v>49</v>
      </c>
      <c r="I23" s="236">
        <v>2500</v>
      </c>
      <c r="J23" s="238">
        <v>0</v>
      </c>
      <c r="K23" s="238">
        <v>4</v>
      </c>
      <c r="L23" s="238">
        <f t="shared" si="0"/>
        <v>625</v>
      </c>
      <c r="M23" s="239">
        <v>46135</v>
      </c>
      <c r="N23" s="239">
        <v>46148</v>
      </c>
      <c r="O23" s="239" t="s">
        <v>50</v>
      </c>
      <c r="P23" s="239" t="s">
        <v>51</v>
      </c>
      <c r="Q23" s="239" t="s">
        <v>161</v>
      </c>
      <c r="R23" s="239"/>
      <c r="S23" s="240" t="s">
        <v>61</v>
      </c>
      <c r="T23" s="241">
        <v>46085</v>
      </c>
      <c r="U23" s="241" t="s">
        <v>89</v>
      </c>
      <c r="V23" s="239"/>
      <c r="W23" s="239"/>
      <c r="X23" s="239"/>
      <c r="Y23" s="242" t="s">
        <v>162</v>
      </c>
      <c r="Z23" s="237" t="s">
        <v>91</v>
      </c>
      <c r="AA23" s="243">
        <v>5.82</v>
      </c>
      <c r="AB23" s="244">
        <f t="shared" si="5"/>
        <v>14550</v>
      </c>
      <c r="AC23" s="265" t="s">
        <v>163</v>
      </c>
      <c r="AD23" s="238" t="s">
        <v>59</v>
      </c>
      <c r="AE23" s="235" t="s">
        <v>56</v>
      </c>
      <c r="AF23" s="246"/>
      <c r="AG23" s="246"/>
      <c r="AH23" s="235"/>
      <c r="AI23" s="235"/>
      <c r="AJ23" s="230"/>
      <c r="AK23" s="246"/>
      <c r="AL23" s="230"/>
      <c r="AM23" s="246"/>
      <c r="AN23" s="246"/>
      <c r="AO23" s="259">
        <f t="shared" si="6"/>
        <v>2500</v>
      </c>
      <c r="AP23" s="260">
        <f t="shared" si="8"/>
        <v>2500</v>
      </c>
      <c r="AQ23" s="260"/>
      <c r="AR23" s="260">
        <f t="shared" si="7"/>
        <v>2500</v>
      </c>
      <c r="AS23" s="260"/>
      <c r="AT23" s="260"/>
      <c r="AU23" s="260"/>
    </row>
    <row r="24" s="179" customFormat="1" ht="39" customHeight="1" spans="1:53">
      <c r="A24" s="233">
        <v>46104</v>
      </c>
      <c r="B24" s="234" t="s">
        <v>164</v>
      </c>
      <c r="C24" s="235" t="s">
        <v>77</v>
      </c>
      <c r="D24" s="236">
        <v>4500198132</v>
      </c>
      <c r="E24" s="237">
        <v>219222806</v>
      </c>
      <c r="F24" s="236" t="s">
        <v>165</v>
      </c>
      <c r="G24" s="238" t="s">
        <v>166</v>
      </c>
      <c r="H24" s="238" t="s">
        <v>49</v>
      </c>
      <c r="I24" s="236">
        <v>976</v>
      </c>
      <c r="J24" s="238">
        <v>0</v>
      </c>
      <c r="K24" s="238">
        <v>2</v>
      </c>
      <c r="L24" s="238">
        <f t="shared" si="0"/>
        <v>488</v>
      </c>
      <c r="M24" s="239">
        <v>46148</v>
      </c>
      <c r="N24" s="239">
        <v>46148</v>
      </c>
      <c r="O24" s="239" t="s">
        <v>50</v>
      </c>
      <c r="P24" s="239" t="s">
        <v>51</v>
      </c>
      <c r="Q24" s="239" t="s">
        <v>167</v>
      </c>
      <c r="R24" s="239"/>
      <c r="S24" s="240" t="s">
        <v>73</v>
      </c>
      <c r="T24" s="241">
        <v>46104</v>
      </c>
      <c r="U24" s="240" t="s">
        <v>73</v>
      </c>
      <c r="V24" s="239"/>
      <c r="W24" s="239"/>
      <c r="X24" s="239"/>
      <c r="Y24" s="242" t="s">
        <v>168</v>
      </c>
      <c r="Z24" s="237" t="s">
        <v>169</v>
      </c>
      <c r="AA24" s="266">
        <v>5.82</v>
      </c>
      <c r="AB24" s="244">
        <f t="shared" si="5"/>
        <v>5680.32</v>
      </c>
      <c r="AC24" s="265" t="s">
        <v>170</v>
      </c>
      <c r="AD24" s="230" t="s">
        <v>171</v>
      </c>
      <c r="AE24" s="235" t="s">
        <v>56</v>
      </c>
      <c r="AF24" s="246"/>
      <c r="AG24" s="246"/>
      <c r="AH24" s="235"/>
      <c r="AI24" s="235"/>
      <c r="AJ24" s="230"/>
      <c r="AK24" s="246"/>
      <c r="AL24" s="230"/>
      <c r="AM24" s="246"/>
      <c r="AN24" s="246"/>
      <c r="AO24" s="259">
        <f t="shared" si="6"/>
        <v>976</v>
      </c>
      <c r="AP24" s="260">
        <f t="shared" si="8"/>
        <v>976</v>
      </c>
      <c r="AQ24" s="260"/>
      <c r="AR24" s="260">
        <f t="shared" si="7"/>
        <v>976</v>
      </c>
      <c r="AS24" s="260"/>
      <c r="AT24" s="260"/>
      <c r="AU24" s="260"/>
    </row>
    <row r="25" s="179" customFormat="1" ht="39" customHeight="1" spans="1:53">
      <c r="A25" s="233">
        <v>46104</v>
      </c>
      <c r="B25" s="234" t="s">
        <v>164</v>
      </c>
      <c r="C25" s="235" t="s">
        <v>77</v>
      </c>
      <c r="D25" s="236">
        <v>4500198132</v>
      </c>
      <c r="E25" s="237">
        <v>219222804</v>
      </c>
      <c r="F25" s="236" t="s">
        <v>172</v>
      </c>
      <c r="G25" s="238" t="s">
        <v>166</v>
      </c>
      <c r="H25" s="238" t="s">
        <v>49</v>
      </c>
      <c r="I25" s="236">
        <v>526</v>
      </c>
      <c r="J25" s="238">
        <v>0</v>
      </c>
      <c r="K25" s="238">
        <v>2</v>
      </c>
      <c r="L25" s="238">
        <f t="shared" si="0"/>
        <v>263</v>
      </c>
      <c r="M25" s="239">
        <v>46148</v>
      </c>
      <c r="N25" s="239">
        <v>46148</v>
      </c>
      <c r="O25" s="239" t="s">
        <v>50</v>
      </c>
      <c r="P25" s="239" t="s">
        <v>51</v>
      </c>
      <c r="Q25" s="239" t="s">
        <v>173</v>
      </c>
      <c r="R25" s="239"/>
      <c r="S25" s="240" t="s">
        <v>73</v>
      </c>
      <c r="T25" s="241">
        <v>46104</v>
      </c>
      <c r="U25" s="240" t="s">
        <v>73</v>
      </c>
      <c r="V25" s="239"/>
      <c r="W25" s="239"/>
      <c r="X25" s="239"/>
      <c r="Y25" s="242" t="s">
        <v>168</v>
      </c>
      <c r="Z25" s="237" t="s">
        <v>169</v>
      </c>
      <c r="AA25" s="266">
        <v>5.916</v>
      </c>
      <c r="AB25" s="244">
        <f t="shared" si="5"/>
        <v>3111.816</v>
      </c>
      <c r="AC25" s="265" t="s">
        <v>170</v>
      </c>
      <c r="AD25" s="230" t="s">
        <v>171</v>
      </c>
      <c r="AE25" s="235" t="s">
        <v>56</v>
      </c>
      <c r="AF25" s="246"/>
      <c r="AG25" s="246"/>
      <c r="AH25" s="235"/>
      <c r="AI25" s="235"/>
      <c r="AJ25" s="230"/>
      <c r="AK25" s="246"/>
      <c r="AL25" s="230"/>
      <c r="AM25" s="246"/>
      <c r="AN25" s="246"/>
      <c r="AO25" s="259">
        <f t="shared" si="6"/>
        <v>526</v>
      </c>
      <c r="AP25" s="260">
        <f t="shared" si="8"/>
        <v>526</v>
      </c>
      <c r="AQ25" s="260"/>
      <c r="AR25" s="260">
        <f t="shared" si="7"/>
        <v>526</v>
      </c>
      <c r="AS25" s="260"/>
      <c r="AT25" s="260"/>
      <c r="AU25" s="260"/>
    </row>
    <row r="26" s="180" customFormat="1" ht="39" customHeight="1" spans="1:53">
      <c r="A26" s="233">
        <v>46122</v>
      </c>
      <c r="B26" s="234" t="s">
        <v>174</v>
      </c>
      <c r="C26" s="235" t="s">
        <v>65</v>
      </c>
      <c r="D26" s="236">
        <v>4500201310</v>
      </c>
      <c r="E26" s="237" t="s">
        <v>175</v>
      </c>
      <c r="F26" s="236" t="s">
        <v>176</v>
      </c>
      <c r="G26" s="238" t="s">
        <v>59</v>
      </c>
      <c r="H26" s="237" t="s">
        <v>49</v>
      </c>
      <c r="I26" s="236">
        <v>600</v>
      </c>
      <c r="J26" s="238">
        <v>0</v>
      </c>
      <c r="K26" s="238">
        <v>4</v>
      </c>
      <c r="L26" s="238">
        <f t="shared" si="0"/>
        <v>150</v>
      </c>
      <c r="M26" s="239">
        <v>46151</v>
      </c>
      <c r="N26" s="239">
        <v>46149</v>
      </c>
      <c r="O26" s="239" t="s">
        <v>50</v>
      </c>
      <c r="P26" s="267" t="s">
        <v>51</v>
      </c>
      <c r="Q26" s="239" t="s">
        <v>177</v>
      </c>
      <c r="R26" s="239"/>
      <c r="S26" s="240" t="s">
        <v>73</v>
      </c>
      <c r="T26" s="241">
        <v>46122</v>
      </c>
      <c r="U26" s="240">
        <v>46122</v>
      </c>
      <c r="V26" s="239"/>
      <c r="W26" s="239"/>
      <c r="X26" s="239"/>
      <c r="Y26" s="242" t="s">
        <v>178</v>
      </c>
      <c r="Z26" s="237" t="s">
        <v>179</v>
      </c>
      <c r="AA26" s="243">
        <v>9.7</v>
      </c>
      <c r="AB26" s="244">
        <f t="shared" si="5"/>
        <v>5820</v>
      </c>
      <c r="AC26" s="245"/>
      <c r="AD26" s="268" t="s">
        <v>55</v>
      </c>
      <c r="AE26" s="235" t="s">
        <v>56</v>
      </c>
      <c r="AF26" s="246"/>
      <c r="AG26" s="246"/>
      <c r="AH26" s="235"/>
      <c r="AI26" s="235"/>
      <c r="AJ26" s="230"/>
      <c r="AK26" s="246"/>
      <c r="AL26" s="230"/>
      <c r="AM26" s="246"/>
      <c r="AN26" s="246"/>
      <c r="AO26" s="259">
        <f t="shared" si="6"/>
        <v>600</v>
      </c>
      <c r="AP26" s="260">
        <f t="shared" si="8"/>
        <v>600</v>
      </c>
      <c r="AQ26" s="260"/>
      <c r="AR26" s="260">
        <f t="shared" si="7"/>
        <v>600</v>
      </c>
      <c r="AS26" s="260"/>
      <c r="AT26" s="260"/>
      <c r="AU26" s="260"/>
      <c r="AV26" s="179"/>
      <c r="AW26" s="179"/>
      <c r="AX26" s="179"/>
      <c r="AY26" s="179"/>
      <c r="AZ26" s="179"/>
      <c r="BA26" s="179"/>
    </row>
    <row r="27" s="179" customFormat="1" ht="39" customHeight="1" spans="1:53">
      <c r="A27" s="233">
        <v>46022</v>
      </c>
      <c r="B27" s="258"/>
      <c r="C27" s="258"/>
      <c r="D27" s="238" t="s">
        <v>180</v>
      </c>
      <c r="E27" s="269"/>
      <c r="F27" s="269"/>
      <c r="G27" s="238" t="s">
        <v>59</v>
      </c>
      <c r="H27" s="238" t="s">
        <v>49</v>
      </c>
      <c r="I27" s="238">
        <v>200</v>
      </c>
      <c r="J27" s="238">
        <v>0</v>
      </c>
      <c r="K27" s="238">
        <v>4</v>
      </c>
      <c r="L27" s="238">
        <f t="shared" si="0"/>
        <v>50</v>
      </c>
      <c r="M27" s="239">
        <v>46042</v>
      </c>
      <c r="N27" s="239">
        <v>46150</v>
      </c>
      <c r="O27" s="239" t="s">
        <v>50</v>
      </c>
      <c r="P27" s="267" t="s">
        <v>51</v>
      </c>
      <c r="Q27" s="258"/>
      <c r="R27" s="258" t="s">
        <v>104</v>
      </c>
      <c r="S27" s="240" t="s">
        <v>50</v>
      </c>
      <c r="T27" s="241" t="s">
        <v>105</v>
      </c>
      <c r="U27" s="241" t="s">
        <v>73</v>
      </c>
      <c r="V27" s="239"/>
      <c r="W27" s="239"/>
      <c r="X27" s="239"/>
      <c r="Y27" s="238" t="s">
        <v>181</v>
      </c>
      <c r="Z27" s="238"/>
      <c r="AA27" s="270"/>
      <c r="AB27" s="270"/>
      <c r="AC27" s="271"/>
      <c r="AD27" s="268" t="s">
        <v>55</v>
      </c>
      <c r="AE27" s="235" t="s">
        <v>56</v>
      </c>
      <c r="AF27" s="270"/>
      <c r="AG27" s="270"/>
      <c r="AH27" s="258"/>
      <c r="AI27" s="238"/>
      <c r="AJ27" s="270"/>
      <c r="AK27" s="270"/>
      <c r="AL27" s="270"/>
      <c r="AM27" s="270"/>
      <c r="AN27" s="270"/>
      <c r="AO27" s="259">
        <f t="shared" si="6"/>
        <v>200</v>
      </c>
      <c r="AP27" s="260">
        <f t="shared" si="8"/>
        <v>200</v>
      </c>
      <c r="AQ27" s="260"/>
      <c r="AR27" s="260">
        <f t="shared" si="7"/>
        <v>200</v>
      </c>
      <c r="AS27" s="260"/>
      <c r="AT27" s="260"/>
      <c r="AU27" s="272"/>
      <c r="AV27" s="180"/>
      <c r="AW27" s="180"/>
      <c r="AX27" s="180"/>
      <c r="AY27" s="180"/>
      <c r="AZ27" s="180"/>
      <c r="BA27" s="180"/>
    </row>
    <row r="28" s="179" customFormat="1" ht="39" customHeight="1" spans="1:53">
      <c r="A28" s="233">
        <v>46051</v>
      </c>
      <c r="B28" s="234" t="s">
        <v>76</v>
      </c>
      <c r="C28" s="235" t="s">
        <v>77</v>
      </c>
      <c r="D28" s="236">
        <v>4500192525</v>
      </c>
      <c r="E28" s="237">
        <v>5200008815</v>
      </c>
      <c r="F28" s="236" t="s">
        <v>182</v>
      </c>
      <c r="G28" s="238" t="s">
        <v>183</v>
      </c>
      <c r="H28" s="237" t="s">
        <v>137</v>
      </c>
      <c r="I28" s="236">
        <v>1000</v>
      </c>
      <c r="J28" s="238">
        <v>0</v>
      </c>
      <c r="K28" s="238">
        <v>4</v>
      </c>
      <c r="L28" s="238">
        <f t="shared" si="0"/>
        <v>250</v>
      </c>
      <c r="M28" s="239">
        <v>46148</v>
      </c>
      <c r="N28" s="239">
        <v>46150</v>
      </c>
      <c r="O28" s="239" t="s">
        <v>50</v>
      </c>
      <c r="P28" s="267" t="s">
        <v>51</v>
      </c>
      <c r="Q28" s="239" t="s">
        <v>184</v>
      </c>
      <c r="R28" s="239"/>
      <c r="S28" s="240" t="s">
        <v>73</v>
      </c>
      <c r="T28" s="241">
        <v>46059</v>
      </c>
      <c r="U28" s="241" t="s">
        <v>73</v>
      </c>
      <c r="V28" s="239"/>
      <c r="W28" s="239"/>
      <c r="X28" s="239"/>
      <c r="Y28" s="242" t="s">
        <v>185</v>
      </c>
      <c r="Z28" s="237" t="s">
        <v>186</v>
      </c>
      <c r="AA28" s="243">
        <v>5.916</v>
      </c>
      <c r="AB28" s="244">
        <f>I28*AA28</f>
        <v>5916</v>
      </c>
      <c r="AC28" s="265" t="s">
        <v>187</v>
      </c>
      <c r="AD28" s="230" t="s">
        <v>183</v>
      </c>
      <c r="AE28" s="218" t="s">
        <v>56</v>
      </c>
      <c r="AF28" s="246"/>
      <c r="AG28" s="246"/>
      <c r="AH28" s="235"/>
      <c r="AI28" s="235"/>
      <c r="AJ28" s="230"/>
      <c r="AK28" s="246"/>
      <c r="AL28" s="230"/>
      <c r="AM28" s="246"/>
      <c r="AN28" s="246"/>
      <c r="AO28" s="259">
        <f t="shared" si="6"/>
        <v>1000</v>
      </c>
      <c r="AP28" s="260">
        <f t="shared" si="8"/>
        <v>1000</v>
      </c>
      <c r="AQ28" s="260"/>
      <c r="AR28" s="260">
        <f t="shared" si="7"/>
        <v>1000</v>
      </c>
      <c r="AS28" s="260"/>
      <c r="AT28" s="260"/>
      <c r="AU28" s="260"/>
    </row>
    <row r="29" s="179" customFormat="1" ht="39" customHeight="1" spans="1:53">
      <c r="A29" s="233">
        <v>46108</v>
      </c>
      <c r="B29" s="234" t="s">
        <v>188</v>
      </c>
      <c r="C29" s="235" t="s">
        <v>69</v>
      </c>
      <c r="D29" s="236">
        <v>4500198640</v>
      </c>
      <c r="E29" s="237" t="s">
        <v>189</v>
      </c>
      <c r="F29" s="236" t="s">
        <v>190</v>
      </c>
      <c r="G29" s="238" t="s">
        <v>136</v>
      </c>
      <c r="H29" s="237" t="s">
        <v>137</v>
      </c>
      <c r="I29" s="236">
        <v>712</v>
      </c>
      <c r="J29" s="238">
        <v>0</v>
      </c>
      <c r="K29" s="238">
        <v>4</v>
      </c>
      <c r="L29" s="238">
        <f t="shared" si="0"/>
        <v>178</v>
      </c>
      <c r="M29" s="239">
        <v>46150</v>
      </c>
      <c r="N29" s="239">
        <v>46150</v>
      </c>
      <c r="O29" s="239" t="s">
        <v>50</v>
      </c>
      <c r="P29" s="267" t="s">
        <v>51</v>
      </c>
      <c r="Q29" s="239">
        <v>46161</v>
      </c>
      <c r="R29" s="239"/>
      <c r="S29" s="240" t="s">
        <v>61</v>
      </c>
      <c r="T29" s="241">
        <v>46108</v>
      </c>
      <c r="U29" s="241">
        <v>46139</v>
      </c>
      <c r="V29" s="239"/>
      <c r="W29" s="239"/>
      <c r="X29" s="239"/>
      <c r="Y29" s="242" t="s">
        <v>191</v>
      </c>
      <c r="Z29" s="237" t="s">
        <v>192</v>
      </c>
      <c r="AA29" s="243">
        <v>9.86</v>
      </c>
      <c r="AB29" s="244">
        <f>I29*AA29</f>
        <v>7020.32</v>
      </c>
      <c r="AC29" s="245"/>
      <c r="AD29" s="230" t="s">
        <v>142</v>
      </c>
      <c r="AE29" s="235" t="s">
        <v>56</v>
      </c>
      <c r="AF29" s="246"/>
      <c r="AG29" s="246"/>
      <c r="AH29" s="235"/>
      <c r="AI29" s="235"/>
      <c r="AJ29" s="230"/>
      <c r="AK29" s="246"/>
      <c r="AL29" s="230"/>
      <c r="AM29" s="246"/>
      <c r="AN29" s="246"/>
      <c r="AO29" s="259">
        <f t="shared" si="6"/>
        <v>712</v>
      </c>
      <c r="AP29" s="260">
        <f t="shared" si="8"/>
        <v>712</v>
      </c>
      <c r="AQ29" s="260"/>
      <c r="AR29" s="260">
        <f t="shared" si="7"/>
        <v>712</v>
      </c>
      <c r="AS29" s="260"/>
      <c r="AT29" s="260"/>
      <c r="AU29" s="260"/>
    </row>
    <row r="30" s="179" customFormat="1" ht="39" customHeight="1" spans="1:53">
      <c r="A30" s="233">
        <v>46122</v>
      </c>
      <c r="B30" s="234" t="s">
        <v>174</v>
      </c>
      <c r="C30" s="235" t="s">
        <v>65</v>
      </c>
      <c r="D30" s="236">
        <v>4500201310</v>
      </c>
      <c r="E30" s="237" t="s">
        <v>193</v>
      </c>
      <c r="F30" s="236" t="s">
        <v>194</v>
      </c>
      <c r="G30" s="238" t="s">
        <v>59</v>
      </c>
      <c r="H30" s="237" t="s">
        <v>49</v>
      </c>
      <c r="I30" s="236">
        <v>520</v>
      </c>
      <c r="J30" s="238">
        <v>0</v>
      </c>
      <c r="K30" s="238">
        <v>4</v>
      </c>
      <c r="L30" s="238">
        <f t="shared" si="0"/>
        <v>130</v>
      </c>
      <c r="M30" s="239">
        <v>46151</v>
      </c>
      <c r="N30" s="239">
        <v>46150</v>
      </c>
      <c r="O30" s="239" t="s">
        <v>50</v>
      </c>
      <c r="P30" s="267" t="s">
        <v>51</v>
      </c>
      <c r="Q30" s="239" t="s">
        <v>195</v>
      </c>
      <c r="R30" s="239"/>
      <c r="S30" s="240" t="s">
        <v>73</v>
      </c>
      <c r="T30" s="241">
        <v>46122</v>
      </c>
      <c r="U30" s="241">
        <v>46122</v>
      </c>
      <c r="V30" s="239"/>
      <c r="W30" s="239"/>
      <c r="X30" s="239"/>
      <c r="Y30" s="242" t="s">
        <v>178</v>
      </c>
      <c r="Z30" s="237" t="s">
        <v>179</v>
      </c>
      <c r="AA30" s="243">
        <v>9.7</v>
      </c>
      <c r="AB30" s="244">
        <f t="shared" ref="AB28:AB37" si="9">I30*AA30</f>
        <v>5044</v>
      </c>
      <c r="AC30" s="245"/>
      <c r="AD30" s="268" t="s">
        <v>55</v>
      </c>
      <c r="AE30" s="235" t="s">
        <v>56</v>
      </c>
      <c r="AF30" s="246"/>
      <c r="AG30" s="246"/>
      <c r="AH30" s="235"/>
      <c r="AI30" s="235"/>
      <c r="AJ30" s="230"/>
      <c r="AK30" s="246"/>
      <c r="AL30" s="230"/>
      <c r="AM30" s="246"/>
      <c r="AN30" s="246"/>
      <c r="AO30" s="259">
        <f t="shared" si="6"/>
        <v>520</v>
      </c>
      <c r="AP30" s="260">
        <f t="shared" si="8"/>
        <v>520</v>
      </c>
      <c r="AQ30" s="260"/>
      <c r="AR30" s="260">
        <f t="shared" si="7"/>
        <v>520</v>
      </c>
      <c r="AS30" s="260"/>
      <c r="AT30" s="260"/>
      <c r="AU30" s="260"/>
    </row>
    <row r="31" s="179" customFormat="1" ht="39" customHeight="1" spans="1:53">
      <c r="A31" s="233">
        <v>46122</v>
      </c>
      <c r="B31" s="234" t="s">
        <v>174</v>
      </c>
      <c r="C31" s="235" t="s">
        <v>65</v>
      </c>
      <c r="D31" s="236" t="s">
        <v>196</v>
      </c>
      <c r="E31" s="237" t="s">
        <v>197</v>
      </c>
      <c r="F31" s="236" t="s">
        <v>198</v>
      </c>
      <c r="G31" s="238" t="s">
        <v>59</v>
      </c>
      <c r="H31" s="237" t="s">
        <v>49</v>
      </c>
      <c r="I31" s="236">
        <v>488</v>
      </c>
      <c r="J31" s="238">
        <v>0</v>
      </c>
      <c r="K31" s="238">
        <v>4</v>
      </c>
      <c r="L31" s="238">
        <f t="shared" si="0"/>
        <v>122</v>
      </c>
      <c r="M31" s="239">
        <v>46151</v>
      </c>
      <c r="N31" s="239">
        <v>46150</v>
      </c>
      <c r="O31" s="239" t="s">
        <v>50</v>
      </c>
      <c r="P31" s="267" t="s">
        <v>51</v>
      </c>
      <c r="Q31" s="239" t="s">
        <v>195</v>
      </c>
      <c r="R31" s="239"/>
      <c r="S31" s="240" t="s">
        <v>73</v>
      </c>
      <c r="T31" s="241">
        <v>46122</v>
      </c>
      <c r="U31" s="240">
        <v>46122</v>
      </c>
      <c r="V31" s="239"/>
      <c r="W31" s="239"/>
      <c r="X31" s="239"/>
      <c r="Y31" s="242" t="s">
        <v>178</v>
      </c>
      <c r="Z31" s="237" t="s">
        <v>179</v>
      </c>
      <c r="AA31" s="243">
        <v>10.75</v>
      </c>
      <c r="AB31" s="244">
        <f t="shared" si="9"/>
        <v>5246</v>
      </c>
      <c r="AC31" s="245"/>
      <c r="AD31" s="268" t="s">
        <v>55</v>
      </c>
      <c r="AE31" s="235" t="s">
        <v>56</v>
      </c>
      <c r="AF31" s="246"/>
      <c r="AG31" s="246"/>
      <c r="AH31" s="235"/>
      <c r="AI31" s="235"/>
      <c r="AJ31" s="230"/>
      <c r="AK31" s="246"/>
      <c r="AL31" s="230"/>
      <c r="AM31" s="246"/>
      <c r="AN31" s="246"/>
      <c r="AO31" s="259">
        <f t="shared" si="6"/>
        <v>488</v>
      </c>
      <c r="AP31" s="260">
        <f t="shared" si="8"/>
        <v>488</v>
      </c>
      <c r="AQ31" s="260"/>
      <c r="AR31" s="260">
        <f t="shared" si="7"/>
        <v>488</v>
      </c>
      <c r="AS31" s="260"/>
      <c r="AT31" s="260"/>
      <c r="AU31" s="260"/>
    </row>
    <row r="32" s="179" customFormat="1" ht="39" customHeight="1" spans="1:53">
      <c r="A32" s="233">
        <v>46122</v>
      </c>
      <c r="B32" s="234" t="s">
        <v>174</v>
      </c>
      <c r="C32" s="235" t="s">
        <v>65</v>
      </c>
      <c r="D32" s="236" t="s">
        <v>196</v>
      </c>
      <c r="E32" s="237" t="s">
        <v>199</v>
      </c>
      <c r="F32" s="236" t="s">
        <v>200</v>
      </c>
      <c r="G32" s="238" t="s">
        <v>59</v>
      </c>
      <c r="H32" s="237" t="s">
        <v>49</v>
      </c>
      <c r="I32" s="236">
        <v>192</v>
      </c>
      <c r="J32" s="238">
        <v>0</v>
      </c>
      <c r="K32" s="238">
        <v>4</v>
      </c>
      <c r="L32" s="238">
        <f t="shared" si="0"/>
        <v>48</v>
      </c>
      <c r="M32" s="239">
        <v>46151</v>
      </c>
      <c r="N32" s="239">
        <v>46150</v>
      </c>
      <c r="O32" s="239" t="s">
        <v>50</v>
      </c>
      <c r="P32" s="267" t="s">
        <v>51</v>
      </c>
      <c r="Q32" s="239" t="s">
        <v>195</v>
      </c>
      <c r="R32" s="239"/>
      <c r="S32" s="240" t="s">
        <v>73</v>
      </c>
      <c r="T32" s="241">
        <v>46122</v>
      </c>
      <c r="U32" s="240">
        <v>46122</v>
      </c>
      <c r="V32" s="239"/>
      <c r="W32" s="239"/>
      <c r="X32" s="239"/>
      <c r="Y32" s="242" t="s">
        <v>178</v>
      </c>
      <c r="Z32" s="237" t="s">
        <v>179</v>
      </c>
      <c r="AA32" s="243">
        <v>10.75</v>
      </c>
      <c r="AB32" s="244">
        <f t="shared" si="9"/>
        <v>2064</v>
      </c>
      <c r="AC32" s="245"/>
      <c r="AD32" s="268" t="s">
        <v>55</v>
      </c>
      <c r="AE32" s="235" t="s">
        <v>56</v>
      </c>
      <c r="AF32" s="246"/>
      <c r="AG32" s="246"/>
      <c r="AH32" s="235"/>
      <c r="AI32" s="235"/>
      <c r="AJ32" s="230"/>
      <c r="AK32" s="246"/>
      <c r="AL32" s="230"/>
      <c r="AM32" s="246"/>
      <c r="AN32" s="246"/>
      <c r="AO32" s="259">
        <f t="shared" si="6"/>
        <v>192</v>
      </c>
      <c r="AP32" s="260">
        <f t="shared" si="8"/>
        <v>192</v>
      </c>
      <c r="AQ32" s="260"/>
      <c r="AR32" s="260">
        <f t="shared" si="7"/>
        <v>192</v>
      </c>
      <c r="AS32" s="260"/>
      <c r="AT32" s="260"/>
      <c r="AU32" s="260"/>
    </row>
    <row r="33" s="179" customFormat="1" ht="39" customHeight="1" spans="1:53">
      <c r="A33" s="233">
        <v>46112</v>
      </c>
      <c r="B33" s="234" t="s">
        <v>201</v>
      </c>
      <c r="C33" s="235" t="s">
        <v>202</v>
      </c>
      <c r="D33" s="236" t="s">
        <v>203</v>
      </c>
      <c r="E33" s="237" t="s">
        <v>204</v>
      </c>
      <c r="F33" s="236" t="s">
        <v>205</v>
      </c>
      <c r="G33" s="238" t="s">
        <v>59</v>
      </c>
      <c r="H33" s="237" t="s">
        <v>49</v>
      </c>
      <c r="I33" s="236">
        <v>320</v>
      </c>
      <c r="J33" s="238">
        <v>0</v>
      </c>
      <c r="K33" s="238">
        <v>4</v>
      </c>
      <c r="L33" s="238">
        <f t="shared" si="0"/>
        <v>80</v>
      </c>
      <c r="M33" s="239">
        <v>46154</v>
      </c>
      <c r="N33" s="239">
        <v>46154</v>
      </c>
      <c r="O33" s="239" t="s">
        <v>50</v>
      </c>
      <c r="P33" s="267" t="s">
        <v>51</v>
      </c>
      <c r="Q33" s="239" t="s">
        <v>206</v>
      </c>
      <c r="R33" s="239"/>
      <c r="S33" s="240" t="s">
        <v>73</v>
      </c>
      <c r="T33" s="241">
        <v>46119</v>
      </c>
      <c r="U33" s="240">
        <v>46122</v>
      </c>
      <c r="V33" s="239"/>
      <c r="W33" s="239"/>
      <c r="X33" s="239"/>
      <c r="Y33" s="242" t="s">
        <v>207</v>
      </c>
      <c r="Z33" s="237" t="s">
        <v>208</v>
      </c>
      <c r="AA33" s="243">
        <v>9.86</v>
      </c>
      <c r="AB33" s="244">
        <f t="shared" si="9"/>
        <v>3155.2</v>
      </c>
      <c r="AC33" s="245"/>
      <c r="AD33" s="232" t="s">
        <v>113</v>
      </c>
      <c r="AE33" s="235" t="s">
        <v>56</v>
      </c>
      <c r="AF33" s="246"/>
      <c r="AG33" s="246"/>
      <c r="AH33" s="235"/>
      <c r="AI33" s="235"/>
      <c r="AJ33" s="230"/>
      <c r="AK33" s="246"/>
      <c r="AL33" s="230"/>
      <c r="AM33" s="246"/>
      <c r="AN33" s="246"/>
      <c r="AO33" s="259">
        <f t="shared" si="6"/>
        <v>320</v>
      </c>
      <c r="AP33" s="260"/>
      <c r="AQ33" s="260">
        <f>I33</f>
        <v>320</v>
      </c>
      <c r="AR33" s="260">
        <f t="shared" si="7"/>
        <v>320</v>
      </c>
      <c r="AS33" s="260"/>
      <c r="AT33" s="260"/>
      <c r="AU33" s="260"/>
    </row>
    <row r="34" s="179" customFormat="1" ht="39" customHeight="1" spans="1:53">
      <c r="A34" s="233">
        <v>46090</v>
      </c>
      <c r="B34" s="234" t="s">
        <v>209</v>
      </c>
      <c r="C34" s="235" t="s">
        <v>210</v>
      </c>
      <c r="D34" s="236">
        <v>4500195784</v>
      </c>
      <c r="E34" s="237"/>
      <c r="F34" s="236" t="s">
        <v>211</v>
      </c>
      <c r="G34" s="238" t="s">
        <v>59</v>
      </c>
      <c r="H34" s="237" t="s">
        <v>49</v>
      </c>
      <c r="I34" s="236">
        <v>100</v>
      </c>
      <c r="J34" s="238">
        <v>0</v>
      </c>
      <c r="K34" s="238">
        <v>4</v>
      </c>
      <c r="L34" s="238">
        <f t="shared" si="0"/>
        <v>25</v>
      </c>
      <c r="M34" s="239">
        <v>46154</v>
      </c>
      <c r="N34" s="239">
        <v>46156</v>
      </c>
      <c r="O34" s="239" t="s">
        <v>50</v>
      </c>
      <c r="P34" s="267" t="s">
        <v>51</v>
      </c>
      <c r="Q34" s="239"/>
      <c r="R34" s="239"/>
      <c r="S34" s="240" t="s">
        <v>61</v>
      </c>
      <c r="T34" s="241">
        <v>46098</v>
      </c>
      <c r="U34" s="240">
        <v>46113</v>
      </c>
      <c r="V34" s="239"/>
      <c r="W34" s="239"/>
      <c r="X34" s="239"/>
      <c r="Y34" s="242" t="s">
        <v>212</v>
      </c>
      <c r="Z34" s="237" t="s">
        <v>213</v>
      </c>
      <c r="AA34" s="243">
        <v>9.7</v>
      </c>
      <c r="AB34" s="244">
        <f t="shared" si="9"/>
        <v>970</v>
      </c>
      <c r="AC34" s="245"/>
      <c r="AD34" s="268" t="s">
        <v>55</v>
      </c>
      <c r="AE34" s="235" t="s">
        <v>56</v>
      </c>
      <c r="AF34" s="246"/>
      <c r="AG34" s="246"/>
      <c r="AH34" s="235"/>
      <c r="AI34" s="235"/>
      <c r="AJ34" s="230"/>
      <c r="AK34" s="246"/>
      <c r="AL34" s="230"/>
      <c r="AM34" s="246"/>
      <c r="AN34" s="246"/>
      <c r="AO34" s="259">
        <f t="shared" si="6"/>
        <v>100</v>
      </c>
      <c r="AP34" s="260">
        <f>I34</f>
        <v>100</v>
      </c>
      <c r="AQ34" s="260"/>
      <c r="AR34" s="260">
        <f t="shared" si="7"/>
        <v>100</v>
      </c>
      <c r="AS34" s="260"/>
      <c r="AT34" s="260"/>
      <c r="AU34" s="260"/>
    </row>
    <row r="35" s="179" customFormat="1" ht="39" customHeight="1" spans="1:53">
      <c r="A35" s="233">
        <v>46113</v>
      </c>
      <c r="B35" s="234" t="s">
        <v>214</v>
      </c>
      <c r="C35" s="235" t="s">
        <v>215</v>
      </c>
      <c r="D35" s="236">
        <v>4500199667</v>
      </c>
      <c r="E35" s="237" t="s">
        <v>216</v>
      </c>
      <c r="F35" s="236" t="s">
        <v>217</v>
      </c>
      <c r="G35" s="238" t="s">
        <v>59</v>
      </c>
      <c r="H35" s="237" t="s">
        <v>49</v>
      </c>
      <c r="I35" s="236">
        <v>208</v>
      </c>
      <c r="J35" s="238">
        <v>0</v>
      </c>
      <c r="K35" s="238">
        <v>4</v>
      </c>
      <c r="L35" s="238">
        <f t="shared" si="0"/>
        <v>52</v>
      </c>
      <c r="M35" s="239">
        <v>46154</v>
      </c>
      <c r="N35" s="239">
        <v>46156</v>
      </c>
      <c r="O35" s="239" t="s">
        <v>61</v>
      </c>
      <c r="P35" s="239" t="s">
        <v>218</v>
      </c>
      <c r="Q35" s="239" t="s">
        <v>219</v>
      </c>
      <c r="R35" s="239"/>
      <c r="S35" s="240" t="s">
        <v>73</v>
      </c>
      <c r="T35" s="241">
        <v>46120</v>
      </c>
      <c r="U35" s="240">
        <v>46128</v>
      </c>
      <c r="V35" s="239"/>
      <c r="W35" s="239"/>
      <c r="X35" s="239"/>
      <c r="Y35" s="242" t="s">
        <v>220</v>
      </c>
      <c r="Z35" s="237" t="s">
        <v>221</v>
      </c>
      <c r="AA35" s="243">
        <v>9.7</v>
      </c>
      <c r="AB35" s="244">
        <f t="shared" si="9"/>
        <v>2017.6</v>
      </c>
      <c r="AC35" s="245"/>
      <c r="AD35" s="268" t="s">
        <v>55</v>
      </c>
      <c r="AE35" s="235" t="s">
        <v>56</v>
      </c>
      <c r="AF35" s="246"/>
      <c r="AG35" s="246"/>
      <c r="AH35" s="235"/>
      <c r="AI35" s="235"/>
      <c r="AJ35" s="230"/>
      <c r="AK35" s="246"/>
      <c r="AL35" s="230"/>
      <c r="AM35" s="246"/>
      <c r="AN35" s="246"/>
      <c r="AO35" s="259">
        <f t="shared" si="6"/>
        <v>208</v>
      </c>
      <c r="AP35" s="260">
        <f>I35</f>
        <v>208</v>
      </c>
      <c r="AQ35" s="260"/>
      <c r="AR35" s="260">
        <f t="shared" si="7"/>
        <v>208</v>
      </c>
      <c r="AS35" s="260"/>
      <c r="AT35" s="260"/>
      <c r="AU35" s="260"/>
    </row>
    <row r="36" s="179" customFormat="1" ht="39" customHeight="1" spans="1:53">
      <c r="A36" s="233">
        <v>46115</v>
      </c>
      <c r="B36" s="234" t="s">
        <v>222</v>
      </c>
      <c r="C36" s="235" t="s">
        <v>223</v>
      </c>
      <c r="D36" s="236">
        <v>4500200070</v>
      </c>
      <c r="E36" s="237">
        <v>22362602</v>
      </c>
      <c r="F36" s="236" t="s">
        <v>224</v>
      </c>
      <c r="G36" s="238" t="s">
        <v>59</v>
      </c>
      <c r="H36" s="238" t="s">
        <v>49</v>
      </c>
      <c r="I36" s="236">
        <v>1200</v>
      </c>
      <c r="J36" s="238">
        <v>0</v>
      </c>
      <c r="K36" s="238">
        <v>4</v>
      </c>
      <c r="L36" s="238">
        <f t="shared" si="0"/>
        <v>300</v>
      </c>
      <c r="M36" s="239">
        <v>46160</v>
      </c>
      <c r="N36" s="239">
        <v>46157</v>
      </c>
      <c r="O36" s="239" t="s">
        <v>50</v>
      </c>
      <c r="P36" s="267" t="s">
        <v>51</v>
      </c>
      <c r="Q36" s="239">
        <v>46184</v>
      </c>
      <c r="R36" s="239"/>
      <c r="S36" s="240" t="s">
        <v>73</v>
      </c>
      <c r="T36" s="241">
        <v>46126</v>
      </c>
      <c r="U36" s="240">
        <v>46136</v>
      </c>
      <c r="V36" s="239"/>
      <c r="W36" s="238">
        <v>202602</v>
      </c>
      <c r="X36" s="238"/>
      <c r="Y36" s="242" t="s">
        <v>225</v>
      </c>
      <c r="Z36" s="237" t="s">
        <v>226</v>
      </c>
      <c r="AA36" s="266">
        <v>9.86</v>
      </c>
      <c r="AB36" s="244">
        <f t="shared" si="9"/>
        <v>11832</v>
      </c>
      <c r="AC36" s="245"/>
      <c r="AD36" s="232" t="s">
        <v>113</v>
      </c>
      <c r="AE36" s="235" t="s">
        <v>56</v>
      </c>
      <c r="AF36" s="246"/>
      <c r="AG36" s="246"/>
      <c r="AH36" s="235"/>
      <c r="AI36" s="235"/>
      <c r="AJ36" s="230"/>
      <c r="AK36" s="246"/>
      <c r="AL36" s="230"/>
      <c r="AM36" s="246"/>
      <c r="AN36" s="246"/>
      <c r="AO36" s="259">
        <f t="shared" si="6"/>
        <v>1200</v>
      </c>
      <c r="AP36" s="260"/>
      <c r="AQ36" s="260">
        <f>I36</f>
        <v>1200</v>
      </c>
      <c r="AR36" s="260">
        <f t="shared" si="7"/>
        <v>1200</v>
      </c>
      <c r="AS36" s="260"/>
      <c r="AT36" s="260"/>
      <c r="AU36" s="260"/>
    </row>
    <row r="37" s="179" customFormat="1" ht="39" customHeight="1" spans="1:53">
      <c r="A37" s="233">
        <v>46114</v>
      </c>
      <c r="B37" s="234" t="s">
        <v>227</v>
      </c>
      <c r="C37" s="235" t="s">
        <v>228</v>
      </c>
      <c r="D37" s="236" t="s">
        <v>229</v>
      </c>
      <c r="E37" s="237" t="s">
        <v>230</v>
      </c>
      <c r="F37" s="236" t="s">
        <v>231</v>
      </c>
      <c r="G37" s="238" t="s">
        <v>59</v>
      </c>
      <c r="H37" s="238" t="s">
        <v>49</v>
      </c>
      <c r="I37" s="236">
        <v>240</v>
      </c>
      <c r="J37" s="238">
        <v>0</v>
      </c>
      <c r="K37" s="238">
        <v>4</v>
      </c>
      <c r="L37" s="238">
        <f t="shared" si="0"/>
        <v>60</v>
      </c>
      <c r="M37" s="239">
        <v>46162</v>
      </c>
      <c r="N37" s="239">
        <v>46157</v>
      </c>
      <c r="O37" s="239" t="s">
        <v>50</v>
      </c>
      <c r="P37" s="267" t="s">
        <v>51</v>
      </c>
      <c r="Q37" s="239"/>
      <c r="R37" s="239"/>
      <c r="S37" s="240" t="s">
        <v>73</v>
      </c>
      <c r="T37" s="241">
        <v>46127</v>
      </c>
      <c r="U37" s="240">
        <v>46137</v>
      </c>
      <c r="V37" s="239"/>
      <c r="W37" s="239"/>
      <c r="X37" s="239"/>
      <c r="Y37" s="242" t="s">
        <v>232</v>
      </c>
      <c r="Z37" s="237" t="s">
        <v>233</v>
      </c>
      <c r="AA37" s="266">
        <v>9.86</v>
      </c>
      <c r="AB37" s="244">
        <f t="shared" si="9"/>
        <v>2366.4</v>
      </c>
      <c r="AC37" s="245"/>
      <c r="AD37" s="232" t="s">
        <v>113</v>
      </c>
      <c r="AE37" s="235" t="s">
        <v>56</v>
      </c>
      <c r="AF37" s="246"/>
      <c r="AG37" s="246"/>
      <c r="AH37" s="235"/>
      <c r="AI37" s="235"/>
      <c r="AJ37" s="230"/>
      <c r="AK37" s="246"/>
      <c r="AL37" s="230"/>
      <c r="AM37" s="246"/>
      <c r="AN37" s="246"/>
      <c r="AO37" s="259">
        <f t="shared" si="6"/>
        <v>240</v>
      </c>
      <c r="AP37" s="260"/>
      <c r="AQ37" s="260">
        <f>I37</f>
        <v>240</v>
      </c>
      <c r="AR37" s="260">
        <f t="shared" si="7"/>
        <v>240</v>
      </c>
      <c r="AS37" s="260"/>
      <c r="AT37" s="260"/>
      <c r="AU37" s="260"/>
    </row>
    <row r="38" s="179" customFormat="1" ht="39" customHeight="1" spans="1:53">
      <c r="A38" s="233">
        <v>46129</v>
      </c>
      <c r="B38" s="234"/>
      <c r="C38" s="235"/>
      <c r="D38" s="236" t="s">
        <v>234</v>
      </c>
      <c r="E38" s="237"/>
      <c r="F38" s="236" t="s">
        <v>235</v>
      </c>
      <c r="G38" s="238" t="s">
        <v>59</v>
      </c>
      <c r="H38" s="238" t="s">
        <v>49</v>
      </c>
      <c r="I38" s="236">
        <v>200</v>
      </c>
      <c r="J38" s="238">
        <v>0</v>
      </c>
      <c r="K38" s="238">
        <v>4</v>
      </c>
      <c r="L38" s="238">
        <f t="shared" si="0"/>
        <v>50</v>
      </c>
      <c r="M38" s="239">
        <v>46162</v>
      </c>
      <c r="N38" s="239">
        <v>46157</v>
      </c>
      <c r="O38" s="239" t="s">
        <v>50</v>
      </c>
      <c r="P38" s="267" t="s">
        <v>51</v>
      </c>
      <c r="Q38" s="239"/>
      <c r="R38" s="239"/>
      <c r="S38" s="240" t="s">
        <v>73</v>
      </c>
      <c r="T38" s="241">
        <v>46129</v>
      </c>
      <c r="U38" s="240" t="s">
        <v>73</v>
      </c>
      <c r="V38" s="239"/>
      <c r="W38" s="239"/>
      <c r="X38" s="239"/>
      <c r="Y38" s="242" t="s">
        <v>236</v>
      </c>
      <c r="Z38" s="237" t="s">
        <v>237</v>
      </c>
      <c r="AA38" s="243"/>
      <c r="AB38" s="244"/>
      <c r="AC38" s="245"/>
      <c r="AD38" s="230" t="s">
        <v>55</v>
      </c>
      <c r="AE38" s="218" t="s">
        <v>56</v>
      </c>
      <c r="AF38" s="246"/>
      <c r="AG38" s="246"/>
      <c r="AH38" s="235"/>
      <c r="AI38" s="235"/>
      <c r="AJ38" s="230"/>
      <c r="AK38" s="246"/>
      <c r="AL38" s="230"/>
      <c r="AM38" s="246"/>
      <c r="AN38" s="246"/>
      <c r="AO38" s="259">
        <f t="shared" si="6"/>
        <v>200</v>
      </c>
      <c r="AP38" s="260">
        <f t="shared" ref="AP38:AP48" si="10">I38</f>
        <v>200</v>
      </c>
      <c r="AQ38" s="260"/>
      <c r="AR38" s="260"/>
      <c r="AS38" s="260"/>
      <c r="AT38" s="260"/>
      <c r="AU38" s="260"/>
    </row>
    <row r="39" s="179" customFormat="1" ht="39" customHeight="1" spans="1:53">
      <c r="A39" s="233">
        <v>46121</v>
      </c>
      <c r="B39" s="234" t="s">
        <v>238</v>
      </c>
      <c r="C39" s="235" t="s">
        <v>77</v>
      </c>
      <c r="D39" s="236" t="s">
        <v>239</v>
      </c>
      <c r="E39" s="237" t="s">
        <v>240</v>
      </c>
      <c r="F39" s="236" t="s">
        <v>241</v>
      </c>
      <c r="G39" s="238" t="s">
        <v>242</v>
      </c>
      <c r="H39" s="238" t="s">
        <v>49</v>
      </c>
      <c r="I39" s="236">
        <v>976</v>
      </c>
      <c r="J39" s="238">
        <v>0</v>
      </c>
      <c r="K39" s="238">
        <v>1</v>
      </c>
      <c r="L39" s="238">
        <f t="shared" si="0"/>
        <v>976</v>
      </c>
      <c r="M39" s="239">
        <v>46163</v>
      </c>
      <c r="N39" s="239">
        <v>46162</v>
      </c>
      <c r="O39" s="239" t="s">
        <v>243</v>
      </c>
      <c r="P39" s="267" t="s">
        <v>51</v>
      </c>
      <c r="Q39" s="239"/>
      <c r="R39" s="239"/>
      <c r="S39" s="240" t="s">
        <v>61</v>
      </c>
      <c r="T39" s="241">
        <v>46121</v>
      </c>
      <c r="U39" s="240" t="s">
        <v>244</v>
      </c>
      <c r="V39" s="239"/>
      <c r="W39" s="239"/>
      <c r="X39" s="239"/>
      <c r="Y39" s="242" t="s">
        <v>245</v>
      </c>
      <c r="Z39" s="237" t="s">
        <v>81</v>
      </c>
      <c r="AA39" s="266">
        <v>5.916</v>
      </c>
      <c r="AB39" s="244">
        <f t="shared" ref="AB39:AB84" si="11">I39*AA39</f>
        <v>5774.016</v>
      </c>
      <c r="AC39" s="265" t="s">
        <v>246</v>
      </c>
      <c r="AD39" s="230" t="s">
        <v>247</v>
      </c>
      <c r="AE39" s="235" t="s">
        <v>56</v>
      </c>
      <c r="AF39" s="246"/>
      <c r="AG39" s="246"/>
      <c r="AH39" s="235"/>
      <c r="AI39" s="235"/>
      <c r="AJ39" s="230"/>
      <c r="AK39" s="246"/>
      <c r="AL39" s="230"/>
      <c r="AM39" s="246"/>
      <c r="AN39" s="246"/>
      <c r="AO39" s="259">
        <f t="shared" si="6"/>
        <v>976</v>
      </c>
      <c r="AP39" s="260">
        <f t="shared" si="10"/>
        <v>976</v>
      </c>
      <c r="AQ39" s="260"/>
      <c r="AR39" s="260">
        <f t="shared" ref="AR39:AR56" si="12">I39</f>
        <v>976</v>
      </c>
      <c r="AS39" s="260"/>
      <c r="AT39" s="260"/>
      <c r="AU39" s="260"/>
    </row>
    <row r="40" s="179" customFormat="1" ht="39" customHeight="1" spans="1:53">
      <c r="A40" s="233">
        <v>46121</v>
      </c>
      <c r="B40" s="234" t="s">
        <v>238</v>
      </c>
      <c r="C40" s="235" t="s">
        <v>77</v>
      </c>
      <c r="D40" s="236">
        <v>4500200590</v>
      </c>
      <c r="E40" s="237" t="s">
        <v>248</v>
      </c>
      <c r="F40" s="236" t="s">
        <v>249</v>
      </c>
      <c r="G40" s="238" t="s">
        <v>242</v>
      </c>
      <c r="H40" s="238" t="s">
        <v>49</v>
      </c>
      <c r="I40" s="236">
        <v>1102</v>
      </c>
      <c r="J40" s="238">
        <v>0</v>
      </c>
      <c r="K40" s="238">
        <v>1</v>
      </c>
      <c r="L40" s="238">
        <f t="shared" si="0"/>
        <v>1102</v>
      </c>
      <c r="M40" s="239">
        <v>46163</v>
      </c>
      <c r="N40" s="239">
        <v>46162</v>
      </c>
      <c r="O40" s="239">
        <v>46181</v>
      </c>
      <c r="P40" s="267" t="s">
        <v>51</v>
      </c>
      <c r="Q40" s="239"/>
      <c r="R40" s="239"/>
      <c r="S40" s="240" t="s">
        <v>61</v>
      </c>
      <c r="T40" s="241">
        <v>46121</v>
      </c>
      <c r="U40" s="240" t="s">
        <v>244</v>
      </c>
      <c r="V40" s="239"/>
      <c r="W40" s="239"/>
      <c r="X40" s="239"/>
      <c r="Y40" s="242" t="s">
        <v>245</v>
      </c>
      <c r="Z40" s="237" t="s">
        <v>81</v>
      </c>
      <c r="AA40" s="266">
        <v>5.82</v>
      </c>
      <c r="AB40" s="244">
        <f t="shared" si="11"/>
        <v>6413.64</v>
      </c>
      <c r="AC40" s="265" t="s">
        <v>250</v>
      </c>
      <c r="AD40" s="230" t="s">
        <v>247</v>
      </c>
      <c r="AE40" s="235" t="s">
        <v>56</v>
      </c>
      <c r="AF40" s="246"/>
      <c r="AG40" s="246"/>
      <c r="AH40" s="235"/>
      <c r="AI40" s="235"/>
      <c r="AJ40" s="230"/>
      <c r="AK40" s="246"/>
      <c r="AL40" s="230"/>
      <c r="AM40" s="246"/>
      <c r="AN40" s="246"/>
      <c r="AO40" s="259">
        <f t="shared" si="6"/>
        <v>1102</v>
      </c>
      <c r="AP40" s="260">
        <f t="shared" si="10"/>
        <v>1102</v>
      </c>
      <c r="AQ40" s="260"/>
      <c r="AR40" s="260">
        <f t="shared" si="12"/>
        <v>1102</v>
      </c>
      <c r="AS40" s="260"/>
      <c r="AT40" s="260"/>
      <c r="AU40" s="260"/>
    </row>
    <row r="41" s="179" customFormat="1" ht="39" customHeight="1" spans="1:53">
      <c r="A41" s="233">
        <v>46104</v>
      </c>
      <c r="B41" s="234" t="s">
        <v>251</v>
      </c>
      <c r="C41" s="235" t="s">
        <v>77</v>
      </c>
      <c r="D41" s="236">
        <v>4500198024</v>
      </c>
      <c r="E41" s="237">
        <v>36245</v>
      </c>
      <c r="F41" s="236" t="s">
        <v>252</v>
      </c>
      <c r="G41" s="238" t="s">
        <v>59</v>
      </c>
      <c r="H41" s="238" t="s">
        <v>49</v>
      </c>
      <c r="I41" s="236">
        <v>180</v>
      </c>
      <c r="J41" s="238">
        <v>0</v>
      </c>
      <c r="K41" s="238">
        <v>4</v>
      </c>
      <c r="L41" s="238">
        <f t="shared" si="0"/>
        <v>45</v>
      </c>
      <c r="M41" s="239">
        <v>46164</v>
      </c>
      <c r="N41" s="239">
        <v>46162</v>
      </c>
      <c r="O41" s="239" t="s">
        <v>50</v>
      </c>
      <c r="P41" s="267" t="s">
        <v>51</v>
      </c>
      <c r="Q41" s="239">
        <v>46167</v>
      </c>
      <c r="R41" s="239"/>
      <c r="S41" s="240" t="s">
        <v>73</v>
      </c>
      <c r="T41" s="241">
        <v>46133</v>
      </c>
      <c r="U41" s="240" t="s">
        <v>73</v>
      </c>
      <c r="V41" s="239"/>
      <c r="W41" s="239"/>
      <c r="X41" s="239"/>
      <c r="Y41" s="242" t="s">
        <v>253</v>
      </c>
      <c r="Z41" s="237" t="s">
        <v>254</v>
      </c>
      <c r="AA41" s="266">
        <v>5.916</v>
      </c>
      <c r="AB41" s="244">
        <f t="shared" si="11"/>
        <v>1064.88</v>
      </c>
      <c r="AC41" s="265" t="s">
        <v>255</v>
      </c>
      <c r="AD41" s="230" t="s">
        <v>55</v>
      </c>
      <c r="AE41" s="235" t="s">
        <v>56</v>
      </c>
      <c r="AF41" s="246"/>
      <c r="AG41" s="246"/>
      <c r="AH41" s="235"/>
      <c r="AI41" s="235"/>
      <c r="AJ41" s="230"/>
      <c r="AK41" s="246"/>
      <c r="AL41" s="230"/>
      <c r="AM41" s="246"/>
      <c r="AN41" s="246"/>
      <c r="AO41" s="259">
        <f t="shared" si="6"/>
        <v>180</v>
      </c>
      <c r="AP41" s="260">
        <f t="shared" si="10"/>
        <v>180</v>
      </c>
      <c r="AQ41" s="260"/>
      <c r="AR41" s="260">
        <f t="shared" si="12"/>
        <v>180</v>
      </c>
      <c r="AS41" s="260"/>
      <c r="AT41" s="260"/>
      <c r="AU41" s="260"/>
    </row>
    <row r="42" s="179" customFormat="1" ht="39" customHeight="1" spans="1:53">
      <c r="A42" s="233">
        <v>46097</v>
      </c>
      <c r="B42" s="234" t="s">
        <v>256</v>
      </c>
      <c r="C42" s="235" t="s">
        <v>77</v>
      </c>
      <c r="D42" s="236">
        <v>4500197095</v>
      </c>
      <c r="E42" s="237" t="s">
        <v>257</v>
      </c>
      <c r="F42" s="236" t="s">
        <v>258</v>
      </c>
      <c r="G42" s="238" t="s">
        <v>59</v>
      </c>
      <c r="H42" s="238" t="s">
        <v>49</v>
      </c>
      <c r="I42" s="236">
        <v>276</v>
      </c>
      <c r="J42" s="238">
        <v>0</v>
      </c>
      <c r="K42" s="238">
        <v>4</v>
      </c>
      <c r="L42" s="238">
        <f t="shared" si="0"/>
        <v>69</v>
      </c>
      <c r="M42" s="239">
        <v>46164</v>
      </c>
      <c r="N42" s="239">
        <v>46164</v>
      </c>
      <c r="O42" s="239" t="s">
        <v>259</v>
      </c>
      <c r="P42" s="267" t="s">
        <v>51</v>
      </c>
      <c r="Q42" s="239">
        <v>46185</v>
      </c>
      <c r="R42" s="239"/>
      <c r="S42" s="240" t="s">
        <v>73</v>
      </c>
      <c r="T42" s="241">
        <v>46125</v>
      </c>
      <c r="U42" s="240" t="s">
        <v>73</v>
      </c>
      <c r="V42" s="239"/>
      <c r="W42" s="239" t="s">
        <v>260</v>
      </c>
      <c r="X42" s="239"/>
      <c r="Y42" s="242" t="s">
        <v>261</v>
      </c>
      <c r="Z42" s="237" t="s">
        <v>262</v>
      </c>
      <c r="AA42" s="266">
        <v>5.916</v>
      </c>
      <c r="AB42" s="244">
        <f t="shared" si="11"/>
        <v>1632.816</v>
      </c>
      <c r="AC42" s="265" t="s">
        <v>263</v>
      </c>
      <c r="AD42" s="230" t="s">
        <v>55</v>
      </c>
      <c r="AE42" s="235" t="s">
        <v>56</v>
      </c>
      <c r="AF42" s="246"/>
      <c r="AG42" s="246"/>
      <c r="AH42" s="235"/>
      <c r="AI42" s="235"/>
      <c r="AJ42" s="230"/>
      <c r="AK42" s="246"/>
      <c r="AL42" s="230"/>
      <c r="AM42" s="246"/>
      <c r="AN42" s="246"/>
      <c r="AO42" s="259">
        <f t="shared" si="6"/>
        <v>276</v>
      </c>
      <c r="AP42" s="260">
        <f t="shared" si="10"/>
        <v>276</v>
      </c>
      <c r="AQ42" s="260"/>
      <c r="AR42" s="260">
        <f t="shared" si="12"/>
        <v>276</v>
      </c>
      <c r="AS42" s="260"/>
      <c r="AT42" s="260"/>
      <c r="AU42" s="260"/>
    </row>
    <row r="43" s="179" customFormat="1" ht="39" customHeight="1" spans="1:53">
      <c r="A43" s="233">
        <v>46114</v>
      </c>
      <c r="B43" s="234" t="s">
        <v>264</v>
      </c>
      <c r="C43" s="235" t="s">
        <v>77</v>
      </c>
      <c r="D43" s="236">
        <v>4500199572</v>
      </c>
      <c r="E43" s="237" t="s">
        <v>265</v>
      </c>
      <c r="F43" s="236" t="s">
        <v>266</v>
      </c>
      <c r="G43" s="238" t="s">
        <v>59</v>
      </c>
      <c r="H43" s="238" t="s">
        <v>49</v>
      </c>
      <c r="I43" s="236">
        <v>520</v>
      </c>
      <c r="J43" s="238">
        <v>0</v>
      </c>
      <c r="K43" s="238">
        <v>4</v>
      </c>
      <c r="L43" s="238">
        <f t="shared" si="0"/>
        <v>130</v>
      </c>
      <c r="M43" s="239">
        <v>46164</v>
      </c>
      <c r="N43" s="239">
        <v>46168</v>
      </c>
      <c r="O43" s="239" t="s">
        <v>50</v>
      </c>
      <c r="P43" s="267" t="s">
        <v>51</v>
      </c>
      <c r="Q43" s="239" t="s">
        <v>267</v>
      </c>
      <c r="R43" s="239"/>
      <c r="S43" s="240" t="s">
        <v>73</v>
      </c>
      <c r="T43" s="241">
        <v>46132</v>
      </c>
      <c r="U43" s="240" t="s">
        <v>73</v>
      </c>
      <c r="V43" s="239"/>
      <c r="W43" s="239"/>
      <c r="X43" s="239"/>
      <c r="Y43" s="242" t="s">
        <v>268</v>
      </c>
      <c r="Z43" s="237" t="s">
        <v>269</v>
      </c>
      <c r="AA43" s="266">
        <v>5.916</v>
      </c>
      <c r="AB43" s="244">
        <f t="shared" si="11"/>
        <v>3076.32</v>
      </c>
      <c r="AC43" s="265" t="s">
        <v>270</v>
      </c>
      <c r="AD43" s="230" t="s">
        <v>55</v>
      </c>
      <c r="AE43" s="235" t="s">
        <v>56</v>
      </c>
      <c r="AF43" s="246"/>
      <c r="AG43" s="246"/>
      <c r="AH43" s="235"/>
      <c r="AI43" s="235"/>
      <c r="AJ43" s="230"/>
      <c r="AK43" s="246"/>
      <c r="AL43" s="230"/>
      <c r="AM43" s="246"/>
      <c r="AN43" s="246"/>
      <c r="AO43" s="259">
        <f t="shared" si="6"/>
        <v>520</v>
      </c>
      <c r="AP43" s="260">
        <f t="shared" si="10"/>
        <v>520</v>
      </c>
      <c r="AQ43" s="260"/>
      <c r="AR43" s="260">
        <f t="shared" si="12"/>
        <v>520</v>
      </c>
      <c r="AS43" s="260"/>
      <c r="AT43" s="260"/>
      <c r="AU43" s="260"/>
    </row>
    <row r="44" s="179" customFormat="1" ht="39" customHeight="1" spans="1:53">
      <c r="A44" s="233">
        <v>46120</v>
      </c>
      <c r="B44" s="234" t="s">
        <v>271</v>
      </c>
      <c r="C44" s="235" t="s">
        <v>65</v>
      </c>
      <c r="D44" s="236">
        <v>4500200399</v>
      </c>
      <c r="E44" s="237" t="s">
        <v>272</v>
      </c>
      <c r="F44" s="236" t="s">
        <v>273</v>
      </c>
      <c r="G44" s="238" t="s">
        <v>59</v>
      </c>
      <c r="H44" s="238" t="s">
        <v>49</v>
      </c>
      <c r="I44" s="236">
        <v>1120</v>
      </c>
      <c r="J44" s="238">
        <v>0</v>
      </c>
      <c r="K44" s="238">
        <v>4</v>
      </c>
      <c r="L44" s="238">
        <f t="shared" si="0"/>
        <v>280</v>
      </c>
      <c r="M44" s="239">
        <v>46167</v>
      </c>
      <c r="N44" s="239">
        <v>46168</v>
      </c>
      <c r="O44" s="239" t="s">
        <v>50</v>
      </c>
      <c r="P44" s="267" t="s">
        <v>51</v>
      </c>
      <c r="Q44" s="239"/>
      <c r="R44" s="239"/>
      <c r="S44" s="240" t="s">
        <v>73</v>
      </c>
      <c r="T44" s="241">
        <v>46141</v>
      </c>
      <c r="U44" s="240">
        <v>46141</v>
      </c>
      <c r="V44" s="239"/>
      <c r="W44" s="239"/>
      <c r="X44" s="239"/>
      <c r="Y44" s="242" t="s">
        <v>274</v>
      </c>
      <c r="Z44" s="237" t="s">
        <v>63</v>
      </c>
      <c r="AA44" s="266">
        <v>9.86</v>
      </c>
      <c r="AB44" s="244">
        <f t="shared" si="11"/>
        <v>11043.2</v>
      </c>
      <c r="AC44" s="245"/>
      <c r="AD44" s="230" t="s">
        <v>55</v>
      </c>
      <c r="AE44" s="235" t="s">
        <v>56</v>
      </c>
      <c r="AF44" s="246"/>
      <c r="AG44" s="246"/>
      <c r="AH44" s="235"/>
      <c r="AI44" s="235"/>
      <c r="AJ44" s="230"/>
      <c r="AK44" s="246"/>
      <c r="AL44" s="230"/>
      <c r="AM44" s="246"/>
      <c r="AN44" s="246"/>
      <c r="AO44" s="259">
        <f t="shared" si="6"/>
        <v>1120</v>
      </c>
      <c r="AP44" s="260">
        <f t="shared" si="10"/>
        <v>1120</v>
      </c>
      <c r="AQ44" s="260"/>
      <c r="AR44" s="260">
        <f t="shared" si="12"/>
        <v>1120</v>
      </c>
      <c r="AS44" s="260"/>
      <c r="AT44" s="260"/>
      <c r="AU44" s="260"/>
    </row>
    <row r="45" s="178" customFormat="1" ht="39" customHeight="1" spans="1:53">
      <c r="A45" s="216">
        <v>46122</v>
      </c>
      <c r="B45" s="217" t="s">
        <v>85</v>
      </c>
      <c r="C45" s="218" t="s">
        <v>77</v>
      </c>
      <c r="D45" s="219">
        <v>4500201099</v>
      </c>
      <c r="E45" s="220" t="s">
        <v>275</v>
      </c>
      <c r="F45" s="219" t="s">
        <v>276</v>
      </c>
      <c r="G45" s="221" t="s">
        <v>59</v>
      </c>
      <c r="H45" s="221" t="s">
        <v>49</v>
      </c>
      <c r="I45" s="219">
        <v>1100</v>
      </c>
      <c r="J45" s="221">
        <v>0</v>
      </c>
      <c r="K45" s="221">
        <v>4</v>
      </c>
      <c r="L45" s="221">
        <f t="shared" si="0"/>
        <v>275</v>
      </c>
      <c r="M45" s="222">
        <v>46169</v>
      </c>
      <c r="N45" s="222">
        <v>46169</v>
      </c>
      <c r="O45" s="222" t="s">
        <v>50</v>
      </c>
      <c r="P45" s="267" t="s">
        <v>51</v>
      </c>
      <c r="Q45" s="222">
        <v>46178</v>
      </c>
      <c r="R45" s="222"/>
      <c r="S45" s="224" t="s">
        <v>61</v>
      </c>
      <c r="T45" s="225">
        <v>46136</v>
      </c>
      <c r="U45" s="224">
        <v>46148</v>
      </c>
      <c r="V45" s="222"/>
      <c r="W45" s="222"/>
      <c r="X45" s="222"/>
      <c r="Y45" s="226" t="s">
        <v>277</v>
      </c>
      <c r="Z45" s="220" t="s">
        <v>91</v>
      </c>
      <c r="AA45" s="273">
        <v>5.82</v>
      </c>
      <c r="AB45" s="228">
        <f t="shared" si="11"/>
        <v>6402</v>
      </c>
      <c r="AC45" s="247" t="s">
        <v>278</v>
      </c>
      <c r="AD45" s="232" t="s">
        <v>55</v>
      </c>
      <c r="AE45" s="218" t="s">
        <v>56</v>
      </c>
      <c r="AF45" s="231"/>
      <c r="AG45" s="231"/>
      <c r="AH45" s="218"/>
      <c r="AI45" s="218"/>
      <c r="AJ45" s="232"/>
      <c r="AK45" s="231"/>
      <c r="AL45" s="232"/>
      <c r="AM45" s="231"/>
      <c r="AN45" s="231"/>
      <c r="AO45" s="261">
        <f t="shared" si="6"/>
        <v>1100</v>
      </c>
      <c r="AP45" s="262">
        <f t="shared" si="10"/>
        <v>1100</v>
      </c>
      <c r="AQ45" s="262"/>
      <c r="AR45" s="262">
        <f t="shared" si="12"/>
        <v>1100</v>
      </c>
      <c r="AS45" s="262"/>
      <c r="AT45" s="262"/>
      <c r="AU45" s="262"/>
    </row>
    <row r="46" s="179" customFormat="1" ht="39" customHeight="1" spans="1:53">
      <c r="A46" s="233">
        <v>46125</v>
      </c>
      <c r="B46" s="234" t="s">
        <v>188</v>
      </c>
      <c r="C46" s="235" t="s">
        <v>69</v>
      </c>
      <c r="D46" s="236">
        <v>4500201277</v>
      </c>
      <c r="E46" s="237" t="s">
        <v>279</v>
      </c>
      <c r="F46" s="236" t="s">
        <v>280</v>
      </c>
      <c r="G46" s="238" t="s">
        <v>136</v>
      </c>
      <c r="H46" s="237" t="s">
        <v>137</v>
      </c>
      <c r="I46" s="236">
        <v>1008</v>
      </c>
      <c r="J46" s="238">
        <v>0</v>
      </c>
      <c r="K46" s="238">
        <v>4</v>
      </c>
      <c r="L46" s="238">
        <f t="shared" si="0"/>
        <v>252</v>
      </c>
      <c r="M46" s="239">
        <v>46169</v>
      </c>
      <c r="N46" s="239">
        <v>46169</v>
      </c>
      <c r="O46" s="239" t="s">
        <v>50</v>
      </c>
      <c r="P46" s="267" t="s">
        <v>51</v>
      </c>
      <c r="Q46" s="239">
        <v>46188</v>
      </c>
      <c r="R46" s="239"/>
      <c r="S46" s="240" t="s">
        <v>61</v>
      </c>
      <c r="T46" s="241">
        <v>46125</v>
      </c>
      <c r="U46" s="241">
        <v>46139</v>
      </c>
      <c r="V46" s="239"/>
      <c r="W46" s="239"/>
      <c r="X46" s="239"/>
      <c r="Y46" s="242" t="s">
        <v>281</v>
      </c>
      <c r="Z46" s="237" t="s">
        <v>192</v>
      </c>
      <c r="AA46" s="243">
        <v>9.86</v>
      </c>
      <c r="AB46" s="244">
        <f t="shared" si="11"/>
        <v>9938.88</v>
      </c>
      <c r="AC46" s="245"/>
      <c r="AD46" s="230" t="s">
        <v>142</v>
      </c>
      <c r="AE46" s="235" t="s">
        <v>56</v>
      </c>
      <c r="AF46" s="246"/>
      <c r="AG46" s="246"/>
      <c r="AH46" s="235"/>
      <c r="AI46" s="235"/>
      <c r="AJ46" s="230"/>
      <c r="AK46" s="246"/>
      <c r="AL46" s="230"/>
      <c r="AM46" s="246"/>
      <c r="AN46" s="246"/>
      <c r="AO46" s="259">
        <f t="shared" si="6"/>
        <v>1008</v>
      </c>
      <c r="AP46" s="260">
        <f t="shared" si="10"/>
        <v>1008</v>
      </c>
      <c r="AQ46" s="260"/>
      <c r="AR46" s="260">
        <f t="shared" si="12"/>
        <v>1008</v>
      </c>
      <c r="AS46" s="260"/>
      <c r="AT46" s="260"/>
      <c r="AU46" s="260"/>
    </row>
    <row r="47" s="179" customFormat="1" ht="39" customHeight="1" spans="1:53">
      <c r="A47" s="233">
        <v>46129</v>
      </c>
      <c r="B47" s="258" t="s">
        <v>238</v>
      </c>
      <c r="C47" s="258" t="s">
        <v>77</v>
      </c>
      <c r="D47" s="238" t="s">
        <v>282</v>
      </c>
      <c r="E47" s="269" t="s">
        <v>283</v>
      </c>
      <c r="F47" s="269" t="s">
        <v>284</v>
      </c>
      <c r="G47" s="238" t="s">
        <v>242</v>
      </c>
      <c r="H47" s="238" t="s">
        <v>49</v>
      </c>
      <c r="I47" s="238">
        <v>936</v>
      </c>
      <c r="J47" s="238">
        <v>0</v>
      </c>
      <c r="K47" s="238">
        <v>1</v>
      </c>
      <c r="L47" s="238">
        <f t="shared" si="0"/>
        <v>936</v>
      </c>
      <c r="M47" s="239">
        <v>46170</v>
      </c>
      <c r="N47" s="239">
        <v>46169</v>
      </c>
      <c r="O47" s="239">
        <v>46181</v>
      </c>
      <c r="P47" s="267" t="s">
        <v>51</v>
      </c>
      <c r="Q47" s="239">
        <v>46185</v>
      </c>
      <c r="R47" s="258"/>
      <c r="S47" s="240" t="s">
        <v>61</v>
      </c>
      <c r="T47" s="241">
        <v>46129</v>
      </c>
      <c r="U47" s="241">
        <v>46134</v>
      </c>
      <c r="V47" s="239"/>
      <c r="W47" s="239"/>
      <c r="X47" s="239"/>
      <c r="Y47" s="238" t="s">
        <v>285</v>
      </c>
      <c r="Z47" s="238" t="s">
        <v>81</v>
      </c>
      <c r="AA47" s="274">
        <v>5.916</v>
      </c>
      <c r="AB47" s="270">
        <f t="shared" si="11"/>
        <v>5537.376</v>
      </c>
      <c r="AC47" s="275" t="s">
        <v>286</v>
      </c>
      <c r="AD47" s="230" t="s">
        <v>247</v>
      </c>
      <c r="AE47" s="235" t="s">
        <v>56</v>
      </c>
      <c r="AF47" s="270"/>
      <c r="AG47" s="270"/>
      <c r="AH47" s="258"/>
      <c r="AI47" s="238"/>
      <c r="AJ47" s="270"/>
      <c r="AK47" s="270"/>
      <c r="AL47" s="270"/>
      <c r="AM47" s="270"/>
      <c r="AN47" s="270"/>
      <c r="AO47" s="259">
        <f t="shared" si="6"/>
        <v>936</v>
      </c>
      <c r="AP47" s="260">
        <f t="shared" si="10"/>
        <v>936</v>
      </c>
      <c r="AQ47" s="260"/>
      <c r="AR47" s="260">
        <f t="shared" si="12"/>
        <v>936</v>
      </c>
      <c r="AS47" s="260"/>
      <c r="AT47" s="260"/>
      <c r="AU47" s="272"/>
      <c r="AV47" s="180"/>
      <c r="AW47" s="180"/>
      <c r="AX47" s="180"/>
      <c r="AY47" s="180"/>
      <c r="AZ47" s="180"/>
      <c r="BA47" s="180"/>
    </row>
    <row r="48" s="178" customFormat="1" ht="39" customHeight="1" spans="1:53">
      <c r="A48" s="216">
        <v>46128</v>
      </c>
      <c r="B48" s="248" t="s">
        <v>287</v>
      </c>
      <c r="C48" s="248" t="s">
        <v>288</v>
      </c>
      <c r="D48" s="221">
        <v>4500202500</v>
      </c>
      <c r="E48" s="249" t="s">
        <v>289</v>
      </c>
      <c r="F48" s="249" t="s">
        <v>290</v>
      </c>
      <c r="G48" s="221" t="s">
        <v>59</v>
      </c>
      <c r="H48" s="221" t="s">
        <v>49</v>
      </c>
      <c r="I48" s="221">
        <v>800</v>
      </c>
      <c r="J48" s="221">
        <v>0</v>
      </c>
      <c r="K48" s="221">
        <v>4</v>
      </c>
      <c r="L48" s="221">
        <f t="shared" si="0"/>
        <v>200</v>
      </c>
      <c r="M48" s="222">
        <v>46174</v>
      </c>
      <c r="N48" s="222">
        <v>46169</v>
      </c>
      <c r="O48" s="222" t="s">
        <v>50</v>
      </c>
      <c r="P48" s="267" t="s">
        <v>51</v>
      </c>
      <c r="Q48" s="248" t="s">
        <v>291</v>
      </c>
      <c r="R48" s="248"/>
      <c r="S48" s="224" t="s">
        <v>73</v>
      </c>
      <c r="T48" s="225">
        <v>46141</v>
      </c>
      <c r="U48" s="224" t="s">
        <v>292</v>
      </c>
      <c r="V48" s="222"/>
      <c r="W48" s="222"/>
      <c r="X48" s="222"/>
      <c r="Y48" s="221" t="s">
        <v>293</v>
      </c>
      <c r="Z48" s="221" t="s">
        <v>75</v>
      </c>
      <c r="AA48" s="250">
        <v>9.86</v>
      </c>
      <c r="AB48" s="252">
        <f t="shared" si="11"/>
        <v>7888</v>
      </c>
      <c r="AC48" s="251"/>
      <c r="AD48" s="276" t="s">
        <v>113</v>
      </c>
      <c r="AE48" s="221" t="s">
        <v>56</v>
      </c>
      <c r="AF48" s="252"/>
      <c r="AG48" s="252"/>
      <c r="AH48" s="248"/>
      <c r="AI48" s="221"/>
      <c r="AJ48" s="252"/>
      <c r="AK48" s="252"/>
      <c r="AL48" s="252"/>
      <c r="AM48" s="252"/>
      <c r="AN48" s="252"/>
      <c r="AO48" s="261">
        <f t="shared" si="6"/>
        <v>800</v>
      </c>
      <c r="AP48" s="262"/>
      <c r="AQ48" s="262">
        <f>I48</f>
        <v>800</v>
      </c>
      <c r="AR48" s="262">
        <f t="shared" si="12"/>
        <v>800</v>
      </c>
      <c r="AS48" s="262"/>
      <c r="AT48" s="262"/>
      <c r="AU48" s="264"/>
      <c r="AV48" s="255"/>
      <c r="AW48" s="255"/>
      <c r="AX48" s="255"/>
      <c r="AY48" s="255"/>
      <c r="AZ48" s="255"/>
      <c r="BA48" s="255"/>
    </row>
    <row r="49" s="178" customFormat="1" ht="39" customHeight="1" spans="1:53">
      <c r="A49" s="216">
        <v>46129</v>
      </c>
      <c r="B49" s="248" t="s">
        <v>85</v>
      </c>
      <c r="C49" s="277" t="s">
        <v>77</v>
      </c>
      <c r="D49" s="221" t="s">
        <v>294</v>
      </c>
      <c r="E49" s="249" t="s">
        <v>295</v>
      </c>
      <c r="F49" s="249" t="s">
        <v>296</v>
      </c>
      <c r="G49" s="221" t="s">
        <v>59</v>
      </c>
      <c r="H49" s="221" t="s">
        <v>49</v>
      </c>
      <c r="I49" s="221">
        <v>1000</v>
      </c>
      <c r="J49" s="221">
        <v>0</v>
      </c>
      <c r="K49" s="221">
        <v>4</v>
      </c>
      <c r="L49" s="221">
        <f t="shared" si="0"/>
        <v>250</v>
      </c>
      <c r="M49" s="222">
        <v>46176</v>
      </c>
      <c r="N49" s="222">
        <v>46171</v>
      </c>
      <c r="O49" s="222" t="s">
        <v>50</v>
      </c>
      <c r="P49" s="267" t="s">
        <v>51</v>
      </c>
      <c r="Q49" s="248"/>
      <c r="R49" s="248"/>
      <c r="S49" s="224" t="s">
        <v>61</v>
      </c>
      <c r="T49" s="225">
        <v>46141</v>
      </c>
      <c r="U49" s="224">
        <v>46154</v>
      </c>
      <c r="V49" s="222"/>
      <c r="W49" s="222"/>
      <c r="X49" s="222"/>
      <c r="Y49" s="221" t="s">
        <v>277</v>
      </c>
      <c r="Z49" s="221" t="s">
        <v>91</v>
      </c>
      <c r="AA49" s="250">
        <v>5.82</v>
      </c>
      <c r="AB49" s="252">
        <f t="shared" si="11"/>
        <v>5820</v>
      </c>
      <c r="AC49" s="278" t="s">
        <v>297</v>
      </c>
      <c r="AD49" s="232" t="s">
        <v>55</v>
      </c>
      <c r="AE49" s="218" t="s">
        <v>56</v>
      </c>
      <c r="AF49" s="252"/>
      <c r="AG49" s="252"/>
      <c r="AH49" s="248"/>
      <c r="AI49" s="221"/>
      <c r="AJ49" s="252"/>
      <c r="AK49" s="252"/>
      <c r="AL49" s="252"/>
      <c r="AM49" s="252"/>
      <c r="AN49" s="252"/>
      <c r="AO49" s="261">
        <f t="shared" si="6"/>
        <v>1000</v>
      </c>
      <c r="AP49" s="262">
        <f>I49</f>
        <v>1000</v>
      </c>
      <c r="AQ49" s="262"/>
      <c r="AR49" s="262">
        <f t="shared" si="12"/>
        <v>1000</v>
      </c>
      <c r="AS49" s="262"/>
      <c r="AT49" s="262"/>
      <c r="AU49" s="264"/>
      <c r="AV49" s="255"/>
      <c r="AW49" s="255"/>
      <c r="AX49" s="255"/>
      <c r="AY49" s="255"/>
      <c r="AZ49" s="255"/>
      <c r="BA49" s="255"/>
    </row>
    <row r="50" s="178" customFormat="1" ht="39" customHeight="1" spans="1:53">
      <c r="A50" s="216">
        <v>46120</v>
      </c>
      <c r="B50" s="217" t="s">
        <v>298</v>
      </c>
      <c r="C50" s="218" t="s">
        <v>299</v>
      </c>
      <c r="D50" s="219">
        <v>4500200447</v>
      </c>
      <c r="E50" s="220" t="s">
        <v>300</v>
      </c>
      <c r="F50" s="219" t="s">
        <v>301</v>
      </c>
      <c r="G50" s="221" t="s">
        <v>59</v>
      </c>
      <c r="H50" s="221" t="s">
        <v>49</v>
      </c>
      <c r="I50" s="219">
        <v>2000</v>
      </c>
      <c r="J50" s="221">
        <v>0</v>
      </c>
      <c r="K50" s="221">
        <v>4</v>
      </c>
      <c r="L50" s="221">
        <f t="shared" si="0"/>
        <v>500</v>
      </c>
      <c r="M50" s="222">
        <v>46177</v>
      </c>
      <c r="N50" s="222">
        <v>46174</v>
      </c>
      <c r="O50" s="222" t="s">
        <v>50</v>
      </c>
      <c r="P50" s="267" t="s">
        <v>51</v>
      </c>
      <c r="Q50" s="222" t="s">
        <v>302</v>
      </c>
      <c r="R50" s="222"/>
      <c r="S50" s="224" t="s">
        <v>73</v>
      </c>
      <c r="T50" s="225">
        <v>46133</v>
      </c>
      <c r="U50" s="224" t="s">
        <v>73</v>
      </c>
      <c r="V50" s="222" t="s">
        <v>303</v>
      </c>
      <c r="W50" s="222"/>
      <c r="X50" s="222"/>
      <c r="Y50" s="226" t="s">
        <v>304</v>
      </c>
      <c r="Z50" s="220" t="s">
        <v>305</v>
      </c>
      <c r="AA50" s="273">
        <v>9.86</v>
      </c>
      <c r="AB50" s="228">
        <f t="shared" si="11"/>
        <v>19720</v>
      </c>
      <c r="AC50" s="229"/>
      <c r="AD50" s="232" t="s">
        <v>113</v>
      </c>
      <c r="AE50" s="218" t="s">
        <v>56</v>
      </c>
      <c r="AF50" s="231"/>
      <c r="AG50" s="231"/>
      <c r="AH50" s="218"/>
      <c r="AI50" s="218"/>
      <c r="AJ50" s="232"/>
      <c r="AK50" s="231"/>
      <c r="AL50" s="232"/>
      <c r="AM50" s="231"/>
      <c r="AN50" s="231"/>
      <c r="AO50" s="261">
        <f t="shared" si="6"/>
        <v>2000</v>
      </c>
      <c r="AP50" s="262"/>
      <c r="AQ50" s="262">
        <f>I50</f>
        <v>2000</v>
      </c>
      <c r="AR50" s="262">
        <f t="shared" si="12"/>
        <v>2000</v>
      </c>
      <c r="AS50" s="262"/>
      <c r="AT50" s="262"/>
      <c r="AU50" s="262"/>
    </row>
    <row r="51" s="178" customFormat="1" ht="39" customHeight="1" spans="1:53">
      <c r="A51" s="216">
        <v>46140</v>
      </c>
      <c r="B51" s="248" t="s">
        <v>306</v>
      </c>
      <c r="C51" s="248" t="s">
        <v>148</v>
      </c>
      <c r="D51" s="221">
        <v>4500204383</v>
      </c>
      <c r="E51" s="249" t="s">
        <v>307</v>
      </c>
      <c r="F51" s="249" t="s">
        <v>308</v>
      </c>
      <c r="G51" s="221" t="s">
        <v>59</v>
      </c>
      <c r="H51" s="221" t="s">
        <v>49</v>
      </c>
      <c r="I51" s="221">
        <v>120</v>
      </c>
      <c r="J51" s="221">
        <v>0</v>
      </c>
      <c r="K51" s="221">
        <v>4</v>
      </c>
      <c r="L51" s="221">
        <f t="shared" si="0"/>
        <v>30</v>
      </c>
      <c r="M51" s="222">
        <v>46178</v>
      </c>
      <c r="N51" s="222">
        <v>46174</v>
      </c>
      <c r="O51" s="222" t="s">
        <v>50</v>
      </c>
      <c r="P51" s="267" t="s">
        <v>51</v>
      </c>
      <c r="Q51" s="248"/>
      <c r="R51" s="248"/>
      <c r="S51" s="224" t="s">
        <v>73</v>
      </c>
      <c r="T51" s="225">
        <v>46140</v>
      </c>
      <c r="U51" s="224">
        <v>46155</v>
      </c>
      <c r="V51" s="222"/>
      <c r="W51" s="222"/>
      <c r="X51" s="222"/>
      <c r="Y51" s="221" t="s">
        <v>309</v>
      </c>
      <c r="Z51" s="221" t="s">
        <v>128</v>
      </c>
      <c r="AA51" s="250">
        <v>9.7</v>
      </c>
      <c r="AB51" s="252">
        <f t="shared" si="11"/>
        <v>1164</v>
      </c>
      <c r="AC51" s="251"/>
      <c r="AD51" s="232" t="s">
        <v>55</v>
      </c>
      <c r="AE51" s="218" t="s">
        <v>56</v>
      </c>
      <c r="AF51" s="252"/>
      <c r="AG51" s="252"/>
      <c r="AH51" s="248"/>
      <c r="AI51" s="221"/>
      <c r="AJ51" s="252"/>
      <c r="AK51" s="252"/>
      <c r="AL51" s="252"/>
      <c r="AM51" s="252"/>
      <c r="AN51" s="252"/>
      <c r="AO51" s="261">
        <f t="shared" si="6"/>
        <v>120</v>
      </c>
      <c r="AP51" s="262">
        <f t="shared" ref="AP51:AP66" si="13">I51</f>
        <v>120</v>
      </c>
      <c r="AQ51" s="262"/>
      <c r="AR51" s="262">
        <f t="shared" si="12"/>
        <v>120</v>
      </c>
      <c r="AS51" s="262"/>
      <c r="AT51" s="262"/>
      <c r="AU51" s="264"/>
      <c r="AV51" s="255"/>
      <c r="AW51" s="255"/>
      <c r="AX51" s="255"/>
      <c r="AY51" s="255"/>
      <c r="AZ51" s="255"/>
      <c r="BA51" s="255"/>
    </row>
    <row r="52" s="179" customFormat="1" ht="39" customHeight="1" spans="1:53">
      <c r="A52" s="233">
        <v>46129</v>
      </c>
      <c r="B52" s="258" t="s">
        <v>238</v>
      </c>
      <c r="C52" s="258" t="s">
        <v>77</v>
      </c>
      <c r="D52" s="238" t="s">
        <v>282</v>
      </c>
      <c r="E52" s="269" t="s">
        <v>310</v>
      </c>
      <c r="F52" s="269" t="s">
        <v>311</v>
      </c>
      <c r="G52" s="238" t="s">
        <v>242</v>
      </c>
      <c r="H52" s="238" t="s">
        <v>49</v>
      </c>
      <c r="I52" s="238">
        <v>504</v>
      </c>
      <c r="J52" s="238">
        <v>0</v>
      </c>
      <c r="K52" s="238">
        <v>1</v>
      </c>
      <c r="L52" s="238">
        <f t="shared" si="0"/>
        <v>504</v>
      </c>
      <c r="M52" s="239">
        <v>46170</v>
      </c>
      <c r="N52" s="239">
        <v>46175</v>
      </c>
      <c r="O52" s="239">
        <v>46181</v>
      </c>
      <c r="P52" s="267" t="s">
        <v>51</v>
      </c>
      <c r="Q52" s="258"/>
      <c r="R52" s="258"/>
      <c r="S52" s="240" t="s">
        <v>61</v>
      </c>
      <c r="T52" s="241">
        <v>46129</v>
      </c>
      <c r="U52" s="240">
        <v>46134</v>
      </c>
      <c r="V52" s="239"/>
      <c r="W52" s="239"/>
      <c r="X52" s="239"/>
      <c r="Y52" s="238" t="s">
        <v>312</v>
      </c>
      <c r="Z52" s="238" t="s">
        <v>81</v>
      </c>
      <c r="AA52" s="274">
        <v>5.82</v>
      </c>
      <c r="AB52" s="270">
        <f t="shared" si="11"/>
        <v>2933.28</v>
      </c>
      <c r="AC52" s="275" t="s">
        <v>313</v>
      </c>
      <c r="AD52" s="230" t="s">
        <v>247</v>
      </c>
      <c r="AE52" s="235" t="s">
        <v>56</v>
      </c>
      <c r="AF52" s="270"/>
      <c r="AG52" s="270"/>
      <c r="AH52" s="258"/>
      <c r="AI52" s="238"/>
      <c r="AJ52" s="270"/>
      <c r="AK52" s="270"/>
      <c r="AL52" s="270"/>
      <c r="AM52" s="270"/>
      <c r="AN52" s="270"/>
      <c r="AO52" s="259">
        <f t="shared" si="6"/>
        <v>504</v>
      </c>
      <c r="AP52" s="260">
        <f t="shared" si="13"/>
        <v>504</v>
      </c>
      <c r="AQ52" s="260"/>
      <c r="AR52" s="260">
        <f t="shared" si="12"/>
        <v>504</v>
      </c>
      <c r="AS52" s="260"/>
      <c r="AT52" s="260"/>
      <c r="AU52" s="272"/>
      <c r="AV52" s="180"/>
      <c r="AW52" s="180"/>
      <c r="AX52" s="180"/>
      <c r="AY52" s="180"/>
      <c r="AZ52" s="180"/>
      <c r="BA52" s="180"/>
    </row>
    <row r="53" s="178" customFormat="1" ht="39" customHeight="1" spans="1:53">
      <c r="A53" s="216">
        <v>46129</v>
      </c>
      <c r="B53" s="248" t="s">
        <v>238</v>
      </c>
      <c r="C53" s="248" t="s">
        <v>77</v>
      </c>
      <c r="D53" s="221" t="s">
        <v>314</v>
      </c>
      <c r="E53" s="249" t="s">
        <v>315</v>
      </c>
      <c r="F53" s="249" t="s">
        <v>316</v>
      </c>
      <c r="G53" s="221" t="s">
        <v>242</v>
      </c>
      <c r="H53" s="221" t="s">
        <v>49</v>
      </c>
      <c r="I53" s="221">
        <v>936</v>
      </c>
      <c r="J53" s="221">
        <v>0</v>
      </c>
      <c r="K53" s="221">
        <v>1</v>
      </c>
      <c r="L53" s="221">
        <f t="shared" si="0"/>
        <v>936</v>
      </c>
      <c r="M53" s="222">
        <v>46174</v>
      </c>
      <c r="N53" s="222">
        <v>46175</v>
      </c>
      <c r="O53" s="222">
        <v>46181</v>
      </c>
      <c r="P53" s="267" t="s">
        <v>51</v>
      </c>
      <c r="Q53" s="239">
        <v>46191</v>
      </c>
      <c r="R53" s="248"/>
      <c r="S53" s="224" t="s">
        <v>61</v>
      </c>
      <c r="T53" s="225">
        <v>46129</v>
      </c>
      <c r="U53" s="224">
        <v>46134</v>
      </c>
      <c r="V53" s="222"/>
      <c r="W53" s="222"/>
      <c r="X53" s="222"/>
      <c r="Y53" s="221" t="s">
        <v>317</v>
      </c>
      <c r="Z53" s="221" t="s">
        <v>81</v>
      </c>
      <c r="AA53" s="250">
        <v>5.82</v>
      </c>
      <c r="AB53" s="252">
        <f t="shared" si="11"/>
        <v>5447.52</v>
      </c>
      <c r="AC53" s="278" t="s">
        <v>318</v>
      </c>
      <c r="AD53" s="232" t="s">
        <v>247</v>
      </c>
      <c r="AE53" s="218" t="s">
        <v>56</v>
      </c>
      <c r="AF53" s="252"/>
      <c r="AG53" s="252"/>
      <c r="AH53" s="248"/>
      <c r="AI53" s="221"/>
      <c r="AJ53" s="252"/>
      <c r="AK53" s="252"/>
      <c r="AL53" s="252"/>
      <c r="AM53" s="252"/>
      <c r="AN53" s="252"/>
      <c r="AO53" s="261">
        <f t="shared" si="6"/>
        <v>936</v>
      </c>
      <c r="AP53" s="262">
        <f t="shared" si="13"/>
        <v>936</v>
      </c>
      <c r="AQ53" s="262"/>
      <c r="AR53" s="262">
        <f t="shared" si="12"/>
        <v>936</v>
      </c>
      <c r="AS53" s="262"/>
      <c r="AT53" s="262"/>
      <c r="AU53" s="264"/>
      <c r="AV53" s="255"/>
      <c r="AW53" s="255"/>
      <c r="AX53" s="255"/>
      <c r="AY53" s="255"/>
      <c r="AZ53" s="255"/>
      <c r="BA53" s="255"/>
    </row>
    <row r="54" s="178" customFormat="1" ht="39" customHeight="1" spans="1:53">
      <c r="A54" s="216">
        <v>46129</v>
      </c>
      <c r="B54" s="248" t="s">
        <v>238</v>
      </c>
      <c r="C54" s="248" t="s">
        <v>77</v>
      </c>
      <c r="D54" s="221" t="s">
        <v>314</v>
      </c>
      <c r="E54" s="249" t="s">
        <v>319</v>
      </c>
      <c r="F54" s="249" t="s">
        <v>320</v>
      </c>
      <c r="G54" s="221" t="s">
        <v>242</v>
      </c>
      <c r="H54" s="221" t="s">
        <v>49</v>
      </c>
      <c r="I54" s="221">
        <v>504</v>
      </c>
      <c r="J54" s="221">
        <v>0</v>
      </c>
      <c r="K54" s="221">
        <v>1</v>
      </c>
      <c r="L54" s="221">
        <f t="shared" si="0"/>
        <v>504</v>
      </c>
      <c r="M54" s="222">
        <v>46174</v>
      </c>
      <c r="N54" s="222">
        <v>46175</v>
      </c>
      <c r="O54" s="222">
        <v>46181</v>
      </c>
      <c r="P54" s="267" t="s">
        <v>51</v>
      </c>
      <c r="Q54" s="239">
        <v>46195</v>
      </c>
      <c r="R54" s="248"/>
      <c r="S54" s="224" t="s">
        <v>61</v>
      </c>
      <c r="T54" s="225">
        <v>46129</v>
      </c>
      <c r="U54" s="224">
        <v>46134</v>
      </c>
      <c r="V54" s="222"/>
      <c r="W54" s="222"/>
      <c r="X54" s="222"/>
      <c r="Y54" s="221" t="s">
        <v>317</v>
      </c>
      <c r="Z54" s="221" t="s">
        <v>81</v>
      </c>
      <c r="AA54" s="250">
        <v>5.916</v>
      </c>
      <c r="AB54" s="252">
        <f t="shared" si="11"/>
        <v>2981.664</v>
      </c>
      <c r="AC54" s="278" t="s">
        <v>321</v>
      </c>
      <c r="AD54" s="232" t="s">
        <v>247</v>
      </c>
      <c r="AE54" s="218" t="s">
        <v>56</v>
      </c>
      <c r="AF54" s="252"/>
      <c r="AG54" s="252"/>
      <c r="AH54" s="248"/>
      <c r="AI54" s="221"/>
      <c r="AJ54" s="252"/>
      <c r="AK54" s="252"/>
      <c r="AL54" s="252"/>
      <c r="AM54" s="252"/>
      <c r="AN54" s="252"/>
      <c r="AO54" s="261">
        <f t="shared" si="6"/>
        <v>504</v>
      </c>
      <c r="AP54" s="262">
        <f t="shared" si="13"/>
        <v>504</v>
      </c>
      <c r="AQ54" s="262"/>
      <c r="AR54" s="262">
        <f t="shared" si="12"/>
        <v>504</v>
      </c>
      <c r="AS54" s="262"/>
      <c r="AT54" s="262"/>
      <c r="AU54" s="264"/>
      <c r="AV54" s="255"/>
      <c r="AW54" s="255"/>
      <c r="AX54" s="255"/>
      <c r="AY54" s="255"/>
      <c r="AZ54" s="255"/>
      <c r="BA54" s="255"/>
    </row>
    <row r="55" s="178" customFormat="1" ht="39" customHeight="1" spans="1:53">
      <c r="A55" s="216">
        <v>46129</v>
      </c>
      <c r="B55" s="248" t="s">
        <v>238</v>
      </c>
      <c r="C55" s="248" t="s">
        <v>77</v>
      </c>
      <c r="D55" s="221" t="s">
        <v>314</v>
      </c>
      <c r="E55" s="249" t="s">
        <v>322</v>
      </c>
      <c r="F55" s="249" t="s">
        <v>323</v>
      </c>
      <c r="G55" s="221" t="s">
        <v>242</v>
      </c>
      <c r="H55" s="221" t="s">
        <v>49</v>
      </c>
      <c r="I55" s="221">
        <v>1008</v>
      </c>
      <c r="J55" s="221">
        <v>0</v>
      </c>
      <c r="K55" s="221">
        <v>1</v>
      </c>
      <c r="L55" s="221">
        <f t="shared" si="0"/>
        <v>1008</v>
      </c>
      <c r="M55" s="222">
        <v>46174</v>
      </c>
      <c r="N55" s="222">
        <v>46175</v>
      </c>
      <c r="O55" s="222">
        <v>46181</v>
      </c>
      <c r="P55" s="267" t="s">
        <v>51</v>
      </c>
      <c r="Q55" s="239">
        <v>46195</v>
      </c>
      <c r="R55" s="248"/>
      <c r="S55" s="224" t="s">
        <v>61</v>
      </c>
      <c r="T55" s="225">
        <v>46129</v>
      </c>
      <c r="U55" s="224">
        <v>46134</v>
      </c>
      <c r="V55" s="279"/>
      <c r="W55" s="222"/>
      <c r="X55" s="222"/>
      <c r="Y55" s="221" t="s">
        <v>317</v>
      </c>
      <c r="Z55" s="221" t="s">
        <v>81</v>
      </c>
      <c r="AA55" s="250">
        <v>5.916</v>
      </c>
      <c r="AB55" s="252">
        <f t="shared" si="11"/>
        <v>5963.328</v>
      </c>
      <c r="AC55" s="278" t="s">
        <v>324</v>
      </c>
      <c r="AD55" s="232" t="s">
        <v>247</v>
      </c>
      <c r="AE55" s="218" t="s">
        <v>56</v>
      </c>
      <c r="AF55" s="252"/>
      <c r="AG55" s="252"/>
      <c r="AH55" s="248"/>
      <c r="AI55" s="221"/>
      <c r="AJ55" s="252"/>
      <c r="AK55" s="252"/>
      <c r="AL55" s="252"/>
      <c r="AM55" s="252"/>
      <c r="AN55" s="252"/>
      <c r="AO55" s="261">
        <f t="shared" si="6"/>
        <v>1008</v>
      </c>
      <c r="AP55" s="262">
        <f t="shared" si="13"/>
        <v>1008</v>
      </c>
      <c r="AQ55" s="262"/>
      <c r="AR55" s="262">
        <f t="shared" si="12"/>
        <v>1008</v>
      </c>
      <c r="AS55" s="262"/>
      <c r="AT55" s="262"/>
      <c r="AU55" s="264"/>
      <c r="AV55" s="255"/>
      <c r="AW55" s="255"/>
      <c r="AX55" s="255"/>
      <c r="AY55" s="255"/>
      <c r="AZ55" s="255"/>
      <c r="BA55" s="255"/>
    </row>
    <row r="56" s="178" customFormat="1" ht="39" customHeight="1" spans="1:53">
      <c r="A56" s="216">
        <v>46120</v>
      </c>
      <c r="B56" s="248" t="s">
        <v>129</v>
      </c>
      <c r="C56" s="218" t="s">
        <v>69</v>
      </c>
      <c r="D56" s="219" t="s">
        <v>325</v>
      </c>
      <c r="E56" s="220" t="s">
        <v>326</v>
      </c>
      <c r="F56" s="219" t="s">
        <v>327</v>
      </c>
      <c r="G56" s="221" t="s">
        <v>59</v>
      </c>
      <c r="H56" s="221" t="s">
        <v>49</v>
      </c>
      <c r="I56" s="219">
        <v>660</v>
      </c>
      <c r="J56" s="221">
        <v>0</v>
      </c>
      <c r="K56" s="221">
        <v>4</v>
      </c>
      <c r="L56" s="221">
        <f t="shared" si="0"/>
        <v>165</v>
      </c>
      <c r="M56" s="222">
        <v>46181</v>
      </c>
      <c r="N56" s="222">
        <v>46177</v>
      </c>
      <c r="O56" s="222" t="s">
        <v>50</v>
      </c>
      <c r="P56" s="267" t="s">
        <v>51</v>
      </c>
      <c r="Q56" s="222" t="s">
        <v>328</v>
      </c>
      <c r="R56" s="222"/>
      <c r="S56" s="224" t="s">
        <v>73</v>
      </c>
      <c r="T56" s="225">
        <v>46120</v>
      </c>
      <c r="U56" s="224">
        <v>46149</v>
      </c>
      <c r="V56" s="222"/>
      <c r="W56" s="222"/>
      <c r="X56" s="222"/>
      <c r="Y56" s="226" t="s">
        <v>329</v>
      </c>
      <c r="Z56" s="220" t="s">
        <v>330</v>
      </c>
      <c r="AA56" s="273">
        <v>9.86</v>
      </c>
      <c r="AB56" s="228">
        <f t="shared" si="11"/>
        <v>6507.6</v>
      </c>
      <c r="AC56" s="229"/>
      <c r="AD56" s="232" t="s">
        <v>55</v>
      </c>
      <c r="AE56" s="218" t="s">
        <v>56</v>
      </c>
      <c r="AF56" s="231"/>
      <c r="AG56" s="231"/>
      <c r="AH56" s="218"/>
      <c r="AI56" s="218"/>
      <c r="AJ56" s="232"/>
      <c r="AK56" s="231"/>
      <c r="AL56" s="232"/>
      <c r="AM56" s="231"/>
      <c r="AN56" s="231"/>
      <c r="AO56" s="261">
        <f t="shared" si="6"/>
        <v>660</v>
      </c>
      <c r="AP56" s="262">
        <f t="shared" si="13"/>
        <v>660</v>
      </c>
      <c r="AQ56" s="262"/>
      <c r="AR56" s="262">
        <f t="shared" si="12"/>
        <v>660</v>
      </c>
      <c r="AS56" s="262"/>
      <c r="AT56" s="262"/>
      <c r="AU56" s="262"/>
    </row>
    <row r="57" s="178" customFormat="1" ht="39" customHeight="1" spans="1:53">
      <c r="A57" s="216">
        <v>46121</v>
      </c>
      <c r="B57" s="217" t="s">
        <v>238</v>
      </c>
      <c r="C57" s="218" t="s">
        <v>77</v>
      </c>
      <c r="D57" s="219" t="s">
        <v>331</v>
      </c>
      <c r="E57" s="220" t="s">
        <v>332</v>
      </c>
      <c r="F57" s="219" t="s">
        <v>333</v>
      </c>
      <c r="G57" s="221" t="s">
        <v>242</v>
      </c>
      <c r="H57" s="221" t="s">
        <v>49</v>
      </c>
      <c r="I57" s="219">
        <v>1258</v>
      </c>
      <c r="J57" s="221">
        <v>0</v>
      </c>
      <c r="K57" s="221">
        <v>1</v>
      </c>
      <c r="L57" s="221">
        <f t="shared" si="0"/>
        <v>1258</v>
      </c>
      <c r="M57" s="222">
        <v>46177</v>
      </c>
      <c r="N57" s="222">
        <v>46178</v>
      </c>
      <c r="O57" s="222">
        <v>46181</v>
      </c>
      <c r="P57" s="267" t="s">
        <v>51</v>
      </c>
      <c r="Q57" s="222" t="s">
        <v>334</v>
      </c>
      <c r="R57" s="222"/>
      <c r="S57" s="224" t="s">
        <v>61</v>
      </c>
      <c r="T57" s="225">
        <v>46121</v>
      </c>
      <c r="U57" s="224" t="s">
        <v>244</v>
      </c>
      <c r="V57" s="280"/>
      <c r="W57" s="222"/>
      <c r="X57" s="222"/>
      <c r="Y57" s="226" t="s">
        <v>335</v>
      </c>
      <c r="Z57" s="220" t="s">
        <v>81</v>
      </c>
      <c r="AA57" s="273">
        <v>5.916</v>
      </c>
      <c r="AB57" s="228">
        <f t="shared" si="11"/>
        <v>7442.328</v>
      </c>
      <c r="AC57" s="247" t="s">
        <v>336</v>
      </c>
      <c r="AD57" s="232" t="s">
        <v>247</v>
      </c>
      <c r="AE57" s="218" t="s">
        <v>56</v>
      </c>
      <c r="AF57" s="231"/>
      <c r="AG57" s="231"/>
      <c r="AH57" s="218"/>
      <c r="AI57" s="218"/>
      <c r="AJ57" s="232"/>
      <c r="AK57" s="231"/>
      <c r="AL57" s="232"/>
      <c r="AM57" s="231"/>
      <c r="AN57" s="231"/>
      <c r="AO57" s="261">
        <f t="shared" si="6"/>
        <v>1258</v>
      </c>
      <c r="AP57" s="262">
        <f t="shared" si="13"/>
        <v>1258</v>
      </c>
      <c r="AQ57" s="262"/>
      <c r="AR57" s="262"/>
      <c r="AS57" s="262">
        <f>AP57</f>
        <v>1258</v>
      </c>
      <c r="AT57" s="262"/>
      <c r="AU57" s="262"/>
    </row>
    <row r="58" s="178" customFormat="1" ht="39" customHeight="1" spans="1:53">
      <c r="A58" s="216">
        <v>46121</v>
      </c>
      <c r="B58" s="217" t="s">
        <v>238</v>
      </c>
      <c r="C58" s="218" t="s">
        <v>77</v>
      </c>
      <c r="D58" s="219" t="s">
        <v>331</v>
      </c>
      <c r="E58" s="220" t="s">
        <v>337</v>
      </c>
      <c r="F58" s="219" t="s">
        <v>338</v>
      </c>
      <c r="G58" s="221" t="s">
        <v>242</v>
      </c>
      <c r="H58" s="221" t="s">
        <v>49</v>
      </c>
      <c r="I58" s="219">
        <v>814</v>
      </c>
      <c r="J58" s="221">
        <v>0</v>
      </c>
      <c r="K58" s="221">
        <v>1</v>
      </c>
      <c r="L58" s="221">
        <f t="shared" si="0"/>
        <v>814</v>
      </c>
      <c r="M58" s="222">
        <v>46177</v>
      </c>
      <c r="N58" s="222">
        <v>46178</v>
      </c>
      <c r="O58" s="222">
        <v>46181</v>
      </c>
      <c r="P58" s="267" t="s">
        <v>51</v>
      </c>
      <c r="Q58" s="222" t="s">
        <v>334</v>
      </c>
      <c r="R58" s="222"/>
      <c r="S58" s="224" t="s">
        <v>61</v>
      </c>
      <c r="T58" s="225">
        <v>46121</v>
      </c>
      <c r="U58" s="224" t="s">
        <v>244</v>
      </c>
      <c r="V58" s="222"/>
      <c r="W58" s="222"/>
      <c r="X58" s="222"/>
      <c r="Y58" s="226" t="s">
        <v>335</v>
      </c>
      <c r="Z58" s="220" t="s">
        <v>81</v>
      </c>
      <c r="AA58" s="273">
        <v>5.916</v>
      </c>
      <c r="AB58" s="228">
        <f t="shared" si="11"/>
        <v>4815.624</v>
      </c>
      <c r="AC58" s="247" t="s">
        <v>339</v>
      </c>
      <c r="AD58" s="232" t="s">
        <v>247</v>
      </c>
      <c r="AE58" s="218" t="s">
        <v>56</v>
      </c>
      <c r="AF58" s="231"/>
      <c r="AG58" s="231"/>
      <c r="AH58" s="218"/>
      <c r="AI58" s="218"/>
      <c r="AJ58" s="232"/>
      <c r="AK58" s="231"/>
      <c r="AL58" s="232"/>
      <c r="AM58" s="231"/>
      <c r="AN58" s="231"/>
      <c r="AO58" s="261">
        <f t="shared" si="6"/>
        <v>814</v>
      </c>
      <c r="AP58" s="262">
        <f t="shared" si="13"/>
        <v>814</v>
      </c>
      <c r="AQ58" s="262"/>
      <c r="AR58" s="262"/>
      <c r="AS58" s="262">
        <f>AP58</f>
        <v>814</v>
      </c>
      <c r="AT58" s="262"/>
      <c r="AU58" s="262"/>
    </row>
    <row r="59" s="178" customFormat="1" ht="39" customHeight="1" spans="1:53">
      <c r="A59" s="216">
        <v>46121</v>
      </c>
      <c r="B59" s="217" t="s">
        <v>238</v>
      </c>
      <c r="C59" s="218" t="s">
        <v>77</v>
      </c>
      <c r="D59" s="219" t="s">
        <v>340</v>
      </c>
      <c r="E59" s="220" t="s">
        <v>341</v>
      </c>
      <c r="F59" s="219" t="s">
        <v>342</v>
      </c>
      <c r="G59" s="221" t="s">
        <v>242</v>
      </c>
      <c r="H59" s="221" t="s">
        <v>49</v>
      </c>
      <c r="I59" s="219">
        <v>1472</v>
      </c>
      <c r="J59" s="221">
        <v>0</v>
      </c>
      <c r="K59" s="221">
        <v>1</v>
      </c>
      <c r="L59" s="221">
        <f t="shared" si="0"/>
        <v>1472</v>
      </c>
      <c r="M59" s="222">
        <v>46181</v>
      </c>
      <c r="N59" s="222">
        <v>46178</v>
      </c>
      <c r="O59" s="222">
        <v>46181</v>
      </c>
      <c r="P59" s="267" t="s">
        <v>51</v>
      </c>
      <c r="Q59" s="222" t="s">
        <v>343</v>
      </c>
      <c r="R59" s="222"/>
      <c r="S59" s="224" t="s">
        <v>61</v>
      </c>
      <c r="T59" s="225">
        <v>46121</v>
      </c>
      <c r="U59" s="224" t="s">
        <v>244</v>
      </c>
      <c r="V59" s="222"/>
      <c r="W59" s="222"/>
      <c r="X59" s="222"/>
      <c r="Y59" s="226" t="s">
        <v>335</v>
      </c>
      <c r="Z59" s="220" t="s">
        <v>81</v>
      </c>
      <c r="AA59" s="273">
        <v>5.916</v>
      </c>
      <c r="AB59" s="228">
        <f t="shared" si="11"/>
        <v>8708.352</v>
      </c>
      <c r="AC59" s="247" t="s">
        <v>344</v>
      </c>
      <c r="AD59" s="232" t="s">
        <v>247</v>
      </c>
      <c r="AE59" s="218" t="s">
        <v>56</v>
      </c>
      <c r="AF59" s="231"/>
      <c r="AG59" s="231"/>
      <c r="AH59" s="218"/>
      <c r="AI59" s="218"/>
      <c r="AJ59" s="232"/>
      <c r="AK59" s="231"/>
      <c r="AL59" s="232"/>
      <c r="AM59" s="231"/>
      <c r="AN59" s="231"/>
      <c r="AO59" s="261">
        <f t="shared" si="6"/>
        <v>1472</v>
      </c>
      <c r="AP59" s="262">
        <f t="shared" si="13"/>
        <v>1472</v>
      </c>
      <c r="AQ59" s="262"/>
      <c r="AR59" s="262"/>
      <c r="AS59" s="262">
        <f>AP59</f>
        <v>1472</v>
      </c>
      <c r="AT59" s="262"/>
      <c r="AU59" s="262"/>
    </row>
    <row r="60" s="178" customFormat="1" ht="39" customHeight="1" spans="1:53">
      <c r="A60" s="216">
        <v>46126</v>
      </c>
      <c r="B60" s="217" t="s">
        <v>345</v>
      </c>
      <c r="C60" s="218" t="s">
        <v>77</v>
      </c>
      <c r="D60" s="219">
        <v>4500201308</v>
      </c>
      <c r="E60" s="220" t="s">
        <v>346</v>
      </c>
      <c r="F60" s="219" t="s">
        <v>347</v>
      </c>
      <c r="G60" s="221" t="s">
        <v>59</v>
      </c>
      <c r="H60" s="220" t="s">
        <v>49</v>
      </c>
      <c r="I60" s="219">
        <v>160</v>
      </c>
      <c r="J60" s="221">
        <v>0</v>
      </c>
      <c r="K60" s="221">
        <v>4</v>
      </c>
      <c r="L60" s="221">
        <f t="shared" si="0"/>
        <v>40</v>
      </c>
      <c r="M60" s="222">
        <v>46183</v>
      </c>
      <c r="N60" s="222">
        <v>46179</v>
      </c>
      <c r="O60" s="222" t="s">
        <v>50</v>
      </c>
      <c r="P60" s="267" t="s">
        <v>51</v>
      </c>
      <c r="Q60" s="222">
        <v>46213</v>
      </c>
      <c r="R60" s="222"/>
      <c r="S60" s="224" t="s">
        <v>73</v>
      </c>
      <c r="T60" s="225">
        <v>46126</v>
      </c>
      <c r="U60" s="224" t="s">
        <v>73</v>
      </c>
      <c r="V60" s="222"/>
      <c r="W60" s="222"/>
      <c r="X60" s="222"/>
      <c r="Y60" s="226" t="s">
        <v>348</v>
      </c>
      <c r="Z60" s="220" t="s">
        <v>349</v>
      </c>
      <c r="AA60" s="227">
        <v>7.1735</v>
      </c>
      <c r="AB60" s="228">
        <f t="shared" si="11"/>
        <v>1147.76</v>
      </c>
      <c r="AC60" s="247" t="s">
        <v>350</v>
      </c>
      <c r="AD60" s="232" t="s">
        <v>55</v>
      </c>
      <c r="AE60" s="218" t="s">
        <v>56</v>
      </c>
      <c r="AF60" s="231"/>
      <c r="AG60" s="231"/>
      <c r="AH60" s="218"/>
      <c r="AI60" s="218"/>
      <c r="AJ60" s="232"/>
      <c r="AK60" s="231"/>
      <c r="AL60" s="232"/>
      <c r="AM60" s="231"/>
      <c r="AN60" s="231"/>
      <c r="AO60" s="261">
        <f t="shared" si="6"/>
        <v>160</v>
      </c>
      <c r="AP60" s="262">
        <f t="shared" si="13"/>
        <v>160</v>
      </c>
      <c r="AQ60" s="262"/>
      <c r="AR60" s="262">
        <f t="shared" ref="AR60:AR66" si="14">I60</f>
        <v>160</v>
      </c>
      <c r="AS60" s="262"/>
      <c r="AT60" s="262"/>
      <c r="AU60" s="262"/>
    </row>
    <row r="61" s="178" customFormat="1" ht="39" customHeight="1" spans="1:53">
      <c r="A61" s="216">
        <v>46126</v>
      </c>
      <c r="B61" s="217" t="s">
        <v>345</v>
      </c>
      <c r="C61" s="218" t="s">
        <v>77</v>
      </c>
      <c r="D61" s="219">
        <v>4500201308</v>
      </c>
      <c r="E61" s="220" t="s">
        <v>351</v>
      </c>
      <c r="F61" s="219" t="s">
        <v>352</v>
      </c>
      <c r="G61" s="221" t="s">
        <v>59</v>
      </c>
      <c r="H61" s="220" t="s">
        <v>49</v>
      </c>
      <c r="I61" s="219">
        <v>92</v>
      </c>
      <c r="J61" s="221">
        <v>0</v>
      </c>
      <c r="K61" s="221">
        <v>4</v>
      </c>
      <c r="L61" s="221">
        <f t="shared" si="0"/>
        <v>23</v>
      </c>
      <c r="M61" s="222">
        <v>46183</v>
      </c>
      <c r="N61" s="222">
        <v>46179</v>
      </c>
      <c r="O61" s="222" t="s">
        <v>50</v>
      </c>
      <c r="P61" s="267" t="s">
        <v>51</v>
      </c>
      <c r="Q61" s="222">
        <v>46213</v>
      </c>
      <c r="R61" s="222"/>
      <c r="S61" s="224" t="s">
        <v>73</v>
      </c>
      <c r="T61" s="225">
        <v>46126</v>
      </c>
      <c r="U61" s="224" t="s">
        <v>73</v>
      </c>
      <c r="V61" s="222"/>
      <c r="W61" s="222"/>
      <c r="X61" s="222"/>
      <c r="Y61" s="226" t="s">
        <v>348</v>
      </c>
      <c r="Z61" s="220" t="s">
        <v>349</v>
      </c>
      <c r="AA61" s="227">
        <v>7.1735</v>
      </c>
      <c r="AB61" s="228">
        <f t="shared" si="11"/>
        <v>659.962</v>
      </c>
      <c r="AC61" s="247" t="s">
        <v>353</v>
      </c>
      <c r="AD61" s="232" t="s">
        <v>55</v>
      </c>
      <c r="AE61" s="218" t="s">
        <v>56</v>
      </c>
      <c r="AF61" s="231"/>
      <c r="AG61" s="231"/>
      <c r="AH61" s="218"/>
      <c r="AI61" s="218"/>
      <c r="AJ61" s="232"/>
      <c r="AK61" s="231"/>
      <c r="AL61" s="232"/>
      <c r="AM61" s="231"/>
      <c r="AN61" s="231"/>
      <c r="AO61" s="261">
        <f t="shared" si="6"/>
        <v>92</v>
      </c>
      <c r="AP61" s="262">
        <f t="shared" si="13"/>
        <v>92</v>
      </c>
      <c r="AQ61" s="262"/>
      <c r="AR61" s="262">
        <f t="shared" si="14"/>
        <v>92</v>
      </c>
      <c r="AS61" s="262"/>
      <c r="AT61" s="262"/>
      <c r="AU61" s="262"/>
    </row>
    <row r="62" s="178" customFormat="1" ht="39" customHeight="1" spans="1:53">
      <c r="A62" s="216">
        <v>46126</v>
      </c>
      <c r="B62" s="217" t="s">
        <v>345</v>
      </c>
      <c r="C62" s="218" t="s">
        <v>77</v>
      </c>
      <c r="D62" s="219">
        <v>4500201308</v>
      </c>
      <c r="E62" s="220">
        <v>671996908</v>
      </c>
      <c r="F62" s="219" t="s">
        <v>354</v>
      </c>
      <c r="G62" s="221" t="s">
        <v>59</v>
      </c>
      <c r="H62" s="220" t="s">
        <v>49</v>
      </c>
      <c r="I62" s="219">
        <v>24</v>
      </c>
      <c r="J62" s="221">
        <v>0</v>
      </c>
      <c r="K62" s="221">
        <v>4</v>
      </c>
      <c r="L62" s="221">
        <f t="shared" si="0"/>
        <v>6</v>
      </c>
      <c r="M62" s="222">
        <v>46183</v>
      </c>
      <c r="N62" s="222">
        <v>46179</v>
      </c>
      <c r="O62" s="222" t="s">
        <v>50</v>
      </c>
      <c r="P62" s="267" t="s">
        <v>51</v>
      </c>
      <c r="Q62" s="222">
        <v>46213</v>
      </c>
      <c r="R62" s="222"/>
      <c r="S62" s="224" t="s">
        <v>73</v>
      </c>
      <c r="T62" s="225">
        <v>46126</v>
      </c>
      <c r="U62" s="224" t="s">
        <v>73</v>
      </c>
      <c r="V62" s="222"/>
      <c r="W62" s="222"/>
      <c r="X62" s="222"/>
      <c r="Y62" s="226" t="s">
        <v>348</v>
      </c>
      <c r="Z62" s="220" t="s">
        <v>349</v>
      </c>
      <c r="AA62" s="227">
        <v>7.556</v>
      </c>
      <c r="AB62" s="228">
        <f t="shared" si="11"/>
        <v>181.344</v>
      </c>
      <c r="AC62" s="247" t="s">
        <v>355</v>
      </c>
      <c r="AD62" s="232" t="s">
        <v>55</v>
      </c>
      <c r="AE62" s="218" t="s">
        <v>56</v>
      </c>
      <c r="AF62" s="231"/>
      <c r="AG62" s="231"/>
      <c r="AH62" s="218"/>
      <c r="AI62" s="218"/>
      <c r="AJ62" s="232"/>
      <c r="AK62" s="231"/>
      <c r="AL62" s="232"/>
      <c r="AM62" s="231"/>
      <c r="AN62" s="231"/>
      <c r="AO62" s="261">
        <f t="shared" si="6"/>
        <v>24</v>
      </c>
      <c r="AP62" s="262">
        <f t="shared" si="13"/>
        <v>24</v>
      </c>
      <c r="AQ62" s="262"/>
      <c r="AR62" s="262">
        <f t="shared" si="14"/>
        <v>24</v>
      </c>
      <c r="AS62" s="262"/>
      <c r="AT62" s="262"/>
      <c r="AU62" s="262"/>
    </row>
    <row r="63" s="178" customFormat="1" ht="39" customHeight="1" spans="1:53">
      <c r="A63" s="216">
        <v>46126</v>
      </c>
      <c r="B63" s="217" t="s">
        <v>345</v>
      </c>
      <c r="C63" s="218" t="s">
        <v>77</v>
      </c>
      <c r="D63" s="219">
        <v>4500201308</v>
      </c>
      <c r="E63" s="220">
        <v>671996909</v>
      </c>
      <c r="F63" s="219" t="s">
        <v>356</v>
      </c>
      <c r="G63" s="221" t="s">
        <v>59</v>
      </c>
      <c r="H63" s="220" t="s">
        <v>49</v>
      </c>
      <c r="I63" s="219">
        <v>20</v>
      </c>
      <c r="J63" s="221">
        <v>0</v>
      </c>
      <c r="K63" s="221">
        <v>4</v>
      </c>
      <c r="L63" s="221">
        <f t="shared" si="0"/>
        <v>5</v>
      </c>
      <c r="M63" s="222">
        <v>46183</v>
      </c>
      <c r="N63" s="222">
        <v>46179</v>
      </c>
      <c r="O63" s="222" t="s">
        <v>50</v>
      </c>
      <c r="P63" s="267" t="s">
        <v>51</v>
      </c>
      <c r="Q63" s="222">
        <v>46213</v>
      </c>
      <c r="R63" s="222"/>
      <c r="S63" s="224" t="s">
        <v>73</v>
      </c>
      <c r="T63" s="225">
        <v>46126</v>
      </c>
      <c r="U63" s="224" t="s">
        <v>73</v>
      </c>
      <c r="V63" s="222"/>
      <c r="W63" s="222"/>
      <c r="X63" s="222"/>
      <c r="Y63" s="226" t="s">
        <v>348</v>
      </c>
      <c r="Z63" s="220" t="s">
        <v>349</v>
      </c>
      <c r="AA63" s="227">
        <v>7.556</v>
      </c>
      <c r="AB63" s="228">
        <f t="shared" si="11"/>
        <v>151.12</v>
      </c>
      <c r="AC63" s="247" t="s">
        <v>355</v>
      </c>
      <c r="AD63" s="232" t="s">
        <v>55</v>
      </c>
      <c r="AE63" s="218" t="s">
        <v>56</v>
      </c>
      <c r="AF63" s="231"/>
      <c r="AG63" s="231"/>
      <c r="AH63" s="218"/>
      <c r="AI63" s="218"/>
      <c r="AJ63" s="232"/>
      <c r="AK63" s="231"/>
      <c r="AL63" s="232"/>
      <c r="AM63" s="231"/>
      <c r="AN63" s="231"/>
      <c r="AO63" s="261">
        <f t="shared" si="6"/>
        <v>20</v>
      </c>
      <c r="AP63" s="262">
        <f t="shared" si="13"/>
        <v>20</v>
      </c>
      <c r="AQ63" s="262"/>
      <c r="AR63" s="262">
        <f t="shared" si="14"/>
        <v>20</v>
      </c>
      <c r="AS63" s="262"/>
      <c r="AT63" s="262"/>
      <c r="AU63" s="262"/>
    </row>
    <row r="64" s="178" customFormat="1" ht="39" customHeight="1" spans="1:53">
      <c r="A64" s="216">
        <v>46126</v>
      </c>
      <c r="B64" s="217" t="s">
        <v>345</v>
      </c>
      <c r="C64" s="218" t="s">
        <v>77</v>
      </c>
      <c r="D64" s="219">
        <v>4500201308</v>
      </c>
      <c r="E64" s="220">
        <v>671996910</v>
      </c>
      <c r="F64" s="219" t="s">
        <v>357</v>
      </c>
      <c r="G64" s="221" t="s">
        <v>59</v>
      </c>
      <c r="H64" s="220" t="s">
        <v>49</v>
      </c>
      <c r="I64" s="219">
        <v>4</v>
      </c>
      <c r="J64" s="221">
        <v>0</v>
      </c>
      <c r="K64" s="221">
        <v>4</v>
      </c>
      <c r="L64" s="221">
        <f t="shared" si="0"/>
        <v>1</v>
      </c>
      <c r="M64" s="222">
        <v>46183</v>
      </c>
      <c r="N64" s="222">
        <v>46179</v>
      </c>
      <c r="O64" s="222" t="s">
        <v>50</v>
      </c>
      <c r="P64" s="267" t="s">
        <v>51</v>
      </c>
      <c r="Q64" s="222">
        <v>46213</v>
      </c>
      <c r="R64" s="222"/>
      <c r="S64" s="224" t="s">
        <v>73</v>
      </c>
      <c r="T64" s="225">
        <v>46126</v>
      </c>
      <c r="U64" s="224" t="s">
        <v>73</v>
      </c>
      <c r="V64" s="222"/>
      <c r="W64" s="222"/>
      <c r="X64" s="222"/>
      <c r="Y64" s="226" t="s">
        <v>348</v>
      </c>
      <c r="Z64" s="220" t="s">
        <v>349</v>
      </c>
      <c r="AA64" s="227">
        <v>7.556</v>
      </c>
      <c r="AB64" s="228">
        <f t="shared" si="11"/>
        <v>30.224</v>
      </c>
      <c r="AC64" s="247" t="s">
        <v>355</v>
      </c>
      <c r="AD64" s="232" t="s">
        <v>55</v>
      </c>
      <c r="AE64" s="218" t="s">
        <v>56</v>
      </c>
      <c r="AF64" s="231"/>
      <c r="AG64" s="231"/>
      <c r="AH64" s="218"/>
      <c r="AI64" s="218"/>
      <c r="AJ64" s="232"/>
      <c r="AK64" s="231"/>
      <c r="AL64" s="232"/>
      <c r="AM64" s="231"/>
      <c r="AN64" s="231"/>
      <c r="AO64" s="261">
        <f t="shared" si="6"/>
        <v>4</v>
      </c>
      <c r="AP64" s="262">
        <f t="shared" si="13"/>
        <v>4</v>
      </c>
      <c r="AQ64" s="262"/>
      <c r="AR64" s="262">
        <f t="shared" si="14"/>
        <v>4</v>
      </c>
      <c r="AS64" s="262"/>
      <c r="AT64" s="262"/>
      <c r="AU64" s="262"/>
    </row>
    <row r="65" s="178" customFormat="1" ht="39" customHeight="1" spans="1:53">
      <c r="A65" s="216">
        <v>46129</v>
      </c>
      <c r="B65" s="248" t="s">
        <v>358</v>
      </c>
      <c r="C65" s="248" t="s">
        <v>359</v>
      </c>
      <c r="D65" s="221">
        <v>4500202591</v>
      </c>
      <c r="E65" s="249" t="s">
        <v>216</v>
      </c>
      <c r="F65" s="249" t="s">
        <v>360</v>
      </c>
      <c r="G65" s="221" t="s">
        <v>59</v>
      </c>
      <c r="H65" s="221" t="s">
        <v>49</v>
      </c>
      <c r="I65" s="221">
        <v>240</v>
      </c>
      <c r="J65" s="221">
        <v>0</v>
      </c>
      <c r="K65" s="221">
        <v>4</v>
      </c>
      <c r="L65" s="221">
        <f t="shared" si="0"/>
        <v>60</v>
      </c>
      <c r="M65" s="222">
        <v>46185</v>
      </c>
      <c r="N65" s="222">
        <f>M65-4</f>
        <v>46181</v>
      </c>
      <c r="O65" s="222" t="s">
        <v>50</v>
      </c>
      <c r="P65" s="267" t="s">
        <v>51</v>
      </c>
      <c r="Q65" s="222">
        <v>46214</v>
      </c>
      <c r="R65" s="248"/>
      <c r="S65" s="224" t="s">
        <v>73</v>
      </c>
      <c r="T65" s="225">
        <v>46132</v>
      </c>
      <c r="U65" s="224">
        <v>46149</v>
      </c>
      <c r="V65" s="222"/>
      <c r="W65" s="222"/>
      <c r="X65" s="222"/>
      <c r="Y65" s="221" t="s">
        <v>361</v>
      </c>
      <c r="Z65" s="221" t="s">
        <v>362</v>
      </c>
      <c r="AA65" s="250">
        <v>9.86</v>
      </c>
      <c r="AB65" s="252">
        <f t="shared" si="11"/>
        <v>2366.4</v>
      </c>
      <c r="AC65" s="251"/>
      <c r="AD65" s="232" t="s">
        <v>55</v>
      </c>
      <c r="AE65" s="221" t="s">
        <v>56</v>
      </c>
      <c r="AF65" s="252"/>
      <c r="AG65" s="252"/>
      <c r="AH65" s="248"/>
      <c r="AI65" s="221"/>
      <c r="AJ65" s="252"/>
      <c r="AK65" s="252"/>
      <c r="AL65" s="252"/>
      <c r="AM65" s="252"/>
      <c r="AN65" s="252"/>
      <c r="AO65" s="261">
        <f t="shared" si="6"/>
        <v>240</v>
      </c>
      <c r="AP65" s="262">
        <f t="shared" si="13"/>
        <v>240</v>
      </c>
      <c r="AQ65" s="262"/>
      <c r="AR65" s="262">
        <f t="shared" si="14"/>
        <v>240</v>
      </c>
      <c r="AS65" s="262"/>
      <c r="AT65" s="262"/>
      <c r="AU65" s="264"/>
      <c r="AV65" s="255"/>
      <c r="AW65" s="255"/>
      <c r="AX65" s="255"/>
      <c r="AY65" s="255"/>
      <c r="AZ65" s="255"/>
      <c r="BA65" s="255"/>
    </row>
    <row r="66" s="178" customFormat="1" ht="39" customHeight="1" spans="1:53">
      <c r="A66" s="216">
        <v>46129</v>
      </c>
      <c r="B66" s="248" t="s">
        <v>358</v>
      </c>
      <c r="C66" s="248" t="s">
        <v>363</v>
      </c>
      <c r="D66" s="221">
        <v>4500202631</v>
      </c>
      <c r="E66" s="249" t="s">
        <v>216</v>
      </c>
      <c r="F66" s="249" t="s">
        <v>364</v>
      </c>
      <c r="G66" s="221" t="s">
        <v>59</v>
      </c>
      <c r="H66" s="221" t="s">
        <v>49</v>
      </c>
      <c r="I66" s="221">
        <v>360</v>
      </c>
      <c r="J66" s="221">
        <v>0</v>
      </c>
      <c r="K66" s="221">
        <v>4</v>
      </c>
      <c r="L66" s="221">
        <f t="shared" ref="L66:L84" si="15">I66/K66</f>
        <v>90</v>
      </c>
      <c r="M66" s="222">
        <v>46185</v>
      </c>
      <c r="N66" s="222">
        <f>M66-4</f>
        <v>46181</v>
      </c>
      <c r="O66" s="222" t="s">
        <v>50</v>
      </c>
      <c r="P66" s="267" t="s">
        <v>51</v>
      </c>
      <c r="Q66" s="222">
        <v>46199</v>
      </c>
      <c r="R66" s="248"/>
      <c r="S66" s="224" t="s">
        <v>73</v>
      </c>
      <c r="T66" s="225">
        <v>46132</v>
      </c>
      <c r="U66" s="224">
        <v>46149</v>
      </c>
      <c r="V66" s="222"/>
      <c r="W66" s="222"/>
      <c r="X66" s="222"/>
      <c r="Y66" s="221" t="s">
        <v>365</v>
      </c>
      <c r="Z66" s="221" t="s">
        <v>362</v>
      </c>
      <c r="AA66" s="250">
        <v>9.86</v>
      </c>
      <c r="AB66" s="252">
        <f t="shared" si="11"/>
        <v>3549.6</v>
      </c>
      <c r="AC66" s="251"/>
      <c r="AD66" s="232" t="s">
        <v>55</v>
      </c>
      <c r="AE66" s="221" t="s">
        <v>56</v>
      </c>
      <c r="AF66" s="252"/>
      <c r="AG66" s="252"/>
      <c r="AH66" s="248"/>
      <c r="AI66" s="221"/>
      <c r="AJ66" s="252"/>
      <c r="AK66" s="252"/>
      <c r="AL66" s="252"/>
      <c r="AM66" s="252"/>
      <c r="AN66" s="252"/>
      <c r="AO66" s="261">
        <f t="shared" si="6"/>
        <v>360</v>
      </c>
      <c r="AP66" s="262">
        <f t="shared" si="13"/>
        <v>360</v>
      </c>
      <c r="AQ66" s="262"/>
      <c r="AR66" s="262">
        <f t="shared" si="14"/>
        <v>360</v>
      </c>
      <c r="AS66" s="262"/>
      <c r="AT66" s="262"/>
      <c r="AU66" s="264"/>
      <c r="AV66" s="255"/>
      <c r="AW66" s="255"/>
      <c r="AX66" s="255"/>
      <c r="AY66" s="255"/>
      <c r="AZ66" s="255"/>
      <c r="BA66" s="255"/>
    </row>
    <row r="67" s="178" customFormat="1" ht="39" customHeight="1" spans="1:53">
      <c r="A67" s="216">
        <v>46136</v>
      </c>
      <c r="B67" s="248" t="s">
        <v>366</v>
      </c>
      <c r="C67" s="248" t="s">
        <v>367</v>
      </c>
      <c r="D67" s="221" t="s">
        <v>368</v>
      </c>
      <c r="E67" s="249" t="s">
        <v>216</v>
      </c>
      <c r="F67" s="249" t="s">
        <v>369</v>
      </c>
      <c r="G67" s="221" t="s">
        <v>59</v>
      </c>
      <c r="H67" s="221" t="s">
        <v>49</v>
      </c>
      <c r="I67" s="221">
        <v>2000</v>
      </c>
      <c r="J67" s="221">
        <v>0</v>
      </c>
      <c r="K67" s="221">
        <v>4</v>
      </c>
      <c r="L67" s="221">
        <f t="shared" si="15"/>
        <v>500</v>
      </c>
      <c r="M67" s="222">
        <v>46185</v>
      </c>
      <c r="N67" s="222">
        <v>46181</v>
      </c>
      <c r="O67" s="222">
        <v>46188</v>
      </c>
      <c r="P67" s="267" t="s">
        <v>51</v>
      </c>
      <c r="Q67" s="248" t="s">
        <v>370</v>
      </c>
      <c r="R67" s="248"/>
      <c r="S67" s="224" t="s">
        <v>73</v>
      </c>
      <c r="T67" s="225">
        <v>46149</v>
      </c>
      <c r="U67" s="224">
        <v>46154</v>
      </c>
      <c r="V67" s="222"/>
      <c r="W67" s="222"/>
      <c r="X67" s="222"/>
      <c r="Y67" s="221" t="s">
        <v>371</v>
      </c>
      <c r="Z67" s="221" t="s">
        <v>213</v>
      </c>
      <c r="AA67" s="250">
        <v>9.86</v>
      </c>
      <c r="AB67" s="252">
        <f t="shared" si="11"/>
        <v>19720</v>
      </c>
      <c r="AC67" s="251"/>
      <c r="AD67" s="232" t="s">
        <v>372</v>
      </c>
      <c r="AE67" s="221" t="s">
        <v>56</v>
      </c>
      <c r="AF67" s="252"/>
      <c r="AG67" s="252"/>
      <c r="AH67" s="248"/>
      <c r="AI67" s="221"/>
      <c r="AJ67" s="252"/>
      <c r="AK67" s="252"/>
      <c r="AL67" s="252"/>
      <c r="AM67" s="252"/>
      <c r="AN67" s="252"/>
      <c r="AO67" s="261">
        <f t="shared" si="6"/>
        <v>2000</v>
      </c>
      <c r="AP67" s="262"/>
      <c r="AQ67" s="262">
        <f>I67</f>
        <v>2000</v>
      </c>
      <c r="AR67" s="262"/>
      <c r="AS67" s="262"/>
      <c r="AT67" s="262"/>
      <c r="AU67" s="264">
        <f>I67</f>
        <v>2000</v>
      </c>
      <c r="AV67" s="255"/>
      <c r="AW67" s="255"/>
      <c r="AX67" s="255"/>
      <c r="AY67" s="255"/>
      <c r="AZ67" s="255"/>
      <c r="BA67" s="255"/>
    </row>
    <row r="68" s="179" customFormat="1" ht="39" customHeight="1" spans="1:53">
      <c r="A68" s="233">
        <v>46129</v>
      </c>
      <c r="B68" s="258" t="s">
        <v>238</v>
      </c>
      <c r="C68" s="258" t="s">
        <v>77</v>
      </c>
      <c r="D68" s="238" t="s">
        <v>373</v>
      </c>
      <c r="E68" s="269" t="s">
        <v>374</v>
      </c>
      <c r="F68" s="269" t="s">
        <v>375</v>
      </c>
      <c r="G68" s="238" t="s">
        <v>242</v>
      </c>
      <c r="H68" s="238" t="s">
        <v>49</v>
      </c>
      <c r="I68" s="238">
        <v>504</v>
      </c>
      <c r="J68" s="238">
        <v>0</v>
      </c>
      <c r="K68" s="238">
        <v>1</v>
      </c>
      <c r="L68" s="238">
        <f t="shared" si="15"/>
        <v>504</v>
      </c>
      <c r="M68" s="239">
        <v>46183</v>
      </c>
      <c r="N68" s="239">
        <v>46182</v>
      </c>
      <c r="O68" s="239" t="s">
        <v>376</v>
      </c>
      <c r="P68" s="267" t="s">
        <v>51</v>
      </c>
      <c r="Q68" s="239" t="s">
        <v>377</v>
      </c>
      <c r="R68" s="258"/>
      <c r="S68" s="240" t="s">
        <v>61</v>
      </c>
      <c r="T68" s="241">
        <v>46129</v>
      </c>
      <c r="U68" s="240">
        <v>46134</v>
      </c>
      <c r="V68" s="239"/>
      <c r="W68" s="239"/>
      <c r="X68" s="239"/>
      <c r="Y68" s="238" t="s">
        <v>378</v>
      </c>
      <c r="Z68" s="238" t="s">
        <v>81</v>
      </c>
      <c r="AA68" s="274">
        <v>5.82</v>
      </c>
      <c r="AB68" s="270">
        <f t="shared" si="11"/>
        <v>2933.28</v>
      </c>
      <c r="AC68" s="275" t="s">
        <v>379</v>
      </c>
      <c r="AD68" s="230" t="s">
        <v>247</v>
      </c>
      <c r="AE68" s="235" t="s">
        <v>56</v>
      </c>
      <c r="AF68" s="270"/>
      <c r="AG68" s="270"/>
      <c r="AH68" s="258"/>
      <c r="AI68" s="238"/>
      <c r="AJ68" s="270"/>
      <c r="AK68" s="270"/>
      <c r="AL68" s="270"/>
      <c r="AM68" s="270"/>
      <c r="AN68" s="270"/>
      <c r="AO68" s="259">
        <f t="shared" si="6"/>
        <v>504</v>
      </c>
      <c r="AP68" s="260">
        <f t="shared" ref="AP68:AP78" si="16">I68</f>
        <v>504</v>
      </c>
      <c r="AQ68" s="260"/>
      <c r="AR68" s="260"/>
      <c r="AS68" s="260">
        <f>AP68</f>
        <v>504</v>
      </c>
      <c r="AT68" s="260"/>
      <c r="AU68" s="272"/>
      <c r="AV68" s="180"/>
      <c r="AW68" s="180"/>
      <c r="AX68" s="180"/>
      <c r="AY68" s="180"/>
      <c r="AZ68" s="180"/>
      <c r="BA68" s="180"/>
    </row>
    <row r="69" s="179" customFormat="1" ht="39" customHeight="1" spans="1:53">
      <c r="A69" s="233">
        <v>46129</v>
      </c>
      <c r="B69" s="258" t="s">
        <v>238</v>
      </c>
      <c r="C69" s="258" t="s">
        <v>77</v>
      </c>
      <c r="D69" s="238" t="s">
        <v>373</v>
      </c>
      <c r="E69" s="269" t="s">
        <v>380</v>
      </c>
      <c r="F69" s="269" t="s">
        <v>381</v>
      </c>
      <c r="G69" s="238" t="s">
        <v>242</v>
      </c>
      <c r="H69" s="238" t="s">
        <v>49</v>
      </c>
      <c r="I69" s="238">
        <v>720</v>
      </c>
      <c r="J69" s="238">
        <v>0</v>
      </c>
      <c r="K69" s="238">
        <v>1</v>
      </c>
      <c r="L69" s="238">
        <f t="shared" si="15"/>
        <v>720</v>
      </c>
      <c r="M69" s="239">
        <v>46183</v>
      </c>
      <c r="N69" s="239">
        <v>46182</v>
      </c>
      <c r="O69" s="239" t="s">
        <v>382</v>
      </c>
      <c r="P69" s="267" t="s">
        <v>51</v>
      </c>
      <c r="Q69" s="239" t="s">
        <v>377</v>
      </c>
      <c r="R69" s="258"/>
      <c r="S69" s="240" t="s">
        <v>61</v>
      </c>
      <c r="T69" s="241">
        <v>46129</v>
      </c>
      <c r="U69" s="240">
        <v>46134</v>
      </c>
      <c r="V69" s="239"/>
      <c r="W69" s="239"/>
      <c r="X69" s="239"/>
      <c r="Y69" s="238" t="s">
        <v>378</v>
      </c>
      <c r="Z69" s="238" t="s">
        <v>81</v>
      </c>
      <c r="AA69" s="274">
        <v>5.82</v>
      </c>
      <c r="AB69" s="270">
        <f t="shared" si="11"/>
        <v>4190.4</v>
      </c>
      <c r="AC69" s="275" t="s">
        <v>383</v>
      </c>
      <c r="AD69" s="230" t="s">
        <v>247</v>
      </c>
      <c r="AE69" s="235" t="s">
        <v>56</v>
      </c>
      <c r="AF69" s="270"/>
      <c r="AG69" s="270"/>
      <c r="AH69" s="258"/>
      <c r="AI69" s="238"/>
      <c r="AJ69" s="270"/>
      <c r="AK69" s="270"/>
      <c r="AL69" s="270"/>
      <c r="AM69" s="270"/>
      <c r="AN69" s="270"/>
      <c r="AO69" s="259">
        <f t="shared" si="6"/>
        <v>720</v>
      </c>
      <c r="AP69" s="260">
        <f t="shared" si="16"/>
        <v>720</v>
      </c>
      <c r="AQ69" s="260"/>
      <c r="AR69" s="260"/>
      <c r="AS69" s="260">
        <f>AP69</f>
        <v>720</v>
      </c>
      <c r="AT69" s="260"/>
      <c r="AU69" s="272"/>
      <c r="AV69" s="180"/>
      <c r="AW69" s="180"/>
      <c r="AX69" s="180"/>
      <c r="AY69" s="180"/>
      <c r="AZ69" s="180"/>
      <c r="BA69" s="180"/>
    </row>
    <row r="70" s="179" customFormat="1" ht="39" customHeight="1" spans="1:53">
      <c r="A70" s="233">
        <v>46129</v>
      </c>
      <c r="B70" s="258" t="s">
        <v>238</v>
      </c>
      <c r="C70" s="258" t="s">
        <v>77</v>
      </c>
      <c r="D70" s="238" t="s">
        <v>373</v>
      </c>
      <c r="E70" s="269" t="s">
        <v>384</v>
      </c>
      <c r="F70" s="269" t="s">
        <v>385</v>
      </c>
      <c r="G70" s="238" t="s">
        <v>242</v>
      </c>
      <c r="H70" s="238" t="s">
        <v>49</v>
      </c>
      <c r="I70" s="238">
        <v>576</v>
      </c>
      <c r="J70" s="238">
        <v>0</v>
      </c>
      <c r="K70" s="238">
        <v>1</v>
      </c>
      <c r="L70" s="238">
        <f t="shared" si="15"/>
        <v>576</v>
      </c>
      <c r="M70" s="239">
        <v>46183</v>
      </c>
      <c r="N70" s="239">
        <v>46182</v>
      </c>
      <c r="O70" s="239" t="s">
        <v>376</v>
      </c>
      <c r="P70" s="267" t="s">
        <v>51</v>
      </c>
      <c r="Q70" s="239" t="s">
        <v>377</v>
      </c>
      <c r="R70" s="258"/>
      <c r="S70" s="240" t="s">
        <v>61</v>
      </c>
      <c r="T70" s="241">
        <v>46129</v>
      </c>
      <c r="U70" s="241">
        <v>46134</v>
      </c>
      <c r="V70" s="239"/>
      <c r="W70" s="239"/>
      <c r="X70" s="239"/>
      <c r="Y70" s="238" t="s">
        <v>378</v>
      </c>
      <c r="Z70" s="238" t="s">
        <v>81</v>
      </c>
      <c r="AA70" s="274">
        <v>5.916</v>
      </c>
      <c r="AB70" s="270">
        <f t="shared" si="11"/>
        <v>3407.616</v>
      </c>
      <c r="AC70" s="275" t="s">
        <v>386</v>
      </c>
      <c r="AD70" s="230" t="s">
        <v>247</v>
      </c>
      <c r="AE70" s="235" t="s">
        <v>56</v>
      </c>
      <c r="AF70" s="270"/>
      <c r="AG70" s="270"/>
      <c r="AH70" s="258"/>
      <c r="AI70" s="238"/>
      <c r="AJ70" s="270"/>
      <c r="AK70" s="270"/>
      <c r="AL70" s="270"/>
      <c r="AM70" s="270"/>
      <c r="AN70" s="270"/>
      <c r="AO70" s="259">
        <f t="shared" si="6"/>
        <v>576</v>
      </c>
      <c r="AP70" s="260">
        <f t="shared" si="16"/>
        <v>576</v>
      </c>
      <c r="AQ70" s="260"/>
      <c r="AR70" s="260"/>
      <c r="AS70" s="260">
        <f>AP70</f>
        <v>576</v>
      </c>
      <c r="AT70" s="260"/>
      <c r="AU70" s="272"/>
      <c r="AV70" s="180"/>
      <c r="AW70" s="180"/>
      <c r="AX70" s="180"/>
      <c r="AY70" s="180"/>
      <c r="AZ70" s="180"/>
      <c r="BA70" s="180"/>
    </row>
    <row r="71" s="179" customFormat="1" ht="39" customHeight="1" spans="1:53">
      <c r="A71" s="233">
        <v>46121</v>
      </c>
      <c r="B71" s="234" t="s">
        <v>238</v>
      </c>
      <c r="C71" s="235" t="s">
        <v>77</v>
      </c>
      <c r="D71" s="236" t="s">
        <v>387</v>
      </c>
      <c r="E71" s="237" t="s">
        <v>388</v>
      </c>
      <c r="F71" s="236" t="s">
        <v>389</v>
      </c>
      <c r="G71" s="238" t="s">
        <v>242</v>
      </c>
      <c r="H71" s="238" t="s">
        <v>49</v>
      </c>
      <c r="I71" s="236">
        <v>980</v>
      </c>
      <c r="J71" s="238">
        <v>0</v>
      </c>
      <c r="K71" s="238">
        <v>1</v>
      </c>
      <c r="L71" s="238">
        <f t="shared" si="15"/>
        <v>980</v>
      </c>
      <c r="M71" s="239">
        <v>46188</v>
      </c>
      <c r="N71" s="239">
        <v>46184</v>
      </c>
      <c r="O71" s="239" t="s">
        <v>382</v>
      </c>
      <c r="P71" s="267" t="s">
        <v>51</v>
      </c>
      <c r="Q71" s="239" t="s">
        <v>390</v>
      </c>
      <c r="R71" s="239"/>
      <c r="S71" s="240" t="s">
        <v>61</v>
      </c>
      <c r="T71" s="241">
        <v>46121</v>
      </c>
      <c r="U71" s="240" t="s">
        <v>244</v>
      </c>
      <c r="V71" s="239"/>
      <c r="W71" s="239"/>
      <c r="X71" s="239"/>
      <c r="Y71" s="242" t="s">
        <v>391</v>
      </c>
      <c r="Z71" s="237" t="s">
        <v>81</v>
      </c>
      <c r="AA71" s="266">
        <v>5.82</v>
      </c>
      <c r="AB71" s="244">
        <f t="shared" si="11"/>
        <v>5703.6</v>
      </c>
      <c r="AC71" s="265" t="s">
        <v>392</v>
      </c>
      <c r="AD71" s="230" t="s">
        <v>247</v>
      </c>
      <c r="AE71" s="235" t="s">
        <v>56</v>
      </c>
      <c r="AF71" s="246"/>
      <c r="AG71" s="246"/>
      <c r="AH71" s="235"/>
      <c r="AI71" s="235"/>
      <c r="AJ71" s="230"/>
      <c r="AK71" s="246"/>
      <c r="AL71" s="230"/>
      <c r="AM71" s="246"/>
      <c r="AN71" s="246"/>
      <c r="AO71" s="259">
        <f t="shared" si="6"/>
        <v>980</v>
      </c>
      <c r="AP71" s="260">
        <f t="shared" si="16"/>
        <v>980</v>
      </c>
      <c r="AQ71" s="260"/>
      <c r="AR71" s="260"/>
      <c r="AS71" s="260">
        <f>AP71</f>
        <v>980</v>
      </c>
      <c r="AT71" s="260"/>
      <c r="AU71" s="260"/>
    </row>
    <row r="72" s="179" customFormat="1" ht="39" customHeight="1" spans="1:53">
      <c r="A72" s="233">
        <v>46121</v>
      </c>
      <c r="B72" s="234" t="s">
        <v>238</v>
      </c>
      <c r="C72" s="235" t="s">
        <v>77</v>
      </c>
      <c r="D72" s="236" t="s">
        <v>387</v>
      </c>
      <c r="E72" s="237" t="s">
        <v>393</v>
      </c>
      <c r="F72" s="236" t="s">
        <v>394</v>
      </c>
      <c r="G72" s="238" t="s">
        <v>242</v>
      </c>
      <c r="H72" s="238" t="s">
        <v>49</v>
      </c>
      <c r="I72" s="236">
        <v>1038</v>
      </c>
      <c r="J72" s="238">
        <v>0</v>
      </c>
      <c r="K72" s="238">
        <v>1</v>
      </c>
      <c r="L72" s="238">
        <f t="shared" si="15"/>
        <v>1038</v>
      </c>
      <c r="M72" s="239">
        <v>46188</v>
      </c>
      <c r="N72" s="239">
        <v>46184</v>
      </c>
      <c r="O72" s="239" t="s">
        <v>382</v>
      </c>
      <c r="P72" s="267" t="s">
        <v>51</v>
      </c>
      <c r="Q72" s="239" t="s">
        <v>390</v>
      </c>
      <c r="R72" s="239"/>
      <c r="S72" s="240" t="s">
        <v>61</v>
      </c>
      <c r="T72" s="241">
        <v>46121</v>
      </c>
      <c r="U72" s="240" t="s">
        <v>244</v>
      </c>
      <c r="V72" s="239"/>
      <c r="W72" s="239"/>
      <c r="X72" s="239"/>
      <c r="Y72" s="242" t="s">
        <v>391</v>
      </c>
      <c r="Z72" s="237" t="s">
        <v>81</v>
      </c>
      <c r="AA72" s="266">
        <v>5.916</v>
      </c>
      <c r="AB72" s="244">
        <f t="shared" si="11"/>
        <v>6140.808</v>
      </c>
      <c r="AC72" s="265" t="s">
        <v>395</v>
      </c>
      <c r="AD72" s="230" t="s">
        <v>247</v>
      </c>
      <c r="AE72" s="235" t="s">
        <v>56</v>
      </c>
      <c r="AF72" s="246"/>
      <c r="AG72" s="246"/>
      <c r="AH72" s="235"/>
      <c r="AI72" s="235"/>
      <c r="AJ72" s="230"/>
      <c r="AK72" s="246"/>
      <c r="AL72" s="230"/>
      <c r="AM72" s="246"/>
      <c r="AN72" s="246"/>
      <c r="AO72" s="259">
        <f t="shared" si="6"/>
        <v>1038</v>
      </c>
      <c r="AP72" s="260">
        <f t="shared" si="16"/>
        <v>1038</v>
      </c>
      <c r="AQ72" s="260"/>
      <c r="AR72" s="260"/>
      <c r="AS72" s="260">
        <f>AP72</f>
        <v>1038</v>
      </c>
      <c r="AT72" s="260"/>
      <c r="AU72" s="260"/>
    </row>
    <row r="73" s="178" customFormat="1" ht="39" customHeight="1" spans="1:53">
      <c r="A73" s="216">
        <v>46122</v>
      </c>
      <c r="B73" s="217" t="s">
        <v>396</v>
      </c>
      <c r="C73" s="218" t="s">
        <v>397</v>
      </c>
      <c r="D73" s="219" t="s">
        <v>398</v>
      </c>
      <c r="E73" s="220" t="s">
        <v>216</v>
      </c>
      <c r="F73" s="219" t="s">
        <v>399</v>
      </c>
      <c r="G73" s="221" t="s">
        <v>59</v>
      </c>
      <c r="H73" s="221" t="s">
        <v>49</v>
      </c>
      <c r="I73" s="219">
        <v>120</v>
      </c>
      <c r="J73" s="221">
        <v>0</v>
      </c>
      <c r="K73" s="221">
        <v>4</v>
      </c>
      <c r="L73" s="221">
        <f t="shared" si="15"/>
        <v>30</v>
      </c>
      <c r="M73" s="222">
        <v>46188</v>
      </c>
      <c r="N73" s="222">
        <v>46184</v>
      </c>
      <c r="O73" s="222"/>
      <c r="P73" s="267" t="s">
        <v>51</v>
      </c>
      <c r="Q73" s="222" t="s">
        <v>400</v>
      </c>
      <c r="R73" s="222"/>
      <c r="S73" s="224" t="s">
        <v>73</v>
      </c>
      <c r="T73" s="225">
        <v>46122</v>
      </c>
      <c r="U73" s="224">
        <v>46122</v>
      </c>
      <c r="V73" s="222"/>
      <c r="W73" s="222"/>
      <c r="X73" s="222"/>
      <c r="Y73" s="226" t="s">
        <v>401</v>
      </c>
      <c r="Z73" s="220" t="s">
        <v>402</v>
      </c>
      <c r="AA73" s="273">
        <v>9.86</v>
      </c>
      <c r="AB73" s="228">
        <f t="shared" si="11"/>
        <v>1183.2</v>
      </c>
      <c r="AC73" s="229"/>
      <c r="AD73" s="232" t="s">
        <v>55</v>
      </c>
      <c r="AE73" s="221" t="s">
        <v>56</v>
      </c>
      <c r="AF73" s="231"/>
      <c r="AG73" s="231"/>
      <c r="AH73" s="218"/>
      <c r="AI73" s="218"/>
      <c r="AJ73" s="232"/>
      <c r="AK73" s="231"/>
      <c r="AL73" s="232"/>
      <c r="AM73" s="231"/>
      <c r="AN73" s="231"/>
      <c r="AO73" s="261">
        <f t="shared" si="6"/>
        <v>120</v>
      </c>
      <c r="AP73" s="262">
        <f t="shared" si="16"/>
        <v>120</v>
      </c>
      <c r="AQ73" s="262"/>
      <c r="AR73" s="262">
        <f>I73</f>
        <v>120</v>
      </c>
      <c r="AS73" s="262"/>
      <c r="AT73" s="262"/>
      <c r="AU73" s="262"/>
    </row>
    <row r="74" s="178" customFormat="1" ht="39" customHeight="1" spans="1:53">
      <c r="A74" s="216">
        <v>46134</v>
      </c>
      <c r="B74" s="217" t="s">
        <v>403</v>
      </c>
      <c r="C74" s="218" t="s">
        <v>404</v>
      </c>
      <c r="D74" s="219" t="s">
        <v>405</v>
      </c>
      <c r="E74" s="220" t="s">
        <v>216</v>
      </c>
      <c r="F74" s="219" t="s">
        <v>406</v>
      </c>
      <c r="G74" s="221" t="s">
        <v>59</v>
      </c>
      <c r="H74" s="220" t="s">
        <v>49</v>
      </c>
      <c r="I74" s="219">
        <v>120</v>
      </c>
      <c r="J74" s="221">
        <v>0</v>
      </c>
      <c r="K74" s="221">
        <v>4</v>
      </c>
      <c r="L74" s="221">
        <f t="shared" si="15"/>
        <v>30</v>
      </c>
      <c r="M74" s="222">
        <v>46188</v>
      </c>
      <c r="N74" s="222">
        <v>46184</v>
      </c>
      <c r="O74" s="222"/>
      <c r="P74" s="267" t="s">
        <v>51</v>
      </c>
      <c r="Q74" s="222" t="s">
        <v>334</v>
      </c>
      <c r="R74" s="222"/>
      <c r="S74" s="224" t="s">
        <v>73</v>
      </c>
      <c r="T74" s="225">
        <v>46135</v>
      </c>
      <c r="U74" s="224">
        <v>46135</v>
      </c>
      <c r="V74" s="222"/>
      <c r="W74" s="222"/>
      <c r="X74" s="222"/>
      <c r="Y74" s="226" t="s">
        <v>407</v>
      </c>
      <c r="Z74" s="220" t="s">
        <v>213</v>
      </c>
      <c r="AA74" s="227">
        <v>9.7</v>
      </c>
      <c r="AB74" s="228">
        <f t="shared" si="11"/>
        <v>1164</v>
      </c>
      <c r="AC74" s="229"/>
      <c r="AD74" s="232" t="s">
        <v>55</v>
      </c>
      <c r="AE74" s="218" t="s">
        <v>56</v>
      </c>
      <c r="AF74" s="231"/>
      <c r="AG74" s="231"/>
      <c r="AH74" s="218"/>
      <c r="AI74" s="218"/>
      <c r="AJ74" s="232"/>
      <c r="AK74" s="231"/>
      <c r="AL74" s="232"/>
      <c r="AM74" s="231"/>
      <c r="AN74" s="231"/>
      <c r="AO74" s="261">
        <f t="shared" si="6"/>
        <v>120</v>
      </c>
      <c r="AP74" s="262">
        <f t="shared" si="16"/>
        <v>120</v>
      </c>
      <c r="AQ74" s="262"/>
      <c r="AR74" s="262">
        <f>I74</f>
        <v>120</v>
      </c>
      <c r="AS74" s="262"/>
      <c r="AT74" s="262"/>
      <c r="AU74" s="262"/>
    </row>
    <row r="75" s="179" customFormat="1" ht="39" customHeight="1" spans="1:53">
      <c r="A75" s="233">
        <v>46129</v>
      </c>
      <c r="B75" s="258" t="s">
        <v>238</v>
      </c>
      <c r="C75" s="258" t="s">
        <v>77</v>
      </c>
      <c r="D75" s="238" t="s">
        <v>408</v>
      </c>
      <c r="E75" s="269" t="s">
        <v>409</v>
      </c>
      <c r="F75" s="269" t="s">
        <v>410</v>
      </c>
      <c r="G75" s="238" t="s">
        <v>242</v>
      </c>
      <c r="H75" s="238" t="s">
        <v>49</v>
      </c>
      <c r="I75" s="238">
        <v>504</v>
      </c>
      <c r="J75" s="238">
        <v>0</v>
      </c>
      <c r="K75" s="238">
        <v>1</v>
      </c>
      <c r="L75" s="238">
        <f t="shared" si="15"/>
        <v>504</v>
      </c>
      <c r="M75" s="239">
        <v>46188</v>
      </c>
      <c r="N75" s="239">
        <v>46184</v>
      </c>
      <c r="O75" s="239" t="s">
        <v>382</v>
      </c>
      <c r="P75" s="267" t="s">
        <v>51</v>
      </c>
      <c r="Q75" s="258" t="s">
        <v>343</v>
      </c>
      <c r="R75" s="258"/>
      <c r="S75" s="240" t="s">
        <v>61</v>
      </c>
      <c r="T75" s="241">
        <v>46129</v>
      </c>
      <c r="U75" s="241">
        <v>46134</v>
      </c>
      <c r="V75" s="239"/>
      <c r="W75" s="239"/>
      <c r="X75" s="239"/>
      <c r="Y75" s="238" t="s">
        <v>378</v>
      </c>
      <c r="Z75" s="238" t="s">
        <v>81</v>
      </c>
      <c r="AA75" s="274">
        <v>5.82</v>
      </c>
      <c r="AB75" s="270">
        <f t="shared" si="11"/>
        <v>2933.28</v>
      </c>
      <c r="AC75" s="275" t="s">
        <v>411</v>
      </c>
      <c r="AD75" s="230" t="s">
        <v>247</v>
      </c>
      <c r="AE75" s="235" t="s">
        <v>56</v>
      </c>
      <c r="AF75" s="270"/>
      <c r="AG75" s="270"/>
      <c r="AH75" s="258"/>
      <c r="AI75" s="238"/>
      <c r="AJ75" s="270"/>
      <c r="AK75" s="270"/>
      <c r="AL75" s="270"/>
      <c r="AM75" s="270"/>
      <c r="AN75" s="270"/>
      <c r="AO75" s="259">
        <f t="shared" si="6"/>
        <v>504</v>
      </c>
      <c r="AP75" s="260">
        <f t="shared" si="16"/>
        <v>504</v>
      </c>
      <c r="AQ75" s="260"/>
      <c r="AR75" s="260"/>
      <c r="AS75" s="260">
        <f>AP75</f>
        <v>504</v>
      </c>
      <c r="AT75" s="260"/>
      <c r="AU75" s="272"/>
      <c r="AV75" s="180"/>
      <c r="AW75" s="180"/>
      <c r="AX75" s="180"/>
      <c r="AY75" s="180"/>
      <c r="AZ75" s="180"/>
      <c r="BA75" s="180"/>
    </row>
    <row r="76" s="179" customFormat="1" ht="39" customHeight="1" spans="1:53">
      <c r="A76" s="233">
        <v>46129</v>
      </c>
      <c r="B76" s="258" t="s">
        <v>238</v>
      </c>
      <c r="C76" s="258" t="s">
        <v>77</v>
      </c>
      <c r="D76" s="238" t="s">
        <v>408</v>
      </c>
      <c r="E76" s="269" t="s">
        <v>412</v>
      </c>
      <c r="F76" s="269" t="s">
        <v>413</v>
      </c>
      <c r="G76" s="238" t="s">
        <v>242</v>
      </c>
      <c r="H76" s="238" t="s">
        <v>49</v>
      </c>
      <c r="I76" s="238">
        <v>1008</v>
      </c>
      <c r="J76" s="238">
        <v>0</v>
      </c>
      <c r="K76" s="238">
        <v>1</v>
      </c>
      <c r="L76" s="238">
        <f t="shared" si="15"/>
        <v>1008</v>
      </c>
      <c r="M76" s="239">
        <v>46188</v>
      </c>
      <c r="N76" s="239">
        <v>46184</v>
      </c>
      <c r="O76" s="239" t="s">
        <v>382</v>
      </c>
      <c r="P76" s="267" t="s">
        <v>51</v>
      </c>
      <c r="Q76" s="258" t="s">
        <v>343</v>
      </c>
      <c r="R76" s="258"/>
      <c r="S76" s="240" t="s">
        <v>61</v>
      </c>
      <c r="T76" s="241">
        <v>46129</v>
      </c>
      <c r="U76" s="241">
        <v>46134</v>
      </c>
      <c r="V76" s="239"/>
      <c r="W76" s="239"/>
      <c r="X76" s="239"/>
      <c r="Y76" s="238" t="s">
        <v>378</v>
      </c>
      <c r="Z76" s="238" t="s">
        <v>81</v>
      </c>
      <c r="AA76" s="274">
        <v>5.82</v>
      </c>
      <c r="AB76" s="270">
        <f t="shared" si="11"/>
        <v>5866.56</v>
      </c>
      <c r="AC76" s="275" t="s">
        <v>414</v>
      </c>
      <c r="AD76" s="230" t="s">
        <v>247</v>
      </c>
      <c r="AE76" s="235" t="s">
        <v>56</v>
      </c>
      <c r="AF76" s="270"/>
      <c r="AG76" s="270"/>
      <c r="AH76" s="258"/>
      <c r="AI76" s="238"/>
      <c r="AJ76" s="270"/>
      <c r="AK76" s="270"/>
      <c r="AL76" s="270"/>
      <c r="AM76" s="270"/>
      <c r="AN76" s="270"/>
      <c r="AO76" s="259">
        <f t="shared" si="6"/>
        <v>1008</v>
      </c>
      <c r="AP76" s="260">
        <f t="shared" si="16"/>
        <v>1008</v>
      </c>
      <c r="AQ76" s="260"/>
      <c r="AR76" s="260"/>
      <c r="AS76" s="260">
        <f>AP76</f>
        <v>1008</v>
      </c>
      <c r="AT76" s="260"/>
      <c r="AU76" s="272"/>
      <c r="AV76" s="180"/>
      <c r="AW76" s="180"/>
      <c r="AX76" s="180"/>
      <c r="AY76" s="180"/>
      <c r="AZ76" s="180"/>
      <c r="BA76" s="180"/>
    </row>
    <row r="77" s="179" customFormat="1" ht="39" customHeight="1" spans="1:53">
      <c r="A77" s="233">
        <v>46129</v>
      </c>
      <c r="B77" s="258" t="s">
        <v>238</v>
      </c>
      <c r="C77" s="258" t="s">
        <v>77</v>
      </c>
      <c r="D77" s="238" t="s">
        <v>408</v>
      </c>
      <c r="E77" s="269" t="s">
        <v>415</v>
      </c>
      <c r="F77" s="269" t="s">
        <v>416</v>
      </c>
      <c r="G77" s="238" t="s">
        <v>242</v>
      </c>
      <c r="H77" s="238" t="s">
        <v>49</v>
      </c>
      <c r="I77" s="238">
        <v>576</v>
      </c>
      <c r="J77" s="238">
        <v>0</v>
      </c>
      <c r="K77" s="238">
        <v>1</v>
      </c>
      <c r="L77" s="238">
        <f t="shared" si="15"/>
        <v>576</v>
      </c>
      <c r="M77" s="239">
        <v>46188</v>
      </c>
      <c r="N77" s="239">
        <v>46184</v>
      </c>
      <c r="O77" s="239" t="s">
        <v>382</v>
      </c>
      <c r="P77" s="267" t="s">
        <v>51</v>
      </c>
      <c r="Q77" s="258" t="s">
        <v>343</v>
      </c>
      <c r="R77" s="258"/>
      <c r="S77" s="240" t="s">
        <v>61</v>
      </c>
      <c r="T77" s="241">
        <v>46129</v>
      </c>
      <c r="U77" s="240">
        <v>46134</v>
      </c>
      <c r="V77" s="239"/>
      <c r="W77" s="239"/>
      <c r="X77" s="239"/>
      <c r="Y77" s="238" t="s">
        <v>378</v>
      </c>
      <c r="Z77" s="238" t="s">
        <v>81</v>
      </c>
      <c r="AA77" s="274">
        <v>5.916</v>
      </c>
      <c r="AB77" s="270">
        <f t="shared" si="11"/>
        <v>3407.616</v>
      </c>
      <c r="AC77" s="275" t="s">
        <v>417</v>
      </c>
      <c r="AD77" s="230" t="s">
        <v>247</v>
      </c>
      <c r="AE77" s="235" t="s">
        <v>56</v>
      </c>
      <c r="AF77" s="270"/>
      <c r="AG77" s="270"/>
      <c r="AH77" s="258"/>
      <c r="AI77" s="238"/>
      <c r="AJ77" s="270"/>
      <c r="AK77" s="270"/>
      <c r="AL77" s="270"/>
      <c r="AM77" s="270"/>
      <c r="AN77" s="270"/>
      <c r="AO77" s="259">
        <f t="shared" ref="AO77:AO84" si="17">I77</f>
        <v>576</v>
      </c>
      <c r="AP77" s="260">
        <f t="shared" si="16"/>
        <v>576</v>
      </c>
      <c r="AQ77" s="260"/>
      <c r="AR77" s="260"/>
      <c r="AS77" s="260">
        <f>AP77</f>
        <v>576</v>
      </c>
      <c r="AT77" s="260"/>
      <c r="AU77" s="272"/>
      <c r="AV77" s="180"/>
      <c r="AW77" s="180"/>
      <c r="AX77" s="180"/>
      <c r="AY77" s="180"/>
      <c r="AZ77" s="180"/>
      <c r="BA77" s="180"/>
    </row>
    <row r="78" s="179" customFormat="1" ht="39" customHeight="1" spans="1:53">
      <c r="A78" s="233">
        <v>46129</v>
      </c>
      <c r="B78" s="258" t="s">
        <v>238</v>
      </c>
      <c r="C78" s="258" t="s">
        <v>77</v>
      </c>
      <c r="D78" s="238" t="s">
        <v>408</v>
      </c>
      <c r="E78" s="269" t="s">
        <v>418</v>
      </c>
      <c r="F78" s="269" t="s">
        <v>419</v>
      </c>
      <c r="G78" s="238" t="s">
        <v>242</v>
      </c>
      <c r="H78" s="238" t="s">
        <v>49</v>
      </c>
      <c r="I78" s="238">
        <v>648</v>
      </c>
      <c r="J78" s="238">
        <v>0</v>
      </c>
      <c r="K78" s="238">
        <v>1</v>
      </c>
      <c r="L78" s="238">
        <f t="shared" si="15"/>
        <v>648</v>
      </c>
      <c r="M78" s="239">
        <v>46188</v>
      </c>
      <c r="N78" s="239">
        <v>46184</v>
      </c>
      <c r="O78" s="239" t="s">
        <v>382</v>
      </c>
      <c r="P78" s="267" t="s">
        <v>51</v>
      </c>
      <c r="Q78" s="258" t="s">
        <v>343</v>
      </c>
      <c r="R78" s="258"/>
      <c r="S78" s="240" t="s">
        <v>61</v>
      </c>
      <c r="T78" s="241">
        <v>46129</v>
      </c>
      <c r="U78" s="240">
        <v>46134</v>
      </c>
      <c r="V78" s="239"/>
      <c r="W78" s="239"/>
      <c r="X78" s="239"/>
      <c r="Y78" s="238" t="s">
        <v>378</v>
      </c>
      <c r="Z78" s="238" t="s">
        <v>81</v>
      </c>
      <c r="AA78" s="274">
        <v>5.916</v>
      </c>
      <c r="AB78" s="270">
        <f t="shared" si="11"/>
        <v>3833.568</v>
      </c>
      <c r="AC78" s="275" t="s">
        <v>420</v>
      </c>
      <c r="AD78" s="230" t="s">
        <v>247</v>
      </c>
      <c r="AE78" s="235" t="s">
        <v>56</v>
      </c>
      <c r="AF78" s="270"/>
      <c r="AG78" s="270"/>
      <c r="AH78" s="258"/>
      <c r="AI78" s="238"/>
      <c r="AJ78" s="270"/>
      <c r="AK78" s="270"/>
      <c r="AL78" s="270"/>
      <c r="AM78" s="270"/>
      <c r="AN78" s="270"/>
      <c r="AO78" s="259">
        <f t="shared" si="17"/>
        <v>648</v>
      </c>
      <c r="AP78" s="260">
        <f t="shared" si="16"/>
        <v>648</v>
      </c>
      <c r="AQ78" s="260"/>
      <c r="AR78" s="260"/>
      <c r="AS78" s="260">
        <f>AP78</f>
        <v>648</v>
      </c>
      <c r="AT78" s="260"/>
      <c r="AU78" s="272"/>
      <c r="AV78" s="180"/>
      <c r="AW78" s="180"/>
      <c r="AX78" s="180"/>
      <c r="AY78" s="180"/>
      <c r="AZ78" s="180"/>
      <c r="BA78" s="180"/>
    </row>
    <row r="79" s="179" customFormat="1" ht="39" customHeight="1" spans="1:53">
      <c r="A79" s="233">
        <v>46148</v>
      </c>
      <c r="B79" s="258" t="s">
        <v>421</v>
      </c>
      <c r="C79" s="258" t="s">
        <v>422</v>
      </c>
      <c r="D79" s="238">
        <v>4500205015</v>
      </c>
      <c r="E79" s="269" t="s">
        <v>216</v>
      </c>
      <c r="F79" s="269" t="s">
        <v>423</v>
      </c>
      <c r="G79" s="238" t="s">
        <v>59</v>
      </c>
      <c r="H79" s="238" t="s">
        <v>49</v>
      </c>
      <c r="I79" s="238">
        <v>360</v>
      </c>
      <c r="J79" s="238">
        <v>0</v>
      </c>
      <c r="K79" s="238">
        <v>4</v>
      </c>
      <c r="L79" s="238">
        <f t="shared" si="15"/>
        <v>90</v>
      </c>
      <c r="M79" s="239">
        <v>46188</v>
      </c>
      <c r="N79" s="239">
        <v>46184</v>
      </c>
      <c r="O79" s="239"/>
      <c r="P79" s="239" t="s">
        <v>51</v>
      </c>
      <c r="Q79" s="258" t="s">
        <v>424</v>
      </c>
      <c r="R79" s="258"/>
      <c r="S79" s="240" t="s">
        <v>73</v>
      </c>
      <c r="T79" s="241">
        <v>46154</v>
      </c>
      <c r="U79" s="240">
        <v>46167</v>
      </c>
      <c r="V79" s="239"/>
      <c r="W79" s="239"/>
      <c r="X79" s="239"/>
      <c r="Y79" s="238" t="s">
        <v>425</v>
      </c>
      <c r="Z79" s="238" t="s">
        <v>233</v>
      </c>
      <c r="AA79" s="274">
        <v>9.86</v>
      </c>
      <c r="AB79" s="270">
        <f t="shared" si="11"/>
        <v>3549.6</v>
      </c>
      <c r="AC79" s="271"/>
      <c r="AD79" s="230" t="s">
        <v>113</v>
      </c>
      <c r="AE79" s="235" t="s">
        <v>56</v>
      </c>
      <c r="AF79" s="270"/>
      <c r="AG79" s="270"/>
      <c r="AH79" s="258"/>
      <c r="AI79" s="238"/>
      <c r="AJ79" s="270"/>
      <c r="AK79" s="270"/>
      <c r="AL79" s="270"/>
      <c r="AM79" s="270"/>
      <c r="AN79" s="270"/>
      <c r="AO79" s="259">
        <f t="shared" si="17"/>
        <v>360</v>
      </c>
      <c r="AP79" s="260"/>
      <c r="AQ79" s="260">
        <f>AO79</f>
        <v>360</v>
      </c>
      <c r="AR79" s="260">
        <f>AO79</f>
        <v>360</v>
      </c>
      <c r="AS79" s="260"/>
      <c r="AT79" s="260"/>
      <c r="AU79" s="272"/>
      <c r="AV79" s="180"/>
      <c r="AW79" s="180"/>
      <c r="AX79" s="180"/>
      <c r="AY79" s="180"/>
      <c r="AZ79" s="180"/>
      <c r="BA79" s="180"/>
    </row>
    <row r="80" s="179" customFormat="1" ht="39" customHeight="1" spans="1:53">
      <c r="A80" s="233">
        <v>46140</v>
      </c>
      <c r="B80" s="258" t="s">
        <v>298</v>
      </c>
      <c r="C80" s="258" t="s">
        <v>299</v>
      </c>
      <c r="D80" s="238">
        <v>4500204487</v>
      </c>
      <c r="E80" s="269" t="s">
        <v>216</v>
      </c>
      <c r="F80" s="269" t="s">
        <v>426</v>
      </c>
      <c r="G80" s="238" t="s">
        <v>59</v>
      </c>
      <c r="H80" s="238" t="s">
        <v>49</v>
      </c>
      <c r="I80" s="238">
        <v>1000</v>
      </c>
      <c r="J80" s="238">
        <v>0</v>
      </c>
      <c r="K80" s="238">
        <v>4</v>
      </c>
      <c r="L80" s="238">
        <f t="shared" si="15"/>
        <v>250</v>
      </c>
      <c r="M80" s="239">
        <v>46191</v>
      </c>
      <c r="N80" s="239">
        <v>46188</v>
      </c>
      <c r="O80" s="239"/>
      <c r="P80" s="267" t="s">
        <v>51</v>
      </c>
      <c r="Q80" s="258" t="s">
        <v>427</v>
      </c>
      <c r="R80" s="258"/>
      <c r="S80" s="240" t="s">
        <v>73</v>
      </c>
      <c r="T80" s="241">
        <v>46149</v>
      </c>
      <c r="U80" s="240" t="s">
        <v>73</v>
      </c>
      <c r="V80" s="239" t="s">
        <v>428</v>
      </c>
      <c r="W80" s="239"/>
      <c r="X80" s="239"/>
      <c r="Y80" s="238" t="s">
        <v>429</v>
      </c>
      <c r="Z80" s="238" t="s">
        <v>430</v>
      </c>
      <c r="AA80" s="274">
        <v>9.86</v>
      </c>
      <c r="AB80" s="270">
        <f t="shared" si="11"/>
        <v>9860</v>
      </c>
      <c r="AC80" s="271"/>
      <c r="AD80" s="230" t="s">
        <v>113</v>
      </c>
      <c r="AE80" s="235" t="s">
        <v>56</v>
      </c>
      <c r="AF80" s="270"/>
      <c r="AG80" s="270"/>
      <c r="AH80" s="258"/>
      <c r="AI80" s="238"/>
      <c r="AJ80" s="270"/>
      <c r="AK80" s="270"/>
      <c r="AL80" s="270"/>
      <c r="AM80" s="270"/>
      <c r="AN80" s="270"/>
      <c r="AO80" s="259">
        <f t="shared" si="17"/>
        <v>1000</v>
      </c>
      <c r="AP80" s="260"/>
      <c r="AQ80" s="260">
        <f>I80</f>
        <v>1000</v>
      </c>
      <c r="AR80" s="260">
        <f>I80</f>
        <v>1000</v>
      </c>
      <c r="AS80" s="260"/>
      <c r="AT80" s="260"/>
      <c r="AU80" s="272"/>
      <c r="AV80" s="180"/>
      <c r="AW80" s="180"/>
      <c r="AX80" s="180"/>
      <c r="AY80" s="180"/>
      <c r="AZ80" s="180"/>
      <c r="BA80" s="180"/>
    </row>
    <row r="81" s="179" customFormat="1" ht="39" customHeight="1" spans="1:53 16368:16384">
      <c r="A81" s="233">
        <v>46151</v>
      </c>
      <c r="B81" s="258" t="s">
        <v>431</v>
      </c>
      <c r="C81" s="258" t="s">
        <v>432</v>
      </c>
      <c r="D81" s="238">
        <v>4500205940</v>
      </c>
      <c r="E81" s="269" t="s">
        <v>216</v>
      </c>
      <c r="F81" s="269" t="s">
        <v>433</v>
      </c>
      <c r="G81" s="238" t="s">
        <v>59</v>
      </c>
      <c r="H81" s="238" t="s">
        <v>49</v>
      </c>
      <c r="I81" s="238">
        <v>400</v>
      </c>
      <c r="J81" s="238">
        <v>0</v>
      </c>
      <c r="K81" s="238">
        <v>4</v>
      </c>
      <c r="L81" s="238">
        <f t="shared" si="15"/>
        <v>100</v>
      </c>
      <c r="M81" s="239">
        <v>46191</v>
      </c>
      <c r="N81" s="239">
        <f>M81-3</f>
        <v>46188</v>
      </c>
      <c r="O81" s="239" t="s">
        <v>61</v>
      </c>
      <c r="P81" s="258" t="s">
        <v>51</v>
      </c>
      <c r="Q81" s="222">
        <v>46208</v>
      </c>
      <c r="R81" s="258"/>
      <c r="S81" s="240" t="s">
        <v>73</v>
      </c>
      <c r="T81" s="241">
        <v>46163</v>
      </c>
      <c r="U81" s="240">
        <v>46169</v>
      </c>
      <c r="V81" s="239"/>
      <c r="W81" s="239"/>
      <c r="X81" s="239"/>
      <c r="Y81" s="238" t="s">
        <v>434</v>
      </c>
      <c r="Z81" s="238" t="s">
        <v>435</v>
      </c>
      <c r="AA81" s="274">
        <v>9.86</v>
      </c>
      <c r="AB81" s="270">
        <f t="shared" si="11"/>
        <v>3944</v>
      </c>
      <c r="AC81" s="271"/>
      <c r="AD81" s="230" t="s">
        <v>113</v>
      </c>
      <c r="AE81" s="235" t="s">
        <v>56</v>
      </c>
      <c r="AF81" s="270"/>
      <c r="AG81" s="270"/>
      <c r="AH81" s="258"/>
      <c r="AI81" s="238"/>
      <c r="AJ81" s="270"/>
      <c r="AK81" s="270"/>
      <c r="AL81" s="270"/>
      <c r="AM81" s="270"/>
      <c r="AN81" s="270"/>
      <c r="AO81" s="259">
        <f t="shared" si="17"/>
        <v>400</v>
      </c>
      <c r="AP81" s="260"/>
      <c r="AQ81" s="260">
        <f>AO81</f>
        <v>400</v>
      </c>
      <c r="AR81" s="260"/>
      <c r="AS81" s="260">
        <f>AO81</f>
        <v>400</v>
      </c>
      <c r="AT81" s="260"/>
      <c r="AU81" s="272"/>
      <c r="AV81" s="180"/>
      <c r="AW81" s="180"/>
      <c r="AX81" s="180"/>
      <c r="AY81" s="180"/>
      <c r="AZ81" s="180"/>
      <c r="BA81" s="180"/>
    </row>
    <row r="82" s="179" customFormat="1" ht="39" customHeight="1" spans="1:53 16368:16384">
      <c r="A82" s="233">
        <v>46136</v>
      </c>
      <c r="B82" s="258" t="s">
        <v>143</v>
      </c>
      <c r="C82" s="258" t="s">
        <v>144</v>
      </c>
      <c r="D82" s="238" t="s">
        <v>436</v>
      </c>
      <c r="E82" s="269" t="s">
        <v>437</v>
      </c>
      <c r="F82" s="269" t="s">
        <v>438</v>
      </c>
      <c r="G82" s="238" t="s">
        <v>59</v>
      </c>
      <c r="H82" s="238" t="s">
        <v>49</v>
      </c>
      <c r="I82" s="238">
        <v>88</v>
      </c>
      <c r="J82" s="238">
        <v>0</v>
      </c>
      <c r="K82" s="238">
        <v>4</v>
      </c>
      <c r="L82" s="238">
        <f t="shared" si="15"/>
        <v>22</v>
      </c>
      <c r="M82" s="239">
        <v>46192</v>
      </c>
      <c r="N82" s="239">
        <v>46188</v>
      </c>
      <c r="O82" s="239"/>
      <c r="P82" s="267" t="s">
        <v>51</v>
      </c>
      <c r="Q82" s="258" t="s">
        <v>439</v>
      </c>
      <c r="R82" s="258"/>
      <c r="S82" s="240" t="s">
        <v>73</v>
      </c>
      <c r="T82" s="241">
        <v>46141</v>
      </c>
      <c r="U82" s="240" t="s">
        <v>73</v>
      </c>
      <c r="V82" s="239"/>
      <c r="W82" s="239"/>
      <c r="X82" s="239"/>
      <c r="Y82" s="238" t="s">
        <v>440</v>
      </c>
      <c r="Z82" s="238" t="s">
        <v>112</v>
      </c>
      <c r="AA82" s="274">
        <v>9.86</v>
      </c>
      <c r="AB82" s="270">
        <f t="shared" si="11"/>
        <v>867.68</v>
      </c>
      <c r="AC82" s="271"/>
      <c r="AD82" s="230" t="s">
        <v>113</v>
      </c>
      <c r="AE82" s="235" t="s">
        <v>56</v>
      </c>
      <c r="AF82" s="270"/>
      <c r="AG82" s="270"/>
      <c r="AH82" s="258"/>
      <c r="AI82" s="238"/>
      <c r="AJ82" s="270"/>
      <c r="AK82" s="270"/>
      <c r="AL82" s="270"/>
      <c r="AM82" s="270"/>
      <c r="AN82" s="270"/>
      <c r="AO82" s="259">
        <f t="shared" si="17"/>
        <v>88</v>
      </c>
      <c r="AP82" s="260"/>
      <c r="AQ82" s="260">
        <f>I82</f>
        <v>88</v>
      </c>
      <c r="AR82" s="260">
        <f>I82</f>
        <v>88</v>
      </c>
      <c r="AS82" s="260"/>
      <c r="AT82" s="260"/>
      <c r="AU82" s="272"/>
      <c r="AV82" s="180"/>
      <c r="AW82" s="180"/>
      <c r="AX82" s="180"/>
      <c r="AY82" s="180"/>
      <c r="AZ82" s="180"/>
      <c r="BA82" s="180"/>
      <c r="XEV82" s="281"/>
      <c r="XEW82" s="281"/>
      <c r="XEX82" s="281"/>
      <c r="XEY82" s="281"/>
      <c r="XEZ82" s="281"/>
      <c r="XFA82" s="281"/>
      <c r="XFB82" s="281"/>
      <c r="XFC82" s="281"/>
      <c r="XFD82" s="281"/>
    </row>
    <row r="83" s="179" customFormat="1" ht="39" customHeight="1" spans="1:53 16368:16384">
      <c r="A83" s="233">
        <v>46136</v>
      </c>
      <c r="B83" s="258" t="s">
        <v>143</v>
      </c>
      <c r="C83" s="258" t="s">
        <v>144</v>
      </c>
      <c r="D83" s="238" t="s">
        <v>436</v>
      </c>
      <c r="E83" s="269" t="s">
        <v>441</v>
      </c>
      <c r="F83" s="269" t="s">
        <v>442</v>
      </c>
      <c r="G83" s="238" t="s">
        <v>59</v>
      </c>
      <c r="H83" s="238" t="s">
        <v>49</v>
      </c>
      <c r="I83" s="238">
        <v>212</v>
      </c>
      <c r="J83" s="238">
        <v>0</v>
      </c>
      <c r="K83" s="238">
        <v>4</v>
      </c>
      <c r="L83" s="238">
        <f t="shared" si="15"/>
        <v>53</v>
      </c>
      <c r="M83" s="239">
        <v>46192</v>
      </c>
      <c r="N83" s="239">
        <v>46188</v>
      </c>
      <c r="O83" s="239"/>
      <c r="P83" s="267" t="s">
        <v>51</v>
      </c>
      <c r="Q83" s="258" t="s">
        <v>439</v>
      </c>
      <c r="R83" s="258"/>
      <c r="S83" s="240" t="s">
        <v>73</v>
      </c>
      <c r="T83" s="241">
        <v>46141</v>
      </c>
      <c r="U83" s="240" t="s">
        <v>73</v>
      </c>
      <c r="V83" s="239"/>
      <c r="W83" s="239"/>
      <c r="X83" s="239"/>
      <c r="Y83" s="238" t="s">
        <v>443</v>
      </c>
      <c r="Z83" s="238" t="s">
        <v>112</v>
      </c>
      <c r="AA83" s="274">
        <v>9.86</v>
      </c>
      <c r="AB83" s="270">
        <f t="shared" si="11"/>
        <v>2090.32</v>
      </c>
      <c r="AC83" s="271"/>
      <c r="AD83" s="230" t="s">
        <v>113</v>
      </c>
      <c r="AE83" s="235" t="s">
        <v>56</v>
      </c>
      <c r="AF83" s="270"/>
      <c r="AG83" s="270"/>
      <c r="AH83" s="258"/>
      <c r="AI83" s="238"/>
      <c r="AJ83" s="270"/>
      <c r="AK83" s="270"/>
      <c r="AL83" s="270"/>
      <c r="AM83" s="270"/>
      <c r="AN83" s="270"/>
      <c r="AO83" s="259">
        <f t="shared" si="17"/>
        <v>212</v>
      </c>
      <c r="AP83" s="260"/>
      <c r="AQ83" s="260">
        <f>I83</f>
        <v>212</v>
      </c>
      <c r="AR83" s="260">
        <f>I83</f>
        <v>212</v>
      </c>
      <c r="AS83" s="260"/>
      <c r="AT83" s="260"/>
      <c r="AU83" s="272"/>
      <c r="AV83" s="180"/>
      <c r="AW83" s="180"/>
      <c r="AX83" s="180"/>
      <c r="AY83" s="180"/>
      <c r="AZ83" s="180"/>
      <c r="BA83" s="180"/>
    </row>
    <row r="84" s="178" customFormat="1" ht="39" customHeight="1" spans="1:53 16368:16384">
      <c r="A84" s="216">
        <v>46142</v>
      </c>
      <c r="B84" s="248" t="s">
        <v>85</v>
      </c>
      <c r="C84" s="248" t="s">
        <v>77</v>
      </c>
      <c r="D84" s="221" t="s">
        <v>444</v>
      </c>
      <c r="E84" s="249" t="s">
        <v>445</v>
      </c>
      <c r="F84" s="249" t="s">
        <v>446</v>
      </c>
      <c r="G84" s="221" t="s">
        <v>59</v>
      </c>
      <c r="H84" s="221" t="s">
        <v>49</v>
      </c>
      <c r="I84" s="221">
        <v>700</v>
      </c>
      <c r="J84" s="221">
        <v>0</v>
      </c>
      <c r="K84" s="221">
        <v>4</v>
      </c>
      <c r="L84" s="221">
        <f t="shared" si="15"/>
        <v>175</v>
      </c>
      <c r="M84" s="222">
        <v>46192</v>
      </c>
      <c r="N84" s="222">
        <v>46188</v>
      </c>
      <c r="O84" s="222"/>
      <c r="P84" s="267" t="s">
        <v>51</v>
      </c>
      <c r="Q84" s="248" t="s">
        <v>447</v>
      </c>
      <c r="R84" s="248"/>
      <c r="S84" s="224" t="s">
        <v>61</v>
      </c>
      <c r="T84" s="225">
        <v>46157</v>
      </c>
      <c r="U84" s="224">
        <v>46169</v>
      </c>
      <c r="V84" s="222"/>
      <c r="W84" s="222"/>
      <c r="X84" s="222"/>
      <c r="Y84" s="221" t="s">
        <v>448</v>
      </c>
      <c r="Z84" s="221" t="s">
        <v>91</v>
      </c>
      <c r="AA84" s="250">
        <v>5.82</v>
      </c>
      <c r="AB84" s="252">
        <f t="shared" si="11"/>
        <v>4074</v>
      </c>
      <c r="AC84" s="278" t="s">
        <v>449</v>
      </c>
      <c r="AD84" s="232" t="s">
        <v>55</v>
      </c>
      <c r="AE84" s="218" t="s">
        <v>56</v>
      </c>
      <c r="AF84" s="252"/>
      <c r="AG84" s="252"/>
      <c r="AH84" s="248"/>
      <c r="AI84" s="221"/>
      <c r="AJ84" s="252"/>
      <c r="AK84" s="252"/>
      <c r="AL84" s="252"/>
      <c r="AM84" s="252"/>
      <c r="AN84" s="252"/>
      <c r="AO84" s="261">
        <f t="shared" si="17"/>
        <v>700</v>
      </c>
      <c r="AP84" s="262">
        <f>I84</f>
        <v>700</v>
      </c>
      <c r="AQ84" s="262"/>
      <c r="AR84" s="262">
        <f>I84</f>
        <v>700</v>
      </c>
      <c r="AS84" s="262"/>
      <c r="AT84" s="262"/>
      <c r="AU84" s="264"/>
      <c r="AV84" s="255"/>
      <c r="AW84" s="255"/>
      <c r="AX84" s="255"/>
      <c r="AY84" s="255"/>
      <c r="AZ84" s="255"/>
      <c r="BA84" s="255"/>
    </row>
    <row r="85" s="179" customFormat="1" ht="39" customHeight="1" spans="1:53 16368:16384">
      <c r="A85" s="233">
        <v>46129</v>
      </c>
      <c r="B85" s="258" t="s">
        <v>450</v>
      </c>
      <c r="C85" s="258" t="s">
        <v>451</v>
      </c>
      <c r="D85" s="238">
        <v>4500202382</v>
      </c>
      <c r="E85" s="269"/>
      <c r="F85" s="269" t="s">
        <v>452</v>
      </c>
      <c r="G85" s="238" t="s">
        <v>59</v>
      </c>
      <c r="H85" s="238" t="s">
        <v>49</v>
      </c>
      <c r="I85" s="238">
        <v>720</v>
      </c>
      <c r="J85" s="238">
        <v>0</v>
      </c>
      <c r="K85" s="238">
        <v>4</v>
      </c>
      <c r="L85" s="238">
        <v>180</v>
      </c>
      <c r="M85" s="239">
        <v>46171</v>
      </c>
      <c r="N85" s="239">
        <v>46191</v>
      </c>
      <c r="O85" s="239" t="s">
        <v>50</v>
      </c>
      <c r="P85" s="267" t="s">
        <v>51</v>
      </c>
      <c r="Q85" s="258" t="s">
        <v>453</v>
      </c>
      <c r="R85" s="258"/>
      <c r="S85" s="240"/>
      <c r="T85" s="241">
        <v>46132</v>
      </c>
      <c r="U85" s="240" t="s">
        <v>454</v>
      </c>
      <c r="V85" s="239"/>
      <c r="W85" s="239"/>
      <c r="X85" s="239"/>
      <c r="Y85" s="282" t="s">
        <v>455</v>
      </c>
      <c r="Z85" s="282" t="s">
        <v>362</v>
      </c>
      <c r="AA85" s="283">
        <v>9.86</v>
      </c>
      <c r="AB85" s="284">
        <v>7099.2</v>
      </c>
      <c r="AC85" s="271"/>
      <c r="AD85" s="285" t="s">
        <v>55</v>
      </c>
      <c r="AE85" s="286" t="s">
        <v>56</v>
      </c>
      <c r="AF85" s="246"/>
      <c r="AG85" s="246"/>
      <c r="AH85" s="246"/>
      <c r="AI85" s="246"/>
      <c r="AJ85" s="246"/>
      <c r="AK85" s="246"/>
      <c r="AL85" s="287"/>
      <c r="AM85" s="288"/>
      <c r="AN85" s="288"/>
      <c r="AO85" s="289">
        <v>720</v>
      </c>
      <c r="AP85" s="260">
        <v>720</v>
      </c>
      <c r="AQ85" s="260"/>
      <c r="AR85" s="260">
        <v>720</v>
      </c>
      <c r="AS85" s="181"/>
      <c r="AT85" s="181"/>
      <c r="AU85" s="181"/>
      <c r="AV85" s="179"/>
      <c r="AW85" s="179"/>
      <c r="AX85" s="179"/>
      <c r="AY85" s="179"/>
      <c r="AZ85" s="179"/>
      <c r="BA85" s="179"/>
      <c r="XEN85" s="290"/>
      <c r="XEO85" s="290"/>
      <c r="XEP85" s="290"/>
      <c r="XEQ85" s="290"/>
      <c r="XER85" s="290"/>
      <c r="XES85" s="290"/>
      <c r="XET85" s="290"/>
      <c r="XEU85" s="290"/>
      <c r="XEV85" s="239"/>
      <c r="XEW85" s="258"/>
      <c r="XEX85" s="258"/>
      <c r="XEY85" s="238"/>
      <c r="XEZ85" s="269"/>
      <c r="XFA85" s="269"/>
      <c r="XFB85" s="238"/>
      <c r="XFC85" s="238"/>
      <c r="XFD85" s="238"/>
    </row>
    <row r="86" s="179" customFormat="1" ht="39" customHeight="1" spans="1:53 16368:16384">
      <c r="A86" s="233">
        <v>46136</v>
      </c>
      <c r="B86" s="258" t="s">
        <v>118</v>
      </c>
      <c r="C86" s="258" t="s">
        <v>119</v>
      </c>
      <c r="D86" s="238" t="s">
        <v>456</v>
      </c>
      <c r="E86" s="269" t="s">
        <v>457</v>
      </c>
      <c r="F86" s="269" t="s">
        <v>458</v>
      </c>
      <c r="G86" s="238" t="s">
        <v>59</v>
      </c>
      <c r="H86" s="238" t="s">
        <v>49</v>
      </c>
      <c r="I86" s="238">
        <v>352</v>
      </c>
      <c r="J86" s="238">
        <v>0</v>
      </c>
      <c r="K86" s="238">
        <v>4</v>
      </c>
      <c r="L86" s="238">
        <f t="shared" ref="L86:L149" si="18">I86/K86</f>
        <v>88</v>
      </c>
      <c r="M86" s="239">
        <v>46195</v>
      </c>
      <c r="N86" s="239">
        <v>46191</v>
      </c>
      <c r="O86" s="239"/>
      <c r="P86" s="267" t="s">
        <v>51</v>
      </c>
      <c r="Q86" s="222">
        <v>46206</v>
      </c>
      <c r="R86" s="258"/>
      <c r="S86" s="240"/>
      <c r="T86" s="241">
        <v>46141</v>
      </c>
      <c r="U86" s="240" t="s">
        <v>73</v>
      </c>
      <c r="V86" s="239"/>
      <c r="W86" s="239"/>
      <c r="X86" s="239"/>
      <c r="Y86" s="238" t="s">
        <v>459</v>
      </c>
      <c r="Z86" s="238" t="s">
        <v>112</v>
      </c>
      <c r="AA86" s="274">
        <v>9.86</v>
      </c>
      <c r="AB86" s="270">
        <f t="shared" ref="AB86:AB149" si="19">I86*AA86</f>
        <v>3470.72</v>
      </c>
      <c r="AC86" s="271"/>
      <c r="AD86" s="230" t="s">
        <v>113</v>
      </c>
      <c r="AE86" s="235" t="s">
        <v>56</v>
      </c>
      <c r="AF86" s="270"/>
      <c r="AG86" s="270"/>
      <c r="AH86" s="258"/>
      <c r="AI86" s="238"/>
      <c r="AJ86" s="270"/>
      <c r="AK86" s="270"/>
      <c r="AL86" s="270"/>
      <c r="AM86" s="270"/>
      <c r="AN86" s="270"/>
      <c r="AO86" s="259">
        <f t="shared" ref="AO86:AO149" si="20">I86</f>
        <v>352</v>
      </c>
      <c r="AP86" s="260"/>
      <c r="AQ86" s="260">
        <f>I86</f>
        <v>352</v>
      </c>
      <c r="AR86" s="260">
        <f>I86</f>
        <v>352</v>
      </c>
      <c r="AS86" s="260"/>
      <c r="AT86" s="260"/>
      <c r="AU86" s="272"/>
      <c r="AV86" s="180"/>
      <c r="AW86" s="180"/>
      <c r="AX86" s="180"/>
      <c r="AY86" s="180"/>
      <c r="AZ86" s="180"/>
      <c r="BA86" s="180"/>
      <c r="XEV86" s="281"/>
      <c r="XEW86" s="281"/>
      <c r="XEX86" s="281"/>
      <c r="XEY86" s="281"/>
      <c r="XEZ86" s="281"/>
      <c r="XFA86" s="281"/>
      <c r="XFB86" s="281"/>
      <c r="XFC86" s="281"/>
      <c r="XFD86" s="281"/>
    </row>
    <row r="87" s="178" customFormat="1" ht="39" customHeight="1" spans="1:53 16368:16384">
      <c r="A87" s="216">
        <v>46153</v>
      </c>
      <c r="B87" s="248" t="s">
        <v>460</v>
      </c>
      <c r="C87" s="248" t="s">
        <v>77</v>
      </c>
      <c r="D87" s="221">
        <v>4500206179</v>
      </c>
      <c r="E87" s="249" t="s">
        <v>461</v>
      </c>
      <c r="F87" s="249" t="s">
        <v>462</v>
      </c>
      <c r="G87" s="221" t="s">
        <v>59</v>
      </c>
      <c r="H87" s="221" t="s">
        <v>49</v>
      </c>
      <c r="I87" s="221">
        <v>60</v>
      </c>
      <c r="J87" s="221">
        <v>0</v>
      </c>
      <c r="K87" s="221">
        <v>4</v>
      </c>
      <c r="L87" s="221">
        <f t="shared" si="18"/>
        <v>15</v>
      </c>
      <c r="M87" s="222">
        <v>46195</v>
      </c>
      <c r="N87" s="222">
        <v>46191</v>
      </c>
      <c r="O87" s="222"/>
      <c r="P87" s="291" t="s">
        <v>463</v>
      </c>
      <c r="Q87" s="222">
        <v>46199</v>
      </c>
      <c r="R87" s="248"/>
      <c r="S87" s="224"/>
      <c r="T87" s="225">
        <v>46161</v>
      </c>
      <c r="U87" s="224">
        <v>46169</v>
      </c>
      <c r="V87" s="222"/>
      <c r="W87" s="222"/>
      <c r="X87" s="222"/>
      <c r="Y87" s="221" t="s">
        <v>464</v>
      </c>
      <c r="Z87" s="221" t="s">
        <v>349</v>
      </c>
      <c r="AA87" s="250">
        <v>7.1735</v>
      </c>
      <c r="AB87" s="252">
        <f t="shared" si="19"/>
        <v>430.41</v>
      </c>
      <c r="AC87" s="278" t="s">
        <v>465</v>
      </c>
      <c r="AD87" s="232" t="s">
        <v>55</v>
      </c>
      <c r="AE87" s="218" t="s">
        <v>56</v>
      </c>
      <c r="AF87" s="252"/>
      <c r="AG87" s="252"/>
      <c r="AH87" s="248"/>
      <c r="AI87" s="221"/>
      <c r="AJ87" s="252"/>
      <c r="AK87" s="252"/>
      <c r="AL87" s="252"/>
      <c r="AM87" s="252"/>
      <c r="AN87" s="252"/>
      <c r="AO87" s="261">
        <f t="shared" si="20"/>
        <v>60</v>
      </c>
      <c r="AP87" s="262">
        <f>AO87</f>
        <v>60</v>
      </c>
      <c r="AQ87" s="262"/>
      <c r="AR87" s="262">
        <f>AO87</f>
        <v>60</v>
      </c>
      <c r="AS87" s="262"/>
      <c r="AT87" s="262"/>
      <c r="AU87" s="264"/>
      <c r="AV87" s="255"/>
      <c r="AW87" s="255"/>
      <c r="AX87" s="255"/>
      <c r="AY87" s="255"/>
      <c r="AZ87" s="255"/>
      <c r="BA87" s="255"/>
    </row>
    <row r="88" s="178" customFormat="1" ht="39" customHeight="1" spans="1:53 16368:16384">
      <c r="A88" s="216">
        <v>46153</v>
      </c>
      <c r="B88" s="248" t="s">
        <v>460</v>
      </c>
      <c r="C88" s="248" t="s">
        <v>77</v>
      </c>
      <c r="D88" s="221" t="s">
        <v>466</v>
      </c>
      <c r="E88" s="249" t="s">
        <v>467</v>
      </c>
      <c r="F88" s="249" t="s">
        <v>468</v>
      </c>
      <c r="G88" s="221" t="s">
        <v>59</v>
      </c>
      <c r="H88" s="221" t="s">
        <v>49</v>
      </c>
      <c r="I88" s="221">
        <v>36</v>
      </c>
      <c r="J88" s="221">
        <v>0</v>
      </c>
      <c r="K88" s="221">
        <v>4</v>
      </c>
      <c r="L88" s="221">
        <f t="shared" si="18"/>
        <v>9</v>
      </c>
      <c r="M88" s="222">
        <v>46195</v>
      </c>
      <c r="N88" s="222">
        <v>46191</v>
      </c>
      <c r="O88" s="222"/>
      <c r="P88" s="291" t="s">
        <v>463</v>
      </c>
      <c r="Q88" s="222">
        <v>46199</v>
      </c>
      <c r="R88" s="248"/>
      <c r="S88" s="224"/>
      <c r="T88" s="225">
        <v>46161</v>
      </c>
      <c r="U88" s="224" t="s">
        <v>73</v>
      </c>
      <c r="V88" s="222"/>
      <c r="W88" s="222"/>
      <c r="X88" s="222"/>
      <c r="Y88" s="221" t="s">
        <v>464</v>
      </c>
      <c r="Z88" s="221" t="s">
        <v>349</v>
      </c>
      <c r="AA88" s="250">
        <v>7.1736</v>
      </c>
      <c r="AB88" s="252">
        <f t="shared" si="19"/>
        <v>258.2496</v>
      </c>
      <c r="AC88" s="278" t="s">
        <v>469</v>
      </c>
      <c r="AD88" s="232" t="s">
        <v>55</v>
      </c>
      <c r="AE88" s="218" t="s">
        <v>56</v>
      </c>
      <c r="AF88" s="252"/>
      <c r="AG88" s="252"/>
      <c r="AH88" s="248"/>
      <c r="AI88" s="221"/>
      <c r="AJ88" s="252"/>
      <c r="AK88" s="252"/>
      <c r="AL88" s="252"/>
      <c r="AM88" s="252"/>
      <c r="AN88" s="252"/>
      <c r="AO88" s="261">
        <f t="shared" si="20"/>
        <v>36</v>
      </c>
      <c r="AP88" s="262">
        <f>AO88</f>
        <v>36</v>
      </c>
      <c r="AQ88" s="262"/>
      <c r="AR88" s="262">
        <f>AO88</f>
        <v>36</v>
      </c>
      <c r="AS88" s="262"/>
      <c r="AT88" s="262"/>
      <c r="AU88" s="264"/>
      <c r="AV88" s="255"/>
      <c r="AW88" s="255"/>
      <c r="AX88" s="255"/>
      <c r="AY88" s="255"/>
      <c r="AZ88" s="255"/>
      <c r="BA88" s="255"/>
    </row>
    <row r="89" s="178" customFormat="1" ht="39" customHeight="1" spans="1:53 16368:16384">
      <c r="A89" s="216">
        <v>46153</v>
      </c>
      <c r="B89" s="248" t="s">
        <v>460</v>
      </c>
      <c r="C89" s="248" t="s">
        <v>77</v>
      </c>
      <c r="D89" s="221" t="s">
        <v>466</v>
      </c>
      <c r="E89" s="249" t="s">
        <v>470</v>
      </c>
      <c r="F89" s="249" t="s">
        <v>471</v>
      </c>
      <c r="G89" s="221" t="s">
        <v>59</v>
      </c>
      <c r="H89" s="221" t="s">
        <v>49</v>
      </c>
      <c r="I89" s="221">
        <v>84</v>
      </c>
      <c r="J89" s="221">
        <v>0</v>
      </c>
      <c r="K89" s="221">
        <v>4</v>
      </c>
      <c r="L89" s="221">
        <f t="shared" si="18"/>
        <v>21</v>
      </c>
      <c r="M89" s="222">
        <v>46195</v>
      </c>
      <c r="N89" s="222">
        <v>46191</v>
      </c>
      <c r="O89" s="222"/>
      <c r="P89" s="291" t="s">
        <v>463</v>
      </c>
      <c r="Q89" s="222">
        <v>46199</v>
      </c>
      <c r="R89" s="248"/>
      <c r="S89" s="224"/>
      <c r="T89" s="225">
        <v>46161</v>
      </c>
      <c r="U89" s="224">
        <v>46169</v>
      </c>
      <c r="V89" s="222"/>
      <c r="W89" s="222"/>
      <c r="X89" s="222"/>
      <c r="Y89" s="221" t="s">
        <v>464</v>
      </c>
      <c r="Z89" s="221" t="s">
        <v>349</v>
      </c>
      <c r="AA89" s="250">
        <v>7.1735</v>
      </c>
      <c r="AB89" s="252">
        <f t="shared" si="19"/>
        <v>602.574</v>
      </c>
      <c r="AC89" s="278" t="s">
        <v>472</v>
      </c>
      <c r="AD89" s="232" t="s">
        <v>55</v>
      </c>
      <c r="AE89" s="218" t="s">
        <v>56</v>
      </c>
      <c r="AF89" s="252"/>
      <c r="AG89" s="252"/>
      <c r="AH89" s="248"/>
      <c r="AI89" s="221"/>
      <c r="AJ89" s="252"/>
      <c r="AK89" s="252"/>
      <c r="AL89" s="252"/>
      <c r="AM89" s="252"/>
      <c r="AN89" s="252"/>
      <c r="AO89" s="261">
        <f t="shared" si="20"/>
        <v>84</v>
      </c>
      <c r="AP89" s="262">
        <f>AO89</f>
        <v>84</v>
      </c>
      <c r="AQ89" s="262"/>
      <c r="AR89" s="262">
        <f>AO89</f>
        <v>84</v>
      </c>
      <c r="AS89" s="262"/>
      <c r="AT89" s="262"/>
      <c r="AU89" s="264"/>
      <c r="AV89" s="255"/>
      <c r="AW89" s="255"/>
      <c r="AX89" s="255"/>
      <c r="AY89" s="255"/>
      <c r="AZ89" s="255"/>
      <c r="BA89" s="255"/>
    </row>
    <row r="90" s="178" customFormat="1" ht="39" customHeight="1" spans="1:53 16368:16384">
      <c r="A90" s="216">
        <v>46153</v>
      </c>
      <c r="B90" s="248" t="s">
        <v>460</v>
      </c>
      <c r="C90" s="248" t="s">
        <v>77</v>
      </c>
      <c r="D90" s="221" t="s">
        <v>466</v>
      </c>
      <c r="E90" s="249" t="s">
        <v>473</v>
      </c>
      <c r="F90" s="249" t="s">
        <v>474</v>
      </c>
      <c r="G90" s="221" t="s">
        <v>59</v>
      </c>
      <c r="H90" s="221" t="s">
        <v>49</v>
      </c>
      <c r="I90" s="221">
        <v>56</v>
      </c>
      <c r="J90" s="221">
        <v>0</v>
      </c>
      <c r="K90" s="221">
        <v>4</v>
      </c>
      <c r="L90" s="221">
        <f t="shared" si="18"/>
        <v>14</v>
      </c>
      <c r="M90" s="222">
        <v>46195</v>
      </c>
      <c r="N90" s="222">
        <v>46191</v>
      </c>
      <c r="O90" s="222"/>
      <c r="P90" s="291" t="s">
        <v>463</v>
      </c>
      <c r="Q90" s="222">
        <v>46199</v>
      </c>
      <c r="R90" s="248"/>
      <c r="S90" s="224"/>
      <c r="T90" s="225">
        <v>46161</v>
      </c>
      <c r="U90" s="224">
        <v>46169</v>
      </c>
      <c r="V90" s="222"/>
      <c r="W90" s="222"/>
      <c r="X90" s="222"/>
      <c r="Y90" s="221" t="s">
        <v>464</v>
      </c>
      <c r="Z90" s="221" t="s">
        <v>349</v>
      </c>
      <c r="AA90" s="250">
        <v>7.1734</v>
      </c>
      <c r="AB90" s="252">
        <f t="shared" si="19"/>
        <v>401.7104</v>
      </c>
      <c r="AC90" s="278" t="s">
        <v>465</v>
      </c>
      <c r="AD90" s="232" t="s">
        <v>55</v>
      </c>
      <c r="AE90" s="218" t="s">
        <v>56</v>
      </c>
      <c r="AF90" s="252"/>
      <c r="AG90" s="252"/>
      <c r="AH90" s="248"/>
      <c r="AI90" s="221"/>
      <c r="AJ90" s="252"/>
      <c r="AK90" s="252"/>
      <c r="AL90" s="252"/>
      <c r="AM90" s="252"/>
      <c r="AN90" s="252"/>
      <c r="AO90" s="261">
        <f t="shared" si="20"/>
        <v>56</v>
      </c>
      <c r="AP90" s="262">
        <f>AO90</f>
        <v>56</v>
      </c>
      <c r="AQ90" s="262"/>
      <c r="AR90" s="262">
        <f>AO90</f>
        <v>56</v>
      </c>
      <c r="AS90" s="262"/>
      <c r="AT90" s="262"/>
      <c r="AU90" s="264"/>
      <c r="AV90" s="255"/>
      <c r="AW90" s="255"/>
      <c r="AX90" s="255"/>
      <c r="AY90" s="255"/>
      <c r="AZ90" s="255"/>
      <c r="BA90" s="255"/>
    </row>
    <row r="91" s="178" customFormat="1" ht="39" customHeight="1" spans="1:53 16368:16384">
      <c r="A91" s="216">
        <v>46153</v>
      </c>
      <c r="B91" s="248" t="s">
        <v>460</v>
      </c>
      <c r="C91" s="248" t="s">
        <v>77</v>
      </c>
      <c r="D91" s="221" t="s">
        <v>466</v>
      </c>
      <c r="E91" s="249" t="s">
        <v>475</v>
      </c>
      <c r="F91" s="249" t="s">
        <v>476</v>
      </c>
      <c r="G91" s="221" t="s">
        <v>59</v>
      </c>
      <c r="H91" s="221" t="s">
        <v>49</v>
      </c>
      <c r="I91" s="221">
        <v>64</v>
      </c>
      <c r="J91" s="221">
        <v>0</v>
      </c>
      <c r="K91" s="221">
        <v>4</v>
      </c>
      <c r="L91" s="221">
        <f t="shared" si="18"/>
        <v>16</v>
      </c>
      <c r="M91" s="222">
        <v>46195</v>
      </c>
      <c r="N91" s="222">
        <v>46191</v>
      </c>
      <c r="O91" s="222"/>
      <c r="P91" s="291" t="s">
        <v>463</v>
      </c>
      <c r="Q91" s="222">
        <v>46199</v>
      </c>
      <c r="R91" s="248"/>
      <c r="S91" s="224"/>
      <c r="T91" s="225">
        <v>46161</v>
      </c>
      <c r="U91" s="225" t="s">
        <v>73</v>
      </c>
      <c r="V91" s="222"/>
      <c r="W91" s="222"/>
      <c r="X91" s="222"/>
      <c r="Y91" s="221" t="s">
        <v>464</v>
      </c>
      <c r="Z91" s="221" t="s">
        <v>349</v>
      </c>
      <c r="AA91" s="250">
        <v>7.1734</v>
      </c>
      <c r="AB91" s="252">
        <f t="shared" si="19"/>
        <v>459.0976</v>
      </c>
      <c r="AC91" s="278" t="s">
        <v>465</v>
      </c>
      <c r="AD91" s="232" t="s">
        <v>55</v>
      </c>
      <c r="AE91" s="218" t="s">
        <v>56</v>
      </c>
      <c r="AF91" s="252"/>
      <c r="AG91" s="252"/>
      <c r="AH91" s="248"/>
      <c r="AI91" s="221"/>
      <c r="AJ91" s="252"/>
      <c r="AK91" s="252"/>
      <c r="AL91" s="252"/>
      <c r="AM91" s="252"/>
      <c r="AN91" s="252"/>
      <c r="AO91" s="261">
        <f t="shared" si="20"/>
        <v>64</v>
      </c>
      <c r="AP91" s="262">
        <f>AO91</f>
        <v>64</v>
      </c>
      <c r="AQ91" s="262"/>
      <c r="AR91" s="262">
        <f>AO91</f>
        <v>64</v>
      </c>
      <c r="AS91" s="262"/>
      <c r="AT91" s="262"/>
      <c r="AU91" s="264"/>
      <c r="AV91" s="255"/>
      <c r="AW91" s="255"/>
      <c r="AX91" s="255"/>
      <c r="AY91" s="255"/>
      <c r="AZ91" s="255"/>
      <c r="BA91" s="255"/>
    </row>
    <row r="92" s="178" customFormat="1" ht="39" customHeight="1" spans="1:53 16368:16384">
      <c r="A92" s="216">
        <v>46142</v>
      </c>
      <c r="B92" s="248" t="s">
        <v>477</v>
      </c>
      <c r="C92" s="248" t="s">
        <v>478</v>
      </c>
      <c r="D92" s="221">
        <v>4500203672</v>
      </c>
      <c r="E92" s="249" t="s">
        <v>479</v>
      </c>
      <c r="F92" s="249" t="s">
        <v>480</v>
      </c>
      <c r="G92" s="221" t="s">
        <v>59</v>
      </c>
      <c r="H92" s="221" t="s">
        <v>49</v>
      </c>
      <c r="I92" s="221">
        <v>1160</v>
      </c>
      <c r="J92" s="221">
        <v>0</v>
      </c>
      <c r="K92" s="221">
        <v>4</v>
      </c>
      <c r="L92" s="221">
        <f t="shared" si="18"/>
        <v>290</v>
      </c>
      <c r="M92" s="222">
        <v>46196</v>
      </c>
      <c r="N92" s="222">
        <v>46192</v>
      </c>
      <c r="O92" s="292"/>
      <c r="P92" s="267" t="s">
        <v>51</v>
      </c>
      <c r="Q92" s="293" t="s">
        <v>481</v>
      </c>
      <c r="R92" s="248"/>
      <c r="S92" s="224"/>
      <c r="T92" s="225">
        <v>46163</v>
      </c>
      <c r="U92" s="224" t="s">
        <v>73</v>
      </c>
      <c r="V92" s="222"/>
      <c r="W92" s="222"/>
      <c r="X92" s="222"/>
      <c r="Y92" s="221" t="s">
        <v>482</v>
      </c>
      <c r="Z92" s="221" t="s">
        <v>430</v>
      </c>
      <c r="AA92" s="250">
        <v>9.86</v>
      </c>
      <c r="AB92" s="252">
        <f t="shared" si="19"/>
        <v>11437.6</v>
      </c>
      <c r="AC92" s="251"/>
      <c r="AD92" s="232" t="s">
        <v>113</v>
      </c>
      <c r="AE92" s="218" t="s">
        <v>56</v>
      </c>
      <c r="AF92" s="252"/>
      <c r="AG92" s="252"/>
      <c r="AH92" s="248"/>
      <c r="AI92" s="221"/>
      <c r="AJ92" s="252"/>
      <c r="AK92" s="252"/>
      <c r="AL92" s="252"/>
      <c r="AM92" s="252"/>
      <c r="AN92" s="252"/>
      <c r="AO92" s="261">
        <f t="shared" si="20"/>
        <v>1160</v>
      </c>
      <c r="AP92" s="262"/>
      <c r="AQ92" s="262">
        <f>I92</f>
        <v>1160</v>
      </c>
      <c r="AR92" s="262">
        <f>I92</f>
        <v>1160</v>
      </c>
      <c r="AS92" s="262"/>
      <c r="AT92" s="262"/>
      <c r="AU92" s="264"/>
      <c r="AV92" s="255"/>
      <c r="AW92" s="255"/>
      <c r="AX92" s="255"/>
      <c r="AY92" s="255"/>
      <c r="AZ92" s="255"/>
      <c r="BA92" s="255"/>
    </row>
    <row r="93" s="178" customFormat="1" ht="39" customHeight="1" spans="1:53 16368:16384">
      <c r="A93" s="216">
        <v>46142</v>
      </c>
      <c r="B93" s="248" t="s">
        <v>477</v>
      </c>
      <c r="C93" s="248" t="s">
        <v>478</v>
      </c>
      <c r="D93" s="221" t="s">
        <v>483</v>
      </c>
      <c r="E93" s="249" t="s">
        <v>484</v>
      </c>
      <c r="F93" s="249" t="s">
        <v>485</v>
      </c>
      <c r="G93" s="221" t="s">
        <v>59</v>
      </c>
      <c r="H93" s="221" t="s">
        <v>49</v>
      </c>
      <c r="I93" s="221">
        <v>340</v>
      </c>
      <c r="J93" s="221">
        <v>0</v>
      </c>
      <c r="K93" s="221">
        <v>4</v>
      </c>
      <c r="L93" s="221">
        <f t="shared" si="18"/>
        <v>85</v>
      </c>
      <c r="M93" s="222">
        <v>46196</v>
      </c>
      <c r="N93" s="222">
        <v>46192</v>
      </c>
      <c r="O93" s="222"/>
      <c r="P93" s="267" t="s">
        <v>51</v>
      </c>
      <c r="Q93" s="248" t="s">
        <v>481</v>
      </c>
      <c r="R93" s="248"/>
      <c r="S93" s="224"/>
      <c r="T93" s="225">
        <v>46163</v>
      </c>
      <c r="U93" s="224" t="s">
        <v>73</v>
      </c>
      <c r="V93" s="222"/>
      <c r="W93" s="222"/>
      <c r="X93" s="222"/>
      <c r="Y93" s="221" t="s">
        <v>486</v>
      </c>
      <c r="Z93" s="221" t="s">
        <v>430</v>
      </c>
      <c r="AA93" s="250">
        <v>9.86</v>
      </c>
      <c r="AB93" s="252">
        <f t="shared" si="19"/>
        <v>3352.4</v>
      </c>
      <c r="AC93" s="251"/>
      <c r="AD93" s="232" t="s">
        <v>113</v>
      </c>
      <c r="AE93" s="218" t="s">
        <v>56</v>
      </c>
      <c r="AF93" s="252"/>
      <c r="AG93" s="252"/>
      <c r="AH93" s="248"/>
      <c r="AI93" s="221"/>
      <c r="AJ93" s="252"/>
      <c r="AK93" s="252"/>
      <c r="AL93" s="252"/>
      <c r="AM93" s="252"/>
      <c r="AN93" s="252"/>
      <c r="AO93" s="261">
        <f t="shared" si="20"/>
        <v>340</v>
      </c>
      <c r="AP93" s="262"/>
      <c r="AQ93" s="262">
        <f>I93</f>
        <v>340</v>
      </c>
      <c r="AR93" s="262">
        <f>I93</f>
        <v>340</v>
      </c>
      <c r="AS93" s="262"/>
      <c r="AT93" s="262"/>
      <c r="AU93" s="264"/>
      <c r="AV93" s="255"/>
      <c r="AW93" s="255"/>
      <c r="AX93" s="255"/>
      <c r="AY93" s="255"/>
      <c r="AZ93" s="255"/>
      <c r="BA93" s="255"/>
    </row>
    <row r="94" s="179" customFormat="1" ht="39" customHeight="1" spans="1:53 16368:16384">
      <c r="A94" s="233">
        <v>46129</v>
      </c>
      <c r="B94" s="258" t="s">
        <v>238</v>
      </c>
      <c r="C94" s="258" t="s">
        <v>77</v>
      </c>
      <c r="D94" s="238" t="s">
        <v>487</v>
      </c>
      <c r="E94" s="269" t="s">
        <v>488</v>
      </c>
      <c r="F94" s="269" t="s">
        <v>489</v>
      </c>
      <c r="G94" s="238" t="s">
        <v>242</v>
      </c>
      <c r="H94" s="238" t="s">
        <v>49</v>
      </c>
      <c r="I94" s="238">
        <v>504</v>
      </c>
      <c r="J94" s="238">
        <v>0</v>
      </c>
      <c r="K94" s="238">
        <v>1</v>
      </c>
      <c r="L94" s="238">
        <f t="shared" si="18"/>
        <v>504</v>
      </c>
      <c r="M94" s="239">
        <v>46197</v>
      </c>
      <c r="N94" s="239">
        <v>46193</v>
      </c>
      <c r="O94" s="239">
        <v>46203</v>
      </c>
      <c r="P94" s="267" t="s">
        <v>51</v>
      </c>
      <c r="Q94" s="258" t="s">
        <v>490</v>
      </c>
      <c r="R94" s="258"/>
      <c r="S94" s="240" t="s">
        <v>61</v>
      </c>
      <c r="T94" s="241">
        <v>46129</v>
      </c>
      <c r="U94" s="240">
        <v>46134</v>
      </c>
      <c r="V94" s="239"/>
      <c r="W94" s="239"/>
      <c r="X94" s="239"/>
      <c r="Y94" s="238" t="s">
        <v>378</v>
      </c>
      <c r="Z94" s="238" t="s">
        <v>81</v>
      </c>
      <c r="AA94" s="274">
        <v>5.82</v>
      </c>
      <c r="AB94" s="270">
        <f t="shared" si="19"/>
        <v>2933.28</v>
      </c>
      <c r="AC94" s="275" t="s">
        <v>491</v>
      </c>
      <c r="AD94" s="230" t="s">
        <v>247</v>
      </c>
      <c r="AE94" s="235" t="s">
        <v>56</v>
      </c>
      <c r="AF94" s="270"/>
      <c r="AG94" s="270"/>
      <c r="AH94" s="258"/>
      <c r="AI94" s="238"/>
      <c r="AJ94" s="270"/>
      <c r="AK94" s="270"/>
      <c r="AL94" s="270"/>
      <c r="AM94" s="270"/>
      <c r="AN94" s="270"/>
      <c r="AO94" s="259">
        <f t="shared" si="20"/>
        <v>504</v>
      </c>
      <c r="AP94" s="260">
        <f>I94</f>
        <v>504</v>
      </c>
      <c r="AQ94" s="260"/>
      <c r="AR94" s="260"/>
      <c r="AS94" s="260">
        <f>AP94</f>
        <v>504</v>
      </c>
      <c r="AT94" s="260"/>
      <c r="AU94" s="272"/>
      <c r="AV94" s="180"/>
      <c r="AW94" s="180"/>
      <c r="AX94" s="180"/>
      <c r="AY94" s="180"/>
      <c r="AZ94" s="180"/>
      <c r="BA94" s="180"/>
    </row>
    <row r="95" s="179" customFormat="1" ht="39" customHeight="1" spans="1:53 16368:16384">
      <c r="A95" s="233">
        <v>46129</v>
      </c>
      <c r="B95" s="258" t="s">
        <v>238</v>
      </c>
      <c r="C95" s="258" t="s">
        <v>77</v>
      </c>
      <c r="D95" s="238" t="s">
        <v>487</v>
      </c>
      <c r="E95" s="269" t="s">
        <v>492</v>
      </c>
      <c r="F95" s="269" t="s">
        <v>493</v>
      </c>
      <c r="G95" s="238" t="s">
        <v>242</v>
      </c>
      <c r="H95" s="238" t="s">
        <v>49</v>
      </c>
      <c r="I95" s="238">
        <v>504</v>
      </c>
      <c r="J95" s="238">
        <v>0</v>
      </c>
      <c r="K95" s="238">
        <v>1</v>
      </c>
      <c r="L95" s="238">
        <f t="shared" si="18"/>
        <v>504</v>
      </c>
      <c r="M95" s="239">
        <v>46197</v>
      </c>
      <c r="N95" s="239">
        <v>46193</v>
      </c>
      <c r="O95" s="239">
        <v>46198</v>
      </c>
      <c r="P95" s="267" t="s">
        <v>51</v>
      </c>
      <c r="Q95" s="258" t="s">
        <v>490</v>
      </c>
      <c r="R95" s="258"/>
      <c r="S95" s="240" t="s">
        <v>61</v>
      </c>
      <c r="T95" s="241">
        <v>46129</v>
      </c>
      <c r="U95" s="240">
        <v>46134</v>
      </c>
      <c r="V95" s="239"/>
      <c r="W95" s="239"/>
      <c r="X95" s="239"/>
      <c r="Y95" s="238" t="s">
        <v>378</v>
      </c>
      <c r="Z95" s="238" t="s">
        <v>81</v>
      </c>
      <c r="AA95" s="274">
        <v>5.916</v>
      </c>
      <c r="AB95" s="270">
        <f t="shared" si="19"/>
        <v>2981.664</v>
      </c>
      <c r="AC95" s="275" t="s">
        <v>494</v>
      </c>
      <c r="AD95" s="230" t="s">
        <v>247</v>
      </c>
      <c r="AE95" s="235" t="s">
        <v>56</v>
      </c>
      <c r="AF95" s="270"/>
      <c r="AG95" s="270"/>
      <c r="AH95" s="258"/>
      <c r="AI95" s="238"/>
      <c r="AJ95" s="270"/>
      <c r="AK95" s="270"/>
      <c r="AL95" s="270"/>
      <c r="AM95" s="270"/>
      <c r="AN95" s="270"/>
      <c r="AO95" s="259">
        <f t="shared" si="20"/>
        <v>504</v>
      </c>
      <c r="AP95" s="260">
        <f>I95</f>
        <v>504</v>
      </c>
      <c r="AQ95" s="260"/>
      <c r="AR95" s="260"/>
      <c r="AS95" s="260">
        <f>AP95</f>
        <v>504</v>
      </c>
      <c r="AT95" s="260"/>
      <c r="AU95" s="272"/>
      <c r="AV95" s="180"/>
      <c r="AW95" s="180"/>
      <c r="AX95" s="180"/>
      <c r="AY95" s="180"/>
      <c r="AZ95" s="180"/>
      <c r="BA95" s="180"/>
    </row>
    <row r="96" s="179" customFormat="1" ht="39" customHeight="1" spans="1:53 16368:16384">
      <c r="A96" s="233">
        <v>46129</v>
      </c>
      <c r="B96" s="258" t="s">
        <v>238</v>
      </c>
      <c r="C96" s="258" t="s">
        <v>77</v>
      </c>
      <c r="D96" s="238" t="s">
        <v>487</v>
      </c>
      <c r="E96" s="269" t="s">
        <v>495</v>
      </c>
      <c r="F96" s="269" t="s">
        <v>496</v>
      </c>
      <c r="G96" s="238" t="s">
        <v>242</v>
      </c>
      <c r="H96" s="238" t="s">
        <v>49</v>
      </c>
      <c r="I96" s="238">
        <v>576</v>
      </c>
      <c r="J96" s="238">
        <v>0</v>
      </c>
      <c r="K96" s="238">
        <v>1</v>
      </c>
      <c r="L96" s="238">
        <f t="shared" si="18"/>
        <v>576</v>
      </c>
      <c r="M96" s="239">
        <v>46197</v>
      </c>
      <c r="N96" s="239">
        <v>46193</v>
      </c>
      <c r="O96" s="239">
        <v>46198</v>
      </c>
      <c r="P96" s="267" t="s">
        <v>51</v>
      </c>
      <c r="Q96" s="258" t="s">
        <v>490</v>
      </c>
      <c r="R96" s="258"/>
      <c r="S96" s="240" t="s">
        <v>61</v>
      </c>
      <c r="T96" s="241">
        <v>46129</v>
      </c>
      <c r="U96" s="240">
        <v>46134</v>
      </c>
      <c r="V96" s="239"/>
      <c r="W96" s="239"/>
      <c r="X96" s="239"/>
      <c r="Y96" s="238" t="s">
        <v>378</v>
      </c>
      <c r="Z96" s="238" t="s">
        <v>81</v>
      </c>
      <c r="AA96" s="274">
        <v>5.916</v>
      </c>
      <c r="AB96" s="270">
        <f t="shared" si="19"/>
        <v>3407.616</v>
      </c>
      <c r="AC96" s="275" t="s">
        <v>497</v>
      </c>
      <c r="AD96" s="230" t="s">
        <v>247</v>
      </c>
      <c r="AE96" s="235" t="s">
        <v>56</v>
      </c>
      <c r="AF96" s="270"/>
      <c r="AG96" s="270"/>
      <c r="AH96" s="258"/>
      <c r="AI96" s="238"/>
      <c r="AJ96" s="270"/>
      <c r="AK96" s="270"/>
      <c r="AL96" s="270"/>
      <c r="AM96" s="270"/>
      <c r="AN96" s="270"/>
      <c r="AO96" s="259">
        <f t="shared" si="20"/>
        <v>576</v>
      </c>
      <c r="AP96" s="260">
        <f>I96</f>
        <v>576</v>
      </c>
      <c r="AQ96" s="260"/>
      <c r="AR96" s="260"/>
      <c r="AS96" s="260">
        <f>AP96</f>
        <v>576</v>
      </c>
      <c r="AT96" s="260"/>
      <c r="AU96" s="272"/>
      <c r="AV96" s="180"/>
      <c r="AW96" s="180"/>
      <c r="AX96" s="180"/>
      <c r="AY96" s="180"/>
      <c r="AZ96" s="180"/>
      <c r="BA96" s="180"/>
    </row>
    <row r="97" s="178" customFormat="1" ht="39" customHeight="1" spans="1:53">
      <c r="A97" s="216">
        <v>46157</v>
      </c>
      <c r="B97" s="248" t="s">
        <v>498</v>
      </c>
      <c r="C97" s="248" t="s">
        <v>499</v>
      </c>
      <c r="D97" s="221">
        <v>4500207562</v>
      </c>
      <c r="E97" s="249" t="s">
        <v>500</v>
      </c>
      <c r="F97" s="249" t="s">
        <v>501</v>
      </c>
      <c r="G97" s="221" t="s">
        <v>502</v>
      </c>
      <c r="H97" s="221" t="s">
        <v>49</v>
      </c>
      <c r="I97" s="221">
        <v>500</v>
      </c>
      <c r="J97" s="221">
        <v>0</v>
      </c>
      <c r="K97" s="221">
        <v>4</v>
      </c>
      <c r="L97" s="221">
        <f t="shared" si="18"/>
        <v>125</v>
      </c>
      <c r="M97" s="222">
        <v>46197</v>
      </c>
      <c r="N97" s="222">
        <v>46193</v>
      </c>
      <c r="O97" s="222" t="s">
        <v>61</v>
      </c>
      <c r="P97" s="267" t="s">
        <v>51</v>
      </c>
      <c r="Q97" s="277" t="s">
        <v>503</v>
      </c>
      <c r="R97" s="248"/>
      <c r="S97" s="224"/>
      <c r="T97" s="225">
        <v>46163</v>
      </c>
      <c r="U97" s="224">
        <v>46164</v>
      </c>
      <c r="V97" s="222"/>
      <c r="W97" s="222"/>
      <c r="X97" s="222"/>
      <c r="Y97" s="221" t="s">
        <v>504</v>
      </c>
      <c r="Z97" s="221" t="s">
        <v>505</v>
      </c>
      <c r="AA97" s="250">
        <v>9.86</v>
      </c>
      <c r="AB97" s="252">
        <f t="shared" si="19"/>
        <v>4930</v>
      </c>
      <c r="AC97" s="251"/>
      <c r="AD97" s="252" t="s">
        <v>506</v>
      </c>
      <c r="AE97" s="221" t="s">
        <v>56</v>
      </c>
      <c r="AF97" s="252"/>
      <c r="AG97" s="252"/>
      <c r="AH97" s="248"/>
      <c r="AI97" s="221"/>
      <c r="AJ97" s="252"/>
      <c r="AK97" s="252"/>
      <c r="AL97" s="252"/>
      <c r="AM97" s="252"/>
      <c r="AN97" s="252"/>
      <c r="AO97" s="261">
        <f t="shared" si="20"/>
        <v>500</v>
      </c>
      <c r="AP97" s="262"/>
      <c r="AQ97" s="262">
        <f>AO97</f>
        <v>500</v>
      </c>
      <c r="AR97" s="262">
        <f>AO97</f>
        <v>500</v>
      </c>
      <c r="AS97" s="262"/>
      <c r="AT97" s="262"/>
      <c r="AU97" s="264"/>
      <c r="AV97" s="255"/>
      <c r="AW97" s="255"/>
      <c r="AX97" s="255"/>
      <c r="AY97" s="255"/>
      <c r="AZ97" s="255"/>
      <c r="BA97" s="255"/>
    </row>
    <row r="98" s="179" customFormat="1" ht="39" customHeight="1" spans="1:53">
      <c r="A98" s="233">
        <v>46134</v>
      </c>
      <c r="B98" s="258" t="s">
        <v>507</v>
      </c>
      <c r="C98" s="258" t="s">
        <v>144</v>
      </c>
      <c r="D98" s="238">
        <v>4500201774</v>
      </c>
      <c r="E98" s="269" t="s">
        <v>508</v>
      </c>
      <c r="F98" s="269" t="s">
        <v>509</v>
      </c>
      <c r="G98" s="238" t="s">
        <v>59</v>
      </c>
      <c r="H98" s="238" t="s">
        <v>49</v>
      </c>
      <c r="I98" s="238">
        <v>88</v>
      </c>
      <c r="J98" s="238">
        <v>0</v>
      </c>
      <c r="K98" s="238">
        <v>4</v>
      </c>
      <c r="L98" s="238">
        <f t="shared" si="18"/>
        <v>22</v>
      </c>
      <c r="M98" s="239">
        <v>46195</v>
      </c>
      <c r="N98" s="239">
        <v>46195</v>
      </c>
      <c r="O98" s="239" t="s">
        <v>510</v>
      </c>
      <c r="P98" s="239" t="s">
        <v>511</v>
      </c>
      <c r="Q98" s="258" t="s">
        <v>490</v>
      </c>
      <c r="R98" s="258"/>
      <c r="S98" s="240" t="s">
        <v>61</v>
      </c>
      <c r="T98" s="241">
        <v>46153</v>
      </c>
      <c r="U98" s="240">
        <v>46157</v>
      </c>
      <c r="V98" s="239"/>
      <c r="W98" s="239" t="s">
        <v>512</v>
      </c>
      <c r="X98" s="239"/>
      <c r="Y98" s="238" t="s">
        <v>513</v>
      </c>
      <c r="Z98" s="238" t="s">
        <v>514</v>
      </c>
      <c r="AA98" s="274">
        <v>9.86</v>
      </c>
      <c r="AB98" s="270">
        <f t="shared" si="19"/>
        <v>867.68</v>
      </c>
      <c r="AC98" s="271"/>
      <c r="AD98" s="230" t="s">
        <v>113</v>
      </c>
      <c r="AE98" s="235" t="s">
        <v>56</v>
      </c>
      <c r="AF98" s="270"/>
      <c r="AG98" s="270"/>
      <c r="AH98" s="258"/>
      <c r="AI98" s="238"/>
      <c r="AJ98" s="270"/>
      <c r="AK98" s="270"/>
      <c r="AL98" s="270"/>
      <c r="AM98" s="270"/>
      <c r="AN98" s="270"/>
      <c r="AO98" s="259">
        <f t="shared" si="20"/>
        <v>88</v>
      </c>
      <c r="AP98" s="260"/>
      <c r="AQ98" s="260">
        <f>AO98</f>
        <v>88</v>
      </c>
      <c r="AR98" s="260"/>
      <c r="AS98" s="260">
        <f>I98</f>
        <v>88</v>
      </c>
      <c r="AT98" s="260"/>
      <c r="AU98" s="272"/>
      <c r="AV98" s="180"/>
      <c r="AW98" s="180"/>
      <c r="AX98" s="180"/>
      <c r="AY98" s="180"/>
      <c r="AZ98" s="180"/>
      <c r="BA98" s="180"/>
    </row>
    <row r="99" s="179" customFormat="1" ht="39" customHeight="1" spans="1:53">
      <c r="A99" s="233">
        <v>46134</v>
      </c>
      <c r="B99" s="258" t="s">
        <v>507</v>
      </c>
      <c r="C99" s="258" t="s">
        <v>144</v>
      </c>
      <c r="D99" s="238" t="s">
        <v>515</v>
      </c>
      <c r="E99" s="269" t="s">
        <v>508</v>
      </c>
      <c r="F99" s="269" t="s">
        <v>516</v>
      </c>
      <c r="G99" s="238" t="s">
        <v>59</v>
      </c>
      <c r="H99" s="238" t="s">
        <v>49</v>
      </c>
      <c r="I99" s="238">
        <v>704</v>
      </c>
      <c r="J99" s="238">
        <v>0</v>
      </c>
      <c r="K99" s="238">
        <v>4</v>
      </c>
      <c r="L99" s="238">
        <f t="shared" si="18"/>
        <v>176</v>
      </c>
      <c r="M99" s="239">
        <v>46195</v>
      </c>
      <c r="N99" s="239">
        <v>46195</v>
      </c>
      <c r="O99" s="239" t="s">
        <v>510</v>
      </c>
      <c r="P99" s="239" t="s">
        <v>51</v>
      </c>
      <c r="Q99" s="258" t="s">
        <v>490</v>
      </c>
      <c r="R99" s="258"/>
      <c r="S99" s="240" t="s">
        <v>61</v>
      </c>
      <c r="T99" s="241">
        <v>46153</v>
      </c>
      <c r="U99" s="240">
        <v>46157</v>
      </c>
      <c r="V99" s="239"/>
      <c r="W99" s="239" t="s">
        <v>512</v>
      </c>
      <c r="X99" s="239"/>
      <c r="Y99" s="238" t="s">
        <v>513</v>
      </c>
      <c r="Z99" s="238" t="s">
        <v>514</v>
      </c>
      <c r="AA99" s="274">
        <v>9.86</v>
      </c>
      <c r="AB99" s="270">
        <f t="shared" si="19"/>
        <v>6941.44</v>
      </c>
      <c r="AC99" s="271"/>
      <c r="AD99" s="230" t="s">
        <v>113</v>
      </c>
      <c r="AE99" s="235" t="s">
        <v>56</v>
      </c>
      <c r="AF99" s="270"/>
      <c r="AG99" s="270"/>
      <c r="AH99" s="258"/>
      <c r="AI99" s="238"/>
      <c r="AJ99" s="270"/>
      <c r="AK99" s="270"/>
      <c r="AL99" s="270"/>
      <c r="AM99" s="270"/>
      <c r="AN99" s="270"/>
      <c r="AO99" s="259">
        <f t="shared" si="20"/>
        <v>704</v>
      </c>
      <c r="AP99" s="260"/>
      <c r="AQ99" s="260">
        <f>AO99</f>
        <v>704</v>
      </c>
      <c r="AR99" s="260"/>
      <c r="AS99" s="260">
        <f>AO99</f>
        <v>704</v>
      </c>
      <c r="AT99" s="260"/>
      <c r="AU99" s="272"/>
      <c r="AV99" s="180"/>
      <c r="AW99" s="180"/>
      <c r="AX99" s="180"/>
      <c r="AY99" s="180"/>
      <c r="AZ99" s="180"/>
      <c r="BA99" s="180"/>
    </row>
    <row r="100" s="179" customFormat="1" ht="39" customHeight="1" spans="1:53">
      <c r="A100" s="233">
        <v>46134</v>
      </c>
      <c r="B100" s="258" t="s">
        <v>507</v>
      </c>
      <c r="C100" s="258" t="s">
        <v>144</v>
      </c>
      <c r="D100" s="238">
        <v>4500201727</v>
      </c>
      <c r="E100" s="269" t="s">
        <v>517</v>
      </c>
      <c r="F100" s="269" t="s">
        <v>518</v>
      </c>
      <c r="G100" s="238" t="s">
        <v>59</v>
      </c>
      <c r="H100" s="238" t="s">
        <v>49</v>
      </c>
      <c r="I100" s="238">
        <v>48</v>
      </c>
      <c r="J100" s="238">
        <v>0</v>
      </c>
      <c r="K100" s="238">
        <v>4</v>
      </c>
      <c r="L100" s="238">
        <f t="shared" si="18"/>
        <v>12</v>
      </c>
      <c r="M100" s="239">
        <v>46195</v>
      </c>
      <c r="N100" s="239">
        <v>46195</v>
      </c>
      <c r="O100" s="239" t="s">
        <v>510</v>
      </c>
      <c r="P100" s="258" t="s">
        <v>519</v>
      </c>
      <c r="Q100" s="258" t="s">
        <v>520</v>
      </c>
      <c r="R100" s="258"/>
      <c r="S100" s="240" t="s">
        <v>61</v>
      </c>
      <c r="T100" s="241">
        <v>46153</v>
      </c>
      <c r="U100" s="240">
        <v>46153</v>
      </c>
      <c r="V100" s="239"/>
      <c r="W100" s="239" t="s">
        <v>512</v>
      </c>
      <c r="X100" s="239"/>
      <c r="Y100" s="238" t="s">
        <v>521</v>
      </c>
      <c r="Z100" s="238" t="s">
        <v>514</v>
      </c>
      <c r="AA100" s="274">
        <v>9.7</v>
      </c>
      <c r="AB100" s="270">
        <f t="shared" si="19"/>
        <v>465.6</v>
      </c>
      <c r="AC100" s="271"/>
      <c r="AD100" s="230" t="s">
        <v>113</v>
      </c>
      <c r="AE100" s="235" t="s">
        <v>56</v>
      </c>
      <c r="AF100" s="270"/>
      <c r="AG100" s="270"/>
      <c r="AH100" s="258"/>
      <c r="AI100" s="238"/>
      <c r="AJ100" s="270"/>
      <c r="AK100" s="270"/>
      <c r="AL100" s="270"/>
      <c r="AM100" s="270"/>
      <c r="AN100" s="270"/>
      <c r="AO100" s="259">
        <f t="shared" si="20"/>
        <v>48</v>
      </c>
      <c r="AP100" s="260"/>
      <c r="AQ100" s="260">
        <f>AO100</f>
        <v>48</v>
      </c>
      <c r="AR100" s="260"/>
      <c r="AS100" s="260">
        <f>I100</f>
        <v>48</v>
      </c>
      <c r="AT100" s="260"/>
      <c r="AU100" s="272"/>
      <c r="AV100" s="180"/>
      <c r="AW100" s="180"/>
      <c r="AX100" s="180"/>
      <c r="AY100" s="180"/>
      <c r="AZ100" s="180"/>
      <c r="BA100" s="180"/>
    </row>
    <row r="101" s="179" customFormat="1" ht="47.5" customHeight="1" spans="1:53">
      <c r="A101" s="233">
        <v>46157</v>
      </c>
      <c r="B101" s="258" t="s">
        <v>522</v>
      </c>
      <c r="C101" s="258" t="s">
        <v>77</v>
      </c>
      <c r="D101" s="238">
        <v>4500206924</v>
      </c>
      <c r="E101" s="269" t="s">
        <v>523</v>
      </c>
      <c r="F101" s="269" t="s">
        <v>524</v>
      </c>
      <c r="G101" s="238" t="s">
        <v>59</v>
      </c>
      <c r="H101" s="238" t="s">
        <v>49</v>
      </c>
      <c r="I101" s="238">
        <v>624</v>
      </c>
      <c r="J101" s="238">
        <v>0</v>
      </c>
      <c r="K101" s="238">
        <v>4</v>
      </c>
      <c r="L101" s="238">
        <f t="shared" si="18"/>
        <v>156</v>
      </c>
      <c r="M101" s="239">
        <v>46198</v>
      </c>
      <c r="N101" s="239">
        <v>46195</v>
      </c>
      <c r="O101" s="239" t="s">
        <v>61</v>
      </c>
      <c r="P101" s="267" t="s">
        <v>51</v>
      </c>
      <c r="Q101" s="258" t="s">
        <v>447</v>
      </c>
      <c r="R101" s="258"/>
      <c r="S101" s="240"/>
      <c r="T101" s="241">
        <v>46164</v>
      </c>
      <c r="U101" s="240">
        <v>46178</v>
      </c>
      <c r="V101" s="239"/>
      <c r="W101" s="239"/>
      <c r="X101" s="239"/>
      <c r="Y101" s="238" t="s">
        <v>525</v>
      </c>
      <c r="Z101" s="238" t="s">
        <v>526</v>
      </c>
      <c r="AA101" s="274">
        <v>5.82</v>
      </c>
      <c r="AB101" s="270">
        <f t="shared" si="19"/>
        <v>3631.68</v>
      </c>
      <c r="AC101" s="275" t="s">
        <v>527</v>
      </c>
      <c r="AD101" s="230" t="s">
        <v>55</v>
      </c>
      <c r="AE101" s="238" t="s">
        <v>56</v>
      </c>
      <c r="AF101" s="270"/>
      <c r="AG101" s="270"/>
      <c r="AH101" s="258"/>
      <c r="AI101" s="238"/>
      <c r="AJ101" s="270"/>
      <c r="AK101" s="270"/>
      <c r="AL101" s="270"/>
      <c r="AM101" s="270"/>
      <c r="AN101" s="270"/>
      <c r="AO101" s="259">
        <f t="shared" si="20"/>
        <v>624</v>
      </c>
      <c r="AP101" s="260">
        <f>AO101</f>
        <v>624</v>
      </c>
      <c r="AQ101" s="260"/>
      <c r="AR101" s="260">
        <f>AO101</f>
        <v>624</v>
      </c>
      <c r="AS101" s="260"/>
      <c r="AT101" s="260"/>
      <c r="AU101" s="272"/>
      <c r="AV101" s="180"/>
      <c r="AW101" s="180"/>
      <c r="AX101" s="180"/>
      <c r="AY101" s="180"/>
      <c r="AZ101" s="180"/>
      <c r="BA101" s="180"/>
    </row>
    <row r="102" s="179" customFormat="1" ht="39" customHeight="1" spans="1:53">
      <c r="A102" s="233">
        <v>46129</v>
      </c>
      <c r="B102" s="234" t="s">
        <v>238</v>
      </c>
      <c r="C102" s="235" t="s">
        <v>77</v>
      </c>
      <c r="D102" s="236" t="s">
        <v>528</v>
      </c>
      <c r="E102" s="237" t="s">
        <v>529</v>
      </c>
      <c r="F102" s="236" t="s">
        <v>530</v>
      </c>
      <c r="G102" s="238" t="s">
        <v>242</v>
      </c>
      <c r="H102" s="237" t="s">
        <v>49</v>
      </c>
      <c r="I102" s="236">
        <v>576</v>
      </c>
      <c r="J102" s="238">
        <v>0</v>
      </c>
      <c r="K102" s="238">
        <v>1</v>
      </c>
      <c r="L102" s="238">
        <f t="shared" si="18"/>
        <v>576</v>
      </c>
      <c r="M102" s="239">
        <v>46202</v>
      </c>
      <c r="N102" s="239">
        <v>46198</v>
      </c>
      <c r="O102" s="239">
        <v>46203</v>
      </c>
      <c r="P102" s="267" t="s">
        <v>51</v>
      </c>
      <c r="Q102" s="239" t="s">
        <v>531</v>
      </c>
      <c r="R102" s="239"/>
      <c r="S102" s="240" t="s">
        <v>61</v>
      </c>
      <c r="T102" s="241">
        <v>46129</v>
      </c>
      <c r="U102" s="240">
        <v>46134</v>
      </c>
      <c r="V102" s="239"/>
      <c r="W102" s="239"/>
      <c r="X102" s="239"/>
      <c r="Y102" s="242" t="s">
        <v>378</v>
      </c>
      <c r="Z102" s="237" t="s">
        <v>81</v>
      </c>
      <c r="AA102" s="243">
        <v>5.82</v>
      </c>
      <c r="AB102" s="244">
        <f t="shared" si="19"/>
        <v>3352.32</v>
      </c>
      <c r="AC102" s="265" t="s">
        <v>532</v>
      </c>
      <c r="AD102" s="230" t="s">
        <v>247</v>
      </c>
      <c r="AE102" s="235" t="s">
        <v>56</v>
      </c>
      <c r="AF102" s="246"/>
      <c r="AG102" s="246"/>
      <c r="AH102" s="235"/>
      <c r="AI102" s="235"/>
      <c r="AJ102" s="230"/>
      <c r="AK102" s="246"/>
      <c r="AL102" s="230"/>
      <c r="AM102" s="246"/>
      <c r="AN102" s="246"/>
      <c r="AO102" s="259">
        <f t="shared" si="20"/>
        <v>576</v>
      </c>
      <c r="AP102" s="260">
        <f>I102</f>
        <v>576</v>
      </c>
      <c r="AQ102" s="260"/>
      <c r="AR102" s="260"/>
      <c r="AS102" s="260">
        <f>AP102</f>
        <v>576</v>
      </c>
      <c r="AT102" s="260"/>
      <c r="AU102" s="260"/>
    </row>
    <row r="103" s="179" customFormat="1" ht="39" customHeight="1" spans="1:53">
      <c r="A103" s="233">
        <v>46129</v>
      </c>
      <c r="B103" s="234" t="s">
        <v>238</v>
      </c>
      <c r="C103" s="235" t="s">
        <v>77</v>
      </c>
      <c r="D103" s="236" t="s">
        <v>528</v>
      </c>
      <c r="E103" s="237" t="s">
        <v>533</v>
      </c>
      <c r="F103" s="236" t="s">
        <v>534</v>
      </c>
      <c r="G103" s="238" t="s">
        <v>242</v>
      </c>
      <c r="H103" s="237" t="s">
        <v>49</v>
      </c>
      <c r="I103" s="236">
        <v>504</v>
      </c>
      <c r="J103" s="238">
        <v>0</v>
      </c>
      <c r="K103" s="238">
        <v>1</v>
      </c>
      <c r="L103" s="238">
        <f t="shared" si="18"/>
        <v>504</v>
      </c>
      <c r="M103" s="239">
        <v>46202</v>
      </c>
      <c r="N103" s="239">
        <v>46198</v>
      </c>
      <c r="O103" s="239">
        <v>46203</v>
      </c>
      <c r="P103" s="267" t="s">
        <v>51</v>
      </c>
      <c r="Q103" s="239" t="s">
        <v>531</v>
      </c>
      <c r="R103" s="239"/>
      <c r="S103" s="240" t="s">
        <v>61</v>
      </c>
      <c r="T103" s="241">
        <v>46129</v>
      </c>
      <c r="U103" s="240">
        <v>46134</v>
      </c>
      <c r="V103" s="239"/>
      <c r="W103" s="239"/>
      <c r="X103" s="239"/>
      <c r="Y103" s="242" t="s">
        <v>378</v>
      </c>
      <c r="Z103" s="237" t="s">
        <v>81</v>
      </c>
      <c r="AA103" s="243">
        <v>5.82</v>
      </c>
      <c r="AB103" s="244">
        <f t="shared" si="19"/>
        <v>2933.28</v>
      </c>
      <c r="AC103" s="265" t="s">
        <v>535</v>
      </c>
      <c r="AD103" s="230" t="s">
        <v>247</v>
      </c>
      <c r="AE103" s="235" t="s">
        <v>56</v>
      </c>
      <c r="AF103" s="246"/>
      <c r="AG103" s="246"/>
      <c r="AH103" s="235"/>
      <c r="AI103" s="235"/>
      <c r="AJ103" s="230"/>
      <c r="AK103" s="246"/>
      <c r="AL103" s="230"/>
      <c r="AM103" s="246"/>
      <c r="AN103" s="246"/>
      <c r="AO103" s="259">
        <f t="shared" si="20"/>
        <v>504</v>
      </c>
      <c r="AP103" s="260">
        <f>I103</f>
        <v>504</v>
      </c>
      <c r="AQ103" s="260"/>
      <c r="AR103" s="260"/>
      <c r="AS103" s="260">
        <f>AP103</f>
        <v>504</v>
      </c>
      <c r="AT103" s="260"/>
      <c r="AU103" s="260"/>
    </row>
    <row r="104" s="179" customFormat="1" ht="39" customHeight="1" spans="1:53">
      <c r="A104" s="233">
        <v>46129</v>
      </c>
      <c r="B104" s="234" t="s">
        <v>238</v>
      </c>
      <c r="C104" s="235" t="s">
        <v>77</v>
      </c>
      <c r="D104" s="236" t="s">
        <v>528</v>
      </c>
      <c r="E104" s="237" t="s">
        <v>536</v>
      </c>
      <c r="F104" s="236" t="s">
        <v>537</v>
      </c>
      <c r="G104" s="238" t="s">
        <v>242</v>
      </c>
      <c r="H104" s="237" t="s">
        <v>49</v>
      </c>
      <c r="I104" s="236">
        <v>648</v>
      </c>
      <c r="J104" s="238">
        <v>0</v>
      </c>
      <c r="K104" s="238">
        <v>1</v>
      </c>
      <c r="L104" s="238">
        <f t="shared" si="18"/>
        <v>648</v>
      </c>
      <c r="M104" s="239">
        <v>46202</v>
      </c>
      <c r="N104" s="239">
        <v>46198</v>
      </c>
      <c r="O104" s="239">
        <v>46203</v>
      </c>
      <c r="P104" s="267" t="s">
        <v>51</v>
      </c>
      <c r="Q104" s="239" t="s">
        <v>531</v>
      </c>
      <c r="R104" s="239"/>
      <c r="S104" s="240" t="s">
        <v>61</v>
      </c>
      <c r="T104" s="241">
        <v>46129</v>
      </c>
      <c r="U104" s="240">
        <v>46134</v>
      </c>
      <c r="V104" s="239"/>
      <c r="W104" s="239"/>
      <c r="X104" s="239"/>
      <c r="Y104" s="242" t="s">
        <v>378</v>
      </c>
      <c r="Z104" s="237" t="s">
        <v>81</v>
      </c>
      <c r="AA104" s="243">
        <v>5.916</v>
      </c>
      <c r="AB104" s="244">
        <f t="shared" si="19"/>
        <v>3833.568</v>
      </c>
      <c r="AC104" s="265" t="s">
        <v>538</v>
      </c>
      <c r="AD104" s="230" t="s">
        <v>247</v>
      </c>
      <c r="AE104" s="235" t="s">
        <v>56</v>
      </c>
      <c r="AF104" s="246"/>
      <c r="AG104" s="246"/>
      <c r="AH104" s="235"/>
      <c r="AI104" s="235"/>
      <c r="AJ104" s="230"/>
      <c r="AK104" s="246"/>
      <c r="AL104" s="230"/>
      <c r="AM104" s="246"/>
      <c r="AN104" s="246"/>
      <c r="AO104" s="259">
        <f t="shared" si="20"/>
        <v>648</v>
      </c>
      <c r="AP104" s="260">
        <f>I104</f>
        <v>648</v>
      </c>
      <c r="AQ104" s="260"/>
      <c r="AR104" s="260"/>
      <c r="AS104" s="260">
        <f>AP104</f>
        <v>648</v>
      </c>
      <c r="AT104" s="260"/>
      <c r="AU104" s="260"/>
    </row>
    <row r="105" s="179" customFormat="1" ht="39" customHeight="1" spans="1:53">
      <c r="A105" s="233">
        <v>46136</v>
      </c>
      <c r="B105" s="258" t="s">
        <v>85</v>
      </c>
      <c r="C105" s="258" t="s">
        <v>77</v>
      </c>
      <c r="D105" s="238">
        <v>4500203643</v>
      </c>
      <c r="E105" s="269" t="s">
        <v>539</v>
      </c>
      <c r="F105" s="269" t="s">
        <v>540</v>
      </c>
      <c r="G105" s="238" t="s">
        <v>59</v>
      </c>
      <c r="H105" s="238" t="s">
        <v>49</v>
      </c>
      <c r="I105" s="238">
        <v>500</v>
      </c>
      <c r="J105" s="238">
        <v>0</v>
      </c>
      <c r="K105" s="238">
        <v>4</v>
      </c>
      <c r="L105" s="238">
        <f t="shared" si="18"/>
        <v>125</v>
      </c>
      <c r="M105" s="239">
        <v>46182</v>
      </c>
      <c r="N105" s="239">
        <v>46199</v>
      </c>
      <c r="O105" s="239" t="s">
        <v>50</v>
      </c>
      <c r="P105" s="267" t="s">
        <v>51</v>
      </c>
      <c r="Q105" s="239" t="s">
        <v>541</v>
      </c>
      <c r="R105" s="258"/>
      <c r="S105" s="240" t="s">
        <v>61</v>
      </c>
      <c r="T105" s="241">
        <v>46149</v>
      </c>
      <c r="U105" s="241">
        <v>46163</v>
      </c>
      <c r="V105" s="239"/>
      <c r="W105" s="239"/>
      <c r="X105" s="239"/>
      <c r="Y105" s="238" t="s">
        <v>542</v>
      </c>
      <c r="Z105" s="238" t="s">
        <v>91</v>
      </c>
      <c r="AA105" s="274">
        <v>5.82</v>
      </c>
      <c r="AB105" s="270">
        <f t="shared" si="19"/>
        <v>2910</v>
      </c>
      <c r="AC105" s="275" t="s">
        <v>543</v>
      </c>
      <c r="AD105" s="230" t="s">
        <v>55</v>
      </c>
      <c r="AE105" s="235" t="s">
        <v>56</v>
      </c>
      <c r="AF105" s="270"/>
      <c r="AG105" s="270"/>
      <c r="AH105" s="258"/>
      <c r="AI105" s="238"/>
      <c r="AJ105" s="270"/>
      <c r="AK105" s="270"/>
      <c r="AL105" s="270"/>
      <c r="AM105" s="270"/>
      <c r="AN105" s="270"/>
      <c r="AO105" s="259">
        <f t="shared" si="20"/>
        <v>500</v>
      </c>
      <c r="AP105" s="260">
        <f>I105</f>
        <v>500</v>
      </c>
      <c r="AQ105" s="260"/>
      <c r="AR105" s="260">
        <f>I105</f>
        <v>500</v>
      </c>
      <c r="AS105" s="260"/>
      <c r="AT105" s="260"/>
      <c r="AU105" s="272"/>
      <c r="AV105" s="180"/>
      <c r="AW105" s="180"/>
      <c r="AX105" s="180"/>
      <c r="AY105" s="180"/>
      <c r="AZ105" s="180"/>
      <c r="BA105" s="180"/>
    </row>
    <row r="106" s="179" customFormat="1" ht="39" customHeight="1" spans="1:53">
      <c r="A106" s="233">
        <v>46157</v>
      </c>
      <c r="B106" s="258" t="s">
        <v>522</v>
      </c>
      <c r="C106" s="258" t="s">
        <v>77</v>
      </c>
      <c r="D106" s="238" t="s">
        <v>544</v>
      </c>
      <c r="E106" s="269" t="s">
        <v>545</v>
      </c>
      <c r="F106" s="269" t="s">
        <v>546</v>
      </c>
      <c r="G106" s="238" t="s">
        <v>59</v>
      </c>
      <c r="H106" s="238" t="s">
        <v>49</v>
      </c>
      <c r="I106" s="238">
        <v>832</v>
      </c>
      <c r="J106" s="238">
        <v>0</v>
      </c>
      <c r="K106" s="238">
        <v>4</v>
      </c>
      <c r="L106" s="238">
        <f t="shared" si="18"/>
        <v>208</v>
      </c>
      <c r="M106" s="239">
        <v>46203</v>
      </c>
      <c r="N106" s="239">
        <v>46199</v>
      </c>
      <c r="O106" s="239" t="s">
        <v>61</v>
      </c>
      <c r="P106" s="267" t="s">
        <v>51</v>
      </c>
      <c r="Q106" s="258" t="s">
        <v>531</v>
      </c>
      <c r="R106" s="258"/>
      <c r="S106" s="240"/>
      <c r="T106" s="241">
        <v>46164</v>
      </c>
      <c r="U106" s="240">
        <v>46178</v>
      </c>
      <c r="V106" s="239"/>
      <c r="W106" s="239"/>
      <c r="X106" s="239"/>
      <c r="Y106" s="238" t="s">
        <v>525</v>
      </c>
      <c r="Z106" s="238" t="s">
        <v>526</v>
      </c>
      <c r="AA106" s="274">
        <v>5.82</v>
      </c>
      <c r="AB106" s="270">
        <f t="shared" si="19"/>
        <v>4842.24</v>
      </c>
      <c r="AC106" s="275" t="s">
        <v>547</v>
      </c>
      <c r="AD106" s="230" t="s">
        <v>55</v>
      </c>
      <c r="AE106" s="238" t="s">
        <v>56</v>
      </c>
      <c r="AF106" s="270"/>
      <c r="AG106" s="270"/>
      <c r="AH106" s="258"/>
      <c r="AI106" s="238"/>
      <c r="AJ106" s="270"/>
      <c r="AK106" s="270"/>
      <c r="AL106" s="270"/>
      <c r="AM106" s="270"/>
      <c r="AN106" s="270"/>
      <c r="AO106" s="259">
        <f t="shared" si="20"/>
        <v>832</v>
      </c>
      <c r="AP106" s="260">
        <f>AO106</f>
        <v>832</v>
      </c>
      <c r="AQ106" s="260"/>
      <c r="AR106" s="260">
        <f t="shared" ref="AR106:AR114" si="21">AO106</f>
        <v>832</v>
      </c>
      <c r="AS106" s="260"/>
      <c r="AT106" s="260"/>
      <c r="AU106" s="272"/>
      <c r="AV106" s="180"/>
      <c r="AW106" s="180"/>
      <c r="AX106" s="180"/>
      <c r="AY106" s="180"/>
      <c r="AZ106" s="180"/>
      <c r="BA106" s="180"/>
    </row>
    <row r="107" s="179" customFormat="1" ht="39" customHeight="1" spans="1:53">
      <c r="A107" s="233">
        <v>46154</v>
      </c>
      <c r="B107" s="258" t="s">
        <v>548</v>
      </c>
      <c r="C107" s="258" t="s">
        <v>202</v>
      </c>
      <c r="D107" s="238">
        <v>4500206305</v>
      </c>
      <c r="E107" s="269" t="s">
        <v>549</v>
      </c>
      <c r="F107" s="269" t="s">
        <v>550</v>
      </c>
      <c r="G107" s="238" t="s">
        <v>136</v>
      </c>
      <c r="H107" s="237" t="s">
        <v>551</v>
      </c>
      <c r="I107" s="238">
        <v>12</v>
      </c>
      <c r="J107" s="238">
        <v>0</v>
      </c>
      <c r="K107" s="238">
        <v>4</v>
      </c>
      <c r="L107" s="238">
        <f t="shared" si="18"/>
        <v>3</v>
      </c>
      <c r="M107" s="239">
        <v>46204</v>
      </c>
      <c r="N107" s="239">
        <v>46200</v>
      </c>
      <c r="O107" s="239" t="s">
        <v>50</v>
      </c>
      <c r="P107" s="267" t="s">
        <v>51</v>
      </c>
      <c r="Q107" s="258" t="s">
        <v>531</v>
      </c>
      <c r="R107" s="258"/>
      <c r="S107" s="240" t="s">
        <v>61</v>
      </c>
      <c r="T107" s="241">
        <v>46154</v>
      </c>
      <c r="U107" s="241">
        <v>46197</v>
      </c>
      <c r="V107" s="239"/>
      <c r="W107" s="239"/>
      <c r="X107" s="239"/>
      <c r="Y107" s="238" t="s">
        <v>552</v>
      </c>
      <c r="Z107" s="238" t="s">
        <v>553</v>
      </c>
      <c r="AA107" s="274">
        <v>9.86</v>
      </c>
      <c r="AB107" s="270">
        <f t="shared" si="19"/>
        <v>118.32</v>
      </c>
      <c r="AC107" s="271"/>
      <c r="AD107" s="268" t="s">
        <v>554</v>
      </c>
      <c r="AE107" s="238" t="s">
        <v>56</v>
      </c>
      <c r="AF107" s="270"/>
      <c r="AG107" s="270"/>
      <c r="AH107" s="258"/>
      <c r="AI107" s="238"/>
      <c r="AJ107" s="270"/>
      <c r="AK107" s="270"/>
      <c r="AL107" s="270"/>
      <c r="AM107" s="270"/>
      <c r="AN107" s="270"/>
      <c r="AO107" s="259">
        <f t="shared" si="20"/>
        <v>12</v>
      </c>
      <c r="AP107" s="260"/>
      <c r="AQ107" s="260">
        <f t="shared" ref="AQ107:AQ113" si="22">AO107</f>
        <v>12</v>
      </c>
      <c r="AR107" s="260">
        <f t="shared" si="21"/>
        <v>12</v>
      </c>
      <c r="AS107" s="260"/>
      <c r="AT107" s="260"/>
      <c r="AU107" s="272"/>
      <c r="AV107" s="180"/>
      <c r="AW107" s="180"/>
      <c r="AX107" s="180"/>
      <c r="AY107" s="180"/>
      <c r="AZ107" s="180"/>
      <c r="BA107" s="180"/>
    </row>
    <row r="108" s="179" customFormat="1" ht="39" customHeight="1" spans="1:53">
      <c r="A108" s="233">
        <v>46154</v>
      </c>
      <c r="B108" s="258" t="s">
        <v>548</v>
      </c>
      <c r="C108" s="258" t="s">
        <v>202</v>
      </c>
      <c r="D108" s="238" t="s">
        <v>555</v>
      </c>
      <c r="E108" s="269" t="s">
        <v>556</v>
      </c>
      <c r="F108" s="269" t="s">
        <v>557</v>
      </c>
      <c r="G108" s="238" t="s">
        <v>136</v>
      </c>
      <c r="H108" s="237" t="s">
        <v>551</v>
      </c>
      <c r="I108" s="238">
        <v>28</v>
      </c>
      <c r="J108" s="238">
        <v>0</v>
      </c>
      <c r="K108" s="238">
        <v>4</v>
      </c>
      <c r="L108" s="238">
        <f t="shared" si="18"/>
        <v>7</v>
      </c>
      <c r="M108" s="239">
        <v>46204</v>
      </c>
      <c r="N108" s="239">
        <v>46200</v>
      </c>
      <c r="O108" s="239" t="s">
        <v>50</v>
      </c>
      <c r="P108" s="267" t="s">
        <v>51</v>
      </c>
      <c r="Q108" s="258" t="s">
        <v>531</v>
      </c>
      <c r="R108" s="258"/>
      <c r="S108" s="240" t="s">
        <v>61</v>
      </c>
      <c r="T108" s="241">
        <v>46154</v>
      </c>
      <c r="U108" s="241">
        <v>46197</v>
      </c>
      <c r="V108" s="239"/>
      <c r="W108" s="239"/>
      <c r="X108" s="239"/>
      <c r="Y108" s="238" t="s">
        <v>552</v>
      </c>
      <c r="Z108" s="238" t="s">
        <v>553</v>
      </c>
      <c r="AA108" s="274">
        <v>9.86</v>
      </c>
      <c r="AB108" s="270">
        <f t="shared" si="19"/>
        <v>276.08</v>
      </c>
      <c r="AC108" s="271"/>
      <c r="AD108" s="269" t="s">
        <v>554</v>
      </c>
      <c r="AE108" s="238" t="s">
        <v>56</v>
      </c>
      <c r="AF108" s="270"/>
      <c r="AG108" s="270"/>
      <c r="AH108" s="258"/>
      <c r="AI108" s="238"/>
      <c r="AJ108" s="270"/>
      <c r="AK108" s="270"/>
      <c r="AL108" s="270"/>
      <c r="AM108" s="270"/>
      <c r="AN108" s="270"/>
      <c r="AO108" s="259">
        <f t="shared" si="20"/>
        <v>28</v>
      </c>
      <c r="AP108" s="260"/>
      <c r="AQ108" s="260">
        <f t="shared" si="22"/>
        <v>28</v>
      </c>
      <c r="AR108" s="260">
        <f t="shared" si="21"/>
        <v>28</v>
      </c>
      <c r="AS108" s="260"/>
      <c r="AT108" s="260"/>
      <c r="AU108" s="272"/>
      <c r="AV108" s="180"/>
      <c r="AW108" s="180"/>
      <c r="AX108" s="180"/>
      <c r="AY108" s="180"/>
      <c r="AZ108" s="180"/>
      <c r="BA108" s="180"/>
    </row>
    <row r="109" s="179" customFormat="1" ht="39" customHeight="1" spans="1:53">
      <c r="A109" s="233">
        <v>46154</v>
      </c>
      <c r="B109" s="258" t="s">
        <v>548</v>
      </c>
      <c r="C109" s="258" t="s">
        <v>202</v>
      </c>
      <c r="D109" s="238" t="s">
        <v>555</v>
      </c>
      <c r="E109" s="269" t="s">
        <v>558</v>
      </c>
      <c r="F109" s="269" t="s">
        <v>559</v>
      </c>
      <c r="G109" s="238" t="s">
        <v>136</v>
      </c>
      <c r="H109" s="237" t="s">
        <v>551</v>
      </c>
      <c r="I109" s="238">
        <v>12</v>
      </c>
      <c r="J109" s="238">
        <v>0</v>
      </c>
      <c r="K109" s="238">
        <v>4</v>
      </c>
      <c r="L109" s="238">
        <f t="shared" si="18"/>
        <v>3</v>
      </c>
      <c r="M109" s="239">
        <v>46204</v>
      </c>
      <c r="N109" s="239">
        <v>46200</v>
      </c>
      <c r="O109" s="239" t="s">
        <v>50</v>
      </c>
      <c r="P109" s="267" t="s">
        <v>51</v>
      </c>
      <c r="Q109" s="258" t="s">
        <v>531</v>
      </c>
      <c r="R109" s="258"/>
      <c r="S109" s="240" t="s">
        <v>61</v>
      </c>
      <c r="T109" s="241">
        <v>46154</v>
      </c>
      <c r="U109" s="240">
        <v>46197</v>
      </c>
      <c r="V109" s="239"/>
      <c r="W109" s="239"/>
      <c r="X109" s="239"/>
      <c r="Y109" s="238" t="s">
        <v>552</v>
      </c>
      <c r="Z109" s="238" t="s">
        <v>553</v>
      </c>
      <c r="AA109" s="274">
        <v>9.86</v>
      </c>
      <c r="AB109" s="270">
        <f t="shared" si="19"/>
        <v>118.32</v>
      </c>
      <c r="AC109" s="271"/>
      <c r="AD109" s="268" t="s">
        <v>554</v>
      </c>
      <c r="AE109" s="238" t="s">
        <v>56</v>
      </c>
      <c r="AF109" s="270"/>
      <c r="AG109" s="270"/>
      <c r="AH109" s="258"/>
      <c r="AI109" s="238"/>
      <c r="AJ109" s="270"/>
      <c r="AK109" s="270"/>
      <c r="AL109" s="270"/>
      <c r="AM109" s="270"/>
      <c r="AN109" s="270"/>
      <c r="AO109" s="259">
        <f t="shared" si="20"/>
        <v>12</v>
      </c>
      <c r="AP109" s="260"/>
      <c r="AQ109" s="260">
        <f t="shared" si="22"/>
        <v>12</v>
      </c>
      <c r="AR109" s="260">
        <f t="shared" si="21"/>
        <v>12</v>
      </c>
      <c r="AS109" s="260"/>
      <c r="AT109" s="260"/>
      <c r="AU109" s="272"/>
      <c r="AV109" s="180"/>
      <c r="AW109" s="180"/>
      <c r="AX109" s="180"/>
      <c r="AY109" s="180"/>
      <c r="AZ109" s="180"/>
      <c r="BA109" s="180"/>
    </row>
    <row r="110" s="179" customFormat="1" ht="39" customHeight="1" spans="1:53">
      <c r="A110" s="233">
        <v>46154</v>
      </c>
      <c r="B110" s="258" t="s">
        <v>548</v>
      </c>
      <c r="C110" s="258" t="s">
        <v>202</v>
      </c>
      <c r="D110" s="238" t="s">
        <v>555</v>
      </c>
      <c r="E110" s="269" t="s">
        <v>560</v>
      </c>
      <c r="F110" s="269" t="s">
        <v>561</v>
      </c>
      <c r="G110" s="238" t="s">
        <v>136</v>
      </c>
      <c r="H110" s="237" t="s">
        <v>551</v>
      </c>
      <c r="I110" s="238">
        <v>16</v>
      </c>
      <c r="J110" s="238">
        <v>0</v>
      </c>
      <c r="K110" s="238">
        <v>4</v>
      </c>
      <c r="L110" s="238">
        <f t="shared" si="18"/>
        <v>4</v>
      </c>
      <c r="M110" s="239">
        <v>46204</v>
      </c>
      <c r="N110" s="239">
        <v>46200</v>
      </c>
      <c r="O110" s="239" t="s">
        <v>50</v>
      </c>
      <c r="P110" s="267" t="s">
        <v>51</v>
      </c>
      <c r="Q110" s="258" t="s">
        <v>531</v>
      </c>
      <c r="R110" s="258"/>
      <c r="S110" s="240" t="s">
        <v>61</v>
      </c>
      <c r="T110" s="241">
        <v>46154</v>
      </c>
      <c r="U110" s="240">
        <v>46197</v>
      </c>
      <c r="V110" s="239"/>
      <c r="W110" s="239"/>
      <c r="X110" s="239"/>
      <c r="Y110" s="238" t="s">
        <v>552</v>
      </c>
      <c r="Z110" s="238" t="s">
        <v>553</v>
      </c>
      <c r="AA110" s="274">
        <v>9.86</v>
      </c>
      <c r="AB110" s="270">
        <f t="shared" si="19"/>
        <v>157.76</v>
      </c>
      <c r="AC110" s="271"/>
      <c r="AD110" s="268" t="s">
        <v>554</v>
      </c>
      <c r="AE110" s="238" t="s">
        <v>56</v>
      </c>
      <c r="AF110" s="270"/>
      <c r="AG110" s="270"/>
      <c r="AH110" s="258"/>
      <c r="AI110" s="238"/>
      <c r="AJ110" s="270"/>
      <c r="AK110" s="270"/>
      <c r="AL110" s="270"/>
      <c r="AM110" s="270"/>
      <c r="AN110" s="270"/>
      <c r="AO110" s="259">
        <f t="shared" si="20"/>
        <v>16</v>
      </c>
      <c r="AP110" s="260"/>
      <c r="AQ110" s="260">
        <f t="shared" si="22"/>
        <v>16</v>
      </c>
      <c r="AR110" s="260">
        <f t="shared" si="21"/>
        <v>16</v>
      </c>
      <c r="AS110" s="260"/>
      <c r="AT110" s="260"/>
      <c r="AU110" s="272"/>
      <c r="AV110" s="180"/>
      <c r="AW110" s="180"/>
      <c r="AX110" s="180"/>
      <c r="AY110" s="180"/>
      <c r="AZ110" s="180"/>
      <c r="BA110" s="180"/>
    </row>
    <row r="111" s="178" customFormat="1" ht="39" customHeight="1" spans="1:53">
      <c r="A111" s="216">
        <v>46154</v>
      </c>
      <c r="B111" s="248" t="s">
        <v>548</v>
      </c>
      <c r="C111" s="248" t="s">
        <v>202</v>
      </c>
      <c r="D111" s="221" t="s">
        <v>562</v>
      </c>
      <c r="E111" s="249" t="s">
        <v>563</v>
      </c>
      <c r="F111" s="249" t="s">
        <v>564</v>
      </c>
      <c r="G111" s="221" t="s">
        <v>136</v>
      </c>
      <c r="H111" s="220" t="s">
        <v>565</v>
      </c>
      <c r="I111" s="221">
        <v>20</v>
      </c>
      <c r="J111" s="221">
        <v>0</v>
      </c>
      <c r="K111" s="221">
        <v>4</v>
      </c>
      <c r="L111" s="221">
        <f t="shared" si="18"/>
        <v>5</v>
      </c>
      <c r="M111" s="222">
        <v>46204</v>
      </c>
      <c r="N111" s="222">
        <v>46200</v>
      </c>
      <c r="O111" s="222" t="s">
        <v>50</v>
      </c>
      <c r="P111" s="291" t="s">
        <v>566</v>
      </c>
      <c r="Q111" s="248" t="s">
        <v>567</v>
      </c>
      <c r="R111" s="248"/>
      <c r="S111" s="224" t="s">
        <v>61</v>
      </c>
      <c r="T111" s="225">
        <v>46154</v>
      </c>
      <c r="U111" s="224">
        <v>46197</v>
      </c>
      <c r="V111" s="222"/>
      <c r="W111" s="222"/>
      <c r="X111" s="222"/>
      <c r="Y111" s="221" t="s">
        <v>568</v>
      </c>
      <c r="Z111" s="221" t="s">
        <v>553</v>
      </c>
      <c r="AA111" s="250">
        <v>9.86</v>
      </c>
      <c r="AB111" s="252">
        <f t="shared" si="19"/>
        <v>197.2</v>
      </c>
      <c r="AC111" s="251"/>
      <c r="AD111" s="276" t="s">
        <v>554</v>
      </c>
      <c r="AE111" s="221" t="s">
        <v>56</v>
      </c>
      <c r="AF111" s="252"/>
      <c r="AG111" s="252"/>
      <c r="AH111" s="248"/>
      <c r="AI111" s="221"/>
      <c r="AJ111" s="252"/>
      <c r="AK111" s="252"/>
      <c r="AL111" s="252"/>
      <c r="AM111" s="252"/>
      <c r="AN111" s="252"/>
      <c r="AO111" s="261">
        <f t="shared" si="20"/>
        <v>20</v>
      </c>
      <c r="AP111" s="262"/>
      <c r="AQ111" s="262">
        <f t="shared" si="22"/>
        <v>20</v>
      </c>
      <c r="AR111" s="262">
        <f t="shared" si="21"/>
        <v>20</v>
      </c>
      <c r="AS111" s="262"/>
      <c r="AT111" s="262"/>
      <c r="AU111" s="264"/>
      <c r="AV111" s="255"/>
      <c r="AW111" s="255"/>
      <c r="AX111" s="255"/>
      <c r="AY111" s="255"/>
      <c r="AZ111" s="255"/>
      <c r="BA111" s="255"/>
    </row>
    <row r="112" s="178" customFormat="1" ht="39" customHeight="1" spans="1:53">
      <c r="A112" s="216">
        <v>46154</v>
      </c>
      <c r="B112" s="248" t="s">
        <v>548</v>
      </c>
      <c r="C112" s="248" t="s">
        <v>202</v>
      </c>
      <c r="D112" s="221" t="s">
        <v>569</v>
      </c>
      <c r="E112" s="249" t="s">
        <v>570</v>
      </c>
      <c r="F112" s="249" t="s">
        <v>571</v>
      </c>
      <c r="G112" s="221" t="s">
        <v>136</v>
      </c>
      <c r="H112" s="220" t="s">
        <v>565</v>
      </c>
      <c r="I112" s="221">
        <v>24</v>
      </c>
      <c r="J112" s="221">
        <v>0</v>
      </c>
      <c r="K112" s="221">
        <v>4</v>
      </c>
      <c r="L112" s="221">
        <f t="shared" si="18"/>
        <v>6</v>
      </c>
      <c r="M112" s="222">
        <v>46204</v>
      </c>
      <c r="N112" s="222">
        <v>46200</v>
      </c>
      <c r="O112" s="222" t="s">
        <v>50</v>
      </c>
      <c r="P112" s="291" t="s">
        <v>566</v>
      </c>
      <c r="Q112" s="248" t="s">
        <v>567</v>
      </c>
      <c r="R112" s="248"/>
      <c r="S112" s="224" t="s">
        <v>61</v>
      </c>
      <c r="T112" s="225">
        <v>46154</v>
      </c>
      <c r="U112" s="224">
        <v>46197</v>
      </c>
      <c r="V112" s="222"/>
      <c r="W112" s="222"/>
      <c r="X112" s="222"/>
      <c r="Y112" s="221" t="s">
        <v>568</v>
      </c>
      <c r="Z112" s="221" t="s">
        <v>553</v>
      </c>
      <c r="AA112" s="250">
        <v>9.86</v>
      </c>
      <c r="AB112" s="252">
        <f t="shared" si="19"/>
        <v>236.64</v>
      </c>
      <c r="AC112" s="251"/>
      <c r="AD112" s="276" t="s">
        <v>554</v>
      </c>
      <c r="AE112" s="221" t="s">
        <v>56</v>
      </c>
      <c r="AF112" s="252"/>
      <c r="AG112" s="252"/>
      <c r="AH112" s="248"/>
      <c r="AI112" s="221"/>
      <c r="AJ112" s="252"/>
      <c r="AK112" s="252"/>
      <c r="AL112" s="252"/>
      <c r="AM112" s="252"/>
      <c r="AN112" s="252"/>
      <c r="AO112" s="261">
        <f t="shared" si="20"/>
        <v>24</v>
      </c>
      <c r="AP112" s="262"/>
      <c r="AQ112" s="262">
        <f t="shared" si="22"/>
        <v>24</v>
      </c>
      <c r="AR112" s="262">
        <f t="shared" si="21"/>
        <v>24</v>
      </c>
      <c r="AS112" s="262"/>
      <c r="AT112" s="262"/>
      <c r="AU112" s="264"/>
      <c r="AV112" s="255"/>
      <c r="AW112" s="255"/>
      <c r="AX112" s="255"/>
      <c r="AY112" s="255"/>
      <c r="AZ112" s="255"/>
      <c r="BA112" s="255"/>
    </row>
    <row r="113" s="178" customFormat="1" ht="39" customHeight="1" spans="1:53 16378:16384">
      <c r="A113" s="216">
        <v>46154</v>
      </c>
      <c r="B113" s="248" t="s">
        <v>548</v>
      </c>
      <c r="C113" s="248" t="s">
        <v>202</v>
      </c>
      <c r="D113" s="221" t="s">
        <v>569</v>
      </c>
      <c r="E113" s="249" t="s">
        <v>572</v>
      </c>
      <c r="F113" s="249" t="s">
        <v>573</v>
      </c>
      <c r="G113" s="221" t="s">
        <v>136</v>
      </c>
      <c r="H113" s="220" t="s">
        <v>565</v>
      </c>
      <c r="I113" s="221">
        <v>20</v>
      </c>
      <c r="J113" s="221">
        <v>0</v>
      </c>
      <c r="K113" s="221">
        <v>4</v>
      </c>
      <c r="L113" s="221">
        <f t="shared" si="18"/>
        <v>5</v>
      </c>
      <c r="M113" s="222">
        <v>46204</v>
      </c>
      <c r="N113" s="222">
        <v>46200</v>
      </c>
      <c r="O113" s="222" t="s">
        <v>50</v>
      </c>
      <c r="P113" s="291" t="s">
        <v>566</v>
      </c>
      <c r="Q113" s="248" t="s">
        <v>567</v>
      </c>
      <c r="R113" s="248"/>
      <c r="S113" s="224" t="s">
        <v>61</v>
      </c>
      <c r="T113" s="225">
        <v>46154</v>
      </c>
      <c r="U113" s="224">
        <v>46197</v>
      </c>
      <c r="V113" s="222"/>
      <c r="W113" s="222"/>
      <c r="X113" s="222"/>
      <c r="Y113" s="221" t="s">
        <v>568</v>
      </c>
      <c r="Z113" s="221" t="s">
        <v>553</v>
      </c>
      <c r="AA113" s="250">
        <v>9.86</v>
      </c>
      <c r="AB113" s="252">
        <f t="shared" si="19"/>
        <v>197.2</v>
      </c>
      <c r="AC113" s="251"/>
      <c r="AD113" s="276" t="s">
        <v>554</v>
      </c>
      <c r="AE113" s="221" t="s">
        <v>56</v>
      </c>
      <c r="AF113" s="252"/>
      <c r="AG113" s="252"/>
      <c r="AH113" s="248"/>
      <c r="AI113" s="221"/>
      <c r="AJ113" s="252"/>
      <c r="AK113" s="252"/>
      <c r="AL113" s="252"/>
      <c r="AM113" s="252"/>
      <c r="AN113" s="252"/>
      <c r="AO113" s="261">
        <f t="shared" si="20"/>
        <v>20</v>
      </c>
      <c r="AP113" s="262"/>
      <c r="AQ113" s="262">
        <f t="shared" si="22"/>
        <v>20</v>
      </c>
      <c r="AR113" s="262">
        <f t="shared" si="21"/>
        <v>20</v>
      </c>
      <c r="AS113" s="262"/>
      <c r="AT113" s="262"/>
      <c r="AU113" s="264"/>
      <c r="AV113" s="255"/>
      <c r="AW113" s="255"/>
      <c r="AX113" s="255"/>
      <c r="AY113" s="255"/>
      <c r="AZ113" s="255"/>
      <c r="BA113" s="255"/>
    </row>
    <row r="114" s="179" customFormat="1" ht="39" customHeight="1" spans="1:53 16378:16384">
      <c r="A114" s="233">
        <v>46157</v>
      </c>
      <c r="B114" s="258" t="s">
        <v>574</v>
      </c>
      <c r="C114" s="258" t="s">
        <v>210</v>
      </c>
      <c r="D114" s="238">
        <v>4500206895</v>
      </c>
      <c r="E114" s="269" t="s">
        <v>216</v>
      </c>
      <c r="F114" s="269" t="s">
        <v>575</v>
      </c>
      <c r="G114" s="238" t="s">
        <v>59</v>
      </c>
      <c r="H114" s="238" t="s">
        <v>49</v>
      </c>
      <c r="I114" s="238">
        <v>640</v>
      </c>
      <c r="J114" s="238">
        <v>0</v>
      </c>
      <c r="K114" s="238">
        <v>4</v>
      </c>
      <c r="L114" s="238">
        <f t="shared" si="18"/>
        <v>160</v>
      </c>
      <c r="M114" s="239">
        <v>46195</v>
      </c>
      <c r="N114" s="239">
        <v>46202</v>
      </c>
      <c r="O114" s="239"/>
      <c r="P114" s="267" t="s">
        <v>51</v>
      </c>
      <c r="Q114" s="258" t="s">
        <v>576</v>
      </c>
      <c r="R114" s="258"/>
      <c r="S114" s="240"/>
      <c r="T114" s="241">
        <v>46165</v>
      </c>
      <c r="U114" s="240" t="s">
        <v>577</v>
      </c>
      <c r="V114" s="239"/>
      <c r="W114" s="239"/>
      <c r="X114" s="239"/>
      <c r="Y114" s="238" t="s">
        <v>578</v>
      </c>
      <c r="Z114" s="238" t="s">
        <v>579</v>
      </c>
      <c r="AA114" s="274">
        <v>9.86</v>
      </c>
      <c r="AB114" s="270">
        <f t="shared" si="19"/>
        <v>6310.4</v>
      </c>
      <c r="AC114" s="271"/>
      <c r="AD114" s="230" t="s">
        <v>55</v>
      </c>
      <c r="AE114" s="235" t="s">
        <v>56</v>
      </c>
      <c r="AF114" s="270"/>
      <c r="AG114" s="270"/>
      <c r="AH114" s="258"/>
      <c r="AI114" s="238"/>
      <c r="AJ114" s="270"/>
      <c r="AK114" s="270"/>
      <c r="AL114" s="270"/>
      <c r="AM114" s="270"/>
      <c r="AN114" s="270"/>
      <c r="AO114" s="259">
        <f t="shared" si="20"/>
        <v>640</v>
      </c>
      <c r="AP114" s="260">
        <f>AO114</f>
        <v>640</v>
      </c>
      <c r="AQ114" s="260"/>
      <c r="AR114" s="260">
        <f t="shared" si="21"/>
        <v>640</v>
      </c>
      <c r="AS114" s="260"/>
      <c r="AT114" s="260"/>
      <c r="AU114" s="272"/>
      <c r="AV114" s="180"/>
      <c r="AW114" s="180"/>
      <c r="AX114" s="180"/>
      <c r="AY114" s="180"/>
      <c r="AZ114" s="180"/>
      <c r="BA114" s="180"/>
    </row>
    <row r="115" s="179" customFormat="1" ht="39" customHeight="1" spans="1:53 16378:16384">
      <c r="A115" s="233">
        <v>46161</v>
      </c>
      <c r="B115" s="258" t="s">
        <v>238</v>
      </c>
      <c r="C115" s="258" t="s">
        <v>77</v>
      </c>
      <c r="D115" s="238">
        <v>4500207892</v>
      </c>
      <c r="E115" s="269" t="s">
        <v>580</v>
      </c>
      <c r="F115" s="269" t="s">
        <v>581</v>
      </c>
      <c r="G115" s="238" t="s">
        <v>242</v>
      </c>
      <c r="H115" s="238" t="s">
        <v>49</v>
      </c>
      <c r="I115" s="238">
        <v>648</v>
      </c>
      <c r="J115" s="238">
        <v>0</v>
      </c>
      <c r="K115" s="238">
        <v>1</v>
      </c>
      <c r="L115" s="238">
        <f t="shared" si="18"/>
        <v>648</v>
      </c>
      <c r="M115" s="239">
        <v>46205</v>
      </c>
      <c r="N115" s="239">
        <v>46202</v>
      </c>
      <c r="O115" s="239" t="s">
        <v>582</v>
      </c>
      <c r="P115" s="267" t="s">
        <v>51</v>
      </c>
      <c r="Q115" s="258" t="s">
        <v>583</v>
      </c>
      <c r="R115" s="258"/>
      <c r="S115" s="240"/>
      <c r="T115" s="241">
        <v>46161</v>
      </c>
      <c r="U115" s="240">
        <v>46189</v>
      </c>
      <c r="V115" s="239"/>
      <c r="W115" s="239"/>
      <c r="X115" s="294" t="s">
        <v>584</v>
      </c>
      <c r="Y115" s="238" t="s">
        <v>585</v>
      </c>
      <c r="Z115" s="238" t="s">
        <v>81</v>
      </c>
      <c r="AA115" s="274">
        <v>5.916</v>
      </c>
      <c r="AB115" s="270">
        <f t="shared" si="19"/>
        <v>3833.568</v>
      </c>
      <c r="AC115" s="275" t="s">
        <v>586</v>
      </c>
      <c r="AD115" s="295" t="s">
        <v>247</v>
      </c>
      <c r="AE115" s="238" t="s">
        <v>56</v>
      </c>
      <c r="AF115" s="270"/>
      <c r="AG115" s="270"/>
      <c r="AH115" s="258"/>
      <c r="AI115" s="238"/>
      <c r="AJ115" s="270"/>
      <c r="AK115" s="270"/>
      <c r="AL115" s="270"/>
      <c r="AM115" s="270"/>
      <c r="AN115" s="270"/>
      <c r="AO115" s="259">
        <f t="shared" si="20"/>
        <v>648</v>
      </c>
      <c r="AP115" s="260">
        <f>AO115</f>
        <v>648</v>
      </c>
      <c r="AQ115" s="260"/>
      <c r="AR115" s="260"/>
      <c r="AS115" s="260">
        <f>AO115</f>
        <v>648</v>
      </c>
      <c r="AT115" s="260"/>
      <c r="AU115" s="272"/>
      <c r="AV115" s="180"/>
      <c r="AW115" s="180"/>
      <c r="AX115" s="180"/>
      <c r="AY115" s="180"/>
      <c r="AZ115" s="180"/>
      <c r="BA115" s="180"/>
    </row>
    <row r="116" s="179" customFormat="1" ht="39" customHeight="1" spans="1:53 16378:16384">
      <c r="A116" s="233">
        <v>46164</v>
      </c>
      <c r="B116" s="258" t="s">
        <v>522</v>
      </c>
      <c r="C116" s="258" t="s">
        <v>77</v>
      </c>
      <c r="D116" s="238">
        <v>4500208407</v>
      </c>
      <c r="E116" s="269" t="s">
        <v>587</v>
      </c>
      <c r="F116" s="269" t="s">
        <v>588</v>
      </c>
      <c r="G116" s="238" t="s">
        <v>59</v>
      </c>
      <c r="H116" s="238" t="s">
        <v>49</v>
      </c>
      <c r="I116" s="238">
        <v>876</v>
      </c>
      <c r="J116" s="238">
        <v>0</v>
      </c>
      <c r="K116" s="238">
        <v>4</v>
      </c>
      <c r="L116" s="238">
        <f t="shared" si="18"/>
        <v>219</v>
      </c>
      <c r="M116" s="239">
        <v>46205</v>
      </c>
      <c r="N116" s="239">
        <v>46202</v>
      </c>
      <c r="O116" s="239"/>
      <c r="P116" s="267" t="s">
        <v>51</v>
      </c>
      <c r="Q116" s="258" t="s">
        <v>589</v>
      </c>
      <c r="R116" s="258"/>
      <c r="S116" s="240" t="s">
        <v>61</v>
      </c>
      <c r="T116" s="241">
        <v>46171</v>
      </c>
      <c r="U116" s="240">
        <v>46193</v>
      </c>
      <c r="V116" s="239"/>
      <c r="W116" s="239"/>
      <c r="X116" s="239"/>
      <c r="Y116" s="238" t="s">
        <v>525</v>
      </c>
      <c r="Z116" s="238" t="s">
        <v>526</v>
      </c>
      <c r="AA116" s="274">
        <v>6.9932</v>
      </c>
      <c r="AB116" s="270">
        <f t="shared" si="19"/>
        <v>6126.0432</v>
      </c>
      <c r="AC116" s="296" t="s">
        <v>590</v>
      </c>
      <c r="AD116" s="270" t="s">
        <v>55</v>
      </c>
      <c r="AE116" s="238" t="s">
        <v>56</v>
      </c>
      <c r="AF116" s="270"/>
      <c r="AG116" s="270"/>
      <c r="AH116" s="258"/>
      <c r="AI116" s="238"/>
      <c r="AJ116" s="270"/>
      <c r="AK116" s="270"/>
      <c r="AL116" s="270"/>
      <c r="AM116" s="270"/>
      <c r="AN116" s="270"/>
      <c r="AO116" s="259">
        <f t="shared" si="20"/>
        <v>876</v>
      </c>
      <c r="AP116" s="260">
        <f>AO116</f>
        <v>876</v>
      </c>
      <c r="AQ116" s="260"/>
      <c r="AR116" s="260">
        <f>AO116</f>
        <v>876</v>
      </c>
      <c r="AS116" s="260"/>
      <c r="AT116" s="260"/>
      <c r="AU116" s="272"/>
      <c r="AV116" s="180"/>
      <c r="AW116" s="180"/>
      <c r="AX116" s="180"/>
      <c r="AY116" s="180"/>
      <c r="AZ116" s="180"/>
      <c r="BA116" s="180"/>
      <c r="XEX116" s="290"/>
      <c r="XEY116" s="290"/>
      <c r="XEZ116" s="290"/>
      <c r="XFA116" s="290"/>
      <c r="XFB116" s="290"/>
      <c r="XFC116" s="290"/>
      <c r="XFD116" s="290"/>
    </row>
    <row r="117" s="179" customFormat="1" ht="39" customHeight="1" spans="1:53 16378:16384">
      <c r="A117" s="233">
        <v>46164</v>
      </c>
      <c r="B117" s="258" t="s">
        <v>68</v>
      </c>
      <c r="C117" s="258" t="s">
        <v>69</v>
      </c>
      <c r="D117" s="238">
        <v>4500208771</v>
      </c>
      <c r="E117" s="269" t="s">
        <v>591</v>
      </c>
      <c r="F117" s="269" t="s">
        <v>592</v>
      </c>
      <c r="G117" s="238" t="s">
        <v>59</v>
      </c>
      <c r="H117" s="238" t="s">
        <v>49</v>
      </c>
      <c r="I117" s="238">
        <v>500</v>
      </c>
      <c r="J117" s="238">
        <v>0</v>
      </c>
      <c r="K117" s="238">
        <v>4</v>
      </c>
      <c r="L117" s="238">
        <f t="shared" si="18"/>
        <v>125</v>
      </c>
      <c r="M117" s="239">
        <v>46206</v>
      </c>
      <c r="N117" s="239">
        <v>46202</v>
      </c>
      <c r="O117" s="239"/>
      <c r="P117" s="267" t="s">
        <v>51</v>
      </c>
      <c r="Q117" s="258" t="s">
        <v>593</v>
      </c>
      <c r="R117" s="258"/>
      <c r="S117" s="240"/>
      <c r="T117" s="241">
        <v>46171</v>
      </c>
      <c r="U117" s="240" t="s">
        <v>73</v>
      </c>
      <c r="V117" s="239"/>
      <c r="W117" s="239"/>
      <c r="X117" s="239"/>
      <c r="Y117" s="238" t="s">
        <v>594</v>
      </c>
      <c r="Z117" s="238" t="s">
        <v>75</v>
      </c>
      <c r="AA117" s="274">
        <v>11.6553</v>
      </c>
      <c r="AB117" s="270">
        <f t="shared" si="19"/>
        <v>5827.65</v>
      </c>
      <c r="AC117" s="271"/>
      <c r="AD117" s="295" t="s">
        <v>247</v>
      </c>
      <c r="AE117" s="238" t="s">
        <v>56</v>
      </c>
      <c r="AF117" s="270"/>
      <c r="AG117" s="270"/>
      <c r="AH117" s="258"/>
      <c r="AI117" s="238"/>
      <c r="AJ117" s="270"/>
      <c r="AK117" s="270"/>
      <c r="AL117" s="270"/>
      <c r="AM117" s="270"/>
      <c r="AN117" s="270"/>
      <c r="AO117" s="259">
        <f t="shared" si="20"/>
        <v>500</v>
      </c>
      <c r="AP117" s="260">
        <f>AO117</f>
        <v>500</v>
      </c>
      <c r="AQ117" s="260"/>
      <c r="AR117" s="260"/>
      <c r="AS117" s="260">
        <f>AO117</f>
        <v>500</v>
      </c>
      <c r="AT117" s="260"/>
      <c r="AU117" s="272"/>
      <c r="AV117" s="180"/>
      <c r="AW117" s="180"/>
      <c r="AX117" s="180"/>
      <c r="AY117" s="180"/>
      <c r="AZ117" s="180"/>
      <c r="BA117" s="180"/>
      <c r="XEX117" s="290"/>
      <c r="XEY117" s="290"/>
      <c r="XEZ117" s="290"/>
      <c r="XFA117" s="290"/>
      <c r="XFB117" s="290"/>
      <c r="XFC117" s="290"/>
      <c r="XFD117" s="290"/>
    </row>
    <row r="118" s="179" customFormat="1" ht="39" customHeight="1" spans="1:53 16378:16384">
      <c r="A118" s="233">
        <v>46156</v>
      </c>
      <c r="B118" s="258" t="s">
        <v>114</v>
      </c>
      <c r="C118" s="258" t="s">
        <v>69</v>
      </c>
      <c r="D118" s="238">
        <v>4500207210</v>
      </c>
      <c r="E118" s="269" t="s">
        <v>595</v>
      </c>
      <c r="F118" s="269" t="s">
        <v>596</v>
      </c>
      <c r="G118" s="238" t="s">
        <v>59</v>
      </c>
      <c r="H118" s="238" t="s">
        <v>49</v>
      </c>
      <c r="I118" s="238">
        <v>1500</v>
      </c>
      <c r="J118" s="238">
        <v>0</v>
      </c>
      <c r="K118" s="238">
        <v>4</v>
      </c>
      <c r="L118" s="238">
        <f t="shared" si="18"/>
        <v>375</v>
      </c>
      <c r="M118" s="239">
        <v>46210</v>
      </c>
      <c r="N118" s="239">
        <v>46206</v>
      </c>
      <c r="O118" s="239"/>
      <c r="P118" s="267" t="s">
        <v>51</v>
      </c>
      <c r="Q118" s="239" t="s">
        <v>597</v>
      </c>
      <c r="R118" s="258"/>
      <c r="S118" s="240"/>
      <c r="T118" s="241">
        <v>46156</v>
      </c>
      <c r="U118" s="240" t="s">
        <v>73</v>
      </c>
      <c r="V118" s="239"/>
      <c r="W118" s="239"/>
      <c r="X118" s="239"/>
      <c r="Y118" s="238" t="s">
        <v>598</v>
      </c>
      <c r="Z118" s="238" t="s">
        <v>112</v>
      </c>
      <c r="AA118" s="274">
        <v>9.86</v>
      </c>
      <c r="AB118" s="270">
        <f t="shared" si="19"/>
        <v>14790</v>
      </c>
      <c r="AC118" s="271"/>
      <c r="AD118" s="237" t="s">
        <v>113</v>
      </c>
      <c r="AE118" s="235" t="s">
        <v>56</v>
      </c>
      <c r="AF118" s="270"/>
      <c r="AG118" s="270"/>
      <c r="AH118" s="258"/>
      <c r="AI118" s="238"/>
      <c r="AJ118" s="270"/>
      <c r="AK118" s="270"/>
      <c r="AL118" s="270"/>
      <c r="AM118" s="270"/>
      <c r="AN118" s="270"/>
      <c r="AO118" s="259">
        <f t="shared" si="20"/>
        <v>1500</v>
      </c>
      <c r="AP118" s="260"/>
      <c r="AQ118" s="260">
        <f>AO118</f>
        <v>1500</v>
      </c>
      <c r="AR118" s="260">
        <f>AO118</f>
        <v>1500</v>
      </c>
      <c r="AS118" s="260"/>
      <c r="AT118" s="260"/>
      <c r="AU118" s="272"/>
      <c r="AV118" s="180"/>
      <c r="AW118" s="180"/>
      <c r="AX118" s="180"/>
      <c r="AY118" s="180"/>
      <c r="AZ118" s="180"/>
      <c r="BA118" s="180"/>
    </row>
    <row r="119" s="179" customFormat="1" ht="39" customHeight="1" spans="1:53 16378:16384">
      <c r="A119" s="233">
        <v>46154</v>
      </c>
      <c r="B119" s="258" t="s">
        <v>599</v>
      </c>
      <c r="C119" s="258" t="s">
        <v>600</v>
      </c>
      <c r="D119" s="238">
        <v>4500206011</v>
      </c>
      <c r="E119" s="269" t="s">
        <v>216</v>
      </c>
      <c r="F119" s="269" t="s">
        <v>601</v>
      </c>
      <c r="G119" s="238" t="s">
        <v>59</v>
      </c>
      <c r="H119" s="238" t="s">
        <v>49</v>
      </c>
      <c r="I119" s="238">
        <v>1000</v>
      </c>
      <c r="J119" s="238">
        <v>0</v>
      </c>
      <c r="K119" s="238">
        <v>4</v>
      </c>
      <c r="L119" s="238">
        <f t="shared" si="18"/>
        <v>250</v>
      </c>
      <c r="M119" s="239">
        <v>46195</v>
      </c>
      <c r="N119" s="239">
        <v>46207</v>
      </c>
      <c r="O119" s="239"/>
      <c r="P119" s="267" t="s">
        <v>463</v>
      </c>
      <c r="Q119" s="258" t="s">
        <v>602</v>
      </c>
      <c r="R119" s="258"/>
      <c r="S119" s="240"/>
      <c r="T119" s="241">
        <v>46164</v>
      </c>
      <c r="U119" s="240">
        <v>46183</v>
      </c>
      <c r="V119" s="239"/>
      <c r="W119" s="239"/>
      <c r="X119" s="239"/>
      <c r="Y119" s="238" t="s">
        <v>603</v>
      </c>
      <c r="Z119" s="238" t="s">
        <v>233</v>
      </c>
      <c r="AA119" s="274">
        <v>9.86</v>
      </c>
      <c r="AB119" s="270">
        <f t="shared" si="19"/>
        <v>9860</v>
      </c>
      <c r="AC119" s="271"/>
      <c r="AD119" s="230" t="s">
        <v>604</v>
      </c>
      <c r="AE119" s="238" t="s">
        <v>56</v>
      </c>
      <c r="AF119" s="270"/>
      <c r="AG119" s="270"/>
      <c r="AH119" s="258"/>
      <c r="AI119" s="238"/>
      <c r="AJ119" s="270"/>
      <c r="AK119" s="270"/>
      <c r="AL119" s="270"/>
      <c r="AM119" s="270"/>
      <c r="AN119" s="270"/>
      <c r="AO119" s="259">
        <f t="shared" si="20"/>
        <v>1000</v>
      </c>
      <c r="AP119" s="260">
        <f>AO119</f>
        <v>1000</v>
      </c>
      <c r="AQ119" s="260"/>
      <c r="AR119" s="260"/>
      <c r="AS119" s="260"/>
      <c r="AT119" s="260">
        <f>AO119</f>
        <v>1000</v>
      </c>
      <c r="AU119" s="272"/>
      <c r="AV119" s="180"/>
      <c r="AW119" s="180"/>
      <c r="AX119" s="180"/>
      <c r="AY119" s="180"/>
      <c r="AZ119" s="180"/>
      <c r="BA119" s="180"/>
    </row>
    <row r="120" s="178" customFormat="1" ht="39" customHeight="1" spans="1:53 16378:16384">
      <c r="A120" s="216">
        <v>46161</v>
      </c>
      <c r="B120" s="248" t="s">
        <v>238</v>
      </c>
      <c r="C120" s="248" t="s">
        <v>77</v>
      </c>
      <c r="D120" s="221" t="s">
        <v>605</v>
      </c>
      <c r="E120" s="249" t="s">
        <v>606</v>
      </c>
      <c r="F120" s="249" t="s">
        <v>607</v>
      </c>
      <c r="G120" s="221" t="s">
        <v>242</v>
      </c>
      <c r="H120" s="221" t="s">
        <v>49</v>
      </c>
      <c r="I120" s="221">
        <v>504</v>
      </c>
      <c r="J120" s="221">
        <v>0</v>
      </c>
      <c r="K120" s="221">
        <v>1</v>
      </c>
      <c r="L120" s="221">
        <f t="shared" si="18"/>
        <v>504</v>
      </c>
      <c r="M120" s="222">
        <v>46211</v>
      </c>
      <c r="N120" s="222">
        <v>46207</v>
      </c>
      <c r="O120" s="222">
        <v>46212</v>
      </c>
      <c r="P120" s="291" t="s">
        <v>51</v>
      </c>
      <c r="Q120" s="248" t="s">
        <v>583</v>
      </c>
      <c r="R120" s="248"/>
      <c r="S120" s="224"/>
      <c r="T120" s="225">
        <v>46161</v>
      </c>
      <c r="U120" s="224">
        <v>46189</v>
      </c>
      <c r="V120" s="222"/>
      <c r="W120" s="222"/>
      <c r="X120" s="297" t="s">
        <v>584</v>
      </c>
      <c r="Y120" s="221" t="s">
        <v>608</v>
      </c>
      <c r="Z120" s="221" t="s">
        <v>81</v>
      </c>
      <c r="AA120" s="250">
        <v>5.82</v>
      </c>
      <c r="AB120" s="252">
        <f t="shared" si="19"/>
        <v>2933.28</v>
      </c>
      <c r="AC120" s="278" t="s">
        <v>609</v>
      </c>
      <c r="AD120" s="298" t="s">
        <v>247</v>
      </c>
      <c r="AE120" s="221" t="s">
        <v>56</v>
      </c>
      <c r="AF120" s="252"/>
      <c r="AG120" s="252"/>
      <c r="AH120" s="248"/>
      <c r="AI120" s="221"/>
      <c r="AJ120" s="252"/>
      <c r="AK120" s="252"/>
      <c r="AL120" s="252"/>
      <c r="AM120" s="252"/>
      <c r="AN120" s="252"/>
      <c r="AO120" s="261">
        <f t="shared" si="20"/>
        <v>504</v>
      </c>
      <c r="AP120" s="262">
        <f>AO120</f>
        <v>504</v>
      </c>
      <c r="AQ120" s="262"/>
      <c r="AR120" s="262"/>
      <c r="AS120" s="262">
        <f>AO120</f>
        <v>504</v>
      </c>
      <c r="AT120" s="262"/>
      <c r="AU120" s="264"/>
      <c r="AV120" s="255"/>
      <c r="AW120" s="255"/>
      <c r="AX120" s="255"/>
      <c r="AY120" s="255"/>
      <c r="AZ120" s="255"/>
      <c r="BA120" s="255"/>
    </row>
    <row r="121" s="178" customFormat="1" ht="39" customHeight="1" spans="1:53 16378:16384">
      <c r="A121" s="216">
        <v>46161</v>
      </c>
      <c r="B121" s="248" t="s">
        <v>238</v>
      </c>
      <c r="C121" s="248" t="s">
        <v>77</v>
      </c>
      <c r="D121" s="221" t="s">
        <v>605</v>
      </c>
      <c r="E121" s="249" t="s">
        <v>610</v>
      </c>
      <c r="F121" s="249" t="s">
        <v>611</v>
      </c>
      <c r="G121" s="221" t="s">
        <v>242</v>
      </c>
      <c r="H121" s="221" t="s">
        <v>49</v>
      </c>
      <c r="I121" s="221">
        <v>504</v>
      </c>
      <c r="J121" s="221">
        <v>0</v>
      </c>
      <c r="K121" s="221">
        <v>1</v>
      </c>
      <c r="L121" s="221">
        <f t="shared" si="18"/>
        <v>504</v>
      </c>
      <c r="M121" s="222">
        <v>46211</v>
      </c>
      <c r="N121" s="222">
        <v>46207</v>
      </c>
      <c r="O121" s="222">
        <v>46212</v>
      </c>
      <c r="P121" s="291" t="s">
        <v>51</v>
      </c>
      <c r="Q121" s="248" t="s">
        <v>583</v>
      </c>
      <c r="R121" s="248"/>
      <c r="S121" s="224"/>
      <c r="T121" s="225">
        <v>46161</v>
      </c>
      <c r="U121" s="224">
        <v>46189</v>
      </c>
      <c r="V121" s="222"/>
      <c r="W121" s="222"/>
      <c r="X121" s="297" t="s">
        <v>584</v>
      </c>
      <c r="Y121" s="221" t="s">
        <v>608</v>
      </c>
      <c r="Z121" s="221" t="s">
        <v>81</v>
      </c>
      <c r="AA121" s="250">
        <v>5.82</v>
      </c>
      <c r="AB121" s="252">
        <f t="shared" si="19"/>
        <v>2933.28</v>
      </c>
      <c r="AC121" s="278" t="s">
        <v>612</v>
      </c>
      <c r="AD121" s="299" t="s">
        <v>247</v>
      </c>
      <c r="AE121" s="221" t="s">
        <v>56</v>
      </c>
      <c r="AF121" s="252"/>
      <c r="AG121" s="252"/>
      <c r="AH121" s="248"/>
      <c r="AI121" s="221"/>
      <c r="AJ121" s="252"/>
      <c r="AK121" s="252"/>
      <c r="AL121" s="252"/>
      <c r="AM121" s="252"/>
      <c r="AN121" s="252"/>
      <c r="AO121" s="261">
        <f t="shared" si="20"/>
        <v>504</v>
      </c>
      <c r="AP121" s="262">
        <f>AO121</f>
        <v>504</v>
      </c>
      <c r="AQ121" s="262"/>
      <c r="AR121" s="262"/>
      <c r="AS121" s="262">
        <f>AO121</f>
        <v>504</v>
      </c>
      <c r="AT121" s="262"/>
      <c r="AU121" s="264"/>
      <c r="AV121" s="255"/>
      <c r="AW121" s="255"/>
      <c r="AX121" s="255"/>
      <c r="AY121" s="255"/>
      <c r="AZ121" s="255"/>
      <c r="BA121" s="255"/>
    </row>
    <row r="122" s="178" customFormat="1" ht="39" customHeight="1" spans="1:53 16378:16384">
      <c r="A122" s="216">
        <v>46161</v>
      </c>
      <c r="B122" s="248" t="s">
        <v>238</v>
      </c>
      <c r="C122" s="248" t="s">
        <v>77</v>
      </c>
      <c r="D122" s="221" t="s">
        <v>605</v>
      </c>
      <c r="E122" s="249" t="s">
        <v>613</v>
      </c>
      <c r="F122" s="249" t="s">
        <v>614</v>
      </c>
      <c r="G122" s="221" t="s">
        <v>242</v>
      </c>
      <c r="H122" s="221" t="s">
        <v>49</v>
      </c>
      <c r="I122" s="221">
        <v>576</v>
      </c>
      <c r="J122" s="221">
        <v>0</v>
      </c>
      <c r="K122" s="221">
        <v>1</v>
      </c>
      <c r="L122" s="221">
        <f t="shared" si="18"/>
        <v>576</v>
      </c>
      <c r="M122" s="222">
        <v>46211</v>
      </c>
      <c r="N122" s="222">
        <v>46207</v>
      </c>
      <c r="O122" s="222">
        <v>46212</v>
      </c>
      <c r="P122" s="291" t="s">
        <v>51</v>
      </c>
      <c r="Q122" s="248" t="s">
        <v>583</v>
      </c>
      <c r="R122" s="248"/>
      <c r="S122" s="224"/>
      <c r="T122" s="224">
        <v>46161</v>
      </c>
      <c r="U122" s="224">
        <v>46189</v>
      </c>
      <c r="V122" s="222"/>
      <c r="W122" s="222"/>
      <c r="X122" s="297" t="s">
        <v>584</v>
      </c>
      <c r="Y122" s="221" t="s">
        <v>608</v>
      </c>
      <c r="Z122" s="221" t="s">
        <v>81</v>
      </c>
      <c r="AA122" s="250">
        <v>5.916</v>
      </c>
      <c r="AB122" s="252">
        <f t="shared" si="19"/>
        <v>3407.616</v>
      </c>
      <c r="AC122" s="278" t="s">
        <v>615</v>
      </c>
      <c r="AD122" s="299" t="s">
        <v>247</v>
      </c>
      <c r="AE122" s="221" t="s">
        <v>56</v>
      </c>
      <c r="AF122" s="252"/>
      <c r="AG122" s="252"/>
      <c r="AH122" s="248"/>
      <c r="AI122" s="221"/>
      <c r="AJ122" s="252"/>
      <c r="AK122" s="252"/>
      <c r="AL122" s="252"/>
      <c r="AM122" s="252"/>
      <c r="AN122" s="252"/>
      <c r="AO122" s="261">
        <f t="shared" si="20"/>
        <v>576</v>
      </c>
      <c r="AP122" s="262">
        <f>AO122</f>
        <v>576</v>
      </c>
      <c r="AQ122" s="262"/>
      <c r="AR122" s="262"/>
      <c r="AS122" s="262">
        <f>AO122</f>
        <v>576</v>
      </c>
      <c r="AT122" s="262"/>
      <c r="AU122" s="264"/>
      <c r="AV122" s="255"/>
      <c r="AW122" s="255"/>
      <c r="AX122" s="255"/>
      <c r="AY122" s="255"/>
      <c r="AZ122" s="255"/>
      <c r="BA122" s="255"/>
    </row>
    <row r="123" s="178" customFormat="1" ht="39" customHeight="1" spans="1:53 16378:16384">
      <c r="A123" s="216">
        <v>46168</v>
      </c>
      <c r="B123" s="248" t="s">
        <v>616</v>
      </c>
      <c r="C123" s="248" t="s">
        <v>617</v>
      </c>
      <c r="D123" s="221">
        <v>4500203225</v>
      </c>
      <c r="E123" s="249" t="s">
        <v>216</v>
      </c>
      <c r="F123" s="249" t="s">
        <v>618</v>
      </c>
      <c r="G123" s="221" t="s">
        <v>59</v>
      </c>
      <c r="H123" s="221" t="s">
        <v>49</v>
      </c>
      <c r="I123" s="221">
        <v>180</v>
      </c>
      <c r="J123" s="221">
        <v>0</v>
      </c>
      <c r="K123" s="221">
        <v>4</v>
      </c>
      <c r="L123" s="221">
        <f t="shared" si="18"/>
        <v>45</v>
      </c>
      <c r="M123" s="222">
        <v>46212</v>
      </c>
      <c r="N123" s="222">
        <v>46209</v>
      </c>
      <c r="O123" s="222"/>
      <c r="P123" s="267" t="s">
        <v>51</v>
      </c>
      <c r="Q123" s="248" t="s">
        <v>619</v>
      </c>
      <c r="R123" s="248"/>
      <c r="S123" s="224"/>
      <c r="T123" s="225">
        <v>46178</v>
      </c>
      <c r="U123" s="224">
        <v>46189</v>
      </c>
      <c r="V123" s="222"/>
      <c r="W123" s="222"/>
      <c r="X123" s="222"/>
      <c r="Y123" s="221" t="s">
        <v>620</v>
      </c>
      <c r="Z123" s="221" t="s">
        <v>621</v>
      </c>
      <c r="AA123" s="250">
        <v>11.9558</v>
      </c>
      <c r="AB123" s="252">
        <f t="shared" si="19"/>
        <v>2152.044</v>
      </c>
      <c r="AC123" s="251"/>
      <c r="AD123" s="252" t="s">
        <v>113</v>
      </c>
      <c r="AE123" s="221" t="s">
        <v>56</v>
      </c>
      <c r="AF123" s="252"/>
      <c r="AG123" s="252"/>
      <c r="AH123" s="248"/>
      <c r="AI123" s="221"/>
      <c r="AJ123" s="252"/>
      <c r="AK123" s="252"/>
      <c r="AL123" s="252"/>
      <c r="AM123" s="252"/>
      <c r="AN123" s="252"/>
      <c r="AO123" s="261">
        <f t="shared" si="20"/>
        <v>180</v>
      </c>
      <c r="AP123" s="262"/>
      <c r="AQ123" s="262">
        <f>AO123</f>
        <v>180</v>
      </c>
      <c r="AR123" s="262">
        <f>AO123</f>
        <v>180</v>
      </c>
      <c r="AS123" s="262"/>
      <c r="AT123" s="262"/>
      <c r="AU123" s="264"/>
      <c r="AV123" s="255"/>
      <c r="AW123" s="255"/>
      <c r="AX123" s="255"/>
      <c r="AY123" s="255"/>
      <c r="AZ123" s="255"/>
      <c r="BA123" s="255"/>
    </row>
    <row r="124" s="178" customFormat="1" ht="39" customHeight="1" spans="1:53 16378:16384">
      <c r="A124" s="216">
        <v>46136</v>
      </c>
      <c r="B124" s="248" t="s">
        <v>622</v>
      </c>
      <c r="C124" s="248" t="s">
        <v>422</v>
      </c>
      <c r="D124" s="221" t="s">
        <v>623</v>
      </c>
      <c r="E124" s="249" t="s">
        <v>216</v>
      </c>
      <c r="F124" s="249" t="s">
        <v>624</v>
      </c>
      <c r="G124" s="221" t="s">
        <v>59</v>
      </c>
      <c r="H124" s="221" t="s">
        <v>49</v>
      </c>
      <c r="I124" s="221">
        <v>240</v>
      </c>
      <c r="J124" s="221">
        <v>0</v>
      </c>
      <c r="K124" s="221">
        <v>4</v>
      </c>
      <c r="L124" s="221">
        <f t="shared" si="18"/>
        <v>60</v>
      </c>
      <c r="M124" s="222">
        <v>46213</v>
      </c>
      <c r="N124" s="222">
        <v>46209</v>
      </c>
      <c r="O124" s="222"/>
      <c r="P124" s="267" t="s">
        <v>51</v>
      </c>
      <c r="Q124" s="248" t="s">
        <v>625</v>
      </c>
      <c r="R124" s="248"/>
      <c r="S124" s="224"/>
      <c r="T124" s="225">
        <v>46178</v>
      </c>
      <c r="U124" s="224">
        <v>46190</v>
      </c>
      <c r="V124" s="222"/>
      <c r="W124" s="222"/>
      <c r="X124" s="222"/>
      <c r="Y124" s="221" t="s">
        <v>626</v>
      </c>
      <c r="Z124" s="221" t="s">
        <v>233</v>
      </c>
      <c r="AA124" s="250">
        <v>11.9558</v>
      </c>
      <c r="AB124" s="252">
        <f t="shared" si="19"/>
        <v>2869.392</v>
      </c>
      <c r="AC124" s="251"/>
      <c r="AD124" s="232" t="s">
        <v>55</v>
      </c>
      <c r="AE124" s="221" t="s">
        <v>56</v>
      </c>
      <c r="AF124" s="252"/>
      <c r="AG124" s="252"/>
      <c r="AH124" s="248"/>
      <c r="AI124" s="221"/>
      <c r="AJ124" s="252"/>
      <c r="AK124" s="252"/>
      <c r="AL124" s="252"/>
      <c r="AM124" s="252"/>
      <c r="AN124" s="252"/>
      <c r="AO124" s="261">
        <f t="shared" si="20"/>
        <v>240</v>
      </c>
      <c r="AP124" s="262">
        <f>I124</f>
        <v>240</v>
      </c>
      <c r="AQ124" s="262"/>
      <c r="AR124" s="262"/>
      <c r="AS124" s="262"/>
      <c r="AT124" s="262">
        <f>AO124</f>
        <v>240</v>
      </c>
      <c r="AU124" s="264"/>
      <c r="AV124" s="255"/>
      <c r="AW124" s="255"/>
      <c r="AX124" s="255"/>
      <c r="AY124" s="255"/>
      <c r="AZ124" s="255"/>
      <c r="BA124" s="255"/>
    </row>
    <row r="125" s="179" customFormat="1" ht="39" customHeight="1" spans="1:53 16378:16384">
      <c r="A125" s="233">
        <v>46154</v>
      </c>
      <c r="B125" s="258" t="s">
        <v>627</v>
      </c>
      <c r="C125" s="258" t="s">
        <v>223</v>
      </c>
      <c r="D125" s="238">
        <v>4500206580</v>
      </c>
      <c r="E125" s="269" t="s">
        <v>628</v>
      </c>
      <c r="F125" s="269" t="s">
        <v>629</v>
      </c>
      <c r="G125" s="238" t="s">
        <v>59</v>
      </c>
      <c r="H125" s="238" t="s">
        <v>49</v>
      </c>
      <c r="I125" s="238">
        <v>400</v>
      </c>
      <c r="J125" s="238">
        <v>0</v>
      </c>
      <c r="K125" s="238">
        <v>4</v>
      </c>
      <c r="L125" s="238">
        <f t="shared" si="18"/>
        <v>100</v>
      </c>
      <c r="M125" s="239">
        <v>46198</v>
      </c>
      <c r="N125" s="239">
        <v>46212</v>
      </c>
      <c r="O125" s="239" t="s">
        <v>50</v>
      </c>
      <c r="P125" s="267" t="s">
        <v>51</v>
      </c>
      <c r="Q125" s="258" t="s">
        <v>630</v>
      </c>
      <c r="R125" s="258"/>
      <c r="S125" s="240"/>
      <c r="T125" s="241">
        <v>46164</v>
      </c>
      <c r="U125" s="240">
        <v>46175</v>
      </c>
      <c r="V125" s="239"/>
      <c r="W125" s="239" t="s">
        <v>631</v>
      </c>
      <c r="X125" s="239"/>
      <c r="Y125" s="238" t="s">
        <v>632</v>
      </c>
      <c r="Z125" s="238" t="s">
        <v>633</v>
      </c>
      <c r="AA125" s="274">
        <v>9.7</v>
      </c>
      <c r="AB125" s="270">
        <f t="shared" si="19"/>
        <v>3880</v>
      </c>
      <c r="AC125" s="271"/>
      <c r="AD125" s="270" t="s">
        <v>113</v>
      </c>
      <c r="AE125" s="238" t="s">
        <v>56</v>
      </c>
      <c r="AF125" s="270"/>
      <c r="AG125" s="270"/>
      <c r="AH125" s="258"/>
      <c r="AI125" s="238"/>
      <c r="AJ125" s="270"/>
      <c r="AK125" s="270"/>
      <c r="AL125" s="270"/>
      <c r="AM125" s="270"/>
      <c r="AN125" s="270"/>
      <c r="AO125" s="259">
        <f t="shared" si="20"/>
        <v>400</v>
      </c>
      <c r="AP125" s="260"/>
      <c r="AQ125" s="260">
        <f>AO125</f>
        <v>400</v>
      </c>
      <c r="AR125" s="260"/>
      <c r="AS125" s="260">
        <f>AO125</f>
        <v>400</v>
      </c>
      <c r="AT125" s="260"/>
      <c r="AU125" s="272"/>
      <c r="AV125" s="180"/>
      <c r="AW125" s="180"/>
      <c r="AX125" s="180"/>
      <c r="AY125" s="180"/>
      <c r="AZ125" s="180"/>
      <c r="BA125" s="180"/>
    </row>
    <row r="126" s="179" customFormat="1" ht="39" customHeight="1" spans="1:53 16378:16384">
      <c r="A126" s="233">
        <v>46133</v>
      </c>
      <c r="B126" s="258" t="s">
        <v>634</v>
      </c>
      <c r="C126" s="258" t="s">
        <v>69</v>
      </c>
      <c r="D126" s="238" t="s">
        <v>635</v>
      </c>
      <c r="E126" s="269" t="s">
        <v>636</v>
      </c>
      <c r="F126" s="269" t="s">
        <v>637</v>
      </c>
      <c r="G126" s="238" t="s">
        <v>59</v>
      </c>
      <c r="H126" s="238" t="s">
        <v>49</v>
      </c>
      <c r="I126" s="238">
        <v>500</v>
      </c>
      <c r="J126" s="238">
        <v>0</v>
      </c>
      <c r="K126" s="238">
        <v>4</v>
      </c>
      <c r="L126" s="238">
        <f t="shared" si="18"/>
        <v>125</v>
      </c>
      <c r="M126" s="239">
        <v>46216</v>
      </c>
      <c r="N126" s="239">
        <v>46212</v>
      </c>
      <c r="O126" s="239"/>
      <c r="P126" s="267" t="s">
        <v>51</v>
      </c>
      <c r="Q126" s="258" t="s">
        <v>638</v>
      </c>
      <c r="R126" s="258"/>
      <c r="S126" s="240"/>
      <c r="T126" s="241">
        <v>46171</v>
      </c>
      <c r="U126" s="240" t="s">
        <v>73</v>
      </c>
      <c r="V126" s="239"/>
      <c r="W126" s="239"/>
      <c r="X126" s="239"/>
      <c r="Y126" s="238" t="s">
        <v>639</v>
      </c>
      <c r="Z126" s="238" t="s">
        <v>640</v>
      </c>
      <c r="AA126" s="274">
        <v>9.86</v>
      </c>
      <c r="AB126" s="270">
        <f t="shared" si="19"/>
        <v>4930</v>
      </c>
      <c r="AC126" s="271"/>
      <c r="AD126" s="230" t="s">
        <v>55</v>
      </c>
      <c r="AE126" s="238" t="s">
        <v>56</v>
      </c>
      <c r="AF126" s="270"/>
      <c r="AG126" s="270"/>
      <c r="AH126" s="258"/>
      <c r="AI126" s="238"/>
      <c r="AJ126" s="270"/>
      <c r="AK126" s="270"/>
      <c r="AL126" s="270"/>
      <c r="AM126" s="270"/>
      <c r="AN126" s="270"/>
      <c r="AO126" s="259">
        <f t="shared" si="20"/>
        <v>500</v>
      </c>
      <c r="AP126" s="260">
        <f>I126</f>
        <v>500</v>
      </c>
      <c r="AQ126" s="260"/>
      <c r="AR126" s="260">
        <f>I126</f>
        <v>500</v>
      </c>
      <c r="AS126" s="260"/>
      <c r="AT126" s="260"/>
      <c r="AU126" s="272"/>
      <c r="AV126" s="180"/>
      <c r="AW126" s="180"/>
      <c r="AX126" s="180"/>
      <c r="AY126" s="180"/>
      <c r="AZ126" s="180"/>
      <c r="BA126" s="180"/>
    </row>
    <row r="127" s="179" customFormat="1" ht="39" customHeight="1" spans="1:53 16378:16384">
      <c r="A127" s="233">
        <v>46161</v>
      </c>
      <c r="B127" s="258" t="s">
        <v>238</v>
      </c>
      <c r="C127" s="258" t="s">
        <v>77</v>
      </c>
      <c r="D127" s="238" t="s">
        <v>641</v>
      </c>
      <c r="E127" s="269" t="s">
        <v>642</v>
      </c>
      <c r="F127" s="269" t="s">
        <v>643</v>
      </c>
      <c r="G127" s="238" t="s">
        <v>242</v>
      </c>
      <c r="H127" s="238" t="s">
        <v>49</v>
      </c>
      <c r="I127" s="238">
        <v>720</v>
      </c>
      <c r="J127" s="238">
        <v>0</v>
      </c>
      <c r="K127" s="238">
        <v>1</v>
      </c>
      <c r="L127" s="238">
        <f t="shared" si="18"/>
        <v>720</v>
      </c>
      <c r="M127" s="239">
        <v>46216</v>
      </c>
      <c r="N127" s="239">
        <v>46212</v>
      </c>
      <c r="O127" s="239">
        <v>46217</v>
      </c>
      <c r="P127" s="267" t="s">
        <v>51</v>
      </c>
      <c r="Q127" s="258" t="s">
        <v>644</v>
      </c>
      <c r="R127" s="258"/>
      <c r="S127" s="240"/>
      <c r="T127" s="240">
        <v>46161</v>
      </c>
      <c r="U127" s="240">
        <v>46189</v>
      </c>
      <c r="V127" s="239"/>
      <c r="W127" s="239"/>
      <c r="X127" s="294" t="s">
        <v>584</v>
      </c>
      <c r="Y127" s="238" t="s">
        <v>645</v>
      </c>
      <c r="Z127" s="238" t="s">
        <v>81</v>
      </c>
      <c r="AA127" s="274">
        <v>5.82</v>
      </c>
      <c r="AB127" s="270">
        <f t="shared" si="19"/>
        <v>4190.4</v>
      </c>
      <c r="AC127" s="275" t="s">
        <v>646</v>
      </c>
      <c r="AD127" s="300" t="s">
        <v>247</v>
      </c>
      <c r="AE127" s="238" t="s">
        <v>56</v>
      </c>
      <c r="AF127" s="270"/>
      <c r="AG127" s="270"/>
      <c r="AH127" s="258"/>
      <c r="AI127" s="238"/>
      <c r="AJ127" s="270"/>
      <c r="AK127" s="270"/>
      <c r="AL127" s="270"/>
      <c r="AM127" s="270"/>
      <c r="AN127" s="270"/>
      <c r="AO127" s="259">
        <f t="shared" si="20"/>
        <v>720</v>
      </c>
      <c r="AP127" s="260">
        <f>AO127</f>
        <v>720</v>
      </c>
      <c r="AQ127" s="260"/>
      <c r="AR127" s="260"/>
      <c r="AS127" s="260">
        <f>AO127</f>
        <v>720</v>
      </c>
      <c r="AT127" s="260"/>
      <c r="AU127" s="272"/>
      <c r="AV127" s="180"/>
      <c r="AW127" s="180"/>
      <c r="AX127" s="180"/>
      <c r="AY127" s="180"/>
      <c r="AZ127" s="180"/>
      <c r="BA127" s="180"/>
    </row>
    <row r="128" s="179" customFormat="1" ht="39" customHeight="1" spans="1:53 16378:16384">
      <c r="A128" s="233">
        <v>46161</v>
      </c>
      <c r="B128" s="258" t="s">
        <v>238</v>
      </c>
      <c r="C128" s="258" t="s">
        <v>77</v>
      </c>
      <c r="D128" s="238" t="s">
        <v>641</v>
      </c>
      <c r="E128" s="269" t="s">
        <v>647</v>
      </c>
      <c r="F128" s="269" t="s">
        <v>648</v>
      </c>
      <c r="G128" s="238" t="s">
        <v>242</v>
      </c>
      <c r="H128" s="238" t="s">
        <v>49</v>
      </c>
      <c r="I128" s="238">
        <v>720</v>
      </c>
      <c r="J128" s="238">
        <v>0</v>
      </c>
      <c r="K128" s="238">
        <v>1</v>
      </c>
      <c r="L128" s="238">
        <f t="shared" si="18"/>
        <v>720</v>
      </c>
      <c r="M128" s="239">
        <v>46216</v>
      </c>
      <c r="N128" s="239">
        <v>46212</v>
      </c>
      <c r="O128" s="239">
        <v>46217</v>
      </c>
      <c r="P128" s="267" t="s">
        <v>51</v>
      </c>
      <c r="Q128" s="258" t="s">
        <v>644</v>
      </c>
      <c r="R128" s="258"/>
      <c r="S128" s="240"/>
      <c r="T128" s="240">
        <v>46161</v>
      </c>
      <c r="U128" s="240">
        <v>46189</v>
      </c>
      <c r="V128" s="239"/>
      <c r="W128" s="239"/>
      <c r="X128" s="294" t="s">
        <v>584</v>
      </c>
      <c r="Y128" s="238" t="s">
        <v>645</v>
      </c>
      <c r="Z128" s="238" t="s">
        <v>81</v>
      </c>
      <c r="AA128" s="274">
        <v>5.82</v>
      </c>
      <c r="AB128" s="270">
        <f t="shared" si="19"/>
        <v>4190.4</v>
      </c>
      <c r="AC128" s="275" t="s">
        <v>649</v>
      </c>
      <c r="AD128" s="295" t="s">
        <v>247</v>
      </c>
      <c r="AE128" s="238" t="s">
        <v>56</v>
      </c>
      <c r="AF128" s="270"/>
      <c r="AG128" s="270"/>
      <c r="AH128" s="258"/>
      <c r="AI128" s="238"/>
      <c r="AJ128" s="270"/>
      <c r="AK128" s="270"/>
      <c r="AL128" s="270"/>
      <c r="AM128" s="270"/>
      <c r="AN128" s="270"/>
      <c r="AO128" s="259">
        <f t="shared" si="20"/>
        <v>720</v>
      </c>
      <c r="AP128" s="260">
        <f>AO128</f>
        <v>720</v>
      </c>
      <c r="AQ128" s="260"/>
      <c r="AR128" s="260"/>
      <c r="AS128" s="260">
        <f>AO128</f>
        <v>720</v>
      </c>
      <c r="AT128" s="260"/>
      <c r="AU128" s="272"/>
      <c r="AV128" s="180"/>
      <c r="AW128" s="180"/>
      <c r="AX128" s="180"/>
      <c r="AY128" s="180"/>
      <c r="AZ128" s="180"/>
      <c r="BA128" s="180"/>
      <c r="XEX128" s="290"/>
      <c r="XEY128" s="290"/>
      <c r="XEZ128" s="290"/>
      <c r="XFA128" s="290"/>
      <c r="XFB128" s="290"/>
      <c r="XFC128" s="290"/>
      <c r="XFD128" s="290"/>
    </row>
    <row r="129" s="179" customFormat="1" ht="39" customHeight="1" spans="1:53 16369:16384">
      <c r="A129" s="233">
        <v>46161</v>
      </c>
      <c r="B129" s="258" t="s">
        <v>238</v>
      </c>
      <c r="C129" s="258" t="s">
        <v>77</v>
      </c>
      <c r="D129" s="238" t="s">
        <v>641</v>
      </c>
      <c r="E129" s="269" t="s">
        <v>650</v>
      </c>
      <c r="F129" s="269" t="s">
        <v>651</v>
      </c>
      <c r="G129" s="238" t="s">
        <v>242</v>
      </c>
      <c r="H129" s="238" t="s">
        <v>49</v>
      </c>
      <c r="I129" s="238">
        <v>504</v>
      </c>
      <c r="J129" s="238">
        <v>0</v>
      </c>
      <c r="K129" s="238">
        <v>1</v>
      </c>
      <c r="L129" s="238">
        <f t="shared" si="18"/>
        <v>504</v>
      </c>
      <c r="M129" s="239">
        <v>46216</v>
      </c>
      <c r="N129" s="239">
        <v>46212</v>
      </c>
      <c r="O129" s="239">
        <v>46217</v>
      </c>
      <c r="P129" s="267" t="s">
        <v>51</v>
      </c>
      <c r="Q129" s="258" t="s">
        <v>644</v>
      </c>
      <c r="R129" s="258"/>
      <c r="S129" s="240"/>
      <c r="T129" s="241">
        <v>46161</v>
      </c>
      <c r="U129" s="240">
        <v>46189</v>
      </c>
      <c r="V129" s="239"/>
      <c r="W129" s="239"/>
      <c r="X129" s="294" t="s">
        <v>584</v>
      </c>
      <c r="Y129" s="238" t="s">
        <v>645</v>
      </c>
      <c r="Z129" s="238" t="s">
        <v>81</v>
      </c>
      <c r="AA129" s="274">
        <v>5.82</v>
      </c>
      <c r="AB129" s="270">
        <f t="shared" si="19"/>
        <v>2933.28</v>
      </c>
      <c r="AC129" s="275" t="s">
        <v>652</v>
      </c>
      <c r="AD129" s="295" t="s">
        <v>247</v>
      </c>
      <c r="AE129" s="238" t="s">
        <v>56</v>
      </c>
      <c r="AF129" s="270"/>
      <c r="AG129" s="270"/>
      <c r="AH129" s="258"/>
      <c r="AI129" s="238"/>
      <c r="AJ129" s="270"/>
      <c r="AK129" s="270"/>
      <c r="AL129" s="270"/>
      <c r="AM129" s="270"/>
      <c r="AN129" s="270"/>
      <c r="AO129" s="259">
        <f t="shared" si="20"/>
        <v>504</v>
      </c>
      <c r="AP129" s="260">
        <f>AO129</f>
        <v>504</v>
      </c>
      <c r="AQ129" s="260"/>
      <c r="AR129" s="260"/>
      <c r="AS129" s="260">
        <f>AO129</f>
        <v>504</v>
      </c>
      <c r="AT129" s="260"/>
      <c r="AU129" s="272"/>
      <c r="AV129" s="180"/>
      <c r="AW129" s="180"/>
      <c r="AX129" s="180"/>
      <c r="AY129" s="180"/>
      <c r="AZ129" s="180"/>
      <c r="BA129" s="180"/>
      <c r="XEX129" s="290"/>
      <c r="XEY129" s="290"/>
      <c r="XEZ129" s="290"/>
      <c r="XFA129" s="290"/>
      <c r="XFB129" s="290"/>
      <c r="XFC129" s="290"/>
      <c r="XFD129" s="290"/>
    </row>
    <row r="130" s="179" customFormat="1" ht="39" customHeight="1" spans="1:53 16369:16384">
      <c r="A130" s="233">
        <v>46161</v>
      </c>
      <c r="B130" s="258" t="s">
        <v>238</v>
      </c>
      <c r="C130" s="258" t="s">
        <v>77</v>
      </c>
      <c r="D130" s="238" t="s">
        <v>641</v>
      </c>
      <c r="E130" s="269" t="s">
        <v>653</v>
      </c>
      <c r="F130" s="269" t="s">
        <v>654</v>
      </c>
      <c r="G130" s="238" t="s">
        <v>242</v>
      </c>
      <c r="H130" s="238" t="s">
        <v>49</v>
      </c>
      <c r="I130" s="238">
        <v>576</v>
      </c>
      <c r="J130" s="238">
        <v>0</v>
      </c>
      <c r="K130" s="238">
        <v>1</v>
      </c>
      <c r="L130" s="238">
        <f t="shared" si="18"/>
        <v>576</v>
      </c>
      <c r="M130" s="239">
        <v>46216</v>
      </c>
      <c r="N130" s="239">
        <v>46212</v>
      </c>
      <c r="O130" s="239">
        <v>46217</v>
      </c>
      <c r="P130" s="267" t="s">
        <v>51</v>
      </c>
      <c r="Q130" s="258" t="s">
        <v>644</v>
      </c>
      <c r="R130" s="258"/>
      <c r="S130" s="240"/>
      <c r="T130" s="241">
        <v>46161</v>
      </c>
      <c r="U130" s="240">
        <v>46189</v>
      </c>
      <c r="V130" s="239"/>
      <c r="W130" s="239"/>
      <c r="X130" s="294" t="s">
        <v>584</v>
      </c>
      <c r="Y130" s="238" t="s">
        <v>645</v>
      </c>
      <c r="Z130" s="238" t="s">
        <v>81</v>
      </c>
      <c r="AA130" s="274">
        <v>5.916</v>
      </c>
      <c r="AB130" s="270">
        <f t="shared" si="19"/>
        <v>3407.616</v>
      </c>
      <c r="AC130" s="275" t="s">
        <v>655</v>
      </c>
      <c r="AD130" s="295" t="s">
        <v>247</v>
      </c>
      <c r="AE130" s="238" t="s">
        <v>56</v>
      </c>
      <c r="AF130" s="270"/>
      <c r="AG130" s="270"/>
      <c r="AH130" s="258"/>
      <c r="AI130" s="238"/>
      <c r="AJ130" s="270"/>
      <c r="AK130" s="270"/>
      <c r="AL130" s="270"/>
      <c r="AM130" s="270"/>
      <c r="AN130" s="270"/>
      <c r="AO130" s="259">
        <f t="shared" si="20"/>
        <v>576</v>
      </c>
      <c r="AP130" s="260">
        <f>AO130</f>
        <v>576</v>
      </c>
      <c r="AQ130" s="260"/>
      <c r="AR130" s="260"/>
      <c r="AS130" s="260">
        <f>AO130</f>
        <v>576</v>
      </c>
      <c r="AT130" s="260"/>
      <c r="AU130" s="272"/>
      <c r="AV130" s="180"/>
      <c r="AW130" s="180"/>
      <c r="AX130" s="180"/>
      <c r="AY130" s="180"/>
      <c r="AZ130" s="180"/>
      <c r="BA130" s="180"/>
    </row>
    <row r="131" s="178" customFormat="1" ht="39" customHeight="1" spans="1:53 16369:16384">
      <c r="A131" s="216">
        <v>46174</v>
      </c>
      <c r="B131" s="248" t="s">
        <v>548</v>
      </c>
      <c r="C131" s="248" t="s">
        <v>202</v>
      </c>
      <c r="D131" s="221" t="s">
        <v>656</v>
      </c>
      <c r="E131" s="249" t="s">
        <v>657</v>
      </c>
      <c r="F131" s="249" t="s">
        <v>658</v>
      </c>
      <c r="G131" s="221" t="s">
        <v>136</v>
      </c>
      <c r="H131" s="220" t="s">
        <v>565</v>
      </c>
      <c r="I131" s="221">
        <v>12</v>
      </c>
      <c r="J131" s="221">
        <v>0</v>
      </c>
      <c r="K131" s="221">
        <v>4</v>
      </c>
      <c r="L131" s="221">
        <f t="shared" si="18"/>
        <v>3</v>
      </c>
      <c r="M131" s="222">
        <v>46216</v>
      </c>
      <c r="N131" s="222">
        <v>46212</v>
      </c>
      <c r="O131" s="222" t="s">
        <v>50</v>
      </c>
      <c r="P131" s="267" t="s">
        <v>51</v>
      </c>
      <c r="Q131" s="248"/>
      <c r="R131" s="248"/>
      <c r="S131" s="224" t="s">
        <v>61</v>
      </c>
      <c r="T131" s="225">
        <v>46174</v>
      </c>
      <c r="U131" s="224" t="s">
        <v>73</v>
      </c>
      <c r="V131" s="222"/>
      <c r="W131" s="222"/>
      <c r="X131" s="222"/>
      <c r="Y131" s="221" t="s">
        <v>568</v>
      </c>
      <c r="Z131" s="221" t="s">
        <v>553</v>
      </c>
      <c r="AA131" s="250">
        <v>12.3851</v>
      </c>
      <c r="AB131" s="252">
        <f t="shared" si="19"/>
        <v>148.6212</v>
      </c>
      <c r="AC131" s="251"/>
      <c r="AD131" s="276" t="s">
        <v>554</v>
      </c>
      <c r="AE131" s="221" t="s">
        <v>56</v>
      </c>
      <c r="AF131" s="252"/>
      <c r="AG131" s="252"/>
      <c r="AH131" s="248"/>
      <c r="AI131" s="221"/>
      <c r="AJ131" s="252"/>
      <c r="AK131" s="252"/>
      <c r="AL131" s="252"/>
      <c r="AM131" s="252"/>
      <c r="AN131" s="252"/>
      <c r="AO131" s="261">
        <f t="shared" si="20"/>
        <v>12</v>
      </c>
      <c r="AP131" s="262"/>
      <c r="AQ131" s="262">
        <f>AO131</f>
        <v>12</v>
      </c>
      <c r="AR131" s="262">
        <f>AO131</f>
        <v>12</v>
      </c>
      <c r="AS131" s="262"/>
      <c r="AT131" s="262"/>
      <c r="AU131" s="264"/>
      <c r="AV131" s="255"/>
      <c r="AW131" s="255"/>
      <c r="AX131" s="255"/>
      <c r="AY131" s="255"/>
      <c r="AZ131" s="255"/>
      <c r="BA131" s="255"/>
      <c r="XEX131" s="301"/>
      <c r="XEY131" s="301"/>
      <c r="XEZ131" s="301"/>
      <c r="XFA131" s="301"/>
      <c r="XFB131" s="301"/>
      <c r="XFC131" s="301"/>
      <c r="XFD131" s="301"/>
    </row>
    <row r="132" s="178" customFormat="1" ht="39" customHeight="1" spans="1:53 16369:16384">
      <c r="A132" s="216">
        <v>46174</v>
      </c>
      <c r="B132" s="248" t="s">
        <v>548</v>
      </c>
      <c r="C132" s="248" t="s">
        <v>202</v>
      </c>
      <c r="D132" s="221" t="s">
        <v>656</v>
      </c>
      <c r="E132" s="249" t="s">
        <v>659</v>
      </c>
      <c r="F132" s="249" t="s">
        <v>660</v>
      </c>
      <c r="G132" s="221" t="s">
        <v>136</v>
      </c>
      <c r="H132" s="220" t="s">
        <v>565</v>
      </c>
      <c r="I132" s="221">
        <v>20</v>
      </c>
      <c r="J132" s="221">
        <v>0</v>
      </c>
      <c r="K132" s="221">
        <v>4</v>
      </c>
      <c r="L132" s="221">
        <f t="shared" si="18"/>
        <v>5</v>
      </c>
      <c r="M132" s="222">
        <v>46216</v>
      </c>
      <c r="N132" s="222">
        <v>46212</v>
      </c>
      <c r="O132" s="222" t="s">
        <v>50</v>
      </c>
      <c r="P132" s="267" t="s">
        <v>51</v>
      </c>
      <c r="Q132" s="248"/>
      <c r="R132" s="248"/>
      <c r="S132" s="302" t="s">
        <v>61</v>
      </c>
      <c r="T132" s="224">
        <v>46174</v>
      </c>
      <c r="U132" s="224" t="s">
        <v>73</v>
      </c>
      <c r="V132" s="222"/>
      <c r="W132" s="222"/>
      <c r="X132" s="222"/>
      <c r="Y132" s="221" t="s">
        <v>568</v>
      </c>
      <c r="Z132" s="221" t="s">
        <v>553</v>
      </c>
      <c r="AA132" s="250">
        <v>12.3851</v>
      </c>
      <c r="AB132" s="252">
        <f t="shared" si="19"/>
        <v>247.702</v>
      </c>
      <c r="AC132" s="251"/>
      <c r="AD132" s="276" t="s">
        <v>554</v>
      </c>
      <c r="AE132" s="221" t="s">
        <v>56</v>
      </c>
      <c r="AF132" s="252"/>
      <c r="AG132" s="252"/>
      <c r="AH132" s="277"/>
      <c r="AI132" s="252"/>
      <c r="AJ132" s="252"/>
      <c r="AK132" s="252"/>
      <c r="AL132" s="303"/>
      <c r="AM132" s="303"/>
      <c r="AN132" s="303"/>
      <c r="AO132" s="261">
        <f t="shared" si="20"/>
        <v>20</v>
      </c>
      <c r="AP132" s="262"/>
      <c r="AQ132" s="262">
        <f>AO132</f>
        <v>20</v>
      </c>
      <c r="AR132" s="262">
        <f>AO132</f>
        <v>20</v>
      </c>
      <c r="AS132" s="262"/>
      <c r="AT132" s="262"/>
      <c r="AU132" s="264"/>
      <c r="AV132" s="255"/>
      <c r="AW132" s="255"/>
      <c r="AX132" s="255"/>
      <c r="AY132" s="255"/>
      <c r="AZ132" s="255"/>
      <c r="BA132" s="255"/>
      <c r="XEX132" s="304"/>
      <c r="XEY132" s="304"/>
      <c r="XEZ132" s="304"/>
      <c r="XFA132" s="304"/>
      <c r="XFB132" s="304"/>
      <c r="XFC132" s="304"/>
      <c r="XFD132" s="304"/>
    </row>
    <row r="133" s="178" customFormat="1" ht="39" customHeight="1" spans="1:53 16369:16384">
      <c r="A133" s="216">
        <v>46174</v>
      </c>
      <c r="B133" s="248" t="s">
        <v>548</v>
      </c>
      <c r="C133" s="248" t="s">
        <v>202</v>
      </c>
      <c r="D133" s="221" t="s">
        <v>656</v>
      </c>
      <c r="E133" s="249" t="s">
        <v>661</v>
      </c>
      <c r="F133" s="249" t="s">
        <v>662</v>
      </c>
      <c r="G133" s="221" t="s">
        <v>136</v>
      </c>
      <c r="H133" s="220" t="s">
        <v>565</v>
      </c>
      <c r="I133" s="221">
        <v>20</v>
      </c>
      <c r="J133" s="221">
        <v>0</v>
      </c>
      <c r="K133" s="221">
        <v>4</v>
      </c>
      <c r="L133" s="221">
        <f t="shared" si="18"/>
        <v>5</v>
      </c>
      <c r="M133" s="222">
        <v>46216</v>
      </c>
      <c r="N133" s="222">
        <v>46212</v>
      </c>
      <c r="O133" s="222" t="s">
        <v>50</v>
      </c>
      <c r="P133" s="267" t="s">
        <v>51</v>
      </c>
      <c r="Q133" s="248"/>
      <c r="R133" s="248"/>
      <c r="S133" s="302" t="s">
        <v>61</v>
      </c>
      <c r="T133" s="225">
        <v>46174</v>
      </c>
      <c r="U133" s="224" t="s">
        <v>73</v>
      </c>
      <c r="V133" s="222"/>
      <c r="W133" s="222"/>
      <c r="X133" s="222"/>
      <c r="Y133" s="221" t="s">
        <v>568</v>
      </c>
      <c r="Z133" s="221" t="s">
        <v>553</v>
      </c>
      <c r="AA133" s="250">
        <v>12.3851</v>
      </c>
      <c r="AB133" s="252">
        <f t="shared" si="19"/>
        <v>247.702</v>
      </c>
      <c r="AC133" s="251"/>
      <c r="AD133" s="249" t="s">
        <v>554</v>
      </c>
      <c r="AE133" s="221" t="s">
        <v>56</v>
      </c>
      <c r="AF133" s="252"/>
      <c r="AG133" s="252"/>
      <c r="AH133" s="248"/>
      <c r="AI133" s="221"/>
      <c r="AJ133" s="252"/>
      <c r="AK133" s="252"/>
      <c r="AL133" s="252"/>
      <c r="AM133" s="252"/>
      <c r="AN133" s="252"/>
      <c r="AO133" s="261">
        <f t="shared" si="20"/>
        <v>20</v>
      </c>
      <c r="AP133" s="262"/>
      <c r="AQ133" s="262">
        <f>AO133</f>
        <v>20</v>
      </c>
      <c r="AR133" s="262">
        <f>AO133</f>
        <v>20</v>
      </c>
      <c r="AS133" s="262"/>
      <c r="AT133" s="262"/>
      <c r="AU133" s="264"/>
      <c r="AV133" s="255"/>
      <c r="AW133" s="255"/>
      <c r="AX133" s="255"/>
      <c r="AY133" s="255"/>
      <c r="AZ133" s="255"/>
      <c r="BA133" s="255"/>
      <c r="XEX133" s="301"/>
      <c r="XEY133" s="301"/>
      <c r="XEZ133" s="301"/>
      <c r="XFA133" s="301"/>
      <c r="XFB133" s="301"/>
      <c r="XFC133" s="301"/>
      <c r="XFD133" s="301"/>
    </row>
    <row r="134" s="179" customFormat="1" ht="39" customHeight="1" spans="1:53 16369:16384">
      <c r="A134" s="233">
        <v>46115</v>
      </c>
      <c r="B134" s="234" t="s">
        <v>663</v>
      </c>
      <c r="C134" s="235" t="s">
        <v>664</v>
      </c>
      <c r="D134" s="236">
        <v>4500199969</v>
      </c>
      <c r="E134" s="237">
        <v>62100056</v>
      </c>
      <c r="F134" s="236" t="s">
        <v>665</v>
      </c>
      <c r="G134" s="238" t="s">
        <v>59</v>
      </c>
      <c r="H134" s="238" t="s">
        <v>49</v>
      </c>
      <c r="I134" s="236">
        <v>300</v>
      </c>
      <c r="J134" s="238">
        <v>0</v>
      </c>
      <c r="K134" s="238">
        <v>4</v>
      </c>
      <c r="L134" s="238">
        <f t="shared" si="18"/>
        <v>75</v>
      </c>
      <c r="M134" s="239">
        <v>46167</v>
      </c>
      <c r="N134" s="239">
        <v>46216</v>
      </c>
      <c r="O134" s="239" t="s">
        <v>50</v>
      </c>
      <c r="P134" s="267" t="s">
        <v>51</v>
      </c>
      <c r="Q134" s="239">
        <v>46234</v>
      </c>
      <c r="R134" s="239"/>
      <c r="S134" s="305" t="s">
        <v>73</v>
      </c>
      <c r="T134" s="241">
        <v>46139</v>
      </c>
      <c r="U134" s="305" t="s">
        <v>666</v>
      </c>
      <c r="V134" s="239"/>
      <c r="W134" s="239"/>
      <c r="X134" s="239" t="s">
        <v>667</v>
      </c>
      <c r="Y134" s="242" t="s">
        <v>668</v>
      </c>
      <c r="Z134" s="237" t="s">
        <v>233</v>
      </c>
      <c r="AA134" s="266">
        <v>9.86</v>
      </c>
      <c r="AB134" s="244">
        <f t="shared" si="19"/>
        <v>2958</v>
      </c>
      <c r="AC134" s="245"/>
      <c r="AD134" s="237" t="s">
        <v>372</v>
      </c>
      <c r="AE134" s="235" t="s">
        <v>56</v>
      </c>
      <c r="AF134" s="246"/>
      <c r="AG134" s="246"/>
      <c r="AH134" s="235"/>
      <c r="AI134" s="235"/>
      <c r="AJ134" s="230"/>
      <c r="AK134" s="246"/>
      <c r="AL134" s="230"/>
      <c r="AM134" s="246"/>
      <c r="AN134" s="246"/>
      <c r="AO134" s="259">
        <f t="shared" si="20"/>
        <v>300</v>
      </c>
      <c r="AP134" s="260"/>
      <c r="AQ134" s="260">
        <f>I134</f>
        <v>300</v>
      </c>
      <c r="AR134" s="260"/>
      <c r="AS134" s="260"/>
      <c r="AT134" s="260">
        <f>AO134</f>
        <v>300</v>
      </c>
      <c r="AU134" s="260"/>
    </row>
    <row r="135" s="178" customFormat="1" ht="39" customHeight="1" spans="1:53 16369:16384">
      <c r="A135" s="216">
        <v>46148</v>
      </c>
      <c r="B135" s="248" t="s">
        <v>663</v>
      </c>
      <c r="C135" s="248" t="s">
        <v>664</v>
      </c>
      <c r="D135" s="221">
        <v>4500205041</v>
      </c>
      <c r="E135" s="249" t="s">
        <v>669</v>
      </c>
      <c r="F135" s="249" t="s">
        <v>670</v>
      </c>
      <c r="G135" s="221" t="s">
        <v>59</v>
      </c>
      <c r="H135" s="221" t="s">
        <v>49</v>
      </c>
      <c r="I135" s="221">
        <v>40</v>
      </c>
      <c r="J135" s="221">
        <v>0</v>
      </c>
      <c r="K135" s="221">
        <v>4</v>
      </c>
      <c r="L135" s="221">
        <f t="shared" si="18"/>
        <v>10</v>
      </c>
      <c r="M135" s="222">
        <v>46195</v>
      </c>
      <c r="N135" s="222">
        <v>46216</v>
      </c>
      <c r="O135" s="222"/>
      <c r="P135" s="267" t="s">
        <v>51</v>
      </c>
      <c r="Q135" s="222">
        <v>46234</v>
      </c>
      <c r="R135" s="248"/>
      <c r="S135" s="302"/>
      <c r="T135" s="225">
        <v>46171</v>
      </c>
      <c r="U135" s="302" t="s">
        <v>671</v>
      </c>
      <c r="V135" s="222"/>
      <c r="W135" s="222"/>
      <c r="X135" s="222" t="s">
        <v>667</v>
      </c>
      <c r="Y135" s="221" t="s">
        <v>672</v>
      </c>
      <c r="Z135" s="221" t="s">
        <v>233</v>
      </c>
      <c r="AA135" s="250">
        <v>11.9558</v>
      </c>
      <c r="AB135" s="252">
        <f t="shared" si="19"/>
        <v>478.232</v>
      </c>
      <c r="AC135" s="251"/>
      <c r="AD135" s="220" t="s">
        <v>372</v>
      </c>
      <c r="AE135" s="218" t="s">
        <v>56</v>
      </c>
      <c r="AF135" s="252"/>
      <c r="AG135" s="252"/>
      <c r="AH135" s="248"/>
      <c r="AI135" s="221"/>
      <c r="AJ135" s="252"/>
      <c r="AK135" s="252"/>
      <c r="AL135" s="252"/>
      <c r="AM135" s="252"/>
      <c r="AN135" s="252"/>
      <c r="AO135" s="261">
        <f t="shared" si="20"/>
        <v>40</v>
      </c>
      <c r="AP135" s="262"/>
      <c r="AQ135" s="262">
        <f>I135</f>
        <v>40</v>
      </c>
      <c r="AR135" s="262"/>
      <c r="AS135" s="262"/>
      <c r="AT135" s="262">
        <f>AO135</f>
        <v>40</v>
      </c>
      <c r="AU135" s="264"/>
      <c r="AV135" s="255"/>
      <c r="AW135" s="255"/>
      <c r="AX135" s="255"/>
      <c r="AY135" s="255"/>
      <c r="AZ135" s="255"/>
      <c r="BA135" s="255"/>
      <c r="XEX135" s="301"/>
      <c r="XEY135" s="301"/>
      <c r="XEZ135" s="301"/>
      <c r="XFA135" s="301"/>
      <c r="XFB135" s="301"/>
      <c r="XFC135" s="301"/>
      <c r="XFD135" s="301"/>
    </row>
    <row r="136" s="178" customFormat="1" ht="39" customHeight="1" spans="1:53 16369:16384">
      <c r="A136" s="216">
        <v>46178</v>
      </c>
      <c r="B136" s="248" t="s">
        <v>85</v>
      </c>
      <c r="C136" s="248" t="s">
        <v>77</v>
      </c>
      <c r="D136" s="221">
        <v>4500210301</v>
      </c>
      <c r="E136" s="249" t="s">
        <v>673</v>
      </c>
      <c r="F136" s="249" t="s">
        <v>674</v>
      </c>
      <c r="G136" s="221" t="s">
        <v>59</v>
      </c>
      <c r="H136" s="221" t="s">
        <v>49</v>
      </c>
      <c r="I136" s="221">
        <v>1168</v>
      </c>
      <c r="J136" s="221">
        <v>0</v>
      </c>
      <c r="K136" s="221">
        <v>4</v>
      </c>
      <c r="L136" s="221">
        <f t="shared" si="18"/>
        <v>292</v>
      </c>
      <c r="M136" s="222">
        <v>46219</v>
      </c>
      <c r="N136" s="222">
        <v>46216</v>
      </c>
      <c r="O136" s="222"/>
      <c r="P136" s="267" t="s">
        <v>51</v>
      </c>
      <c r="Q136" s="248" t="s">
        <v>675</v>
      </c>
      <c r="R136" s="248"/>
      <c r="S136" s="224" t="s">
        <v>61</v>
      </c>
      <c r="T136" s="225">
        <v>46188</v>
      </c>
      <c r="U136" s="224">
        <v>46203</v>
      </c>
      <c r="V136" s="222"/>
      <c r="W136" s="222"/>
      <c r="X136" s="222"/>
      <c r="Y136" s="221" t="s">
        <v>676</v>
      </c>
      <c r="Z136" s="221" t="s">
        <v>91</v>
      </c>
      <c r="AA136" s="250">
        <v>6.9932</v>
      </c>
      <c r="AB136" s="252">
        <f t="shared" si="19"/>
        <v>8168.0576</v>
      </c>
      <c r="AC136" s="278" t="s">
        <v>677</v>
      </c>
      <c r="AD136" s="306" t="s">
        <v>55</v>
      </c>
      <c r="AE136" s="221" t="s">
        <v>56</v>
      </c>
      <c r="AF136" s="231"/>
      <c r="AG136" s="231"/>
      <c r="AH136" s="219"/>
      <c r="AI136" s="219"/>
      <c r="AJ136" s="231"/>
      <c r="AK136" s="254"/>
      <c r="AL136" s="307"/>
      <c r="AM136" s="307"/>
      <c r="AN136" s="307"/>
      <c r="AO136" s="261">
        <f t="shared" si="20"/>
        <v>1168</v>
      </c>
      <c r="AP136" s="262">
        <f>AO136</f>
        <v>1168</v>
      </c>
      <c r="AQ136" s="308"/>
      <c r="AR136" s="262">
        <f>AO136</f>
        <v>1168</v>
      </c>
      <c r="AS136" s="309"/>
      <c r="AT136" s="309"/>
      <c r="AU136" s="309"/>
      <c r="AV136" s="178"/>
      <c r="AW136" s="178"/>
      <c r="AX136" s="178"/>
      <c r="AY136" s="178"/>
      <c r="AZ136" s="178"/>
      <c r="BA136" s="178"/>
      <c r="XEX136" s="310"/>
      <c r="XEY136" s="311"/>
      <c r="XEZ136" s="311"/>
      <c r="XFA136" s="303"/>
      <c r="XFB136" s="312"/>
      <c r="XFC136" s="312"/>
      <c r="XFD136" s="303"/>
    </row>
    <row r="137" s="179" customFormat="1" ht="39" customHeight="1" spans="1:53 16369:16384">
      <c r="A137" s="233">
        <v>46178</v>
      </c>
      <c r="B137" s="258" t="s">
        <v>85</v>
      </c>
      <c r="C137" s="258" t="s">
        <v>77</v>
      </c>
      <c r="D137" s="238">
        <v>4500210302</v>
      </c>
      <c r="E137" s="269" t="s">
        <v>678</v>
      </c>
      <c r="F137" s="269" t="s">
        <v>679</v>
      </c>
      <c r="G137" s="238" t="s">
        <v>59</v>
      </c>
      <c r="H137" s="238" t="s">
        <v>49</v>
      </c>
      <c r="I137" s="238">
        <v>416</v>
      </c>
      <c r="J137" s="238">
        <v>0</v>
      </c>
      <c r="K137" s="238">
        <v>4</v>
      </c>
      <c r="L137" s="238">
        <f t="shared" si="18"/>
        <v>104</v>
      </c>
      <c r="M137" s="239">
        <v>46219</v>
      </c>
      <c r="N137" s="239">
        <v>46216</v>
      </c>
      <c r="O137" s="239"/>
      <c r="P137" s="267" t="s">
        <v>51</v>
      </c>
      <c r="Q137" s="258" t="s">
        <v>680</v>
      </c>
      <c r="R137" s="258"/>
      <c r="S137" s="240" t="s">
        <v>61</v>
      </c>
      <c r="T137" s="240">
        <v>46188</v>
      </c>
      <c r="U137" s="240">
        <v>46203</v>
      </c>
      <c r="V137" s="239"/>
      <c r="W137" s="239"/>
      <c r="X137" s="239"/>
      <c r="Y137" s="238" t="s">
        <v>681</v>
      </c>
      <c r="Z137" s="238" t="s">
        <v>91</v>
      </c>
      <c r="AA137" s="274">
        <v>6.9932</v>
      </c>
      <c r="AB137" s="270">
        <f t="shared" si="19"/>
        <v>2909.1712</v>
      </c>
      <c r="AC137" s="271"/>
      <c r="AD137" s="313" t="s">
        <v>55</v>
      </c>
      <c r="AE137" s="238" t="s">
        <v>56</v>
      </c>
      <c r="AF137" s="246"/>
      <c r="AG137" s="246"/>
      <c r="AH137" s="246"/>
      <c r="AI137" s="246"/>
      <c r="AJ137" s="246"/>
      <c r="AK137" s="287"/>
      <c r="AL137" s="288"/>
      <c r="AM137" s="288"/>
      <c r="AN137" s="288"/>
      <c r="AO137" s="259">
        <f t="shared" si="20"/>
        <v>416</v>
      </c>
      <c r="AP137" s="260">
        <f>AO137</f>
        <v>416</v>
      </c>
      <c r="AQ137" s="314"/>
      <c r="AR137" s="260">
        <f>AO137</f>
        <v>416</v>
      </c>
      <c r="AS137" s="181"/>
      <c r="AT137" s="181"/>
      <c r="AU137" s="181"/>
      <c r="AV137" s="179"/>
      <c r="AW137" s="179"/>
      <c r="AX137" s="179"/>
      <c r="AY137" s="179"/>
      <c r="AZ137" s="179"/>
      <c r="BA137" s="179"/>
      <c r="XEX137" s="233"/>
      <c r="XEY137" s="258"/>
      <c r="XEZ137" s="258"/>
      <c r="XFA137" s="238"/>
      <c r="XFB137" s="269"/>
      <c r="XFC137" s="269"/>
      <c r="XFD137" s="238"/>
    </row>
    <row r="138" s="179" customFormat="1" ht="39" customHeight="1" spans="1:53 16369:16384">
      <c r="A138" s="233">
        <v>46184</v>
      </c>
      <c r="B138" s="258" t="s">
        <v>682</v>
      </c>
      <c r="C138" s="258" t="s">
        <v>223</v>
      </c>
      <c r="D138" s="238">
        <v>4500211485</v>
      </c>
      <c r="E138" s="269"/>
      <c r="F138" s="269" t="s">
        <v>683</v>
      </c>
      <c r="G138" s="238" t="s">
        <v>59</v>
      </c>
      <c r="H138" s="238" t="s">
        <v>49</v>
      </c>
      <c r="I138" s="238">
        <v>480</v>
      </c>
      <c r="J138" s="238">
        <v>0</v>
      </c>
      <c r="K138" s="238">
        <v>4</v>
      </c>
      <c r="L138" s="238">
        <f t="shared" si="18"/>
        <v>120</v>
      </c>
      <c r="M138" s="239">
        <v>46223</v>
      </c>
      <c r="N138" s="239">
        <v>46219</v>
      </c>
      <c r="O138" s="239"/>
      <c r="P138" s="267" t="s">
        <v>51</v>
      </c>
      <c r="Q138" s="258" t="s">
        <v>684</v>
      </c>
      <c r="R138" s="258"/>
      <c r="S138" s="240"/>
      <c r="T138" s="240">
        <v>46191</v>
      </c>
      <c r="U138" s="240" t="s">
        <v>73</v>
      </c>
      <c r="V138" s="239"/>
      <c r="W138" s="239"/>
      <c r="X138" s="239"/>
      <c r="Y138" s="238" t="s">
        <v>685</v>
      </c>
      <c r="Z138" s="238" t="s">
        <v>226</v>
      </c>
      <c r="AA138" s="274">
        <v>11.6553</v>
      </c>
      <c r="AB138" s="270">
        <f t="shared" si="19"/>
        <v>5594.544</v>
      </c>
      <c r="AC138" s="271"/>
      <c r="AD138" s="230" t="s">
        <v>113</v>
      </c>
      <c r="AE138" s="238" t="s">
        <v>56</v>
      </c>
      <c r="AF138" s="246"/>
      <c r="AG138" s="246"/>
      <c r="AH138" s="315"/>
      <c r="AI138" s="236"/>
      <c r="AJ138" s="316"/>
      <c r="AK138" s="316"/>
      <c r="AL138" s="316"/>
      <c r="AM138" s="316"/>
      <c r="AN138" s="316"/>
      <c r="AO138" s="259">
        <f t="shared" si="20"/>
        <v>480</v>
      </c>
      <c r="AP138" s="317"/>
      <c r="AQ138" s="260">
        <f>AO138</f>
        <v>480</v>
      </c>
      <c r="AR138" s="317"/>
      <c r="AS138" s="260">
        <f>AO138</f>
        <v>480</v>
      </c>
      <c r="AT138" s="317"/>
      <c r="AU138" s="317"/>
      <c r="XEO138" s="318"/>
      <c r="XEP138" s="319"/>
      <c r="XEQ138" s="319"/>
      <c r="XER138" s="320"/>
      <c r="XES138" s="321"/>
      <c r="XET138" s="321"/>
      <c r="XEU138" s="320"/>
      <c r="XEV138" s="320"/>
      <c r="XEW138" s="318"/>
      <c r="XEX138" s="319"/>
      <c r="XEY138" s="319"/>
      <c r="XEZ138" s="320"/>
      <c r="XFA138" s="321"/>
      <c r="XFB138" s="321"/>
      <c r="XFC138" s="320"/>
      <c r="XFD138" s="320"/>
    </row>
    <row r="139" s="179" customFormat="1" ht="39" customHeight="1" spans="1:53 16369:16384">
      <c r="A139" s="233">
        <v>46155</v>
      </c>
      <c r="B139" s="258" t="s">
        <v>616</v>
      </c>
      <c r="C139" s="258" t="s">
        <v>617</v>
      </c>
      <c r="D139" s="238">
        <v>4500203219</v>
      </c>
      <c r="E139" s="269" t="s">
        <v>686</v>
      </c>
      <c r="F139" s="269" t="s">
        <v>687</v>
      </c>
      <c r="G139" s="238" t="s">
        <v>59</v>
      </c>
      <c r="H139" s="238" t="s">
        <v>49</v>
      </c>
      <c r="I139" s="238">
        <v>116</v>
      </c>
      <c r="J139" s="238">
        <v>0</v>
      </c>
      <c r="K139" s="238">
        <v>4</v>
      </c>
      <c r="L139" s="238">
        <f t="shared" si="18"/>
        <v>29</v>
      </c>
      <c r="M139" s="239">
        <v>46223</v>
      </c>
      <c r="N139" s="239">
        <v>46219</v>
      </c>
      <c r="O139" s="239"/>
      <c r="P139" s="267" t="s">
        <v>51</v>
      </c>
      <c r="Q139" s="258" t="s">
        <v>688</v>
      </c>
      <c r="R139" s="258"/>
      <c r="S139" s="240"/>
      <c r="T139" s="241">
        <v>46189</v>
      </c>
      <c r="U139" s="240">
        <v>46198</v>
      </c>
      <c r="V139" s="239"/>
      <c r="W139" s="239"/>
      <c r="X139" s="239"/>
      <c r="Y139" s="238" t="s">
        <v>689</v>
      </c>
      <c r="Z139" s="238" t="s">
        <v>621</v>
      </c>
      <c r="AA139" s="274">
        <v>9.86</v>
      </c>
      <c r="AB139" s="270">
        <f t="shared" si="19"/>
        <v>1143.76</v>
      </c>
      <c r="AC139" s="271"/>
      <c r="AD139" s="230" t="s">
        <v>113</v>
      </c>
      <c r="AE139" s="235" t="s">
        <v>56</v>
      </c>
      <c r="AF139" s="270"/>
      <c r="AG139" s="270"/>
      <c r="AH139" s="258"/>
      <c r="AI139" s="238"/>
      <c r="AJ139" s="270"/>
      <c r="AK139" s="238"/>
      <c r="AL139" s="238"/>
      <c r="AM139" s="320"/>
      <c r="AN139" s="320"/>
      <c r="AO139" s="259">
        <f t="shared" si="20"/>
        <v>116</v>
      </c>
      <c r="AP139" s="260"/>
      <c r="AQ139" s="260">
        <f>AO139</f>
        <v>116</v>
      </c>
      <c r="AR139" s="260">
        <f>AO139</f>
        <v>116</v>
      </c>
      <c r="AS139" s="260"/>
      <c r="AT139" s="260"/>
      <c r="AU139" s="272"/>
      <c r="AV139" s="180"/>
      <c r="AW139" s="180"/>
      <c r="AX139" s="180"/>
      <c r="AY139" s="180"/>
      <c r="AZ139" s="180"/>
      <c r="BA139" s="180"/>
      <c r="XEW139" s="322"/>
      <c r="XEX139" s="322"/>
      <c r="XEY139" s="322"/>
      <c r="XEZ139" s="322"/>
      <c r="XFA139" s="322"/>
      <c r="XFB139" s="322"/>
      <c r="XFC139" s="322"/>
      <c r="XFD139" s="322"/>
    </row>
    <row r="140" s="179" customFormat="1" ht="39" customHeight="1" spans="1:53 16369:16384">
      <c r="A140" s="233">
        <v>46163</v>
      </c>
      <c r="B140" s="258" t="s">
        <v>690</v>
      </c>
      <c r="C140" s="258" t="s">
        <v>691</v>
      </c>
      <c r="D140" s="238">
        <v>4500208470</v>
      </c>
      <c r="E140" s="269" t="s">
        <v>692</v>
      </c>
      <c r="F140" s="269" t="s">
        <v>693</v>
      </c>
      <c r="G140" s="238" t="s">
        <v>59</v>
      </c>
      <c r="H140" s="238" t="s">
        <v>49</v>
      </c>
      <c r="I140" s="238">
        <v>400</v>
      </c>
      <c r="J140" s="238">
        <v>0</v>
      </c>
      <c r="K140" s="238">
        <v>4</v>
      </c>
      <c r="L140" s="238">
        <f t="shared" si="18"/>
        <v>100</v>
      </c>
      <c r="M140" s="239">
        <v>46223</v>
      </c>
      <c r="N140" s="239">
        <v>46219</v>
      </c>
      <c r="O140" s="239"/>
      <c r="P140" s="267" t="s">
        <v>51</v>
      </c>
      <c r="Q140" s="258" t="s">
        <v>694</v>
      </c>
      <c r="R140" s="258"/>
      <c r="S140" s="240"/>
      <c r="T140" s="241">
        <v>46190</v>
      </c>
      <c r="U140" s="240">
        <v>46198</v>
      </c>
      <c r="V140" s="239"/>
      <c r="W140" s="239"/>
      <c r="X140" s="239"/>
      <c r="Y140" s="238" t="s">
        <v>695</v>
      </c>
      <c r="Z140" s="238" t="s">
        <v>696</v>
      </c>
      <c r="AA140" s="274">
        <v>11.6553</v>
      </c>
      <c r="AB140" s="270">
        <f t="shared" si="19"/>
        <v>4662.12</v>
      </c>
      <c r="AC140" s="271"/>
      <c r="AD140" s="270" t="s">
        <v>113</v>
      </c>
      <c r="AE140" s="238" t="s">
        <v>56</v>
      </c>
      <c r="AF140" s="270"/>
      <c r="AG140" s="270"/>
      <c r="AH140" s="258"/>
      <c r="AI140" s="238"/>
      <c r="AJ140" s="270"/>
      <c r="AK140" s="238"/>
      <c r="AL140" s="238"/>
      <c r="AM140" s="320"/>
      <c r="AN140" s="320"/>
      <c r="AO140" s="259">
        <f t="shared" si="20"/>
        <v>400</v>
      </c>
      <c r="AP140" s="260"/>
      <c r="AQ140" s="260">
        <f>AO140</f>
        <v>400</v>
      </c>
      <c r="AR140" s="260"/>
      <c r="AS140" s="260"/>
      <c r="AT140" s="260">
        <f>AO140</f>
        <v>400</v>
      </c>
      <c r="AU140" s="272"/>
      <c r="AV140" s="180"/>
      <c r="AW140" s="180"/>
      <c r="AX140" s="180"/>
      <c r="AY140" s="180"/>
      <c r="AZ140" s="180"/>
      <c r="BA140" s="180"/>
      <c r="XEW140" s="322"/>
      <c r="XEX140" s="322"/>
      <c r="XEY140" s="322"/>
      <c r="XEZ140" s="322"/>
      <c r="XFA140" s="322"/>
      <c r="XFB140" s="322"/>
      <c r="XFC140" s="322"/>
      <c r="XFD140" s="322"/>
    </row>
    <row r="141" s="179" customFormat="1" ht="39" customHeight="1" spans="1:53 16369:16384">
      <c r="A141" s="233">
        <v>46169</v>
      </c>
      <c r="B141" s="258" t="s">
        <v>477</v>
      </c>
      <c r="C141" s="258" t="s">
        <v>478</v>
      </c>
      <c r="D141" s="238">
        <v>4500208347</v>
      </c>
      <c r="E141" s="269" t="s">
        <v>697</v>
      </c>
      <c r="F141" s="269" t="s">
        <v>698</v>
      </c>
      <c r="G141" s="238" t="s">
        <v>59</v>
      </c>
      <c r="H141" s="238" t="s">
        <v>49</v>
      </c>
      <c r="I141" s="238">
        <v>1000</v>
      </c>
      <c r="J141" s="238">
        <v>0</v>
      </c>
      <c r="K141" s="238">
        <v>4</v>
      </c>
      <c r="L141" s="238">
        <f t="shared" si="18"/>
        <v>250</v>
      </c>
      <c r="M141" s="239">
        <v>46223</v>
      </c>
      <c r="N141" s="239">
        <v>46219</v>
      </c>
      <c r="O141" s="239"/>
      <c r="P141" s="267" t="s">
        <v>51</v>
      </c>
      <c r="Q141" s="258" t="s">
        <v>699</v>
      </c>
      <c r="R141" s="258"/>
      <c r="S141" s="240"/>
      <c r="T141" s="241">
        <v>46184</v>
      </c>
      <c r="U141" s="240" t="s">
        <v>73</v>
      </c>
      <c r="V141" s="239"/>
      <c r="W141" s="239"/>
      <c r="X141" s="239"/>
      <c r="Y141" s="238" t="s">
        <v>700</v>
      </c>
      <c r="Z141" s="238" t="s">
        <v>430</v>
      </c>
      <c r="AA141" s="274">
        <v>11.9558</v>
      </c>
      <c r="AB141" s="270">
        <f t="shared" si="19"/>
        <v>11955.8</v>
      </c>
      <c r="AC141" s="271"/>
      <c r="AD141" s="270" t="s">
        <v>113</v>
      </c>
      <c r="AE141" s="238" t="s">
        <v>56</v>
      </c>
      <c r="AF141" s="270"/>
      <c r="AG141" s="270"/>
      <c r="AH141" s="258"/>
      <c r="AI141" s="238"/>
      <c r="AJ141" s="270"/>
      <c r="AK141" s="270"/>
      <c r="AL141" s="270"/>
      <c r="AM141" s="270"/>
      <c r="AN141" s="270"/>
      <c r="AO141" s="259">
        <f t="shared" si="20"/>
        <v>1000</v>
      </c>
      <c r="AP141" s="260"/>
      <c r="AQ141" s="260">
        <f>AO141</f>
        <v>1000</v>
      </c>
      <c r="AR141" s="260">
        <f>AO141</f>
        <v>1000</v>
      </c>
      <c r="AS141" s="260"/>
      <c r="AT141" s="260"/>
      <c r="AU141" s="272"/>
      <c r="AV141" s="180"/>
      <c r="AW141" s="180"/>
      <c r="AX141" s="180"/>
      <c r="AY141" s="180"/>
      <c r="AZ141" s="180"/>
      <c r="BA141" s="180"/>
      <c r="XEW141" s="290"/>
      <c r="XEX141" s="290"/>
      <c r="XEY141" s="290"/>
      <c r="XEZ141" s="290"/>
      <c r="XFA141" s="290"/>
      <c r="XFB141" s="290"/>
      <c r="XFC141" s="290"/>
      <c r="XFD141" s="290"/>
    </row>
    <row r="142" s="179" customFormat="1" ht="39" customHeight="1" spans="1:53 16369:16384">
      <c r="A142" s="233">
        <v>46170</v>
      </c>
      <c r="B142" s="258" t="s">
        <v>701</v>
      </c>
      <c r="C142" s="258" t="s">
        <v>223</v>
      </c>
      <c r="D142" s="238" t="s">
        <v>702</v>
      </c>
      <c r="E142" s="269" t="s">
        <v>216</v>
      </c>
      <c r="F142" s="269" t="s">
        <v>703</v>
      </c>
      <c r="G142" s="238" t="s">
        <v>59</v>
      </c>
      <c r="H142" s="238" t="s">
        <v>49</v>
      </c>
      <c r="I142" s="238">
        <v>76</v>
      </c>
      <c r="J142" s="238">
        <v>0</v>
      </c>
      <c r="K142" s="238">
        <v>4</v>
      </c>
      <c r="L142" s="238">
        <f t="shared" si="18"/>
        <v>19</v>
      </c>
      <c r="M142" s="239">
        <v>46223</v>
      </c>
      <c r="N142" s="239">
        <v>46219</v>
      </c>
      <c r="O142" s="239"/>
      <c r="P142" s="267" t="s">
        <v>51</v>
      </c>
      <c r="Q142" s="258" t="s">
        <v>704</v>
      </c>
      <c r="R142" s="258"/>
      <c r="S142" s="240"/>
      <c r="T142" s="241">
        <v>46190</v>
      </c>
      <c r="U142" s="240">
        <v>46190</v>
      </c>
      <c r="V142" s="239"/>
      <c r="W142" s="239"/>
      <c r="X142" s="239"/>
      <c r="Y142" s="238" t="s">
        <v>705</v>
      </c>
      <c r="Z142" s="238" t="s">
        <v>226</v>
      </c>
      <c r="AA142" s="274">
        <v>11.9558</v>
      </c>
      <c r="AB142" s="270">
        <f t="shared" si="19"/>
        <v>908.6408</v>
      </c>
      <c r="AC142" s="271"/>
      <c r="AD142" s="270" t="s">
        <v>113</v>
      </c>
      <c r="AE142" s="238" t="s">
        <v>56</v>
      </c>
      <c r="AF142" s="270"/>
      <c r="AG142" s="270"/>
      <c r="AH142" s="258"/>
      <c r="AI142" s="238"/>
      <c r="AJ142" s="270"/>
      <c r="AK142" s="238"/>
      <c r="AL142" s="238"/>
      <c r="AM142" s="320"/>
      <c r="AN142" s="320"/>
      <c r="AO142" s="259">
        <f t="shared" si="20"/>
        <v>76</v>
      </c>
      <c r="AP142" s="260"/>
      <c r="AQ142" s="260">
        <f>AO142</f>
        <v>76</v>
      </c>
      <c r="AR142" s="260"/>
      <c r="AS142" s="260">
        <f>AO142</f>
        <v>76</v>
      </c>
      <c r="AT142" s="260"/>
      <c r="AU142" s="272"/>
      <c r="AV142" s="180"/>
      <c r="AW142" s="180"/>
      <c r="AX142" s="180"/>
      <c r="AY142" s="180"/>
      <c r="AZ142" s="180"/>
      <c r="BA142" s="180"/>
      <c r="XEW142" s="322"/>
      <c r="XEX142" s="322"/>
      <c r="XEY142" s="322"/>
      <c r="XEZ142" s="322"/>
      <c r="XFA142" s="322"/>
      <c r="XFB142" s="322"/>
      <c r="XFC142" s="322"/>
      <c r="XFD142" s="322"/>
    </row>
    <row r="143" s="179" customFormat="1" ht="39" customHeight="1" spans="1:53 16369:16384">
      <c r="A143" s="233">
        <v>46178</v>
      </c>
      <c r="B143" s="258" t="s">
        <v>706</v>
      </c>
      <c r="C143" s="258" t="s">
        <v>499</v>
      </c>
      <c r="D143" s="238" t="s">
        <v>707</v>
      </c>
      <c r="E143" s="269" t="s">
        <v>708</v>
      </c>
      <c r="F143" s="269" t="s">
        <v>709</v>
      </c>
      <c r="G143" s="238" t="s">
        <v>59</v>
      </c>
      <c r="H143" s="238" t="s">
        <v>49</v>
      </c>
      <c r="I143" s="238">
        <v>500</v>
      </c>
      <c r="J143" s="238">
        <v>0</v>
      </c>
      <c r="K143" s="238">
        <v>4</v>
      </c>
      <c r="L143" s="238">
        <f t="shared" si="18"/>
        <v>125</v>
      </c>
      <c r="M143" s="239">
        <v>46223</v>
      </c>
      <c r="N143" s="239">
        <v>46219</v>
      </c>
      <c r="O143" s="239" t="s">
        <v>710</v>
      </c>
      <c r="P143" s="267" t="s">
        <v>51</v>
      </c>
      <c r="Q143" s="258" t="s">
        <v>711</v>
      </c>
      <c r="R143" s="258"/>
      <c r="S143" s="240"/>
      <c r="T143" s="241">
        <v>46183</v>
      </c>
      <c r="U143" s="240">
        <v>46199</v>
      </c>
      <c r="V143" s="239" t="s">
        <v>712</v>
      </c>
      <c r="W143" s="239"/>
      <c r="X143" s="239"/>
      <c r="Y143" s="238" t="s">
        <v>713</v>
      </c>
      <c r="Z143" s="238" t="s">
        <v>714</v>
      </c>
      <c r="AA143" s="274">
        <v>11.9558</v>
      </c>
      <c r="AB143" s="270">
        <f t="shared" si="19"/>
        <v>5977.9</v>
      </c>
      <c r="AC143" s="271"/>
      <c r="AD143" s="313" t="s">
        <v>55</v>
      </c>
      <c r="AE143" s="238" t="s">
        <v>56</v>
      </c>
      <c r="AF143" s="246"/>
      <c r="AG143" s="246"/>
      <c r="AH143" s="236"/>
      <c r="AI143" s="236"/>
      <c r="AJ143" s="246"/>
      <c r="AK143" s="287"/>
      <c r="AL143" s="323"/>
      <c r="AM143" s="323"/>
      <c r="AN143" s="323"/>
      <c r="AO143" s="259">
        <f t="shared" si="20"/>
        <v>500</v>
      </c>
      <c r="AP143" s="260">
        <f>AO143</f>
        <v>500</v>
      </c>
      <c r="AQ143" s="314"/>
      <c r="AR143" s="260">
        <f>AO143</f>
        <v>500</v>
      </c>
      <c r="AS143" s="181"/>
      <c r="AT143" s="181"/>
      <c r="AU143" s="181"/>
      <c r="AV143" s="179"/>
      <c r="AW143" s="179"/>
      <c r="AX143" s="179"/>
      <c r="AY143" s="179"/>
      <c r="AZ143" s="179"/>
      <c r="BA143" s="179"/>
      <c r="XEX143" s="318"/>
      <c r="XEY143" s="319"/>
      <c r="XEZ143" s="319"/>
      <c r="XFA143" s="320"/>
      <c r="XFB143" s="321"/>
      <c r="XFC143" s="321"/>
      <c r="XFD143" s="320"/>
    </row>
    <row r="144" s="181" customFormat="1" ht="39" customHeight="1" spans="1:53 16369:16384">
      <c r="A144" s="233">
        <v>46183</v>
      </c>
      <c r="B144" s="258" t="s">
        <v>715</v>
      </c>
      <c r="C144" s="258" t="s">
        <v>716</v>
      </c>
      <c r="D144" s="238" t="s">
        <v>717</v>
      </c>
      <c r="E144" s="269"/>
      <c r="F144" s="269" t="s">
        <v>718</v>
      </c>
      <c r="G144" s="238" t="s">
        <v>59</v>
      </c>
      <c r="H144" s="238" t="s">
        <v>49</v>
      </c>
      <c r="I144" s="238">
        <v>720</v>
      </c>
      <c r="J144" s="238">
        <v>0</v>
      </c>
      <c r="K144" s="238">
        <v>4</v>
      </c>
      <c r="L144" s="238">
        <f t="shared" si="18"/>
        <v>180</v>
      </c>
      <c r="M144" s="239">
        <v>46224</v>
      </c>
      <c r="N144" s="239">
        <v>46220</v>
      </c>
      <c r="O144" s="239"/>
      <c r="P144" s="267" t="s">
        <v>51</v>
      </c>
      <c r="Q144" s="324">
        <v>46228</v>
      </c>
      <c r="R144" s="258"/>
      <c r="S144" s="240"/>
      <c r="T144" s="241">
        <v>46183</v>
      </c>
      <c r="U144" s="240" t="s">
        <v>73</v>
      </c>
      <c r="V144" s="239"/>
      <c r="W144" s="239"/>
      <c r="X144" s="239"/>
      <c r="Y144" s="238" t="s">
        <v>719</v>
      </c>
      <c r="Z144" s="238" t="s">
        <v>720</v>
      </c>
      <c r="AA144" s="274">
        <v>11.9558</v>
      </c>
      <c r="AB144" s="270">
        <f t="shared" si="19"/>
        <v>8608.176</v>
      </c>
      <c r="AC144" s="271"/>
      <c r="AD144" s="313" t="s">
        <v>55</v>
      </c>
      <c r="AE144" s="238" t="s">
        <v>56</v>
      </c>
      <c r="AF144" s="246"/>
      <c r="AG144" s="246"/>
      <c r="AH144" s="236"/>
      <c r="AI144" s="236"/>
      <c r="AJ144" s="246"/>
      <c r="AK144" s="246"/>
      <c r="AL144" s="287"/>
      <c r="AM144" s="323"/>
      <c r="AN144" s="323"/>
      <c r="AO144" s="259">
        <f t="shared" si="20"/>
        <v>720</v>
      </c>
      <c r="AP144" s="260">
        <f>AO144</f>
        <v>720</v>
      </c>
      <c r="AQ144" s="314"/>
      <c r="AR144" s="260">
        <f>AO144</f>
        <v>720</v>
      </c>
      <c r="AS144" s="317"/>
      <c r="AT144" s="317"/>
      <c r="AU144" s="317"/>
      <c r="AV144" s="182"/>
      <c r="XEW144" s="318"/>
      <c r="XEX144" s="319"/>
      <c r="XEY144" s="319"/>
      <c r="XEZ144" s="320"/>
      <c r="XFA144" s="321"/>
      <c r="XFB144" s="321"/>
      <c r="XFC144" s="320"/>
      <c r="XFD144" s="320"/>
    </row>
    <row r="145" s="179" customFormat="1" ht="39" customHeight="1" spans="1:53 16369:16384">
      <c r="A145" s="233">
        <v>46161</v>
      </c>
      <c r="B145" s="258" t="s">
        <v>238</v>
      </c>
      <c r="C145" s="258" t="s">
        <v>77</v>
      </c>
      <c r="D145" s="238" t="s">
        <v>721</v>
      </c>
      <c r="E145" s="269" t="s">
        <v>722</v>
      </c>
      <c r="F145" s="269" t="s">
        <v>723</v>
      </c>
      <c r="G145" s="238" t="s">
        <v>242</v>
      </c>
      <c r="H145" s="238" t="s">
        <v>49</v>
      </c>
      <c r="I145" s="238">
        <v>648</v>
      </c>
      <c r="J145" s="238">
        <v>0</v>
      </c>
      <c r="K145" s="238">
        <v>1</v>
      </c>
      <c r="L145" s="238">
        <f t="shared" si="18"/>
        <v>648</v>
      </c>
      <c r="M145" s="239">
        <v>46225</v>
      </c>
      <c r="N145" s="239">
        <v>46221</v>
      </c>
      <c r="O145" s="239" t="s">
        <v>724</v>
      </c>
      <c r="P145" s="267" t="s">
        <v>51</v>
      </c>
      <c r="Q145" s="258" t="s">
        <v>725</v>
      </c>
      <c r="R145" s="258"/>
      <c r="S145" s="305"/>
      <c r="T145" s="240">
        <v>46161</v>
      </c>
      <c r="U145" s="240">
        <v>46189</v>
      </c>
      <c r="V145" s="239"/>
      <c r="W145" s="239"/>
      <c r="X145" s="294" t="s">
        <v>584</v>
      </c>
      <c r="Y145" s="238" t="s">
        <v>645</v>
      </c>
      <c r="Z145" s="238" t="s">
        <v>81</v>
      </c>
      <c r="AA145" s="274">
        <v>5.82</v>
      </c>
      <c r="AB145" s="270">
        <f t="shared" si="19"/>
        <v>3771.36</v>
      </c>
      <c r="AC145" s="271"/>
      <c r="AD145" s="295" t="s">
        <v>247</v>
      </c>
      <c r="AE145" s="238" t="s">
        <v>56</v>
      </c>
      <c r="AF145" s="270"/>
      <c r="AG145" s="270"/>
      <c r="AH145" s="325"/>
      <c r="AI145" s="270"/>
      <c r="AJ145" s="270"/>
      <c r="AK145" s="270"/>
      <c r="AL145" s="320"/>
      <c r="AM145" s="320"/>
      <c r="AN145" s="320"/>
      <c r="AO145" s="259">
        <f t="shared" si="20"/>
        <v>648</v>
      </c>
      <c r="AP145" s="260">
        <f>AO145</f>
        <v>648</v>
      </c>
      <c r="AQ145" s="260"/>
      <c r="AR145" s="260"/>
      <c r="AS145" s="260">
        <f>AO145</f>
        <v>648</v>
      </c>
      <c r="AT145" s="260"/>
      <c r="AU145" s="272"/>
      <c r="AV145" s="326"/>
      <c r="AW145" s="180"/>
      <c r="AX145" s="180"/>
      <c r="AY145" s="180"/>
      <c r="AZ145" s="180"/>
      <c r="BA145" s="180"/>
      <c r="XEX145" s="322"/>
      <c r="XEY145" s="322"/>
      <c r="XEZ145" s="322"/>
      <c r="XFA145" s="322"/>
      <c r="XFB145" s="322"/>
      <c r="XFC145" s="322"/>
      <c r="XFD145" s="322"/>
    </row>
    <row r="146" s="179" customFormat="1" ht="39" customHeight="1" spans="1:53 16369:16384">
      <c r="A146" s="233">
        <v>46161</v>
      </c>
      <c r="B146" s="258" t="s">
        <v>238</v>
      </c>
      <c r="C146" s="258" t="s">
        <v>77</v>
      </c>
      <c r="D146" s="238" t="s">
        <v>721</v>
      </c>
      <c r="E146" s="269" t="s">
        <v>726</v>
      </c>
      <c r="F146" s="269" t="s">
        <v>727</v>
      </c>
      <c r="G146" s="238" t="s">
        <v>242</v>
      </c>
      <c r="H146" s="238" t="s">
        <v>49</v>
      </c>
      <c r="I146" s="238">
        <v>504</v>
      </c>
      <c r="J146" s="238">
        <v>0</v>
      </c>
      <c r="K146" s="238">
        <v>1</v>
      </c>
      <c r="L146" s="238">
        <f t="shared" si="18"/>
        <v>504</v>
      </c>
      <c r="M146" s="239">
        <v>46225</v>
      </c>
      <c r="N146" s="239">
        <v>46221</v>
      </c>
      <c r="O146" s="239" t="s">
        <v>724</v>
      </c>
      <c r="P146" s="267" t="s">
        <v>51</v>
      </c>
      <c r="Q146" s="258" t="s">
        <v>725</v>
      </c>
      <c r="R146" s="258"/>
      <c r="S146" s="305"/>
      <c r="T146" s="240">
        <v>46161</v>
      </c>
      <c r="U146" s="240">
        <v>46189</v>
      </c>
      <c r="V146" s="239"/>
      <c r="W146" s="239"/>
      <c r="X146" s="294" t="s">
        <v>584</v>
      </c>
      <c r="Y146" s="238" t="s">
        <v>645</v>
      </c>
      <c r="Z146" s="238" t="s">
        <v>81</v>
      </c>
      <c r="AA146" s="274">
        <v>5.82</v>
      </c>
      <c r="AB146" s="270">
        <f t="shared" si="19"/>
        <v>2933.28</v>
      </c>
      <c r="AC146" s="271"/>
      <c r="AD146" s="295" t="s">
        <v>247</v>
      </c>
      <c r="AE146" s="238" t="s">
        <v>56</v>
      </c>
      <c r="AF146" s="270"/>
      <c r="AG146" s="270"/>
      <c r="AH146" s="325"/>
      <c r="AI146" s="270"/>
      <c r="AJ146" s="270"/>
      <c r="AK146" s="270"/>
      <c r="AL146" s="320"/>
      <c r="AM146" s="320"/>
      <c r="AN146" s="320"/>
      <c r="AO146" s="259">
        <f t="shared" si="20"/>
        <v>504</v>
      </c>
      <c r="AP146" s="260">
        <f>AO146</f>
        <v>504</v>
      </c>
      <c r="AQ146" s="260"/>
      <c r="AR146" s="260"/>
      <c r="AS146" s="260">
        <f>AO146</f>
        <v>504</v>
      </c>
      <c r="AT146" s="260"/>
      <c r="AU146" s="272"/>
      <c r="AV146" s="180"/>
      <c r="AW146" s="180"/>
      <c r="AX146" s="180"/>
      <c r="AY146" s="180"/>
      <c r="AZ146" s="180"/>
      <c r="BA146" s="180"/>
      <c r="XEX146" s="322"/>
      <c r="XEY146" s="322"/>
      <c r="XEZ146" s="322"/>
      <c r="XFA146" s="322"/>
      <c r="XFB146" s="322"/>
      <c r="XFC146" s="322"/>
      <c r="XFD146" s="322"/>
    </row>
    <row r="147" s="179" customFormat="1" ht="39" customHeight="1" spans="1:53 16369:16384">
      <c r="A147" s="233">
        <v>46161</v>
      </c>
      <c r="B147" s="258" t="s">
        <v>238</v>
      </c>
      <c r="C147" s="258" t="s">
        <v>77</v>
      </c>
      <c r="D147" s="238" t="s">
        <v>721</v>
      </c>
      <c r="E147" s="269" t="s">
        <v>728</v>
      </c>
      <c r="F147" s="269" t="s">
        <v>729</v>
      </c>
      <c r="G147" s="238" t="s">
        <v>242</v>
      </c>
      <c r="H147" s="238" t="s">
        <v>49</v>
      </c>
      <c r="I147" s="238">
        <v>504</v>
      </c>
      <c r="J147" s="238">
        <v>0</v>
      </c>
      <c r="K147" s="238">
        <v>1</v>
      </c>
      <c r="L147" s="238">
        <f t="shared" si="18"/>
        <v>504</v>
      </c>
      <c r="M147" s="239">
        <v>46225</v>
      </c>
      <c r="N147" s="239">
        <v>46221</v>
      </c>
      <c r="O147" s="239" t="s">
        <v>724</v>
      </c>
      <c r="P147" s="267" t="s">
        <v>51</v>
      </c>
      <c r="Q147" s="258" t="s">
        <v>725</v>
      </c>
      <c r="R147" s="258"/>
      <c r="S147" s="240"/>
      <c r="T147" s="240">
        <v>46161</v>
      </c>
      <c r="U147" s="240">
        <v>46189</v>
      </c>
      <c r="V147" s="239"/>
      <c r="W147" s="239"/>
      <c r="X147" s="294" t="s">
        <v>584</v>
      </c>
      <c r="Y147" s="238" t="s">
        <v>645</v>
      </c>
      <c r="Z147" s="238" t="s">
        <v>81</v>
      </c>
      <c r="AA147" s="274">
        <v>5.916</v>
      </c>
      <c r="AB147" s="270">
        <f t="shared" si="19"/>
        <v>2981.664</v>
      </c>
      <c r="AC147" s="271"/>
      <c r="AD147" s="300" t="s">
        <v>247</v>
      </c>
      <c r="AE147" s="238" t="s">
        <v>56</v>
      </c>
      <c r="AF147" s="270"/>
      <c r="AG147" s="270"/>
      <c r="AH147" s="258"/>
      <c r="AI147" s="238"/>
      <c r="AJ147" s="270"/>
      <c r="AK147" s="270"/>
      <c r="AL147" s="270"/>
      <c r="AM147" s="270"/>
      <c r="AN147" s="270"/>
      <c r="AO147" s="259">
        <f t="shared" si="20"/>
        <v>504</v>
      </c>
      <c r="AP147" s="260">
        <f>AO147</f>
        <v>504</v>
      </c>
      <c r="AQ147" s="260"/>
      <c r="AR147" s="260"/>
      <c r="AS147" s="260">
        <f>AO147</f>
        <v>504</v>
      </c>
      <c r="AT147" s="260"/>
      <c r="AU147" s="272"/>
      <c r="AV147" s="180"/>
      <c r="AW147" s="180"/>
      <c r="AX147" s="180"/>
      <c r="AY147" s="180"/>
      <c r="AZ147" s="180"/>
      <c r="BA147" s="180"/>
      <c r="XEW147" s="290"/>
      <c r="XEX147" s="290"/>
      <c r="XEY147" s="290"/>
      <c r="XEZ147" s="290"/>
      <c r="XFA147" s="290"/>
      <c r="XFB147" s="290"/>
      <c r="XFC147" s="290"/>
      <c r="XFD147" s="290"/>
    </row>
    <row r="148" s="179" customFormat="1" ht="39" customHeight="1" spans="1:53 16369:16384">
      <c r="A148" s="233">
        <v>46171</v>
      </c>
      <c r="B148" s="234" t="s">
        <v>730</v>
      </c>
      <c r="C148" s="235" t="s">
        <v>202</v>
      </c>
      <c r="D148" s="236" t="s">
        <v>731</v>
      </c>
      <c r="E148" s="237" t="s">
        <v>732</v>
      </c>
      <c r="F148" s="236" t="s">
        <v>733</v>
      </c>
      <c r="G148" s="238" t="s">
        <v>136</v>
      </c>
      <c r="H148" s="237" t="s">
        <v>551</v>
      </c>
      <c r="I148" s="236">
        <v>16</v>
      </c>
      <c r="J148" s="238">
        <v>0</v>
      </c>
      <c r="K148" s="238">
        <v>4</v>
      </c>
      <c r="L148" s="238">
        <f t="shared" si="18"/>
        <v>4</v>
      </c>
      <c r="M148" s="239">
        <v>46225</v>
      </c>
      <c r="N148" s="239">
        <v>46221</v>
      </c>
      <c r="O148" s="239" t="s">
        <v>50</v>
      </c>
      <c r="P148" s="267" t="s">
        <v>51</v>
      </c>
      <c r="Q148" s="239" t="s">
        <v>734</v>
      </c>
      <c r="R148" s="239"/>
      <c r="S148" s="240" t="s">
        <v>61</v>
      </c>
      <c r="T148" s="240">
        <v>46171</v>
      </c>
      <c r="U148" s="240" t="s">
        <v>73</v>
      </c>
      <c r="V148" s="239"/>
      <c r="W148" s="239"/>
      <c r="X148" s="239"/>
      <c r="Y148" s="327" t="s">
        <v>735</v>
      </c>
      <c r="Z148" s="237" t="s">
        <v>736</v>
      </c>
      <c r="AA148" s="243">
        <v>12.3851</v>
      </c>
      <c r="AB148" s="244">
        <f t="shared" si="19"/>
        <v>198.1616</v>
      </c>
      <c r="AC148" s="245"/>
      <c r="AD148" s="269" t="s">
        <v>554</v>
      </c>
      <c r="AE148" s="238" t="s">
        <v>56</v>
      </c>
      <c r="AF148" s="246"/>
      <c r="AG148" s="246"/>
      <c r="AH148" s="236"/>
      <c r="AI148" s="236"/>
      <c r="AJ148" s="246"/>
      <c r="AK148" s="246"/>
      <c r="AL148" s="316"/>
      <c r="AM148" s="316"/>
      <c r="AN148" s="316"/>
      <c r="AO148" s="259">
        <f t="shared" si="20"/>
        <v>16</v>
      </c>
      <c r="AP148" s="181"/>
      <c r="AQ148" s="260">
        <f>AO148</f>
        <v>16</v>
      </c>
      <c r="AR148" s="260">
        <f>AO148</f>
        <v>16</v>
      </c>
      <c r="AS148" s="181"/>
      <c r="AT148" s="181"/>
      <c r="AU148" s="181"/>
      <c r="XEW148" s="290"/>
      <c r="XEX148" s="318"/>
      <c r="XEY148" s="328"/>
      <c r="XEZ148" s="182"/>
      <c r="XFA148" s="329"/>
      <c r="XFB148" s="330"/>
      <c r="XFC148" s="329"/>
      <c r="XFD148" s="320"/>
    </row>
    <row r="149" s="179" customFormat="1" ht="39" customHeight="1" spans="1:53 16369:16384">
      <c r="A149" s="233">
        <v>46171</v>
      </c>
      <c r="B149" s="234" t="s">
        <v>730</v>
      </c>
      <c r="C149" s="235" t="s">
        <v>202</v>
      </c>
      <c r="D149" s="236" t="s">
        <v>731</v>
      </c>
      <c r="E149" s="237" t="s">
        <v>737</v>
      </c>
      <c r="F149" s="236" t="s">
        <v>738</v>
      </c>
      <c r="G149" s="238" t="s">
        <v>136</v>
      </c>
      <c r="H149" s="237" t="s">
        <v>551</v>
      </c>
      <c r="I149" s="236">
        <v>12</v>
      </c>
      <c r="J149" s="238">
        <v>0</v>
      </c>
      <c r="K149" s="238">
        <v>4</v>
      </c>
      <c r="L149" s="238">
        <f t="shared" si="18"/>
        <v>3</v>
      </c>
      <c r="M149" s="239">
        <v>46225</v>
      </c>
      <c r="N149" s="239">
        <v>46221</v>
      </c>
      <c r="O149" s="239" t="s">
        <v>50</v>
      </c>
      <c r="P149" s="267" t="s">
        <v>51</v>
      </c>
      <c r="Q149" s="239" t="s">
        <v>734</v>
      </c>
      <c r="R149" s="239"/>
      <c r="S149" s="240" t="s">
        <v>61</v>
      </c>
      <c r="T149" s="241">
        <v>46171</v>
      </c>
      <c r="U149" s="240" t="s">
        <v>73</v>
      </c>
      <c r="V149" s="239"/>
      <c r="W149" s="239"/>
      <c r="X149" s="239"/>
      <c r="Y149" s="327" t="s">
        <v>735</v>
      </c>
      <c r="Z149" s="237" t="s">
        <v>736</v>
      </c>
      <c r="AA149" s="243">
        <v>12.3851</v>
      </c>
      <c r="AB149" s="244">
        <f t="shared" si="19"/>
        <v>148.6212</v>
      </c>
      <c r="AC149" s="245"/>
      <c r="AD149" s="268" t="s">
        <v>554</v>
      </c>
      <c r="AE149" s="238" t="s">
        <v>56</v>
      </c>
      <c r="AF149" s="246"/>
      <c r="AG149" s="246"/>
      <c r="AH149" s="236"/>
      <c r="AI149" s="236"/>
      <c r="AJ149" s="246"/>
      <c r="AK149" s="246"/>
      <c r="AL149" s="316"/>
      <c r="AM149" s="316"/>
      <c r="AN149" s="316"/>
      <c r="AO149" s="259">
        <f t="shared" si="20"/>
        <v>12</v>
      </c>
      <c r="AP149" s="181"/>
      <c r="AQ149" s="260">
        <f>AO149</f>
        <v>12</v>
      </c>
      <c r="AR149" s="260">
        <f>AO149</f>
        <v>12</v>
      </c>
      <c r="AS149" s="181"/>
      <c r="AT149" s="181"/>
      <c r="AU149" s="181"/>
      <c r="XEX149" s="318"/>
      <c r="XEY149" s="328"/>
      <c r="XEZ149" s="182"/>
      <c r="XFA149" s="329"/>
      <c r="XFB149" s="330"/>
      <c r="XFC149" s="329"/>
      <c r="XFD149" s="320"/>
    </row>
    <row r="150" s="179" customFormat="1" ht="39" customHeight="1" spans="1:53 16369:16384">
      <c r="A150" s="233">
        <v>46171</v>
      </c>
      <c r="B150" s="234" t="s">
        <v>730</v>
      </c>
      <c r="C150" s="235" t="s">
        <v>202</v>
      </c>
      <c r="D150" s="236" t="s">
        <v>731</v>
      </c>
      <c r="E150" s="237" t="s">
        <v>739</v>
      </c>
      <c r="F150" s="236" t="s">
        <v>740</v>
      </c>
      <c r="G150" s="238" t="s">
        <v>136</v>
      </c>
      <c r="H150" s="237" t="s">
        <v>551</v>
      </c>
      <c r="I150" s="236">
        <v>16</v>
      </c>
      <c r="J150" s="238">
        <v>0</v>
      </c>
      <c r="K150" s="238">
        <v>4</v>
      </c>
      <c r="L150" s="238">
        <f t="shared" ref="L150:L167" si="23">I150/K150</f>
        <v>4</v>
      </c>
      <c r="M150" s="239">
        <v>46225</v>
      </c>
      <c r="N150" s="239">
        <v>46221</v>
      </c>
      <c r="O150" s="239" t="s">
        <v>50</v>
      </c>
      <c r="P150" s="267" t="s">
        <v>51</v>
      </c>
      <c r="Q150" s="239" t="s">
        <v>734</v>
      </c>
      <c r="R150" s="239"/>
      <c r="S150" s="240" t="s">
        <v>61</v>
      </c>
      <c r="T150" s="241">
        <v>46171</v>
      </c>
      <c r="U150" s="240" t="s">
        <v>73</v>
      </c>
      <c r="V150" s="239"/>
      <c r="W150" s="239"/>
      <c r="X150" s="239"/>
      <c r="Y150" s="327" t="s">
        <v>735</v>
      </c>
      <c r="Z150" s="237" t="s">
        <v>736</v>
      </c>
      <c r="AA150" s="243">
        <v>12.3851</v>
      </c>
      <c r="AB150" s="244">
        <f t="shared" ref="AB150:AB166" si="24">I150*AA150</f>
        <v>198.1616</v>
      </c>
      <c r="AC150" s="245"/>
      <c r="AD150" s="269" t="s">
        <v>554</v>
      </c>
      <c r="AE150" s="238" t="s">
        <v>56</v>
      </c>
      <c r="AF150" s="246"/>
      <c r="AG150" s="246"/>
      <c r="AH150" s="236"/>
      <c r="AI150" s="236"/>
      <c r="AJ150" s="246"/>
      <c r="AK150" s="246"/>
      <c r="AL150" s="316"/>
      <c r="AM150" s="316"/>
      <c r="AN150" s="316"/>
      <c r="AO150" s="259">
        <f t="shared" ref="AO150:AO213" si="25">I150</f>
        <v>16</v>
      </c>
      <c r="AP150" s="181"/>
      <c r="AQ150" s="260">
        <f>AO150</f>
        <v>16</v>
      </c>
      <c r="AR150" s="260">
        <f>AO150</f>
        <v>16</v>
      </c>
      <c r="AS150" s="181"/>
      <c r="AT150" s="181"/>
      <c r="AU150" s="181"/>
      <c r="XEX150" s="318"/>
      <c r="XEY150" s="328"/>
      <c r="XEZ150" s="182"/>
      <c r="XFA150" s="329"/>
      <c r="XFB150" s="330"/>
      <c r="XFC150" s="329"/>
      <c r="XFD150" s="320"/>
    </row>
    <row r="151" s="179" customFormat="1" ht="39" customHeight="1" spans="1:53 16369:16384">
      <c r="A151" s="233">
        <v>46171</v>
      </c>
      <c r="B151" s="234" t="s">
        <v>730</v>
      </c>
      <c r="C151" s="235" t="s">
        <v>202</v>
      </c>
      <c r="D151" s="236" t="s">
        <v>741</v>
      </c>
      <c r="E151" s="237" t="s">
        <v>742</v>
      </c>
      <c r="F151" s="236" t="s">
        <v>743</v>
      </c>
      <c r="G151" s="238" t="s">
        <v>136</v>
      </c>
      <c r="H151" s="237" t="s">
        <v>551</v>
      </c>
      <c r="I151" s="236">
        <v>12</v>
      </c>
      <c r="J151" s="238">
        <v>0</v>
      </c>
      <c r="K151" s="238">
        <v>4</v>
      </c>
      <c r="L151" s="238">
        <f t="shared" si="23"/>
        <v>3</v>
      </c>
      <c r="M151" s="239">
        <v>46225</v>
      </c>
      <c r="N151" s="239">
        <v>46221</v>
      </c>
      <c r="O151" s="239" t="s">
        <v>50</v>
      </c>
      <c r="P151" s="267" t="s">
        <v>51</v>
      </c>
      <c r="Q151" s="239" t="s">
        <v>734</v>
      </c>
      <c r="R151" s="239"/>
      <c r="S151" s="240" t="s">
        <v>61</v>
      </c>
      <c r="T151" s="241">
        <v>46171</v>
      </c>
      <c r="U151" s="240" t="s">
        <v>73</v>
      </c>
      <c r="V151" s="239"/>
      <c r="W151" s="239"/>
      <c r="X151" s="239"/>
      <c r="Y151" s="327" t="s">
        <v>744</v>
      </c>
      <c r="Z151" s="237" t="s">
        <v>736</v>
      </c>
      <c r="AA151" s="243">
        <v>12.3851</v>
      </c>
      <c r="AB151" s="244">
        <f t="shared" si="24"/>
        <v>148.6212</v>
      </c>
      <c r="AC151" s="245"/>
      <c r="AD151" s="269" t="s">
        <v>554</v>
      </c>
      <c r="AE151" s="238" t="s">
        <v>56</v>
      </c>
      <c r="AF151" s="246"/>
      <c r="AG151" s="246"/>
      <c r="AH151" s="236"/>
      <c r="AI151" s="236"/>
      <c r="AJ151" s="246"/>
      <c r="AK151" s="246"/>
      <c r="AL151" s="316"/>
      <c r="AM151" s="316"/>
      <c r="AN151" s="316"/>
      <c r="AO151" s="259">
        <f t="shared" si="25"/>
        <v>12</v>
      </c>
      <c r="AP151" s="181"/>
      <c r="AQ151" s="260">
        <f>AO151</f>
        <v>12</v>
      </c>
      <c r="AR151" s="260">
        <f>AO151</f>
        <v>12</v>
      </c>
      <c r="AS151" s="181"/>
      <c r="AT151" s="181"/>
      <c r="AU151" s="181"/>
      <c r="XEX151" s="318"/>
      <c r="XEY151" s="328"/>
      <c r="XEZ151" s="182"/>
      <c r="XFA151" s="329"/>
      <c r="XFB151" s="330"/>
      <c r="XFC151" s="329"/>
      <c r="XFD151" s="320"/>
    </row>
    <row r="152" s="179" customFormat="1" ht="39" customHeight="1" spans="1:53 16369:16384">
      <c r="A152" s="233">
        <v>46142</v>
      </c>
      <c r="B152" s="258" t="s">
        <v>745</v>
      </c>
      <c r="C152" s="258" t="s">
        <v>664</v>
      </c>
      <c r="D152" s="238" t="s">
        <v>746</v>
      </c>
      <c r="E152" s="269" t="s">
        <v>747</v>
      </c>
      <c r="F152" s="269" t="s">
        <v>748</v>
      </c>
      <c r="G152" s="238" t="s">
        <v>59</v>
      </c>
      <c r="H152" s="238" t="s">
        <v>49</v>
      </c>
      <c r="I152" s="238">
        <v>80</v>
      </c>
      <c r="J152" s="238">
        <v>0</v>
      </c>
      <c r="K152" s="238">
        <v>4</v>
      </c>
      <c r="L152" s="238">
        <f t="shared" si="23"/>
        <v>20</v>
      </c>
      <c r="M152" s="239">
        <v>46204</v>
      </c>
      <c r="N152" s="239">
        <v>46223</v>
      </c>
      <c r="O152" s="239"/>
      <c r="P152" s="267" t="s">
        <v>51</v>
      </c>
      <c r="Q152" s="258" t="s">
        <v>704</v>
      </c>
      <c r="R152" s="258"/>
      <c r="S152" s="240" t="s">
        <v>61</v>
      </c>
      <c r="T152" s="241">
        <v>46156</v>
      </c>
      <c r="U152" s="241" t="s">
        <v>749</v>
      </c>
      <c r="V152" s="239"/>
      <c r="W152" s="239"/>
      <c r="X152" s="239"/>
      <c r="Y152" s="238" t="s">
        <v>750</v>
      </c>
      <c r="Z152" s="238" t="s">
        <v>621</v>
      </c>
      <c r="AA152" s="274">
        <v>9.7</v>
      </c>
      <c r="AB152" s="270">
        <f t="shared" si="24"/>
        <v>776</v>
      </c>
      <c r="AC152" s="271"/>
      <c r="AD152" s="230" t="s">
        <v>113</v>
      </c>
      <c r="AE152" s="235" t="s">
        <v>56</v>
      </c>
      <c r="AF152" s="270"/>
      <c r="AG152" s="270"/>
      <c r="AH152" s="325"/>
      <c r="AI152" s="270"/>
      <c r="AJ152" s="270"/>
      <c r="AK152" s="270"/>
      <c r="AL152" s="320"/>
      <c r="AM152" s="320"/>
      <c r="AN152" s="320"/>
      <c r="AO152" s="259">
        <f t="shared" si="25"/>
        <v>80</v>
      </c>
      <c r="AP152" s="260"/>
      <c r="AQ152" s="260">
        <f>I152</f>
        <v>80</v>
      </c>
      <c r="AR152" s="260">
        <f>I152</f>
        <v>80</v>
      </c>
      <c r="AS152" s="260"/>
      <c r="AT152" s="260"/>
      <c r="AU152" s="272"/>
      <c r="AV152" s="180"/>
      <c r="AW152" s="180"/>
      <c r="AX152" s="180"/>
      <c r="AY152" s="180"/>
      <c r="AZ152" s="180"/>
      <c r="BA152" s="180"/>
      <c r="XEW152" s="290"/>
      <c r="XEX152" s="322"/>
      <c r="XEY152" s="322"/>
      <c r="XEZ152" s="322"/>
      <c r="XFA152" s="322"/>
      <c r="XFB152" s="322"/>
      <c r="XFC152" s="322"/>
      <c r="XFD152" s="322"/>
    </row>
    <row r="153" s="179" customFormat="1" ht="39" customHeight="1" spans="1:53 16369:16384">
      <c r="A153" s="331">
        <v>46162</v>
      </c>
      <c r="B153" s="332" t="s">
        <v>751</v>
      </c>
      <c r="C153" s="332" t="s">
        <v>664</v>
      </c>
      <c r="D153" s="284">
        <v>4500207499</v>
      </c>
      <c r="E153" s="333" t="s">
        <v>752</v>
      </c>
      <c r="F153" s="333" t="s">
        <v>753</v>
      </c>
      <c r="G153" s="284" t="s">
        <v>59</v>
      </c>
      <c r="H153" s="284" t="s">
        <v>49</v>
      </c>
      <c r="I153" s="284">
        <v>420</v>
      </c>
      <c r="J153" s="284">
        <v>0</v>
      </c>
      <c r="K153" s="284">
        <v>4</v>
      </c>
      <c r="L153" s="284">
        <f t="shared" si="23"/>
        <v>105</v>
      </c>
      <c r="M153" s="294">
        <v>46226</v>
      </c>
      <c r="N153" s="294">
        <v>46223</v>
      </c>
      <c r="O153" s="294"/>
      <c r="P153" s="267" t="s">
        <v>51</v>
      </c>
      <c r="Q153" s="332" t="s">
        <v>754</v>
      </c>
      <c r="R153" s="332"/>
      <c r="S153" s="305"/>
      <c r="T153" s="305">
        <v>46185</v>
      </c>
      <c r="U153" s="241">
        <v>46203</v>
      </c>
      <c r="V153" s="294"/>
      <c r="W153" s="294"/>
      <c r="X153" s="294"/>
      <c r="Y153" s="284" t="s">
        <v>755</v>
      </c>
      <c r="Z153" s="284" t="s">
        <v>756</v>
      </c>
      <c r="AA153" s="283">
        <v>9.86</v>
      </c>
      <c r="AB153" s="284">
        <f t="shared" si="24"/>
        <v>4141.2</v>
      </c>
      <c r="AC153" s="271"/>
      <c r="AD153" s="270" t="s">
        <v>113</v>
      </c>
      <c r="AE153" s="238" t="s">
        <v>56</v>
      </c>
      <c r="AF153" s="284"/>
      <c r="AG153" s="284"/>
      <c r="AH153" s="332"/>
      <c r="AI153" s="284"/>
      <c r="AJ153" s="284"/>
      <c r="AK153" s="284"/>
      <c r="AL153" s="284"/>
      <c r="AM153" s="284"/>
      <c r="AN153" s="284"/>
      <c r="AO153" s="289">
        <f t="shared" si="25"/>
        <v>420</v>
      </c>
      <c r="AP153" s="260"/>
      <c r="AQ153" s="260">
        <f>AO153</f>
        <v>420</v>
      </c>
      <c r="AR153" s="260"/>
      <c r="AS153" s="260"/>
      <c r="AT153" s="260">
        <f>AO153</f>
        <v>420</v>
      </c>
      <c r="AU153" s="272"/>
      <c r="AV153" s="180"/>
      <c r="AW153" s="180"/>
      <c r="AX153" s="180"/>
      <c r="AY153" s="180"/>
      <c r="AZ153" s="180"/>
      <c r="BA153" s="180"/>
      <c r="XEW153" s="317"/>
      <c r="XEX153" s="317"/>
      <c r="XEY153" s="317"/>
      <c r="XEZ153" s="317"/>
      <c r="XFA153" s="317"/>
      <c r="XFB153" s="317"/>
      <c r="XFC153" s="317"/>
      <c r="XFD153" s="317"/>
    </row>
    <row r="154" s="179" customFormat="1" ht="39" customHeight="1" spans="1:53 16369:16384">
      <c r="A154" s="233">
        <v>46160</v>
      </c>
      <c r="B154" s="258" t="s">
        <v>616</v>
      </c>
      <c r="C154" s="258" t="s">
        <v>617</v>
      </c>
      <c r="D154" s="238">
        <v>4500203233</v>
      </c>
      <c r="E154" s="269" t="s">
        <v>757</v>
      </c>
      <c r="F154" s="269" t="s">
        <v>758</v>
      </c>
      <c r="G154" s="238" t="s">
        <v>59</v>
      </c>
      <c r="H154" s="238" t="s">
        <v>49</v>
      </c>
      <c r="I154" s="238">
        <v>60</v>
      </c>
      <c r="J154" s="238">
        <v>0</v>
      </c>
      <c r="K154" s="238">
        <v>4</v>
      </c>
      <c r="L154" s="238">
        <f t="shared" si="23"/>
        <v>15</v>
      </c>
      <c r="M154" s="239">
        <v>46227</v>
      </c>
      <c r="N154" s="239">
        <v>46223</v>
      </c>
      <c r="O154" s="239" t="s">
        <v>61</v>
      </c>
      <c r="P154" s="267" t="s">
        <v>51</v>
      </c>
      <c r="Q154" s="258"/>
      <c r="R154" s="258"/>
      <c r="S154" s="240"/>
      <c r="T154" s="241">
        <v>46189</v>
      </c>
      <c r="U154" s="240">
        <v>46195</v>
      </c>
      <c r="V154" s="239"/>
      <c r="W154" s="239"/>
      <c r="X154" s="239"/>
      <c r="Y154" s="238" t="s">
        <v>759</v>
      </c>
      <c r="Z154" s="238" t="s">
        <v>621</v>
      </c>
      <c r="AA154" s="274">
        <v>9.86</v>
      </c>
      <c r="AB154" s="270">
        <f t="shared" si="24"/>
        <v>591.6</v>
      </c>
      <c r="AC154" s="271"/>
      <c r="AD154" s="230" t="s">
        <v>113</v>
      </c>
      <c r="AE154" s="235" t="s">
        <v>56</v>
      </c>
      <c r="AF154" s="270"/>
      <c r="AG154" s="270"/>
      <c r="AH154" s="258"/>
      <c r="AI154" s="238"/>
      <c r="AJ154" s="270"/>
      <c r="AK154" s="270"/>
      <c r="AL154" s="270"/>
      <c r="AM154" s="270"/>
      <c r="AN154" s="270"/>
      <c r="AO154" s="259">
        <f t="shared" si="25"/>
        <v>60</v>
      </c>
      <c r="AP154" s="260"/>
      <c r="AQ154" s="260">
        <f>AO154</f>
        <v>60</v>
      </c>
      <c r="AR154" s="260">
        <f>AO154</f>
        <v>60</v>
      </c>
      <c r="AS154" s="260"/>
      <c r="AT154" s="260"/>
      <c r="AU154" s="272"/>
      <c r="AV154" s="180"/>
      <c r="AW154" s="180"/>
      <c r="AX154" s="180"/>
      <c r="AY154" s="180"/>
      <c r="AZ154" s="180"/>
      <c r="BA154" s="180"/>
      <c r="XEO154" s="290"/>
      <c r="XEP154" s="290"/>
      <c r="XEQ154" s="290"/>
      <c r="XER154" s="290"/>
      <c r="XES154" s="290"/>
      <c r="XET154" s="290"/>
      <c r="XEU154" s="290"/>
      <c r="XEV154" s="290"/>
      <c r="XEW154" s="290"/>
      <c r="XEX154" s="290"/>
      <c r="XEY154" s="290"/>
      <c r="XEZ154" s="290"/>
      <c r="XFA154" s="290"/>
      <c r="XFB154" s="290"/>
      <c r="XFC154" s="290"/>
      <c r="XFD154" s="290"/>
    </row>
    <row r="155" s="179" customFormat="1" ht="39" customHeight="1" spans="1:53 16369:16384">
      <c r="A155" s="233">
        <v>46178</v>
      </c>
      <c r="B155" s="258" t="s">
        <v>85</v>
      </c>
      <c r="C155" s="258" t="s">
        <v>77</v>
      </c>
      <c r="D155" s="238">
        <v>4500210593</v>
      </c>
      <c r="E155" s="269" t="s">
        <v>760</v>
      </c>
      <c r="F155" s="269" t="s">
        <v>761</v>
      </c>
      <c r="G155" s="238" t="s">
        <v>59</v>
      </c>
      <c r="H155" s="238" t="s">
        <v>49</v>
      </c>
      <c r="I155" s="238">
        <v>832</v>
      </c>
      <c r="J155" s="238">
        <v>0</v>
      </c>
      <c r="K155" s="238">
        <v>4</v>
      </c>
      <c r="L155" s="238">
        <f t="shared" si="23"/>
        <v>208</v>
      </c>
      <c r="M155" s="239">
        <v>46224</v>
      </c>
      <c r="N155" s="239">
        <v>46224</v>
      </c>
      <c r="O155" s="334"/>
      <c r="P155" s="267" t="s">
        <v>51</v>
      </c>
      <c r="Q155" s="335" t="s">
        <v>762</v>
      </c>
      <c r="R155" s="258"/>
      <c r="S155" s="240" t="s">
        <v>61</v>
      </c>
      <c r="T155" s="241">
        <v>46198</v>
      </c>
      <c r="U155" s="240">
        <v>46206</v>
      </c>
      <c r="V155" s="239"/>
      <c r="W155" s="239"/>
      <c r="X155" s="239"/>
      <c r="Y155" s="238" t="s">
        <v>542</v>
      </c>
      <c r="Z155" s="238" t="s">
        <v>91</v>
      </c>
      <c r="AA155" s="274">
        <v>6.9932</v>
      </c>
      <c r="AB155" s="270">
        <f t="shared" si="24"/>
        <v>5818.3424</v>
      </c>
      <c r="AC155" s="275" t="s">
        <v>763</v>
      </c>
      <c r="AD155" s="313" t="s">
        <v>55</v>
      </c>
      <c r="AE155" s="238" t="s">
        <v>56</v>
      </c>
      <c r="AF155" s="246"/>
      <c r="AG155" s="246"/>
      <c r="AH155" s="236"/>
      <c r="AI155" s="236"/>
      <c r="AJ155" s="246"/>
      <c r="AK155" s="287"/>
      <c r="AL155" s="323"/>
      <c r="AM155" s="323"/>
      <c r="AN155" s="323"/>
      <c r="AO155" s="259">
        <f t="shared" si="25"/>
        <v>832</v>
      </c>
      <c r="AP155" s="260">
        <f t="shared" ref="AP155:AP161" si="26">AO155</f>
        <v>832</v>
      </c>
      <c r="AQ155" s="314"/>
      <c r="AR155" s="260">
        <f>AO155</f>
        <v>832</v>
      </c>
      <c r="AS155" s="181"/>
      <c r="AT155" s="181"/>
      <c r="AU155" s="181"/>
      <c r="AV155" s="182"/>
      <c r="AW155" s="179"/>
      <c r="AX155" s="179"/>
      <c r="AY155" s="179"/>
      <c r="AZ155" s="179"/>
      <c r="BA155" s="179"/>
      <c r="XEX155" s="318"/>
      <c r="XEY155" s="319"/>
      <c r="XEZ155" s="319"/>
      <c r="XFA155" s="320"/>
      <c r="XFB155" s="321"/>
      <c r="XFC155" s="321"/>
      <c r="XFD155" s="320"/>
    </row>
    <row r="156" s="179" customFormat="1" ht="39" customHeight="1" spans="1:53 16369:16384">
      <c r="A156" s="336">
        <v>46161</v>
      </c>
      <c r="B156" s="335" t="s">
        <v>238</v>
      </c>
      <c r="C156" s="335" t="s">
        <v>77</v>
      </c>
      <c r="D156" s="337" t="s">
        <v>764</v>
      </c>
      <c r="E156" s="338" t="s">
        <v>765</v>
      </c>
      <c r="F156" s="338" t="s">
        <v>766</v>
      </c>
      <c r="G156" s="337" t="s">
        <v>242</v>
      </c>
      <c r="H156" s="337" t="s">
        <v>49</v>
      </c>
      <c r="I156" s="337">
        <v>576</v>
      </c>
      <c r="J156" s="337">
        <v>0</v>
      </c>
      <c r="K156" s="337">
        <v>1</v>
      </c>
      <c r="L156" s="337">
        <f t="shared" si="23"/>
        <v>576</v>
      </c>
      <c r="M156" s="334">
        <v>46230</v>
      </c>
      <c r="N156" s="339">
        <v>46226</v>
      </c>
      <c r="O156" s="294" t="s">
        <v>767</v>
      </c>
      <c r="P156" s="340" t="s">
        <v>51</v>
      </c>
      <c r="Q156" s="332" t="s">
        <v>768</v>
      </c>
      <c r="R156" s="341"/>
      <c r="S156" s="342"/>
      <c r="T156" s="343">
        <v>46161</v>
      </c>
      <c r="U156" s="342">
        <v>46189</v>
      </c>
      <c r="V156" s="239"/>
      <c r="W156" s="239"/>
      <c r="X156" s="294" t="s">
        <v>584</v>
      </c>
      <c r="Y156" s="238" t="s">
        <v>645</v>
      </c>
      <c r="Z156" s="238" t="s">
        <v>81</v>
      </c>
      <c r="AA156" s="274">
        <v>5.82</v>
      </c>
      <c r="AB156" s="270">
        <f t="shared" si="24"/>
        <v>3352.32</v>
      </c>
      <c r="AC156" s="271"/>
      <c r="AD156" s="295" t="s">
        <v>247</v>
      </c>
      <c r="AE156" s="238" t="s">
        <v>56</v>
      </c>
      <c r="AF156" s="270"/>
      <c r="AG156" s="270"/>
      <c r="AH156" s="258"/>
      <c r="AI156" s="238"/>
      <c r="AJ156" s="270"/>
      <c r="AK156" s="270"/>
      <c r="AL156" s="270"/>
      <c r="AM156" s="270"/>
      <c r="AN156" s="270"/>
      <c r="AO156" s="259">
        <f t="shared" si="25"/>
        <v>576</v>
      </c>
      <c r="AP156" s="260">
        <f t="shared" si="26"/>
        <v>576</v>
      </c>
      <c r="AQ156" s="260"/>
      <c r="AR156" s="260"/>
      <c r="AS156" s="260">
        <f>AO156</f>
        <v>576</v>
      </c>
      <c r="AT156" s="260"/>
      <c r="AU156" s="272"/>
      <c r="AV156" s="180"/>
      <c r="AW156" s="180"/>
      <c r="AX156" s="180"/>
      <c r="AY156" s="180"/>
      <c r="AZ156" s="180"/>
      <c r="BA156" s="180"/>
      <c r="XEO156" s="290"/>
      <c r="XEP156" s="290"/>
      <c r="XEQ156" s="290"/>
      <c r="XER156" s="290"/>
      <c r="XES156" s="290"/>
      <c r="XET156" s="290"/>
      <c r="XEU156" s="290"/>
      <c r="XEV156" s="290"/>
      <c r="XEW156" s="290"/>
      <c r="XEX156" s="290"/>
      <c r="XEY156" s="290"/>
      <c r="XEZ156" s="290"/>
      <c r="XFA156" s="290"/>
      <c r="XFB156" s="290"/>
      <c r="XFC156" s="290"/>
      <c r="XFD156" s="290"/>
    </row>
    <row r="157" s="179" customFormat="1" ht="39" customHeight="1" spans="1:53 16369:16384">
      <c r="A157" s="331">
        <v>46161</v>
      </c>
      <c r="B157" s="332" t="s">
        <v>238</v>
      </c>
      <c r="C157" s="332" t="s">
        <v>77</v>
      </c>
      <c r="D157" s="284" t="s">
        <v>764</v>
      </c>
      <c r="E157" s="333" t="s">
        <v>769</v>
      </c>
      <c r="F157" s="333" t="s">
        <v>770</v>
      </c>
      <c r="G157" s="284" t="s">
        <v>242</v>
      </c>
      <c r="H157" s="284" t="s">
        <v>49</v>
      </c>
      <c r="I157" s="284">
        <v>648</v>
      </c>
      <c r="J157" s="284">
        <v>0</v>
      </c>
      <c r="K157" s="284">
        <v>1</v>
      </c>
      <c r="L157" s="284">
        <f t="shared" si="23"/>
        <v>648</v>
      </c>
      <c r="M157" s="294">
        <v>46230</v>
      </c>
      <c r="N157" s="344">
        <v>46226</v>
      </c>
      <c r="O157" s="294" t="s">
        <v>767</v>
      </c>
      <c r="P157" s="340" t="s">
        <v>51</v>
      </c>
      <c r="Q157" s="332" t="s">
        <v>768</v>
      </c>
      <c r="R157" s="345"/>
      <c r="S157" s="305"/>
      <c r="T157" s="305">
        <v>46161</v>
      </c>
      <c r="U157" s="305">
        <v>46189</v>
      </c>
      <c r="V157" s="346"/>
      <c r="W157" s="334"/>
      <c r="X157" s="294" t="s">
        <v>584</v>
      </c>
      <c r="Y157" s="337" t="s">
        <v>645</v>
      </c>
      <c r="Z157" s="337" t="s">
        <v>81</v>
      </c>
      <c r="AA157" s="347">
        <v>5.82</v>
      </c>
      <c r="AB157" s="348">
        <f t="shared" si="24"/>
        <v>3771.36</v>
      </c>
      <c r="AC157" s="349"/>
      <c r="AD157" s="350" t="s">
        <v>247</v>
      </c>
      <c r="AE157" s="238" t="s">
        <v>56</v>
      </c>
      <c r="AF157" s="348"/>
      <c r="AG157" s="348"/>
      <c r="AH157" s="335"/>
      <c r="AI157" s="337"/>
      <c r="AJ157" s="348"/>
      <c r="AK157" s="348"/>
      <c r="AL157" s="348"/>
      <c r="AM157" s="348"/>
      <c r="AN157" s="348"/>
      <c r="AO157" s="351">
        <f t="shared" si="25"/>
        <v>648</v>
      </c>
      <c r="AP157" s="260">
        <f t="shared" si="26"/>
        <v>648</v>
      </c>
      <c r="AQ157" s="260"/>
      <c r="AR157" s="260"/>
      <c r="AS157" s="260">
        <f>AO157</f>
        <v>648</v>
      </c>
      <c r="AT157" s="260"/>
      <c r="AU157" s="272"/>
      <c r="AV157" s="180"/>
      <c r="AW157" s="180"/>
      <c r="AX157" s="180"/>
      <c r="AY157" s="180"/>
      <c r="AZ157" s="180"/>
      <c r="BA157" s="180"/>
      <c r="XEX157" s="290"/>
      <c r="XEY157" s="290"/>
      <c r="XEZ157" s="290"/>
      <c r="XFA157" s="290"/>
      <c r="XFB157" s="290"/>
      <c r="XFC157" s="290"/>
      <c r="XFD157" s="290"/>
    </row>
    <row r="158" s="179" customFormat="1" ht="39" customHeight="1" spans="1:53 16369:16384">
      <c r="A158" s="331">
        <v>46161</v>
      </c>
      <c r="B158" s="332" t="s">
        <v>238</v>
      </c>
      <c r="C158" s="332" t="s">
        <v>77</v>
      </c>
      <c r="D158" s="284" t="s">
        <v>764</v>
      </c>
      <c r="E158" s="333" t="s">
        <v>771</v>
      </c>
      <c r="F158" s="333" t="s">
        <v>772</v>
      </c>
      <c r="G158" s="284" t="s">
        <v>242</v>
      </c>
      <c r="H158" s="284" t="s">
        <v>49</v>
      </c>
      <c r="I158" s="284">
        <v>504</v>
      </c>
      <c r="J158" s="284">
        <v>0</v>
      </c>
      <c r="K158" s="284">
        <v>1</v>
      </c>
      <c r="L158" s="284">
        <f t="shared" si="23"/>
        <v>504</v>
      </c>
      <c r="M158" s="294">
        <v>46230</v>
      </c>
      <c r="N158" s="339">
        <v>46226</v>
      </c>
      <c r="O158" s="294" t="s">
        <v>724</v>
      </c>
      <c r="P158" s="340" t="s">
        <v>51</v>
      </c>
      <c r="Q158" s="332" t="s">
        <v>768</v>
      </c>
      <c r="R158" s="345"/>
      <c r="S158" s="305"/>
      <c r="T158" s="305">
        <v>46161</v>
      </c>
      <c r="U158" s="305">
        <v>46189</v>
      </c>
      <c r="V158" s="352"/>
      <c r="W158" s="239"/>
      <c r="X158" s="294" t="s">
        <v>584</v>
      </c>
      <c r="Y158" s="238" t="s">
        <v>645</v>
      </c>
      <c r="Z158" s="238" t="s">
        <v>81</v>
      </c>
      <c r="AA158" s="274">
        <v>5.82</v>
      </c>
      <c r="AB158" s="270">
        <f t="shared" si="24"/>
        <v>2933.28</v>
      </c>
      <c r="AC158" s="271"/>
      <c r="AD158" s="295" t="s">
        <v>247</v>
      </c>
      <c r="AE158" s="238" t="s">
        <v>56</v>
      </c>
      <c r="AF158" s="270"/>
      <c r="AG158" s="270"/>
      <c r="AH158" s="325"/>
      <c r="AI158" s="270"/>
      <c r="AJ158" s="270"/>
      <c r="AK158" s="270"/>
      <c r="AL158" s="320"/>
      <c r="AM158" s="320"/>
      <c r="AN158" s="320"/>
      <c r="AO158" s="351">
        <f t="shared" si="25"/>
        <v>504</v>
      </c>
      <c r="AP158" s="260">
        <f t="shared" si="26"/>
        <v>504</v>
      </c>
      <c r="AQ158" s="260"/>
      <c r="AR158" s="260"/>
      <c r="AS158" s="260">
        <f>AO158</f>
        <v>504</v>
      </c>
      <c r="AT158" s="260"/>
      <c r="AU158" s="272"/>
      <c r="AV158" s="180"/>
      <c r="AW158" s="180"/>
      <c r="AX158" s="180"/>
      <c r="AY158" s="180"/>
      <c r="AZ158" s="180"/>
      <c r="BA158" s="180"/>
      <c r="XEX158" s="322"/>
      <c r="XEY158" s="322"/>
      <c r="XEZ158" s="322"/>
      <c r="XFA158" s="322"/>
      <c r="XFB158" s="322"/>
      <c r="XFC158" s="322"/>
      <c r="XFD158" s="322"/>
    </row>
    <row r="159" s="179" customFormat="1" ht="39" customHeight="1" spans="1:53 16369:16384">
      <c r="A159" s="353">
        <v>46161</v>
      </c>
      <c r="B159" s="354" t="s">
        <v>238</v>
      </c>
      <c r="C159" s="354" t="s">
        <v>77</v>
      </c>
      <c r="D159" s="282" t="s">
        <v>764</v>
      </c>
      <c r="E159" s="355" t="s">
        <v>773</v>
      </c>
      <c r="F159" s="355" t="s">
        <v>774</v>
      </c>
      <c r="G159" s="282" t="s">
        <v>242</v>
      </c>
      <c r="H159" s="282" t="s">
        <v>49</v>
      </c>
      <c r="I159" s="282">
        <v>648</v>
      </c>
      <c r="J159" s="282">
        <v>0</v>
      </c>
      <c r="K159" s="282">
        <v>1</v>
      </c>
      <c r="L159" s="282">
        <f t="shared" si="23"/>
        <v>648</v>
      </c>
      <c r="M159" s="356">
        <v>46230</v>
      </c>
      <c r="N159" s="356">
        <v>46226</v>
      </c>
      <c r="O159" s="294" t="s">
        <v>767</v>
      </c>
      <c r="P159" s="340" t="s">
        <v>51</v>
      </c>
      <c r="Q159" s="332" t="s">
        <v>768</v>
      </c>
      <c r="R159" s="357"/>
      <c r="S159" s="358"/>
      <c r="T159" s="358">
        <v>46161</v>
      </c>
      <c r="U159" s="358">
        <v>46189</v>
      </c>
      <c r="V159" s="294"/>
      <c r="W159" s="294"/>
      <c r="X159" s="294" t="s">
        <v>584</v>
      </c>
      <c r="Y159" s="284" t="s">
        <v>645</v>
      </c>
      <c r="Z159" s="284" t="s">
        <v>81</v>
      </c>
      <c r="AA159" s="283">
        <v>5.916</v>
      </c>
      <c r="AB159" s="284">
        <f t="shared" si="24"/>
        <v>3833.568</v>
      </c>
      <c r="AC159" s="271"/>
      <c r="AD159" s="300" t="s">
        <v>247</v>
      </c>
      <c r="AE159" s="284" t="s">
        <v>56</v>
      </c>
      <c r="AF159" s="284"/>
      <c r="AG159" s="284"/>
      <c r="AH159" s="332"/>
      <c r="AI159" s="284"/>
      <c r="AJ159" s="284"/>
      <c r="AK159" s="284"/>
      <c r="AL159" s="284"/>
      <c r="AM159" s="284"/>
      <c r="AN159" s="284"/>
      <c r="AO159" s="289">
        <f t="shared" si="25"/>
        <v>648</v>
      </c>
      <c r="AP159" s="260">
        <f t="shared" si="26"/>
        <v>648</v>
      </c>
      <c r="AQ159" s="260"/>
      <c r="AR159" s="260"/>
      <c r="AS159" s="260">
        <f>AO159</f>
        <v>648</v>
      </c>
      <c r="AT159" s="260"/>
      <c r="AU159" s="272"/>
      <c r="AV159" s="180"/>
      <c r="AW159" s="180"/>
      <c r="AX159" s="180"/>
      <c r="AY159" s="180"/>
      <c r="AZ159" s="180"/>
      <c r="BA159" s="180"/>
      <c r="XEO159" s="290"/>
      <c r="XEP159" s="290"/>
      <c r="XEQ159" s="290"/>
      <c r="XER159" s="290"/>
      <c r="XES159" s="290"/>
      <c r="XET159" s="290"/>
      <c r="XEU159" s="290"/>
      <c r="XEV159" s="290"/>
      <c r="XEW159" s="290"/>
      <c r="XEX159" s="322"/>
      <c r="XEY159" s="322"/>
      <c r="XEZ159" s="322"/>
      <c r="XFA159" s="322"/>
      <c r="XFB159" s="322"/>
      <c r="XFC159" s="322"/>
      <c r="XFD159" s="322"/>
    </row>
    <row r="160" s="179" customFormat="1" ht="39" customHeight="1" spans="1:53 16369:16384">
      <c r="A160" s="233">
        <v>46185</v>
      </c>
      <c r="B160" s="258" t="s">
        <v>85</v>
      </c>
      <c r="C160" s="258" t="s">
        <v>77</v>
      </c>
      <c r="D160" s="238">
        <v>4500211667</v>
      </c>
      <c r="E160" s="269" t="s">
        <v>775</v>
      </c>
      <c r="F160" s="269" t="s">
        <v>776</v>
      </c>
      <c r="G160" s="238" t="s">
        <v>59</v>
      </c>
      <c r="H160" s="238" t="s">
        <v>49</v>
      </c>
      <c r="I160" s="238">
        <v>584</v>
      </c>
      <c r="J160" s="238">
        <v>0</v>
      </c>
      <c r="K160" s="238">
        <v>4</v>
      </c>
      <c r="L160" s="238">
        <f t="shared" si="23"/>
        <v>146</v>
      </c>
      <c r="M160" s="239">
        <v>46226</v>
      </c>
      <c r="N160" s="239">
        <v>46227</v>
      </c>
      <c r="O160" s="239"/>
      <c r="P160" s="267" t="s">
        <v>51</v>
      </c>
      <c r="Q160" s="258" t="s">
        <v>777</v>
      </c>
      <c r="R160" s="258"/>
      <c r="S160" s="240" t="s">
        <v>61</v>
      </c>
      <c r="T160" s="241">
        <v>46198</v>
      </c>
      <c r="U160" s="240">
        <v>46206</v>
      </c>
      <c r="V160" s="239"/>
      <c r="W160" s="239"/>
      <c r="X160" s="239"/>
      <c r="Y160" s="238" t="s">
        <v>778</v>
      </c>
      <c r="Z160" s="238" t="s">
        <v>91</v>
      </c>
      <c r="AA160" s="274">
        <v>6.9932</v>
      </c>
      <c r="AB160" s="270">
        <f t="shared" si="24"/>
        <v>4084.0288</v>
      </c>
      <c r="AC160" s="271"/>
      <c r="AD160" s="313" t="s">
        <v>55</v>
      </c>
      <c r="AE160" s="238" t="s">
        <v>56</v>
      </c>
      <c r="AF160" s="246"/>
      <c r="AG160" s="323"/>
      <c r="AH160" s="236"/>
      <c r="AI160" s="236"/>
      <c r="AJ160" s="359"/>
      <c r="AK160" s="359"/>
      <c r="AL160" s="359"/>
      <c r="AM160" s="316"/>
      <c r="AN160" s="316"/>
      <c r="AO160" s="259">
        <f t="shared" si="25"/>
        <v>584</v>
      </c>
      <c r="AP160" s="260">
        <f t="shared" si="26"/>
        <v>584</v>
      </c>
      <c r="AQ160" s="317"/>
      <c r="AR160" s="260">
        <f>AO160</f>
        <v>584</v>
      </c>
      <c r="AS160" s="317"/>
      <c r="AT160" s="317"/>
      <c r="AU160" s="317"/>
      <c r="XEO160" s="318"/>
      <c r="XEP160" s="319"/>
      <c r="XEQ160" s="319"/>
      <c r="XER160" s="320"/>
      <c r="XES160" s="321"/>
      <c r="XET160" s="321"/>
      <c r="XEU160" s="320"/>
      <c r="XEV160" s="318"/>
      <c r="XEW160" s="319"/>
      <c r="XEX160" s="319"/>
      <c r="XEY160" s="320"/>
      <c r="XEZ160" s="321"/>
      <c r="XFA160" s="321"/>
      <c r="XFB160" s="320"/>
      <c r="XFC160" s="320"/>
      <c r="XFD160" s="320"/>
    </row>
    <row r="161" s="179" customFormat="1" ht="39" customHeight="1" spans="1:53 16360:16384">
      <c r="A161" s="331">
        <v>46191</v>
      </c>
      <c r="B161" s="332" t="s">
        <v>522</v>
      </c>
      <c r="C161" s="332" t="s">
        <v>77</v>
      </c>
      <c r="D161" s="284" t="s">
        <v>779</v>
      </c>
      <c r="E161" s="333" t="s">
        <v>780</v>
      </c>
      <c r="F161" s="333" t="s">
        <v>781</v>
      </c>
      <c r="G161" s="284" t="s">
        <v>59</v>
      </c>
      <c r="H161" s="284" t="s">
        <v>49</v>
      </c>
      <c r="I161" s="284">
        <v>1168</v>
      </c>
      <c r="J161" s="284">
        <v>0</v>
      </c>
      <c r="K161" s="284">
        <v>4</v>
      </c>
      <c r="L161" s="284">
        <f t="shared" si="23"/>
        <v>292</v>
      </c>
      <c r="M161" s="294">
        <v>46234</v>
      </c>
      <c r="N161" s="294">
        <v>46230</v>
      </c>
      <c r="O161" s="239"/>
      <c r="P161" s="267" t="s">
        <v>51</v>
      </c>
      <c r="Q161" s="332" t="s">
        <v>782</v>
      </c>
      <c r="R161" s="332"/>
      <c r="S161" s="305" t="s">
        <v>61</v>
      </c>
      <c r="T161" s="305">
        <v>46203</v>
      </c>
      <c r="U161" s="305">
        <v>46218</v>
      </c>
      <c r="V161" s="294"/>
      <c r="W161" s="294"/>
      <c r="X161" s="294"/>
      <c r="Y161" s="284" t="s">
        <v>783</v>
      </c>
      <c r="Z161" s="284" t="s">
        <v>526</v>
      </c>
      <c r="AA161" s="283">
        <v>6.9932</v>
      </c>
      <c r="AB161" s="284">
        <f t="shared" si="24"/>
        <v>8168.0576</v>
      </c>
      <c r="AC161" s="271"/>
      <c r="AD161" s="360" t="s">
        <v>55</v>
      </c>
      <c r="AE161" s="284" t="s">
        <v>56</v>
      </c>
      <c r="AF161" s="284"/>
      <c r="AG161" s="284"/>
      <c r="AH161" s="332"/>
      <c r="AI161" s="284"/>
      <c r="AJ161" s="284"/>
      <c r="AK161" s="284"/>
      <c r="AL161" s="284"/>
      <c r="AM161" s="284"/>
      <c r="AN161" s="284"/>
      <c r="AO161" s="289">
        <f t="shared" si="25"/>
        <v>1168</v>
      </c>
      <c r="AP161" s="260">
        <f t="shared" si="26"/>
        <v>1168</v>
      </c>
      <c r="AQ161" s="260"/>
      <c r="AR161" s="260">
        <f>AO161</f>
        <v>1168</v>
      </c>
      <c r="AS161" s="260"/>
      <c r="AT161" s="260"/>
      <c r="AU161" s="272"/>
      <c r="AV161" s="180"/>
      <c r="AW161" s="180"/>
      <c r="AX161" s="180"/>
      <c r="AY161" s="180"/>
      <c r="AZ161" s="180"/>
      <c r="BA161" s="180"/>
      <c r="XEX161" s="322"/>
      <c r="XEY161" s="322"/>
      <c r="XEZ161" s="322"/>
      <c r="XFA161" s="322"/>
      <c r="XFB161" s="322"/>
      <c r="XFC161" s="322"/>
      <c r="XFD161" s="322"/>
    </row>
    <row r="162" s="179" customFormat="1" ht="39" customHeight="1" spans="1:53 16360:16384">
      <c r="A162" s="331">
        <v>46175</v>
      </c>
      <c r="B162" s="332" t="s">
        <v>784</v>
      </c>
      <c r="C162" s="332" t="s">
        <v>664</v>
      </c>
      <c r="D162" s="284">
        <v>4500210269</v>
      </c>
      <c r="E162" s="333" t="s">
        <v>785</v>
      </c>
      <c r="F162" s="333" t="s">
        <v>786</v>
      </c>
      <c r="G162" s="284" t="s">
        <v>59</v>
      </c>
      <c r="H162" s="284" t="s">
        <v>49</v>
      </c>
      <c r="I162" s="284">
        <v>4500</v>
      </c>
      <c r="J162" s="284">
        <v>0</v>
      </c>
      <c r="K162" s="284">
        <v>4</v>
      </c>
      <c r="L162" s="284">
        <f t="shared" si="23"/>
        <v>1125</v>
      </c>
      <c r="M162" s="294">
        <v>46225</v>
      </c>
      <c r="N162" s="294">
        <v>46231</v>
      </c>
      <c r="O162" s="239" t="s">
        <v>50</v>
      </c>
      <c r="P162" s="267" t="s">
        <v>51</v>
      </c>
      <c r="Q162" s="332" t="s">
        <v>787</v>
      </c>
      <c r="R162" s="332"/>
      <c r="S162" s="305"/>
      <c r="T162" s="305">
        <v>46175</v>
      </c>
      <c r="U162" s="241">
        <v>46211</v>
      </c>
      <c r="V162" s="294"/>
      <c r="W162" s="294"/>
      <c r="X162" s="294"/>
      <c r="Y162" s="284" t="s">
        <v>788</v>
      </c>
      <c r="Z162" s="284" t="s">
        <v>756</v>
      </c>
      <c r="AA162" s="283">
        <v>11.7396</v>
      </c>
      <c r="AB162" s="284">
        <f t="shared" si="24"/>
        <v>52828.2</v>
      </c>
      <c r="AC162" s="271"/>
      <c r="AD162" s="230" t="s">
        <v>113</v>
      </c>
      <c r="AE162" s="238" t="s">
        <v>56</v>
      </c>
      <c r="AF162" s="260"/>
      <c r="AG162" s="260"/>
      <c r="AH162" s="260"/>
      <c r="AI162" s="260"/>
      <c r="AJ162" s="260"/>
      <c r="AK162" s="272"/>
      <c r="AL162" s="314"/>
      <c r="AM162" s="288"/>
      <c r="AN162" s="288"/>
      <c r="AO162" s="289">
        <f t="shared" si="25"/>
        <v>4500</v>
      </c>
      <c r="AP162" s="314"/>
      <c r="AQ162" s="260">
        <f>AO162</f>
        <v>4500</v>
      </c>
      <c r="AR162" s="260"/>
      <c r="AS162" s="317"/>
      <c r="AT162" s="260">
        <f>AO162</f>
        <v>4500</v>
      </c>
      <c r="AU162" s="317"/>
      <c r="XEO162" s="322"/>
      <c r="XEP162" s="322"/>
      <c r="XEQ162" s="322"/>
      <c r="XER162" s="322"/>
      <c r="XES162" s="322"/>
      <c r="XET162" s="322"/>
      <c r="XEU162" s="322"/>
      <c r="XEV162" s="317"/>
      <c r="XEW162" s="317"/>
      <c r="XEX162" s="331"/>
      <c r="XEY162" s="332"/>
      <c r="XEZ162" s="332"/>
      <c r="XFA162" s="284"/>
      <c r="XFB162" s="333"/>
      <c r="XFC162" s="333"/>
      <c r="XFD162" s="284"/>
    </row>
    <row r="163" s="181" customFormat="1" ht="39" customHeight="1" spans="1:53 16360:16384">
      <c r="A163" s="331">
        <v>46195</v>
      </c>
      <c r="B163" s="332" t="s">
        <v>789</v>
      </c>
      <c r="C163" s="332" t="s">
        <v>790</v>
      </c>
      <c r="D163" s="284" t="s">
        <v>791</v>
      </c>
      <c r="E163" s="333" t="s">
        <v>792</v>
      </c>
      <c r="F163" s="333" t="s">
        <v>793</v>
      </c>
      <c r="G163" s="284" t="s">
        <v>59</v>
      </c>
      <c r="H163" s="284" t="s">
        <v>49</v>
      </c>
      <c r="I163" s="284">
        <v>40</v>
      </c>
      <c r="J163" s="284">
        <v>0</v>
      </c>
      <c r="K163" s="284">
        <v>4</v>
      </c>
      <c r="L163" s="284">
        <f t="shared" si="23"/>
        <v>10</v>
      </c>
      <c r="M163" s="294">
        <v>46237</v>
      </c>
      <c r="N163" s="294">
        <v>46233</v>
      </c>
      <c r="O163" s="239"/>
      <c r="P163" s="267" t="s">
        <v>51</v>
      </c>
      <c r="Q163" s="332" t="s">
        <v>711</v>
      </c>
      <c r="R163" s="332"/>
      <c r="S163" s="305"/>
      <c r="T163" s="305">
        <v>46199</v>
      </c>
      <c r="U163" s="240">
        <v>46212</v>
      </c>
      <c r="V163" s="294"/>
      <c r="W163" s="294"/>
      <c r="X163" s="294"/>
      <c r="Y163" s="284" t="s">
        <v>794</v>
      </c>
      <c r="Z163" s="284" t="s">
        <v>128</v>
      </c>
      <c r="AA163" s="283">
        <v>11.6553</v>
      </c>
      <c r="AB163" s="284">
        <f t="shared" si="24"/>
        <v>466.212</v>
      </c>
      <c r="AC163" s="271"/>
      <c r="AD163" s="360" t="s">
        <v>55</v>
      </c>
      <c r="AE163" s="284" t="s">
        <v>56</v>
      </c>
      <c r="AF163" s="260"/>
      <c r="AG163" s="260"/>
      <c r="AH163" s="181"/>
      <c r="AI163" s="260"/>
      <c r="AJ163" s="181"/>
      <c r="AK163" s="181"/>
      <c r="AL163" s="181"/>
      <c r="AM163" s="181"/>
      <c r="AN163" s="181"/>
      <c r="AO163" s="289">
        <f t="shared" si="25"/>
        <v>40</v>
      </c>
      <c r="AP163" s="260">
        <f t="shared" ref="AP163:AP171" si="27">AO163</f>
        <v>40</v>
      </c>
      <c r="AQ163" s="317"/>
      <c r="AR163" s="260">
        <f>AO163</f>
        <v>40</v>
      </c>
      <c r="AS163" s="317"/>
      <c r="AT163" s="317"/>
      <c r="AU163" s="317"/>
      <c r="AV163" s="182"/>
      <c r="XEF163" s="318"/>
      <c r="XEG163" s="319"/>
      <c r="XEH163" s="319"/>
      <c r="XEI163" s="320"/>
      <c r="XEJ163" s="321"/>
      <c r="XEK163" s="321"/>
      <c r="XEL163" s="320"/>
      <c r="XEM163" s="318"/>
      <c r="XEN163" s="319"/>
      <c r="XEO163" s="319"/>
      <c r="XEP163" s="320"/>
      <c r="XEQ163" s="321"/>
      <c r="XER163" s="321"/>
      <c r="XES163" s="320"/>
      <c r="XET163" s="320"/>
      <c r="XEU163" s="320"/>
      <c r="XEV163" s="318"/>
      <c r="XEW163" s="319"/>
      <c r="XEX163" s="258"/>
      <c r="XEY163" s="238"/>
      <c r="XEZ163" s="269"/>
      <c r="XFA163" s="269"/>
      <c r="XFB163" s="238"/>
      <c r="XFC163" s="238"/>
      <c r="XFD163" s="238"/>
    </row>
    <row r="164" s="179" customFormat="1" ht="39" customHeight="1" spans="1:53 16360:16384">
      <c r="A164" s="331">
        <v>46190</v>
      </c>
      <c r="B164" s="332" t="s">
        <v>795</v>
      </c>
      <c r="C164" s="332" t="s">
        <v>796</v>
      </c>
      <c r="D164" s="284">
        <v>4500212751</v>
      </c>
      <c r="E164" s="333" t="s">
        <v>797</v>
      </c>
      <c r="F164" s="333" t="s">
        <v>798</v>
      </c>
      <c r="G164" s="284" t="s">
        <v>59</v>
      </c>
      <c r="H164" s="284" t="s">
        <v>49</v>
      </c>
      <c r="I164" s="284">
        <v>500</v>
      </c>
      <c r="J164" s="284">
        <v>0</v>
      </c>
      <c r="K164" s="284">
        <v>4</v>
      </c>
      <c r="L164" s="284">
        <f t="shared" si="23"/>
        <v>125</v>
      </c>
      <c r="M164" s="294">
        <v>46237</v>
      </c>
      <c r="N164" s="294">
        <v>46233</v>
      </c>
      <c r="O164" s="239"/>
      <c r="P164" s="267" t="s">
        <v>51</v>
      </c>
      <c r="Q164" s="332" t="s">
        <v>799</v>
      </c>
      <c r="R164" s="332"/>
      <c r="S164" s="305"/>
      <c r="T164" s="305">
        <v>46190</v>
      </c>
      <c r="U164" s="240">
        <v>46198</v>
      </c>
      <c r="V164" s="294"/>
      <c r="W164" s="294"/>
      <c r="X164" s="294"/>
      <c r="Y164" s="284" t="s">
        <v>800</v>
      </c>
      <c r="Z164" s="284" t="s">
        <v>221</v>
      </c>
      <c r="AA164" s="283">
        <v>11.9558</v>
      </c>
      <c r="AB164" s="284">
        <f t="shared" si="24"/>
        <v>5977.9</v>
      </c>
      <c r="AC164" s="271"/>
      <c r="AD164" s="237" t="s">
        <v>55</v>
      </c>
      <c r="AE164" s="284" t="s">
        <v>56</v>
      </c>
      <c r="AF164" s="260"/>
      <c r="AG164" s="260"/>
      <c r="AH164" s="314"/>
      <c r="AI164" s="181"/>
      <c r="AJ164" s="181"/>
      <c r="AK164" s="260"/>
      <c r="AL164" s="260"/>
      <c r="AM164" s="181"/>
      <c r="AN164" s="181"/>
      <c r="AO164" s="289">
        <f t="shared" si="25"/>
        <v>500</v>
      </c>
      <c r="AP164" s="260">
        <f t="shared" si="27"/>
        <v>500</v>
      </c>
      <c r="AQ164" s="181"/>
      <c r="AR164" s="260">
        <f>AO164</f>
        <v>500</v>
      </c>
      <c r="AS164" s="181"/>
      <c r="AT164" s="181"/>
      <c r="AU164" s="181"/>
      <c r="AV164" s="290"/>
      <c r="XEN164" s="290"/>
      <c r="XEO164" s="318"/>
      <c r="XEP164" s="319"/>
      <c r="XEQ164" s="319"/>
      <c r="XER164" s="320"/>
      <c r="XES164" s="321"/>
      <c r="XET164" s="321"/>
      <c r="XEU164" s="320"/>
      <c r="XEV164" s="318"/>
      <c r="XEW164" s="319"/>
      <c r="XEX164" s="258"/>
      <c r="XEY164" s="238"/>
      <c r="XEZ164" s="269"/>
      <c r="XFA164" s="269"/>
      <c r="XFB164" s="238"/>
      <c r="XFC164" s="238"/>
      <c r="XFD164" s="238"/>
    </row>
    <row r="165" s="182" customFormat="1" ht="39" customHeight="1" spans="1:53 16360:16384">
      <c r="A165" s="331">
        <v>46198</v>
      </c>
      <c r="B165" s="332" t="s">
        <v>164</v>
      </c>
      <c r="C165" s="332" t="s">
        <v>77</v>
      </c>
      <c r="D165" s="284" t="s">
        <v>801</v>
      </c>
      <c r="E165" s="333" t="s">
        <v>802</v>
      </c>
      <c r="F165" s="333" t="s">
        <v>803</v>
      </c>
      <c r="G165" s="284" t="s">
        <v>166</v>
      </c>
      <c r="H165" s="284" t="s">
        <v>49</v>
      </c>
      <c r="I165" s="284">
        <v>1040</v>
      </c>
      <c r="J165" s="284">
        <v>0</v>
      </c>
      <c r="K165" s="284">
        <v>2</v>
      </c>
      <c r="L165" s="284">
        <f t="shared" si="23"/>
        <v>520</v>
      </c>
      <c r="M165" s="352">
        <v>46237</v>
      </c>
      <c r="N165" s="294">
        <v>46233</v>
      </c>
      <c r="O165" s="239"/>
      <c r="P165" s="267" t="s">
        <v>51</v>
      </c>
      <c r="Q165" s="258" t="s">
        <v>804</v>
      </c>
      <c r="R165" s="258"/>
      <c r="S165" s="241"/>
      <c r="T165" s="305">
        <v>46198</v>
      </c>
      <c r="U165" s="240" t="s">
        <v>73</v>
      </c>
      <c r="V165" s="239"/>
      <c r="W165" s="239"/>
      <c r="X165" s="239"/>
      <c r="Y165" s="238" t="s">
        <v>805</v>
      </c>
      <c r="Z165" s="238" t="s">
        <v>169</v>
      </c>
      <c r="AA165" s="361">
        <v>7.2564</v>
      </c>
      <c r="AB165" s="238">
        <f t="shared" si="24"/>
        <v>7546.656</v>
      </c>
      <c r="AC165" s="362"/>
      <c r="AD165" s="284" t="s">
        <v>171</v>
      </c>
      <c r="AE165" s="238" t="s">
        <v>56</v>
      </c>
      <c r="AF165" s="236"/>
      <c r="AG165" s="236"/>
      <c r="AH165" s="236"/>
      <c r="AI165" s="236"/>
      <c r="AJ165" s="236"/>
      <c r="AK165" s="236"/>
      <c r="AL165" s="363"/>
      <c r="AM165" s="315"/>
      <c r="AN165" s="315"/>
      <c r="AO165" s="364">
        <f t="shared" si="25"/>
        <v>1040</v>
      </c>
      <c r="AP165" s="260">
        <f t="shared" si="27"/>
        <v>1040</v>
      </c>
      <c r="AQ165" s="314"/>
      <c r="AR165" s="260"/>
      <c r="AS165" s="260">
        <f>AO165</f>
        <v>1040</v>
      </c>
      <c r="AT165" s="181"/>
      <c r="AU165" s="181"/>
      <c r="XEN165" s="365"/>
      <c r="XEO165" s="182"/>
      <c r="XEP165" s="182"/>
      <c r="XEQ165" s="182"/>
      <c r="XER165" s="182"/>
      <c r="XES165" s="182"/>
      <c r="XET165" s="182"/>
      <c r="XEU165" s="182"/>
      <c r="XEV165" s="366"/>
      <c r="XEW165" s="367"/>
      <c r="XEX165" s="319"/>
      <c r="XEY165" s="320"/>
      <c r="XEZ165" s="321"/>
      <c r="XFA165" s="321"/>
      <c r="XFB165" s="320"/>
      <c r="XFC165" s="320"/>
      <c r="XFD165" s="320"/>
    </row>
    <row r="166" s="182" customFormat="1" ht="39" customHeight="1" spans="1:53 16360:16384">
      <c r="A166" s="233">
        <v>46198</v>
      </c>
      <c r="B166" s="258" t="s">
        <v>164</v>
      </c>
      <c r="C166" s="258" t="s">
        <v>77</v>
      </c>
      <c r="D166" s="238" t="s">
        <v>801</v>
      </c>
      <c r="E166" s="269" t="s">
        <v>806</v>
      </c>
      <c r="F166" s="269" t="s">
        <v>807</v>
      </c>
      <c r="G166" s="238" t="s">
        <v>166</v>
      </c>
      <c r="H166" s="238" t="s">
        <v>49</v>
      </c>
      <c r="I166" s="238">
        <v>560</v>
      </c>
      <c r="J166" s="238">
        <v>0</v>
      </c>
      <c r="K166" s="238">
        <v>2</v>
      </c>
      <c r="L166" s="238">
        <f t="shared" si="23"/>
        <v>280</v>
      </c>
      <c r="M166" s="239">
        <v>46237</v>
      </c>
      <c r="N166" s="294">
        <v>46233</v>
      </c>
      <c r="O166" s="239"/>
      <c r="P166" s="267" t="s">
        <v>51</v>
      </c>
      <c r="Q166" s="258" t="s">
        <v>804</v>
      </c>
      <c r="R166" s="258"/>
      <c r="S166" s="240"/>
      <c r="T166" s="305">
        <v>46198</v>
      </c>
      <c r="U166" s="240" t="s">
        <v>73</v>
      </c>
      <c r="V166" s="239"/>
      <c r="W166" s="239"/>
      <c r="X166" s="239"/>
      <c r="Y166" s="238" t="s">
        <v>805</v>
      </c>
      <c r="Z166" s="238" t="s">
        <v>169</v>
      </c>
      <c r="AA166" s="274">
        <v>7.2564</v>
      </c>
      <c r="AB166" s="270">
        <f t="shared" si="24"/>
        <v>4063.584</v>
      </c>
      <c r="AC166" s="271"/>
      <c r="AD166" s="284" t="s">
        <v>171</v>
      </c>
      <c r="AE166" s="238" t="s">
        <v>56</v>
      </c>
      <c r="AF166" s="246"/>
      <c r="AG166" s="246"/>
      <c r="AH166" s="236"/>
      <c r="AI166" s="236"/>
      <c r="AJ166" s="246"/>
      <c r="AK166" s="246"/>
      <c r="AL166" s="287"/>
      <c r="AM166" s="323"/>
      <c r="AN166" s="323"/>
      <c r="AO166" s="259">
        <f t="shared" si="25"/>
        <v>560</v>
      </c>
      <c r="AP166" s="260">
        <f t="shared" si="27"/>
        <v>560</v>
      </c>
      <c r="AQ166" s="314"/>
      <c r="AR166" s="260">
        <f>AO166</f>
        <v>560</v>
      </c>
      <c r="AS166" s="181"/>
      <c r="AT166" s="181"/>
      <c r="AU166" s="181"/>
      <c r="XEF166" s="290"/>
      <c r="XEG166" s="290"/>
      <c r="XEH166" s="290"/>
      <c r="XEI166" s="290"/>
      <c r="XEJ166" s="290"/>
      <c r="XEK166" s="290"/>
      <c r="XEL166" s="290"/>
      <c r="XEM166" s="290"/>
      <c r="XEN166" s="365"/>
      <c r="XEO166" s="182"/>
      <c r="XEP166" s="182"/>
      <c r="XEQ166" s="182"/>
      <c r="XER166" s="182"/>
      <c r="XES166" s="182"/>
      <c r="XET166" s="182"/>
      <c r="XEU166" s="182"/>
      <c r="XEV166" s="366"/>
      <c r="XEW166" s="367"/>
      <c r="XEX166" s="319"/>
      <c r="XEY166" s="320"/>
      <c r="XEZ166" s="321"/>
      <c r="XFA166" s="321"/>
      <c r="XFB166" s="320"/>
      <c r="XFC166" s="320"/>
      <c r="XFD166" s="320"/>
    </row>
    <row r="167" s="181" customFormat="1" ht="39" customHeight="1" spans="1:53 16360:16384">
      <c r="A167" s="233">
        <v>46183</v>
      </c>
      <c r="B167" s="258" t="s">
        <v>238</v>
      </c>
      <c r="C167" s="258" t="s">
        <v>77</v>
      </c>
      <c r="D167" s="238" t="s">
        <v>808</v>
      </c>
      <c r="E167" s="269">
        <v>4500211304</v>
      </c>
      <c r="F167" s="269" t="s">
        <v>809</v>
      </c>
      <c r="G167" s="238">
        <v>71172</v>
      </c>
      <c r="H167" s="238" t="s">
        <v>49</v>
      </c>
      <c r="I167" s="238">
        <v>756</v>
      </c>
      <c r="J167" s="238">
        <v>0</v>
      </c>
      <c r="K167" s="238">
        <v>4</v>
      </c>
      <c r="L167" s="238">
        <f t="shared" si="23"/>
        <v>189</v>
      </c>
      <c r="M167" s="239">
        <v>46237</v>
      </c>
      <c r="N167" s="239">
        <v>46234</v>
      </c>
      <c r="O167" s="239" t="s">
        <v>810</v>
      </c>
      <c r="P167" s="267" t="s">
        <v>51</v>
      </c>
      <c r="Q167" s="239" t="s">
        <v>811</v>
      </c>
      <c r="R167" s="258"/>
      <c r="S167" s="240"/>
      <c r="T167" s="241" t="s">
        <v>812</v>
      </c>
      <c r="U167" s="240">
        <v>46205</v>
      </c>
      <c r="V167" s="239"/>
      <c r="W167" s="239"/>
      <c r="X167" s="239" t="s">
        <v>584</v>
      </c>
      <c r="Y167" s="238" t="s">
        <v>813</v>
      </c>
      <c r="Z167" s="238" t="s">
        <v>81</v>
      </c>
      <c r="AA167" s="274">
        <v>6.85614</v>
      </c>
      <c r="AB167" s="270">
        <v>5183.24</v>
      </c>
      <c r="AC167" s="271"/>
      <c r="AD167" s="230" t="s">
        <v>55</v>
      </c>
      <c r="AE167" s="238" t="s">
        <v>56</v>
      </c>
      <c r="AF167" s="246"/>
      <c r="AG167" s="246"/>
      <c r="AH167" s="236"/>
      <c r="AI167" s="236"/>
      <c r="AJ167" s="246"/>
      <c r="AK167" s="246"/>
      <c r="AL167" s="287"/>
      <c r="AM167" s="323"/>
      <c r="AN167" s="323"/>
      <c r="AO167" s="259">
        <f t="shared" si="25"/>
        <v>756</v>
      </c>
      <c r="AP167" s="260">
        <f t="shared" si="27"/>
        <v>756</v>
      </c>
      <c r="AQ167" s="314"/>
      <c r="AR167" s="314"/>
      <c r="AS167" s="260">
        <f>AO167</f>
        <v>756</v>
      </c>
      <c r="AT167" s="317"/>
      <c r="AU167" s="317"/>
      <c r="AV167" s="182"/>
      <c r="XEF167" s="290"/>
      <c r="XEG167" s="290"/>
      <c r="XEH167" s="290"/>
      <c r="XEI167" s="290"/>
      <c r="XEJ167" s="290"/>
      <c r="XEK167" s="290"/>
      <c r="XEL167" s="290"/>
      <c r="XEM167" s="290"/>
      <c r="XEN167" s="290"/>
      <c r="XEO167" s="290"/>
      <c r="XEP167" s="290"/>
      <c r="XEQ167" s="290"/>
      <c r="XER167" s="290"/>
      <c r="XES167" s="290"/>
      <c r="XET167" s="290"/>
      <c r="XEU167" s="290"/>
      <c r="XEV167" s="290"/>
      <c r="XEW167" s="318"/>
      <c r="XEX167" s="319"/>
      <c r="XEY167" s="319"/>
      <c r="XEZ167" s="320"/>
      <c r="XFA167" s="321"/>
      <c r="XFB167" s="321"/>
      <c r="XFC167" s="320"/>
      <c r="XFD167" s="320"/>
    </row>
    <row r="168" s="179" customFormat="1" ht="39" customHeight="1" spans="1:53 16360:16384">
      <c r="A168" s="233">
        <v>46161</v>
      </c>
      <c r="B168" s="258" t="s">
        <v>238</v>
      </c>
      <c r="C168" s="258" t="s">
        <v>77</v>
      </c>
      <c r="D168" s="238" t="s">
        <v>814</v>
      </c>
      <c r="E168" s="269" t="s">
        <v>815</v>
      </c>
      <c r="F168" s="269" t="s">
        <v>816</v>
      </c>
      <c r="G168" s="238" t="s">
        <v>242</v>
      </c>
      <c r="H168" s="238" t="s">
        <v>49</v>
      </c>
      <c r="I168" s="238">
        <v>720</v>
      </c>
      <c r="J168" s="238">
        <v>0</v>
      </c>
      <c r="K168" s="238">
        <v>1</v>
      </c>
      <c r="L168" s="238">
        <f t="shared" ref="L168:L180" si="28">I168/K168</f>
        <v>720</v>
      </c>
      <c r="M168" s="239">
        <v>46239</v>
      </c>
      <c r="N168" s="239">
        <v>46235</v>
      </c>
      <c r="O168" s="239">
        <v>46240</v>
      </c>
      <c r="P168" s="267" t="s">
        <v>51</v>
      </c>
      <c r="Q168" s="324"/>
      <c r="R168" s="258"/>
      <c r="S168" s="240"/>
      <c r="T168" s="241">
        <v>46161</v>
      </c>
      <c r="U168" s="240">
        <v>46189</v>
      </c>
      <c r="V168" s="239"/>
      <c r="W168" s="239"/>
      <c r="X168" s="294" t="s">
        <v>584</v>
      </c>
      <c r="Y168" s="238" t="s">
        <v>645</v>
      </c>
      <c r="Z168" s="238" t="s">
        <v>81</v>
      </c>
      <c r="AA168" s="274">
        <v>5.82</v>
      </c>
      <c r="AB168" s="270">
        <f t="shared" ref="AB168:AB229" si="29">I168*AA168</f>
        <v>4190.4</v>
      </c>
      <c r="AC168" s="271"/>
      <c r="AD168" s="295" t="s">
        <v>247</v>
      </c>
      <c r="AE168" s="238" t="s">
        <v>56</v>
      </c>
      <c r="AF168" s="270"/>
      <c r="AG168" s="270"/>
      <c r="AH168" s="258"/>
      <c r="AI168" s="238"/>
      <c r="AJ168" s="270"/>
      <c r="AK168" s="270"/>
      <c r="AL168" s="270"/>
      <c r="AM168" s="270"/>
      <c r="AN168" s="270"/>
      <c r="AO168" s="259">
        <f t="shared" si="25"/>
        <v>720</v>
      </c>
      <c r="AP168" s="260">
        <f t="shared" si="27"/>
        <v>720</v>
      </c>
      <c r="AQ168" s="260"/>
      <c r="AR168" s="260"/>
      <c r="AS168" s="260">
        <f>AO168</f>
        <v>720</v>
      </c>
      <c r="AT168" s="260"/>
      <c r="AU168" s="272"/>
      <c r="AV168" s="326"/>
      <c r="AW168" s="180"/>
      <c r="AX168" s="180"/>
      <c r="AY168" s="180"/>
      <c r="AZ168" s="180"/>
      <c r="BA168" s="180"/>
      <c r="XEV168" s="290"/>
      <c r="XEW168" s="290"/>
      <c r="XEX168" s="290"/>
      <c r="XEY168" s="290"/>
      <c r="XEZ168" s="290"/>
      <c r="XFA168" s="290"/>
      <c r="XFB168" s="290"/>
      <c r="XFC168" s="290"/>
      <c r="XFD168" s="290"/>
    </row>
    <row r="169" s="179" customFormat="1" ht="39" customHeight="1" spans="1:53 16360:16384">
      <c r="A169" s="331">
        <v>46161</v>
      </c>
      <c r="B169" s="332" t="s">
        <v>238</v>
      </c>
      <c r="C169" s="332" t="s">
        <v>77</v>
      </c>
      <c r="D169" s="284" t="s">
        <v>814</v>
      </c>
      <c r="E169" s="333" t="s">
        <v>817</v>
      </c>
      <c r="F169" s="333" t="s">
        <v>818</v>
      </c>
      <c r="G169" s="284" t="s">
        <v>242</v>
      </c>
      <c r="H169" s="284" t="s">
        <v>49</v>
      </c>
      <c r="I169" s="284">
        <v>504</v>
      </c>
      <c r="J169" s="284">
        <v>0</v>
      </c>
      <c r="K169" s="284">
        <v>1</v>
      </c>
      <c r="L169" s="284">
        <f t="shared" si="28"/>
        <v>504</v>
      </c>
      <c r="M169" s="294">
        <v>46239</v>
      </c>
      <c r="N169" s="294">
        <v>46235</v>
      </c>
      <c r="O169" s="239">
        <v>46240</v>
      </c>
      <c r="P169" s="267" t="s">
        <v>51</v>
      </c>
      <c r="Q169" s="332"/>
      <c r="R169" s="332"/>
      <c r="S169" s="305"/>
      <c r="T169" s="305">
        <v>46161</v>
      </c>
      <c r="U169" s="305">
        <v>46189</v>
      </c>
      <c r="V169" s="294"/>
      <c r="W169" s="294"/>
      <c r="X169" s="294" t="s">
        <v>584</v>
      </c>
      <c r="Y169" s="284" t="s">
        <v>645</v>
      </c>
      <c r="Z169" s="284" t="s">
        <v>81</v>
      </c>
      <c r="AA169" s="283">
        <v>5.82</v>
      </c>
      <c r="AB169" s="284">
        <f t="shared" si="29"/>
        <v>2933.28</v>
      </c>
      <c r="AC169" s="271"/>
      <c r="AD169" s="368" t="s">
        <v>247</v>
      </c>
      <c r="AE169" s="284" t="s">
        <v>56</v>
      </c>
      <c r="AF169" s="284"/>
      <c r="AG169" s="284"/>
      <c r="AH169" s="332"/>
      <c r="AI169" s="284"/>
      <c r="AJ169" s="284"/>
      <c r="AK169" s="284"/>
      <c r="AL169" s="284"/>
      <c r="AM169" s="284"/>
      <c r="AN169" s="284"/>
      <c r="AO169" s="289">
        <f t="shared" si="25"/>
        <v>504</v>
      </c>
      <c r="AP169" s="260">
        <f t="shared" si="27"/>
        <v>504</v>
      </c>
      <c r="AQ169" s="260"/>
      <c r="AR169" s="260"/>
      <c r="AS169" s="260">
        <f>AO169</f>
        <v>504</v>
      </c>
      <c r="AT169" s="260"/>
      <c r="AU169" s="272"/>
      <c r="AV169" s="180"/>
      <c r="AW169" s="180"/>
      <c r="AX169" s="180"/>
      <c r="AY169" s="180"/>
      <c r="AZ169" s="180"/>
      <c r="BA169" s="180"/>
      <c r="XEF169" s="290"/>
      <c r="XEG169" s="290"/>
      <c r="XEH169" s="290"/>
      <c r="XEI169" s="290"/>
      <c r="XEJ169" s="290"/>
      <c r="XEK169" s="290"/>
      <c r="XEL169" s="290"/>
      <c r="XEM169" s="290"/>
      <c r="XEN169" s="290"/>
      <c r="XEO169" s="290"/>
      <c r="XEP169" s="290"/>
      <c r="XEQ169" s="290"/>
      <c r="XER169" s="290"/>
      <c r="XES169" s="290"/>
      <c r="XET169" s="290"/>
      <c r="XEU169" s="290"/>
      <c r="XEV169" s="290"/>
      <c r="XEW169" s="317"/>
      <c r="XEX169" s="317"/>
      <c r="XEY169" s="317"/>
      <c r="XEZ169" s="317"/>
      <c r="XFA169" s="317"/>
      <c r="XFB169" s="317"/>
      <c r="XFC169" s="317"/>
      <c r="XFD169" s="317"/>
    </row>
    <row r="170" s="179" customFormat="1" ht="39" customHeight="1" spans="1:53 16360:16384">
      <c r="A170" s="336">
        <v>46161</v>
      </c>
      <c r="B170" s="335" t="s">
        <v>238</v>
      </c>
      <c r="C170" s="335" t="s">
        <v>77</v>
      </c>
      <c r="D170" s="337" t="s">
        <v>814</v>
      </c>
      <c r="E170" s="338" t="s">
        <v>819</v>
      </c>
      <c r="F170" s="338" t="s">
        <v>820</v>
      </c>
      <c r="G170" s="337" t="s">
        <v>242</v>
      </c>
      <c r="H170" s="337" t="s">
        <v>49</v>
      </c>
      <c r="I170" s="337">
        <v>504</v>
      </c>
      <c r="J170" s="337">
        <v>0</v>
      </c>
      <c r="K170" s="337">
        <v>1</v>
      </c>
      <c r="L170" s="337">
        <f t="shared" si="28"/>
        <v>504</v>
      </c>
      <c r="M170" s="334">
        <v>46239</v>
      </c>
      <c r="N170" s="334">
        <v>46235</v>
      </c>
      <c r="O170" s="239">
        <v>46240</v>
      </c>
      <c r="P170" s="267" t="s">
        <v>51</v>
      </c>
      <c r="Q170" s="335"/>
      <c r="R170" s="335"/>
      <c r="S170" s="342"/>
      <c r="T170" s="343">
        <v>46161</v>
      </c>
      <c r="U170" s="369">
        <v>46189</v>
      </c>
      <c r="V170" s="334"/>
      <c r="W170" s="334"/>
      <c r="X170" s="294" t="s">
        <v>584</v>
      </c>
      <c r="Y170" s="337" t="s">
        <v>645</v>
      </c>
      <c r="Z170" s="337" t="s">
        <v>81</v>
      </c>
      <c r="AA170" s="347">
        <v>5.916</v>
      </c>
      <c r="AB170" s="348">
        <f t="shared" si="29"/>
        <v>2981.664</v>
      </c>
      <c r="AC170" s="349"/>
      <c r="AD170" s="295" t="s">
        <v>247</v>
      </c>
      <c r="AE170" s="337" t="s">
        <v>56</v>
      </c>
      <c r="AF170" s="270"/>
      <c r="AG170" s="270"/>
      <c r="AH170" s="325"/>
      <c r="AI170" s="270"/>
      <c r="AJ170" s="270"/>
      <c r="AK170" s="270"/>
      <c r="AL170" s="270"/>
      <c r="AM170" s="320"/>
      <c r="AN170" s="320"/>
      <c r="AO170" s="370">
        <f t="shared" si="25"/>
        <v>504</v>
      </c>
      <c r="AP170" s="260">
        <f t="shared" si="27"/>
        <v>504</v>
      </c>
      <c r="AQ170" s="260"/>
      <c r="AR170" s="260"/>
      <c r="AS170" s="260">
        <f>AO170</f>
        <v>504</v>
      </c>
      <c r="AT170" s="260"/>
      <c r="AU170" s="272"/>
      <c r="AV170" s="180"/>
      <c r="AW170" s="180"/>
      <c r="AX170" s="180"/>
      <c r="AY170" s="180"/>
      <c r="AZ170" s="180"/>
      <c r="BA170" s="180"/>
      <c r="XEV170" s="371"/>
      <c r="XEW170" s="371"/>
      <c r="XEX170" s="371"/>
      <c r="XEY170" s="371"/>
      <c r="XEZ170" s="371"/>
      <c r="XFA170" s="371"/>
      <c r="XFB170" s="371"/>
      <c r="XFC170" s="371"/>
      <c r="XFD170" s="371"/>
    </row>
    <row r="171" s="179" customFormat="1" ht="39" customHeight="1" spans="1:53 16360:16384">
      <c r="A171" s="331">
        <v>46178</v>
      </c>
      <c r="B171" s="332" t="s">
        <v>821</v>
      </c>
      <c r="C171" s="332" t="s">
        <v>600</v>
      </c>
      <c r="D171" s="284" t="s">
        <v>822</v>
      </c>
      <c r="E171" s="333" t="s">
        <v>823</v>
      </c>
      <c r="F171" s="333" t="s">
        <v>824</v>
      </c>
      <c r="G171" s="284" t="s">
        <v>59</v>
      </c>
      <c r="H171" s="284" t="s">
        <v>49</v>
      </c>
      <c r="I171" s="284">
        <v>3152</v>
      </c>
      <c r="J171" s="284">
        <v>0</v>
      </c>
      <c r="K171" s="284">
        <v>4</v>
      </c>
      <c r="L171" s="284">
        <f t="shared" si="28"/>
        <v>788</v>
      </c>
      <c r="M171" s="294">
        <v>46239</v>
      </c>
      <c r="N171" s="294">
        <v>46235</v>
      </c>
      <c r="O171" s="294"/>
      <c r="P171" s="267" t="s">
        <v>51</v>
      </c>
      <c r="Q171" s="332" t="s">
        <v>625</v>
      </c>
      <c r="R171" s="332"/>
      <c r="S171" s="305"/>
      <c r="T171" s="305">
        <v>46209</v>
      </c>
      <c r="U171" s="305">
        <v>46213</v>
      </c>
      <c r="V171" s="294"/>
      <c r="W171" s="294"/>
      <c r="X171" s="294"/>
      <c r="Y171" s="284" t="s">
        <v>825</v>
      </c>
      <c r="Z171" s="284" t="s">
        <v>826</v>
      </c>
      <c r="AA171" s="283">
        <v>11.7396</v>
      </c>
      <c r="AB171" s="284">
        <f t="shared" si="29"/>
        <v>37003.2192</v>
      </c>
      <c r="AC171" s="271"/>
      <c r="AD171" s="230" t="s">
        <v>604</v>
      </c>
      <c r="AE171" s="284" t="s">
        <v>56</v>
      </c>
      <c r="AF171" s="260"/>
      <c r="AG171" s="260"/>
      <c r="AH171" s="260"/>
      <c r="AI171" s="260"/>
      <c r="AJ171" s="260"/>
      <c r="AK171" s="272"/>
      <c r="AL171" s="314"/>
      <c r="AM171" s="288"/>
      <c r="AN171" s="288"/>
      <c r="AO171" s="289">
        <f t="shared" si="25"/>
        <v>3152</v>
      </c>
      <c r="AP171" s="260">
        <f t="shared" si="27"/>
        <v>3152</v>
      </c>
      <c r="AQ171" s="314"/>
      <c r="AR171" s="181"/>
      <c r="AS171" s="181"/>
      <c r="AT171" s="260">
        <f>AO171</f>
        <v>3152</v>
      </c>
      <c r="AU171" s="260"/>
      <c r="XEF171" s="317"/>
      <c r="XEG171" s="317"/>
      <c r="XEH171" s="317"/>
      <c r="XEI171" s="317"/>
      <c r="XEJ171" s="317"/>
      <c r="XEK171" s="317"/>
      <c r="XEL171" s="317"/>
      <c r="XEM171" s="317"/>
      <c r="XEN171" s="317"/>
      <c r="XEO171" s="317"/>
      <c r="XEP171" s="317"/>
      <c r="XEQ171" s="317"/>
      <c r="XER171" s="317"/>
      <c r="XES171" s="317"/>
      <c r="XET171" s="317"/>
      <c r="XEU171" s="317"/>
      <c r="XEV171" s="317"/>
      <c r="XEW171" s="317"/>
      <c r="XEX171" s="331"/>
      <c r="XEY171" s="332"/>
      <c r="XEZ171" s="332"/>
      <c r="XFA171" s="284"/>
      <c r="XFB171" s="333"/>
      <c r="XFC171" s="333"/>
      <c r="XFD171" s="284"/>
    </row>
    <row r="172" s="182" customFormat="1" ht="39" customHeight="1" spans="1:53 16360:16384">
      <c r="A172" s="233">
        <v>46190</v>
      </c>
      <c r="B172" s="258" t="s">
        <v>827</v>
      </c>
      <c r="C172" s="258" t="s">
        <v>223</v>
      </c>
      <c r="D172" s="238">
        <v>4500212800</v>
      </c>
      <c r="E172" s="269" t="s">
        <v>828</v>
      </c>
      <c r="F172" s="269" t="s">
        <v>829</v>
      </c>
      <c r="G172" s="238" t="s">
        <v>59</v>
      </c>
      <c r="H172" s="238" t="s">
        <v>49</v>
      </c>
      <c r="I172" s="238">
        <v>1140</v>
      </c>
      <c r="J172" s="238">
        <v>0</v>
      </c>
      <c r="K172" s="238">
        <v>4</v>
      </c>
      <c r="L172" s="238">
        <f t="shared" si="28"/>
        <v>285</v>
      </c>
      <c r="M172" s="239">
        <v>46239</v>
      </c>
      <c r="N172" s="239">
        <v>46235</v>
      </c>
      <c r="O172" s="239">
        <v>46240</v>
      </c>
      <c r="P172" s="267" t="s">
        <v>51</v>
      </c>
      <c r="Q172" s="258" t="s">
        <v>830</v>
      </c>
      <c r="R172" s="258"/>
      <c r="S172" s="241"/>
      <c r="T172" s="241">
        <v>46205</v>
      </c>
      <c r="U172" s="241">
        <v>46211</v>
      </c>
      <c r="V172" s="239"/>
      <c r="W172" s="239"/>
      <c r="X172" s="239" t="s">
        <v>831</v>
      </c>
      <c r="Y172" s="238" t="s">
        <v>832</v>
      </c>
      <c r="Z172" s="238" t="s">
        <v>226</v>
      </c>
      <c r="AA172" s="361">
        <v>11.6553</v>
      </c>
      <c r="AB172" s="238">
        <f t="shared" si="29"/>
        <v>13287.042</v>
      </c>
      <c r="AC172" s="362"/>
      <c r="AD172" s="237" t="s">
        <v>113</v>
      </c>
      <c r="AE172" s="238" t="s">
        <v>56</v>
      </c>
      <c r="AF172" s="246"/>
      <c r="AG172" s="246"/>
      <c r="AH172" s="315"/>
      <c r="AI172" s="235"/>
      <c r="AJ172" s="316"/>
      <c r="AK172" s="246"/>
      <c r="AL172" s="246"/>
      <c r="AM172" s="316"/>
      <c r="AN172" s="372"/>
      <c r="AO172" s="373">
        <f t="shared" si="25"/>
        <v>1140</v>
      </c>
      <c r="AP172" s="181"/>
      <c r="AQ172" s="260">
        <f>AO172</f>
        <v>1140</v>
      </c>
      <c r="AR172" s="260">
        <f>AO172</f>
        <v>1140</v>
      </c>
      <c r="AS172" s="181"/>
      <c r="AT172" s="181"/>
      <c r="AU172" s="181"/>
      <c r="AV172" s="374"/>
      <c r="XEN172" s="290"/>
      <c r="XEO172" s="318"/>
      <c r="XEP172" s="319"/>
      <c r="XEQ172" s="319"/>
      <c r="XER172" s="320"/>
      <c r="XES172" s="321"/>
      <c r="XET172" s="321"/>
      <c r="XEU172" s="320"/>
      <c r="XEV172" s="318"/>
      <c r="XEW172" s="319"/>
      <c r="XEX172" s="319"/>
      <c r="XEY172" s="320"/>
      <c r="XEZ172" s="321"/>
      <c r="XFA172" s="321"/>
      <c r="XFB172" s="320"/>
      <c r="XFC172" s="320"/>
      <c r="XFD172" s="320"/>
    </row>
    <row r="173" s="182" customFormat="1" ht="39" customHeight="1" spans="1:53 16360:16384">
      <c r="A173" s="233">
        <v>46190</v>
      </c>
      <c r="B173" s="258" t="s">
        <v>827</v>
      </c>
      <c r="C173" s="258" t="s">
        <v>223</v>
      </c>
      <c r="D173" s="238">
        <v>4500212800</v>
      </c>
      <c r="E173" s="269" t="s">
        <v>833</v>
      </c>
      <c r="F173" s="269" t="s">
        <v>834</v>
      </c>
      <c r="G173" s="238" t="s">
        <v>59</v>
      </c>
      <c r="H173" s="238" t="s">
        <v>49</v>
      </c>
      <c r="I173" s="238">
        <v>360</v>
      </c>
      <c r="J173" s="238">
        <v>0</v>
      </c>
      <c r="K173" s="238">
        <v>4</v>
      </c>
      <c r="L173" s="238">
        <f t="shared" si="28"/>
        <v>90</v>
      </c>
      <c r="M173" s="239">
        <v>46239</v>
      </c>
      <c r="N173" s="239">
        <v>46235</v>
      </c>
      <c r="O173" s="239">
        <v>46240</v>
      </c>
      <c r="P173" s="267" t="s">
        <v>566</v>
      </c>
      <c r="Q173" s="258" t="s">
        <v>830</v>
      </c>
      <c r="R173" s="258"/>
      <c r="S173" s="240"/>
      <c r="T173" s="241">
        <v>46205</v>
      </c>
      <c r="U173" s="241">
        <v>46211</v>
      </c>
      <c r="V173" s="239"/>
      <c r="W173" s="239"/>
      <c r="X173" s="239" t="s">
        <v>831</v>
      </c>
      <c r="Y173" s="238" t="s">
        <v>832</v>
      </c>
      <c r="Z173" s="238" t="s">
        <v>226</v>
      </c>
      <c r="AA173" s="274">
        <v>11.6553</v>
      </c>
      <c r="AB173" s="270">
        <f t="shared" si="29"/>
        <v>4195.908</v>
      </c>
      <c r="AC173" s="271"/>
      <c r="AD173" s="230" t="s">
        <v>113</v>
      </c>
      <c r="AE173" s="238" t="s">
        <v>56</v>
      </c>
      <c r="AF173" s="246"/>
      <c r="AG173" s="246"/>
      <c r="AH173" s="315"/>
      <c r="AI173" s="235"/>
      <c r="AJ173" s="316"/>
      <c r="AK173" s="246"/>
      <c r="AL173" s="246"/>
      <c r="AM173" s="316"/>
      <c r="AN173" s="372"/>
      <c r="AO173" s="289">
        <f t="shared" si="25"/>
        <v>360</v>
      </c>
      <c r="AP173" s="181"/>
      <c r="AQ173" s="260">
        <f>AO173</f>
        <v>360</v>
      </c>
      <c r="AR173" s="260">
        <f>AO173</f>
        <v>360</v>
      </c>
      <c r="AS173" s="181"/>
      <c r="AT173" s="181"/>
      <c r="AU173" s="181"/>
      <c r="XEN173" s="290"/>
      <c r="XEO173" s="318"/>
      <c r="XEP173" s="319"/>
      <c r="XEQ173" s="319"/>
      <c r="XER173" s="320"/>
      <c r="XES173" s="321"/>
      <c r="XET173" s="321"/>
      <c r="XEU173" s="320"/>
      <c r="XEV173" s="318"/>
      <c r="XEW173" s="319"/>
      <c r="XEX173" s="319"/>
      <c r="XEY173" s="320"/>
      <c r="XEZ173" s="321"/>
      <c r="XFA173" s="321"/>
      <c r="XFB173" s="320"/>
      <c r="XFC173" s="320"/>
      <c r="XFD173" s="320"/>
    </row>
    <row r="174" s="179" customFormat="1" ht="39" customHeight="1" spans="1:53 16360:16384">
      <c r="A174" s="233">
        <v>46161</v>
      </c>
      <c r="B174" s="258" t="s">
        <v>238</v>
      </c>
      <c r="C174" s="258" t="s">
        <v>77</v>
      </c>
      <c r="D174" s="238" t="s">
        <v>835</v>
      </c>
      <c r="E174" s="269" t="s">
        <v>836</v>
      </c>
      <c r="F174" s="269" t="s">
        <v>837</v>
      </c>
      <c r="G174" s="238" t="s">
        <v>242</v>
      </c>
      <c r="H174" s="238" t="s">
        <v>49</v>
      </c>
      <c r="I174" s="238">
        <v>504</v>
      </c>
      <c r="J174" s="238">
        <v>0</v>
      </c>
      <c r="K174" s="238">
        <v>1</v>
      </c>
      <c r="L174" s="238">
        <f t="shared" si="28"/>
        <v>504</v>
      </c>
      <c r="M174" s="239">
        <v>46239</v>
      </c>
      <c r="N174" s="239">
        <v>46237</v>
      </c>
      <c r="O174" s="239">
        <v>46240</v>
      </c>
      <c r="P174" s="267" t="s">
        <v>51</v>
      </c>
      <c r="Q174" s="258"/>
      <c r="R174" s="258"/>
      <c r="S174" s="240"/>
      <c r="T174" s="241">
        <v>46161</v>
      </c>
      <c r="U174" s="241">
        <v>46189</v>
      </c>
      <c r="V174" s="239"/>
      <c r="W174" s="239"/>
      <c r="X174" s="239" t="s">
        <v>584</v>
      </c>
      <c r="Y174" s="238" t="s">
        <v>645</v>
      </c>
      <c r="Z174" s="238" t="s">
        <v>81</v>
      </c>
      <c r="AA174" s="274">
        <v>7.214</v>
      </c>
      <c r="AB174" s="270">
        <f t="shared" si="29"/>
        <v>3635.856</v>
      </c>
      <c r="AC174" s="271"/>
      <c r="AD174" s="295" t="s">
        <v>247</v>
      </c>
      <c r="AE174" s="238" t="s">
        <v>56</v>
      </c>
      <c r="AF174" s="270"/>
      <c r="AG174" s="270"/>
      <c r="AH174" s="258"/>
      <c r="AI174" s="238"/>
      <c r="AJ174" s="270"/>
      <c r="AK174" s="270"/>
      <c r="AL174" s="270"/>
      <c r="AM174" s="270"/>
      <c r="AN174" s="375"/>
      <c r="AO174" s="289">
        <f t="shared" si="25"/>
        <v>504</v>
      </c>
      <c r="AP174" s="260">
        <f>AO174</f>
        <v>504</v>
      </c>
      <c r="AQ174" s="260"/>
      <c r="AR174" s="260"/>
      <c r="AS174" s="260">
        <f>AO174</f>
        <v>504</v>
      </c>
      <c r="AT174" s="260"/>
      <c r="AU174" s="272"/>
      <c r="AV174" s="180"/>
      <c r="AW174" s="180"/>
      <c r="AX174" s="180"/>
      <c r="AY174" s="180"/>
      <c r="AZ174" s="180"/>
      <c r="BA174" s="180"/>
      <c r="XEN174" s="290"/>
      <c r="XEO174" s="290"/>
      <c r="XEP174" s="290"/>
      <c r="XEQ174" s="290"/>
      <c r="XER174" s="290"/>
      <c r="XES174" s="290"/>
      <c r="XET174" s="290"/>
      <c r="XEU174" s="290"/>
      <c r="XEV174" s="290"/>
      <c r="XEW174" s="290"/>
      <c r="XEX174" s="290"/>
      <c r="XEY174" s="290"/>
      <c r="XEZ174" s="290"/>
      <c r="XFA174" s="290"/>
      <c r="XFB174" s="290"/>
      <c r="XFC174" s="290"/>
      <c r="XFD174" s="290"/>
    </row>
    <row r="175" s="179" customFormat="1" ht="39" customHeight="1" spans="1:53 16360:16384">
      <c r="A175" s="233">
        <v>46167</v>
      </c>
      <c r="B175" s="258" t="s">
        <v>838</v>
      </c>
      <c r="C175" s="258" t="s">
        <v>202</v>
      </c>
      <c r="D175" s="238" t="s">
        <v>839</v>
      </c>
      <c r="E175" s="269" t="s">
        <v>840</v>
      </c>
      <c r="F175" s="269" t="s">
        <v>841</v>
      </c>
      <c r="G175" s="238" t="s">
        <v>59</v>
      </c>
      <c r="H175" s="238" t="s">
        <v>49</v>
      </c>
      <c r="I175" s="238">
        <v>100</v>
      </c>
      <c r="J175" s="238">
        <v>0</v>
      </c>
      <c r="K175" s="238">
        <v>4</v>
      </c>
      <c r="L175" s="238">
        <f t="shared" si="28"/>
        <v>25</v>
      </c>
      <c r="M175" s="239">
        <v>46240</v>
      </c>
      <c r="N175" s="239">
        <v>46237</v>
      </c>
      <c r="O175" s="239"/>
      <c r="P175" s="267" t="s">
        <v>51</v>
      </c>
      <c r="Q175" s="258"/>
      <c r="R175" s="258"/>
      <c r="S175" s="240"/>
      <c r="T175" s="241">
        <v>46181</v>
      </c>
      <c r="U175" s="240">
        <v>46175</v>
      </c>
      <c r="V175" s="239"/>
      <c r="W175" s="239"/>
      <c r="X175" s="239"/>
      <c r="Y175" s="238" t="s">
        <v>842</v>
      </c>
      <c r="Z175" s="238" t="s">
        <v>843</v>
      </c>
      <c r="AA175" s="274">
        <v>11.9558</v>
      </c>
      <c r="AB175" s="270">
        <f t="shared" si="29"/>
        <v>1195.58</v>
      </c>
      <c r="AC175" s="271"/>
      <c r="AD175" s="230" t="s">
        <v>113</v>
      </c>
      <c r="AE175" s="238" t="s">
        <v>56</v>
      </c>
      <c r="AF175" s="270"/>
      <c r="AG175" s="270"/>
      <c r="AH175" s="258"/>
      <c r="AI175" s="238"/>
      <c r="AJ175" s="270"/>
      <c r="AK175" s="270"/>
      <c r="AL175" s="270"/>
      <c r="AM175" s="270"/>
      <c r="AN175" s="375"/>
      <c r="AO175" s="289">
        <f t="shared" si="25"/>
        <v>100</v>
      </c>
      <c r="AP175" s="260"/>
      <c r="AQ175" s="260">
        <f>AO175</f>
        <v>100</v>
      </c>
      <c r="AR175" s="260">
        <f>AO175</f>
        <v>100</v>
      </c>
      <c r="AS175" s="260"/>
      <c r="AT175" s="260"/>
      <c r="AU175" s="272"/>
      <c r="AV175" s="180"/>
      <c r="AW175" s="180"/>
      <c r="AX175" s="180"/>
      <c r="AY175" s="180"/>
      <c r="AZ175" s="180"/>
      <c r="BA175" s="180"/>
      <c r="XEX175" s="290"/>
      <c r="XEY175" s="290"/>
      <c r="XEZ175" s="290"/>
      <c r="XFA175" s="290"/>
      <c r="XFB175" s="290"/>
      <c r="XFC175" s="290"/>
      <c r="XFD175" s="290"/>
    </row>
    <row r="176" s="179" customFormat="1" ht="39" customHeight="1" spans="1:53 16360:16384">
      <c r="A176" s="233">
        <v>46167</v>
      </c>
      <c r="B176" s="258" t="s">
        <v>838</v>
      </c>
      <c r="C176" s="258" t="s">
        <v>202</v>
      </c>
      <c r="D176" s="238" t="s">
        <v>844</v>
      </c>
      <c r="E176" s="269">
        <v>40121277</v>
      </c>
      <c r="F176" s="269" t="s">
        <v>845</v>
      </c>
      <c r="G176" s="238" t="s">
        <v>59</v>
      </c>
      <c r="H176" s="238" t="s">
        <v>49</v>
      </c>
      <c r="I176" s="238">
        <v>600</v>
      </c>
      <c r="J176" s="238">
        <v>0</v>
      </c>
      <c r="K176" s="238">
        <v>4</v>
      </c>
      <c r="L176" s="238">
        <f t="shared" si="28"/>
        <v>150</v>
      </c>
      <c r="M176" s="239">
        <v>46240</v>
      </c>
      <c r="N176" s="239">
        <v>46237</v>
      </c>
      <c r="O176" s="239"/>
      <c r="P176" s="267" t="s">
        <v>51</v>
      </c>
      <c r="Q176" s="258"/>
      <c r="R176" s="258"/>
      <c r="S176" s="240"/>
      <c r="T176" s="241">
        <v>46181</v>
      </c>
      <c r="U176" s="240">
        <v>46175</v>
      </c>
      <c r="V176" s="239"/>
      <c r="W176" s="239"/>
      <c r="X176" s="239"/>
      <c r="Y176" s="238" t="s">
        <v>846</v>
      </c>
      <c r="Z176" s="238" t="s">
        <v>843</v>
      </c>
      <c r="AA176" s="274">
        <v>11.9558</v>
      </c>
      <c r="AB176" s="270">
        <f t="shared" si="29"/>
        <v>7173.48</v>
      </c>
      <c r="AC176" s="271"/>
      <c r="AD176" s="230" t="s">
        <v>113</v>
      </c>
      <c r="AE176" s="238" t="s">
        <v>56</v>
      </c>
      <c r="AF176" s="270"/>
      <c r="AG176" s="270"/>
      <c r="AH176" s="325"/>
      <c r="AI176" s="270"/>
      <c r="AJ176" s="270"/>
      <c r="AK176" s="270"/>
      <c r="AL176" s="270"/>
      <c r="AM176" s="320"/>
      <c r="AN176" s="320"/>
      <c r="AO176" s="289">
        <f t="shared" si="25"/>
        <v>600</v>
      </c>
      <c r="AP176" s="260"/>
      <c r="AQ176" s="260">
        <f>AO176</f>
        <v>600</v>
      </c>
      <c r="AR176" s="260">
        <f>AO176</f>
        <v>600</v>
      </c>
      <c r="AS176" s="260"/>
      <c r="AT176" s="260"/>
      <c r="AU176" s="272"/>
      <c r="AV176" s="180"/>
      <c r="AW176" s="180"/>
      <c r="AX176" s="180"/>
      <c r="AY176" s="180"/>
      <c r="AZ176" s="180"/>
      <c r="BA176" s="180"/>
      <c r="XEV176" s="322"/>
      <c r="XEW176" s="322"/>
      <c r="XEX176" s="322"/>
      <c r="XEY176" s="322"/>
      <c r="XEZ176" s="322"/>
      <c r="XFA176" s="322"/>
      <c r="XFB176" s="322"/>
      <c r="XFC176" s="322"/>
      <c r="XFD176" s="322"/>
    </row>
    <row r="177" s="179" customFormat="1" ht="39" customHeight="1" spans="1:53 16359:16384">
      <c r="A177" s="233">
        <v>46167</v>
      </c>
      <c r="B177" s="258" t="s">
        <v>838</v>
      </c>
      <c r="C177" s="258" t="s">
        <v>202</v>
      </c>
      <c r="D177" s="238" t="s">
        <v>844</v>
      </c>
      <c r="E177" s="269" t="s">
        <v>847</v>
      </c>
      <c r="F177" s="269" t="s">
        <v>848</v>
      </c>
      <c r="G177" s="238" t="s">
        <v>59</v>
      </c>
      <c r="H177" s="238" t="s">
        <v>49</v>
      </c>
      <c r="I177" s="238">
        <v>152</v>
      </c>
      <c r="J177" s="337">
        <v>0</v>
      </c>
      <c r="K177" s="337">
        <v>4</v>
      </c>
      <c r="L177" s="337">
        <f t="shared" si="28"/>
        <v>38</v>
      </c>
      <c r="M177" s="239">
        <v>46240</v>
      </c>
      <c r="N177" s="239">
        <v>46237</v>
      </c>
      <c r="O177" s="239"/>
      <c r="P177" s="267" t="s">
        <v>51</v>
      </c>
      <c r="Q177" s="258"/>
      <c r="R177" s="258"/>
      <c r="S177" s="240"/>
      <c r="T177" s="241">
        <v>46181</v>
      </c>
      <c r="U177" s="240">
        <v>46175</v>
      </c>
      <c r="V177" s="239"/>
      <c r="W177" s="239"/>
      <c r="X177" s="239"/>
      <c r="Y177" s="238" t="s">
        <v>846</v>
      </c>
      <c r="Z177" s="238" t="s">
        <v>843</v>
      </c>
      <c r="AA177" s="274">
        <v>11.9558</v>
      </c>
      <c r="AB177" s="270">
        <f t="shared" si="29"/>
        <v>1817.2816</v>
      </c>
      <c r="AC177" s="271"/>
      <c r="AD177" s="230" t="s">
        <v>113</v>
      </c>
      <c r="AE177" s="238" t="s">
        <v>56</v>
      </c>
      <c r="AF177" s="270"/>
      <c r="AG177" s="270"/>
      <c r="AH177" s="325"/>
      <c r="AI177" s="270"/>
      <c r="AJ177" s="270"/>
      <c r="AK177" s="270"/>
      <c r="AL177" s="270"/>
      <c r="AM177" s="320"/>
      <c r="AN177" s="320"/>
      <c r="AO177" s="289">
        <f t="shared" si="25"/>
        <v>152</v>
      </c>
      <c r="AP177" s="260"/>
      <c r="AQ177" s="260">
        <f>AO177</f>
        <v>152</v>
      </c>
      <c r="AR177" s="260">
        <f>AO177</f>
        <v>152</v>
      </c>
      <c r="AS177" s="260"/>
      <c r="AT177" s="260"/>
      <c r="AU177" s="272"/>
      <c r="AV177" s="180"/>
      <c r="AW177" s="180"/>
      <c r="AX177" s="180"/>
      <c r="AY177" s="180"/>
      <c r="AZ177" s="180"/>
      <c r="BA177" s="180"/>
      <c r="XEN177" s="290"/>
      <c r="XEO177" s="290"/>
      <c r="XEP177" s="290"/>
      <c r="XEQ177" s="290"/>
      <c r="XER177" s="290"/>
      <c r="XES177" s="290"/>
      <c r="XET177" s="290"/>
      <c r="XEU177" s="290"/>
      <c r="XEV177" s="322"/>
      <c r="XEW177" s="322"/>
      <c r="XEX177" s="322"/>
      <c r="XEY177" s="322"/>
      <c r="XEZ177" s="322"/>
      <c r="XFA177" s="322"/>
      <c r="XFB177" s="322"/>
      <c r="XFC177" s="322"/>
      <c r="XFD177" s="322"/>
    </row>
    <row r="178" s="182" customFormat="1" ht="39" customHeight="1" spans="1:53 16359:16384">
      <c r="A178" s="336">
        <v>46198</v>
      </c>
      <c r="B178" s="335" t="s">
        <v>85</v>
      </c>
      <c r="C178" s="335" t="s">
        <v>77</v>
      </c>
      <c r="D178" s="337" t="s">
        <v>849</v>
      </c>
      <c r="E178" s="338" t="s">
        <v>850</v>
      </c>
      <c r="F178" s="338" t="s">
        <v>851</v>
      </c>
      <c r="G178" s="337" t="s">
        <v>59</v>
      </c>
      <c r="H178" s="337" t="s">
        <v>49</v>
      </c>
      <c r="I178" s="376">
        <v>2080</v>
      </c>
      <c r="J178" s="284">
        <v>0</v>
      </c>
      <c r="K178" s="284">
        <v>4</v>
      </c>
      <c r="L178" s="284">
        <f t="shared" si="28"/>
        <v>520</v>
      </c>
      <c r="M178" s="346">
        <v>46240</v>
      </c>
      <c r="N178" s="334">
        <v>46237</v>
      </c>
      <c r="O178" s="334"/>
      <c r="P178" s="267" t="s">
        <v>51</v>
      </c>
      <c r="Q178" s="335"/>
      <c r="R178" s="335"/>
      <c r="S178" s="342" t="s">
        <v>61</v>
      </c>
      <c r="T178" s="343">
        <v>46209</v>
      </c>
      <c r="U178" s="342">
        <v>46219</v>
      </c>
      <c r="V178" s="334"/>
      <c r="W178" s="334"/>
      <c r="X178" s="377"/>
      <c r="Y178" s="337" t="s">
        <v>852</v>
      </c>
      <c r="Z178" s="337" t="s">
        <v>91</v>
      </c>
      <c r="AA178" s="347">
        <v>6.9329</v>
      </c>
      <c r="AB178" s="270">
        <f t="shared" si="29"/>
        <v>14420.432</v>
      </c>
      <c r="AC178" s="271"/>
      <c r="AD178" s="230" t="s">
        <v>55</v>
      </c>
      <c r="AE178" s="238" t="s">
        <v>56</v>
      </c>
      <c r="AF178" s="246"/>
      <c r="AG178" s="246"/>
      <c r="AH178" s="236"/>
      <c r="AI178" s="236"/>
      <c r="AJ178" s="246"/>
      <c r="AK178" s="246"/>
      <c r="AL178" s="287"/>
      <c r="AM178" s="323"/>
      <c r="AN178" s="323"/>
      <c r="AO178" s="364">
        <f t="shared" si="25"/>
        <v>2080</v>
      </c>
      <c r="AP178" s="260">
        <f t="shared" ref="AP178:AP183" si="30">AO178</f>
        <v>2080</v>
      </c>
      <c r="AQ178" s="314"/>
      <c r="AR178" s="314"/>
      <c r="AS178" s="260">
        <f t="shared" ref="AS178:AS184" si="31">AO178</f>
        <v>2080</v>
      </c>
      <c r="AT178" s="181"/>
      <c r="AU178" s="181"/>
      <c r="XEN178" s="365"/>
      <c r="XEO178" s="182"/>
      <c r="XEP178" s="182"/>
      <c r="XEQ178" s="182"/>
      <c r="XER178" s="182"/>
      <c r="XES178" s="182"/>
      <c r="XET178" s="182"/>
      <c r="XEU178" s="182"/>
      <c r="XEV178" s="366"/>
      <c r="XEW178" s="367"/>
      <c r="XEX178" s="319"/>
      <c r="XEY178" s="320"/>
      <c r="XEZ178" s="321"/>
      <c r="XFA178" s="321"/>
      <c r="XFB178" s="320"/>
      <c r="XFC178" s="320"/>
      <c r="XFD178" s="320"/>
    </row>
    <row r="179" s="181" customFormat="1" ht="39" customHeight="1" spans="1:53 16359:16384">
      <c r="A179" s="331">
        <v>46183</v>
      </c>
      <c r="B179" s="332" t="s">
        <v>238</v>
      </c>
      <c r="C179" s="332" t="s">
        <v>77</v>
      </c>
      <c r="D179" s="284" t="s">
        <v>853</v>
      </c>
      <c r="E179" s="333" t="s">
        <v>854</v>
      </c>
      <c r="F179" s="333" t="s">
        <v>855</v>
      </c>
      <c r="G179" s="284">
        <v>71172</v>
      </c>
      <c r="H179" s="284" t="s">
        <v>49</v>
      </c>
      <c r="I179" s="378">
        <v>1188</v>
      </c>
      <c r="J179" s="284">
        <v>0</v>
      </c>
      <c r="K179" s="284">
        <v>4</v>
      </c>
      <c r="L179" s="284">
        <f t="shared" si="28"/>
        <v>297</v>
      </c>
      <c r="M179" s="379">
        <v>46244</v>
      </c>
      <c r="N179" s="294">
        <v>46240</v>
      </c>
      <c r="O179" s="294"/>
      <c r="P179" s="267" t="s">
        <v>51</v>
      </c>
      <c r="Q179" s="294" t="s">
        <v>811</v>
      </c>
      <c r="R179" s="332"/>
      <c r="S179" s="305"/>
      <c r="T179" s="305" t="s">
        <v>812</v>
      </c>
      <c r="U179" s="305">
        <v>46205</v>
      </c>
      <c r="V179" s="294"/>
      <c r="W179" s="294"/>
      <c r="X179" s="294" t="s">
        <v>584</v>
      </c>
      <c r="Y179" s="284" t="s">
        <v>856</v>
      </c>
      <c r="Z179" s="284" t="s">
        <v>81</v>
      </c>
      <c r="AA179" s="283">
        <v>6.7959</v>
      </c>
      <c r="AB179" s="380">
        <f t="shared" si="29"/>
        <v>8073.5292</v>
      </c>
      <c r="AC179" s="349"/>
      <c r="AD179" s="381" t="s">
        <v>55</v>
      </c>
      <c r="AE179" s="235" t="s">
        <v>56</v>
      </c>
      <c r="AF179" s="382"/>
      <c r="AG179" s="382"/>
      <c r="AH179" s="383"/>
      <c r="AI179" s="383"/>
      <c r="AJ179" s="384"/>
      <c r="AK179" s="384"/>
      <c r="AL179" s="384"/>
      <c r="AM179" s="384"/>
      <c r="AN179" s="384"/>
      <c r="AO179" s="351">
        <f t="shared" si="25"/>
        <v>1188</v>
      </c>
      <c r="AP179" s="260">
        <f t="shared" si="30"/>
        <v>1188</v>
      </c>
      <c r="AQ179" s="317"/>
      <c r="AR179" s="317"/>
      <c r="AS179" s="260">
        <f t="shared" si="31"/>
        <v>1188</v>
      </c>
      <c r="AT179" s="317"/>
      <c r="AU179" s="317"/>
      <c r="AV179" s="182"/>
      <c r="XEN179" s="318"/>
      <c r="XEO179" s="319"/>
      <c r="XEP179" s="319"/>
      <c r="XEQ179" s="320"/>
      <c r="XER179" s="321"/>
      <c r="XES179" s="321"/>
      <c r="XET179" s="320"/>
      <c r="XEU179" s="320"/>
      <c r="XEV179" s="320"/>
      <c r="XEW179" s="318"/>
      <c r="XEX179" s="319"/>
      <c r="XEY179" s="319"/>
      <c r="XEZ179" s="320"/>
      <c r="XFA179" s="321"/>
      <c r="XFB179" s="321"/>
      <c r="XFC179" s="320"/>
      <c r="XFD179" s="320"/>
    </row>
    <row r="180" s="181" customFormat="1" ht="39" customHeight="1" spans="1:53 16359:16384">
      <c r="A180" s="331">
        <v>46183</v>
      </c>
      <c r="B180" s="332" t="s">
        <v>238</v>
      </c>
      <c r="C180" s="332" t="s">
        <v>77</v>
      </c>
      <c r="D180" s="284" t="s">
        <v>853</v>
      </c>
      <c r="E180" s="333" t="s">
        <v>857</v>
      </c>
      <c r="F180" s="333" t="s">
        <v>858</v>
      </c>
      <c r="G180" s="284">
        <v>71172</v>
      </c>
      <c r="H180" s="284" t="s">
        <v>49</v>
      </c>
      <c r="I180" s="378">
        <v>1500</v>
      </c>
      <c r="J180" s="284">
        <v>0</v>
      </c>
      <c r="K180" s="284">
        <v>4</v>
      </c>
      <c r="L180" s="284">
        <f t="shared" si="28"/>
        <v>375</v>
      </c>
      <c r="M180" s="379">
        <v>46244</v>
      </c>
      <c r="N180" s="294">
        <v>46240</v>
      </c>
      <c r="O180" s="294"/>
      <c r="P180" s="267" t="s">
        <v>51</v>
      </c>
      <c r="Q180" s="294" t="s">
        <v>811</v>
      </c>
      <c r="R180" s="332"/>
      <c r="S180" s="305"/>
      <c r="T180" s="305" t="s">
        <v>812</v>
      </c>
      <c r="U180" s="305">
        <v>46205</v>
      </c>
      <c r="V180" s="294"/>
      <c r="W180" s="294"/>
      <c r="X180" s="294" t="s">
        <v>584</v>
      </c>
      <c r="Y180" s="284" t="s">
        <v>856</v>
      </c>
      <c r="Z180" s="284" t="s">
        <v>81</v>
      </c>
      <c r="AA180" s="283">
        <v>6.7959</v>
      </c>
      <c r="AB180" s="385">
        <f t="shared" si="29"/>
        <v>10193.85</v>
      </c>
      <c r="AC180" s="271"/>
      <c r="AD180" s="230" t="s">
        <v>55</v>
      </c>
      <c r="AE180" s="235" t="s">
        <v>56</v>
      </c>
      <c r="AF180" s="323"/>
      <c r="AG180" s="323"/>
      <c r="AH180" s="315"/>
      <c r="AI180" s="315"/>
      <c r="AJ180" s="316"/>
      <c r="AK180" s="316"/>
      <c r="AL180" s="316"/>
      <c r="AM180" s="316"/>
      <c r="AN180" s="316"/>
      <c r="AO180" s="259">
        <f t="shared" si="25"/>
        <v>1500</v>
      </c>
      <c r="AP180" s="260">
        <f t="shared" si="30"/>
        <v>1500</v>
      </c>
      <c r="AQ180" s="317"/>
      <c r="AR180" s="317"/>
      <c r="AS180" s="260">
        <f t="shared" si="31"/>
        <v>1500</v>
      </c>
      <c r="AT180" s="317"/>
      <c r="AU180" s="317"/>
      <c r="AV180" s="182"/>
      <c r="XEN180" s="318"/>
      <c r="XEO180" s="319"/>
      <c r="XEP180" s="319"/>
      <c r="XEQ180" s="320"/>
      <c r="XER180" s="321"/>
      <c r="XES180" s="321"/>
      <c r="XET180" s="320"/>
      <c r="XEU180" s="320"/>
      <c r="XEV180" s="320"/>
      <c r="XEW180" s="318"/>
      <c r="XEX180" s="319"/>
      <c r="XEY180" s="319"/>
      <c r="XEZ180" s="320"/>
      <c r="XFA180" s="321"/>
      <c r="XFB180" s="321"/>
      <c r="XFC180" s="320"/>
      <c r="XFD180" s="320"/>
    </row>
    <row r="181" s="179" customFormat="1" ht="39" customHeight="1" spans="1:53 16359:16384">
      <c r="A181" s="233">
        <v>46161</v>
      </c>
      <c r="B181" s="258" t="s">
        <v>238</v>
      </c>
      <c r="C181" s="258" t="s">
        <v>77</v>
      </c>
      <c r="D181" s="238" t="s">
        <v>835</v>
      </c>
      <c r="E181" s="269" t="s">
        <v>859</v>
      </c>
      <c r="F181" s="269" t="s">
        <v>860</v>
      </c>
      <c r="G181" s="238" t="s">
        <v>242</v>
      </c>
      <c r="H181" s="238" t="s">
        <v>49</v>
      </c>
      <c r="I181" s="238">
        <v>720</v>
      </c>
      <c r="J181" s="238">
        <v>0</v>
      </c>
      <c r="K181" s="238">
        <v>1</v>
      </c>
      <c r="L181" s="238">
        <f t="shared" ref="L181:L244" si="32">I181/K181</f>
        <v>720</v>
      </c>
      <c r="M181" s="239">
        <v>46245</v>
      </c>
      <c r="N181" s="239">
        <v>46241</v>
      </c>
      <c r="O181" s="239" t="s">
        <v>861</v>
      </c>
      <c r="P181" s="267" t="s">
        <v>51</v>
      </c>
      <c r="Q181" s="258"/>
      <c r="R181" s="258"/>
      <c r="S181" s="241"/>
      <c r="T181" s="241">
        <v>46161</v>
      </c>
      <c r="U181" s="241">
        <v>46189</v>
      </c>
      <c r="V181" s="239"/>
      <c r="W181" s="239"/>
      <c r="X181" s="239" t="s">
        <v>584</v>
      </c>
      <c r="Y181" s="238" t="s">
        <v>645</v>
      </c>
      <c r="Z181" s="238" t="s">
        <v>81</v>
      </c>
      <c r="AA181" s="361">
        <v>7.2743</v>
      </c>
      <c r="AB181" s="270">
        <f t="shared" si="29"/>
        <v>5237.496</v>
      </c>
      <c r="AC181" s="271"/>
      <c r="AD181" s="295" t="s">
        <v>247</v>
      </c>
      <c r="AE181" s="238" t="s">
        <v>56</v>
      </c>
      <c r="AF181" s="270"/>
      <c r="AG181" s="270"/>
      <c r="AH181" s="258"/>
      <c r="AI181" s="238"/>
      <c r="AJ181" s="270"/>
      <c r="AK181" s="270"/>
      <c r="AL181" s="270"/>
      <c r="AM181" s="270"/>
      <c r="AN181" s="270"/>
      <c r="AO181" s="259">
        <f t="shared" si="25"/>
        <v>720</v>
      </c>
      <c r="AP181" s="260">
        <f t="shared" si="30"/>
        <v>720</v>
      </c>
      <c r="AQ181" s="260"/>
      <c r="AR181" s="260"/>
      <c r="AS181" s="260">
        <f t="shared" si="31"/>
        <v>720</v>
      </c>
      <c r="AT181" s="260"/>
      <c r="AU181" s="272"/>
      <c r="AV181" s="288"/>
      <c r="AW181" s="180"/>
      <c r="AX181" s="180"/>
      <c r="AY181" s="180"/>
      <c r="AZ181" s="180"/>
      <c r="BA181" s="180"/>
      <c r="XEX181" s="290"/>
      <c r="XEY181" s="290"/>
      <c r="XEZ181" s="290"/>
      <c r="XFA181" s="290"/>
      <c r="XFB181" s="290"/>
      <c r="XFC181" s="290"/>
      <c r="XFD181" s="290"/>
    </row>
    <row r="182" s="179" customFormat="1" ht="39" customHeight="1" spans="1:53 16359:16384">
      <c r="A182" s="331">
        <v>46161</v>
      </c>
      <c r="B182" s="332" t="s">
        <v>238</v>
      </c>
      <c r="C182" s="332" t="s">
        <v>77</v>
      </c>
      <c r="D182" s="284" t="s">
        <v>835</v>
      </c>
      <c r="E182" s="333" t="s">
        <v>862</v>
      </c>
      <c r="F182" s="333" t="s">
        <v>863</v>
      </c>
      <c r="G182" s="284" t="s">
        <v>242</v>
      </c>
      <c r="H182" s="284" t="s">
        <v>49</v>
      </c>
      <c r="I182" s="284">
        <v>648</v>
      </c>
      <c r="J182" s="284">
        <v>0</v>
      </c>
      <c r="K182" s="284">
        <v>1</v>
      </c>
      <c r="L182" s="284">
        <f t="shared" si="32"/>
        <v>648</v>
      </c>
      <c r="M182" s="294">
        <v>46245</v>
      </c>
      <c r="N182" s="294">
        <v>46241</v>
      </c>
      <c r="O182" s="239" t="s">
        <v>861</v>
      </c>
      <c r="P182" s="267" t="s">
        <v>51</v>
      </c>
      <c r="Q182" s="332"/>
      <c r="R182" s="332"/>
      <c r="S182" s="305"/>
      <c r="T182" s="305">
        <v>46161</v>
      </c>
      <c r="U182" s="305">
        <v>46189</v>
      </c>
      <c r="V182" s="294"/>
      <c r="W182" s="294"/>
      <c r="X182" s="294" t="s">
        <v>584</v>
      </c>
      <c r="Y182" s="284" t="s">
        <v>645</v>
      </c>
      <c r="Z182" s="284" t="s">
        <v>81</v>
      </c>
      <c r="AA182" s="283">
        <v>7.214</v>
      </c>
      <c r="AB182" s="270">
        <f t="shared" si="29"/>
        <v>4674.672</v>
      </c>
      <c r="AC182" s="271"/>
      <c r="AD182" s="368" t="s">
        <v>247</v>
      </c>
      <c r="AE182" s="284" t="s">
        <v>56</v>
      </c>
      <c r="AF182" s="284"/>
      <c r="AG182" s="284"/>
      <c r="AH182" s="332"/>
      <c r="AI182" s="284"/>
      <c r="AJ182" s="284"/>
      <c r="AK182" s="284"/>
      <c r="AL182" s="284"/>
      <c r="AM182" s="284"/>
      <c r="AN182" s="284"/>
      <c r="AO182" s="289">
        <f t="shared" si="25"/>
        <v>648</v>
      </c>
      <c r="AP182" s="260">
        <f t="shared" si="30"/>
        <v>648</v>
      </c>
      <c r="AQ182" s="260"/>
      <c r="AR182" s="260"/>
      <c r="AS182" s="260">
        <f t="shared" si="31"/>
        <v>648</v>
      </c>
      <c r="AT182" s="260"/>
      <c r="AU182" s="272"/>
      <c r="AV182" s="180"/>
      <c r="AW182" s="180"/>
      <c r="AX182" s="180"/>
      <c r="AY182" s="180"/>
      <c r="AZ182" s="180"/>
      <c r="BA182" s="180"/>
      <c r="XEN182" s="317"/>
      <c r="XEO182" s="317"/>
      <c r="XEP182" s="317"/>
      <c r="XEQ182" s="317"/>
      <c r="XER182" s="317"/>
      <c r="XES182" s="317"/>
      <c r="XET182" s="317"/>
      <c r="XEU182" s="317"/>
      <c r="XEV182" s="317"/>
      <c r="XEW182" s="317"/>
      <c r="XEX182" s="317"/>
      <c r="XEY182" s="317"/>
      <c r="XEZ182" s="317"/>
      <c r="XFA182" s="317"/>
      <c r="XFB182" s="317"/>
      <c r="XFC182" s="317"/>
      <c r="XFD182" s="317"/>
    </row>
    <row r="183" s="179" customFormat="1" ht="39" customHeight="1" spans="1:53 16359:16384">
      <c r="A183" s="331">
        <v>46161</v>
      </c>
      <c r="B183" s="332" t="s">
        <v>238</v>
      </c>
      <c r="C183" s="332" t="s">
        <v>77</v>
      </c>
      <c r="D183" s="284" t="s">
        <v>835</v>
      </c>
      <c r="E183" s="333" t="s">
        <v>864</v>
      </c>
      <c r="F183" s="333" t="s">
        <v>865</v>
      </c>
      <c r="G183" s="284" t="s">
        <v>242</v>
      </c>
      <c r="H183" s="284" t="s">
        <v>49</v>
      </c>
      <c r="I183" s="284">
        <v>792</v>
      </c>
      <c r="J183" s="284">
        <v>0</v>
      </c>
      <c r="K183" s="284">
        <v>1</v>
      </c>
      <c r="L183" s="284">
        <f t="shared" si="32"/>
        <v>792</v>
      </c>
      <c r="M183" s="294">
        <v>46245</v>
      </c>
      <c r="N183" s="294">
        <v>46241</v>
      </c>
      <c r="O183" s="239" t="s">
        <v>861</v>
      </c>
      <c r="P183" s="267" t="s">
        <v>51</v>
      </c>
      <c r="Q183" s="332"/>
      <c r="R183" s="332"/>
      <c r="S183" s="305"/>
      <c r="T183" s="305">
        <v>46161</v>
      </c>
      <c r="U183" s="305">
        <v>46189</v>
      </c>
      <c r="V183" s="294"/>
      <c r="W183" s="294"/>
      <c r="X183" s="294" t="s">
        <v>584</v>
      </c>
      <c r="Y183" s="284" t="s">
        <v>645</v>
      </c>
      <c r="Z183" s="284" t="s">
        <v>81</v>
      </c>
      <c r="AA183" s="283">
        <v>7.214</v>
      </c>
      <c r="AB183" s="270">
        <f t="shared" si="29"/>
        <v>5713.488</v>
      </c>
      <c r="AC183" s="271"/>
      <c r="AD183" s="368" t="s">
        <v>247</v>
      </c>
      <c r="AE183" s="238" t="s">
        <v>56</v>
      </c>
      <c r="AF183" s="284"/>
      <c r="AG183" s="284"/>
      <c r="AH183" s="332"/>
      <c r="AI183" s="284"/>
      <c r="AJ183" s="284"/>
      <c r="AK183" s="284"/>
      <c r="AL183" s="284"/>
      <c r="AM183" s="284"/>
      <c r="AN183" s="284"/>
      <c r="AO183" s="289">
        <f t="shared" si="25"/>
        <v>792</v>
      </c>
      <c r="AP183" s="260">
        <f t="shared" si="30"/>
        <v>792</v>
      </c>
      <c r="AQ183" s="260"/>
      <c r="AR183" s="260"/>
      <c r="AS183" s="260">
        <f t="shared" si="31"/>
        <v>792</v>
      </c>
      <c r="AT183" s="260"/>
      <c r="AU183" s="272"/>
      <c r="AV183" s="180"/>
      <c r="AW183" s="180"/>
      <c r="AX183" s="180"/>
      <c r="AY183" s="180"/>
      <c r="AZ183" s="180"/>
      <c r="BA183" s="180"/>
      <c r="XEN183" s="317"/>
      <c r="XEO183" s="317"/>
      <c r="XEP183" s="317"/>
      <c r="XEQ183" s="317"/>
      <c r="XER183" s="317"/>
      <c r="XES183" s="317"/>
      <c r="XET183" s="317"/>
      <c r="XEU183" s="317"/>
      <c r="XEV183" s="317"/>
      <c r="XEW183" s="317"/>
      <c r="XEX183" s="317"/>
      <c r="XEY183" s="317"/>
      <c r="XEZ183" s="317"/>
      <c r="XFA183" s="317"/>
      <c r="XFB183" s="317"/>
      <c r="XFC183" s="317"/>
      <c r="XFD183" s="317"/>
    </row>
    <row r="184" s="182" customFormat="1" ht="39" customHeight="1" spans="1:53 16359:16384">
      <c r="A184" s="331">
        <v>46196</v>
      </c>
      <c r="B184" s="332" t="s">
        <v>866</v>
      </c>
      <c r="C184" s="332" t="s">
        <v>664</v>
      </c>
      <c r="D184" s="284">
        <v>4500213351</v>
      </c>
      <c r="E184" s="333" t="s">
        <v>867</v>
      </c>
      <c r="F184" s="333" t="s">
        <v>868</v>
      </c>
      <c r="G184" s="284" t="s">
        <v>59</v>
      </c>
      <c r="H184" s="284" t="s">
        <v>49</v>
      </c>
      <c r="I184" s="284">
        <v>372</v>
      </c>
      <c r="J184" s="284">
        <v>0</v>
      </c>
      <c r="K184" s="284">
        <v>4</v>
      </c>
      <c r="L184" s="284">
        <f t="shared" si="32"/>
        <v>93</v>
      </c>
      <c r="M184" s="294">
        <v>46245</v>
      </c>
      <c r="N184" s="294">
        <v>46241</v>
      </c>
      <c r="O184" s="294"/>
      <c r="P184" s="267" t="s">
        <v>51</v>
      </c>
      <c r="Q184" s="332" t="s">
        <v>869</v>
      </c>
      <c r="R184" s="332"/>
      <c r="S184" s="305"/>
      <c r="T184" s="305">
        <v>46213</v>
      </c>
      <c r="U184" s="305">
        <v>46218</v>
      </c>
      <c r="V184" s="294"/>
      <c r="W184" s="294"/>
      <c r="X184" s="294" t="s">
        <v>870</v>
      </c>
      <c r="Y184" s="284" t="s">
        <v>871</v>
      </c>
      <c r="Z184" s="284" t="s">
        <v>621</v>
      </c>
      <c r="AA184" s="283">
        <v>11.6553</v>
      </c>
      <c r="AB184" s="270">
        <f t="shared" si="29"/>
        <v>4335.7716</v>
      </c>
      <c r="AC184" s="271"/>
      <c r="AD184" s="285" t="s">
        <v>113</v>
      </c>
      <c r="AE184" s="238" t="s">
        <v>56</v>
      </c>
      <c r="AF184" s="260"/>
      <c r="AG184" s="260"/>
      <c r="AH184" s="260"/>
      <c r="AI184" s="260"/>
      <c r="AJ184" s="260"/>
      <c r="AK184" s="260"/>
      <c r="AL184" s="272"/>
      <c r="AM184" s="314"/>
      <c r="AN184" s="314"/>
      <c r="AO184" s="289">
        <f t="shared" si="25"/>
        <v>372</v>
      </c>
      <c r="AP184" s="314"/>
      <c r="AQ184" s="260">
        <f>AO184</f>
        <v>372</v>
      </c>
      <c r="AR184" s="314"/>
      <c r="AS184" s="260">
        <f t="shared" si="31"/>
        <v>372</v>
      </c>
      <c r="AT184" s="181"/>
      <c r="AU184" s="260">
        <f>AO184</f>
        <v>372</v>
      </c>
      <c r="AV184" s="374"/>
      <c r="XEN184" s="386"/>
      <c r="XEO184" s="181"/>
      <c r="XEP184" s="181"/>
      <c r="XEQ184" s="181"/>
      <c r="XER184" s="181"/>
      <c r="XES184" s="181"/>
      <c r="XET184" s="181"/>
      <c r="XEU184" s="181"/>
      <c r="XEV184" s="294"/>
      <c r="XEW184" s="387"/>
      <c r="XEX184" s="332"/>
      <c r="XEY184" s="284"/>
      <c r="XEZ184" s="333"/>
      <c r="XFA184" s="333"/>
      <c r="XFB184" s="284"/>
      <c r="XFC184" s="284"/>
      <c r="XFD184" s="284"/>
    </row>
    <row r="185" s="183" customFormat="1" ht="39" customHeight="1" spans="1:53 16359:16384">
      <c r="A185" s="388">
        <v>46205</v>
      </c>
      <c r="B185" s="389" t="s">
        <v>85</v>
      </c>
      <c r="C185" s="390" t="s">
        <v>77</v>
      </c>
      <c r="D185" s="391" t="s">
        <v>872</v>
      </c>
      <c r="E185" s="392" t="s">
        <v>873</v>
      </c>
      <c r="F185" s="392" t="s">
        <v>874</v>
      </c>
      <c r="G185" s="391" t="s">
        <v>59</v>
      </c>
      <c r="H185" s="391" t="s">
        <v>49</v>
      </c>
      <c r="I185" s="391">
        <v>2920</v>
      </c>
      <c r="J185" s="391">
        <v>0</v>
      </c>
      <c r="K185" s="391">
        <v>4</v>
      </c>
      <c r="L185" s="391">
        <f t="shared" si="32"/>
        <v>730</v>
      </c>
      <c r="M185" s="393">
        <v>46247</v>
      </c>
      <c r="N185" s="393">
        <v>46244</v>
      </c>
      <c r="O185" s="393"/>
      <c r="P185" s="394"/>
      <c r="Q185" s="390"/>
      <c r="R185" s="390"/>
      <c r="S185" s="395" t="s">
        <v>61</v>
      </c>
      <c r="T185" s="395">
        <v>46216</v>
      </c>
      <c r="U185" s="395">
        <v>46224</v>
      </c>
      <c r="V185" s="393"/>
      <c r="W185" s="393"/>
      <c r="X185" s="396"/>
      <c r="Y185" s="391" t="s">
        <v>875</v>
      </c>
      <c r="Z185" s="391" t="s">
        <v>91</v>
      </c>
      <c r="AA185" s="397">
        <v>6.9329</v>
      </c>
      <c r="AB185" s="398">
        <f t="shared" si="29"/>
        <v>20244.068</v>
      </c>
      <c r="AC185" s="399"/>
      <c r="AD185" s="400" t="s">
        <v>55</v>
      </c>
      <c r="AE185" s="391" t="s">
        <v>56</v>
      </c>
      <c r="AF185" s="401"/>
      <c r="AG185" s="401"/>
      <c r="AH185" s="401"/>
      <c r="AI185" s="402"/>
      <c r="AJ185" s="401"/>
      <c r="AK185" s="401"/>
      <c r="AL185" s="403"/>
      <c r="AM185" s="404"/>
      <c r="AN185" s="404"/>
      <c r="AO185" s="405">
        <f t="shared" si="25"/>
        <v>2920</v>
      </c>
      <c r="AP185" s="406">
        <f t="shared" ref="AP185:AP190" si="33">AO185</f>
        <v>2920</v>
      </c>
      <c r="AQ185" s="406"/>
      <c r="AR185" s="406">
        <f>AO185</f>
        <v>2920</v>
      </c>
      <c r="AS185" s="406"/>
      <c r="AT185" s="185"/>
      <c r="AU185" s="406"/>
      <c r="AV185" s="407"/>
      <c r="XEN185" s="408"/>
      <c r="XEO185" s="183"/>
      <c r="XEP185" s="183"/>
      <c r="XEQ185" s="183"/>
      <c r="XER185" s="183"/>
      <c r="XES185" s="183"/>
      <c r="XET185" s="183"/>
      <c r="XEU185" s="183"/>
      <c r="XEV185" s="409"/>
      <c r="XEW185" s="410"/>
      <c r="XEX185" s="390"/>
      <c r="XEY185" s="391"/>
      <c r="XEZ185" s="392"/>
      <c r="XFA185" s="392"/>
      <c r="XFB185" s="391"/>
      <c r="XFC185" s="391"/>
      <c r="XFD185" s="391"/>
    </row>
    <row r="186" s="181" customFormat="1" ht="39" customHeight="1" spans="1:53 16359:16384">
      <c r="A186" s="233">
        <v>46183</v>
      </c>
      <c r="B186" s="258" t="s">
        <v>238</v>
      </c>
      <c r="C186" s="258" t="s">
        <v>77</v>
      </c>
      <c r="D186" s="238" t="s">
        <v>876</v>
      </c>
      <c r="E186" s="269" t="s">
        <v>877</v>
      </c>
      <c r="F186" s="269" t="s">
        <v>878</v>
      </c>
      <c r="G186" s="238">
        <v>71172</v>
      </c>
      <c r="H186" s="238" t="s">
        <v>49</v>
      </c>
      <c r="I186" s="238">
        <v>1404</v>
      </c>
      <c r="J186" s="238">
        <v>0</v>
      </c>
      <c r="K186" s="238">
        <v>4</v>
      </c>
      <c r="L186" s="238">
        <f t="shared" si="32"/>
        <v>351</v>
      </c>
      <c r="M186" s="239">
        <v>46248</v>
      </c>
      <c r="N186" s="239">
        <v>46244</v>
      </c>
      <c r="O186" s="239"/>
      <c r="P186" s="267" t="s">
        <v>51</v>
      </c>
      <c r="Q186" s="239" t="s">
        <v>811</v>
      </c>
      <c r="R186" s="258"/>
      <c r="S186" s="240"/>
      <c r="T186" s="240" t="s">
        <v>812</v>
      </c>
      <c r="U186" s="241">
        <v>46205</v>
      </c>
      <c r="V186" s="239"/>
      <c r="W186" s="239"/>
      <c r="X186" s="294" t="s">
        <v>584</v>
      </c>
      <c r="Y186" s="238" t="s">
        <v>879</v>
      </c>
      <c r="Z186" s="238" t="s">
        <v>81</v>
      </c>
      <c r="AA186" s="274">
        <v>6.72642</v>
      </c>
      <c r="AB186" s="270">
        <f t="shared" si="29"/>
        <v>9443.89368</v>
      </c>
      <c r="AC186" s="271"/>
      <c r="AD186" s="285" t="s">
        <v>55</v>
      </c>
      <c r="AE186" s="316" t="s">
        <v>56</v>
      </c>
      <c r="AF186" s="323"/>
      <c r="AG186" s="323"/>
      <c r="AH186" s="315"/>
      <c r="AI186" s="315"/>
      <c r="AJ186" s="316"/>
      <c r="AK186" s="316"/>
      <c r="AL186" s="316"/>
      <c r="AM186" s="316"/>
      <c r="AN186" s="316"/>
      <c r="AO186" s="259">
        <f t="shared" si="25"/>
        <v>1404</v>
      </c>
      <c r="AP186" s="260">
        <f t="shared" si="33"/>
        <v>1404</v>
      </c>
      <c r="AQ186" s="317"/>
      <c r="AR186" s="317"/>
      <c r="AS186" s="260">
        <f>AO186</f>
        <v>1404</v>
      </c>
      <c r="AT186" s="317"/>
      <c r="AU186" s="317"/>
      <c r="AV186" s="182"/>
      <c r="XEE186" s="290"/>
      <c r="XEF186" s="290"/>
      <c r="XEG186" s="290"/>
      <c r="XEH186" s="290"/>
      <c r="XEI186" s="290"/>
      <c r="XEJ186" s="290"/>
      <c r="XEK186" s="290"/>
      <c r="XEL186" s="290"/>
      <c r="XEM186" s="290"/>
      <c r="XEN186" s="318"/>
      <c r="XEO186" s="319"/>
      <c r="XEP186" s="319"/>
      <c r="XEQ186" s="320"/>
      <c r="XER186" s="321"/>
      <c r="XES186" s="321"/>
      <c r="XET186" s="320"/>
      <c r="XEU186" s="320"/>
      <c r="XEV186" s="320"/>
      <c r="XEW186" s="318"/>
      <c r="XEX186" s="319"/>
      <c r="XEY186" s="319"/>
      <c r="XEZ186" s="320"/>
      <c r="XFA186" s="321"/>
      <c r="XFB186" s="321"/>
      <c r="XFC186" s="320"/>
      <c r="XFD186" s="320"/>
    </row>
    <row r="187" s="184" customFormat="1" ht="39" customHeight="1" spans="1:53 16359:16384">
      <c r="A187" s="411">
        <v>46184</v>
      </c>
      <c r="B187" s="390" t="s">
        <v>358</v>
      </c>
      <c r="C187" s="390" t="s">
        <v>880</v>
      </c>
      <c r="D187" s="391">
        <v>4500211330</v>
      </c>
      <c r="E187" s="392"/>
      <c r="F187" s="392" t="s">
        <v>881</v>
      </c>
      <c r="G187" s="391" t="s">
        <v>59</v>
      </c>
      <c r="H187" s="391" t="s">
        <v>49</v>
      </c>
      <c r="I187" s="391">
        <v>72</v>
      </c>
      <c r="J187" s="391">
        <v>0</v>
      </c>
      <c r="K187" s="391">
        <v>4</v>
      </c>
      <c r="L187" s="391">
        <f t="shared" si="32"/>
        <v>18</v>
      </c>
      <c r="M187" s="393">
        <v>46248</v>
      </c>
      <c r="N187" s="412" t="s">
        <v>882</v>
      </c>
      <c r="O187" s="393"/>
      <c r="P187" s="394"/>
      <c r="Q187" s="390"/>
      <c r="R187" s="390"/>
      <c r="S187" s="413"/>
      <c r="T187" s="413">
        <v>46184</v>
      </c>
      <c r="U187" s="395">
        <v>46216</v>
      </c>
      <c r="V187" s="393"/>
      <c r="W187" s="393"/>
      <c r="X187" s="396" t="s">
        <v>883</v>
      </c>
      <c r="Y187" s="391" t="s">
        <v>884</v>
      </c>
      <c r="Z187" s="391" t="s">
        <v>362</v>
      </c>
      <c r="AA187" s="414">
        <v>11.9558</v>
      </c>
      <c r="AB187" s="398">
        <f t="shared" si="29"/>
        <v>860.8176</v>
      </c>
      <c r="AC187" s="415"/>
      <c r="AD187" s="416" t="s">
        <v>55</v>
      </c>
      <c r="AE187" s="391" t="s">
        <v>56</v>
      </c>
      <c r="AF187" s="417"/>
      <c r="AG187" s="417"/>
      <c r="AH187" s="418"/>
      <c r="AI187" s="401"/>
      <c r="AJ187" s="419"/>
      <c r="AK187" s="419"/>
      <c r="AL187" s="419"/>
      <c r="AM187" s="419"/>
      <c r="AN187" s="419"/>
      <c r="AO187" s="420">
        <f t="shared" si="25"/>
        <v>72</v>
      </c>
      <c r="AP187" s="406">
        <f t="shared" si="33"/>
        <v>72</v>
      </c>
      <c r="AQ187" s="421"/>
      <c r="AR187" s="406">
        <f>AO187</f>
        <v>72</v>
      </c>
      <c r="AS187" s="421"/>
      <c r="AT187" s="421"/>
      <c r="AU187" s="421"/>
      <c r="AV187" s="281"/>
      <c r="XEN187" s="281"/>
      <c r="XEO187" s="422"/>
      <c r="XEP187" s="423"/>
      <c r="XEQ187" s="423"/>
      <c r="XER187" s="424"/>
      <c r="XES187" s="425"/>
      <c r="XET187" s="425"/>
      <c r="XEU187" s="424"/>
      <c r="XEV187" s="424"/>
      <c r="XEW187" s="422"/>
      <c r="XEX187" s="423"/>
      <c r="XEY187" s="423"/>
      <c r="XEZ187" s="424"/>
      <c r="XFA187" s="425"/>
      <c r="XFB187" s="425"/>
      <c r="XFC187" s="424"/>
      <c r="XFD187" s="424"/>
    </row>
    <row r="188" s="181" customFormat="1" ht="39" customHeight="1" spans="1:53 16359:16384">
      <c r="A188" s="331">
        <v>46183</v>
      </c>
      <c r="B188" s="332" t="s">
        <v>238</v>
      </c>
      <c r="C188" s="332" t="s">
        <v>77</v>
      </c>
      <c r="D188" s="284" t="s">
        <v>876</v>
      </c>
      <c r="E188" s="333" t="s">
        <v>877</v>
      </c>
      <c r="F188" s="333" t="s">
        <v>885</v>
      </c>
      <c r="G188" s="284">
        <v>71172</v>
      </c>
      <c r="H188" s="284" t="s">
        <v>49</v>
      </c>
      <c r="I188" s="284">
        <v>1156</v>
      </c>
      <c r="J188" s="284">
        <v>0</v>
      </c>
      <c r="K188" s="284">
        <v>4</v>
      </c>
      <c r="L188" s="284">
        <f t="shared" si="32"/>
        <v>289</v>
      </c>
      <c r="M188" s="294">
        <v>46248</v>
      </c>
      <c r="N188" s="294">
        <v>46244</v>
      </c>
      <c r="O188" s="294"/>
      <c r="P188" s="267" t="s">
        <v>51</v>
      </c>
      <c r="Q188" s="294" t="s">
        <v>811</v>
      </c>
      <c r="R188" s="332"/>
      <c r="S188" s="305"/>
      <c r="T188" s="305" t="s">
        <v>812</v>
      </c>
      <c r="U188" s="305">
        <v>46205</v>
      </c>
      <c r="V188" s="294"/>
      <c r="W188" s="294"/>
      <c r="X188" s="294" t="s">
        <v>584</v>
      </c>
      <c r="Y188" s="284" t="s">
        <v>879</v>
      </c>
      <c r="Z188" s="284" t="s">
        <v>81</v>
      </c>
      <c r="AA188" s="283">
        <v>6.72642</v>
      </c>
      <c r="AB188" s="284">
        <f t="shared" si="29"/>
        <v>7775.74152</v>
      </c>
      <c r="AC188" s="271"/>
      <c r="AD188" s="230" t="s">
        <v>55</v>
      </c>
      <c r="AE188" s="181" t="s">
        <v>56</v>
      </c>
      <c r="AF188" s="314"/>
      <c r="AG188" s="314"/>
      <c r="AH188" s="314"/>
      <c r="AI188" s="314"/>
      <c r="AJ188" s="181"/>
      <c r="AK188" s="181"/>
      <c r="AL188" s="181"/>
      <c r="AM188" s="181"/>
      <c r="AN188" s="181"/>
      <c r="AO188" s="289">
        <f t="shared" si="25"/>
        <v>1156</v>
      </c>
      <c r="AP188" s="260">
        <f t="shared" si="33"/>
        <v>1156</v>
      </c>
      <c r="AQ188" s="317"/>
      <c r="AR188" s="317"/>
      <c r="AS188" s="260">
        <f>AO188</f>
        <v>1156</v>
      </c>
      <c r="AT188" s="317"/>
      <c r="AU188" s="317"/>
      <c r="AV188" s="182"/>
      <c r="XEN188" s="331"/>
      <c r="XEO188" s="332"/>
      <c r="XEP188" s="332"/>
      <c r="XEQ188" s="284"/>
      <c r="XER188" s="333"/>
      <c r="XES188" s="333"/>
      <c r="XET188" s="284"/>
      <c r="XEU188" s="284"/>
      <c r="XEV188" s="284"/>
      <c r="XEW188" s="331"/>
      <c r="XEX188" s="332"/>
      <c r="XEY188" s="332"/>
      <c r="XEZ188" s="284"/>
      <c r="XFA188" s="333"/>
      <c r="XFB188" s="333"/>
      <c r="XFC188" s="284"/>
      <c r="XFD188" s="284"/>
    </row>
    <row r="189" s="181" customFormat="1" ht="39" customHeight="1" spans="1:53 16359:16384">
      <c r="A189" s="331">
        <v>46183</v>
      </c>
      <c r="B189" s="332" t="s">
        <v>238</v>
      </c>
      <c r="C189" s="332" t="s">
        <v>77</v>
      </c>
      <c r="D189" s="284" t="s">
        <v>876</v>
      </c>
      <c r="E189" s="333" t="s">
        <v>877</v>
      </c>
      <c r="F189" s="333" t="s">
        <v>886</v>
      </c>
      <c r="G189" s="284">
        <v>71172</v>
      </c>
      <c r="H189" s="284" t="s">
        <v>49</v>
      </c>
      <c r="I189" s="284">
        <v>756</v>
      </c>
      <c r="J189" s="284">
        <v>0</v>
      </c>
      <c r="K189" s="238">
        <v>4</v>
      </c>
      <c r="L189" s="238">
        <f t="shared" si="32"/>
        <v>189</v>
      </c>
      <c r="M189" s="294">
        <v>46248</v>
      </c>
      <c r="N189" s="294">
        <v>46244</v>
      </c>
      <c r="O189" s="294"/>
      <c r="P189" s="267" t="s">
        <v>51</v>
      </c>
      <c r="Q189" s="294" t="s">
        <v>811</v>
      </c>
      <c r="R189" s="332"/>
      <c r="S189" s="305"/>
      <c r="T189" s="305" t="s">
        <v>812</v>
      </c>
      <c r="U189" s="305">
        <v>46205</v>
      </c>
      <c r="V189" s="294"/>
      <c r="W189" s="294"/>
      <c r="X189" s="294" t="s">
        <v>584</v>
      </c>
      <c r="Y189" s="284" t="s">
        <v>879</v>
      </c>
      <c r="Z189" s="284" t="s">
        <v>81</v>
      </c>
      <c r="AA189" s="283">
        <v>6.72642</v>
      </c>
      <c r="AB189" s="284">
        <f t="shared" si="29"/>
        <v>5085.17352</v>
      </c>
      <c r="AC189" s="271"/>
      <c r="AD189" s="230" t="s">
        <v>55</v>
      </c>
      <c r="AE189" s="235" t="s">
        <v>56</v>
      </c>
      <c r="AF189" s="314"/>
      <c r="AG189" s="314"/>
      <c r="AH189" s="314"/>
      <c r="AI189" s="314"/>
      <c r="AJ189" s="181"/>
      <c r="AK189" s="181"/>
      <c r="AL189" s="181"/>
      <c r="AM189" s="181"/>
      <c r="AN189" s="181"/>
      <c r="AO189" s="289">
        <f t="shared" si="25"/>
        <v>756</v>
      </c>
      <c r="AP189" s="260">
        <f t="shared" si="33"/>
        <v>756</v>
      </c>
      <c r="AQ189" s="317"/>
      <c r="AR189" s="317"/>
      <c r="AS189" s="260">
        <f>AO189</f>
        <v>756</v>
      </c>
      <c r="AT189" s="317"/>
      <c r="AU189" s="317"/>
      <c r="AV189" s="182"/>
      <c r="XEN189" s="331"/>
      <c r="XEO189" s="332"/>
      <c r="XEP189" s="332"/>
      <c r="XEQ189" s="284"/>
      <c r="XER189" s="333"/>
      <c r="XES189" s="333"/>
      <c r="XET189" s="284"/>
      <c r="XEU189" s="284"/>
      <c r="XEV189" s="284"/>
      <c r="XEW189" s="331"/>
      <c r="XEX189" s="332"/>
      <c r="XEY189" s="332"/>
      <c r="XEZ189" s="284"/>
      <c r="XFA189" s="333"/>
      <c r="XFB189" s="333"/>
      <c r="XFC189" s="284"/>
      <c r="XFD189" s="284"/>
    </row>
    <row r="190" s="184" customFormat="1" ht="39" customHeight="1" spans="1:53 16359:16384">
      <c r="A190" s="426">
        <v>46184</v>
      </c>
      <c r="B190" s="427" t="s">
        <v>358</v>
      </c>
      <c r="C190" s="427" t="s">
        <v>887</v>
      </c>
      <c r="D190" s="428">
        <v>4500211382</v>
      </c>
      <c r="E190" s="429"/>
      <c r="F190" s="429" t="s">
        <v>888</v>
      </c>
      <c r="G190" s="428" t="s">
        <v>59</v>
      </c>
      <c r="H190" s="428" t="s">
        <v>49</v>
      </c>
      <c r="I190" s="428">
        <v>36</v>
      </c>
      <c r="J190" s="428">
        <v>0</v>
      </c>
      <c r="K190" s="391">
        <v>4</v>
      </c>
      <c r="L190" s="391">
        <f t="shared" si="32"/>
        <v>9</v>
      </c>
      <c r="M190" s="396">
        <v>46248</v>
      </c>
      <c r="N190" s="412" t="s">
        <v>882</v>
      </c>
      <c r="O190" s="396"/>
      <c r="P190" s="430"/>
      <c r="Q190" s="427"/>
      <c r="R190" s="427"/>
      <c r="S190" s="431"/>
      <c r="T190" s="431">
        <v>46184</v>
      </c>
      <c r="U190" s="431">
        <v>46217</v>
      </c>
      <c r="V190" s="396"/>
      <c r="W190" s="396"/>
      <c r="X190" s="396" t="s">
        <v>883</v>
      </c>
      <c r="Y190" s="428" t="s">
        <v>889</v>
      </c>
      <c r="Z190" s="428" t="s">
        <v>362</v>
      </c>
      <c r="AA190" s="432">
        <v>11.9558</v>
      </c>
      <c r="AB190" s="428">
        <f t="shared" si="29"/>
        <v>430.4088</v>
      </c>
      <c r="AC190" s="415"/>
      <c r="AD190" s="416" t="s">
        <v>55</v>
      </c>
      <c r="AE190" s="391" t="s">
        <v>56</v>
      </c>
      <c r="AF190" s="406"/>
      <c r="AG190" s="406"/>
      <c r="AH190" s="433"/>
      <c r="AI190" s="406"/>
      <c r="AJ190" s="185"/>
      <c r="AK190" s="185"/>
      <c r="AL190" s="185"/>
      <c r="AM190" s="185"/>
      <c r="AN190" s="185"/>
      <c r="AO190" s="434">
        <f t="shared" si="25"/>
        <v>36</v>
      </c>
      <c r="AP190" s="406">
        <f t="shared" si="33"/>
        <v>36</v>
      </c>
      <c r="AQ190" s="421"/>
      <c r="AR190" s="406">
        <f>AO190</f>
        <v>36</v>
      </c>
      <c r="AS190" s="421"/>
      <c r="AT190" s="421"/>
      <c r="AU190" s="421"/>
      <c r="AV190" s="281"/>
      <c r="XEE190" s="281"/>
      <c r="XEF190" s="281"/>
      <c r="XEG190" s="281"/>
      <c r="XEH190" s="281"/>
      <c r="XEI190" s="281"/>
      <c r="XEJ190" s="281"/>
      <c r="XEK190" s="281"/>
      <c r="XEL190" s="281"/>
      <c r="XEM190" s="281"/>
      <c r="XEN190" s="421"/>
      <c r="XEO190" s="426"/>
      <c r="XEP190" s="427"/>
      <c r="XEQ190" s="427"/>
      <c r="XER190" s="428"/>
      <c r="XES190" s="429"/>
      <c r="XET190" s="429"/>
      <c r="XEU190" s="428"/>
      <c r="XEV190" s="428"/>
      <c r="XEW190" s="426"/>
      <c r="XEX190" s="427"/>
      <c r="XEY190" s="427"/>
      <c r="XEZ190" s="428"/>
      <c r="XFA190" s="429"/>
      <c r="XFB190" s="429"/>
      <c r="XFC190" s="428"/>
      <c r="XFD190" s="428"/>
    </row>
    <row r="191" s="185" customFormat="1" ht="39" customHeight="1" spans="1:53 16359:16384">
      <c r="A191" s="426">
        <v>46182</v>
      </c>
      <c r="B191" s="427" t="s">
        <v>890</v>
      </c>
      <c r="C191" s="427" t="s">
        <v>223</v>
      </c>
      <c r="D191" s="428" t="s">
        <v>891</v>
      </c>
      <c r="E191" s="429" t="s">
        <v>892</v>
      </c>
      <c r="F191" s="429" t="s">
        <v>893</v>
      </c>
      <c r="G191" s="428" t="s">
        <v>59</v>
      </c>
      <c r="H191" s="428" t="s">
        <v>49</v>
      </c>
      <c r="I191" s="428">
        <v>1660</v>
      </c>
      <c r="J191" s="428">
        <v>0</v>
      </c>
      <c r="K191" s="428">
        <v>4</v>
      </c>
      <c r="L191" s="428">
        <f t="shared" si="32"/>
        <v>415</v>
      </c>
      <c r="M191" s="396">
        <v>46251</v>
      </c>
      <c r="N191" s="396">
        <v>46247</v>
      </c>
      <c r="O191" s="396"/>
      <c r="P191" s="430" t="s">
        <v>894</v>
      </c>
      <c r="Q191" s="427" t="s">
        <v>895</v>
      </c>
      <c r="R191" s="427"/>
      <c r="S191" s="431"/>
      <c r="T191" s="431">
        <v>46204</v>
      </c>
      <c r="U191" s="431" t="s">
        <v>73</v>
      </c>
      <c r="V191" s="396"/>
      <c r="W191" s="396"/>
      <c r="X191" s="396" t="s">
        <v>896</v>
      </c>
      <c r="Y191" s="428" t="s">
        <v>897</v>
      </c>
      <c r="Z191" s="428" t="s">
        <v>226</v>
      </c>
      <c r="AA191" s="432">
        <v>11.9558</v>
      </c>
      <c r="AB191" s="428">
        <f t="shared" si="29"/>
        <v>19846.628</v>
      </c>
      <c r="AC191" s="415"/>
      <c r="AD191" s="435" t="s">
        <v>113</v>
      </c>
      <c r="AE191" s="391" t="s">
        <v>56</v>
      </c>
      <c r="AF191" s="406"/>
      <c r="AG191" s="406"/>
      <c r="AH191" s="436"/>
      <c r="AI191" s="437"/>
      <c r="AJ191" s="406"/>
      <c r="AK191" s="436"/>
      <c r="AL191" s="403"/>
      <c r="AM191" s="404"/>
      <c r="AN191" s="404"/>
      <c r="AO191" s="434">
        <f t="shared" si="25"/>
        <v>1660</v>
      </c>
      <c r="AP191" s="406"/>
      <c r="AQ191" s="406">
        <f>AO191</f>
        <v>1660</v>
      </c>
      <c r="AR191" s="433"/>
      <c r="AS191" s="406">
        <f>AO191</f>
        <v>1660</v>
      </c>
      <c r="AT191" s="421"/>
      <c r="AU191" s="421"/>
      <c r="AV191" s="183"/>
      <c r="XEE191" s="438"/>
      <c r="XEF191" s="438"/>
      <c r="XEG191" s="438"/>
      <c r="XEH191" s="438"/>
      <c r="XEI191" s="438"/>
      <c r="XEJ191" s="438"/>
      <c r="XEK191" s="438"/>
      <c r="XEL191" s="438"/>
      <c r="XEM191" s="438"/>
      <c r="XEN191" s="421"/>
      <c r="XEO191" s="421"/>
      <c r="XEP191" s="421"/>
      <c r="XEQ191" s="421"/>
      <c r="XER191" s="421"/>
      <c r="XES191" s="421"/>
      <c r="XET191" s="421"/>
      <c r="XEU191" s="421"/>
      <c r="XEV191" s="421"/>
      <c r="XEW191" s="426"/>
      <c r="XEX191" s="427"/>
      <c r="XEY191" s="427"/>
      <c r="XEZ191" s="428"/>
      <c r="XFA191" s="429"/>
      <c r="XFB191" s="429"/>
      <c r="XFC191" s="428"/>
      <c r="XFD191" s="428"/>
    </row>
    <row r="192" s="185" customFormat="1" ht="39" customHeight="1" spans="1:53 16359:16384">
      <c r="A192" s="426">
        <v>46182</v>
      </c>
      <c r="B192" s="427" t="s">
        <v>143</v>
      </c>
      <c r="C192" s="427" t="s">
        <v>144</v>
      </c>
      <c r="D192" s="428" t="s">
        <v>898</v>
      </c>
      <c r="E192" s="429" t="s">
        <v>899</v>
      </c>
      <c r="F192" s="429" t="s">
        <v>900</v>
      </c>
      <c r="G192" s="428" t="s">
        <v>59</v>
      </c>
      <c r="H192" s="428" t="s">
        <v>49</v>
      </c>
      <c r="I192" s="428">
        <v>420</v>
      </c>
      <c r="J192" s="428">
        <v>0</v>
      </c>
      <c r="K192" s="428">
        <v>4</v>
      </c>
      <c r="L192" s="428">
        <f t="shared" si="32"/>
        <v>105</v>
      </c>
      <c r="M192" s="396">
        <v>46253</v>
      </c>
      <c r="N192" s="396">
        <v>46249</v>
      </c>
      <c r="O192" s="396"/>
      <c r="P192" s="430"/>
      <c r="Q192" s="427" t="s">
        <v>901</v>
      </c>
      <c r="R192" s="427"/>
      <c r="S192" s="431"/>
      <c r="T192" s="431">
        <v>46182</v>
      </c>
      <c r="U192" s="431" t="s">
        <v>73</v>
      </c>
      <c r="V192" s="396"/>
      <c r="W192" s="396"/>
      <c r="X192" s="396" t="s">
        <v>896</v>
      </c>
      <c r="Y192" s="428" t="s">
        <v>902</v>
      </c>
      <c r="Z192" s="428" t="s">
        <v>112</v>
      </c>
      <c r="AA192" s="432">
        <v>11.9558</v>
      </c>
      <c r="AB192" s="428">
        <f t="shared" si="29"/>
        <v>5021.436</v>
      </c>
      <c r="AC192" s="415"/>
      <c r="AD192" s="435" t="s">
        <v>113</v>
      </c>
      <c r="AE192" s="428" t="s">
        <v>56</v>
      </c>
      <c r="AF192" s="406"/>
      <c r="AG192" s="406"/>
      <c r="AH192" s="406"/>
      <c r="AI192" s="439"/>
      <c r="AJ192" s="406"/>
      <c r="AK192" s="406"/>
      <c r="AL192" s="440"/>
      <c r="AM192" s="433"/>
      <c r="AN192" s="433"/>
      <c r="AO192" s="434">
        <f t="shared" si="25"/>
        <v>420</v>
      </c>
      <c r="AP192" s="406"/>
      <c r="AQ192" s="406">
        <f>AO192</f>
        <v>420</v>
      </c>
      <c r="AR192" s="406">
        <f>AO192</f>
        <v>420</v>
      </c>
      <c r="AS192" s="421"/>
      <c r="AT192" s="421"/>
      <c r="AU192" s="421"/>
      <c r="AV192" s="441"/>
      <c r="XEN192" s="421"/>
      <c r="XEO192" s="421"/>
      <c r="XEP192" s="421"/>
      <c r="XEQ192" s="421"/>
      <c r="XER192" s="421"/>
      <c r="XES192" s="421"/>
      <c r="XET192" s="421"/>
      <c r="XEU192" s="421"/>
      <c r="XEV192" s="421"/>
      <c r="XEW192" s="426"/>
      <c r="XEX192" s="427"/>
      <c r="XEY192" s="427"/>
      <c r="XEZ192" s="428"/>
      <c r="XFA192" s="429"/>
      <c r="XFB192" s="429"/>
      <c r="XFC192" s="428"/>
      <c r="XFD192" s="428"/>
    </row>
    <row r="193" s="185" customFormat="1" ht="39" customHeight="1" spans="1:53 16350:16384">
      <c r="A193" s="411">
        <v>46182</v>
      </c>
      <c r="B193" s="390" t="s">
        <v>143</v>
      </c>
      <c r="C193" s="390" t="s">
        <v>144</v>
      </c>
      <c r="D193" s="391" t="s">
        <v>898</v>
      </c>
      <c r="E193" s="392" t="s">
        <v>903</v>
      </c>
      <c r="F193" s="392" t="s">
        <v>904</v>
      </c>
      <c r="G193" s="391" t="s">
        <v>59</v>
      </c>
      <c r="H193" s="391" t="s">
        <v>49</v>
      </c>
      <c r="I193" s="391">
        <v>180</v>
      </c>
      <c r="J193" s="391">
        <v>0</v>
      </c>
      <c r="K193" s="391">
        <v>4</v>
      </c>
      <c r="L193" s="391">
        <f t="shared" si="32"/>
        <v>45</v>
      </c>
      <c r="M193" s="393">
        <v>46253</v>
      </c>
      <c r="N193" s="393">
        <v>46249</v>
      </c>
      <c r="O193" s="393"/>
      <c r="P193" s="394"/>
      <c r="Q193" s="390" t="s">
        <v>901</v>
      </c>
      <c r="R193" s="390"/>
      <c r="S193" s="431"/>
      <c r="T193" s="413">
        <v>46182</v>
      </c>
      <c r="U193" s="413" t="s">
        <v>73</v>
      </c>
      <c r="V193" s="393"/>
      <c r="W193" s="393"/>
      <c r="X193" s="396" t="s">
        <v>896</v>
      </c>
      <c r="Y193" s="391" t="s">
        <v>905</v>
      </c>
      <c r="Z193" s="391" t="s">
        <v>112</v>
      </c>
      <c r="AA193" s="414">
        <v>11.9558</v>
      </c>
      <c r="AB193" s="428">
        <f t="shared" si="29"/>
        <v>2152.044</v>
      </c>
      <c r="AC193" s="415"/>
      <c r="AD193" s="435" t="s">
        <v>113</v>
      </c>
      <c r="AE193" s="391" t="s">
        <v>56</v>
      </c>
      <c r="AF193" s="417"/>
      <c r="AG193" s="417"/>
      <c r="AH193" s="417"/>
      <c r="AI193" s="442"/>
      <c r="AJ193" s="417"/>
      <c r="AK193" s="417"/>
      <c r="AL193" s="403"/>
      <c r="AM193" s="404"/>
      <c r="AN193" s="404"/>
      <c r="AO193" s="420">
        <f t="shared" si="25"/>
        <v>180</v>
      </c>
      <c r="AP193" s="406"/>
      <c r="AQ193" s="406">
        <f>AO193</f>
        <v>180</v>
      </c>
      <c r="AR193" s="406">
        <f>AO193</f>
        <v>180</v>
      </c>
      <c r="AS193" s="421"/>
      <c r="AT193" s="421"/>
      <c r="AU193" s="421"/>
      <c r="AV193" s="183"/>
      <c r="XEW193" s="422"/>
      <c r="XEX193" s="390"/>
      <c r="XEY193" s="390"/>
      <c r="XEZ193" s="391"/>
      <c r="XFA193" s="392"/>
      <c r="XFB193" s="392"/>
      <c r="XFC193" s="391"/>
      <c r="XFD193" s="391"/>
    </row>
    <row r="194" s="184" customFormat="1" ht="39" customHeight="1" spans="1:53 16350:16384">
      <c r="A194" s="426">
        <v>46161</v>
      </c>
      <c r="B194" s="427" t="s">
        <v>238</v>
      </c>
      <c r="C194" s="427" t="s">
        <v>77</v>
      </c>
      <c r="D194" s="428" t="s">
        <v>906</v>
      </c>
      <c r="E194" s="429" t="s">
        <v>907</v>
      </c>
      <c r="F194" s="429" t="s">
        <v>908</v>
      </c>
      <c r="G194" s="428" t="s">
        <v>242</v>
      </c>
      <c r="H194" s="428" t="s">
        <v>49</v>
      </c>
      <c r="I194" s="428">
        <v>936</v>
      </c>
      <c r="J194" s="428">
        <v>0</v>
      </c>
      <c r="K194" s="428">
        <v>1</v>
      </c>
      <c r="L194" s="428">
        <f t="shared" si="32"/>
        <v>936</v>
      </c>
      <c r="M194" s="396">
        <v>46253</v>
      </c>
      <c r="N194" s="393">
        <v>46249</v>
      </c>
      <c r="O194" s="396">
        <v>46254</v>
      </c>
      <c r="P194" s="430"/>
      <c r="Q194" s="390"/>
      <c r="R194" s="427"/>
      <c r="S194" s="431"/>
      <c r="T194" s="413">
        <v>46161</v>
      </c>
      <c r="U194" s="413">
        <v>46189</v>
      </c>
      <c r="V194" s="396"/>
      <c r="W194" s="396"/>
      <c r="X194" s="396" t="s">
        <v>584</v>
      </c>
      <c r="Y194" s="428" t="s">
        <v>909</v>
      </c>
      <c r="Z194" s="428" t="s">
        <v>81</v>
      </c>
      <c r="AA194" s="432">
        <v>5.82</v>
      </c>
      <c r="AB194" s="428">
        <f t="shared" si="29"/>
        <v>5447.52</v>
      </c>
      <c r="AC194" s="415"/>
      <c r="AD194" s="443" t="s">
        <v>247</v>
      </c>
      <c r="AE194" s="391" t="s">
        <v>56</v>
      </c>
      <c r="AF194" s="428"/>
      <c r="AG194" s="428"/>
      <c r="AH194" s="427"/>
      <c r="AI194" s="428"/>
      <c r="AJ194" s="428"/>
      <c r="AK194" s="428"/>
      <c r="AL194" s="428"/>
      <c r="AM194" s="428"/>
      <c r="AN194" s="428"/>
      <c r="AO194" s="434">
        <f t="shared" si="25"/>
        <v>936</v>
      </c>
      <c r="AP194" s="406">
        <f>AO194</f>
        <v>936</v>
      </c>
      <c r="AQ194" s="406"/>
      <c r="AR194" s="406"/>
      <c r="AS194" s="406">
        <f>AO194</f>
        <v>936</v>
      </c>
      <c r="AT194" s="436"/>
      <c r="AU194" s="440"/>
      <c r="AV194" s="444"/>
      <c r="AW194" s="445"/>
      <c r="AX194" s="445"/>
      <c r="AY194" s="445"/>
      <c r="AZ194" s="445"/>
      <c r="BA194" s="445"/>
      <c r="XEW194" s="421"/>
      <c r="XEX194" s="421"/>
      <c r="XEY194" s="421"/>
      <c r="XEZ194" s="421"/>
      <c r="XFA194" s="421"/>
      <c r="XFB194" s="421"/>
      <c r="XFC194" s="421"/>
      <c r="XFD194" s="421"/>
    </row>
    <row r="195" s="184" customFormat="1" ht="39" customHeight="1" spans="1:53 16350:16384">
      <c r="A195" s="411">
        <v>46161</v>
      </c>
      <c r="B195" s="390" t="s">
        <v>238</v>
      </c>
      <c r="C195" s="390" t="s">
        <v>77</v>
      </c>
      <c r="D195" s="391" t="s">
        <v>906</v>
      </c>
      <c r="E195" s="392" t="s">
        <v>910</v>
      </c>
      <c r="F195" s="392" t="s">
        <v>911</v>
      </c>
      <c r="G195" s="391" t="s">
        <v>242</v>
      </c>
      <c r="H195" s="391" t="s">
        <v>49</v>
      </c>
      <c r="I195" s="391">
        <v>504</v>
      </c>
      <c r="J195" s="391">
        <v>0</v>
      </c>
      <c r="K195" s="391">
        <v>1</v>
      </c>
      <c r="L195" s="391">
        <f t="shared" si="32"/>
        <v>504</v>
      </c>
      <c r="M195" s="393">
        <v>46253</v>
      </c>
      <c r="N195" s="393">
        <v>46249</v>
      </c>
      <c r="O195" s="396">
        <v>46254</v>
      </c>
      <c r="P195" s="394"/>
      <c r="Q195" s="390"/>
      <c r="R195" s="390"/>
      <c r="S195" s="395"/>
      <c r="T195" s="413">
        <v>46161</v>
      </c>
      <c r="U195" s="413">
        <v>46189</v>
      </c>
      <c r="V195" s="393"/>
      <c r="W195" s="393"/>
      <c r="X195" s="396" t="s">
        <v>584</v>
      </c>
      <c r="Y195" s="391" t="s">
        <v>909</v>
      </c>
      <c r="Z195" s="391" t="s">
        <v>81</v>
      </c>
      <c r="AA195" s="397">
        <v>5.82</v>
      </c>
      <c r="AB195" s="428">
        <f t="shared" si="29"/>
        <v>2933.28</v>
      </c>
      <c r="AC195" s="399"/>
      <c r="AD195" s="446" t="s">
        <v>247</v>
      </c>
      <c r="AE195" s="391" t="s">
        <v>56</v>
      </c>
      <c r="AF195" s="391"/>
      <c r="AG195" s="391"/>
      <c r="AH195" s="390"/>
      <c r="AI195" s="391"/>
      <c r="AJ195" s="391"/>
      <c r="AK195" s="391"/>
      <c r="AL195" s="391"/>
      <c r="AM195" s="391"/>
      <c r="AN195" s="391"/>
      <c r="AO195" s="405">
        <f t="shared" si="25"/>
        <v>504</v>
      </c>
      <c r="AP195" s="406">
        <f>AO195</f>
        <v>504</v>
      </c>
      <c r="AQ195" s="406"/>
      <c r="AR195" s="406"/>
      <c r="AS195" s="406">
        <f>AO195</f>
        <v>504</v>
      </c>
      <c r="AT195" s="406"/>
      <c r="AU195" s="440"/>
      <c r="AV195" s="444"/>
      <c r="AW195" s="445"/>
      <c r="AX195" s="445"/>
      <c r="AY195" s="445"/>
      <c r="AZ195" s="445"/>
      <c r="BA195" s="445"/>
      <c r="XEW195" s="281"/>
      <c r="XEX195" s="281"/>
      <c r="XEY195" s="281"/>
      <c r="XEZ195" s="281"/>
      <c r="XFA195" s="281"/>
      <c r="XFB195" s="281"/>
      <c r="XFC195" s="281"/>
      <c r="XFD195" s="281"/>
    </row>
    <row r="196" s="184" customFormat="1" ht="39" customHeight="1" spans="1:53 16350:16384">
      <c r="A196" s="411">
        <v>46161</v>
      </c>
      <c r="B196" s="390" t="s">
        <v>238</v>
      </c>
      <c r="C196" s="390" t="s">
        <v>77</v>
      </c>
      <c r="D196" s="391" t="s">
        <v>906</v>
      </c>
      <c r="E196" s="392" t="s">
        <v>912</v>
      </c>
      <c r="F196" s="392" t="s">
        <v>913</v>
      </c>
      <c r="G196" s="391" t="s">
        <v>242</v>
      </c>
      <c r="H196" s="391" t="s">
        <v>49</v>
      </c>
      <c r="I196" s="391">
        <v>504</v>
      </c>
      <c r="J196" s="391">
        <v>0</v>
      </c>
      <c r="K196" s="391">
        <v>1</v>
      </c>
      <c r="L196" s="391">
        <f t="shared" si="32"/>
        <v>504</v>
      </c>
      <c r="M196" s="393">
        <v>46253</v>
      </c>
      <c r="N196" s="393">
        <v>46249</v>
      </c>
      <c r="O196" s="393">
        <v>46254</v>
      </c>
      <c r="P196" s="394"/>
      <c r="Q196" s="427"/>
      <c r="R196" s="390"/>
      <c r="S196" s="413"/>
      <c r="T196" s="395">
        <v>46161</v>
      </c>
      <c r="U196" s="413">
        <v>46189</v>
      </c>
      <c r="V196" s="393"/>
      <c r="W196" s="393"/>
      <c r="X196" s="393" t="s">
        <v>584</v>
      </c>
      <c r="Y196" s="391" t="s">
        <v>909</v>
      </c>
      <c r="Z196" s="391" t="s">
        <v>81</v>
      </c>
      <c r="AA196" s="414">
        <v>5.916</v>
      </c>
      <c r="AB196" s="428">
        <f t="shared" si="29"/>
        <v>2981.664</v>
      </c>
      <c r="AC196" s="415"/>
      <c r="AD196" s="443" t="s">
        <v>247</v>
      </c>
      <c r="AE196" s="391" t="s">
        <v>56</v>
      </c>
      <c r="AF196" s="398"/>
      <c r="AG196" s="398"/>
      <c r="AH196" s="390"/>
      <c r="AI196" s="391"/>
      <c r="AJ196" s="398"/>
      <c r="AK196" s="398"/>
      <c r="AL196" s="398"/>
      <c r="AM196" s="398"/>
      <c r="AN196" s="398"/>
      <c r="AO196" s="420">
        <f t="shared" si="25"/>
        <v>504</v>
      </c>
      <c r="AP196" s="406">
        <f>AO196</f>
        <v>504</v>
      </c>
      <c r="AQ196" s="406"/>
      <c r="AR196" s="406"/>
      <c r="AS196" s="406">
        <f>AO196</f>
        <v>504</v>
      </c>
      <c r="AT196" s="406"/>
      <c r="AU196" s="440"/>
      <c r="AV196" s="444"/>
      <c r="AW196" s="445"/>
      <c r="AX196" s="445"/>
      <c r="AY196" s="445"/>
      <c r="AZ196" s="445"/>
      <c r="BA196" s="445"/>
      <c r="XEN196" s="281"/>
      <c r="XEO196" s="281"/>
      <c r="XEP196" s="281"/>
      <c r="XEQ196" s="281"/>
      <c r="XER196" s="281"/>
      <c r="XES196" s="281"/>
      <c r="XET196" s="281"/>
      <c r="XEU196" s="281"/>
      <c r="XEV196" s="281"/>
      <c r="XEW196" s="281"/>
      <c r="XEX196" s="281"/>
      <c r="XEY196" s="281"/>
      <c r="XEZ196" s="281"/>
      <c r="XFA196" s="281"/>
      <c r="XFB196" s="281"/>
      <c r="XFC196" s="281"/>
      <c r="XFD196" s="281"/>
    </row>
    <row r="197" s="184" customFormat="1" ht="39" customHeight="1" spans="1:53 16350:16384">
      <c r="A197" s="411">
        <v>46161</v>
      </c>
      <c r="B197" s="390" t="s">
        <v>238</v>
      </c>
      <c r="C197" s="390" t="s">
        <v>77</v>
      </c>
      <c r="D197" s="391" t="s">
        <v>914</v>
      </c>
      <c r="E197" s="392" t="s">
        <v>915</v>
      </c>
      <c r="F197" s="392" t="s">
        <v>916</v>
      </c>
      <c r="G197" s="391" t="s">
        <v>242</v>
      </c>
      <c r="H197" s="391" t="s">
        <v>49</v>
      </c>
      <c r="I197" s="391">
        <v>504</v>
      </c>
      <c r="J197" s="391">
        <v>0</v>
      </c>
      <c r="K197" s="391">
        <v>1</v>
      </c>
      <c r="L197" s="391">
        <f t="shared" si="32"/>
        <v>504</v>
      </c>
      <c r="M197" s="393">
        <v>46253</v>
      </c>
      <c r="N197" s="393">
        <v>46251</v>
      </c>
      <c r="O197" s="393">
        <v>46254</v>
      </c>
      <c r="P197" s="394"/>
      <c r="Q197" s="427"/>
      <c r="R197" s="390"/>
      <c r="S197" s="413"/>
      <c r="T197" s="395">
        <v>46161</v>
      </c>
      <c r="U197" s="413">
        <v>46189</v>
      </c>
      <c r="V197" s="393"/>
      <c r="W197" s="393"/>
      <c r="X197" s="393" t="s">
        <v>584</v>
      </c>
      <c r="Y197" s="391" t="s">
        <v>909</v>
      </c>
      <c r="Z197" s="391" t="s">
        <v>81</v>
      </c>
      <c r="AA197" s="414">
        <v>5.82</v>
      </c>
      <c r="AB197" s="428">
        <f t="shared" si="29"/>
        <v>2933.28</v>
      </c>
      <c r="AC197" s="415"/>
      <c r="AD197" s="443" t="s">
        <v>247</v>
      </c>
      <c r="AE197" s="391" t="s">
        <v>56</v>
      </c>
      <c r="AF197" s="398"/>
      <c r="AG197" s="398"/>
      <c r="AH197" s="390"/>
      <c r="AI197" s="391"/>
      <c r="AJ197" s="398"/>
      <c r="AK197" s="398"/>
      <c r="AL197" s="398"/>
      <c r="AM197" s="398"/>
      <c r="AN197" s="398"/>
      <c r="AO197" s="420">
        <f t="shared" si="25"/>
        <v>504</v>
      </c>
      <c r="AP197" s="406">
        <f>AO197</f>
        <v>504</v>
      </c>
      <c r="AQ197" s="406"/>
      <c r="AR197" s="406"/>
      <c r="AS197" s="406">
        <f>AO197</f>
        <v>504</v>
      </c>
      <c r="AT197" s="406"/>
      <c r="AU197" s="440"/>
      <c r="AV197" s="404"/>
      <c r="AW197" s="445"/>
      <c r="AX197" s="445"/>
      <c r="AY197" s="445"/>
      <c r="AZ197" s="445"/>
      <c r="BA197" s="445"/>
      <c r="XEN197" s="281"/>
      <c r="XEO197" s="281"/>
      <c r="XEP197" s="281"/>
      <c r="XEQ197" s="281"/>
      <c r="XER197" s="281"/>
      <c r="XES197" s="281"/>
      <c r="XET197" s="281"/>
      <c r="XEU197" s="281"/>
      <c r="XEV197" s="281"/>
      <c r="XEW197" s="281"/>
      <c r="XEX197" s="281"/>
      <c r="XEY197" s="281"/>
      <c r="XEZ197" s="281"/>
      <c r="XFA197" s="281"/>
      <c r="XFB197" s="281"/>
      <c r="XFC197" s="281"/>
      <c r="XFD197" s="281"/>
    </row>
    <row r="198" s="185" customFormat="1" ht="39" customHeight="1" spans="1:53 16350:16384">
      <c r="A198" s="426">
        <v>46220</v>
      </c>
      <c r="B198" s="427" t="s">
        <v>85</v>
      </c>
      <c r="C198" s="427" t="s">
        <v>77</v>
      </c>
      <c r="D198" s="428">
        <v>4500216835</v>
      </c>
      <c r="E198" s="429" t="s">
        <v>917</v>
      </c>
      <c r="F198" s="429" t="s">
        <v>918</v>
      </c>
      <c r="G198" s="428" t="s">
        <v>59</v>
      </c>
      <c r="H198" s="428" t="s">
        <v>49</v>
      </c>
      <c r="I198" s="428">
        <v>2536</v>
      </c>
      <c r="J198" s="428">
        <v>0</v>
      </c>
      <c r="K198" s="428">
        <v>4</v>
      </c>
      <c r="L198" s="428">
        <f t="shared" si="32"/>
        <v>634</v>
      </c>
      <c r="M198" s="396">
        <v>46255</v>
      </c>
      <c r="N198" s="396">
        <v>46251</v>
      </c>
      <c r="O198" s="396"/>
      <c r="P198" s="430"/>
      <c r="Q198" s="427"/>
      <c r="R198" s="427"/>
      <c r="S198" s="431" t="s">
        <v>61</v>
      </c>
      <c r="T198" s="431">
        <v>46226</v>
      </c>
      <c r="U198" s="431">
        <v>46234</v>
      </c>
      <c r="V198" s="396"/>
      <c r="W198" s="396"/>
      <c r="X198" s="393"/>
      <c r="Y198" s="428" t="s">
        <v>919</v>
      </c>
      <c r="Z198" s="428" t="s">
        <v>91</v>
      </c>
      <c r="AA198" s="432">
        <v>6.9329</v>
      </c>
      <c r="AB198" s="428">
        <f t="shared" si="29"/>
        <v>17581.8344</v>
      </c>
      <c r="AC198" s="415"/>
      <c r="AD198" s="435" t="s">
        <v>55</v>
      </c>
      <c r="AE198" s="391" t="s">
        <v>56</v>
      </c>
      <c r="AF198" s="406"/>
      <c r="AG198" s="185"/>
      <c r="AH198" s="406"/>
      <c r="AI198" s="406"/>
      <c r="AJ198" s="185"/>
      <c r="AK198" s="185"/>
      <c r="AL198" s="185"/>
      <c r="AM198" s="185"/>
      <c r="AN198" s="185"/>
      <c r="AO198" s="434">
        <f t="shared" si="25"/>
        <v>2536</v>
      </c>
      <c r="AP198" s="406">
        <f>AO198</f>
        <v>2536</v>
      </c>
      <c r="AQ198" s="447"/>
      <c r="AR198" s="447"/>
      <c r="AS198" s="406">
        <f>AO198</f>
        <v>2536</v>
      </c>
      <c r="AT198" s="447"/>
      <c r="AU198" s="447"/>
      <c r="AV198" s="448"/>
      <c r="XDV198" s="448"/>
      <c r="XDW198" s="448"/>
      <c r="XDX198" s="448"/>
      <c r="XDY198" s="448"/>
      <c r="XDZ198" s="448"/>
      <c r="XEA198" s="448"/>
      <c r="XEB198" s="448"/>
      <c r="XEC198" s="448"/>
      <c r="XED198" s="448"/>
      <c r="XEE198" s="448"/>
      <c r="XEF198" s="422"/>
      <c r="XEG198" s="423"/>
      <c r="XEH198" s="423"/>
      <c r="XEI198" s="424"/>
      <c r="XEJ198" s="425"/>
      <c r="XEK198" s="425"/>
      <c r="XEL198" s="424"/>
      <c r="XEM198" s="422"/>
      <c r="XEN198" s="423"/>
      <c r="XEO198" s="423"/>
      <c r="XEP198" s="424"/>
      <c r="XEQ198" s="425"/>
      <c r="XER198" s="425"/>
      <c r="XES198" s="424"/>
      <c r="XET198" s="424"/>
      <c r="XEU198" s="424"/>
      <c r="XEV198" s="422"/>
      <c r="XEW198" s="427"/>
      <c r="XEX198" s="427"/>
      <c r="XEY198" s="428"/>
      <c r="XEZ198" s="429"/>
      <c r="XFA198" s="429"/>
      <c r="XFB198" s="428"/>
      <c r="XFC198" s="428"/>
      <c r="XFD198" s="428"/>
    </row>
    <row r="199" s="184" customFormat="1" ht="39" customHeight="1" spans="1:53 16350:16384">
      <c r="A199" s="426">
        <v>46174</v>
      </c>
      <c r="B199" s="427" t="s">
        <v>920</v>
      </c>
      <c r="C199" s="427" t="s">
        <v>664</v>
      </c>
      <c r="D199" s="428" t="s">
        <v>921</v>
      </c>
      <c r="E199" s="429"/>
      <c r="F199" s="429" t="s">
        <v>922</v>
      </c>
      <c r="G199" s="428" t="s">
        <v>59</v>
      </c>
      <c r="H199" s="428" t="s">
        <v>49</v>
      </c>
      <c r="I199" s="428">
        <v>200</v>
      </c>
      <c r="J199" s="428">
        <v>0</v>
      </c>
      <c r="K199" s="428">
        <v>4</v>
      </c>
      <c r="L199" s="428">
        <f t="shared" si="32"/>
        <v>50</v>
      </c>
      <c r="M199" s="396">
        <v>46251</v>
      </c>
      <c r="N199" s="396">
        <v>46254</v>
      </c>
      <c r="O199" s="396"/>
      <c r="P199" s="430"/>
      <c r="Q199" s="427"/>
      <c r="R199" s="427"/>
      <c r="S199" s="431" t="s">
        <v>73</v>
      </c>
      <c r="T199" s="431">
        <v>46220</v>
      </c>
      <c r="U199" s="431">
        <v>46227</v>
      </c>
      <c r="V199" s="396"/>
      <c r="W199" s="396"/>
      <c r="X199" s="393" t="s">
        <v>923</v>
      </c>
      <c r="Y199" s="428" t="s">
        <v>924</v>
      </c>
      <c r="Z199" s="428" t="s">
        <v>756</v>
      </c>
      <c r="AA199" s="432">
        <v>11.9558</v>
      </c>
      <c r="AB199" s="428">
        <f t="shared" si="29"/>
        <v>2391.16</v>
      </c>
      <c r="AC199" s="415"/>
      <c r="AD199" s="435" t="s">
        <v>113</v>
      </c>
      <c r="AE199" s="391" t="s">
        <v>56</v>
      </c>
      <c r="AF199" s="428"/>
      <c r="AG199" s="428"/>
      <c r="AH199" s="427"/>
      <c r="AI199" s="428"/>
      <c r="AJ199" s="428"/>
      <c r="AK199" s="428"/>
      <c r="AL199" s="428"/>
      <c r="AM199" s="428"/>
      <c r="AN199" s="428"/>
      <c r="AO199" s="434">
        <f t="shared" si="25"/>
        <v>200</v>
      </c>
      <c r="AP199" s="406"/>
      <c r="AQ199" s="406">
        <f>AO199</f>
        <v>200</v>
      </c>
      <c r="AR199" s="406"/>
      <c r="AS199" s="406"/>
      <c r="AT199" s="406">
        <f>AQ199</f>
        <v>200</v>
      </c>
      <c r="AU199" s="440"/>
      <c r="AV199" s="445"/>
      <c r="AW199" s="445"/>
      <c r="AX199" s="445"/>
      <c r="AY199" s="445"/>
      <c r="AZ199" s="445"/>
      <c r="BA199" s="445"/>
      <c r="XEW199" s="438"/>
      <c r="XEX199" s="421"/>
      <c r="XEY199" s="421"/>
      <c r="XEZ199" s="421"/>
      <c r="XFA199" s="421"/>
      <c r="XFB199" s="421"/>
      <c r="XFC199" s="421"/>
      <c r="XFD199" s="421"/>
    </row>
    <row r="200" s="184" customFormat="1" ht="39" customHeight="1" spans="1:53 16350:16384">
      <c r="A200" s="411">
        <v>46174</v>
      </c>
      <c r="B200" s="390" t="s">
        <v>920</v>
      </c>
      <c r="C200" s="390" t="s">
        <v>664</v>
      </c>
      <c r="D200" s="391" t="s">
        <v>925</v>
      </c>
      <c r="E200" s="392"/>
      <c r="F200" s="392" t="s">
        <v>926</v>
      </c>
      <c r="G200" s="391" t="s">
        <v>59</v>
      </c>
      <c r="H200" s="391" t="s">
        <v>49</v>
      </c>
      <c r="I200" s="391">
        <v>116</v>
      </c>
      <c r="J200" s="391">
        <v>0</v>
      </c>
      <c r="K200" s="391">
        <v>4</v>
      </c>
      <c r="L200" s="391">
        <f t="shared" si="32"/>
        <v>29</v>
      </c>
      <c r="M200" s="393">
        <v>46251</v>
      </c>
      <c r="N200" s="393">
        <v>46254</v>
      </c>
      <c r="O200" s="396"/>
      <c r="P200" s="394"/>
      <c r="Q200" s="390"/>
      <c r="R200" s="390"/>
      <c r="S200" s="413" t="s">
        <v>73</v>
      </c>
      <c r="T200" s="395">
        <v>46220</v>
      </c>
      <c r="U200" s="413" t="s">
        <v>927</v>
      </c>
      <c r="V200" s="393"/>
      <c r="W200" s="393"/>
      <c r="X200" s="393" t="s">
        <v>923</v>
      </c>
      <c r="Y200" s="391" t="s">
        <v>928</v>
      </c>
      <c r="Z200" s="391" t="s">
        <v>756</v>
      </c>
      <c r="AA200" s="414">
        <v>11.9558</v>
      </c>
      <c r="AB200" s="428">
        <f t="shared" si="29"/>
        <v>1386.8728</v>
      </c>
      <c r="AC200" s="415"/>
      <c r="AD200" s="435" t="s">
        <v>113</v>
      </c>
      <c r="AE200" s="391" t="s">
        <v>56</v>
      </c>
      <c r="AF200" s="398"/>
      <c r="AG200" s="398"/>
      <c r="AH200" s="390"/>
      <c r="AI200" s="391"/>
      <c r="AJ200" s="398"/>
      <c r="AK200" s="398"/>
      <c r="AL200" s="398"/>
      <c r="AM200" s="398"/>
      <c r="AN200" s="398"/>
      <c r="AO200" s="420">
        <f t="shared" si="25"/>
        <v>116</v>
      </c>
      <c r="AP200" s="406"/>
      <c r="AQ200" s="406">
        <f>AO200</f>
        <v>116</v>
      </c>
      <c r="AR200" s="406"/>
      <c r="AS200" s="406"/>
      <c r="AT200" s="406">
        <f>AQ200</f>
        <v>116</v>
      </c>
      <c r="AU200" s="440"/>
      <c r="AV200" s="444"/>
      <c r="AW200" s="445"/>
      <c r="AX200" s="445"/>
      <c r="AY200" s="445"/>
      <c r="AZ200" s="445"/>
      <c r="BA200" s="445"/>
      <c r="XEN200" s="281"/>
      <c r="XEO200" s="281"/>
      <c r="XEP200" s="281"/>
      <c r="XEQ200" s="281"/>
      <c r="XER200" s="281"/>
      <c r="XES200" s="281"/>
      <c r="XET200" s="281"/>
      <c r="XEU200" s="281"/>
      <c r="XEV200" s="281"/>
      <c r="XEW200" s="281"/>
      <c r="XEX200" s="281"/>
      <c r="XEY200" s="281"/>
      <c r="XEZ200" s="281"/>
      <c r="XFA200" s="281"/>
      <c r="XFB200" s="281"/>
      <c r="XFC200" s="281"/>
      <c r="XFD200" s="281"/>
    </row>
    <row r="201" s="184" customFormat="1" ht="39" customHeight="1" spans="1:53 16350:16384">
      <c r="A201" s="449">
        <v>46174</v>
      </c>
      <c r="B201" s="450" t="s">
        <v>920</v>
      </c>
      <c r="C201" s="450" t="s">
        <v>664</v>
      </c>
      <c r="D201" s="451" t="s">
        <v>929</v>
      </c>
      <c r="E201" s="452"/>
      <c r="F201" s="452" t="s">
        <v>930</v>
      </c>
      <c r="G201" s="451" t="s">
        <v>59</v>
      </c>
      <c r="H201" s="451" t="s">
        <v>49</v>
      </c>
      <c r="I201" s="451">
        <v>300</v>
      </c>
      <c r="J201" s="451">
        <v>0</v>
      </c>
      <c r="K201" s="451">
        <v>4</v>
      </c>
      <c r="L201" s="451">
        <f t="shared" si="32"/>
        <v>75</v>
      </c>
      <c r="M201" s="453">
        <v>46251</v>
      </c>
      <c r="N201" s="453">
        <v>46254</v>
      </c>
      <c r="O201" s="396"/>
      <c r="P201" s="454"/>
      <c r="Q201" s="450"/>
      <c r="R201" s="450"/>
      <c r="S201" s="455" t="s">
        <v>73</v>
      </c>
      <c r="T201" s="456">
        <v>46220</v>
      </c>
      <c r="U201" s="455" t="s">
        <v>927</v>
      </c>
      <c r="V201" s="453"/>
      <c r="W201" s="453"/>
      <c r="X201" s="393" t="s">
        <v>923</v>
      </c>
      <c r="Y201" s="451" t="s">
        <v>931</v>
      </c>
      <c r="Z201" s="451" t="s">
        <v>756</v>
      </c>
      <c r="AA201" s="457">
        <v>11.9558</v>
      </c>
      <c r="AB201" s="428">
        <f t="shared" si="29"/>
        <v>3586.74</v>
      </c>
      <c r="AC201" s="458"/>
      <c r="AD201" s="459" t="s">
        <v>113</v>
      </c>
      <c r="AE201" s="451" t="s">
        <v>56</v>
      </c>
      <c r="AF201" s="460"/>
      <c r="AG201" s="460"/>
      <c r="AH201" s="450"/>
      <c r="AI201" s="451"/>
      <c r="AJ201" s="460"/>
      <c r="AK201" s="460"/>
      <c r="AL201" s="460"/>
      <c r="AM201" s="460"/>
      <c r="AN201" s="460"/>
      <c r="AO201" s="461">
        <f t="shared" si="25"/>
        <v>300</v>
      </c>
      <c r="AP201" s="462"/>
      <c r="AQ201" s="462">
        <f>AO201</f>
        <v>300</v>
      </c>
      <c r="AR201" s="462"/>
      <c r="AS201" s="462"/>
      <c r="AT201" s="462">
        <f>AQ201</f>
        <v>300</v>
      </c>
      <c r="AU201" s="463"/>
      <c r="AV201" s="444"/>
      <c r="AW201" s="445"/>
      <c r="AX201" s="445"/>
      <c r="AY201" s="445"/>
      <c r="AZ201" s="445"/>
      <c r="BA201" s="445"/>
      <c r="XEN201" s="281"/>
      <c r="XEO201" s="281"/>
      <c r="XEP201" s="281"/>
      <c r="XEQ201" s="281"/>
      <c r="XER201" s="281"/>
      <c r="XES201" s="281"/>
      <c r="XET201" s="281"/>
      <c r="XEU201" s="281"/>
      <c r="XEV201" s="281"/>
      <c r="XEW201" s="281"/>
      <c r="XEX201" s="281"/>
      <c r="XEY201" s="281"/>
      <c r="XEZ201" s="281"/>
      <c r="XFA201" s="281"/>
      <c r="XFB201" s="281"/>
      <c r="XFC201" s="281"/>
      <c r="XFD201" s="281"/>
    </row>
    <row r="202" s="184" customFormat="1" ht="39" customHeight="1" spans="1:53 16350:16384">
      <c r="A202" s="426">
        <v>46211</v>
      </c>
      <c r="B202" s="427" t="s">
        <v>932</v>
      </c>
      <c r="C202" s="427" t="s">
        <v>77</v>
      </c>
      <c r="D202" s="428" t="s">
        <v>933</v>
      </c>
      <c r="E202" s="429" t="s">
        <v>934</v>
      </c>
      <c r="F202" s="429" t="s">
        <v>935</v>
      </c>
      <c r="G202" s="428" t="s">
        <v>59</v>
      </c>
      <c r="H202" s="428" t="s">
        <v>49</v>
      </c>
      <c r="I202" s="428">
        <v>1664</v>
      </c>
      <c r="J202" s="428">
        <v>0</v>
      </c>
      <c r="K202" s="428">
        <v>4</v>
      </c>
      <c r="L202" s="428">
        <f t="shared" si="32"/>
        <v>416</v>
      </c>
      <c r="M202" s="396">
        <v>46254</v>
      </c>
      <c r="N202" s="396">
        <v>46254</v>
      </c>
      <c r="O202" s="396"/>
      <c r="P202" s="430"/>
      <c r="Q202" s="427"/>
      <c r="R202" s="427"/>
      <c r="S202" s="431" t="s">
        <v>61</v>
      </c>
      <c r="T202" s="431">
        <v>46224</v>
      </c>
      <c r="U202" s="431">
        <v>46234</v>
      </c>
      <c r="V202" s="396"/>
      <c r="W202" s="396"/>
      <c r="X202" s="396"/>
      <c r="Y202" s="428" t="s">
        <v>936</v>
      </c>
      <c r="Z202" s="428" t="s">
        <v>937</v>
      </c>
      <c r="AA202" s="432">
        <v>6.9932</v>
      </c>
      <c r="AB202" s="428">
        <f t="shared" si="29"/>
        <v>11636.6848</v>
      </c>
      <c r="AC202" s="415"/>
      <c r="AD202" s="464" t="s">
        <v>55</v>
      </c>
      <c r="AE202" s="428" t="s">
        <v>56</v>
      </c>
      <c r="AF202" s="428"/>
      <c r="AG202" s="428"/>
      <c r="AH202" s="427"/>
      <c r="AI202" s="428"/>
      <c r="AJ202" s="428"/>
      <c r="AK202" s="428"/>
      <c r="AL202" s="428"/>
      <c r="AM202" s="428"/>
      <c r="AN202" s="428"/>
      <c r="AO202" s="406">
        <f t="shared" si="25"/>
        <v>1664</v>
      </c>
      <c r="AP202" s="406">
        <f>AO202</f>
        <v>1664</v>
      </c>
      <c r="AQ202" s="406"/>
      <c r="AR202" s="406">
        <f>AO202</f>
        <v>1664</v>
      </c>
      <c r="AS202" s="406"/>
      <c r="AT202" s="406"/>
      <c r="AU202" s="440"/>
      <c r="AV202" s="404"/>
      <c r="AW202" s="445"/>
      <c r="AX202" s="445"/>
      <c r="AY202" s="445"/>
      <c r="AZ202" s="445"/>
      <c r="BA202" s="445"/>
      <c r="XEN202" s="281"/>
      <c r="XEO202" s="281"/>
      <c r="XEP202" s="281"/>
      <c r="XEQ202" s="281"/>
      <c r="XER202" s="281"/>
      <c r="XES202" s="281"/>
      <c r="XET202" s="281"/>
      <c r="XEU202" s="281"/>
      <c r="XEV202" s="281"/>
      <c r="XEW202" s="281"/>
      <c r="XEX202" s="281"/>
      <c r="XEY202" s="281"/>
      <c r="XEZ202" s="281"/>
      <c r="XFA202" s="281"/>
      <c r="XFB202" s="281"/>
      <c r="XFC202" s="281"/>
      <c r="XFD202" s="281"/>
    </row>
    <row r="203" s="184" customFormat="1" ht="39" customHeight="1" spans="1:53 16350:16384">
      <c r="A203" s="426">
        <v>46213</v>
      </c>
      <c r="B203" s="427" t="s">
        <v>938</v>
      </c>
      <c r="C203" s="427" t="s">
        <v>223</v>
      </c>
      <c r="D203" s="428">
        <v>4500216056</v>
      </c>
      <c r="E203" s="429"/>
      <c r="F203" s="429" t="s">
        <v>939</v>
      </c>
      <c r="G203" s="428" t="s">
        <v>59</v>
      </c>
      <c r="H203" s="428" t="s">
        <v>49</v>
      </c>
      <c r="I203" s="428">
        <v>240</v>
      </c>
      <c r="J203" s="428">
        <v>0</v>
      </c>
      <c r="K203" s="428">
        <v>4</v>
      </c>
      <c r="L203" s="428">
        <f t="shared" si="32"/>
        <v>60</v>
      </c>
      <c r="M203" s="396">
        <v>46254</v>
      </c>
      <c r="N203" s="396">
        <v>46254</v>
      </c>
      <c r="O203" s="396"/>
      <c r="P203" s="430"/>
      <c r="Q203" s="427"/>
      <c r="R203" s="427"/>
      <c r="S203" s="431"/>
      <c r="T203" s="431">
        <v>46223</v>
      </c>
      <c r="U203" s="431" t="s">
        <v>940</v>
      </c>
      <c r="V203" s="396"/>
      <c r="W203" s="396"/>
      <c r="X203" s="396" t="s">
        <v>896</v>
      </c>
      <c r="Y203" s="428" t="s">
        <v>941</v>
      </c>
      <c r="Z203" s="428" t="s">
        <v>942</v>
      </c>
      <c r="AA203" s="432">
        <v>11.9558</v>
      </c>
      <c r="AB203" s="428">
        <f t="shared" si="29"/>
        <v>2869.392</v>
      </c>
      <c r="AC203" s="415"/>
      <c r="AD203" s="465" t="s">
        <v>113</v>
      </c>
      <c r="AE203" s="428" t="s">
        <v>56</v>
      </c>
      <c r="AF203" s="406"/>
      <c r="AG203" s="406"/>
      <c r="AH203" s="406"/>
      <c r="AI203" s="406"/>
      <c r="AJ203" s="406"/>
      <c r="AK203" s="406"/>
      <c r="AL203" s="440"/>
      <c r="AM203" s="433"/>
      <c r="AN203" s="433"/>
      <c r="AO203" s="406">
        <f t="shared" si="25"/>
        <v>240</v>
      </c>
      <c r="AP203" s="433"/>
      <c r="AQ203" s="406">
        <f>AO203</f>
        <v>240</v>
      </c>
      <c r="AR203" s="433"/>
      <c r="AS203" s="406">
        <f>AO203</f>
        <v>240</v>
      </c>
      <c r="AT203" s="421"/>
      <c r="AU203" s="421"/>
      <c r="XEE203" s="448"/>
      <c r="XEF203" s="448"/>
      <c r="XEG203" s="448"/>
      <c r="XEH203" s="448"/>
      <c r="XEI203" s="448"/>
      <c r="XEJ203" s="448"/>
      <c r="XEK203" s="448"/>
      <c r="XEL203" s="448"/>
      <c r="XEM203" s="448"/>
      <c r="XEN203" s="448"/>
      <c r="XEO203" s="448"/>
      <c r="XEP203" s="448"/>
      <c r="XEQ203" s="448"/>
      <c r="XER203" s="448"/>
      <c r="XES203" s="448"/>
      <c r="XET203" s="448"/>
      <c r="XEU203" s="448"/>
      <c r="XEV203" s="281"/>
      <c r="XEW203" s="281"/>
      <c r="XEX203" s="281"/>
      <c r="XEY203" s="281"/>
      <c r="XEZ203" s="281"/>
      <c r="XFA203" s="281"/>
      <c r="XFB203" s="281"/>
      <c r="XFC203" s="281"/>
      <c r="XFD203" s="281"/>
    </row>
    <row r="204" s="185" customFormat="1" ht="39" customHeight="1" spans="1:53 16350:16384">
      <c r="A204" s="388">
        <v>46183</v>
      </c>
      <c r="B204" s="466" t="s">
        <v>238</v>
      </c>
      <c r="C204" s="466" t="s">
        <v>77</v>
      </c>
      <c r="D204" s="467" t="s">
        <v>943</v>
      </c>
      <c r="E204" s="468" t="s">
        <v>944</v>
      </c>
      <c r="F204" s="468" t="s">
        <v>945</v>
      </c>
      <c r="G204" s="467">
        <v>71172</v>
      </c>
      <c r="H204" s="391" t="s">
        <v>49</v>
      </c>
      <c r="I204" s="467">
        <v>1188</v>
      </c>
      <c r="J204" s="467">
        <v>0</v>
      </c>
      <c r="K204" s="282">
        <v>4</v>
      </c>
      <c r="L204" s="282">
        <f t="shared" si="32"/>
        <v>297</v>
      </c>
      <c r="M204" s="469">
        <v>46258</v>
      </c>
      <c r="N204" s="469">
        <v>46254</v>
      </c>
      <c r="O204" s="469"/>
      <c r="P204" s="470"/>
      <c r="Q204" s="396" t="s">
        <v>811</v>
      </c>
      <c r="R204" s="466"/>
      <c r="S204" s="471"/>
      <c r="T204" s="471" t="s">
        <v>812</v>
      </c>
      <c r="U204" s="471">
        <v>46205</v>
      </c>
      <c r="V204" s="469"/>
      <c r="W204" s="469"/>
      <c r="X204" s="396" t="s">
        <v>584</v>
      </c>
      <c r="Y204" s="467" t="s">
        <v>946</v>
      </c>
      <c r="Z204" s="467" t="s">
        <v>81</v>
      </c>
      <c r="AA204" s="472">
        <v>6.7959</v>
      </c>
      <c r="AB204" s="428">
        <f t="shared" si="29"/>
        <v>8073.5292</v>
      </c>
      <c r="AC204" s="399"/>
      <c r="AD204" s="400" t="s">
        <v>55</v>
      </c>
      <c r="AE204" s="473" t="s">
        <v>56</v>
      </c>
      <c r="AF204" s="474"/>
      <c r="AG204" s="474"/>
      <c r="AH204" s="474"/>
      <c r="AI204" s="474"/>
      <c r="AJ204" s="473"/>
      <c r="AK204" s="473"/>
      <c r="AL204" s="473"/>
      <c r="AM204" s="473"/>
      <c r="AN204" s="473"/>
      <c r="AO204" s="475">
        <f t="shared" si="25"/>
        <v>1188</v>
      </c>
      <c r="AP204" s="476">
        <f t="shared" ref="AP204:AP226" si="34">AO204</f>
        <v>1188</v>
      </c>
      <c r="AQ204" s="477"/>
      <c r="AR204" s="477"/>
      <c r="AS204" s="476">
        <f>AO204</f>
        <v>1188</v>
      </c>
      <c r="AT204" s="477"/>
      <c r="AU204" s="477"/>
      <c r="AV204" s="183"/>
      <c r="XEE204" s="281"/>
      <c r="XEF204" s="281"/>
      <c r="XEG204" s="281"/>
      <c r="XEH204" s="281"/>
      <c r="XEI204" s="281"/>
      <c r="XEJ204" s="281"/>
      <c r="XEK204" s="281"/>
      <c r="XEL204" s="281"/>
      <c r="XEM204" s="281"/>
      <c r="XEN204" s="426"/>
      <c r="XEO204" s="427"/>
      <c r="XEP204" s="427"/>
      <c r="XEQ204" s="428"/>
      <c r="XER204" s="429"/>
      <c r="XES204" s="429"/>
      <c r="XET204" s="428"/>
      <c r="XEU204" s="428"/>
      <c r="XEV204" s="428"/>
      <c r="XEW204" s="426"/>
      <c r="XEX204" s="427"/>
      <c r="XEY204" s="427"/>
      <c r="XEZ204" s="428"/>
      <c r="XFA204" s="429"/>
      <c r="XFB204" s="429"/>
      <c r="XFC204" s="428"/>
      <c r="XFD204" s="428"/>
    </row>
    <row r="205" s="185" customFormat="1" ht="39" customHeight="1" spans="1:53 16350:16384">
      <c r="A205" s="426">
        <v>46183</v>
      </c>
      <c r="B205" s="427" t="s">
        <v>238</v>
      </c>
      <c r="C205" s="427" t="s">
        <v>77</v>
      </c>
      <c r="D205" s="428" t="s">
        <v>943</v>
      </c>
      <c r="E205" s="429" t="s">
        <v>944</v>
      </c>
      <c r="F205" s="429" t="s">
        <v>947</v>
      </c>
      <c r="G205" s="428">
        <v>71172</v>
      </c>
      <c r="H205" s="428" t="s">
        <v>49</v>
      </c>
      <c r="I205" s="428">
        <v>1500</v>
      </c>
      <c r="J205" s="428">
        <v>0</v>
      </c>
      <c r="K205" s="284">
        <v>4</v>
      </c>
      <c r="L205" s="284">
        <f t="shared" si="32"/>
        <v>375</v>
      </c>
      <c r="M205" s="396">
        <v>46258</v>
      </c>
      <c r="N205" s="396">
        <v>46254</v>
      </c>
      <c r="O205" s="396"/>
      <c r="P205" s="430"/>
      <c r="Q205" s="396" t="s">
        <v>811</v>
      </c>
      <c r="R205" s="427"/>
      <c r="S205" s="431"/>
      <c r="T205" s="431" t="s">
        <v>812</v>
      </c>
      <c r="U205" s="431">
        <v>46205</v>
      </c>
      <c r="V205" s="396"/>
      <c r="W205" s="396"/>
      <c r="X205" s="396" t="s">
        <v>584</v>
      </c>
      <c r="Y205" s="428" t="s">
        <v>948</v>
      </c>
      <c r="Z205" s="428" t="s">
        <v>81</v>
      </c>
      <c r="AA205" s="432">
        <v>6.7959</v>
      </c>
      <c r="AB205" s="428">
        <f t="shared" si="29"/>
        <v>10193.85</v>
      </c>
      <c r="AC205" s="415"/>
      <c r="AD205" s="400" t="s">
        <v>55</v>
      </c>
      <c r="AE205" s="185" t="s">
        <v>56</v>
      </c>
      <c r="AF205" s="433"/>
      <c r="AG205" s="433"/>
      <c r="AH205" s="433"/>
      <c r="AI205" s="433"/>
      <c r="AJ205" s="185"/>
      <c r="AK205" s="185"/>
      <c r="AL205" s="185"/>
      <c r="AM205" s="185"/>
      <c r="AN205" s="185"/>
      <c r="AO205" s="406">
        <f t="shared" si="25"/>
        <v>1500</v>
      </c>
      <c r="AP205" s="476">
        <f t="shared" si="34"/>
        <v>1500</v>
      </c>
      <c r="AQ205" s="421"/>
      <c r="AR205" s="421"/>
      <c r="AS205" s="406">
        <f>AO205</f>
        <v>1500</v>
      </c>
      <c r="AT205" s="421"/>
      <c r="AU205" s="421"/>
      <c r="AV205" s="185"/>
      <c r="XDV205" s="438"/>
      <c r="XDW205" s="438"/>
      <c r="XDX205" s="438"/>
      <c r="XDY205" s="438"/>
      <c r="XDZ205" s="438"/>
      <c r="XEA205" s="438"/>
      <c r="XEB205" s="438"/>
      <c r="XEC205" s="438"/>
      <c r="XED205" s="438"/>
      <c r="XEE205" s="421"/>
      <c r="XEF205" s="421"/>
      <c r="XEG205" s="421"/>
      <c r="XEH205" s="421"/>
      <c r="XEI205" s="421"/>
      <c r="XEJ205" s="421"/>
      <c r="XEK205" s="421"/>
      <c r="XEL205" s="421"/>
      <c r="XEM205" s="421"/>
      <c r="XEN205" s="426"/>
      <c r="XEO205" s="427"/>
      <c r="XEP205" s="427"/>
      <c r="XEQ205" s="428"/>
      <c r="XER205" s="429"/>
      <c r="XES205" s="429"/>
      <c r="XET205" s="428"/>
      <c r="XEU205" s="428"/>
      <c r="XEV205" s="428"/>
      <c r="XEW205" s="426"/>
      <c r="XEX205" s="427"/>
      <c r="XEY205" s="427"/>
      <c r="XEZ205" s="428"/>
      <c r="XFA205" s="429"/>
      <c r="XFB205" s="429"/>
      <c r="XFC205" s="428"/>
      <c r="XFD205" s="428"/>
    </row>
    <row r="206" s="184" customFormat="1" ht="39" customHeight="1" spans="1:53 16350:16384">
      <c r="A206" s="426">
        <v>46178</v>
      </c>
      <c r="B206" s="427" t="s">
        <v>949</v>
      </c>
      <c r="C206" s="427" t="s">
        <v>65</v>
      </c>
      <c r="D206" s="428">
        <v>4500210181</v>
      </c>
      <c r="E206" s="429" t="s">
        <v>950</v>
      </c>
      <c r="F206" s="429" t="s">
        <v>951</v>
      </c>
      <c r="G206" s="428" t="s">
        <v>59</v>
      </c>
      <c r="H206" s="428" t="s">
        <v>49</v>
      </c>
      <c r="I206" s="428">
        <v>1500</v>
      </c>
      <c r="J206" s="428">
        <v>0</v>
      </c>
      <c r="K206" s="391">
        <v>4</v>
      </c>
      <c r="L206" s="391">
        <f t="shared" si="32"/>
        <v>375</v>
      </c>
      <c r="M206" s="396">
        <v>46258</v>
      </c>
      <c r="N206" s="396">
        <v>46254</v>
      </c>
      <c r="O206" s="396" t="s">
        <v>50</v>
      </c>
      <c r="P206" s="430"/>
      <c r="Q206" s="427"/>
      <c r="R206" s="427"/>
      <c r="S206" s="431" t="s">
        <v>952</v>
      </c>
      <c r="T206" s="431">
        <v>46184</v>
      </c>
      <c r="U206" s="431" t="s">
        <v>953</v>
      </c>
      <c r="V206" s="396"/>
      <c r="W206" s="396"/>
      <c r="X206" s="396"/>
      <c r="Y206" s="428" t="s">
        <v>954</v>
      </c>
      <c r="Z206" s="428" t="s">
        <v>955</v>
      </c>
      <c r="AA206" s="432">
        <v>12.5937</v>
      </c>
      <c r="AB206" s="428">
        <f t="shared" si="29"/>
        <v>18890.55</v>
      </c>
      <c r="AC206" s="415"/>
      <c r="AD206" s="400" t="s">
        <v>55</v>
      </c>
      <c r="AE206" s="391" t="s">
        <v>56</v>
      </c>
      <c r="AF206" s="406"/>
      <c r="AG206" s="439"/>
      <c r="AH206" s="406"/>
      <c r="AI206" s="439"/>
      <c r="AJ206" s="439"/>
      <c r="AK206" s="440"/>
      <c r="AL206" s="433"/>
      <c r="AM206" s="433"/>
      <c r="AN206" s="433"/>
      <c r="AO206" s="434">
        <f t="shared" si="25"/>
        <v>1500</v>
      </c>
      <c r="AP206" s="406">
        <f t="shared" si="34"/>
        <v>1500</v>
      </c>
      <c r="AQ206" s="433"/>
      <c r="AR206" s="406">
        <f>AO206</f>
        <v>1500</v>
      </c>
      <c r="AS206" s="185"/>
      <c r="AT206" s="185"/>
      <c r="AU206" s="185"/>
      <c r="AV206" s="441"/>
      <c r="AW206" s="184"/>
      <c r="AX206" s="184"/>
      <c r="AY206" s="184"/>
      <c r="AZ206" s="184"/>
      <c r="BA206" s="184"/>
      <c r="XEE206" s="281"/>
      <c r="XEF206" s="281"/>
      <c r="XEG206" s="281"/>
      <c r="XEH206" s="281"/>
      <c r="XEI206" s="281"/>
      <c r="XEJ206" s="281"/>
      <c r="XEK206" s="281"/>
      <c r="XEL206" s="281"/>
      <c r="XEM206" s="281"/>
      <c r="XEN206" s="421"/>
      <c r="XEO206" s="421"/>
      <c r="XEP206" s="421"/>
      <c r="XEQ206" s="421"/>
      <c r="XER206" s="421"/>
      <c r="XES206" s="421"/>
      <c r="XET206" s="421"/>
      <c r="XEU206" s="421"/>
      <c r="XEV206" s="421"/>
      <c r="XEW206" s="421"/>
      <c r="XEX206" s="426"/>
      <c r="XEY206" s="427"/>
      <c r="XEZ206" s="427"/>
      <c r="XFA206" s="428"/>
      <c r="XFB206" s="429"/>
      <c r="XFC206" s="429"/>
      <c r="XFD206" s="428"/>
    </row>
    <row r="207" s="184" customFormat="1" ht="39" customHeight="1" spans="1:53 16350:16384">
      <c r="A207" s="426">
        <v>46205</v>
      </c>
      <c r="B207" s="427" t="s">
        <v>574</v>
      </c>
      <c r="C207" s="427" t="s">
        <v>210</v>
      </c>
      <c r="D207" s="428">
        <v>4500214656</v>
      </c>
      <c r="E207" s="429"/>
      <c r="F207" s="429" t="s">
        <v>956</v>
      </c>
      <c r="G207" s="428" t="s">
        <v>59</v>
      </c>
      <c r="H207" s="428" t="s">
        <v>49</v>
      </c>
      <c r="I207" s="428">
        <v>300</v>
      </c>
      <c r="J207" s="428">
        <v>0</v>
      </c>
      <c r="K207" s="391">
        <v>4</v>
      </c>
      <c r="L207" s="391">
        <f t="shared" si="32"/>
        <v>75</v>
      </c>
      <c r="M207" s="396">
        <v>46255</v>
      </c>
      <c r="N207" s="396">
        <v>46255</v>
      </c>
      <c r="O207" s="396"/>
      <c r="P207" s="430"/>
      <c r="Q207" s="427"/>
      <c r="R207" s="427"/>
      <c r="S207" s="431"/>
      <c r="T207" s="431">
        <v>46205</v>
      </c>
      <c r="U207" s="431" t="s">
        <v>957</v>
      </c>
      <c r="V207" s="396"/>
      <c r="W207" s="396"/>
      <c r="X207" s="393"/>
      <c r="Y207" s="478" t="s">
        <v>958</v>
      </c>
      <c r="Z207" s="428" t="s">
        <v>959</v>
      </c>
      <c r="AA207" s="432">
        <v>11.9558</v>
      </c>
      <c r="AB207" s="428">
        <f t="shared" si="29"/>
        <v>3586.74</v>
      </c>
      <c r="AC207" s="415"/>
      <c r="AD207" s="479" t="s">
        <v>55</v>
      </c>
      <c r="AE207" s="391" t="s">
        <v>56</v>
      </c>
      <c r="AF207" s="406"/>
      <c r="AG207" s="406"/>
      <c r="AH207" s="404"/>
      <c r="AI207" s="183"/>
      <c r="AJ207" s="406"/>
      <c r="AK207" s="436"/>
      <c r="AL207" s="183"/>
      <c r="AM207" s="183"/>
      <c r="AN207" s="183"/>
      <c r="AO207" s="434">
        <f t="shared" si="25"/>
        <v>300</v>
      </c>
      <c r="AP207" s="406">
        <f t="shared" si="34"/>
        <v>300</v>
      </c>
      <c r="AQ207" s="185"/>
      <c r="AR207" s="406">
        <f>AO207</f>
        <v>300</v>
      </c>
      <c r="AS207" s="185"/>
      <c r="AT207" s="185"/>
      <c r="AU207" s="185"/>
      <c r="XEE207" s="447"/>
      <c r="XEF207" s="447"/>
      <c r="XEG207" s="447"/>
      <c r="XEH207" s="447"/>
      <c r="XEI207" s="447"/>
      <c r="XEJ207" s="447"/>
      <c r="XEK207" s="447"/>
      <c r="XEL207" s="447"/>
      <c r="XEM207" s="447"/>
      <c r="XEN207" s="447"/>
      <c r="XEO207" s="426"/>
      <c r="XEP207" s="427"/>
      <c r="XEQ207" s="427"/>
      <c r="XER207" s="428"/>
      <c r="XES207" s="429"/>
      <c r="XET207" s="429"/>
      <c r="XEU207" s="428"/>
      <c r="XEV207" s="426"/>
      <c r="XEW207" s="427"/>
      <c r="XEX207" s="427"/>
      <c r="XEY207" s="428"/>
      <c r="XEZ207" s="429"/>
      <c r="XFA207" s="429"/>
      <c r="XFB207" s="428"/>
      <c r="XFC207" s="428"/>
      <c r="XFD207" s="428"/>
    </row>
    <row r="208" s="184" customFormat="1" ht="39" customHeight="1" spans="1:53 16350:16384">
      <c r="A208" s="426">
        <v>46161</v>
      </c>
      <c r="B208" s="427" t="s">
        <v>238</v>
      </c>
      <c r="C208" s="427" t="s">
        <v>77</v>
      </c>
      <c r="D208" s="428" t="s">
        <v>914</v>
      </c>
      <c r="E208" s="429" t="s">
        <v>960</v>
      </c>
      <c r="F208" s="429" t="s">
        <v>961</v>
      </c>
      <c r="G208" s="428" t="s">
        <v>242</v>
      </c>
      <c r="H208" s="428" t="s">
        <v>49</v>
      </c>
      <c r="I208" s="428">
        <v>936</v>
      </c>
      <c r="J208" s="428">
        <v>0</v>
      </c>
      <c r="K208" s="428">
        <v>1</v>
      </c>
      <c r="L208" s="428">
        <f t="shared" si="32"/>
        <v>936</v>
      </c>
      <c r="M208" s="396">
        <v>46259</v>
      </c>
      <c r="N208" s="396">
        <v>46255</v>
      </c>
      <c r="O208" s="396">
        <v>46260</v>
      </c>
      <c r="P208" s="430"/>
      <c r="Q208" s="427"/>
      <c r="R208" s="427"/>
      <c r="S208" s="431"/>
      <c r="T208" s="431">
        <v>46161</v>
      </c>
      <c r="U208" s="431">
        <v>46189</v>
      </c>
      <c r="V208" s="396"/>
      <c r="W208" s="396"/>
      <c r="X208" s="396" t="s">
        <v>584</v>
      </c>
      <c r="Y208" s="428" t="s">
        <v>909</v>
      </c>
      <c r="Z208" s="428" t="s">
        <v>81</v>
      </c>
      <c r="AA208" s="432">
        <v>5.82</v>
      </c>
      <c r="AB208" s="428">
        <f t="shared" si="29"/>
        <v>5447.52</v>
      </c>
      <c r="AC208" s="415"/>
      <c r="AD208" s="480" t="s">
        <v>247</v>
      </c>
      <c r="AE208" s="428" t="s">
        <v>56</v>
      </c>
      <c r="AF208" s="428"/>
      <c r="AG208" s="428"/>
      <c r="AH208" s="423"/>
      <c r="AI208" s="424"/>
      <c r="AJ208" s="428"/>
      <c r="AK208" s="424"/>
      <c r="AL208" s="424"/>
      <c r="AM208" s="424"/>
      <c r="AN208" s="424"/>
      <c r="AO208" s="434">
        <f t="shared" si="25"/>
        <v>936</v>
      </c>
      <c r="AP208" s="406">
        <f t="shared" si="34"/>
        <v>936</v>
      </c>
      <c r="AQ208" s="406"/>
      <c r="AR208" s="406"/>
      <c r="AS208" s="406">
        <f t="shared" ref="AS208:AS226" si="35">AO208</f>
        <v>936</v>
      </c>
      <c r="AT208" s="406"/>
      <c r="AU208" s="440"/>
      <c r="AV208" s="404"/>
      <c r="AW208" s="445"/>
      <c r="AX208" s="445"/>
      <c r="AY208" s="445"/>
      <c r="AZ208" s="445"/>
      <c r="BA208" s="445"/>
      <c r="XEE208" s="421"/>
      <c r="XEF208" s="421"/>
      <c r="XEG208" s="421"/>
      <c r="XEH208" s="421"/>
      <c r="XEI208" s="421"/>
      <c r="XEJ208" s="421"/>
      <c r="XEK208" s="421"/>
      <c r="XEL208" s="421"/>
      <c r="XEM208" s="421"/>
      <c r="XEN208" s="421"/>
      <c r="XEO208" s="421"/>
      <c r="XEP208" s="421"/>
      <c r="XEQ208" s="421"/>
      <c r="XER208" s="421"/>
      <c r="XES208" s="421"/>
      <c r="XET208" s="421"/>
      <c r="XEU208" s="421"/>
      <c r="XEV208" s="421"/>
      <c r="XEW208" s="421"/>
      <c r="XEX208" s="421"/>
      <c r="XEY208" s="421"/>
      <c r="XEZ208" s="421"/>
      <c r="XFA208" s="421"/>
      <c r="XFB208" s="421"/>
      <c r="XFC208" s="421"/>
      <c r="XFD208" s="421"/>
    </row>
    <row r="209" s="184" customFormat="1" ht="39" customHeight="1" spans="1:53 16350:16384">
      <c r="A209" s="426">
        <v>46161</v>
      </c>
      <c r="B209" s="427" t="s">
        <v>238</v>
      </c>
      <c r="C209" s="427" t="s">
        <v>77</v>
      </c>
      <c r="D209" s="428" t="s">
        <v>914</v>
      </c>
      <c r="E209" s="429" t="s">
        <v>962</v>
      </c>
      <c r="F209" s="429" t="s">
        <v>963</v>
      </c>
      <c r="G209" s="428" t="s">
        <v>242</v>
      </c>
      <c r="H209" s="428" t="s">
        <v>49</v>
      </c>
      <c r="I209" s="428">
        <v>864</v>
      </c>
      <c r="J209" s="428">
        <v>0</v>
      </c>
      <c r="K209" s="428">
        <v>1</v>
      </c>
      <c r="L209" s="428">
        <f t="shared" si="32"/>
        <v>864</v>
      </c>
      <c r="M209" s="396">
        <v>46259</v>
      </c>
      <c r="N209" s="396">
        <v>46255</v>
      </c>
      <c r="O209" s="396">
        <v>46260</v>
      </c>
      <c r="P209" s="430"/>
      <c r="Q209" s="427"/>
      <c r="R209" s="427"/>
      <c r="S209" s="431"/>
      <c r="T209" s="431">
        <v>46161</v>
      </c>
      <c r="U209" s="431">
        <v>46189</v>
      </c>
      <c r="V209" s="396"/>
      <c r="W209" s="396"/>
      <c r="X209" s="396" t="s">
        <v>584</v>
      </c>
      <c r="Y209" s="428" t="s">
        <v>909</v>
      </c>
      <c r="Z209" s="428" t="s">
        <v>81</v>
      </c>
      <c r="AA209" s="432">
        <v>5.82</v>
      </c>
      <c r="AB209" s="428">
        <f t="shared" si="29"/>
        <v>5028.48</v>
      </c>
      <c r="AC209" s="415"/>
      <c r="AD209" s="443" t="s">
        <v>247</v>
      </c>
      <c r="AE209" s="428" t="s">
        <v>56</v>
      </c>
      <c r="AF209" s="481"/>
      <c r="AG209" s="428"/>
      <c r="AH209" s="427"/>
      <c r="AI209" s="428"/>
      <c r="AJ209" s="428"/>
      <c r="AK209" s="428"/>
      <c r="AL209" s="428"/>
      <c r="AM209" s="482"/>
      <c r="AN209" s="424"/>
      <c r="AO209" s="406">
        <f t="shared" si="25"/>
        <v>864</v>
      </c>
      <c r="AP209" s="406">
        <f t="shared" si="34"/>
        <v>864</v>
      </c>
      <c r="AQ209" s="406"/>
      <c r="AR209" s="436"/>
      <c r="AS209" s="406">
        <f t="shared" si="35"/>
        <v>864</v>
      </c>
      <c r="AT209" s="436"/>
      <c r="AU209" s="403"/>
      <c r="AV209" s="404"/>
      <c r="AW209" s="445"/>
      <c r="AX209" s="445"/>
      <c r="AY209" s="445"/>
      <c r="AZ209" s="445"/>
      <c r="BA209" s="445"/>
      <c r="XEE209" s="421"/>
      <c r="XEF209" s="421"/>
      <c r="XEG209" s="421"/>
      <c r="XEH209" s="421"/>
      <c r="XEI209" s="421"/>
      <c r="XEJ209" s="421"/>
      <c r="XEK209" s="421"/>
      <c r="XEL209" s="421"/>
      <c r="XEM209" s="421"/>
      <c r="XEN209" s="421"/>
      <c r="XEO209" s="421"/>
      <c r="XEP209" s="421"/>
      <c r="XEQ209" s="421"/>
      <c r="XER209" s="421"/>
      <c r="XES209" s="421"/>
      <c r="XET209" s="421"/>
      <c r="XEU209" s="421"/>
      <c r="XEV209" s="421"/>
      <c r="XEW209" s="421"/>
      <c r="XEX209" s="421"/>
      <c r="XEY209" s="421"/>
      <c r="XEZ209" s="421"/>
      <c r="XFA209" s="421"/>
      <c r="XFB209" s="421"/>
      <c r="XFC209" s="421"/>
      <c r="XFD209" s="421"/>
    </row>
    <row r="210" s="184" customFormat="1" ht="39" customHeight="1" spans="1:53 16350:16384">
      <c r="A210" s="426">
        <v>46161</v>
      </c>
      <c r="B210" s="427" t="s">
        <v>238</v>
      </c>
      <c r="C210" s="427" t="s">
        <v>77</v>
      </c>
      <c r="D210" s="428" t="s">
        <v>914</v>
      </c>
      <c r="E210" s="429" t="s">
        <v>964</v>
      </c>
      <c r="F210" s="429" t="s">
        <v>965</v>
      </c>
      <c r="G210" s="428" t="s">
        <v>242</v>
      </c>
      <c r="H210" s="428" t="s">
        <v>49</v>
      </c>
      <c r="I210" s="428">
        <v>1080</v>
      </c>
      <c r="J210" s="428">
        <v>0</v>
      </c>
      <c r="K210" s="428">
        <v>1</v>
      </c>
      <c r="L210" s="428">
        <f t="shared" si="32"/>
        <v>1080</v>
      </c>
      <c r="M210" s="396">
        <v>46259</v>
      </c>
      <c r="N210" s="396">
        <v>46255</v>
      </c>
      <c r="O210" s="396">
        <v>46260</v>
      </c>
      <c r="P210" s="430"/>
      <c r="Q210" s="427"/>
      <c r="R210" s="427"/>
      <c r="S210" s="431"/>
      <c r="T210" s="431">
        <v>46161</v>
      </c>
      <c r="U210" s="431">
        <v>46189</v>
      </c>
      <c r="V210" s="396"/>
      <c r="W210" s="396"/>
      <c r="X210" s="396" t="s">
        <v>584</v>
      </c>
      <c r="Y210" s="428" t="s">
        <v>909</v>
      </c>
      <c r="Z210" s="428" t="s">
        <v>81</v>
      </c>
      <c r="AA210" s="432">
        <v>5.916</v>
      </c>
      <c r="AB210" s="428">
        <f t="shared" si="29"/>
        <v>6389.28</v>
      </c>
      <c r="AC210" s="415"/>
      <c r="AD210" s="443" t="s">
        <v>247</v>
      </c>
      <c r="AE210" s="391" t="s">
        <v>56</v>
      </c>
      <c r="AF210" s="428"/>
      <c r="AG210" s="428"/>
      <c r="AH210" s="423"/>
      <c r="AI210" s="424"/>
      <c r="AJ210" s="428"/>
      <c r="AK210" s="424"/>
      <c r="AL210" s="424"/>
      <c r="AM210" s="424"/>
      <c r="AN210" s="424"/>
      <c r="AO210" s="434">
        <f t="shared" si="25"/>
        <v>1080</v>
      </c>
      <c r="AP210" s="406">
        <f t="shared" si="34"/>
        <v>1080</v>
      </c>
      <c r="AQ210" s="406"/>
      <c r="AR210" s="406"/>
      <c r="AS210" s="406">
        <f t="shared" si="35"/>
        <v>1080</v>
      </c>
      <c r="AT210" s="406"/>
      <c r="AU210" s="440"/>
      <c r="AV210" s="445"/>
      <c r="AW210" s="445"/>
      <c r="AX210" s="445"/>
      <c r="AY210" s="445"/>
      <c r="AZ210" s="445"/>
      <c r="BA210" s="445"/>
      <c r="XEE210" s="438"/>
      <c r="XEF210" s="438"/>
      <c r="XEG210" s="438"/>
      <c r="XEH210" s="438"/>
      <c r="XEI210" s="438"/>
      <c r="XEJ210" s="438"/>
      <c r="XEK210" s="438"/>
      <c r="XEL210" s="438"/>
      <c r="XEM210" s="438"/>
      <c r="XEN210" s="421"/>
      <c r="XEO210" s="421"/>
      <c r="XEP210" s="421"/>
      <c r="XEQ210" s="421"/>
      <c r="XER210" s="421"/>
      <c r="XES210" s="421"/>
      <c r="XET210" s="421"/>
      <c r="XEU210" s="421"/>
      <c r="XEV210" s="421"/>
      <c r="XEW210" s="421"/>
      <c r="XEX210" s="421"/>
      <c r="XEY210" s="421"/>
      <c r="XEZ210" s="421"/>
      <c r="XFA210" s="421"/>
      <c r="XFB210" s="421"/>
      <c r="XFC210" s="421"/>
      <c r="XFD210" s="421"/>
    </row>
    <row r="211" s="184" customFormat="1" ht="39" customHeight="1" spans="1:53 16350:16384">
      <c r="A211" s="426">
        <v>46220</v>
      </c>
      <c r="B211" s="427" t="s">
        <v>174</v>
      </c>
      <c r="C211" s="427" t="s">
        <v>65</v>
      </c>
      <c r="D211" s="428">
        <v>4500216890</v>
      </c>
      <c r="E211" s="429" t="s">
        <v>966</v>
      </c>
      <c r="F211" s="429" t="s">
        <v>967</v>
      </c>
      <c r="G211" s="428" t="s">
        <v>59</v>
      </c>
      <c r="H211" s="391" t="s">
        <v>49</v>
      </c>
      <c r="I211" s="428">
        <v>500</v>
      </c>
      <c r="J211" s="428">
        <v>0</v>
      </c>
      <c r="K211" s="428">
        <v>4</v>
      </c>
      <c r="L211" s="428">
        <f t="shared" si="32"/>
        <v>125</v>
      </c>
      <c r="M211" s="396">
        <v>46260</v>
      </c>
      <c r="N211" s="396">
        <v>46256</v>
      </c>
      <c r="O211" s="396"/>
      <c r="P211" s="430"/>
      <c r="Q211" s="427"/>
      <c r="R211" s="427"/>
      <c r="S211" s="431"/>
      <c r="T211" s="431">
        <v>46220</v>
      </c>
      <c r="U211" s="431" t="s">
        <v>968</v>
      </c>
      <c r="V211" s="396"/>
      <c r="W211" s="396"/>
      <c r="X211" s="396"/>
      <c r="Y211" s="428" t="s">
        <v>969</v>
      </c>
      <c r="Z211" s="428" t="s">
        <v>179</v>
      </c>
      <c r="AA211" s="432">
        <v>11.6553</v>
      </c>
      <c r="AB211" s="428">
        <f t="shared" si="29"/>
        <v>5827.65</v>
      </c>
      <c r="AC211" s="415"/>
      <c r="AD211" s="435" t="s">
        <v>55</v>
      </c>
      <c r="AE211" s="391" t="s">
        <v>56</v>
      </c>
      <c r="AF211" s="428"/>
      <c r="AG211" s="428"/>
      <c r="AH211" s="427"/>
      <c r="AI211" s="428"/>
      <c r="AJ211" s="428"/>
      <c r="AK211" s="428"/>
      <c r="AL211" s="428"/>
      <c r="AM211" s="428"/>
      <c r="AN211" s="428"/>
      <c r="AO211" s="434">
        <f t="shared" si="25"/>
        <v>500</v>
      </c>
      <c r="AP211" s="406">
        <f t="shared" si="34"/>
        <v>500</v>
      </c>
      <c r="AQ211" s="406"/>
      <c r="AR211" s="406"/>
      <c r="AS211" s="406">
        <f t="shared" si="35"/>
        <v>500</v>
      </c>
      <c r="AT211" s="406"/>
      <c r="AU211" s="440"/>
      <c r="AV211" s="445"/>
      <c r="AW211" s="445"/>
      <c r="AX211" s="445"/>
      <c r="AY211" s="445"/>
      <c r="AZ211" s="445"/>
      <c r="BA211" s="445"/>
      <c r="XEE211" s="448"/>
      <c r="XEF211" s="448"/>
      <c r="XEG211" s="448"/>
      <c r="XEH211" s="448"/>
      <c r="XEI211" s="448"/>
      <c r="XEJ211" s="448"/>
      <c r="XEK211" s="448"/>
      <c r="XEL211" s="448"/>
      <c r="XEM211" s="448"/>
      <c r="XEN211" s="447"/>
      <c r="XEO211" s="447"/>
      <c r="XEP211" s="447"/>
      <c r="XEQ211" s="447"/>
      <c r="XER211" s="447"/>
      <c r="XES211" s="447"/>
      <c r="XET211" s="447"/>
      <c r="XEU211" s="447"/>
      <c r="XEV211" s="447"/>
      <c r="XEW211" s="447"/>
      <c r="XEX211" s="447"/>
      <c r="XEY211" s="447"/>
      <c r="XEZ211" s="447"/>
      <c r="XFA211" s="447"/>
      <c r="XFB211" s="447"/>
      <c r="XFC211" s="447"/>
      <c r="XFD211" s="447"/>
    </row>
    <row r="212" s="184" customFormat="1" ht="39" customHeight="1" spans="1:53 16350:16384">
      <c r="A212" s="426">
        <v>46220</v>
      </c>
      <c r="B212" s="427" t="s">
        <v>174</v>
      </c>
      <c r="C212" s="427" t="s">
        <v>65</v>
      </c>
      <c r="D212" s="428">
        <v>4500216890</v>
      </c>
      <c r="E212" s="429" t="s">
        <v>970</v>
      </c>
      <c r="F212" s="429" t="s">
        <v>971</v>
      </c>
      <c r="G212" s="428" t="s">
        <v>59</v>
      </c>
      <c r="H212" s="391" t="s">
        <v>49</v>
      </c>
      <c r="I212" s="428">
        <v>436</v>
      </c>
      <c r="J212" s="428">
        <v>0</v>
      </c>
      <c r="K212" s="391">
        <v>4</v>
      </c>
      <c r="L212" s="391">
        <f t="shared" si="32"/>
        <v>109</v>
      </c>
      <c r="M212" s="396">
        <v>46260</v>
      </c>
      <c r="N212" s="396">
        <v>46256</v>
      </c>
      <c r="O212" s="396"/>
      <c r="P212" s="430"/>
      <c r="Q212" s="427"/>
      <c r="R212" s="427"/>
      <c r="S212" s="431"/>
      <c r="T212" s="431">
        <v>46220</v>
      </c>
      <c r="U212" s="431" t="s">
        <v>968</v>
      </c>
      <c r="V212" s="396"/>
      <c r="W212" s="396"/>
      <c r="X212" s="396"/>
      <c r="Y212" s="428" t="s">
        <v>969</v>
      </c>
      <c r="Z212" s="428" t="s">
        <v>179</v>
      </c>
      <c r="AA212" s="432">
        <v>12.5937</v>
      </c>
      <c r="AB212" s="428">
        <f t="shared" si="29"/>
        <v>5490.8532</v>
      </c>
      <c r="AC212" s="415"/>
      <c r="AD212" s="400" t="s">
        <v>55</v>
      </c>
      <c r="AE212" s="391" t="s">
        <v>56</v>
      </c>
      <c r="AF212" s="428"/>
      <c r="AG212" s="428"/>
      <c r="AH212" s="423"/>
      <c r="AI212" s="424"/>
      <c r="AJ212" s="428"/>
      <c r="AK212" s="424"/>
      <c r="AL212" s="424"/>
      <c r="AM212" s="424"/>
      <c r="AN212" s="424"/>
      <c r="AO212" s="434">
        <f t="shared" si="25"/>
        <v>436</v>
      </c>
      <c r="AP212" s="406">
        <f t="shared" si="34"/>
        <v>436</v>
      </c>
      <c r="AQ212" s="406"/>
      <c r="AR212" s="406"/>
      <c r="AS212" s="406">
        <f t="shared" si="35"/>
        <v>436</v>
      </c>
      <c r="AT212" s="406"/>
      <c r="AU212" s="440"/>
      <c r="AV212" s="445"/>
      <c r="AW212" s="445"/>
      <c r="AX212" s="445"/>
      <c r="AY212" s="445"/>
      <c r="AZ212" s="445"/>
      <c r="BA212" s="445"/>
      <c r="XEE212" s="447"/>
      <c r="XEF212" s="447"/>
      <c r="XEG212" s="447"/>
      <c r="XEH212" s="447"/>
      <c r="XEI212" s="447"/>
      <c r="XEJ212" s="447"/>
      <c r="XEK212" s="447"/>
      <c r="XEL212" s="447"/>
      <c r="XEM212" s="447"/>
      <c r="XEN212" s="447"/>
      <c r="XEO212" s="447"/>
      <c r="XEP212" s="447"/>
      <c r="XEQ212" s="447"/>
      <c r="XER212" s="447"/>
      <c r="XES212" s="447"/>
      <c r="XET212" s="447"/>
      <c r="XEU212" s="447"/>
      <c r="XEV212" s="447"/>
      <c r="XEW212" s="447"/>
      <c r="XEX212" s="447"/>
      <c r="XEY212" s="447"/>
      <c r="XEZ212" s="447"/>
      <c r="XFA212" s="447"/>
      <c r="XFB212" s="447"/>
      <c r="XFC212" s="483"/>
      <c r="XFD212" s="447"/>
    </row>
    <row r="213" s="184" customFormat="1" ht="39" customHeight="1" spans="1:53 16350:16384">
      <c r="A213" s="411">
        <v>46220</v>
      </c>
      <c r="B213" s="390" t="s">
        <v>174</v>
      </c>
      <c r="C213" s="390" t="s">
        <v>65</v>
      </c>
      <c r="D213" s="391">
        <v>4500216890</v>
      </c>
      <c r="E213" s="392" t="s">
        <v>972</v>
      </c>
      <c r="F213" s="392" t="s">
        <v>973</v>
      </c>
      <c r="G213" s="391" t="s">
        <v>59</v>
      </c>
      <c r="H213" s="391" t="s">
        <v>49</v>
      </c>
      <c r="I213" s="391">
        <v>404</v>
      </c>
      <c r="J213" s="391">
        <v>0</v>
      </c>
      <c r="K213" s="391">
        <v>4</v>
      </c>
      <c r="L213" s="391">
        <f t="shared" si="32"/>
        <v>101</v>
      </c>
      <c r="M213" s="393">
        <v>46260</v>
      </c>
      <c r="N213" s="393">
        <v>46256</v>
      </c>
      <c r="O213" s="393"/>
      <c r="P213" s="394"/>
      <c r="Q213" s="390"/>
      <c r="R213" s="390"/>
      <c r="S213" s="395"/>
      <c r="T213" s="395">
        <v>46220</v>
      </c>
      <c r="U213" s="431" t="s">
        <v>968</v>
      </c>
      <c r="V213" s="393"/>
      <c r="W213" s="393"/>
      <c r="X213" s="393"/>
      <c r="Y213" s="391" t="s">
        <v>969</v>
      </c>
      <c r="Z213" s="391" t="s">
        <v>179</v>
      </c>
      <c r="AA213" s="397">
        <v>12.5937</v>
      </c>
      <c r="AB213" s="391">
        <f t="shared" si="29"/>
        <v>5087.8548</v>
      </c>
      <c r="AC213" s="399"/>
      <c r="AD213" s="400" t="s">
        <v>55</v>
      </c>
      <c r="AE213" s="391" t="s">
        <v>56</v>
      </c>
      <c r="AF213" s="398"/>
      <c r="AG213" s="398"/>
      <c r="AH213" s="390"/>
      <c r="AI213" s="391"/>
      <c r="AJ213" s="398"/>
      <c r="AK213" s="398"/>
      <c r="AL213" s="398"/>
      <c r="AM213" s="398"/>
      <c r="AN213" s="398"/>
      <c r="AO213" s="405">
        <f t="shared" si="25"/>
        <v>404</v>
      </c>
      <c r="AP213" s="406">
        <f t="shared" si="34"/>
        <v>404</v>
      </c>
      <c r="AQ213" s="406"/>
      <c r="AR213" s="406"/>
      <c r="AS213" s="406">
        <f t="shared" si="35"/>
        <v>404</v>
      </c>
      <c r="AT213" s="406"/>
      <c r="AU213" s="440"/>
      <c r="AV213" s="444"/>
      <c r="AW213" s="445"/>
      <c r="AX213" s="445"/>
      <c r="AY213" s="445"/>
      <c r="AZ213" s="445"/>
      <c r="BA213" s="445"/>
      <c r="XEE213" s="448"/>
      <c r="XEF213" s="448"/>
      <c r="XEG213" s="448"/>
      <c r="XEH213" s="448"/>
      <c r="XEI213" s="448"/>
      <c r="XEJ213" s="448"/>
      <c r="XEK213" s="448"/>
      <c r="XEL213" s="448"/>
      <c r="XEM213" s="448"/>
      <c r="XEN213" s="448"/>
      <c r="XEO213" s="448"/>
      <c r="XEP213" s="448"/>
      <c r="XEQ213" s="448"/>
      <c r="XER213" s="448"/>
      <c r="XES213" s="448"/>
      <c r="XET213" s="448"/>
      <c r="XEU213" s="448"/>
      <c r="XEV213" s="448"/>
      <c r="XEW213" s="448"/>
      <c r="XEX213" s="448"/>
      <c r="XEY213" s="448"/>
      <c r="XEZ213" s="448"/>
      <c r="XFA213" s="448"/>
      <c r="XFB213" s="448"/>
      <c r="XFC213" s="448"/>
      <c r="XFD213" s="448"/>
    </row>
    <row r="214" s="184" customFormat="1" ht="39" customHeight="1" spans="1:53 16350:16384">
      <c r="A214" s="411">
        <v>46220</v>
      </c>
      <c r="B214" s="390" t="s">
        <v>174</v>
      </c>
      <c r="C214" s="390" t="s">
        <v>65</v>
      </c>
      <c r="D214" s="391">
        <v>4500216890</v>
      </c>
      <c r="E214" s="392" t="s">
        <v>974</v>
      </c>
      <c r="F214" s="392" t="s">
        <v>975</v>
      </c>
      <c r="G214" s="391" t="s">
        <v>59</v>
      </c>
      <c r="H214" s="391" t="s">
        <v>49</v>
      </c>
      <c r="I214" s="391">
        <v>160</v>
      </c>
      <c r="J214" s="391">
        <v>0</v>
      </c>
      <c r="K214" s="391">
        <v>4</v>
      </c>
      <c r="L214" s="391">
        <f t="shared" si="32"/>
        <v>40</v>
      </c>
      <c r="M214" s="393">
        <v>46260</v>
      </c>
      <c r="N214" s="393">
        <v>46256</v>
      </c>
      <c r="O214" s="393"/>
      <c r="P214" s="394"/>
      <c r="Q214" s="390"/>
      <c r="R214" s="390"/>
      <c r="S214" s="413"/>
      <c r="T214" s="413">
        <v>46220</v>
      </c>
      <c r="U214" s="395" t="s">
        <v>968</v>
      </c>
      <c r="V214" s="393"/>
      <c r="W214" s="393"/>
      <c r="X214" s="393"/>
      <c r="Y214" s="391" t="s">
        <v>969</v>
      </c>
      <c r="Z214" s="391" t="s">
        <v>179</v>
      </c>
      <c r="AA214" s="414">
        <v>12.5937</v>
      </c>
      <c r="AB214" s="391">
        <f t="shared" si="29"/>
        <v>2014.992</v>
      </c>
      <c r="AC214" s="415"/>
      <c r="AD214" s="435" t="s">
        <v>55</v>
      </c>
      <c r="AE214" s="391" t="s">
        <v>56</v>
      </c>
      <c r="AF214" s="398"/>
      <c r="AG214" s="398"/>
      <c r="AH214" s="390"/>
      <c r="AI214" s="391"/>
      <c r="AJ214" s="398"/>
      <c r="AK214" s="398"/>
      <c r="AL214" s="398"/>
      <c r="AM214" s="398"/>
      <c r="AN214" s="398"/>
      <c r="AO214" s="420">
        <f t="shared" ref="AO214:AO230" si="36">I214</f>
        <v>160</v>
      </c>
      <c r="AP214" s="406">
        <f t="shared" si="34"/>
        <v>160</v>
      </c>
      <c r="AQ214" s="406"/>
      <c r="AR214" s="406"/>
      <c r="AS214" s="406">
        <f t="shared" si="35"/>
        <v>160</v>
      </c>
      <c r="AT214" s="406"/>
      <c r="AU214" s="440"/>
      <c r="AV214" s="444"/>
      <c r="AW214" s="445"/>
      <c r="AX214" s="445"/>
      <c r="AY214" s="445"/>
      <c r="AZ214" s="445"/>
      <c r="BA214" s="445"/>
      <c r="XEE214" s="448"/>
      <c r="XEF214" s="448"/>
      <c r="XEG214" s="448"/>
      <c r="XEH214" s="448"/>
      <c r="XEI214" s="448"/>
      <c r="XEJ214" s="448"/>
      <c r="XEK214" s="448"/>
      <c r="XEL214" s="448"/>
      <c r="XEM214" s="448"/>
      <c r="XEN214" s="448"/>
      <c r="XEO214" s="448"/>
      <c r="XEP214" s="448"/>
      <c r="XEQ214" s="448"/>
      <c r="XER214" s="448"/>
      <c r="XES214" s="448"/>
      <c r="XET214" s="448"/>
      <c r="XEU214" s="448"/>
      <c r="XEV214" s="448"/>
      <c r="XEW214" s="448"/>
      <c r="XEX214" s="448"/>
      <c r="XEY214" s="448"/>
      <c r="XEZ214" s="448"/>
      <c r="XFA214" s="448"/>
      <c r="XFB214" s="448"/>
      <c r="XFC214" s="448"/>
      <c r="XFD214" s="448"/>
    </row>
    <row r="215" s="185" customFormat="1" ht="39" customHeight="1" spans="1:53 16350:16384">
      <c r="A215" s="411">
        <v>46183</v>
      </c>
      <c r="B215" s="390" t="s">
        <v>238</v>
      </c>
      <c r="C215" s="390" t="s">
        <v>77</v>
      </c>
      <c r="D215" s="391" t="s">
        <v>976</v>
      </c>
      <c r="E215" s="392" t="s">
        <v>977</v>
      </c>
      <c r="F215" s="392" t="s">
        <v>978</v>
      </c>
      <c r="G215" s="391">
        <v>71172</v>
      </c>
      <c r="H215" s="391" t="s">
        <v>49</v>
      </c>
      <c r="I215" s="391">
        <v>1032</v>
      </c>
      <c r="J215" s="391">
        <v>0</v>
      </c>
      <c r="K215" s="238">
        <v>4</v>
      </c>
      <c r="L215" s="238">
        <f t="shared" si="32"/>
        <v>258</v>
      </c>
      <c r="M215" s="393">
        <v>46261</v>
      </c>
      <c r="N215" s="393">
        <v>46258</v>
      </c>
      <c r="O215" s="393"/>
      <c r="P215" s="394"/>
      <c r="Q215" s="393" t="s">
        <v>811</v>
      </c>
      <c r="R215" s="390"/>
      <c r="S215" s="413"/>
      <c r="T215" s="395" t="s">
        <v>812</v>
      </c>
      <c r="U215" s="395">
        <v>46205</v>
      </c>
      <c r="V215" s="393"/>
      <c r="W215" s="393"/>
      <c r="X215" s="396" t="s">
        <v>584</v>
      </c>
      <c r="Y215" s="391" t="s">
        <v>979</v>
      </c>
      <c r="Z215" s="391" t="s">
        <v>81</v>
      </c>
      <c r="AA215" s="414">
        <v>6.72642</v>
      </c>
      <c r="AB215" s="391">
        <f t="shared" si="29"/>
        <v>6941.66544</v>
      </c>
      <c r="AC215" s="415"/>
      <c r="AD215" s="435" t="s">
        <v>55</v>
      </c>
      <c r="AE215" s="484" t="s">
        <v>56</v>
      </c>
      <c r="AF215" s="485"/>
      <c r="AG215" s="485"/>
      <c r="AH215" s="418"/>
      <c r="AI215" s="418"/>
      <c r="AJ215" s="419"/>
      <c r="AK215" s="419"/>
      <c r="AL215" s="419"/>
      <c r="AM215" s="419"/>
      <c r="AN215" s="419"/>
      <c r="AO215" s="420">
        <f t="shared" si="36"/>
        <v>1032</v>
      </c>
      <c r="AP215" s="406">
        <f t="shared" si="34"/>
        <v>1032</v>
      </c>
      <c r="AQ215" s="421"/>
      <c r="AR215" s="421"/>
      <c r="AS215" s="406">
        <f t="shared" si="35"/>
        <v>1032</v>
      </c>
      <c r="AT215" s="421"/>
      <c r="AU215" s="421"/>
      <c r="AV215" s="183"/>
      <c r="XEE215" s="281"/>
      <c r="XEF215" s="281"/>
      <c r="XEG215" s="281"/>
      <c r="XEH215" s="281"/>
      <c r="XEI215" s="281"/>
      <c r="XEJ215" s="281"/>
      <c r="XEK215" s="281"/>
      <c r="XEL215" s="281"/>
      <c r="XEM215" s="281"/>
      <c r="XEN215" s="422"/>
      <c r="XEO215" s="423"/>
      <c r="XEP215" s="423"/>
      <c r="XEQ215" s="424"/>
      <c r="XER215" s="425"/>
      <c r="XES215" s="425"/>
      <c r="XET215" s="424"/>
      <c r="XEU215" s="424"/>
      <c r="XEV215" s="424"/>
      <c r="XEW215" s="422"/>
      <c r="XEX215" s="423"/>
      <c r="XEY215" s="423"/>
      <c r="XEZ215" s="424"/>
      <c r="XFA215" s="425"/>
      <c r="XFB215" s="425"/>
      <c r="XFC215" s="424"/>
      <c r="XFD215" s="424"/>
    </row>
    <row r="216" s="185" customFormat="1" ht="39" customHeight="1" spans="1:53 16350:16384">
      <c r="A216" s="426">
        <v>46183</v>
      </c>
      <c r="B216" s="427" t="s">
        <v>238</v>
      </c>
      <c r="C216" s="427" t="s">
        <v>77</v>
      </c>
      <c r="D216" s="428" t="s">
        <v>976</v>
      </c>
      <c r="E216" s="429" t="s">
        <v>977</v>
      </c>
      <c r="F216" s="429" t="s">
        <v>980</v>
      </c>
      <c r="G216" s="428">
        <v>71172</v>
      </c>
      <c r="H216" s="428" t="s">
        <v>49</v>
      </c>
      <c r="I216" s="428">
        <v>964</v>
      </c>
      <c r="J216" s="428">
        <v>0</v>
      </c>
      <c r="K216" s="284">
        <v>4</v>
      </c>
      <c r="L216" s="284">
        <f t="shared" si="32"/>
        <v>241</v>
      </c>
      <c r="M216" s="396">
        <v>46261</v>
      </c>
      <c r="N216" s="396">
        <v>46258</v>
      </c>
      <c r="O216" s="396"/>
      <c r="P216" s="430"/>
      <c r="Q216" s="396" t="s">
        <v>811</v>
      </c>
      <c r="R216" s="427"/>
      <c r="S216" s="431"/>
      <c r="T216" s="431" t="s">
        <v>812</v>
      </c>
      <c r="U216" s="431">
        <v>46205</v>
      </c>
      <c r="V216" s="396"/>
      <c r="W216" s="396"/>
      <c r="X216" s="396" t="s">
        <v>584</v>
      </c>
      <c r="Y216" s="428" t="s">
        <v>979</v>
      </c>
      <c r="Z216" s="428" t="s">
        <v>81</v>
      </c>
      <c r="AA216" s="432">
        <v>6.72642</v>
      </c>
      <c r="AB216" s="428">
        <f t="shared" si="29"/>
        <v>6484.26888</v>
      </c>
      <c r="AC216" s="415"/>
      <c r="AD216" s="435" t="s">
        <v>55</v>
      </c>
      <c r="AE216" s="185" t="s">
        <v>56</v>
      </c>
      <c r="AF216" s="433"/>
      <c r="AG216" s="433"/>
      <c r="AH216" s="433"/>
      <c r="AI216" s="433"/>
      <c r="AJ216" s="185"/>
      <c r="AK216" s="185"/>
      <c r="AL216" s="185"/>
      <c r="AM216" s="185"/>
      <c r="AN216" s="185"/>
      <c r="AO216" s="406">
        <f t="shared" si="36"/>
        <v>964</v>
      </c>
      <c r="AP216" s="406">
        <f t="shared" si="34"/>
        <v>964</v>
      </c>
      <c r="AQ216" s="421"/>
      <c r="AR216" s="421"/>
      <c r="AS216" s="406">
        <f t="shared" si="35"/>
        <v>964</v>
      </c>
      <c r="AT216" s="421"/>
      <c r="AU216" s="421"/>
      <c r="AV216" s="185"/>
      <c r="XDV216" s="438"/>
      <c r="XDW216" s="438"/>
      <c r="XDX216" s="438"/>
      <c r="XDY216" s="438"/>
      <c r="XDZ216" s="438"/>
      <c r="XEA216" s="438"/>
      <c r="XEB216" s="438"/>
      <c r="XEC216" s="438"/>
      <c r="XED216" s="438"/>
      <c r="XEE216" s="438"/>
      <c r="XEF216" s="438"/>
      <c r="XEG216" s="438"/>
      <c r="XEH216" s="438"/>
      <c r="XEI216" s="438"/>
      <c r="XEJ216" s="438"/>
      <c r="XEK216" s="438"/>
      <c r="XEL216" s="438"/>
      <c r="XEM216" s="438"/>
      <c r="XEN216" s="426"/>
      <c r="XEO216" s="427"/>
      <c r="XEP216" s="427"/>
      <c r="XEQ216" s="428"/>
      <c r="XER216" s="429"/>
      <c r="XES216" s="429"/>
      <c r="XET216" s="428"/>
      <c r="XEU216" s="428"/>
      <c r="XEV216" s="428"/>
      <c r="XEW216" s="426"/>
      <c r="XEX216" s="427"/>
      <c r="XEY216" s="427"/>
      <c r="XEZ216" s="428"/>
      <c r="XFA216" s="429"/>
      <c r="XFB216" s="429"/>
      <c r="XFC216" s="428"/>
      <c r="XFD216" s="428"/>
    </row>
    <row r="217" s="185" customFormat="1" ht="39" customHeight="1" spans="1:53 16350:16384">
      <c r="A217" s="486">
        <v>46183</v>
      </c>
      <c r="B217" s="487" t="s">
        <v>238</v>
      </c>
      <c r="C217" s="487" t="s">
        <v>77</v>
      </c>
      <c r="D217" s="488" t="s">
        <v>976</v>
      </c>
      <c r="E217" s="489" t="s">
        <v>977</v>
      </c>
      <c r="F217" s="489" t="s">
        <v>981</v>
      </c>
      <c r="G217" s="488">
        <v>71172</v>
      </c>
      <c r="H217" s="488" t="s">
        <v>49</v>
      </c>
      <c r="I217" s="488">
        <v>1404</v>
      </c>
      <c r="J217" s="488">
        <v>0</v>
      </c>
      <c r="K217" s="490">
        <v>4</v>
      </c>
      <c r="L217" s="490">
        <f t="shared" si="32"/>
        <v>351</v>
      </c>
      <c r="M217" s="491">
        <v>46261</v>
      </c>
      <c r="N217" s="491">
        <v>46258</v>
      </c>
      <c r="O217" s="491"/>
      <c r="P217" s="492"/>
      <c r="Q217" s="491" t="s">
        <v>811</v>
      </c>
      <c r="R217" s="487"/>
      <c r="S217" s="493"/>
      <c r="T217" s="493" t="s">
        <v>812</v>
      </c>
      <c r="U217" s="493">
        <v>46205</v>
      </c>
      <c r="V217" s="491"/>
      <c r="W217" s="491"/>
      <c r="X217" s="491" t="s">
        <v>584</v>
      </c>
      <c r="Y217" s="488" t="s">
        <v>979</v>
      </c>
      <c r="Z217" s="488" t="s">
        <v>81</v>
      </c>
      <c r="AA217" s="494">
        <v>6.72642</v>
      </c>
      <c r="AB217" s="488">
        <f t="shared" si="29"/>
        <v>9443.89368</v>
      </c>
      <c r="AC217" s="458"/>
      <c r="AD217" s="459" t="s">
        <v>55</v>
      </c>
      <c r="AE217" s="185" t="s">
        <v>56</v>
      </c>
      <c r="AF217" s="495"/>
      <c r="AG217" s="495"/>
      <c r="AH217" s="404"/>
      <c r="AI217" s="404"/>
      <c r="AJ217" s="496"/>
      <c r="AK217" s="183"/>
      <c r="AL217" s="183"/>
      <c r="AM217" s="183"/>
      <c r="AN217" s="183"/>
      <c r="AO217" s="497">
        <f t="shared" si="36"/>
        <v>1404</v>
      </c>
      <c r="AP217" s="462">
        <f t="shared" si="34"/>
        <v>1404</v>
      </c>
      <c r="AQ217" s="498"/>
      <c r="AR217" s="498"/>
      <c r="AS217" s="462">
        <f t="shared" si="35"/>
        <v>1404</v>
      </c>
      <c r="AT217" s="498"/>
      <c r="AU217" s="498"/>
      <c r="AV217" s="183"/>
      <c r="XEE217" s="499"/>
      <c r="XEF217" s="499"/>
      <c r="XEG217" s="499"/>
      <c r="XEH217" s="499"/>
      <c r="XEI217" s="499"/>
      <c r="XEJ217" s="499"/>
      <c r="XEK217" s="499"/>
      <c r="XEL217" s="499"/>
      <c r="XEM217" s="499"/>
      <c r="XEN217" s="486"/>
      <c r="XEO217" s="487"/>
      <c r="XEP217" s="487"/>
      <c r="XEQ217" s="488"/>
      <c r="XER217" s="489"/>
      <c r="XES217" s="489"/>
      <c r="XET217" s="488"/>
      <c r="XEU217" s="488"/>
      <c r="XEV217" s="488"/>
      <c r="XEW217" s="486"/>
      <c r="XEX217" s="487"/>
      <c r="XEY217" s="487"/>
      <c r="XEZ217" s="488"/>
      <c r="XFA217" s="489"/>
      <c r="XFB217" s="489"/>
      <c r="XFC217" s="488"/>
      <c r="XFD217" s="488"/>
    </row>
    <row r="218" s="185" customFormat="1" ht="39" customHeight="1" spans="1:53 16350:16384">
      <c r="A218" s="486">
        <v>46183</v>
      </c>
      <c r="B218" s="487" t="s">
        <v>238</v>
      </c>
      <c r="C218" s="487" t="s">
        <v>77</v>
      </c>
      <c r="D218" s="488" t="s">
        <v>976</v>
      </c>
      <c r="E218" s="489" t="s">
        <v>977</v>
      </c>
      <c r="F218" s="489" t="s">
        <v>982</v>
      </c>
      <c r="G218" s="488">
        <v>71172</v>
      </c>
      <c r="H218" s="488" t="s">
        <v>49</v>
      </c>
      <c r="I218" s="488">
        <v>1156</v>
      </c>
      <c r="J218" s="488">
        <v>0</v>
      </c>
      <c r="K218" s="490">
        <v>4</v>
      </c>
      <c r="L218" s="490">
        <f t="shared" si="32"/>
        <v>289</v>
      </c>
      <c r="M218" s="491">
        <v>46261</v>
      </c>
      <c r="N218" s="491">
        <v>46258</v>
      </c>
      <c r="O218" s="491"/>
      <c r="P218" s="492"/>
      <c r="Q218" s="491" t="s">
        <v>811</v>
      </c>
      <c r="R218" s="487"/>
      <c r="S218" s="493"/>
      <c r="T218" s="493" t="s">
        <v>812</v>
      </c>
      <c r="U218" s="493">
        <v>46205</v>
      </c>
      <c r="V218" s="491"/>
      <c r="W218" s="491"/>
      <c r="X218" s="491" t="s">
        <v>584</v>
      </c>
      <c r="Y218" s="488" t="s">
        <v>979</v>
      </c>
      <c r="Z218" s="488" t="s">
        <v>81</v>
      </c>
      <c r="AA218" s="494">
        <v>6.72642</v>
      </c>
      <c r="AB218" s="488">
        <f t="shared" si="29"/>
        <v>7775.74152</v>
      </c>
      <c r="AC218" s="458"/>
      <c r="AD218" s="459" t="s">
        <v>55</v>
      </c>
      <c r="AE218" s="185" t="s">
        <v>56</v>
      </c>
      <c r="AF218" s="495"/>
      <c r="AG218" s="495"/>
      <c r="AH218" s="404"/>
      <c r="AI218" s="404"/>
      <c r="AJ218" s="496"/>
      <c r="AK218" s="183"/>
      <c r="AL218" s="183"/>
      <c r="AM218" s="183"/>
      <c r="AN218" s="183"/>
      <c r="AO218" s="497">
        <f t="shared" si="36"/>
        <v>1156</v>
      </c>
      <c r="AP218" s="462">
        <f t="shared" si="34"/>
        <v>1156</v>
      </c>
      <c r="AQ218" s="498"/>
      <c r="AR218" s="498"/>
      <c r="AS218" s="462">
        <f t="shared" si="35"/>
        <v>1156</v>
      </c>
      <c r="AT218" s="498"/>
      <c r="AU218" s="498"/>
      <c r="AV218" s="183"/>
      <c r="XEE218" s="499"/>
      <c r="XEF218" s="499"/>
      <c r="XEG218" s="499"/>
      <c r="XEH218" s="499"/>
      <c r="XEI218" s="499"/>
      <c r="XEJ218" s="499"/>
      <c r="XEK218" s="499"/>
      <c r="XEL218" s="499"/>
      <c r="XEM218" s="499"/>
      <c r="XEN218" s="486"/>
      <c r="XEO218" s="487"/>
      <c r="XEP218" s="487"/>
      <c r="XEQ218" s="488"/>
      <c r="XER218" s="489"/>
      <c r="XES218" s="489"/>
      <c r="XET218" s="488"/>
      <c r="XEU218" s="488"/>
      <c r="XEV218" s="488"/>
      <c r="XEW218" s="486"/>
      <c r="XEX218" s="487"/>
      <c r="XEY218" s="487"/>
      <c r="XEZ218" s="488"/>
      <c r="XFA218" s="489"/>
      <c r="XFB218" s="489"/>
      <c r="XFC218" s="488"/>
      <c r="XFD218" s="488"/>
    </row>
    <row r="219" s="185" customFormat="1" ht="39" customHeight="1" spans="1:53 16350:16384">
      <c r="A219" s="486">
        <v>46220</v>
      </c>
      <c r="B219" s="487" t="s">
        <v>85</v>
      </c>
      <c r="C219" s="487" t="s">
        <v>77</v>
      </c>
      <c r="D219" s="488">
        <v>4500216792</v>
      </c>
      <c r="E219" s="489" t="s">
        <v>983</v>
      </c>
      <c r="F219" s="489" t="s">
        <v>984</v>
      </c>
      <c r="G219" s="488" t="s">
        <v>59</v>
      </c>
      <c r="H219" s="488" t="s">
        <v>49</v>
      </c>
      <c r="I219" s="488">
        <v>2336</v>
      </c>
      <c r="J219" s="488">
        <v>0</v>
      </c>
      <c r="K219" s="488">
        <v>4</v>
      </c>
      <c r="L219" s="488">
        <f t="shared" si="32"/>
        <v>584</v>
      </c>
      <c r="M219" s="491">
        <v>46261</v>
      </c>
      <c r="N219" s="491">
        <v>46258</v>
      </c>
      <c r="O219" s="491"/>
      <c r="P219" s="492"/>
      <c r="Q219" s="487"/>
      <c r="R219" s="487"/>
      <c r="S219" s="493" t="s">
        <v>61</v>
      </c>
      <c r="T219" s="493">
        <v>46230</v>
      </c>
      <c r="U219" s="500">
        <v>46244</v>
      </c>
      <c r="V219" s="491"/>
      <c r="W219" s="491"/>
      <c r="X219" s="491"/>
      <c r="Y219" s="488" t="s">
        <v>919</v>
      </c>
      <c r="Z219" s="488" t="s">
        <v>91</v>
      </c>
      <c r="AA219" s="494">
        <v>6.9329</v>
      </c>
      <c r="AB219" s="488">
        <f t="shared" si="29"/>
        <v>16195.2544</v>
      </c>
      <c r="AC219" s="458"/>
      <c r="AD219" s="459" t="s">
        <v>55</v>
      </c>
      <c r="AE219" s="428" t="s">
        <v>56</v>
      </c>
      <c r="AF219" s="462"/>
      <c r="AG219" s="496"/>
      <c r="AH219" s="436"/>
      <c r="AI219" s="436"/>
      <c r="AJ219" s="496"/>
      <c r="AK219" s="183"/>
      <c r="AL219" s="183"/>
      <c r="AM219" s="183"/>
      <c r="AN219" s="183"/>
      <c r="AO219" s="497">
        <f t="shared" si="36"/>
        <v>2336</v>
      </c>
      <c r="AP219" s="462">
        <f t="shared" si="34"/>
        <v>2336</v>
      </c>
      <c r="AQ219" s="501"/>
      <c r="AR219" s="501"/>
      <c r="AS219" s="462">
        <f t="shared" si="35"/>
        <v>2336</v>
      </c>
      <c r="AT219" s="501"/>
      <c r="AU219" s="501"/>
      <c r="AV219" s="448"/>
      <c r="XDV219" s="448"/>
      <c r="XDW219" s="448"/>
      <c r="XDX219" s="448"/>
      <c r="XDY219" s="448"/>
      <c r="XDZ219" s="448"/>
      <c r="XEA219" s="448"/>
      <c r="XEB219" s="448"/>
      <c r="XEC219" s="448"/>
      <c r="XED219" s="448"/>
      <c r="XEE219" s="501"/>
      <c r="XEF219" s="486"/>
      <c r="XEG219" s="487"/>
      <c r="XEH219" s="487"/>
      <c r="XEI219" s="488"/>
      <c r="XEJ219" s="489"/>
      <c r="XEK219" s="489"/>
      <c r="XEL219" s="488"/>
      <c r="XEM219" s="486"/>
      <c r="XEN219" s="487"/>
      <c r="XEO219" s="487"/>
      <c r="XEP219" s="488"/>
      <c r="XEQ219" s="489"/>
      <c r="XER219" s="489"/>
      <c r="XES219" s="488"/>
      <c r="XET219" s="488"/>
      <c r="XEU219" s="488"/>
      <c r="XEV219" s="486"/>
      <c r="XEW219" s="487"/>
      <c r="XEX219" s="487"/>
      <c r="XEY219" s="488"/>
      <c r="XEZ219" s="489"/>
      <c r="XFA219" s="489"/>
      <c r="XFB219" s="488"/>
      <c r="XFC219" s="488"/>
      <c r="XFD219" s="488"/>
    </row>
    <row r="220" s="184" customFormat="1" ht="39" customHeight="1" spans="1:53 16350:16384">
      <c r="A220" s="486">
        <v>46218</v>
      </c>
      <c r="B220" s="487" t="s">
        <v>985</v>
      </c>
      <c r="C220" s="487" t="s">
        <v>986</v>
      </c>
      <c r="D220" s="488" t="s">
        <v>987</v>
      </c>
      <c r="E220" s="489"/>
      <c r="F220" s="489" t="s">
        <v>988</v>
      </c>
      <c r="G220" s="488" t="s">
        <v>59</v>
      </c>
      <c r="H220" s="488" t="s">
        <v>49</v>
      </c>
      <c r="I220" s="488">
        <v>240</v>
      </c>
      <c r="J220" s="488">
        <v>0</v>
      </c>
      <c r="K220" s="488">
        <v>4</v>
      </c>
      <c r="L220" s="488">
        <f t="shared" si="32"/>
        <v>60</v>
      </c>
      <c r="M220" s="491">
        <v>46262</v>
      </c>
      <c r="N220" s="502" t="s">
        <v>882</v>
      </c>
      <c r="O220" s="491"/>
      <c r="P220" s="492"/>
      <c r="Q220" s="487"/>
      <c r="R220" s="487"/>
      <c r="S220" s="493"/>
      <c r="T220" s="493">
        <v>46218</v>
      </c>
      <c r="U220" s="493" t="s">
        <v>989</v>
      </c>
      <c r="V220" s="491"/>
      <c r="W220" s="491"/>
      <c r="X220" s="491"/>
      <c r="Y220" s="488" t="s">
        <v>990</v>
      </c>
      <c r="Z220" s="488" t="s">
        <v>362</v>
      </c>
      <c r="AA220" s="494">
        <v>11.9558</v>
      </c>
      <c r="AB220" s="488">
        <f t="shared" si="29"/>
        <v>2869.392</v>
      </c>
      <c r="AC220" s="458"/>
      <c r="AD220" s="459" t="s">
        <v>55</v>
      </c>
      <c r="AE220" s="428" t="s">
        <v>56</v>
      </c>
      <c r="AF220" s="488"/>
      <c r="AG220" s="488"/>
      <c r="AH220" s="423"/>
      <c r="AI220" s="424"/>
      <c r="AJ220" s="488"/>
      <c r="AK220" s="424"/>
      <c r="AL220" s="424"/>
      <c r="AM220" s="424"/>
      <c r="AN220" s="424"/>
      <c r="AO220" s="497">
        <f t="shared" si="36"/>
        <v>240</v>
      </c>
      <c r="AP220" s="462">
        <f t="shared" si="34"/>
        <v>240</v>
      </c>
      <c r="AQ220" s="462"/>
      <c r="AR220" s="462"/>
      <c r="AS220" s="462">
        <f t="shared" si="35"/>
        <v>240</v>
      </c>
      <c r="AT220" s="462"/>
      <c r="AU220" s="463"/>
      <c r="AV220" s="445"/>
      <c r="AW220" s="445"/>
      <c r="AX220" s="445"/>
      <c r="AY220" s="445"/>
      <c r="AZ220" s="445"/>
      <c r="BA220" s="445"/>
      <c r="XEE220" s="498"/>
      <c r="XEF220" s="498"/>
      <c r="XEG220" s="498"/>
      <c r="XEH220" s="498"/>
      <c r="XEI220" s="498"/>
      <c r="XEJ220" s="498"/>
      <c r="XEK220" s="498"/>
      <c r="XEL220" s="498"/>
      <c r="XEM220" s="498"/>
      <c r="XEN220" s="498"/>
      <c r="XEO220" s="498"/>
      <c r="XEP220" s="498"/>
      <c r="XEQ220" s="498"/>
      <c r="XER220" s="498"/>
      <c r="XES220" s="498"/>
      <c r="XET220" s="498"/>
      <c r="XEU220" s="498"/>
      <c r="XEV220" s="498"/>
      <c r="XEW220" s="498"/>
      <c r="XEX220" s="498"/>
      <c r="XEY220" s="498"/>
      <c r="XEZ220" s="498"/>
      <c r="XFA220" s="498"/>
      <c r="XFB220" s="498"/>
      <c r="XFC220" s="498"/>
      <c r="XFD220" s="498"/>
    </row>
    <row r="221" s="184" customFormat="1" ht="39" customHeight="1" spans="1:53 16350:16384">
      <c r="A221" s="426">
        <v>46216</v>
      </c>
      <c r="B221" s="427" t="s">
        <v>991</v>
      </c>
      <c r="C221" s="427" t="s">
        <v>65</v>
      </c>
      <c r="D221" s="428" t="s">
        <v>992</v>
      </c>
      <c r="E221" s="429" t="s">
        <v>993</v>
      </c>
      <c r="F221" s="429" t="s">
        <v>994</v>
      </c>
      <c r="G221" s="428" t="s">
        <v>59</v>
      </c>
      <c r="H221" s="428" t="s">
        <v>49</v>
      </c>
      <c r="I221" s="428">
        <v>1500</v>
      </c>
      <c r="J221" s="428">
        <v>0</v>
      </c>
      <c r="K221" s="428">
        <v>4</v>
      </c>
      <c r="L221" s="428">
        <f t="shared" si="32"/>
        <v>375</v>
      </c>
      <c r="M221" s="396">
        <v>46265</v>
      </c>
      <c r="N221" s="491">
        <v>46261</v>
      </c>
      <c r="O221" s="396"/>
      <c r="P221" s="430"/>
      <c r="Q221" s="427"/>
      <c r="R221" s="427"/>
      <c r="S221" s="431" t="s">
        <v>61</v>
      </c>
      <c r="T221" s="431">
        <v>46216</v>
      </c>
      <c r="U221" s="493" t="s">
        <v>995</v>
      </c>
      <c r="V221" s="396"/>
      <c r="W221" s="396"/>
      <c r="X221" s="396"/>
      <c r="Y221" s="428" t="s">
        <v>996</v>
      </c>
      <c r="Z221" s="428" t="s">
        <v>997</v>
      </c>
      <c r="AA221" s="432">
        <v>11.6553</v>
      </c>
      <c r="AB221" s="428">
        <f t="shared" si="29"/>
        <v>17482.95</v>
      </c>
      <c r="AC221" s="415"/>
      <c r="AD221" s="459" t="s">
        <v>55</v>
      </c>
      <c r="AE221" s="428" t="s">
        <v>56</v>
      </c>
      <c r="AF221" s="406"/>
      <c r="AG221" s="185"/>
      <c r="AH221" s="406"/>
      <c r="AI221" s="406"/>
      <c r="AJ221" s="185"/>
      <c r="AK221" s="185"/>
      <c r="AL221" s="185"/>
      <c r="AM221" s="185"/>
      <c r="AN221" s="185"/>
      <c r="AO221" s="406">
        <f t="shared" si="36"/>
        <v>1500</v>
      </c>
      <c r="AP221" s="462">
        <f t="shared" si="34"/>
        <v>1500</v>
      </c>
      <c r="AQ221" s="421"/>
      <c r="AR221" s="421"/>
      <c r="AS221" s="462">
        <f t="shared" si="35"/>
        <v>1500</v>
      </c>
      <c r="AT221" s="421"/>
      <c r="AU221" s="421"/>
      <c r="AV221" s="281"/>
      <c r="XDV221" s="448"/>
      <c r="XDW221" s="448"/>
      <c r="XDX221" s="448"/>
      <c r="XDY221" s="448"/>
      <c r="XDZ221" s="448"/>
      <c r="XEA221" s="448"/>
      <c r="XEB221" s="448"/>
      <c r="XEC221" s="448"/>
      <c r="XED221" s="448"/>
      <c r="XEE221" s="501"/>
      <c r="XEF221" s="486"/>
      <c r="XEG221" s="487"/>
      <c r="XEH221" s="487"/>
      <c r="XEI221" s="488"/>
      <c r="XEJ221" s="489"/>
      <c r="XEK221" s="489"/>
      <c r="XEL221" s="488"/>
      <c r="XEM221" s="486"/>
      <c r="XEN221" s="487"/>
      <c r="XEO221" s="487"/>
      <c r="XEP221" s="488"/>
      <c r="XEQ221" s="489"/>
      <c r="XER221" s="489"/>
      <c r="XES221" s="488"/>
      <c r="XET221" s="488"/>
      <c r="XEU221" s="488"/>
      <c r="XEV221" s="486"/>
      <c r="XEW221" s="487"/>
      <c r="XEX221" s="487"/>
      <c r="XEY221" s="488"/>
      <c r="XEZ221" s="489"/>
      <c r="XFA221" s="489"/>
      <c r="XFB221" s="488"/>
      <c r="XFC221" s="488"/>
      <c r="XFD221" s="488"/>
    </row>
    <row r="222" s="184" customFormat="1" ht="39" customHeight="1" spans="1:53 16350:16384">
      <c r="A222" s="426">
        <v>46245</v>
      </c>
      <c r="B222" s="427" t="s">
        <v>998</v>
      </c>
      <c r="C222" s="427" t="s">
        <v>999</v>
      </c>
      <c r="D222" s="428" t="s">
        <v>1000</v>
      </c>
      <c r="E222" s="429"/>
      <c r="F222" s="429" t="s">
        <v>1001</v>
      </c>
      <c r="G222" s="428" t="s">
        <v>48</v>
      </c>
      <c r="H222" s="428" t="s">
        <v>49</v>
      </c>
      <c r="I222" s="428">
        <v>24</v>
      </c>
      <c r="J222" s="428">
        <v>0</v>
      </c>
      <c r="K222" s="428">
        <v>4</v>
      </c>
      <c r="L222" s="428">
        <f t="shared" si="32"/>
        <v>6</v>
      </c>
      <c r="M222" s="396">
        <v>46265</v>
      </c>
      <c r="N222" s="491">
        <v>46261</v>
      </c>
      <c r="O222" s="396"/>
      <c r="P222" s="430" t="s">
        <v>1002</v>
      </c>
      <c r="Q222" s="427"/>
      <c r="R222" s="427"/>
      <c r="S222" s="431" t="s">
        <v>1003</v>
      </c>
      <c r="T222" s="431"/>
      <c r="U222" s="493" t="s">
        <v>1003</v>
      </c>
      <c r="V222" s="396"/>
      <c r="W222" s="396"/>
      <c r="X222" s="396"/>
      <c r="Y222" s="428" t="s">
        <v>1004</v>
      </c>
      <c r="Z222" s="428" t="s">
        <v>1005</v>
      </c>
      <c r="AA222" s="432">
        <v>11.1802</v>
      </c>
      <c r="AB222" s="428">
        <f t="shared" si="29"/>
        <v>268.3248</v>
      </c>
      <c r="AC222" s="428"/>
      <c r="AD222" s="459" t="s">
        <v>55</v>
      </c>
      <c r="AE222" s="428" t="s">
        <v>56</v>
      </c>
      <c r="AF222" s="406"/>
      <c r="AG222" s="185"/>
      <c r="AH222" s="406"/>
      <c r="AI222" s="406"/>
      <c r="AJ222" s="185"/>
      <c r="AK222" s="185"/>
      <c r="AL222" s="185"/>
      <c r="AM222" s="185"/>
      <c r="AN222" s="185"/>
      <c r="AO222" s="406">
        <f t="shared" si="36"/>
        <v>24</v>
      </c>
      <c r="AP222" s="462">
        <f t="shared" si="34"/>
        <v>24</v>
      </c>
      <c r="AQ222" s="421"/>
      <c r="AR222" s="421"/>
      <c r="AS222" s="462">
        <f t="shared" si="35"/>
        <v>24</v>
      </c>
      <c r="AT222" s="421"/>
      <c r="AU222" s="421"/>
      <c r="AV222" s="281"/>
      <c r="XDV222" s="448"/>
      <c r="XDW222" s="448"/>
      <c r="XDX222" s="448"/>
      <c r="XDY222" s="448"/>
      <c r="XDZ222" s="448"/>
      <c r="XEA222" s="448"/>
      <c r="XEB222" s="448"/>
      <c r="XEC222" s="448"/>
      <c r="XED222" s="448"/>
      <c r="XEE222" s="501"/>
      <c r="XEF222" s="486"/>
      <c r="XEG222" s="487"/>
      <c r="XEH222" s="487"/>
      <c r="XEI222" s="488"/>
      <c r="XEJ222" s="489"/>
      <c r="XEK222" s="489"/>
      <c r="XEL222" s="488"/>
      <c r="XEM222" s="486"/>
      <c r="XEN222" s="487"/>
      <c r="XEO222" s="487"/>
      <c r="XEP222" s="488"/>
      <c r="XEQ222" s="489"/>
      <c r="XER222" s="489"/>
      <c r="XES222" s="488"/>
      <c r="XET222" s="488"/>
      <c r="XEU222" s="488"/>
      <c r="XEV222" s="486"/>
      <c r="XEW222" s="487"/>
      <c r="XEX222" s="487"/>
      <c r="XEY222" s="488"/>
      <c r="XEZ222" s="489"/>
      <c r="XFA222" s="489"/>
      <c r="XFB222" s="488"/>
      <c r="XFC222" s="488"/>
      <c r="XFD222" s="488"/>
    </row>
    <row r="223" s="184" customFormat="1" ht="39" customHeight="1" spans="1:53 16350:16384">
      <c r="A223" s="426">
        <v>46212</v>
      </c>
      <c r="B223" s="427" t="s">
        <v>238</v>
      </c>
      <c r="C223" s="427" t="s">
        <v>77</v>
      </c>
      <c r="D223" s="428" t="s">
        <v>1006</v>
      </c>
      <c r="E223" s="550" t="s">
        <v>1007</v>
      </c>
      <c r="F223" s="429" t="s">
        <v>1008</v>
      </c>
      <c r="G223" s="428" t="s">
        <v>242</v>
      </c>
      <c r="H223" s="428" t="s">
        <v>49</v>
      </c>
      <c r="I223" s="428">
        <v>504</v>
      </c>
      <c r="J223" s="428">
        <v>0</v>
      </c>
      <c r="K223" s="428">
        <v>1</v>
      </c>
      <c r="L223" s="428">
        <f t="shared" si="32"/>
        <v>504</v>
      </c>
      <c r="M223" s="396">
        <v>46266</v>
      </c>
      <c r="N223" s="396">
        <v>46262</v>
      </c>
      <c r="O223" s="396" t="s">
        <v>61</v>
      </c>
      <c r="P223" s="430"/>
      <c r="Q223" s="427"/>
      <c r="R223" s="427"/>
      <c r="S223" s="431"/>
      <c r="T223" s="431" t="s">
        <v>1009</v>
      </c>
      <c r="U223" s="431">
        <v>46205</v>
      </c>
      <c r="V223" s="396"/>
      <c r="W223" s="396"/>
      <c r="X223" s="396" t="s">
        <v>584</v>
      </c>
      <c r="Y223" s="428" t="s">
        <v>1010</v>
      </c>
      <c r="Z223" s="428" t="s">
        <v>81</v>
      </c>
      <c r="AA223" s="432">
        <v>7.1057</v>
      </c>
      <c r="AB223" s="428">
        <f t="shared" si="29"/>
        <v>3581.2728</v>
      </c>
      <c r="AC223" s="415"/>
      <c r="AD223" s="428" t="s">
        <v>247</v>
      </c>
      <c r="AE223" s="428" t="s">
        <v>56</v>
      </c>
      <c r="AF223" s="406"/>
      <c r="AG223" s="406"/>
      <c r="AH223" s="433"/>
      <c r="AI223" s="185"/>
      <c r="AJ223" s="406"/>
      <c r="AK223" s="406"/>
      <c r="AL223" s="185"/>
      <c r="AM223" s="185"/>
      <c r="AN223" s="185"/>
      <c r="AO223" s="406">
        <f t="shared" si="36"/>
        <v>504</v>
      </c>
      <c r="AP223" s="406">
        <f t="shared" si="34"/>
        <v>504</v>
      </c>
      <c r="AQ223" s="185"/>
      <c r="AR223" s="406"/>
      <c r="AS223" s="406">
        <f t="shared" si="35"/>
        <v>504</v>
      </c>
      <c r="AT223" s="185"/>
      <c r="AU223" s="185"/>
      <c r="AV223" s="183"/>
      <c r="AW223" s="184"/>
      <c r="AX223" s="184"/>
      <c r="AY223" s="184"/>
      <c r="AZ223" s="184"/>
      <c r="BA223" s="184"/>
      <c r="XEE223" s="448"/>
      <c r="XEF223" s="448"/>
      <c r="XEG223" s="448"/>
      <c r="XEH223" s="448"/>
      <c r="XEI223" s="448"/>
      <c r="XEJ223" s="448"/>
      <c r="XEK223" s="448"/>
      <c r="XEL223" s="448"/>
      <c r="XEM223" s="448"/>
      <c r="XEN223" s="448"/>
      <c r="XEO223" s="422"/>
      <c r="XEP223" s="423"/>
      <c r="XEQ223" s="423"/>
      <c r="XER223" s="424"/>
      <c r="XES223" s="425"/>
      <c r="XET223" s="425"/>
      <c r="XEU223" s="424"/>
      <c r="XEV223" s="422"/>
      <c r="XEW223" s="423"/>
      <c r="XEX223" s="423"/>
      <c r="XEY223" s="424"/>
      <c r="XEZ223" s="425"/>
      <c r="XFA223" s="425"/>
      <c r="XFB223" s="424"/>
      <c r="XFC223" s="424"/>
      <c r="XFD223" s="424"/>
    </row>
    <row r="224" s="184" customFormat="1" ht="39" customHeight="1" spans="1:53 16350:16384">
      <c r="A224" s="388">
        <v>46212</v>
      </c>
      <c r="B224" s="466" t="s">
        <v>238</v>
      </c>
      <c r="C224" s="466" t="s">
        <v>77</v>
      </c>
      <c r="D224" s="467" t="s">
        <v>1006</v>
      </c>
      <c r="E224" s="551" t="s">
        <v>1011</v>
      </c>
      <c r="F224" s="468" t="s">
        <v>1012</v>
      </c>
      <c r="G224" s="467" t="s">
        <v>242</v>
      </c>
      <c r="H224" s="467" t="s">
        <v>49</v>
      </c>
      <c r="I224" s="467">
        <v>648</v>
      </c>
      <c r="J224" s="467">
        <v>0</v>
      </c>
      <c r="K224" s="467">
        <v>1</v>
      </c>
      <c r="L224" s="467">
        <f t="shared" si="32"/>
        <v>648</v>
      </c>
      <c r="M224" s="469">
        <v>46266</v>
      </c>
      <c r="N224" s="469">
        <v>46262</v>
      </c>
      <c r="O224" s="469" t="s">
        <v>61</v>
      </c>
      <c r="P224" s="470"/>
      <c r="Q224" s="466"/>
      <c r="R224" s="466"/>
      <c r="S224" s="471"/>
      <c r="T224" s="471" t="s">
        <v>1009</v>
      </c>
      <c r="U224" s="471">
        <v>46205</v>
      </c>
      <c r="V224" s="469"/>
      <c r="W224" s="469"/>
      <c r="X224" s="469" t="s">
        <v>584</v>
      </c>
      <c r="Y224" s="467" t="s">
        <v>1010</v>
      </c>
      <c r="Z224" s="467" t="s">
        <v>81</v>
      </c>
      <c r="AA224" s="472">
        <v>7.1057</v>
      </c>
      <c r="AB224" s="391">
        <f t="shared" si="29"/>
        <v>4604.4936</v>
      </c>
      <c r="AC224" s="399"/>
      <c r="AD224" s="467" t="s">
        <v>247</v>
      </c>
      <c r="AE224" s="391" t="s">
        <v>56</v>
      </c>
      <c r="AF224" s="476"/>
      <c r="AG224" s="476"/>
      <c r="AH224" s="474"/>
      <c r="AI224" s="473"/>
      <c r="AJ224" s="476"/>
      <c r="AK224" s="476"/>
      <c r="AL224" s="473"/>
      <c r="AM224" s="473"/>
      <c r="AN224" s="473"/>
      <c r="AO224" s="475">
        <f t="shared" si="36"/>
        <v>648</v>
      </c>
      <c r="AP224" s="476">
        <f t="shared" si="34"/>
        <v>648</v>
      </c>
      <c r="AQ224" s="473"/>
      <c r="AR224" s="476"/>
      <c r="AS224" s="476">
        <f t="shared" si="35"/>
        <v>648</v>
      </c>
      <c r="AT224" s="473"/>
      <c r="AU224" s="473"/>
      <c r="AV224" s="183"/>
      <c r="AW224" s="184"/>
      <c r="AX224" s="184"/>
      <c r="AY224" s="184"/>
      <c r="AZ224" s="184"/>
      <c r="BA224" s="184"/>
      <c r="XEE224" s="448"/>
      <c r="XEF224" s="448"/>
      <c r="XEG224" s="448"/>
      <c r="XEH224" s="448"/>
      <c r="XEI224" s="448"/>
      <c r="XEJ224" s="448"/>
      <c r="XEK224" s="448"/>
      <c r="XEL224" s="448"/>
      <c r="XEM224" s="448"/>
      <c r="XEN224" s="503"/>
      <c r="XEO224" s="388"/>
      <c r="XEP224" s="466"/>
      <c r="XEQ224" s="466"/>
      <c r="XER224" s="467"/>
      <c r="XES224" s="468"/>
      <c r="XET224" s="468"/>
      <c r="XEU224" s="467"/>
      <c r="XEV224" s="388"/>
      <c r="XEW224" s="466"/>
      <c r="XEX224" s="466"/>
      <c r="XEY224" s="467"/>
      <c r="XEZ224" s="468"/>
      <c r="XFA224" s="468"/>
      <c r="XFB224" s="467"/>
      <c r="XFC224" s="467"/>
      <c r="XFD224" s="467"/>
    </row>
    <row r="225" s="184" customFormat="1" ht="39" customHeight="1" spans="1:48 16351:16384">
      <c r="A225" s="426">
        <v>46212</v>
      </c>
      <c r="B225" s="427" t="s">
        <v>238</v>
      </c>
      <c r="C225" s="427" t="s">
        <v>77</v>
      </c>
      <c r="D225" s="428" t="s">
        <v>1006</v>
      </c>
      <c r="E225" s="550" t="s">
        <v>1013</v>
      </c>
      <c r="F225" s="429" t="s">
        <v>1014</v>
      </c>
      <c r="G225" s="428" t="s">
        <v>242</v>
      </c>
      <c r="H225" s="428" t="s">
        <v>49</v>
      </c>
      <c r="I225" s="428">
        <v>504</v>
      </c>
      <c r="J225" s="428">
        <v>0</v>
      </c>
      <c r="K225" s="428">
        <v>1</v>
      </c>
      <c r="L225" s="428">
        <f t="shared" si="32"/>
        <v>504</v>
      </c>
      <c r="M225" s="396">
        <v>46266</v>
      </c>
      <c r="N225" s="396">
        <v>46262</v>
      </c>
      <c r="O225" s="396" t="s">
        <v>61</v>
      </c>
      <c r="P225" s="430"/>
      <c r="Q225" s="427"/>
      <c r="R225" s="427"/>
      <c r="S225" s="431"/>
      <c r="T225" s="471" t="s">
        <v>1009</v>
      </c>
      <c r="U225" s="431">
        <v>46205</v>
      </c>
      <c r="V225" s="396"/>
      <c r="W225" s="396"/>
      <c r="X225" s="396" t="s">
        <v>584</v>
      </c>
      <c r="Y225" s="428" t="s">
        <v>1010</v>
      </c>
      <c r="Z225" s="428" t="s">
        <v>81</v>
      </c>
      <c r="AA225" s="432">
        <v>7.2743</v>
      </c>
      <c r="AB225" s="391">
        <f t="shared" si="29"/>
        <v>3666.2472</v>
      </c>
      <c r="AC225" s="415"/>
      <c r="AD225" s="428" t="s">
        <v>247</v>
      </c>
      <c r="AE225" s="391" t="s">
        <v>56</v>
      </c>
      <c r="AF225" s="406"/>
      <c r="AG225" s="406"/>
      <c r="AH225" s="433"/>
      <c r="AI225" s="185"/>
      <c r="AJ225" s="406"/>
      <c r="AK225" s="406"/>
      <c r="AL225" s="185"/>
      <c r="AM225" s="185"/>
      <c r="AN225" s="185"/>
      <c r="AO225" s="434">
        <f t="shared" si="36"/>
        <v>504</v>
      </c>
      <c r="AP225" s="406">
        <f t="shared" si="34"/>
        <v>504</v>
      </c>
      <c r="AQ225" s="185"/>
      <c r="AR225" s="406"/>
      <c r="AS225" s="406">
        <f t="shared" si="35"/>
        <v>504</v>
      </c>
      <c r="AT225" s="185"/>
      <c r="AU225" s="185"/>
      <c r="AV225" s="183"/>
      <c r="AW225" s="184"/>
      <c r="AX225" s="184"/>
      <c r="AY225" s="184"/>
      <c r="AZ225" s="184"/>
      <c r="BA225" s="184"/>
      <c r="XEE225" s="448"/>
      <c r="XEF225" s="448"/>
      <c r="XEG225" s="448"/>
      <c r="XEH225" s="448"/>
      <c r="XEI225" s="448"/>
      <c r="XEJ225" s="448"/>
      <c r="XEK225" s="448"/>
      <c r="XEL225" s="448"/>
      <c r="XEM225" s="448"/>
      <c r="XEN225" s="447"/>
      <c r="XEO225" s="426"/>
      <c r="XEP225" s="427"/>
      <c r="XEQ225" s="427"/>
      <c r="XER225" s="428"/>
      <c r="XES225" s="429"/>
      <c r="XET225" s="429"/>
      <c r="XEU225" s="428"/>
      <c r="XEV225" s="426"/>
      <c r="XEW225" s="427"/>
      <c r="XEX225" s="427"/>
      <c r="XEY225" s="428"/>
      <c r="XEZ225" s="429"/>
      <c r="XFA225" s="429"/>
      <c r="XFB225" s="428"/>
      <c r="XFC225" s="428"/>
      <c r="XFD225" s="428"/>
    </row>
    <row r="226" s="184" customFormat="1" ht="39" customHeight="1" spans="1:48 16351:16384">
      <c r="A226" s="426">
        <v>46217</v>
      </c>
      <c r="B226" s="427" t="s">
        <v>789</v>
      </c>
      <c r="C226" s="427" t="s">
        <v>790</v>
      </c>
      <c r="D226" s="428" t="s">
        <v>1015</v>
      </c>
      <c r="E226" s="429" t="s">
        <v>1016</v>
      </c>
      <c r="F226" s="429" t="s">
        <v>1017</v>
      </c>
      <c r="G226" s="428" t="s">
        <v>59</v>
      </c>
      <c r="H226" s="428" t="s">
        <v>49</v>
      </c>
      <c r="I226" s="428">
        <v>20</v>
      </c>
      <c r="J226" s="428">
        <v>0</v>
      </c>
      <c r="K226" s="428">
        <v>4</v>
      </c>
      <c r="L226" s="428">
        <f t="shared" si="32"/>
        <v>5</v>
      </c>
      <c r="M226" s="396">
        <v>46268</v>
      </c>
      <c r="N226" s="396">
        <v>46265</v>
      </c>
      <c r="O226" s="396"/>
      <c r="P226" s="430"/>
      <c r="Q226" s="427"/>
      <c r="R226" s="427"/>
      <c r="S226" s="431"/>
      <c r="T226" s="471">
        <v>46217</v>
      </c>
      <c r="U226" s="431" t="s">
        <v>1018</v>
      </c>
      <c r="V226" s="396"/>
      <c r="W226" s="396"/>
      <c r="X226" s="396"/>
      <c r="Y226" s="428" t="s">
        <v>1019</v>
      </c>
      <c r="Z226" s="428" t="s">
        <v>128</v>
      </c>
      <c r="AA226" s="432">
        <v>11.6553</v>
      </c>
      <c r="AB226" s="391">
        <f t="shared" si="29"/>
        <v>233.106</v>
      </c>
      <c r="AC226" s="415"/>
      <c r="AD226" s="479" t="s">
        <v>55</v>
      </c>
      <c r="AE226" s="391" t="s">
        <v>56</v>
      </c>
      <c r="AF226" s="406"/>
      <c r="AG226" s="406"/>
      <c r="AH226" s="433"/>
      <c r="AI226" s="185"/>
      <c r="AJ226" s="406"/>
      <c r="AK226" s="406"/>
      <c r="AL226" s="185"/>
      <c r="AM226" s="185"/>
      <c r="AN226" s="185"/>
      <c r="AO226" s="434">
        <f t="shared" si="36"/>
        <v>20</v>
      </c>
      <c r="AP226" s="406">
        <f t="shared" si="34"/>
        <v>20</v>
      </c>
      <c r="AQ226" s="185"/>
      <c r="AR226" s="406"/>
      <c r="AS226" s="406">
        <f t="shared" si="35"/>
        <v>20</v>
      </c>
      <c r="AT226" s="185"/>
      <c r="AU226" s="185"/>
      <c r="AV226" s="441"/>
      <c r="AW226" s="184"/>
      <c r="AX226" s="184"/>
      <c r="AY226" s="184"/>
      <c r="AZ226" s="184"/>
      <c r="BA226" s="184"/>
      <c r="XEE226" s="448"/>
      <c r="XEF226" s="448"/>
      <c r="XEG226" s="448"/>
      <c r="XEH226" s="448"/>
      <c r="XEI226" s="448"/>
      <c r="XEJ226" s="448"/>
      <c r="XEK226" s="448"/>
      <c r="XEL226" s="448"/>
      <c r="XEM226" s="448"/>
      <c r="XEN226" s="501"/>
      <c r="XEO226" s="486"/>
      <c r="XEP226" s="487"/>
      <c r="XEQ226" s="487"/>
      <c r="XER226" s="488"/>
      <c r="XES226" s="489"/>
      <c r="XET226" s="489"/>
      <c r="XEU226" s="488"/>
      <c r="XEV226" s="486"/>
      <c r="XEW226" s="487"/>
      <c r="XEX226" s="487"/>
      <c r="XEY226" s="488"/>
      <c r="XEZ226" s="489"/>
      <c r="XFA226" s="489"/>
      <c r="XFB226" s="488"/>
      <c r="XFC226" s="488"/>
      <c r="XFD226" s="488"/>
    </row>
    <row r="227" s="184" customFormat="1" ht="39" customHeight="1" spans="1:48 16351:16384">
      <c r="A227" s="426">
        <v>46204</v>
      </c>
      <c r="B227" s="427" t="s">
        <v>1020</v>
      </c>
      <c r="C227" s="427" t="s">
        <v>1021</v>
      </c>
      <c r="D227" s="428">
        <v>4500214134</v>
      </c>
      <c r="E227" s="429"/>
      <c r="F227" s="429" t="s">
        <v>1022</v>
      </c>
      <c r="G227" s="428" t="s">
        <v>59</v>
      </c>
      <c r="H227" s="428" t="s">
        <v>49</v>
      </c>
      <c r="I227" s="428">
        <v>500</v>
      </c>
      <c r="J227" s="428">
        <v>0</v>
      </c>
      <c r="K227" s="428">
        <v>4</v>
      </c>
      <c r="L227" s="428">
        <f t="shared" si="32"/>
        <v>125</v>
      </c>
      <c r="M227" s="396">
        <v>46269</v>
      </c>
      <c r="N227" s="396">
        <v>46265</v>
      </c>
      <c r="O227" s="396"/>
      <c r="P227" s="430"/>
      <c r="Q227" s="427"/>
      <c r="R227" s="427"/>
      <c r="S227" s="431"/>
      <c r="T227" s="431">
        <v>46206</v>
      </c>
      <c r="U227" s="431">
        <v>46211</v>
      </c>
      <c r="V227" s="396"/>
      <c r="W227" s="396"/>
      <c r="X227" s="396"/>
      <c r="Y227" s="428" t="s">
        <v>1023</v>
      </c>
      <c r="Z227" s="428" t="s">
        <v>1024</v>
      </c>
      <c r="AA227" s="432">
        <v>11.6553</v>
      </c>
      <c r="AB227" s="391">
        <f t="shared" si="29"/>
        <v>5827.65</v>
      </c>
      <c r="AC227" s="415"/>
      <c r="AD227" s="435" t="s">
        <v>113</v>
      </c>
      <c r="AE227" s="428" t="s">
        <v>56</v>
      </c>
      <c r="AF227" s="406"/>
      <c r="AG227" s="406"/>
      <c r="AH227" s="433"/>
      <c r="AI227" s="185"/>
      <c r="AJ227" s="406"/>
      <c r="AK227" s="406"/>
      <c r="AL227" s="185"/>
      <c r="AM227" s="185"/>
      <c r="AN227" s="185"/>
      <c r="AO227" s="434">
        <f t="shared" si="36"/>
        <v>500</v>
      </c>
      <c r="AP227" s="185"/>
      <c r="AQ227" s="406">
        <f>AO227</f>
        <v>500</v>
      </c>
      <c r="AR227" s="406">
        <f>AO227</f>
        <v>500</v>
      </c>
      <c r="AS227" s="185"/>
      <c r="AT227" s="185"/>
      <c r="AU227" s="185"/>
      <c r="AV227" s="407"/>
      <c r="XEE227" s="448"/>
      <c r="XEF227" s="448"/>
      <c r="XEG227" s="448"/>
      <c r="XEH227" s="448"/>
      <c r="XEI227" s="448"/>
      <c r="XEJ227" s="448"/>
      <c r="XEK227" s="448"/>
      <c r="XEL227" s="448"/>
      <c r="XEM227" s="448"/>
      <c r="XEN227" s="501"/>
      <c r="XEO227" s="486"/>
      <c r="XEP227" s="487"/>
      <c r="XEQ227" s="487"/>
      <c r="XER227" s="488"/>
      <c r="XES227" s="489"/>
      <c r="XET227" s="489"/>
      <c r="XEU227" s="488"/>
      <c r="XEV227" s="486"/>
      <c r="XEW227" s="487"/>
      <c r="XEX227" s="487"/>
      <c r="XEY227" s="488"/>
      <c r="XEZ227" s="489"/>
      <c r="XFA227" s="489"/>
      <c r="XFB227" s="488"/>
      <c r="XFC227" s="488"/>
      <c r="XFD227" s="488"/>
    </row>
    <row r="228" s="184" customFormat="1" ht="39" customHeight="1" spans="1:48 16351:16384">
      <c r="A228" s="426">
        <v>46239</v>
      </c>
      <c r="B228" s="427" t="s">
        <v>1025</v>
      </c>
      <c r="C228" s="427" t="s">
        <v>46</v>
      </c>
      <c r="D228" s="428">
        <v>4500218907</v>
      </c>
      <c r="E228" s="429" t="s">
        <v>1026</v>
      </c>
      <c r="F228" s="429" t="s">
        <v>1027</v>
      </c>
      <c r="G228" s="428" t="s">
        <v>59</v>
      </c>
      <c r="H228" s="428" t="s">
        <v>49</v>
      </c>
      <c r="I228" s="428">
        <v>272</v>
      </c>
      <c r="J228" s="428">
        <v>0</v>
      </c>
      <c r="K228" s="428">
        <v>4</v>
      </c>
      <c r="L228" s="428">
        <f t="shared" si="32"/>
        <v>68</v>
      </c>
      <c r="M228" s="396">
        <v>46272</v>
      </c>
      <c r="N228" s="396">
        <v>46268</v>
      </c>
      <c r="O228" s="396"/>
      <c r="P228" s="430"/>
      <c r="Q228" s="427"/>
      <c r="R228" s="427"/>
      <c r="S228" s="431"/>
      <c r="T228" s="431">
        <v>46239</v>
      </c>
      <c r="U228" s="431" t="s">
        <v>73</v>
      </c>
      <c r="V228" s="396"/>
      <c r="W228" s="396"/>
      <c r="X228" s="396"/>
      <c r="Y228" s="428" t="s">
        <v>1028</v>
      </c>
      <c r="Z228" s="428" t="s">
        <v>1029</v>
      </c>
      <c r="AA228" s="432">
        <v>12.1186</v>
      </c>
      <c r="AB228" s="391">
        <f t="shared" si="29"/>
        <v>3296.2592</v>
      </c>
      <c r="AC228" s="415"/>
      <c r="AD228" s="479" t="s">
        <v>55</v>
      </c>
      <c r="AE228" s="428" t="s">
        <v>56</v>
      </c>
      <c r="AF228" s="406"/>
      <c r="AG228" s="406"/>
      <c r="AH228" s="433"/>
      <c r="AI228" s="185"/>
      <c r="AJ228" s="406"/>
      <c r="AK228" s="406"/>
      <c r="AL228" s="185"/>
      <c r="AM228" s="185"/>
      <c r="AN228" s="185"/>
      <c r="AO228" s="434">
        <f t="shared" si="36"/>
        <v>272</v>
      </c>
      <c r="AP228" s="406">
        <f>AO228</f>
        <v>272</v>
      </c>
      <c r="AQ228" s="406"/>
      <c r="AR228" s="406"/>
      <c r="AS228" s="406">
        <f>AO228</f>
        <v>272</v>
      </c>
      <c r="AT228" s="185"/>
      <c r="AU228" s="185"/>
      <c r="AV228" s="407"/>
      <c r="XEE228" s="448"/>
      <c r="XEF228" s="448"/>
      <c r="XEG228" s="448"/>
      <c r="XEH228" s="448"/>
      <c r="XEI228" s="448"/>
      <c r="XEJ228" s="448"/>
      <c r="XEK228" s="448"/>
      <c r="XEL228" s="448"/>
      <c r="XEM228" s="448"/>
      <c r="XEN228" s="448"/>
      <c r="XEO228" s="422"/>
      <c r="XEP228" s="423"/>
      <c r="XEQ228" s="423"/>
      <c r="XER228" s="424"/>
      <c r="XES228" s="425"/>
      <c r="XET228" s="425"/>
      <c r="XEU228" s="424"/>
      <c r="XEV228" s="422"/>
      <c r="XEW228" s="423"/>
      <c r="XEX228" s="423"/>
      <c r="XEY228" s="424"/>
      <c r="XEZ228" s="425"/>
      <c r="XFA228" s="425"/>
      <c r="XFB228" s="424"/>
      <c r="XFC228" s="424"/>
      <c r="XFD228" s="424"/>
    </row>
    <row r="229" s="184" customFormat="1" ht="39" customHeight="1" spans="1:48 16351:16384">
      <c r="A229" s="426">
        <v>46239</v>
      </c>
      <c r="B229" s="427" t="s">
        <v>1025</v>
      </c>
      <c r="C229" s="427" t="s">
        <v>46</v>
      </c>
      <c r="D229" s="428">
        <v>4500218907</v>
      </c>
      <c r="E229" s="429" t="s">
        <v>1030</v>
      </c>
      <c r="F229" s="429" t="s">
        <v>1031</v>
      </c>
      <c r="G229" s="428" t="s">
        <v>59</v>
      </c>
      <c r="H229" s="428" t="s">
        <v>49</v>
      </c>
      <c r="I229" s="428">
        <v>128</v>
      </c>
      <c r="J229" s="428">
        <v>0</v>
      </c>
      <c r="K229" s="428">
        <v>4</v>
      </c>
      <c r="L229" s="428">
        <f t="shared" si="32"/>
        <v>32</v>
      </c>
      <c r="M229" s="396">
        <v>46272</v>
      </c>
      <c r="N229" s="396">
        <v>46268</v>
      </c>
      <c r="O229" s="396"/>
      <c r="P229" s="430"/>
      <c r="Q229" s="427"/>
      <c r="R229" s="427"/>
      <c r="S229" s="431"/>
      <c r="T229" s="431">
        <v>46239</v>
      </c>
      <c r="U229" s="431" t="s">
        <v>73</v>
      </c>
      <c r="V229" s="396"/>
      <c r="W229" s="396"/>
      <c r="X229" s="396"/>
      <c r="Y229" s="428" t="s">
        <v>1028</v>
      </c>
      <c r="Z229" s="428" t="s">
        <v>1029</v>
      </c>
      <c r="AA229" s="432">
        <v>12.1186</v>
      </c>
      <c r="AB229" s="391">
        <f t="shared" si="29"/>
        <v>1551.1808</v>
      </c>
      <c r="AC229" s="415"/>
      <c r="AD229" s="435" t="s">
        <v>55</v>
      </c>
      <c r="AE229" s="428" t="s">
        <v>56</v>
      </c>
      <c r="AF229" s="406"/>
      <c r="AG229" s="406"/>
      <c r="AH229" s="433"/>
      <c r="AI229" s="185"/>
      <c r="AJ229" s="406"/>
      <c r="AK229" s="406"/>
      <c r="AL229" s="185"/>
      <c r="AM229" s="185"/>
      <c r="AN229" s="185"/>
      <c r="AO229" s="434">
        <f t="shared" si="36"/>
        <v>128</v>
      </c>
      <c r="AP229" s="406">
        <f>AO229</f>
        <v>128</v>
      </c>
      <c r="AQ229" s="406"/>
      <c r="AR229" s="406"/>
      <c r="AS229" s="406">
        <f>AO229</f>
        <v>128</v>
      </c>
      <c r="AT229" s="185"/>
      <c r="AU229" s="185"/>
      <c r="AV229" s="407"/>
      <c r="XEE229" s="448"/>
      <c r="XEF229" s="448"/>
      <c r="XEG229" s="448"/>
      <c r="XEH229" s="448"/>
      <c r="XEI229" s="448"/>
      <c r="XEJ229" s="448"/>
      <c r="XEK229" s="448"/>
      <c r="XEL229" s="448"/>
      <c r="XEM229" s="448"/>
      <c r="XEN229" s="448"/>
      <c r="XEO229" s="422"/>
      <c r="XEP229" s="423"/>
      <c r="XEQ229" s="423"/>
      <c r="XER229" s="424"/>
      <c r="XES229" s="425"/>
      <c r="XET229" s="425"/>
      <c r="XEU229" s="424"/>
      <c r="XEV229" s="422"/>
      <c r="XEW229" s="423"/>
      <c r="XEX229" s="423"/>
      <c r="XEY229" s="424"/>
      <c r="XEZ229" s="425"/>
      <c r="XFA229" s="425"/>
      <c r="XFB229" s="424"/>
      <c r="XFC229" s="424"/>
      <c r="XFD229" s="424"/>
    </row>
    <row r="230" s="184" customFormat="1" ht="39" customHeight="1" spans="1:48 16351:16384">
      <c r="A230" s="426">
        <v>46206</v>
      </c>
      <c r="B230" s="427" t="s">
        <v>1032</v>
      </c>
      <c r="C230" s="427" t="s">
        <v>1033</v>
      </c>
      <c r="D230" s="428" t="s">
        <v>1034</v>
      </c>
      <c r="E230" s="429" t="s">
        <v>1035</v>
      </c>
      <c r="F230" s="429" t="s">
        <v>1036</v>
      </c>
      <c r="G230" s="428" t="s">
        <v>242</v>
      </c>
      <c r="H230" s="428" t="s">
        <v>49</v>
      </c>
      <c r="I230" s="428">
        <v>5000</v>
      </c>
      <c r="J230" s="428">
        <v>0</v>
      </c>
      <c r="K230" s="428">
        <v>1</v>
      </c>
      <c r="L230" s="428">
        <f t="shared" si="32"/>
        <v>5000</v>
      </c>
      <c r="M230" s="396">
        <v>46248</v>
      </c>
      <c r="N230" s="504">
        <v>46269</v>
      </c>
      <c r="O230" s="396"/>
      <c r="P230" s="430"/>
      <c r="Q230" s="427"/>
      <c r="R230" s="427"/>
      <c r="S230" s="431"/>
      <c r="T230" s="431" t="s">
        <v>1037</v>
      </c>
      <c r="U230" s="431">
        <v>46205</v>
      </c>
      <c r="V230" s="396"/>
      <c r="W230" s="396"/>
      <c r="X230" s="396" t="s">
        <v>584</v>
      </c>
      <c r="Y230" s="428" t="s">
        <v>1038</v>
      </c>
      <c r="Z230" s="428" t="s">
        <v>81</v>
      </c>
      <c r="AA230" s="432"/>
      <c r="AB230" s="391"/>
      <c r="AC230" s="415"/>
      <c r="AD230" s="443" t="s">
        <v>247</v>
      </c>
      <c r="AE230" s="465" t="s">
        <v>56</v>
      </c>
      <c r="AF230" s="406"/>
      <c r="AG230" s="406"/>
      <c r="AH230" s="406"/>
      <c r="AI230" s="406"/>
      <c r="AJ230" s="406"/>
      <c r="AK230" s="406"/>
      <c r="AL230" s="440"/>
      <c r="AM230" s="433"/>
      <c r="AN230" s="433"/>
      <c r="AO230" s="434">
        <f t="shared" si="36"/>
        <v>5000</v>
      </c>
      <c r="AP230" s="406">
        <f>AO230</f>
        <v>5000</v>
      </c>
      <c r="AQ230" s="433"/>
      <c r="AR230" s="433"/>
      <c r="AS230" s="406">
        <f>AP230</f>
        <v>5000</v>
      </c>
      <c r="AT230" s="185"/>
      <c r="AU230" s="185"/>
      <c r="AV230" s="505"/>
      <c r="XEE230" s="448"/>
      <c r="XEF230" s="448"/>
      <c r="XEG230" s="448"/>
      <c r="XEH230" s="448"/>
      <c r="XEI230" s="448"/>
      <c r="XEJ230" s="448"/>
      <c r="XEK230" s="448"/>
      <c r="XEL230" s="448"/>
      <c r="XEM230" s="448"/>
      <c r="XEN230" s="448"/>
      <c r="XEO230" s="448"/>
      <c r="XEP230" s="448"/>
      <c r="XEQ230" s="448"/>
      <c r="XER230" s="448"/>
      <c r="XES230" s="448"/>
      <c r="XET230" s="448"/>
      <c r="XEU230" s="448"/>
      <c r="XEV230" s="422"/>
      <c r="XEW230" s="423"/>
      <c r="XEX230" s="423"/>
      <c r="XEY230" s="424"/>
      <c r="XEZ230" s="425"/>
      <c r="XFA230" s="425"/>
      <c r="XFB230" s="424"/>
      <c r="XFC230" s="424"/>
      <c r="XFD230" s="424"/>
    </row>
    <row r="231" s="184" customFormat="1" ht="39" customHeight="1" spans="1:48 16351:16384">
      <c r="A231" s="426">
        <v>46226</v>
      </c>
      <c r="B231" s="427" t="s">
        <v>85</v>
      </c>
      <c r="C231" s="427" t="s">
        <v>77</v>
      </c>
      <c r="D231" s="428">
        <v>4500217221</v>
      </c>
      <c r="E231" s="429" t="s">
        <v>1039</v>
      </c>
      <c r="F231" s="429" t="s">
        <v>1040</v>
      </c>
      <c r="G231" s="428" t="s">
        <v>59</v>
      </c>
      <c r="H231" s="428" t="s">
        <v>49</v>
      </c>
      <c r="I231" s="428">
        <v>2080</v>
      </c>
      <c r="J231" s="428">
        <v>0</v>
      </c>
      <c r="K231" s="428">
        <v>4</v>
      </c>
      <c r="L231" s="428">
        <f t="shared" si="32"/>
        <v>520</v>
      </c>
      <c r="M231" s="396">
        <v>46273</v>
      </c>
      <c r="N231" s="396">
        <v>46269</v>
      </c>
      <c r="O231" s="396"/>
      <c r="P231" s="430"/>
      <c r="Q231" s="427"/>
      <c r="R231" s="427"/>
      <c r="S231" s="431" t="s">
        <v>61</v>
      </c>
      <c r="T231" s="431">
        <v>46241</v>
      </c>
      <c r="U231" s="431" t="s">
        <v>1041</v>
      </c>
      <c r="V231" s="396"/>
      <c r="W231" s="396"/>
      <c r="X231" s="396"/>
      <c r="Y231" s="428" t="s">
        <v>1042</v>
      </c>
      <c r="Z231" s="428" t="s">
        <v>91</v>
      </c>
      <c r="AA231" s="432">
        <v>6.9329</v>
      </c>
      <c r="AB231" s="391">
        <f t="shared" ref="AB231:AB246" si="37">I231*AA231</f>
        <v>14420.432</v>
      </c>
      <c r="AC231" s="415"/>
      <c r="AD231" s="435" t="s">
        <v>55</v>
      </c>
      <c r="AE231" s="428" t="s">
        <v>56</v>
      </c>
      <c r="AF231" s="185"/>
      <c r="AG231" s="434"/>
      <c r="AH231" s="185"/>
      <c r="AI231" s="406"/>
      <c r="AJ231" s="406"/>
      <c r="AK231" s="185"/>
      <c r="AL231" s="185"/>
      <c r="AM231" s="185"/>
      <c r="AN231" s="506"/>
      <c r="AO231" s="434">
        <f t="shared" ref="AO223:AO252" si="38">I231</f>
        <v>2080</v>
      </c>
      <c r="AP231" s="406">
        <f t="shared" ref="AP231:AP245" si="39">AO231</f>
        <v>2080</v>
      </c>
      <c r="AS231" s="406">
        <f t="shared" ref="AS231:AS250" si="40">AO231</f>
        <v>2080</v>
      </c>
      <c r="XDW231" s="448"/>
      <c r="XDX231" s="448"/>
      <c r="XDY231" s="448"/>
      <c r="XDZ231" s="448"/>
      <c r="XEA231" s="448"/>
      <c r="XEB231" s="448"/>
      <c r="XEC231" s="448"/>
      <c r="XED231" s="448"/>
      <c r="XEE231" s="448"/>
      <c r="XEF231" s="448"/>
      <c r="XEG231" s="422"/>
      <c r="XEH231" s="423"/>
      <c r="XEI231" s="423"/>
      <c r="XEJ231" s="424"/>
      <c r="XEK231" s="425"/>
      <c r="XEL231" s="425"/>
      <c r="XEM231" s="424"/>
      <c r="XEN231" s="422"/>
      <c r="XEO231" s="423"/>
      <c r="XEP231" s="423"/>
      <c r="XEQ231" s="424"/>
      <c r="XER231" s="425"/>
      <c r="XES231" s="425"/>
      <c r="XET231" s="424"/>
      <c r="XEU231" s="424"/>
      <c r="XEV231" s="424"/>
      <c r="XEW231" s="426"/>
      <c r="XEX231" s="427"/>
      <c r="XEY231" s="427"/>
      <c r="XEZ231" s="428"/>
      <c r="XFA231" s="429"/>
      <c r="XFB231" s="429"/>
      <c r="XFC231" s="428"/>
      <c r="XFD231" s="428"/>
    </row>
    <row r="232" s="184" customFormat="1" ht="39" customHeight="1" spans="1:48 16351:16384">
      <c r="A232" s="426">
        <v>46212</v>
      </c>
      <c r="B232" s="427" t="s">
        <v>238</v>
      </c>
      <c r="C232" s="427" t="s">
        <v>77</v>
      </c>
      <c r="D232" s="428" t="s">
        <v>1043</v>
      </c>
      <c r="E232" s="550" t="s">
        <v>1044</v>
      </c>
      <c r="F232" s="429" t="s">
        <v>1045</v>
      </c>
      <c r="G232" s="428" t="s">
        <v>242</v>
      </c>
      <c r="H232" s="428" t="s">
        <v>49</v>
      </c>
      <c r="I232" s="428">
        <v>648</v>
      </c>
      <c r="J232" s="428">
        <v>0</v>
      </c>
      <c r="K232" s="428">
        <v>1</v>
      </c>
      <c r="L232" s="428">
        <f t="shared" si="32"/>
        <v>648</v>
      </c>
      <c r="M232" s="396">
        <v>46274</v>
      </c>
      <c r="N232" s="396">
        <v>46270</v>
      </c>
      <c r="O232" s="396" t="s">
        <v>61</v>
      </c>
      <c r="P232" s="430"/>
      <c r="Q232" s="427"/>
      <c r="R232" s="427"/>
      <c r="S232" s="431"/>
      <c r="T232" s="471" t="s">
        <v>1009</v>
      </c>
      <c r="U232" s="431">
        <v>46205</v>
      </c>
      <c r="V232" s="396"/>
      <c r="W232" s="396"/>
      <c r="X232" s="396" t="s">
        <v>584</v>
      </c>
      <c r="Y232" s="428" t="s">
        <v>1010</v>
      </c>
      <c r="Z232" s="428" t="s">
        <v>81</v>
      </c>
      <c r="AA232" s="432">
        <v>7.1057</v>
      </c>
      <c r="AB232" s="391">
        <f t="shared" si="37"/>
        <v>4604.4936</v>
      </c>
      <c r="AC232" s="415"/>
      <c r="AD232" s="428" t="s">
        <v>247</v>
      </c>
      <c r="AE232" s="428" t="s">
        <v>56</v>
      </c>
      <c r="AF232" s="406"/>
      <c r="AG232" s="406"/>
      <c r="AH232" s="404"/>
      <c r="AI232" s="183"/>
      <c r="AJ232" s="406"/>
      <c r="AK232" s="436"/>
      <c r="AL232" s="183"/>
      <c r="AM232" s="183"/>
      <c r="AN232" s="183"/>
      <c r="AO232" s="434">
        <f t="shared" si="38"/>
        <v>648</v>
      </c>
      <c r="AP232" s="406">
        <f t="shared" si="39"/>
        <v>648</v>
      </c>
      <c r="AQ232" s="185"/>
      <c r="AR232" s="406"/>
      <c r="AS232" s="406">
        <f t="shared" si="40"/>
        <v>648</v>
      </c>
      <c r="AT232" s="185"/>
      <c r="AU232" s="185"/>
      <c r="AV232" s="184"/>
      <c r="AW232" s="184"/>
      <c r="AX232" s="184"/>
      <c r="AY232" s="184"/>
      <c r="AZ232" s="184"/>
      <c r="BA232" s="184"/>
      <c r="XEE232" s="447"/>
      <c r="XEF232" s="447"/>
      <c r="XEG232" s="447"/>
      <c r="XEH232" s="447"/>
      <c r="XEI232" s="447"/>
      <c r="XEJ232" s="447"/>
      <c r="XEK232" s="447"/>
      <c r="XEL232" s="447"/>
      <c r="XEM232" s="447"/>
      <c r="XEN232" s="447"/>
      <c r="XEO232" s="426"/>
      <c r="XEP232" s="427"/>
      <c r="XEQ232" s="427"/>
      <c r="XER232" s="428"/>
      <c r="XES232" s="429"/>
      <c r="XET232" s="429"/>
      <c r="XEU232" s="428"/>
      <c r="XEV232" s="426"/>
      <c r="XEW232" s="427"/>
      <c r="XEX232" s="427"/>
      <c r="XEY232" s="428"/>
      <c r="XEZ232" s="429"/>
      <c r="XFA232" s="429"/>
      <c r="XFB232" s="428"/>
      <c r="XFC232" s="428"/>
      <c r="XFD232" s="428"/>
    </row>
    <row r="233" s="184" customFormat="1" ht="39" customHeight="1" spans="1:48 16351:16384">
      <c r="A233" s="426">
        <v>46212</v>
      </c>
      <c r="B233" s="427" t="s">
        <v>238</v>
      </c>
      <c r="C233" s="427" t="s">
        <v>77</v>
      </c>
      <c r="D233" s="428" t="s">
        <v>1043</v>
      </c>
      <c r="E233" s="550" t="s">
        <v>1046</v>
      </c>
      <c r="F233" s="429" t="s">
        <v>1047</v>
      </c>
      <c r="G233" s="428" t="s">
        <v>242</v>
      </c>
      <c r="H233" s="428" t="s">
        <v>49</v>
      </c>
      <c r="I233" s="428">
        <v>504</v>
      </c>
      <c r="J233" s="428">
        <v>0</v>
      </c>
      <c r="K233" s="428">
        <v>1</v>
      </c>
      <c r="L233" s="428">
        <f t="shared" si="32"/>
        <v>504</v>
      </c>
      <c r="M233" s="396">
        <v>46274</v>
      </c>
      <c r="N233" s="396">
        <v>46270</v>
      </c>
      <c r="O233" s="393" t="s">
        <v>61</v>
      </c>
      <c r="P233" s="394"/>
      <c r="Q233" s="390"/>
      <c r="R233" s="390"/>
      <c r="S233" s="413"/>
      <c r="T233" s="471" t="s">
        <v>1009</v>
      </c>
      <c r="U233" s="413">
        <v>46205</v>
      </c>
      <c r="V233" s="393"/>
      <c r="W233" s="393"/>
      <c r="X233" s="393" t="s">
        <v>584</v>
      </c>
      <c r="Y233" s="428" t="s">
        <v>1010</v>
      </c>
      <c r="Z233" s="428" t="s">
        <v>81</v>
      </c>
      <c r="AA233" s="432">
        <v>7.1057</v>
      </c>
      <c r="AB233" s="428">
        <f t="shared" si="37"/>
        <v>3581.2728</v>
      </c>
      <c r="AC233" s="415"/>
      <c r="AD233" s="398" t="s">
        <v>247</v>
      </c>
      <c r="AE233" s="391" t="s">
        <v>56</v>
      </c>
      <c r="AF233" s="417"/>
      <c r="AG233" s="417"/>
      <c r="AH233" s="418"/>
      <c r="AI233" s="484"/>
      <c r="AJ233" s="417"/>
      <c r="AK233" s="417"/>
      <c r="AL233" s="419"/>
      <c r="AM233" s="419"/>
      <c r="AN233" s="419"/>
      <c r="AO233" s="434">
        <f t="shared" si="38"/>
        <v>504</v>
      </c>
      <c r="AP233" s="406">
        <f t="shared" si="39"/>
        <v>504</v>
      </c>
      <c r="AQ233" s="185"/>
      <c r="AR233" s="406"/>
      <c r="AS233" s="406">
        <f t="shared" si="40"/>
        <v>504</v>
      </c>
      <c r="AT233" s="185"/>
      <c r="AU233" s="185"/>
      <c r="AV233" s="184"/>
      <c r="AW233" s="184"/>
      <c r="AX233" s="184"/>
      <c r="AY233" s="184"/>
      <c r="AZ233" s="184"/>
      <c r="BA233" s="184"/>
      <c r="XEE233" s="448"/>
      <c r="XEF233" s="448"/>
      <c r="XEG233" s="448"/>
      <c r="XEH233" s="448"/>
      <c r="XEI233" s="448"/>
      <c r="XEJ233" s="448"/>
      <c r="XEK233" s="448"/>
      <c r="XEL233" s="448"/>
      <c r="XEM233" s="448"/>
      <c r="XEN233" s="448"/>
      <c r="XEO233" s="422"/>
      <c r="XEP233" s="423"/>
      <c r="XEQ233" s="423"/>
      <c r="XER233" s="424"/>
      <c r="XES233" s="425"/>
      <c r="XET233" s="425"/>
      <c r="XEU233" s="424"/>
      <c r="XEV233" s="422"/>
      <c r="XEW233" s="423"/>
      <c r="XEX233" s="423"/>
      <c r="XEY233" s="424"/>
      <c r="XEZ233" s="425"/>
      <c r="XFA233" s="425"/>
      <c r="XFB233" s="424"/>
      <c r="XFC233" s="424"/>
      <c r="XFD233" s="424"/>
    </row>
    <row r="234" s="184" customFormat="1" ht="39" customHeight="1" spans="1:48 16351:16384">
      <c r="A234" s="426">
        <v>46212</v>
      </c>
      <c r="B234" s="427" t="s">
        <v>238</v>
      </c>
      <c r="C234" s="427" t="s">
        <v>77</v>
      </c>
      <c r="D234" s="428" t="s">
        <v>1043</v>
      </c>
      <c r="E234" s="550" t="s">
        <v>1048</v>
      </c>
      <c r="F234" s="429" t="s">
        <v>1049</v>
      </c>
      <c r="G234" s="428" t="s">
        <v>242</v>
      </c>
      <c r="H234" s="428" t="s">
        <v>49</v>
      </c>
      <c r="I234" s="428">
        <v>1008</v>
      </c>
      <c r="J234" s="428">
        <v>0</v>
      </c>
      <c r="K234" s="428">
        <v>1</v>
      </c>
      <c r="L234" s="428">
        <f t="shared" si="32"/>
        <v>1008</v>
      </c>
      <c r="M234" s="396">
        <v>46274</v>
      </c>
      <c r="N234" s="396">
        <v>46270</v>
      </c>
      <c r="O234" s="396" t="s">
        <v>61</v>
      </c>
      <c r="P234" s="430"/>
      <c r="Q234" s="427"/>
      <c r="R234" s="427"/>
      <c r="S234" s="431"/>
      <c r="T234" s="471" t="s">
        <v>1009</v>
      </c>
      <c r="U234" s="431">
        <v>46205</v>
      </c>
      <c r="V234" s="396"/>
      <c r="W234" s="396"/>
      <c r="X234" s="396" t="s">
        <v>584</v>
      </c>
      <c r="Y234" s="428" t="s">
        <v>1010</v>
      </c>
      <c r="Z234" s="428" t="s">
        <v>81</v>
      </c>
      <c r="AA234" s="432">
        <v>7.1057</v>
      </c>
      <c r="AB234" s="428">
        <f t="shared" si="37"/>
        <v>7162.5456</v>
      </c>
      <c r="AC234" s="415"/>
      <c r="AD234" s="428" t="s">
        <v>247</v>
      </c>
      <c r="AE234" s="428" t="s">
        <v>56</v>
      </c>
      <c r="AF234" s="406"/>
      <c r="AG234" s="406"/>
      <c r="AH234" s="404"/>
      <c r="AI234" s="183"/>
      <c r="AJ234" s="406"/>
      <c r="AK234" s="436"/>
      <c r="AL234" s="183"/>
      <c r="AM234" s="183"/>
      <c r="AN234" s="183"/>
      <c r="AO234" s="434">
        <f t="shared" si="38"/>
        <v>1008</v>
      </c>
      <c r="AP234" s="406">
        <f t="shared" si="39"/>
        <v>1008</v>
      </c>
      <c r="AQ234" s="185"/>
      <c r="AR234" s="406"/>
      <c r="AS234" s="406">
        <f t="shared" si="40"/>
        <v>1008</v>
      </c>
      <c r="AT234" s="185"/>
      <c r="AU234" s="185"/>
      <c r="AV234" s="184"/>
      <c r="AW234" s="184"/>
      <c r="AX234" s="184"/>
      <c r="AY234" s="184"/>
      <c r="AZ234" s="184"/>
      <c r="BA234" s="184"/>
      <c r="XEE234" s="447"/>
      <c r="XEF234" s="447"/>
      <c r="XEG234" s="447"/>
      <c r="XEH234" s="447"/>
      <c r="XEI234" s="447"/>
      <c r="XEJ234" s="447"/>
      <c r="XEK234" s="447"/>
      <c r="XEL234" s="447"/>
      <c r="XEM234" s="447"/>
      <c r="XEN234" s="447"/>
      <c r="XEO234" s="426"/>
      <c r="XEP234" s="427"/>
      <c r="XEQ234" s="427"/>
      <c r="XER234" s="428"/>
      <c r="XES234" s="429"/>
      <c r="XET234" s="429"/>
      <c r="XEU234" s="428"/>
      <c r="XEV234" s="426"/>
      <c r="XEW234" s="427"/>
      <c r="XEX234" s="427"/>
      <c r="XEY234" s="428"/>
      <c r="XEZ234" s="429"/>
      <c r="XFA234" s="429"/>
      <c r="XFB234" s="428"/>
      <c r="XFC234" s="428"/>
      <c r="XFD234" s="428"/>
    </row>
    <row r="235" s="184" customFormat="1" ht="39" customHeight="1" spans="1:48 16351:16384">
      <c r="A235" s="426">
        <v>46212</v>
      </c>
      <c r="B235" s="427" t="s">
        <v>238</v>
      </c>
      <c r="C235" s="427" t="s">
        <v>77</v>
      </c>
      <c r="D235" s="428" t="s">
        <v>1043</v>
      </c>
      <c r="E235" s="550" t="s">
        <v>1050</v>
      </c>
      <c r="F235" s="429" t="s">
        <v>1051</v>
      </c>
      <c r="G235" s="428" t="s">
        <v>242</v>
      </c>
      <c r="H235" s="428" t="s">
        <v>49</v>
      </c>
      <c r="I235" s="428">
        <v>720</v>
      </c>
      <c r="J235" s="428">
        <v>0</v>
      </c>
      <c r="K235" s="428">
        <v>1</v>
      </c>
      <c r="L235" s="428">
        <f t="shared" si="32"/>
        <v>720</v>
      </c>
      <c r="M235" s="396">
        <v>46274</v>
      </c>
      <c r="N235" s="396">
        <v>46270</v>
      </c>
      <c r="O235" s="396" t="s">
        <v>61</v>
      </c>
      <c r="P235" s="430"/>
      <c r="Q235" s="427"/>
      <c r="R235" s="427"/>
      <c r="S235" s="431"/>
      <c r="T235" s="471" t="s">
        <v>1009</v>
      </c>
      <c r="U235" s="431">
        <v>46205</v>
      </c>
      <c r="V235" s="396"/>
      <c r="W235" s="396"/>
      <c r="X235" s="396" t="s">
        <v>584</v>
      </c>
      <c r="Y235" s="428" t="s">
        <v>1010</v>
      </c>
      <c r="Z235" s="428" t="s">
        <v>81</v>
      </c>
      <c r="AA235" s="432">
        <v>7.1057</v>
      </c>
      <c r="AB235" s="428">
        <f t="shared" si="37"/>
        <v>5116.104</v>
      </c>
      <c r="AC235" s="415"/>
      <c r="AD235" s="428" t="s">
        <v>247</v>
      </c>
      <c r="AE235" s="428" t="s">
        <v>56</v>
      </c>
      <c r="AF235" s="406"/>
      <c r="AG235" s="406"/>
      <c r="AH235" s="404"/>
      <c r="AI235" s="183"/>
      <c r="AJ235" s="406"/>
      <c r="AK235" s="436"/>
      <c r="AL235" s="183"/>
      <c r="AM235" s="184"/>
      <c r="AN235" s="184"/>
      <c r="AO235" s="434">
        <f t="shared" si="38"/>
        <v>720</v>
      </c>
      <c r="AP235" s="406">
        <f t="shared" si="39"/>
        <v>720</v>
      </c>
      <c r="AQ235" s="185"/>
      <c r="AR235" s="406"/>
      <c r="AS235" s="406">
        <f t="shared" si="40"/>
        <v>720</v>
      </c>
      <c r="AT235" s="185"/>
      <c r="AU235" s="185"/>
      <c r="AV235" s="184"/>
      <c r="AW235" s="184"/>
      <c r="AX235" s="184"/>
      <c r="AY235" s="184"/>
      <c r="AZ235" s="184"/>
      <c r="BA235" s="184"/>
      <c r="XEE235" s="447"/>
      <c r="XEF235" s="447"/>
      <c r="XEG235" s="447"/>
      <c r="XEH235" s="447"/>
      <c r="XEI235" s="447"/>
      <c r="XEJ235" s="447"/>
      <c r="XEK235" s="447"/>
      <c r="XEL235" s="447"/>
      <c r="XEM235" s="447"/>
      <c r="XEN235" s="447"/>
      <c r="XEO235" s="426"/>
      <c r="XEP235" s="427"/>
      <c r="XEQ235" s="427"/>
      <c r="XER235" s="428"/>
      <c r="XES235" s="429"/>
      <c r="XET235" s="429"/>
      <c r="XEU235" s="428"/>
      <c r="XEV235" s="426"/>
      <c r="XEW235" s="427"/>
      <c r="XEX235" s="427"/>
      <c r="XEY235" s="428"/>
      <c r="XEZ235" s="429"/>
      <c r="XFA235" s="429"/>
      <c r="XFB235" s="428"/>
      <c r="XFC235" s="428"/>
      <c r="XFD235" s="428"/>
    </row>
    <row r="236" s="184" customFormat="1" ht="39" customHeight="1" spans="1:48 16351:16384">
      <c r="A236" s="426">
        <v>46212</v>
      </c>
      <c r="B236" s="427" t="s">
        <v>238</v>
      </c>
      <c r="C236" s="427" t="s">
        <v>77</v>
      </c>
      <c r="D236" s="428" t="s">
        <v>1043</v>
      </c>
      <c r="E236" s="550" t="s">
        <v>1052</v>
      </c>
      <c r="F236" s="429" t="s">
        <v>1053</v>
      </c>
      <c r="G236" s="428" t="s">
        <v>242</v>
      </c>
      <c r="H236" s="428" t="s">
        <v>49</v>
      </c>
      <c r="I236" s="428">
        <v>504</v>
      </c>
      <c r="J236" s="428">
        <v>0</v>
      </c>
      <c r="K236" s="428">
        <v>1</v>
      </c>
      <c r="L236" s="428">
        <f t="shared" si="32"/>
        <v>504</v>
      </c>
      <c r="M236" s="396">
        <v>46274</v>
      </c>
      <c r="N236" s="396">
        <v>46270</v>
      </c>
      <c r="O236" s="396" t="s">
        <v>61</v>
      </c>
      <c r="P236" s="430"/>
      <c r="Q236" s="427"/>
      <c r="R236" s="427"/>
      <c r="S236" s="431"/>
      <c r="T236" s="471" t="s">
        <v>1009</v>
      </c>
      <c r="U236" s="431">
        <v>46205</v>
      </c>
      <c r="V236" s="396"/>
      <c r="W236" s="396"/>
      <c r="X236" s="396" t="s">
        <v>584</v>
      </c>
      <c r="Y236" s="428" t="s">
        <v>1010</v>
      </c>
      <c r="Z236" s="428" t="s">
        <v>81</v>
      </c>
      <c r="AA236" s="432">
        <v>7.2743</v>
      </c>
      <c r="AB236" s="428">
        <f t="shared" si="37"/>
        <v>3666.2472</v>
      </c>
      <c r="AC236" s="415"/>
      <c r="AD236" s="428" t="s">
        <v>247</v>
      </c>
      <c r="AE236" s="428" t="s">
        <v>56</v>
      </c>
      <c r="AF236" s="406"/>
      <c r="AG236" s="406"/>
      <c r="AH236" s="433"/>
      <c r="AI236" s="185"/>
      <c r="AJ236" s="406"/>
      <c r="AK236" s="406"/>
      <c r="AL236" s="185"/>
      <c r="AM236" s="185"/>
      <c r="AN236" s="185"/>
      <c r="AO236" s="434">
        <f t="shared" si="38"/>
        <v>504</v>
      </c>
      <c r="AP236" s="406">
        <f t="shared" si="39"/>
        <v>504</v>
      </c>
      <c r="AQ236" s="185"/>
      <c r="AR236" s="406"/>
      <c r="AS236" s="406">
        <f t="shared" si="40"/>
        <v>504</v>
      </c>
      <c r="AT236" s="185"/>
      <c r="AU236" s="185"/>
      <c r="AV236" s="184"/>
      <c r="AW236" s="184"/>
      <c r="AX236" s="184"/>
      <c r="AY236" s="184"/>
      <c r="AZ236" s="184"/>
      <c r="BA236" s="184"/>
      <c r="XEE236" s="448"/>
      <c r="XEF236" s="448"/>
      <c r="XEG236" s="448"/>
      <c r="XEH236" s="448"/>
      <c r="XEI236" s="448"/>
      <c r="XEJ236" s="448"/>
      <c r="XEK236" s="448"/>
      <c r="XEL236" s="448"/>
      <c r="XEM236" s="448"/>
      <c r="XEN236" s="448"/>
      <c r="XEO236" s="422"/>
      <c r="XEP236" s="423"/>
      <c r="XEQ236" s="423"/>
      <c r="XER236" s="424"/>
      <c r="XES236" s="425"/>
      <c r="XET236" s="425"/>
      <c r="XEU236" s="424"/>
      <c r="XEV236" s="422"/>
      <c r="XEW236" s="423"/>
      <c r="XEX236" s="423"/>
      <c r="XEY236" s="424"/>
      <c r="XEZ236" s="425"/>
      <c r="XFA236" s="425"/>
      <c r="XFB236" s="424"/>
      <c r="XFC236" s="424"/>
      <c r="XFD236" s="424"/>
    </row>
    <row r="237" s="184" customFormat="1" ht="39" customHeight="1" spans="1:48 16351:16384">
      <c r="A237" s="426">
        <v>46227</v>
      </c>
      <c r="B237" s="427" t="s">
        <v>1054</v>
      </c>
      <c r="C237" s="427" t="s">
        <v>210</v>
      </c>
      <c r="D237" s="428">
        <v>4500217495</v>
      </c>
      <c r="E237" s="429" t="s">
        <v>1055</v>
      </c>
      <c r="F237" s="429" t="s">
        <v>1056</v>
      </c>
      <c r="G237" s="428" t="s">
        <v>59</v>
      </c>
      <c r="H237" s="428" t="s">
        <v>49</v>
      </c>
      <c r="I237" s="428">
        <v>500</v>
      </c>
      <c r="J237" s="428">
        <v>0</v>
      </c>
      <c r="K237" s="428">
        <v>4</v>
      </c>
      <c r="L237" s="428">
        <f t="shared" si="32"/>
        <v>125</v>
      </c>
      <c r="M237" s="396">
        <v>46275</v>
      </c>
      <c r="N237" s="396">
        <v>46272</v>
      </c>
      <c r="O237" s="396"/>
      <c r="P237" s="430"/>
      <c r="Q237" s="427"/>
      <c r="R237" s="427"/>
      <c r="S237" s="431"/>
      <c r="T237" s="507">
        <v>46231</v>
      </c>
      <c r="U237" s="507" t="s">
        <v>1057</v>
      </c>
      <c r="V237" s="396"/>
      <c r="W237" s="396"/>
      <c r="X237" s="396"/>
      <c r="Y237" s="508" t="s">
        <v>1058</v>
      </c>
      <c r="Z237" s="428" t="s">
        <v>213</v>
      </c>
      <c r="AA237" s="432">
        <v>11.9558</v>
      </c>
      <c r="AB237" s="391">
        <f t="shared" si="37"/>
        <v>5977.9</v>
      </c>
      <c r="AC237" s="415"/>
      <c r="AD237" s="479" t="s">
        <v>55</v>
      </c>
      <c r="AE237" s="428" t="s">
        <v>56</v>
      </c>
      <c r="AF237" s="185"/>
      <c r="AG237" s="434"/>
      <c r="AH237" s="185"/>
      <c r="AI237" s="406"/>
      <c r="AJ237" s="406"/>
      <c r="AK237" s="185"/>
      <c r="AL237" s="185"/>
      <c r="AM237" s="185"/>
      <c r="AN237" s="506"/>
      <c r="AO237" s="434">
        <f t="shared" si="38"/>
        <v>500</v>
      </c>
      <c r="AP237" s="406">
        <f t="shared" si="39"/>
        <v>500</v>
      </c>
      <c r="AS237" s="406">
        <f t="shared" si="40"/>
        <v>500</v>
      </c>
      <c r="XDW237" s="448"/>
      <c r="XDX237" s="448"/>
      <c r="XDY237" s="448"/>
      <c r="XDZ237" s="448"/>
      <c r="XEA237" s="448"/>
      <c r="XEB237" s="448"/>
      <c r="XEC237" s="448"/>
      <c r="XED237" s="448"/>
      <c r="XEE237" s="448"/>
      <c r="XEF237" s="448"/>
      <c r="XEG237" s="422"/>
      <c r="XEH237" s="423"/>
      <c r="XEI237" s="423"/>
      <c r="XEJ237" s="424"/>
      <c r="XEK237" s="425"/>
      <c r="XEL237" s="425"/>
      <c r="XEM237" s="424"/>
      <c r="XEN237" s="422"/>
      <c r="XEO237" s="423"/>
      <c r="XEP237" s="423"/>
      <c r="XEQ237" s="424"/>
      <c r="XER237" s="425"/>
      <c r="XES237" s="425"/>
      <c r="XET237" s="424"/>
      <c r="XEU237" s="424"/>
      <c r="XEV237" s="424"/>
      <c r="XEW237" s="426"/>
      <c r="XEX237" s="427"/>
      <c r="XEY237" s="427"/>
      <c r="XEZ237" s="428"/>
      <c r="XFA237" s="429"/>
      <c r="XFB237" s="429"/>
      <c r="XFC237" s="428"/>
      <c r="XFD237" s="428"/>
    </row>
    <row r="238" s="185" customFormat="1" ht="39" customHeight="1" spans="1:48 16351:16384">
      <c r="A238" s="426">
        <v>46183</v>
      </c>
      <c r="B238" s="427" t="s">
        <v>238</v>
      </c>
      <c r="C238" s="427" t="s">
        <v>77</v>
      </c>
      <c r="D238" s="428" t="s">
        <v>1059</v>
      </c>
      <c r="E238" s="429" t="s">
        <v>1060</v>
      </c>
      <c r="F238" s="429" t="s">
        <v>1061</v>
      </c>
      <c r="G238" s="428">
        <v>71172</v>
      </c>
      <c r="H238" s="428" t="s">
        <v>49</v>
      </c>
      <c r="I238" s="428">
        <v>1032</v>
      </c>
      <c r="J238" s="428">
        <v>0</v>
      </c>
      <c r="K238" s="238">
        <v>4</v>
      </c>
      <c r="L238" s="238">
        <f t="shared" si="32"/>
        <v>258</v>
      </c>
      <c r="M238" s="396">
        <v>46275</v>
      </c>
      <c r="N238" s="396">
        <v>46272</v>
      </c>
      <c r="O238" s="396"/>
      <c r="P238" s="430"/>
      <c r="Q238" s="396" t="s">
        <v>811</v>
      </c>
      <c r="R238" s="427"/>
      <c r="S238" s="431"/>
      <c r="T238" s="431" t="s">
        <v>812</v>
      </c>
      <c r="U238" s="431">
        <v>46205</v>
      </c>
      <c r="V238" s="396"/>
      <c r="W238" s="396"/>
      <c r="X238" s="396" t="s">
        <v>584</v>
      </c>
      <c r="Y238" s="428" t="s">
        <v>1062</v>
      </c>
      <c r="Z238" s="428" t="s">
        <v>81</v>
      </c>
      <c r="AA238" s="432">
        <v>6.85614</v>
      </c>
      <c r="AB238" s="428">
        <f t="shared" si="37"/>
        <v>7075.53648</v>
      </c>
      <c r="AC238" s="415"/>
      <c r="AD238" s="479" t="s">
        <v>55</v>
      </c>
      <c r="AE238" s="484" t="s">
        <v>56</v>
      </c>
      <c r="AF238" s="433"/>
      <c r="AG238" s="433"/>
      <c r="AH238" s="404"/>
      <c r="AI238" s="404"/>
      <c r="AJ238" s="185"/>
      <c r="AK238" s="183"/>
      <c r="AL238" s="183"/>
      <c r="AM238" s="183"/>
      <c r="AN238" s="185"/>
      <c r="AO238" s="434">
        <f t="shared" si="38"/>
        <v>1032</v>
      </c>
      <c r="AP238" s="406">
        <f t="shared" si="39"/>
        <v>1032</v>
      </c>
      <c r="AQ238" s="421"/>
      <c r="AR238" s="421"/>
      <c r="AS238" s="406">
        <f t="shared" si="40"/>
        <v>1032</v>
      </c>
      <c r="AT238" s="421"/>
      <c r="AU238" s="421"/>
      <c r="AV238" s="183"/>
      <c r="XEE238" s="421"/>
      <c r="XEF238" s="421"/>
      <c r="XEG238" s="421"/>
      <c r="XEH238" s="421"/>
      <c r="XEI238" s="421"/>
      <c r="XEJ238" s="421"/>
      <c r="XEK238" s="421"/>
      <c r="XEL238" s="421"/>
      <c r="XEM238" s="421"/>
      <c r="XEN238" s="426"/>
      <c r="XEO238" s="427"/>
      <c r="XEP238" s="427"/>
      <c r="XEQ238" s="428"/>
      <c r="XER238" s="429"/>
      <c r="XES238" s="429"/>
      <c r="XET238" s="428"/>
      <c r="XEU238" s="428"/>
      <c r="XEV238" s="428"/>
      <c r="XEW238" s="426"/>
      <c r="XEX238" s="427"/>
      <c r="XEY238" s="427"/>
      <c r="XEZ238" s="428"/>
      <c r="XFA238" s="429"/>
      <c r="XFB238" s="429"/>
      <c r="XFC238" s="428"/>
      <c r="XFD238" s="428"/>
    </row>
    <row r="239" s="185" customFormat="1" ht="39" customHeight="1" spans="1:48 16351:16384">
      <c r="A239" s="426">
        <v>46183</v>
      </c>
      <c r="B239" s="427" t="s">
        <v>238</v>
      </c>
      <c r="C239" s="427" t="s">
        <v>77</v>
      </c>
      <c r="D239" s="428" t="s">
        <v>1059</v>
      </c>
      <c r="E239" s="429" t="s">
        <v>1060</v>
      </c>
      <c r="F239" s="429" t="s">
        <v>1063</v>
      </c>
      <c r="G239" s="428">
        <v>71172</v>
      </c>
      <c r="H239" s="428" t="s">
        <v>49</v>
      </c>
      <c r="I239" s="428">
        <v>964</v>
      </c>
      <c r="J239" s="428">
        <v>0</v>
      </c>
      <c r="K239" s="238">
        <v>4</v>
      </c>
      <c r="L239" s="238">
        <f t="shared" si="32"/>
        <v>241</v>
      </c>
      <c r="M239" s="396">
        <v>46275</v>
      </c>
      <c r="N239" s="396">
        <v>46272</v>
      </c>
      <c r="O239" s="396"/>
      <c r="P239" s="430"/>
      <c r="Q239" s="396" t="s">
        <v>811</v>
      </c>
      <c r="R239" s="427"/>
      <c r="S239" s="431"/>
      <c r="T239" s="431" t="s">
        <v>812</v>
      </c>
      <c r="U239" s="431">
        <v>46205</v>
      </c>
      <c r="V239" s="396"/>
      <c r="W239" s="396"/>
      <c r="X239" s="396" t="s">
        <v>584</v>
      </c>
      <c r="Y239" s="428" t="s">
        <v>1064</v>
      </c>
      <c r="Z239" s="428" t="s">
        <v>81</v>
      </c>
      <c r="AA239" s="432">
        <v>6.85614</v>
      </c>
      <c r="AB239" s="428">
        <f t="shared" si="37"/>
        <v>6609.31896</v>
      </c>
      <c r="AC239" s="415"/>
      <c r="AD239" s="479" t="s">
        <v>55</v>
      </c>
      <c r="AE239" s="484" t="s">
        <v>56</v>
      </c>
      <c r="AF239" s="433"/>
      <c r="AG239" s="433"/>
      <c r="AH239" s="404"/>
      <c r="AI239" s="404"/>
      <c r="AJ239" s="185"/>
      <c r="AK239" s="183"/>
      <c r="AL239" s="183"/>
      <c r="AM239" s="183"/>
      <c r="AN239" s="185"/>
      <c r="AO239" s="434">
        <f t="shared" si="38"/>
        <v>964</v>
      </c>
      <c r="AP239" s="406">
        <f t="shared" si="39"/>
        <v>964</v>
      </c>
      <c r="AQ239" s="421"/>
      <c r="AR239" s="421"/>
      <c r="AS239" s="406">
        <f t="shared" si="40"/>
        <v>964</v>
      </c>
      <c r="AT239" s="421"/>
      <c r="AU239" s="421"/>
      <c r="AV239" s="183"/>
      <c r="XEE239" s="421"/>
      <c r="XEF239" s="421"/>
      <c r="XEG239" s="421"/>
      <c r="XEH239" s="421"/>
      <c r="XEI239" s="421"/>
      <c r="XEJ239" s="421"/>
      <c r="XEK239" s="421"/>
      <c r="XEL239" s="421"/>
      <c r="XEM239" s="421"/>
      <c r="XEN239" s="426"/>
      <c r="XEO239" s="427"/>
      <c r="XEP239" s="427"/>
      <c r="XEQ239" s="428"/>
      <c r="XER239" s="429"/>
      <c r="XES239" s="429"/>
      <c r="XET239" s="428"/>
      <c r="XEU239" s="428"/>
      <c r="XEV239" s="428"/>
      <c r="XEW239" s="426"/>
      <c r="XEX239" s="427"/>
      <c r="XEY239" s="427"/>
      <c r="XEZ239" s="428"/>
      <c r="XFA239" s="429"/>
      <c r="XFB239" s="429"/>
      <c r="XFC239" s="428"/>
      <c r="XFD239" s="428"/>
    </row>
    <row r="240" s="185" customFormat="1" ht="39" customHeight="1" spans="1:48 16351:16384">
      <c r="A240" s="426">
        <v>46234</v>
      </c>
      <c r="B240" s="427" t="s">
        <v>1065</v>
      </c>
      <c r="C240" s="427" t="s">
        <v>1066</v>
      </c>
      <c r="D240" s="428">
        <v>4500218324</v>
      </c>
      <c r="E240" s="429"/>
      <c r="F240" s="429" t="s">
        <v>1067</v>
      </c>
      <c r="G240" s="428" t="s">
        <v>59</v>
      </c>
      <c r="H240" s="428" t="s">
        <v>49</v>
      </c>
      <c r="I240" s="428">
        <v>252</v>
      </c>
      <c r="J240" s="428">
        <v>0</v>
      </c>
      <c r="K240" s="391">
        <v>4</v>
      </c>
      <c r="L240" s="391">
        <f t="shared" si="32"/>
        <v>63</v>
      </c>
      <c r="M240" s="396">
        <v>46275</v>
      </c>
      <c r="N240" s="396">
        <v>46272</v>
      </c>
      <c r="O240" s="396"/>
      <c r="P240" s="430"/>
      <c r="Q240" s="396"/>
      <c r="R240" s="427"/>
      <c r="S240" s="431"/>
      <c r="T240" s="431">
        <v>46234</v>
      </c>
      <c r="U240" s="431">
        <v>46234</v>
      </c>
      <c r="V240" s="396"/>
      <c r="W240" s="396"/>
      <c r="X240" s="396"/>
      <c r="Y240" s="509" t="s">
        <v>1068</v>
      </c>
      <c r="Z240" s="509" t="s">
        <v>1069</v>
      </c>
      <c r="AA240" s="509">
        <v>11.4807</v>
      </c>
      <c r="AB240" s="428">
        <f t="shared" si="37"/>
        <v>2893.1364</v>
      </c>
      <c r="AC240" s="415"/>
      <c r="AD240" s="479" t="s">
        <v>55</v>
      </c>
      <c r="AE240" s="484" t="s">
        <v>56</v>
      </c>
      <c r="AF240" s="433"/>
      <c r="AG240" s="433"/>
      <c r="AH240" s="404"/>
      <c r="AI240" s="404"/>
      <c r="AK240" s="183"/>
      <c r="AL240" s="183"/>
      <c r="AM240" s="183"/>
      <c r="AN240" s="185"/>
      <c r="AO240" s="434">
        <f t="shared" si="38"/>
        <v>252</v>
      </c>
      <c r="AP240" s="406">
        <f t="shared" si="39"/>
        <v>252</v>
      </c>
      <c r="AQ240" s="421"/>
      <c r="AR240" s="421"/>
      <c r="AS240" s="406">
        <f t="shared" si="40"/>
        <v>252</v>
      </c>
      <c r="AT240" s="421"/>
      <c r="AU240" s="421"/>
      <c r="AV240" s="183"/>
      <c r="XEE240" s="421"/>
      <c r="XEF240" s="421"/>
      <c r="XEG240" s="421"/>
      <c r="XEH240" s="421"/>
      <c r="XEI240" s="421"/>
      <c r="XEJ240" s="421"/>
      <c r="XEK240" s="421"/>
      <c r="XEL240" s="421"/>
      <c r="XEM240" s="421"/>
      <c r="XEN240" s="426"/>
      <c r="XEO240" s="427"/>
      <c r="XEP240" s="427"/>
      <c r="XEQ240" s="428"/>
      <c r="XER240" s="429"/>
      <c r="XES240" s="429"/>
      <c r="XET240" s="428"/>
      <c r="XEU240" s="428"/>
      <c r="XEV240" s="428"/>
      <c r="XEW240" s="426"/>
      <c r="XEX240" s="427"/>
      <c r="XEY240" s="427"/>
      <c r="XEZ240" s="428"/>
      <c r="XFA240" s="429"/>
      <c r="XFB240" s="429"/>
      <c r="XFC240" s="428"/>
      <c r="XFD240" s="428"/>
    </row>
    <row r="241" s="185" customFormat="1" ht="39" customHeight="1" spans="1:53 16351:16384">
      <c r="A241" s="426">
        <v>46237</v>
      </c>
      <c r="B241" s="427" t="s">
        <v>118</v>
      </c>
      <c r="C241" s="427" t="s">
        <v>119</v>
      </c>
      <c r="D241" s="428">
        <v>4500218532</v>
      </c>
      <c r="E241" s="429" t="s">
        <v>1070</v>
      </c>
      <c r="F241" s="429" t="s">
        <v>1071</v>
      </c>
      <c r="G241" s="428" t="s">
        <v>59</v>
      </c>
      <c r="H241" s="428" t="s">
        <v>49</v>
      </c>
      <c r="I241" s="428">
        <v>900</v>
      </c>
      <c r="J241" s="428">
        <v>0</v>
      </c>
      <c r="K241" s="391">
        <v>4</v>
      </c>
      <c r="L241" s="391">
        <f t="shared" si="32"/>
        <v>225</v>
      </c>
      <c r="M241" s="396">
        <v>46275</v>
      </c>
      <c r="N241" s="396">
        <v>46272</v>
      </c>
      <c r="O241" s="396"/>
      <c r="P241" s="430"/>
      <c r="Q241" s="396"/>
      <c r="R241" s="427"/>
      <c r="S241" s="431"/>
      <c r="T241" s="431">
        <v>46237</v>
      </c>
      <c r="U241" s="431" t="s">
        <v>1072</v>
      </c>
      <c r="V241" s="396"/>
      <c r="W241" s="396"/>
      <c r="X241" s="396" t="s">
        <v>896</v>
      </c>
      <c r="Y241" s="428" t="s">
        <v>1073</v>
      </c>
      <c r="Z241" s="428" t="s">
        <v>1074</v>
      </c>
      <c r="AA241" s="432">
        <v>11.4807</v>
      </c>
      <c r="AB241" s="428">
        <f t="shared" si="37"/>
        <v>10332.63</v>
      </c>
      <c r="AC241" s="415"/>
      <c r="AD241" s="465" t="s">
        <v>113</v>
      </c>
      <c r="AE241" s="484" t="s">
        <v>56</v>
      </c>
      <c r="AF241" s="183"/>
      <c r="AG241" s="434"/>
      <c r="AH241" s="406"/>
      <c r="AI241" s="447"/>
      <c r="AJ241" s="447"/>
      <c r="AK241" s="406"/>
      <c r="AL241" s="447"/>
      <c r="AM241" s="447"/>
      <c r="AN241" s="183"/>
      <c r="AO241" s="406">
        <f t="shared" si="38"/>
        <v>900</v>
      </c>
      <c r="AP241" s="406"/>
      <c r="AQ241" s="406">
        <f>AO241</f>
        <v>900</v>
      </c>
      <c r="AS241" s="406">
        <f t="shared" si="40"/>
        <v>900</v>
      </c>
      <c r="XDW241" s="447"/>
      <c r="XDX241" s="447"/>
      <c r="XDY241" s="447"/>
      <c r="XDZ241" s="447"/>
      <c r="XEA241" s="447"/>
      <c r="XEB241" s="447"/>
      <c r="XEC241" s="447"/>
      <c r="XED241" s="447"/>
      <c r="XEE241" s="447"/>
      <c r="XEF241" s="426"/>
      <c r="XEG241" s="427"/>
      <c r="XEH241" s="427"/>
      <c r="XEI241" s="428"/>
      <c r="XEJ241" s="429"/>
      <c r="XEK241" s="429"/>
      <c r="XEL241" s="428"/>
      <c r="XEM241" s="428"/>
      <c r="XEN241" s="428"/>
      <c r="XEO241" s="426"/>
      <c r="XEP241" s="427"/>
      <c r="XEQ241" s="427"/>
      <c r="XER241" s="428"/>
      <c r="XES241" s="429"/>
      <c r="XET241" s="429"/>
      <c r="XEU241" s="428"/>
      <c r="XEV241" s="428"/>
      <c r="XEW241" s="426"/>
      <c r="XEX241" s="427"/>
      <c r="XEY241" s="427"/>
      <c r="XEZ241" s="428"/>
      <c r="XFA241" s="429"/>
      <c r="XFB241" s="429"/>
      <c r="XFC241" s="428"/>
      <c r="XFD241" s="428"/>
    </row>
    <row r="242" s="185" customFormat="1" ht="39" customHeight="1" spans="1:53 16351:16384">
      <c r="A242" s="426">
        <v>46230</v>
      </c>
      <c r="B242" s="427" t="s">
        <v>1075</v>
      </c>
      <c r="C242" s="427" t="s">
        <v>1076</v>
      </c>
      <c r="D242" s="428">
        <v>4500217906</v>
      </c>
      <c r="E242" s="429"/>
      <c r="F242" s="429" t="s">
        <v>1077</v>
      </c>
      <c r="G242" s="428" t="s">
        <v>59</v>
      </c>
      <c r="H242" s="428" t="s">
        <v>49</v>
      </c>
      <c r="I242" s="428">
        <v>152</v>
      </c>
      <c r="J242" s="428">
        <v>0</v>
      </c>
      <c r="K242" s="391">
        <v>4</v>
      </c>
      <c r="L242" s="391">
        <f t="shared" si="32"/>
        <v>38</v>
      </c>
      <c r="M242" s="396">
        <v>46279</v>
      </c>
      <c r="N242" s="396">
        <v>46275</v>
      </c>
      <c r="O242" s="396"/>
      <c r="P242" s="430"/>
      <c r="Q242" s="396"/>
      <c r="R242" s="427"/>
      <c r="S242" s="431"/>
      <c r="T242" s="431">
        <v>46237</v>
      </c>
      <c r="U242" s="431">
        <v>46237</v>
      </c>
      <c r="V242" s="396"/>
      <c r="W242" s="396"/>
      <c r="X242" s="396"/>
      <c r="Y242" s="428" t="s">
        <v>1078</v>
      </c>
      <c r="Z242" s="428" t="s">
        <v>1079</v>
      </c>
      <c r="AA242" s="432">
        <v>11.4807</v>
      </c>
      <c r="AB242" s="428">
        <f t="shared" si="37"/>
        <v>1745.0664</v>
      </c>
      <c r="AC242" s="415"/>
      <c r="AD242" s="479" t="s">
        <v>55</v>
      </c>
      <c r="AE242" s="484" t="s">
        <v>56</v>
      </c>
      <c r="AF242" s="433"/>
      <c r="AG242" s="433"/>
      <c r="AH242" s="404"/>
      <c r="AI242" s="404"/>
      <c r="AJ242" s="185"/>
      <c r="AK242" s="183"/>
      <c r="AL242" s="183"/>
      <c r="AM242" s="183"/>
      <c r="AN242" s="185"/>
      <c r="AO242" s="434">
        <f t="shared" si="38"/>
        <v>152</v>
      </c>
      <c r="AP242" s="406">
        <f t="shared" ref="AP242:AP250" si="41">AO242</f>
        <v>152</v>
      </c>
      <c r="AQ242" s="447"/>
      <c r="AR242" s="447"/>
      <c r="AS242" s="406">
        <f t="shared" si="40"/>
        <v>152</v>
      </c>
      <c r="AT242" s="447"/>
      <c r="AU242" s="447"/>
      <c r="AV242" s="183"/>
      <c r="XEE242" s="447"/>
      <c r="XEF242" s="447"/>
      <c r="XEG242" s="447"/>
      <c r="XEH242" s="447"/>
      <c r="XEI242" s="447"/>
      <c r="XEJ242" s="447"/>
      <c r="XEK242" s="447"/>
      <c r="XEL242" s="447"/>
      <c r="XEM242" s="447"/>
      <c r="XEN242" s="426"/>
      <c r="XEO242" s="427"/>
      <c r="XEP242" s="427"/>
      <c r="XEQ242" s="428"/>
      <c r="XER242" s="429"/>
      <c r="XES242" s="429"/>
      <c r="XET242" s="428"/>
      <c r="XEU242" s="428"/>
      <c r="XEV242" s="428"/>
      <c r="XEW242" s="426"/>
      <c r="XEX242" s="427"/>
      <c r="XEY242" s="427"/>
      <c r="XEZ242" s="428"/>
      <c r="XFA242" s="429"/>
      <c r="XFB242" s="429"/>
      <c r="XFC242" s="428"/>
      <c r="XFD242" s="428"/>
    </row>
    <row r="243" s="185" customFormat="1" ht="39" customHeight="1" spans="1:53 16351:16384">
      <c r="A243" s="426">
        <v>46237</v>
      </c>
      <c r="B243" s="427" t="s">
        <v>1080</v>
      </c>
      <c r="C243" s="427" t="s">
        <v>65</v>
      </c>
      <c r="D243" s="428">
        <v>4500218482</v>
      </c>
      <c r="E243" s="429" t="s">
        <v>1081</v>
      </c>
      <c r="F243" s="429" t="s">
        <v>1082</v>
      </c>
      <c r="G243" s="428" t="s">
        <v>59</v>
      </c>
      <c r="H243" s="428" t="s">
        <v>49</v>
      </c>
      <c r="I243" s="428">
        <v>500</v>
      </c>
      <c r="J243" s="428">
        <v>0</v>
      </c>
      <c r="K243" s="391">
        <v>4</v>
      </c>
      <c r="L243" s="391">
        <f t="shared" si="32"/>
        <v>125</v>
      </c>
      <c r="M243" s="396">
        <v>46279</v>
      </c>
      <c r="N243" s="396">
        <v>46275</v>
      </c>
      <c r="O243" s="396"/>
      <c r="P243" s="430"/>
      <c r="Q243" s="396"/>
      <c r="R243" s="427"/>
      <c r="S243" s="431"/>
      <c r="T243" s="431">
        <v>46237</v>
      </c>
      <c r="U243" s="431" t="s">
        <v>1083</v>
      </c>
      <c r="V243" s="396"/>
      <c r="W243" s="396"/>
      <c r="X243" s="396"/>
      <c r="Y243" s="428" t="s">
        <v>1084</v>
      </c>
      <c r="Z243" s="428" t="s">
        <v>1085</v>
      </c>
      <c r="AA243" s="432">
        <v>11.1802</v>
      </c>
      <c r="AB243" s="428">
        <f t="shared" si="37"/>
        <v>5590.1</v>
      </c>
      <c r="AC243" s="415"/>
      <c r="AD243" s="479" t="s">
        <v>55</v>
      </c>
      <c r="AE243" s="428" t="s">
        <v>56</v>
      </c>
      <c r="AF243" s="183"/>
      <c r="AG243" s="434"/>
      <c r="AH243" s="406"/>
      <c r="AI243" s="447"/>
      <c r="AJ243" s="447"/>
      <c r="AK243" s="406"/>
      <c r="AL243" s="447"/>
      <c r="AM243" s="447"/>
      <c r="AN243" s="185"/>
      <c r="AO243" s="406">
        <f t="shared" si="38"/>
        <v>500</v>
      </c>
      <c r="AP243" s="406">
        <f t="shared" si="41"/>
        <v>500</v>
      </c>
      <c r="AS243" s="406">
        <f t="shared" si="40"/>
        <v>500</v>
      </c>
      <c r="XDW243" s="447"/>
      <c r="XDX243" s="447"/>
      <c r="XDY243" s="447"/>
      <c r="XDZ243" s="447"/>
      <c r="XEA243" s="447"/>
      <c r="XEB243" s="447"/>
      <c r="XEC243" s="447"/>
      <c r="XED243" s="447"/>
      <c r="XEE243" s="447"/>
      <c r="XEF243" s="426"/>
      <c r="XEG243" s="427"/>
      <c r="XEH243" s="427"/>
      <c r="XEI243" s="428"/>
      <c r="XEJ243" s="429"/>
      <c r="XEK243" s="429"/>
      <c r="XEL243" s="428"/>
      <c r="XEM243" s="428"/>
      <c r="XEN243" s="428"/>
      <c r="XEO243" s="426"/>
      <c r="XEP243" s="427"/>
      <c r="XEQ243" s="427"/>
      <c r="XER243" s="428"/>
      <c r="XES243" s="429"/>
      <c r="XET243" s="429"/>
      <c r="XEU243" s="428"/>
      <c r="XEV243" s="428"/>
      <c r="XEW243" s="426"/>
      <c r="XEX243" s="427"/>
      <c r="XEY243" s="427"/>
      <c r="XEZ243" s="428"/>
      <c r="XFA243" s="429"/>
      <c r="XFB243" s="429"/>
      <c r="XFC243" s="428"/>
      <c r="XFD243" s="428"/>
    </row>
    <row r="244" s="185" customFormat="1" ht="39" customHeight="1" spans="1:53 16351:16384">
      <c r="A244" s="426">
        <v>46237</v>
      </c>
      <c r="B244" s="427" t="s">
        <v>1080</v>
      </c>
      <c r="C244" s="427" t="s">
        <v>65</v>
      </c>
      <c r="D244" s="428">
        <v>4500218482</v>
      </c>
      <c r="E244" s="429" t="s">
        <v>1086</v>
      </c>
      <c r="F244" s="429" t="s">
        <v>1087</v>
      </c>
      <c r="G244" s="428" t="s">
        <v>59</v>
      </c>
      <c r="H244" s="428" t="s">
        <v>49</v>
      </c>
      <c r="I244" s="428">
        <v>436</v>
      </c>
      <c r="J244" s="428">
        <v>0</v>
      </c>
      <c r="K244" s="391">
        <v>4</v>
      </c>
      <c r="L244" s="391">
        <f t="shared" si="32"/>
        <v>109</v>
      </c>
      <c r="M244" s="396">
        <v>46279</v>
      </c>
      <c r="N244" s="396">
        <v>46275</v>
      </c>
      <c r="O244" s="396"/>
      <c r="P244" s="430"/>
      <c r="Q244" s="396"/>
      <c r="R244" s="427"/>
      <c r="S244" s="431"/>
      <c r="T244" s="431">
        <v>46237</v>
      </c>
      <c r="U244" s="431" t="s">
        <v>1083</v>
      </c>
      <c r="V244" s="396"/>
      <c r="W244" s="396"/>
      <c r="X244" s="396"/>
      <c r="Y244" s="428" t="s">
        <v>1084</v>
      </c>
      <c r="Z244" s="428" t="s">
        <v>1085</v>
      </c>
      <c r="AA244" s="432">
        <v>12.1186</v>
      </c>
      <c r="AB244" s="428">
        <f t="shared" si="37"/>
        <v>5283.7096</v>
      </c>
      <c r="AC244" s="415"/>
      <c r="AD244" s="479" t="s">
        <v>55</v>
      </c>
      <c r="AE244" s="428" t="s">
        <v>56</v>
      </c>
      <c r="AF244" s="183"/>
      <c r="AG244" s="434"/>
      <c r="AH244" s="406"/>
      <c r="AI244" s="447"/>
      <c r="AJ244" s="447"/>
      <c r="AK244" s="406"/>
      <c r="AL244" s="447"/>
      <c r="AM244" s="447"/>
      <c r="AN244" s="185"/>
      <c r="AO244" s="406">
        <f t="shared" si="38"/>
        <v>436</v>
      </c>
      <c r="AP244" s="406">
        <f t="shared" si="41"/>
        <v>436</v>
      </c>
      <c r="AS244" s="406">
        <f t="shared" si="40"/>
        <v>436</v>
      </c>
      <c r="XDW244" s="447"/>
      <c r="XDX244" s="447"/>
      <c r="XDY244" s="447"/>
      <c r="XDZ244" s="447"/>
      <c r="XEA244" s="447"/>
      <c r="XEB244" s="447"/>
      <c r="XEC244" s="447"/>
      <c r="XED244" s="447"/>
      <c r="XEE244" s="447"/>
      <c r="XEF244" s="426"/>
      <c r="XEG244" s="427"/>
      <c r="XEH244" s="427"/>
      <c r="XEI244" s="428"/>
      <c r="XEJ244" s="429"/>
      <c r="XEK244" s="429"/>
      <c r="XEL244" s="428"/>
      <c r="XEM244" s="428"/>
      <c r="XEN244" s="428"/>
      <c r="XEO244" s="426"/>
      <c r="XEP244" s="427"/>
      <c r="XEQ244" s="427"/>
      <c r="XER244" s="428"/>
      <c r="XES244" s="429"/>
      <c r="XET244" s="429"/>
      <c r="XEU244" s="428"/>
      <c r="XEV244" s="428"/>
      <c r="XEW244" s="426"/>
      <c r="XEX244" s="427"/>
      <c r="XEY244" s="427"/>
      <c r="XEZ244" s="428"/>
      <c r="XFA244" s="429"/>
      <c r="XFB244" s="429"/>
      <c r="XFC244" s="428"/>
      <c r="XFD244" s="428"/>
    </row>
    <row r="245" s="185" customFormat="1" ht="39" customHeight="1" spans="1:53 16351:16384">
      <c r="A245" s="426">
        <v>46237</v>
      </c>
      <c r="B245" s="427" t="s">
        <v>1080</v>
      </c>
      <c r="C245" s="427" t="s">
        <v>65</v>
      </c>
      <c r="D245" s="428">
        <v>4500218482</v>
      </c>
      <c r="E245" s="429" t="s">
        <v>1088</v>
      </c>
      <c r="F245" s="429" t="s">
        <v>1089</v>
      </c>
      <c r="G245" s="428" t="s">
        <v>59</v>
      </c>
      <c r="H245" s="428" t="s">
        <v>49</v>
      </c>
      <c r="I245" s="428">
        <v>404</v>
      </c>
      <c r="J245" s="428">
        <v>0</v>
      </c>
      <c r="K245" s="391">
        <v>4</v>
      </c>
      <c r="L245" s="391">
        <f t="shared" ref="L245:L252" si="42">I245/K245</f>
        <v>101</v>
      </c>
      <c r="M245" s="396">
        <v>46279</v>
      </c>
      <c r="N245" s="396">
        <v>46275</v>
      </c>
      <c r="O245" s="396"/>
      <c r="P245" s="430"/>
      <c r="Q245" s="396"/>
      <c r="R245" s="427"/>
      <c r="S245" s="431"/>
      <c r="T245" s="431">
        <v>46237</v>
      </c>
      <c r="U245" s="431" t="s">
        <v>1083</v>
      </c>
      <c r="V245" s="396"/>
      <c r="W245" s="396"/>
      <c r="X245" s="396"/>
      <c r="Y245" s="428" t="s">
        <v>1084</v>
      </c>
      <c r="Z245" s="428" t="s">
        <v>1085</v>
      </c>
      <c r="AA245" s="432">
        <v>12.1186</v>
      </c>
      <c r="AB245" s="428">
        <f t="shared" si="37"/>
        <v>4895.9144</v>
      </c>
      <c r="AC245" s="415"/>
      <c r="AD245" s="479" t="s">
        <v>55</v>
      </c>
      <c r="AE245" s="428" t="s">
        <v>56</v>
      </c>
      <c r="AF245" s="183"/>
      <c r="AG245" s="434"/>
      <c r="AH245" s="406"/>
      <c r="AI245" s="447"/>
      <c r="AJ245" s="447"/>
      <c r="AK245" s="406"/>
      <c r="AL245" s="447"/>
      <c r="AM245" s="447"/>
      <c r="AN245" s="185"/>
      <c r="AO245" s="406">
        <f t="shared" si="38"/>
        <v>404</v>
      </c>
      <c r="AP245" s="406">
        <f t="shared" si="41"/>
        <v>404</v>
      </c>
      <c r="AS245" s="406">
        <f t="shared" si="40"/>
        <v>404</v>
      </c>
      <c r="XDW245" s="447"/>
      <c r="XDX245" s="447"/>
      <c r="XDY245" s="447"/>
      <c r="XDZ245" s="447"/>
      <c r="XEA245" s="447"/>
      <c r="XEB245" s="447"/>
      <c r="XEC245" s="447"/>
      <c r="XED245" s="447"/>
      <c r="XEE245" s="447"/>
      <c r="XEF245" s="426"/>
      <c r="XEG245" s="427"/>
      <c r="XEH245" s="427"/>
      <c r="XEI245" s="428"/>
      <c r="XEJ245" s="429"/>
      <c r="XEK245" s="429"/>
      <c r="XEL245" s="428"/>
      <c r="XEM245" s="428"/>
      <c r="XEN245" s="428"/>
      <c r="XEO245" s="426"/>
      <c r="XEP245" s="427"/>
      <c r="XEQ245" s="427"/>
      <c r="XER245" s="428"/>
      <c r="XES245" s="429"/>
      <c r="XET245" s="429"/>
      <c r="XEU245" s="428"/>
      <c r="XEV245" s="428"/>
      <c r="XEW245" s="426"/>
      <c r="XEX245" s="427"/>
      <c r="XEY245" s="427"/>
      <c r="XEZ245" s="428"/>
      <c r="XFA245" s="429"/>
      <c r="XFB245" s="429"/>
      <c r="XFC245" s="428"/>
      <c r="XFD245" s="428"/>
    </row>
    <row r="246" s="185" customFormat="1" ht="39" customHeight="1" spans="1:53 16351:16384">
      <c r="A246" s="426">
        <v>46237</v>
      </c>
      <c r="B246" s="427" t="s">
        <v>1080</v>
      </c>
      <c r="C246" s="427" t="s">
        <v>65</v>
      </c>
      <c r="D246" s="428">
        <v>4500218482</v>
      </c>
      <c r="E246" s="429" t="s">
        <v>1090</v>
      </c>
      <c r="F246" s="429" t="s">
        <v>1091</v>
      </c>
      <c r="G246" s="428" t="s">
        <v>59</v>
      </c>
      <c r="H246" s="428" t="s">
        <v>49</v>
      </c>
      <c r="I246" s="428">
        <v>160</v>
      </c>
      <c r="J246" s="428">
        <v>0</v>
      </c>
      <c r="K246" s="391">
        <v>4</v>
      </c>
      <c r="L246" s="391">
        <f t="shared" si="42"/>
        <v>40</v>
      </c>
      <c r="M246" s="396">
        <v>46279</v>
      </c>
      <c r="N246" s="396">
        <v>46275</v>
      </c>
      <c r="O246" s="396"/>
      <c r="P246" s="430"/>
      <c r="Q246" s="396"/>
      <c r="R246" s="427"/>
      <c r="S246" s="431"/>
      <c r="T246" s="431">
        <v>46237</v>
      </c>
      <c r="U246" s="431" t="s">
        <v>1083</v>
      </c>
      <c r="V246" s="396"/>
      <c r="W246" s="396"/>
      <c r="X246" s="396"/>
      <c r="Y246" s="428" t="s">
        <v>1084</v>
      </c>
      <c r="Z246" s="428" t="s">
        <v>1085</v>
      </c>
      <c r="AA246" s="432">
        <v>12.1186</v>
      </c>
      <c r="AB246" s="428">
        <f t="shared" si="37"/>
        <v>1938.976</v>
      </c>
      <c r="AC246" s="415"/>
      <c r="AD246" s="479" t="s">
        <v>55</v>
      </c>
      <c r="AE246" s="428" t="s">
        <v>56</v>
      </c>
      <c r="AF246" s="183"/>
      <c r="AG246" s="434"/>
      <c r="AH246" s="406"/>
      <c r="AI246" s="447"/>
      <c r="AJ246" s="447"/>
      <c r="AK246" s="406"/>
      <c r="AL246" s="447"/>
      <c r="AM246" s="447"/>
      <c r="AN246" s="185"/>
      <c r="AO246" s="406">
        <f t="shared" si="38"/>
        <v>160</v>
      </c>
      <c r="AP246" s="406">
        <f t="shared" si="41"/>
        <v>160</v>
      </c>
      <c r="AS246" s="406">
        <f t="shared" si="40"/>
        <v>160</v>
      </c>
      <c r="XDW246" s="447"/>
      <c r="XDX246" s="447"/>
      <c r="XDY246" s="447"/>
      <c r="XDZ246" s="447"/>
      <c r="XEA246" s="447"/>
      <c r="XEB246" s="447"/>
      <c r="XEC246" s="447"/>
      <c r="XED246" s="447"/>
      <c r="XEE246" s="447"/>
      <c r="XEF246" s="426"/>
      <c r="XEG246" s="427"/>
      <c r="XEH246" s="427"/>
      <c r="XEI246" s="428"/>
      <c r="XEJ246" s="429"/>
      <c r="XEK246" s="429"/>
      <c r="XEL246" s="428"/>
      <c r="XEM246" s="428"/>
      <c r="XEN246" s="428"/>
      <c r="XEO246" s="426"/>
      <c r="XEP246" s="427"/>
      <c r="XEQ246" s="427"/>
      <c r="XER246" s="428"/>
      <c r="XES246" s="429"/>
      <c r="XET246" s="429"/>
      <c r="XEU246" s="428"/>
      <c r="XEV246" s="428"/>
      <c r="XEW246" s="426"/>
      <c r="XEX246" s="427"/>
      <c r="XEY246" s="427"/>
      <c r="XEZ246" s="428"/>
      <c r="XFA246" s="429"/>
      <c r="XFB246" s="429"/>
      <c r="XFC246" s="428"/>
      <c r="XFD246" s="428"/>
    </row>
    <row r="247" s="184" customFormat="1" ht="39" customHeight="1" spans="1:53 16351:16384">
      <c r="A247" s="426">
        <v>46206</v>
      </c>
      <c r="B247" s="427" t="s">
        <v>1032</v>
      </c>
      <c r="C247" s="427" t="s">
        <v>1033</v>
      </c>
      <c r="D247" s="428" t="s">
        <v>1034</v>
      </c>
      <c r="E247" s="429" t="s">
        <v>1035</v>
      </c>
      <c r="F247" s="429" t="s">
        <v>1092</v>
      </c>
      <c r="G247" s="428" t="s">
        <v>242</v>
      </c>
      <c r="H247" s="428" t="s">
        <v>49</v>
      </c>
      <c r="I247" s="428">
        <v>5578</v>
      </c>
      <c r="J247" s="428">
        <v>0</v>
      </c>
      <c r="K247" s="428">
        <v>1</v>
      </c>
      <c r="L247" s="428">
        <f t="shared" si="42"/>
        <v>5578</v>
      </c>
      <c r="M247" s="396">
        <v>46280</v>
      </c>
      <c r="N247" s="396">
        <v>46276</v>
      </c>
      <c r="O247" s="396"/>
      <c r="P247" s="430"/>
      <c r="Q247" s="427"/>
      <c r="R247" s="427"/>
      <c r="S247" s="431"/>
      <c r="T247" s="431" t="s">
        <v>1093</v>
      </c>
      <c r="U247" s="431">
        <v>46205</v>
      </c>
      <c r="V247" s="396"/>
      <c r="W247" s="396"/>
      <c r="X247" s="396" t="s">
        <v>584</v>
      </c>
      <c r="Y247" s="428" t="s">
        <v>1038</v>
      </c>
      <c r="Z247" s="428" t="s">
        <v>81</v>
      </c>
      <c r="AA247" s="432"/>
      <c r="AB247" s="428"/>
      <c r="AC247" s="415"/>
      <c r="AD247" s="428" t="s">
        <v>247</v>
      </c>
      <c r="AE247" s="510" t="s">
        <v>56</v>
      </c>
      <c r="AF247" s="406"/>
      <c r="AG247" s="406"/>
      <c r="AH247" s="436"/>
      <c r="AI247" s="436"/>
      <c r="AJ247" s="406"/>
      <c r="AK247" s="436"/>
      <c r="AL247" s="403"/>
      <c r="AM247" s="404"/>
      <c r="AN247" s="433"/>
      <c r="AO247" s="434">
        <f t="shared" si="38"/>
        <v>5578</v>
      </c>
      <c r="AP247" s="406">
        <f t="shared" si="41"/>
        <v>5578</v>
      </c>
      <c r="AQ247" s="433"/>
      <c r="AR247" s="433"/>
      <c r="AS247" s="406">
        <f t="shared" si="40"/>
        <v>5578</v>
      </c>
      <c r="AT247" s="185"/>
      <c r="AU247" s="185"/>
      <c r="AV247" s="448"/>
      <c r="XEE247" s="447"/>
      <c r="XEF247" s="447"/>
      <c r="XEG247" s="447"/>
      <c r="XEH247" s="447"/>
      <c r="XEI247" s="447"/>
      <c r="XEJ247" s="447"/>
      <c r="XEK247" s="447"/>
      <c r="XEL247" s="447"/>
      <c r="XEM247" s="447"/>
      <c r="XEN247" s="447"/>
      <c r="XEO247" s="447"/>
      <c r="XEP247" s="447"/>
      <c r="XEQ247" s="447"/>
      <c r="XER247" s="447"/>
      <c r="XES247" s="447"/>
      <c r="XET247" s="447"/>
      <c r="XEU247" s="447"/>
      <c r="XEV247" s="426"/>
      <c r="XEW247" s="427"/>
      <c r="XEX247" s="427"/>
      <c r="XEY247" s="428"/>
      <c r="XEZ247" s="429"/>
      <c r="XFA247" s="429"/>
      <c r="XFB247" s="428"/>
      <c r="XFC247" s="428"/>
      <c r="XFD247" s="428"/>
    </row>
    <row r="248" s="184" customFormat="1" ht="39" customHeight="1" spans="1:53 16351:16384">
      <c r="A248" s="426">
        <v>46212</v>
      </c>
      <c r="B248" s="427" t="s">
        <v>238</v>
      </c>
      <c r="C248" s="427" t="s">
        <v>77</v>
      </c>
      <c r="D248" s="428" t="s">
        <v>1094</v>
      </c>
      <c r="E248" s="550" t="s">
        <v>1095</v>
      </c>
      <c r="F248" s="429" t="s">
        <v>1096</v>
      </c>
      <c r="G248" s="428" t="s">
        <v>242</v>
      </c>
      <c r="H248" s="428" t="s">
        <v>49</v>
      </c>
      <c r="I248" s="428">
        <v>720</v>
      </c>
      <c r="J248" s="428">
        <v>0</v>
      </c>
      <c r="K248" s="428">
        <v>1</v>
      </c>
      <c r="L248" s="428">
        <f t="shared" si="42"/>
        <v>720</v>
      </c>
      <c r="M248" s="396">
        <v>46282</v>
      </c>
      <c r="N248" s="396">
        <v>46279</v>
      </c>
      <c r="O248" s="396" t="s">
        <v>61</v>
      </c>
      <c r="P248" s="430"/>
      <c r="Q248" s="427"/>
      <c r="R248" s="427"/>
      <c r="S248" s="431"/>
      <c r="T248" s="471" t="s">
        <v>1009</v>
      </c>
      <c r="U248" s="431">
        <v>46205</v>
      </c>
      <c r="V248" s="396"/>
      <c r="W248" s="396"/>
      <c r="X248" s="396" t="s">
        <v>584</v>
      </c>
      <c r="Y248" s="428" t="s">
        <v>1010</v>
      </c>
      <c r="Z248" s="428" t="s">
        <v>81</v>
      </c>
      <c r="AA248" s="432">
        <v>7.1057</v>
      </c>
      <c r="AB248" s="428">
        <f>I248*AA248</f>
        <v>5116.104</v>
      </c>
      <c r="AC248" s="415"/>
      <c r="AD248" s="428" t="s">
        <v>247</v>
      </c>
      <c r="AE248" s="391" t="s">
        <v>56</v>
      </c>
      <c r="AF248" s="406"/>
      <c r="AG248" s="406"/>
      <c r="AH248" s="404"/>
      <c r="AI248" s="183"/>
      <c r="AJ248" s="406"/>
      <c r="AK248" s="436"/>
      <c r="AL248" s="183"/>
      <c r="AM248" s="183"/>
      <c r="AN248" s="185"/>
      <c r="AO248" s="434">
        <f t="shared" si="38"/>
        <v>720</v>
      </c>
      <c r="AP248" s="406">
        <f t="shared" si="41"/>
        <v>720</v>
      </c>
      <c r="AQ248" s="185"/>
      <c r="AR248" s="406"/>
      <c r="AS248" s="406">
        <f t="shared" si="40"/>
        <v>720</v>
      </c>
      <c r="AT248" s="185"/>
      <c r="AU248" s="185"/>
      <c r="AV248" s="183"/>
      <c r="AW248" s="184"/>
      <c r="AX248" s="184"/>
      <c r="AY248" s="184"/>
      <c r="AZ248" s="184"/>
      <c r="BA248" s="184"/>
      <c r="XEE248" s="447"/>
      <c r="XEF248" s="447"/>
      <c r="XEG248" s="447"/>
      <c r="XEH248" s="447"/>
      <c r="XEI248" s="447"/>
      <c r="XEJ248" s="447"/>
      <c r="XEK248" s="447"/>
      <c r="XEL248" s="447"/>
      <c r="XEM248" s="447"/>
      <c r="XEN248" s="447"/>
      <c r="XEO248" s="426"/>
      <c r="XEP248" s="427"/>
      <c r="XEQ248" s="427"/>
      <c r="XER248" s="428"/>
      <c r="XES248" s="429"/>
      <c r="XET248" s="429"/>
      <c r="XEU248" s="428"/>
      <c r="XEV248" s="426"/>
      <c r="XEW248" s="427"/>
      <c r="XEX248" s="427"/>
      <c r="XEY248" s="428"/>
      <c r="XEZ248" s="429"/>
      <c r="XFA248" s="429"/>
      <c r="XFB248" s="428"/>
      <c r="XFC248" s="428"/>
      <c r="XFD248" s="428"/>
    </row>
    <row r="249" s="184" customFormat="1" ht="39" customHeight="1" spans="1:53 16351:16384">
      <c r="A249" s="426">
        <v>46212</v>
      </c>
      <c r="B249" s="427" t="s">
        <v>238</v>
      </c>
      <c r="C249" s="427" t="s">
        <v>77</v>
      </c>
      <c r="D249" s="428" t="s">
        <v>1094</v>
      </c>
      <c r="E249" s="550" t="s">
        <v>1097</v>
      </c>
      <c r="F249" s="429" t="s">
        <v>1098</v>
      </c>
      <c r="G249" s="428" t="s">
        <v>242</v>
      </c>
      <c r="H249" s="428" t="s">
        <v>49</v>
      </c>
      <c r="I249" s="428">
        <v>504</v>
      </c>
      <c r="J249" s="428">
        <v>0</v>
      </c>
      <c r="K249" s="428">
        <v>1</v>
      </c>
      <c r="L249" s="428">
        <f t="shared" si="42"/>
        <v>504</v>
      </c>
      <c r="M249" s="396">
        <v>46282</v>
      </c>
      <c r="N249" s="396">
        <v>46279</v>
      </c>
      <c r="O249" s="396" t="s">
        <v>61</v>
      </c>
      <c r="P249" s="430"/>
      <c r="Q249" s="427"/>
      <c r="R249" s="427"/>
      <c r="S249" s="431"/>
      <c r="T249" s="471" t="s">
        <v>1009</v>
      </c>
      <c r="U249" s="431">
        <v>46205</v>
      </c>
      <c r="V249" s="396"/>
      <c r="W249" s="396"/>
      <c r="X249" s="396" t="s">
        <v>584</v>
      </c>
      <c r="Y249" s="428" t="s">
        <v>1010</v>
      </c>
      <c r="Z249" s="428" t="s">
        <v>81</v>
      </c>
      <c r="AA249" s="432">
        <v>7.1057</v>
      </c>
      <c r="AB249" s="428">
        <f>I249*AA249</f>
        <v>3581.2728</v>
      </c>
      <c r="AC249" s="415"/>
      <c r="AD249" s="398" t="s">
        <v>247</v>
      </c>
      <c r="AE249" s="398" t="s">
        <v>56</v>
      </c>
      <c r="AF249" s="406"/>
      <c r="AG249" s="406"/>
      <c r="AH249" s="404"/>
      <c r="AI249" s="183"/>
      <c r="AJ249" s="406"/>
      <c r="AK249" s="436"/>
      <c r="AL249" s="183"/>
      <c r="AM249" s="184"/>
      <c r="AN249" s="185"/>
      <c r="AO249" s="434">
        <f t="shared" si="38"/>
        <v>504</v>
      </c>
      <c r="AP249" s="406">
        <f t="shared" si="41"/>
        <v>504</v>
      </c>
      <c r="AQ249" s="185"/>
      <c r="AR249" s="406"/>
      <c r="AS249" s="406">
        <f t="shared" si="40"/>
        <v>504</v>
      </c>
      <c r="AT249" s="185"/>
      <c r="AU249" s="185"/>
      <c r="AV249" s="184"/>
      <c r="AW249" s="184"/>
      <c r="AX249" s="184"/>
      <c r="AY249" s="184"/>
      <c r="AZ249" s="184"/>
      <c r="BA249" s="184"/>
      <c r="XEE249" s="447"/>
      <c r="XEF249" s="447"/>
      <c r="XEG249" s="447"/>
      <c r="XEH249" s="447"/>
      <c r="XEI249" s="447"/>
      <c r="XEJ249" s="447"/>
      <c r="XEK249" s="447"/>
      <c r="XEL249" s="447"/>
      <c r="XEM249" s="447"/>
      <c r="XEN249" s="447"/>
      <c r="XEO249" s="426"/>
      <c r="XEP249" s="427"/>
      <c r="XEQ249" s="427"/>
      <c r="XER249" s="428"/>
      <c r="XES249" s="429"/>
      <c r="XET249" s="429"/>
      <c r="XEU249" s="428"/>
      <c r="XEV249" s="426"/>
      <c r="XEW249" s="427"/>
      <c r="XEX249" s="427"/>
      <c r="XEY249" s="428"/>
      <c r="XEZ249" s="429"/>
      <c r="XFA249" s="429"/>
      <c r="XFB249" s="428"/>
      <c r="XFC249" s="428"/>
      <c r="XFD249" s="428"/>
    </row>
    <row r="250" s="184" customFormat="1" ht="39" customHeight="1" spans="1:53 16351:16384">
      <c r="A250" s="426">
        <v>46212</v>
      </c>
      <c r="B250" s="427" t="s">
        <v>238</v>
      </c>
      <c r="C250" s="427" t="s">
        <v>77</v>
      </c>
      <c r="D250" s="428" t="s">
        <v>1094</v>
      </c>
      <c r="E250" s="550" t="s">
        <v>1099</v>
      </c>
      <c r="F250" s="429" t="s">
        <v>1100</v>
      </c>
      <c r="G250" s="428" t="s">
        <v>242</v>
      </c>
      <c r="H250" s="428" t="s">
        <v>49</v>
      </c>
      <c r="I250" s="428">
        <v>720</v>
      </c>
      <c r="J250" s="428">
        <v>0</v>
      </c>
      <c r="K250" s="428">
        <v>1</v>
      </c>
      <c r="L250" s="428">
        <f t="shared" si="42"/>
        <v>720</v>
      </c>
      <c r="M250" s="396">
        <v>46282</v>
      </c>
      <c r="N250" s="396">
        <v>46279</v>
      </c>
      <c r="O250" s="396" t="s">
        <v>61</v>
      </c>
      <c r="P250" s="430"/>
      <c r="Q250" s="427"/>
      <c r="R250" s="427"/>
      <c r="S250" s="431"/>
      <c r="T250" s="471" t="s">
        <v>1009</v>
      </c>
      <c r="U250" s="431">
        <v>46205</v>
      </c>
      <c r="V250" s="396"/>
      <c r="W250" s="396"/>
      <c r="X250" s="396" t="s">
        <v>584</v>
      </c>
      <c r="Y250" s="428" t="s">
        <v>1010</v>
      </c>
      <c r="Z250" s="428" t="s">
        <v>81</v>
      </c>
      <c r="AA250" s="432">
        <v>7.2743</v>
      </c>
      <c r="AB250" s="428">
        <f>I250*AA250</f>
        <v>5237.496</v>
      </c>
      <c r="AC250" s="415"/>
      <c r="AD250" s="428" t="s">
        <v>247</v>
      </c>
      <c r="AE250" s="428" t="s">
        <v>56</v>
      </c>
      <c r="AF250" s="406"/>
      <c r="AG250" s="406"/>
      <c r="AH250" s="433"/>
      <c r="AI250" s="185"/>
      <c r="AJ250" s="406"/>
      <c r="AK250" s="406"/>
      <c r="AL250" s="185"/>
      <c r="AM250" s="185"/>
      <c r="AN250" s="185"/>
      <c r="AO250" s="434">
        <f t="shared" si="38"/>
        <v>720</v>
      </c>
      <c r="AP250" s="406">
        <f t="shared" si="41"/>
        <v>720</v>
      </c>
      <c r="AQ250" s="185"/>
      <c r="AR250" s="406"/>
      <c r="AS250" s="406">
        <f t="shared" si="40"/>
        <v>720</v>
      </c>
      <c r="AT250" s="185"/>
      <c r="AU250" s="185"/>
      <c r="AV250" s="441"/>
      <c r="AW250" s="184"/>
      <c r="AX250" s="184"/>
      <c r="AY250" s="184"/>
      <c r="AZ250" s="184"/>
      <c r="BA250" s="184"/>
      <c r="XEE250" s="448"/>
      <c r="XEF250" s="448"/>
      <c r="XEG250" s="448"/>
      <c r="XEH250" s="448"/>
      <c r="XEI250" s="448"/>
      <c r="XEJ250" s="448"/>
      <c r="XEK250" s="448"/>
      <c r="XEL250" s="448"/>
      <c r="XEM250" s="448"/>
      <c r="XEN250" s="448"/>
      <c r="XEO250" s="422"/>
      <c r="XEP250" s="423"/>
      <c r="XEQ250" s="423"/>
      <c r="XER250" s="424"/>
      <c r="XES250" s="425"/>
      <c r="XET250" s="425"/>
      <c r="XEU250" s="424"/>
      <c r="XEV250" s="422"/>
      <c r="XEW250" s="423"/>
      <c r="XEX250" s="423"/>
      <c r="XEY250" s="424"/>
      <c r="XEZ250" s="425"/>
      <c r="XFA250" s="425"/>
      <c r="XFB250" s="424"/>
      <c r="XFC250" s="424"/>
      <c r="XFD250" s="424"/>
    </row>
    <row r="251" s="184" customFormat="1" ht="39" customHeight="1" spans="1:53 16351:16384">
      <c r="A251" s="426">
        <v>46108</v>
      </c>
      <c r="B251" s="427" t="s">
        <v>1101</v>
      </c>
      <c r="C251" s="427" t="s">
        <v>1102</v>
      </c>
      <c r="D251" s="428">
        <v>4500198914</v>
      </c>
      <c r="E251" s="429"/>
      <c r="F251" s="429" t="s">
        <v>1103</v>
      </c>
      <c r="G251" s="428" t="s">
        <v>59</v>
      </c>
      <c r="H251" s="428" t="s">
        <v>49</v>
      </c>
      <c r="I251" s="428">
        <v>800</v>
      </c>
      <c r="J251" s="428">
        <v>0</v>
      </c>
      <c r="K251" s="428">
        <v>4</v>
      </c>
      <c r="L251" s="428">
        <f t="shared" si="42"/>
        <v>200</v>
      </c>
      <c r="M251" s="396">
        <v>46282</v>
      </c>
      <c r="N251" s="396">
        <v>46279</v>
      </c>
      <c r="O251" s="396"/>
      <c r="P251" s="430"/>
      <c r="Q251" s="427"/>
      <c r="R251" s="427"/>
      <c r="S251" s="431" t="s">
        <v>73</v>
      </c>
      <c r="T251" s="431">
        <v>46108</v>
      </c>
      <c r="U251" s="431">
        <v>46234</v>
      </c>
      <c r="V251" s="396"/>
      <c r="W251" s="396"/>
      <c r="X251" s="396"/>
      <c r="Y251" s="428" t="s">
        <v>1104</v>
      </c>
      <c r="Z251" s="428" t="s">
        <v>1105</v>
      </c>
      <c r="AA251" s="432">
        <v>9.86</v>
      </c>
      <c r="AB251" s="428">
        <f>I251*AA251</f>
        <v>7888</v>
      </c>
      <c r="AC251" s="415"/>
      <c r="AD251" s="479" t="s">
        <v>55</v>
      </c>
      <c r="AE251" s="428" t="s">
        <v>56</v>
      </c>
      <c r="AF251" s="428"/>
      <c r="AG251" s="428"/>
      <c r="AH251" s="427"/>
      <c r="AI251" s="428"/>
      <c r="AJ251" s="428"/>
      <c r="AK251" s="428"/>
      <c r="AL251" s="428"/>
      <c r="AM251" s="428"/>
      <c r="AN251" s="428"/>
      <c r="AO251" s="406">
        <f t="shared" si="38"/>
        <v>800</v>
      </c>
      <c r="AP251" s="406">
        <f>I251</f>
        <v>800</v>
      </c>
      <c r="AQ251" s="406"/>
      <c r="AR251" s="406">
        <f>I251</f>
        <v>800</v>
      </c>
      <c r="AS251" s="406"/>
      <c r="AT251" s="406"/>
      <c r="AU251" s="440"/>
      <c r="AV251" s="445"/>
      <c r="AW251" s="445"/>
      <c r="AX251" s="445"/>
      <c r="AY251" s="445"/>
      <c r="AZ251" s="445"/>
      <c r="BA251" s="445"/>
      <c r="XEE251" s="421"/>
      <c r="XEF251" s="421"/>
      <c r="XEG251" s="421"/>
      <c r="XEH251" s="421"/>
      <c r="XEI251" s="421"/>
      <c r="XEJ251" s="421"/>
      <c r="XEK251" s="421"/>
      <c r="XEL251" s="421"/>
      <c r="XEM251" s="421"/>
      <c r="XEN251" s="421"/>
      <c r="XEO251" s="421"/>
      <c r="XEP251" s="421"/>
      <c r="XEQ251" s="421"/>
      <c r="XER251" s="421"/>
      <c r="XES251" s="421"/>
      <c r="XET251" s="421"/>
      <c r="XEU251" s="421"/>
      <c r="XEV251" s="421"/>
      <c r="XEW251" s="421"/>
      <c r="XEX251" s="421"/>
      <c r="XEY251" s="421"/>
      <c r="XEZ251" s="421"/>
      <c r="XFA251" s="421"/>
      <c r="XFB251" s="421"/>
      <c r="XFC251" s="421"/>
      <c r="XFD251" s="421"/>
    </row>
    <row r="252" s="185" customFormat="1" ht="39" customHeight="1" spans="1:53 16351:16384">
      <c r="A252" s="426">
        <v>46237</v>
      </c>
      <c r="B252" s="427" t="s">
        <v>114</v>
      </c>
      <c r="C252" s="427" t="s">
        <v>69</v>
      </c>
      <c r="D252" s="428">
        <v>4500218541</v>
      </c>
      <c r="E252" s="429" t="s">
        <v>1106</v>
      </c>
      <c r="F252" s="429" t="s">
        <v>1107</v>
      </c>
      <c r="G252" s="428" t="s">
        <v>59</v>
      </c>
      <c r="H252" s="428" t="s">
        <v>49</v>
      </c>
      <c r="I252" s="428">
        <v>2000</v>
      </c>
      <c r="J252" s="428">
        <v>0</v>
      </c>
      <c r="K252" s="391">
        <v>4</v>
      </c>
      <c r="L252" s="391">
        <f t="shared" si="42"/>
        <v>500</v>
      </c>
      <c r="M252" s="396">
        <v>46286</v>
      </c>
      <c r="N252" s="396">
        <v>46282</v>
      </c>
      <c r="O252" s="396"/>
      <c r="P252" s="430"/>
      <c r="Q252" s="396"/>
      <c r="R252" s="427"/>
      <c r="S252" s="431"/>
      <c r="T252" s="431">
        <v>46237</v>
      </c>
      <c r="U252" s="431" t="s">
        <v>73</v>
      </c>
      <c r="V252" s="396"/>
      <c r="W252" s="396"/>
      <c r="X252" s="396" t="s">
        <v>896</v>
      </c>
      <c r="Y252" s="428" t="s">
        <v>1108</v>
      </c>
      <c r="Z252" s="428" t="s">
        <v>1074</v>
      </c>
      <c r="AA252" s="432">
        <v>11.3802</v>
      </c>
      <c r="AB252" s="428">
        <f>I252*AA252</f>
        <v>22760.4</v>
      </c>
      <c r="AC252" s="415"/>
      <c r="AD252" s="465" t="s">
        <v>113</v>
      </c>
      <c r="AE252" s="484" t="s">
        <v>56</v>
      </c>
      <c r="AF252" s="183"/>
      <c r="AG252" s="434"/>
      <c r="AH252" s="406"/>
      <c r="AI252" s="447"/>
      <c r="AJ252" s="447"/>
      <c r="AK252" s="406"/>
      <c r="AL252" s="447"/>
      <c r="AM252" s="511"/>
      <c r="AN252" s="185"/>
      <c r="AO252" s="406">
        <f t="shared" si="38"/>
        <v>2000</v>
      </c>
      <c r="AP252" s="406"/>
      <c r="AQ252" s="406">
        <f>AO252</f>
        <v>2000</v>
      </c>
      <c r="AS252" s="406">
        <f>AO252</f>
        <v>2000</v>
      </c>
      <c r="XDW252" s="447"/>
      <c r="XDX252" s="447"/>
      <c r="XDY252" s="447"/>
      <c r="XDZ252" s="447"/>
      <c r="XEA252" s="447"/>
      <c r="XEB252" s="447"/>
      <c r="XEC252" s="447"/>
      <c r="XED252" s="447"/>
      <c r="XEE252" s="447"/>
      <c r="XEF252" s="426"/>
      <c r="XEG252" s="427"/>
      <c r="XEH252" s="427"/>
      <c r="XEI252" s="428"/>
      <c r="XEJ252" s="429"/>
      <c r="XEK252" s="429"/>
      <c r="XEL252" s="428"/>
      <c r="XEM252" s="428"/>
      <c r="XEN252" s="428"/>
      <c r="XEO252" s="426"/>
      <c r="XEP252" s="427"/>
      <c r="XEQ252" s="427"/>
      <c r="XER252" s="428"/>
      <c r="XES252" s="429"/>
      <c r="XET252" s="429"/>
      <c r="XEU252" s="428"/>
      <c r="XEV252" s="428"/>
      <c r="XEW252" s="426"/>
      <c r="XEX252" s="427"/>
      <c r="XEY252" s="427"/>
      <c r="XEZ252" s="428"/>
      <c r="XFA252" s="429"/>
      <c r="XFB252" s="429"/>
      <c r="XFC252" s="428"/>
      <c r="XFD252" s="428"/>
    </row>
    <row r="253" s="184" customFormat="1" ht="39" customHeight="1" spans="1:53 16351:16384">
      <c r="A253" s="426">
        <v>46212</v>
      </c>
      <c r="B253" s="427" t="s">
        <v>238</v>
      </c>
      <c r="C253" s="427" t="s">
        <v>77</v>
      </c>
      <c r="D253" s="428" t="s">
        <v>1109</v>
      </c>
      <c r="E253" s="550" t="s">
        <v>1110</v>
      </c>
      <c r="F253" s="429" t="s">
        <v>1111</v>
      </c>
      <c r="G253" s="428" t="s">
        <v>242</v>
      </c>
      <c r="H253" s="391" t="s">
        <v>49</v>
      </c>
      <c r="I253" s="428">
        <v>792</v>
      </c>
      <c r="J253" s="428">
        <v>0</v>
      </c>
      <c r="K253" s="428">
        <v>1</v>
      </c>
      <c r="L253" s="428">
        <f t="shared" ref="L253:L266" si="43">I253/K253</f>
        <v>792</v>
      </c>
      <c r="M253" s="396">
        <v>46286</v>
      </c>
      <c r="N253" s="396">
        <v>46282</v>
      </c>
      <c r="O253" s="396" t="s">
        <v>61</v>
      </c>
      <c r="P253" s="430"/>
      <c r="Q253" s="427"/>
      <c r="R253" s="427"/>
      <c r="S253" s="431"/>
      <c r="T253" s="471" t="s">
        <v>1009</v>
      </c>
      <c r="U253" s="431">
        <v>46205</v>
      </c>
      <c r="V253" s="396"/>
      <c r="W253" s="396"/>
      <c r="X253" s="396" t="s">
        <v>584</v>
      </c>
      <c r="Y253" s="428" t="s">
        <v>1010</v>
      </c>
      <c r="Z253" s="428" t="s">
        <v>81</v>
      </c>
      <c r="AA253" s="432">
        <v>7.1057</v>
      </c>
      <c r="AB253" s="428">
        <f t="shared" ref="AB253:AB266" si="44">I253*AA253</f>
        <v>5627.7144</v>
      </c>
      <c r="AC253" s="415"/>
      <c r="AD253" s="398" t="s">
        <v>247</v>
      </c>
      <c r="AE253" s="428" t="s">
        <v>56</v>
      </c>
      <c r="AF253" s="406"/>
      <c r="AG253" s="406"/>
      <c r="AH253" s="404"/>
      <c r="AI253" s="183"/>
      <c r="AJ253" s="406"/>
      <c r="AK253" s="436"/>
      <c r="AL253" s="183"/>
      <c r="AM253" s="184"/>
      <c r="AN253" s="185"/>
      <c r="AO253" s="434">
        <f t="shared" ref="AO253:AO266" si="45">I253</f>
        <v>792</v>
      </c>
      <c r="AP253" s="406">
        <f t="shared" ref="AP253:AP266" si="46">AO253</f>
        <v>792</v>
      </c>
      <c r="AQ253" s="185"/>
      <c r="AR253" s="406"/>
      <c r="AS253" s="406">
        <f t="shared" ref="AS253:AS262" si="47">AO253</f>
        <v>792</v>
      </c>
      <c r="AT253" s="185"/>
      <c r="AU253" s="185"/>
      <c r="AV253" s="184"/>
      <c r="AW253" s="184"/>
      <c r="AX253" s="184"/>
      <c r="AY253" s="184"/>
      <c r="AZ253" s="184"/>
      <c r="BA253" s="184"/>
      <c r="XEE253" s="447"/>
      <c r="XEF253" s="447"/>
      <c r="XEG253" s="447"/>
      <c r="XEH253" s="447"/>
      <c r="XEI253" s="447"/>
      <c r="XEJ253" s="447"/>
      <c r="XEK253" s="447"/>
      <c r="XEL253" s="447"/>
      <c r="XEM253" s="447"/>
      <c r="XEN253" s="447"/>
      <c r="XEO253" s="426"/>
      <c r="XEP253" s="427"/>
      <c r="XEQ253" s="427"/>
      <c r="XER253" s="428"/>
      <c r="XES253" s="429"/>
      <c r="XET253" s="429"/>
      <c r="XEU253" s="428"/>
      <c r="XEV253" s="426"/>
      <c r="XEW253" s="427"/>
      <c r="XEX253" s="427"/>
      <c r="XEY253" s="428"/>
      <c r="XEZ253" s="429"/>
      <c r="XFA253" s="429"/>
      <c r="XFB253" s="428"/>
      <c r="XFC253" s="391"/>
      <c r="XFD253" s="428"/>
    </row>
    <row r="254" s="184" customFormat="1" ht="39" customHeight="1" spans="1:53 16351:16384">
      <c r="A254" s="426">
        <v>46212</v>
      </c>
      <c r="B254" s="427" t="s">
        <v>238</v>
      </c>
      <c r="C254" s="427" t="s">
        <v>77</v>
      </c>
      <c r="D254" s="428" t="s">
        <v>1109</v>
      </c>
      <c r="E254" s="550" t="s">
        <v>1112</v>
      </c>
      <c r="F254" s="429" t="s">
        <v>1113</v>
      </c>
      <c r="G254" s="428" t="s">
        <v>242</v>
      </c>
      <c r="H254" s="428" t="s">
        <v>49</v>
      </c>
      <c r="I254" s="428">
        <v>504</v>
      </c>
      <c r="J254" s="428">
        <v>0</v>
      </c>
      <c r="K254" s="428">
        <v>1</v>
      </c>
      <c r="L254" s="428">
        <f t="shared" si="43"/>
        <v>504</v>
      </c>
      <c r="M254" s="396">
        <v>46286</v>
      </c>
      <c r="N254" s="396">
        <v>46282</v>
      </c>
      <c r="O254" s="396" t="s">
        <v>61</v>
      </c>
      <c r="P254" s="430"/>
      <c r="Q254" s="427"/>
      <c r="R254" s="427"/>
      <c r="S254" s="431"/>
      <c r="T254" s="471" t="s">
        <v>1009</v>
      </c>
      <c r="U254" s="431">
        <v>46205</v>
      </c>
      <c r="V254" s="396"/>
      <c r="W254" s="396"/>
      <c r="X254" s="396" t="s">
        <v>584</v>
      </c>
      <c r="Y254" s="428" t="s">
        <v>1010</v>
      </c>
      <c r="Z254" s="428" t="s">
        <v>81</v>
      </c>
      <c r="AA254" s="432">
        <v>7.1057</v>
      </c>
      <c r="AB254" s="428">
        <f t="shared" si="44"/>
        <v>3581.2728</v>
      </c>
      <c r="AC254" s="415"/>
      <c r="AD254" s="428" t="s">
        <v>247</v>
      </c>
      <c r="AE254" s="428" t="s">
        <v>56</v>
      </c>
      <c r="AF254" s="406"/>
      <c r="AG254" s="406"/>
      <c r="AH254" s="433"/>
      <c r="AI254" s="185"/>
      <c r="AJ254" s="406"/>
      <c r="AK254" s="406"/>
      <c r="AL254" s="185"/>
      <c r="AM254" s="185"/>
      <c r="AN254" s="185"/>
      <c r="AO254" s="434">
        <f t="shared" si="45"/>
        <v>504</v>
      </c>
      <c r="AP254" s="406">
        <f t="shared" si="46"/>
        <v>504</v>
      </c>
      <c r="AQ254" s="185"/>
      <c r="AR254" s="406"/>
      <c r="AS254" s="406">
        <f t="shared" si="47"/>
        <v>504</v>
      </c>
      <c r="AT254" s="185"/>
      <c r="AU254" s="185"/>
      <c r="AV254" s="441"/>
      <c r="AW254" s="184"/>
      <c r="AX254" s="184"/>
      <c r="AY254" s="184"/>
      <c r="AZ254" s="184"/>
      <c r="BA254" s="184"/>
      <c r="XEE254" s="448"/>
      <c r="XEF254" s="448"/>
      <c r="XEG254" s="448"/>
      <c r="XEH254" s="448"/>
      <c r="XEI254" s="448"/>
      <c r="XEJ254" s="448"/>
      <c r="XEK254" s="448"/>
      <c r="XEL254" s="448"/>
      <c r="XEM254" s="448"/>
      <c r="XEN254" s="448"/>
      <c r="XEO254" s="422"/>
      <c r="XEP254" s="423"/>
      <c r="XEQ254" s="423"/>
      <c r="XER254" s="424"/>
      <c r="XES254" s="425"/>
      <c r="XET254" s="425"/>
      <c r="XEU254" s="424"/>
      <c r="XEV254" s="422"/>
      <c r="XEW254" s="423"/>
      <c r="XEX254" s="423"/>
      <c r="XEY254" s="424"/>
      <c r="XEZ254" s="425"/>
      <c r="XFA254" s="425"/>
      <c r="XFB254" s="424"/>
      <c r="XFC254" s="424"/>
      <c r="XFD254" s="424"/>
    </row>
    <row r="255" s="184" customFormat="1" ht="39" customHeight="1" spans="1:53 16351:16384">
      <c r="A255" s="486">
        <v>46212</v>
      </c>
      <c r="B255" s="487" t="s">
        <v>238</v>
      </c>
      <c r="C255" s="487" t="s">
        <v>77</v>
      </c>
      <c r="D255" s="488" t="s">
        <v>1109</v>
      </c>
      <c r="E255" s="552" t="s">
        <v>1114</v>
      </c>
      <c r="F255" s="489" t="s">
        <v>1115</v>
      </c>
      <c r="G255" s="488" t="s">
        <v>242</v>
      </c>
      <c r="H255" s="488" t="s">
        <v>49</v>
      </c>
      <c r="I255" s="488">
        <v>504</v>
      </c>
      <c r="J255" s="488">
        <v>0</v>
      </c>
      <c r="K255" s="488">
        <v>1</v>
      </c>
      <c r="L255" s="488">
        <f t="shared" si="43"/>
        <v>504</v>
      </c>
      <c r="M255" s="491">
        <v>46286</v>
      </c>
      <c r="N255" s="491">
        <v>46282</v>
      </c>
      <c r="O255" s="491" t="s">
        <v>61</v>
      </c>
      <c r="P255" s="492"/>
      <c r="Q255" s="487"/>
      <c r="R255" s="487"/>
      <c r="S255" s="493"/>
      <c r="T255" s="471" t="s">
        <v>1009</v>
      </c>
      <c r="U255" s="493">
        <v>46205</v>
      </c>
      <c r="V255" s="491"/>
      <c r="W255" s="491"/>
      <c r="X255" s="491" t="s">
        <v>584</v>
      </c>
      <c r="Y255" s="488" t="s">
        <v>1010</v>
      </c>
      <c r="Z255" s="488" t="s">
        <v>81</v>
      </c>
      <c r="AA255" s="494">
        <v>7.1057</v>
      </c>
      <c r="AB255" s="488">
        <f t="shared" si="44"/>
        <v>3581.2728</v>
      </c>
      <c r="AC255" s="458"/>
      <c r="AD255" s="488" t="s">
        <v>247</v>
      </c>
      <c r="AE255" s="488" t="s">
        <v>56</v>
      </c>
      <c r="AF255" s="462"/>
      <c r="AG255" s="462"/>
      <c r="AH255" s="404"/>
      <c r="AI255" s="183"/>
      <c r="AJ255" s="462"/>
      <c r="AK255" s="436"/>
      <c r="AL255" s="183"/>
      <c r="AM255" s="184"/>
      <c r="AN255" s="184"/>
      <c r="AO255" s="497">
        <f t="shared" si="45"/>
        <v>504</v>
      </c>
      <c r="AP255" s="462">
        <f t="shared" si="46"/>
        <v>504</v>
      </c>
      <c r="AQ255" s="496"/>
      <c r="AR255" s="462"/>
      <c r="AS255" s="462">
        <f t="shared" si="47"/>
        <v>504</v>
      </c>
      <c r="AT255" s="496"/>
      <c r="AU255" s="496"/>
      <c r="AV255" s="184"/>
      <c r="AW255" s="184"/>
      <c r="AX255" s="184"/>
      <c r="AY255" s="184"/>
      <c r="AZ255" s="184"/>
      <c r="BA255" s="184"/>
      <c r="XEE255" s="447"/>
      <c r="XEF255" s="447"/>
      <c r="XEG255" s="447"/>
      <c r="XEH255" s="447"/>
      <c r="XEI255" s="447"/>
      <c r="XEJ255" s="447"/>
      <c r="XEK255" s="447"/>
      <c r="XEL255" s="447"/>
      <c r="XEM255" s="447"/>
      <c r="XEN255" s="447"/>
      <c r="XEO255" s="426"/>
      <c r="XEP255" s="427"/>
      <c r="XEQ255" s="427"/>
      <c r="XER255" s="428"/>
      <c r="XES255" s="429"/>
      <c r="XET255" s="429"/>
      <c r="XEU255" s="428"/>
      <c r="XEV255" s="426"/>
      <c r="XEW255" s="427"/>
      <c r="XEX255" s="427"/>
      <c r="XEY255" s="428"/>
      <c r="XEZ255" s="429"/>
      <c r="XFA255" s="429"/>
      <c r="XFB255" s="428"/>
      <c r="XFC255" s="428"/>
      <c r="XFD255" s="428"/>
    </row>
    <row r="256" s="184" customFormat="1" ht="39" customHeight="1" spans="1:53 16351:16384">
      <c r="A256" s="426">
        <v>46212</v>
      </c>
      <c r="B256" s="427" t="s">
        <v>238</v>
      </c>
      <c r="C256" s="427" t="s">
        <v>77</v>
      </c>
      <c r="D256" s="428" t="s">
        <v>1109</v>
      </c>
      <c r="E256" s="550" t="s">
        <v>1116</v>
      </c>
      <c r="F256" s="429" t="s">
        <v>1117</v>
      </c>
      <c r="G256" s="428" t="s">
        <v>242</v>
      </c>
      <c r="H256" s="428" t="s">
        <v>49</v>
      </c>
      <c r="I256" s="428">
        <v>792</v>
      </c>
      <c r="J256" s="428">
        <v>0</v>
      </c>
      <c r="K256" s="428">
        <v>1</v>
      </c>
      <c r="L256" s="428">
        <f t="shared" si="43"/>
        <v>792</v>
      </c>
      <c r="M256" s="396">
        <v>46286</v>
      </c>
      <c r="N256" s="396">
        <v>46282</v>
      </c>
      <c r="O256" s="396" t="s">
        <v>61</v>
      </c>
      <c r="P256" s="430"/>
      <c r="Q256" s="427"/>
      <c r="R256" s="427"/>
      <c r="S256" s="431"/>
      <c r="T256" s="471" t="s">
        <v>1009</v>
      </c>
      <c r="U256" s="431">
        <v>46205</v>
      </c>
      <c r="V256" s="396"/>
      <c r="W256" s="396"/>
      <c r="X256" s="396" t="s">
        <v>584</v>
      </c>
      <c r="Y256" s="428" t="s">
        <v>1010</v>
      </c>
      <c r="Z256" s="428" t="s">
        <v>81</v>
      </c>
      <c r="AA256" s="432">
        <v>7.2743</v>
      </c>
      <c r="AB256" s="428">
        <f t="shared" si="44"/>
        <v>5761.2456</v>
      </c>
      <c r="AC256" s="415"/>
      <c r="AD256" s="428" t="s">
        <v>247</v>
      </c>
      <c r="AE256" s="428" t="s">
        <v>56</v>
      </c>
      <c r="AF256" s="406"/>
      <c r="AG256" s="406"/>
      <c r="AH256" s="433"/>
      <c r="AI256" s="185"/>
      <c r="AJ256" s="406"/>
      <c r="AK256" s="406"/>
      <c r="AL256" s="185"/>
      <c r="AM256" s="185"/>
      <c r="AN256" s="185"/>
      <c r="AO256" s="406">
        <f t="shared" si="45"/>
        <v>792</v>
      </c>
      <c r="AP256" s="406">
        <f t="shared" si="46"/>
        <v>792</v>
      </c>
      <c r="AQ256" s="185"/>
      <c r="AR256" s="406"/>
      <c r="AS256" s="406">
        <f t="shared" si="47"/>
        <v>792</v>
      </c>
      <c r="AT256" s="185"/>
      <c r="AU256" s="185"/>
      <c r="AV256" s="184"/>
      <c r="AW256" s="184"/>
      <c r="AX256" s="184"/>
      <c r="AY256" s="184"/>
      <c r="AZ256" s="184"/>
      <c r="BA256" s="184"/>
      <c r="XEE256" s="447"/>
      <c r="XEF256" s="447"/>
      <c r="XEG256" s="447"/>
      <c r="XEH256" s="447"/>
      <c r="XEI256" s="447"/>
      <c r="XEJ256" s="447"/>
      <c r="XEK256" s="447"/>
      <c r="XEL256" s="447"/>
      <c r="XEM256" s="447"/>
      <c r="XEN256" s="447"/>
      <c r="XEO256" s="426"/>
      <c r="XEP256" s="427"/>
      <c r="XEQ256" s="427"/>
      <c r="XER256" s="428"/>
      <c r="XES256" s="429"/>
      <c r="XET256" s="429"/>
      <c r="XEU256" s="428"/>
      <c r="XEV256" s="426"/>
      <c r="XEW256" s="427"/>
      <c r="XEX256" s="427"/>
      <c r="XEY256" s="428"/>
      <c r="XEZ256" s="429"/>
      <c r="XFA256" s="429"/>
      <c r="XFB256" s="428"/>
      <c r="XFC256" s="428"/>
      <c r="XFD256" s="428"/>
    </row>
    <row r="257" s="184" customFormat="1" ht="39" customHeight="1" spans="1:53 16350:16384">
      <c r="A257" s="426">
        <v>46220</v>
      </c>
      <c r="B257" s="427" t="s">
        <v>789</v>
      </c>
      <c r="C257" s="427" t="s">
        <v>790</v>
      </c>
      <c r="D257" s="428">
        <v>4500216843</v>
      </c>
      <c r="E257" s="429" t="s">
        <v>1118</v>
      </c>
      <c r="F257" s="429" t="s">
        <v>1119</v>
      </c>
      <c r="G257" s="428" t="s">
        <v>59</v>
      </c>
      <c r="H257" s="428" t="s">
        <v>49</v>
      </c>
      <c r="I257" s="428">
        <v>52</v>
      </c>
      <c r="J257" s="428">
        <v>0</v>
      </c>
      <c r="K257" s="428">
        <v>4</v>
      </c>
      <c r="L257" s="428">
        <f t="shared" si="43"/>
        <v>13</v>
      </c>
      <c r="M257" s="396">
        <v>46288</v>
      </c>
      <c r="N257" s="396">
        <v>46284</v>
      </c>
      <c r="O257" s="396"/>
      <c r="P257" s="430"/>
      <c r="Q257" s="427"/>
      <c r="R257" s="427"/>
      <c r="S257" s="431"/>
      <c r="T257" s="431">
        <v>46220</v>
      </c>
      <c r="U257" s="431">
        <v>46220</v>
      </c>
      <c r="V257" s="396"/>
      <c r="W257" s="396"/>
      <c r="X257" s="396"/>
      <c r="Y257" s="428" t="s">
        <v>1120</v>
      </c>
      <c r="Z257" s="428" t="s">
        <v>128</v>
      </c>
      <c r="AA257" s="432">
        <v>11.6553</v>
      </c>
      <c r="AB257" s="428">
        <f t="shared" si="44"/>
        <v>606.0756</v>
      </c>
      <c r="AC257" s="415"/>
      <c r="AD257" s="479" t="s">
        <v>55</v>
      </c>
      <c r="AE257" s="428" t="s">
        <v>56</v>
      </c>
      <c r="AF257" s="428"/>
      <c r="AG257" s="428"/>
      <c r="AH257" s="427"/>
      <c r="AI257" s="428"/>
      <c r="AJ257" s="428"/>
      <c r="AK257" s="428"/>
      <c r="AL257" s="428"/>
      <c r="AM257" s="428"/>
      <c r="AN257" s="428"/>
      <c r="AO257" s="406">
        <f t="shared" si="45"/>
        <v>52</v>
      </c>
      <c r="AP257" s="406">
        <f t="shared" si="46"/>
        <v>52</v>
      </c>
      <c r="AQ257" s="406"/>
      <c r="AR257" s="406"/>
      <c r="AS257" s="406">
        <f t="shared" si="47"/>
        <v>52</v>
      </c>
      <c r="AT257" s="406"/>
      <c r="AU257" s="440"/>
      <c r="AV257" s="445"/>
      <c r="AW257" s="445"/>
      <c r="AX257" s="445"/>
      <c r="AY257" s="445"/>
      <c r="AZ257" s="445"/>
      <c r="BA257" s="445"/>
      <c r="XEE257" s="501"/>
      <c r="XEF257" s="501"/>
      <c r="XEG257" s="501"/>
      <c r="XEH257" s="501"/>
      <c r="XEI257" s="501"/>
      <c r="XEJ257" s="501"/>
      <c r="XEK257" s="501"/>
      <c r="XEL257" s="501"/>
      <c r="XEM257" s="501"/>
      <c r="XEN257" s="501"/>
      <c r="XEO257" s="501"/>
      <c r="XEP257" s="501"/>
      <c r="XEQ257" s="501"/>
      <c r="XER257" s="501"/>
      <c r="XES257" s="501"/>
      <c r="XET257" s="501"/>
      <c r="XEU257" s="501"/>
      <c r="XEV257" s="501"/>
      <c r="XEW257" s="501"/>
      <c r="XEX257" s="501"/>
      <c r="XEY257" s="501"/>
      <c r="XEZ257" s="501"/>
      <c r="XFA257" s="501"/>
      <c r="XFB257" s="501"/>
      <c r="XFC257" s="501"/>
      <c r="XFD257" s="501"/>
    </row>
    <row r="258" s="184" customFormat="1" ht="39" customHeight="1" spans="1:53 16350:16384">
      <c r="A258" s="426">
        <v>46223</v>
      </c>
      <c r="B258" s="427" t="s">
        <v>1121</v>
      </c>
      <c r="C258" s="427" t="s">
        <v>1122</v>
      </c>
      <c r="D258" s="428">
        <v>4500217034</v>
      </c>
      <c r="E258" s="429"/>
      <c r="F258" s="429" t="s">
        <v>1123</v>
      </c>
      <c r="G258" s="428" t="s">
        <v>59</v>
      </c>
      <c r="H258" s="428" t="s">
        <v>49</v>
      </c>
      <c r="I258" s="428">
        <v>500</v>
      </c>
      <c r="J258" s="428">
        <v>0</v>
      </c>
      <c r="K258" s="428">
        <v>4</v>
      </c>
      <c r="L258" s="428">
        <f t="shared" si="43"/>
        <v>125</v>
      </c>
      <c r="M258" s="396">
        <v>46288</v>
      </c>
      <c r="N258" s="504">
        <v>46284</v>
      </c>
      <c r="O258" s="396"/>
      <c r="P258" s="430"/>
      <c r="Q258" s="427"/>
      <c r="R258" s="427"/>
      <c r="S258" s="431"/>
      <c r="T258" s="431">
        <v>46223</v>
      </c>
      <c r="U258" s="431" t="s">
        <v>73</v>
      </c>
      <c r="V258" s="396"/>
      <c r="W258" s="396"/>
      <c r="X258" s="396"/>
      <c r="Y258" s="428" t="s">
        <v>1124</v>
      </c>
      <c r="Z258" s="428" t="s">
        <v>1125</v>
      </c>
      <c r="AA258" s="432">
        <v>11.9558</v>
      </c>
      <c r="AB258" s="428">
        <f t="shared" si="44"/>
        <v>5977.9</v>
      </c>
      <c r="AC258" s="415"/>
      <c r="AD258" s="479" t="s">
        <v>55</v>
      </c>
      <c r="AE258" s="428" t="s">
        <v>56</v>
      </c>
      <c r="AF258" s="406"/>
      <c r="AG258" s="406"/>
      <c r="AH258" s="406"/>
      <c r="AI258" s="406"/>
      <c r="AJ258" s="406"/>
      <c r="AK258" s="406"/>
      <c r="AL258" s="440"/>
      <c r="AM258" s="433"/>
      <c r="AN258" s="433"/>
      <c r="AO258" s="406">
        <f t="shared" si="45"/>
        <v>500</v>
      </c>
      <c r="AP258" s="406">
        <f t="shared" si="46"/>
        <v>500</v>
      </c>
      <c r="AQ258" s="433"/>
      <c r="AR258" s="433"/>
      <c r="AS258" s="406">
        <f t="shared" si="47"/>
        <v>500</v>
      </c>
      <c r="AT258" s="185"/>
      <c r="AU258" s="185"/>
      <c r="XDV258" s="501"/>
      <c r="XDW258" s="501"/>
      <c r="XDX258" s="501"/>
      <c r="XDY258" s="501"/>
      <c r="XDZ258" s="501"/>
      <c r="XEA258" s="501"/>
      <c r="XEB258" s="501"/>
      <c r="XEC258" s="501"/>
      <c r="XED258" s="501"/>
      <c r="XEE258" s="501"/>
      <c r="XEF258" s="501"/>
      <c r="XEG258" s="501"/>
      <c r="XEH258" s="501"/>
      <c r="XEI258" s="501"/>
      <c r="XEJ258" s="501"/>
      <c r="XEK258" s="501"/>
      <c r="XEL258" s="501"/>
      <c r="XEM258" s="501"/>
      <c r="XEN258" s="501"/>
      <c r="XEO258" s="501"/>
      <c r="XEP258" s="501"/>
      <c r="XEQ258" s="501"/>
      <c r="XER258" s="501"/>
      <c r="XES258" s="501"/>
      <c r="XET258" s="501"/>
      <c r="XEU258" s="501"/>
      <c r="XEV258" s="486"/>
      <c r="XEW258" s="487"/>
      <c r="XEX258" s="487"/>
      <c r="XEY258" s="488"/>
      <c r="XEZ258" s="489"/>
      <c r="XFA258" s="489"/>
      <c r="XFB258" s="488"/>
      <c r="XFC258" s="488"/>
      <c r="XFD258" s="488"/>
    </row>
    <row r="259" s="184" customFormat="1" ht="39" customHeight="1" spans="1:53 16350:16384">
      <c r="A259" s="426">
        <v>46224</v>
      </c>
      <c r="B259" s="427" t="s">
        <v>1126</v>
      </c>
      <c r="C259" s="427" t="s">
        <v>65</v>
      </c>
      <c r="D259" s="428">
        <v>4500217199</v>
      </c>
      <c r="E259" s="429" t="s">
        <v>1127</v>
      </c>
      <c r="F259" s="429" t="s">
        <v>1128</v>
      </c>
      <c r="G259" s="428" t="s">
        <v>59</v>
      </c>
      <c r="H259" s="428" t="s">
        <v>49</v>
      </c>
      <c r="I259" s="428">
        <v>1500</v>
      </c>
      <c r="J259" s="428">
        <v>0</v>
      </c>
      <c r="K259" s="428">
        <v>4</v>
      </c>
      <c r="L259" s="428">
        <f t="shared" si="43"/>
        <v>375</v>
      </c>
      <c r="M259" s="396">
        <v>46293</v>
      </c>
      <c r="N259" s="396">
        <v>46289</v>
      </c>
      <c r="O259" s="396"/>
      <c r="P259" s="430"/>
      <c r="Q259" s="427"/>
      <c r="R259" s="427"/>
      <c r="S259" s="431" t="s">
        <v>61</v>
      </c>
      <c r="T259" s="431">
        <v>46224</v>
      </c>
      <c r="U259" s="431" t="s">
        <v>995</v>
      </c>
      <c r="V259" s="396"/>
      <c r="W259" s="396"/>
      <c r="X259" s="396"/>
      <c r="Y259" s="428" t="s">
        <v>1129</v>
      </c>
      <c r="Z259" s="428" t="s">
        <v>179</v>
      </c>
      <c r="AA259" s="432">
        <v>12.5937</v>
      </c>
      <c r="AB259" s="428">
        <f t="shared" si="44"/>
        <v>18890.55</v>
      </c>
      <c r="AC259" s="415"/>
      <c r="AD259" s="479" t="s">
        <v>55</v>
      </c>
      <c r="AE259" s="428" t="s">
        <v>56</v>
      </c>
      <c r="AF259" s="406"/>
      <c r="AG259" s="406"/>
      <c r="AH259" s="433"/>
      <c r="AI259" s="185"/>
      <c r="AJ259" s="406"/>
      <c r="AK259" s="406"/>
      <c r="AL259" s="185"/>
      <c r="AM259" s="512"/>
      <c r="AN259" s="185"/>
      <c r="AO259" s="406">
        <f t="shared" si="45"/>
        <v>1500</v>
      </c>
      <c r="AP259" s="406">
        <f t="shared" si="46"/>
        <v>1500</v>
      </c>
      <c r="AQ259" s="185"/>
      <c r="AR259" s="406"/>
      <c r="AS259" s="406">
        <f t="shared" si="47"/>
        <v>1500</v>
      </c>
      <c r="AT259" s="185"/>
      <c r="AU259" s="185"/>
      <c r="XEE259" s="447"/>
      <c r="XEF259" s="447"/>
      <c r="XEG259" s="447"/>
      <c r="XEH259" s="447"/>
      <c r="XEI259" s="447"/>
      <c r="XEJ259" s="447"/>
      <c r="XEK259" s="447"/>
      <c r="XEL259" s="447"/>
      <c r="XEM259" s="447"/>
      <c r="XEN259" s="447"/>
      <c r="XEO259" s="426"/>
      <c r="XEP259" s="427"/>
      <c r="XEQ259" s="427"/>
      <c r="XER259" s="428"/>
      <c r="XES259" s="429"/>
      <c r="XET259" s="429"/>
      <c r="XEU259" s="428"/>
      <c r="XEV259" s="426"/>
      <c r="XEW259" s="427"/>
      <c r="XEX259" s="427"/>
      <c r="XEY259" s="428"/>
      <c r="XEZ259" s="429"/>
      <c r="XFA259" s="429"/>
      <c r="XFB259" s="428"/>
      <c r="XFC259" s="428"/>
      <c r="XFD259" s="428"/>
    </row>
    <row r="260" s="184" customFormat="1" ht="39" customHeight="1" spans="1:53 16350:16384">
      <c r="A260" s="388">
        <v>46212</v>
      </c>
      <c r="B260" s="466" t="s">
        <v>238</v>
      </c>
      <c r="C260" s="466" t="s">
        <v>77</v>
      </c>
      <c r="D260" s="467" t="s">
        <v>1130</v>
      </c>
      <c r="E260" s="551" t="s">
        <v>1131</v>
      </c>
      <c r="F260" s="468" t="s">
        <v>1132</v>
      </c>
      <c r="G260" s="467" t="s">
        <v>242</v>
      </c>
      <c r="H260" s="467" t="s">
        <v>49</v>
      </c>
      <c r="I260" s="467">
        <v>504</v>
      </c>
      <c r="J260" s="467">
        <v>0</v>
      </c>
      <c r="K260" s="467">
        <v>1</v>
      </c>
      <c r="L260" s="467">
        <f t="shared" si="43"/>
        <v>504</v>
      </c>
      <c r="M260" s="469">
        <v>46293</v>
      </c>
      <c r="N260" s="469">
        <v>46289</v>
      </c>
      <c r="O260" s="469" t="s">
        <v>61</v>
      </c>
      <c r="P260" s="470"/>
      <c r="Q260" s="466"/>
      <c r="R260" s="466"/>
      <c r="S260" s="471"/>
      <c r="T260" s="471" t="s">
        <v>1009</v>
      </c>
      <c r="U260" s="471">
        <v>46205</v>
      </c>
      <c r="V260" s="469"/>
      <c r="W260" s="469"/>
      <c r="X260" s="469" t="s">
        <v>584</v>
      </c>
      <c r="Y260" s="467" t="s">
        <v>1010</v>
      </c>
      <c r="Z260" s="467" t="s">
        <v>81</v>
      </c>
      <c r="AA260" s="472">
        <v>7.1057</v>
      </c>
      <c r="AB260" s="467">
        <f t="shared" si="44"/>
        <v>3581.2728</v>
      </c>
      <c r="AC260" s="399"/>
      <c r="AD260" s="467" t="s">
        <v>247</v>
      </c>
      <c r="AE260" s="467" t="s">
        <v>56</v>
      </c>
      <c r="AF260" s="476"/>
      <c r="AG260" s="476"/>
      <c r="AH260" s="404"/>
      <c r="AI260" s="183"/>
      <c r="AJ260" s="476"/>
      <c r="AK260" s="436"/>
      <c r="AL260" s="183"/>
      <c r="AM260" s="184"/>
      <c r="AN260" s="185"/>
      <c r="AO260" s="475">
        <f t="shared" si="45"/>
        <v>504</v>
      </c>
      <c r="AP260" s="476">
        <f t="shared" si="46"/>
        <v>504</v>
      </c>
      <c r="AQ260" s="473"/>
      <c r="AR260" s="476"/>
      <c r="AS260" s="476">
        <f t="shared" si="47"/>
        <v>504</v>
      </c>
      <c r="AT260" s="473"/>
      <c r="AU260" s="473"/>
      <c r="AV260" s="184"/>
      <c r="AW260" s="184"/>
      <c r="AX260" s="184"/>
      <c r="AY260" s="184"/>
      <c r="AZ260" s="184"/>
      <c r="BA260" s="184"/>
      <c r="XEE260" s="447"/>
      <c r="XEF260" s="447"/>
      <c r="XEG260" s="447"/>
      <c r="XEH260" s="447"/>
      <c r="XEI260" s="447"/>
      <c r="XEJ260" s="447"/>
      <c r="XEK260" s="447"/>
      <c r="XEL260" s="447"/>
      <c r="XEM260" s="447"/>
      <c r="XEN260" s="447"/>
      <c r="XEO260" s="426"/>
      <c r="XEP260" s="427"/>
      <c r="XEQ260" s="427"/>
      <c r="XER260" s="428"/>
      <c r="XES260" s="429"/>
      <c r="XET260" s="429"/>
      <c r="XEU260" s="428"/>
      <c r="XEV260" s="426"/>
      <c r="XEW260" s="427"/>
      <c r="XEX260" s="427"/>
      <c r="XEY260" s="428"/>
      <c r="XEZ260" s="429"/>
      <c r="XFA260" s="429"/>
      <c r="XFB260" s="428"/>
      <c r="XFC260" s="428"/>
      <c r="XFD260" s="428"/>
    </row>
    <row r="261" s="184" customFormat="1" ht="39" customHeight="1" spans="1:53 16350:16384">
      <c r="A261" s="426">
        <v>46212</v>
      </c>
      <c r="B261" s="427" t="s">
        <v>238</v>
      </c>
      <c r="C261" s="427" t="s">
        <v>77</v>
      </c>
      <c r="D261" s="428" t="s">
        <v>1130</v>
      </c>
      <c r="E261" s="550" t="s">
        <v>1133</v>
      </c>
      <c r="F261" s="429" t="s">
        <v>1134</v>
      </c>
      <c r="G261" s="428" t="s">
        <v>242</v>
      </c>
      <c r="H261" s="428" t="s">
        <v>49</v>
      </c>
      <c r="I261" s="428">
        <v>576</v>
      </c>
      <c r="J261" s="428">
        <v>0</v>
      </c>
      <c r="K261" s="428">
        <v>1</v>
      </c>
      <c r="L261" s="428">
        <f t="shared" si="43"/>
        <v>576</v>
      </c>
      <c r="M261" s="396">
        <v>46293</v>
      </c>
      <c r="N261" s="396">
        <v>46289</v>
      </c>
      <c r="O261" s="396" t="s">
        <v>61</v>
      </c>
      <c r="P261" s="430"/>
      <c r="Q261" s="427"/>
      <c r="R261" s="427"/>
      <c r="S261" s="431"/>
      <c r="T261" s="471" t="s">
        <v>1009</v>
      </c>
      <c r="U261" s="431">
        <v>46205</v>
      </c>
      <c r="V261" s="396"/>
      <c r="W261" s="396"/>
      <c r="X261" s="396" t="s">
        <v>584</v>
      </c>
      <c r="Y261" s="428" t="s">
        <v>1010</v>
      </c>
      <c r="Z261" s="428" t="s">
        <v>81</v>
      </c>
      <c r="AA261" s="432">
        <v>7.1057</v>
      </c>
      <c r="AB261" s="428">
        <f t="shared" si="44"/>
        <v>4092.8832</v>
      </c>
      <c r="AC261" s="415"/>
      <c r="AD261" s="428" t="s">
        <v>247</v>
      </c>
      <c r="AE261" s="428" t="s">
        <v>56</v>
      </c>
      <c r="AF261" s="406"/>
      <c r="AG261" s="406"/>
      <c r="AH261" s="404"/>
      <c r="AI261" s="183"/>
      <c r="AJ261" s="406"/>
      <c r="AK261" s="436"/>
      <c r="AL261" s="183"/>
      <c r="AM261" s="184"/>
      <c r="AN261" s="185"/>
      <c r="AO261" s="434">
        <f t="shared" si="45"/>
        <v>576</v>
      </c>
      <c r="AP261" s="406">
        <f t="shared" si="46"/>
        <v>576</v>
      </c>
      <c r="AQ261" s="185"/>
      <c r="AR261" s="406"/>
      <c r="AS261" s="406">
        <f t="shared" si="47"/>
        <v>576</v>
      </c>
      <c r="AT261" s="185"/>
      <c r="AU261" s="185"/>
      <c r="AV261" s="184"/>
      <c r="AW261" s="184"/>
      <c r="AX261" s="184"/>
      <c r="AY261" s="184"/>
      <c r="AZ261" s="184"/>
      <c r="BA261" s="184"/>
      <c r="XEE261" s="447"/>
      <c r="XEF261" s="447"/>
      <c r="XEG261" s="447"/>
      <c r="XEH261" s="447"/>
      <c r="XEI261" s="447"/>
      <c r="XEJ261" s="447"/>
      <c r="XEK261" s="447"/>
      <c r="XEL261" s="447"/>
      <c r="XEM261" s="447"/>
      <c r="XEN261" s="447"/>
      <c r="XEO261" s="426"/>
      <c r="XEP261" s="427"/>
      <c r="XEQ261" s="427"/>
      <c r="XER261" s="428"/>
      <c r="XES261" s="429"/>
      <c r="XET261" s="429"/>
      <c r="XEU261" s="428"/>
      <c r="XEV261" s="426"/>
      <c r="XEW261" s="427"/>
      <c r="XEX261" s="427"/>
      <c r="XEY261" s="428"/>
      <c r="XEZ261" s="429"/>
      <c r="XFA261" s="429"/>
      <c r="XFB261" s="428"/>
      <c r="XFC261" s="428"/>
      <c r="XFD261" s="428"/>
    </row>
    <row r="262" s="184" customFormat="1" ht="39" customHeight="1" spans="1:53 16350:16384">
      <c r="A262" s="486">
        <v>46212</v>
      </c>
      <c r="B262" s="487" t="s">
        <v>238</v>
      </c>
      <c r="C262" s="487" t="s">
        <v>77</v>
      </c>
      <c r="D262" s="488" t="s">
        <v>1130</v>
      </c>
      <c r="E262" s="552" t="s">
        <v>1135</v>
      </c>
      <c r="F262" s="489" t="s">
        <v>1136</v>
      </c>
      <c r="G262" s="488" t="s">
        <v>242</v>
      </c>
      <c r="H262" s="488" t="s">
        <v>49</v>
      </c>
      <c r="I262" s="488">
        <v>504</v>
      </c>
      <c r="J262" s="488">
        <v>0</v>
      </c>
      <c r="K262" s="488">
        <v>1</v>
      </c>
      <c r="L262" s="488">
        <f t="shared" si="43"/>
        <v>504</v>
      </c>
      <c r="M262" s="491">
        <v>46293</v>
      </c>
      <c r="N262" s="491">
        <v>46289</v>
      </c>
      <c r="O262" s="491" t="s">
        <v>61</v>
      </c>
      <c r="P262" s="492"/>
      <c r="Q262" s="487"/>
      <c r="R262" s="487"/>
      <c r="S262" s="493"/>
      <c r="T262" s="471" t="s">
        <v>1009</v>
      </c>
      <c r="U262" s="493">
        <v>46205</v>
      </c>
      <c r="V262" s="491"/>
      <c r="W262" s="491"/>
      <c r="X262" s="491" t="s">
        <v>584</v>
      </c>
      <c r="Y262" s="488" t="s">
        <v>1010</v>
      </c>
      <c r="Z262" s="488" t="s">
        <v>81</v>
      </c>
      <c r="AA262" s="494">
        <v>7.2743</v>
      </c>
      <c r="AB262" s="488">
        <f t="shared" si="44"/>
        <v>3666.2472</v>
      </c>
      <c r="AC262" s="458"/>
      <c r="AD262" s="488" t="s">
        <v>247</v>
      </c>
      <c r="AE262" s="488" t="s">
        <v>56</v>
      </c>
      <c r="AF262" s="462"/>
      <c r="AG262" s="462"/>
      <c r="AH262" s="404"/>
      <c r="AI262" s="183"/>
      <c r="AJ262" s="462"/>
      <c r="AK262" s="436"/>
      <c r="AL262" s="183"/>
      <c r="AM262" s="183"/>
      <c r="AN262" s="185"/>
      <c r="AO262" s="497">
        <f t="shared" si="45"/>
        <v>504</v>
      </c>
      <c r="AP262" s="462">
        <f t="shared" si="46"/>
        <v>504</v>
      </c>
      <c r="AQ262" s="496"/>
      <c r="AR262" s="462"/>
      <c r="AS262" s="462">
        <f t="shared" si="47"/>
        <v>504</v>
      </c>
      <c r="AT262" s="496"/>
      <c r="AU262" s="496"/>
      <c r="AV262" s="184"/>
      <c r="AW262" s="184"/>
      <c r="AX262" s="184"/>
      <c r="AY262" s="184"/>
      <c r="AZ262" s="184"/>
      <c r="BA262" s="184"/>
      <c r="XEE262" s="447"/>
      <c r="XEF262" s="447"/>
      <c r="XEG262" s="447"/>
      <c r="XEH262" s="447"/>
      <c r="XEI262" s="447"/>
      <c r="XEJ262" s="447"/>
      <c r="XEK262" s="447"/>
      <c r="XEL262" s="447"/>
      <c r="XEM262" s="447"/>
      <c r="XEN262" s="447"/>
      <c r="XEO262" s="426"/>
      <c r="XEP262" s="427"/>
      <c r="XEQ262" s="427"/>
      <c r="XER262" s="428"/>
      <c r="XES262" s="429"/>
      <c r="XET262" s="429"/>
      <c r="XEU262" s="428"/>
      <c r="XEV262" s="426"/>
      <c r="XEW262" s="427"/>
      <c r="XEX262" s="427"/>
      <c r="XEY262" s="428"/>
      <c r="XEZ262" s="429"/>
      <c r="XFA262" s="429"/>
      <c r="XFB262" s="428"/>
      <c r="XFC262" s="428"/>
      <c r="XFD262" s="428"/>
    </row>
    <row r="263" s="184" customFormat="1" ht="39" customHeight="1" spans="1:53 16350:16384">
      <c r="A263" s="426">
        <v>46171</v>
      </c>
      <c r="B263" s="427" t="s">
        <v>1137</v>
      </c>
      <c r="C263" s="427" t="s">
        <v>1138</v>
      </c>
      <c r="D263" s="428" t="s">
        <v>1139</v>
      </c>
      <c r="E263" s="429" t="s">
        <v>1140</v>
      </c>
      <c r="F263" s="429" t="s">
        <v>1141</v>
      </c>
      <c r="G263" s="428" t="s">
        <v>1142</v>
      </c>
      <c r="H263" s="428" t="s">
        <v>49</v>
      </c>
      <c r="I263" s="428">
        <v>200</v>
      </c>
      <c r="J263" s="428">
        <v>0</v>
      </c>
      <c r="K263" s="428">
        <v>4</v>
      </c>
      <c r="L263" s="428">
        <f t="shared" si="43"/>
        <v>50</v>
      </c>
      <c r="M263" s="396">
        <v>46224</v>
      </c>
      <c r="N263" s="396" t="s">
        <v>1143</v>
      </c>
      <c r="O263" s="396"/>
      <c r="P263" s="430"/>
      <c r="Q263" s="427"/>
      <c r="R263" s="427"/>
      <c r="S263" s="431"/>
      <c r="T263" s="431" t="s">
        <v>1144</v>
      </c>
      <c r="U263" s="431" t="s">
        <v>1145</v>
      </c>
      <c r="V263" s="396" t="s">
        <v>1146</v>
      </c>
      <c r="W263" s="396"/>
      <c r="X263" s="396"/>
      <c r="Y263" s="428" t="s">
        <v>1147</v>
      </c>
      <c r="Z263" s="428" t="s">
        <v>1148</v>
      </c>
      <c r="AA263" s="432">
        <v>9.7</v>
      </c>
      <c r="AB263" s="428">
        <f t="shared" si="44"/>
        <v>1940</v>
      </c>
      <c r="AC263" s="415"/>
      <c r="AD263" s="479" t="s">
        <v>604</v>
      </c>
      <c r="AE263" s="428" t="s">
        <v>56</v>
      </c>
      <c r="AF263" s="428"/>
      <c r="AG263" s="428"/>
      <c r="AH263" s="427"/>
      <c r="AI263" s="428"/>
      <c r="AJ263" s="428"/>
      <c r="AK263" s="428"/>
      <c r="AL263" s="428"/>
      <c r="AM263" s="428"/>
      <c r="AN263" s="428"/>
      <c r="AO263" s="406">
        <f t="shared" si="45"/>
        <v>200</v>
      </c>
      <c r="AP263" s="406">
        <f t="shared" si="46"/>
        <v>200</v>
      </c>
      <c r="AQ263" s="406"/>
      <c r="AR263" s="406"/>
      <c r="AS263" s="406"/>
      <c r="AT263" s="406"/>
      <c r="AU263" s="440">
        <f>AO263</f>
        <v>200</v>
      </c>
      <c r="AV263" s="445"/>
      <c r="AW263" s="445"/>
      <c r="AX263" s="445"/>
      <c r="AY263" s="445"/>
      <c r="AZ263" s="445"/>
      <c r="BA263" s="445"/>
      <c r="XEE263" s="421"/>
      <c r="XEF263" s="421"/>
      <c r="XEG263" s="421"/>
      <c r="XEH263" s="421"/>
      <c r="XEI263" s="421"/>
      <c r="XEJ263" s="421"/>
      <c r="XEK263" s="421"/>
      <c r="XEL263" s="421"/>
      <c r="XEM263" s="421"/>
      <c r="XEN263" s="421"/>
      <c r="XEO263" s="421"/>
      <c r="XEP263" s="421"/>
      <c r="XEQ263" s="421"/>
      <c r="XER263" s="421"/>
      <c r="XES263" s="421"/>
      <c r="XET263" s="421"/>
      <c r="XEU263" s="421"/>
      <c r="XEV263" s="421"/>
      <c r="XEW263" s="421"/>
      <c r="XEX263" s="421"/>
      <c r="XEY263" s="421"/>
      <c r="XEZ263" s="421"/>
      <c r="XFA263" s="421"/>
      <c r="XFB263" s="421"/>
      <c r="XFC263" s="421"/>
      <c r="XFD263" s="421"/>
    </row>
    <row r="264" s="184" customFormat="1" ht="39" customHeight="1" spans="1:53 16350:16384">
      <c r="A264" s="426">
        <v>46171</v>
      </c>
      <c r="B264" s="427" t="s">
        <v>1137</v>
      </c>
      <c r="C264" s="427" t="s">
        <v>1138</v>
      </c>
      <c r="D264" s="428" t="s">
        <v>1139</v>
      </c>
      <c r="E264" s="429" t="s">
        <v>1140</v>
      </c>
      <c r="F264" s="429" t="s">
        <v>1149</v>
      </c>
      <c r="G264" s="428" t="s">
        <v>1142</v>
      </c>
      <c r="H264" s="428" t="s">
        <v>49</v>
      </c>
      <c r="I264" s="428">
        <v>200</v>
      </c>
      <c r="J264" s="428">
        <v>0</v>
      </c>
      <c r="K264" s="428">
        <v>4</v>
      </c>
      <c r="L264" s="428">
        <f t="shared" si="43"/>
        <v>50</v>
      </c>
      <c r="M264" s="396">
        <v>46224</v>
      </c>
      <c r="N264" s="396" t="s">
        <v>1143</v>
      </c>
      <c r="O264" s="396"/>
      <c r="P264" s="430"/>
      <c r="Q264" s="427"/>
      <c r="R264" s="427"/>
      <c r="S264" s="431"/>
      <c r="T264" s="431" t="s">
        <v>1144</v>
      </c>
      <c r="U264" s="431" t="s">
        <v>1145</v>
      </c>
      <c r="V264" s="396"/>
      <c r="W264" s="396"/>
      <c r="X264" s="396"/>
      <c r="Y264" s="428" t="s">
        <v>1147</v>
      </c>
      <c r="Z264" s="428" t="s">
        <v>1148</v>
      </c>
      <c r="AA264" s="432">
        <v>9.7</v>
      </c>
      <c r="AB264" s="428">
        <f t="shared" si="44"/>
        <v>1940</v>
      </c>
      <c r="AC264" s="415"/>
      <c r="AD264" s="479" t="s">
        <v>604</v>
      </c>
      <c r="AE264" s="428" t="s">
        <v>56</v>
      </c>
      <c r="AF264" s="428"/>
      <c r="AG264" s="428"/>
      <c r="AH264" s="427"/>
      <c r="AI264" s="428"/>
      <c r="AJ264" s="428"/>
      <c r="AK264" s="428"/>
      <c r="AL264" s="428"/>
      <c r="AM264" s="428"/>
      <c r="AN264" s="428"/>
      <c r="AO264" s="406">
        <f t="shared" si="45"/>
        <v>200</v>
      </c>
      <c r="AP264" s="406">
        <f t="shared" si="46"/>
        <v>200</v>
      </c>
      <c r="AQ264" s="406"/>
      <c r="AR264" s="406"/>
      <c r="AS264" s="406"/>
      <c r="AT264" s="406"/>
      <c r="AU264" s="440">
        <f>AO264</f>
        <v>200</v>
      </c>
      <c r="AV264" s="445"/>
      <c r="AW264" s="445"/>
      <c r="AX264" s="445"/>
      <c r="AY264" s="445"/>
      <c r="AZ264" s="445"/>
      <c r="BA264" s="445"/>
      <c r="XEV264" s="421"/>
      <c r="XEW264" s="421"/>
      <c r="XEX264" s="421"/>
      <c r="XEY264" s="421"/>
      <c r="XEZ264" s="421"/>
      <c r="XFA264" s="421"/>
      <c r="XFB264" s="421"/>
      <c r="XFC264" s="421"/>
      <c r="XFD264" s="421"/>
    </row>
    <row r="265" s="184" customFormat="1" ht="39" customHeight="1" spans="1:53 16350:16384">
      <c r="A265" s="426">
        <v>46171</v>
      </c>
      <c r="B265" s="427" t="s">
        <v>1137</v>
      </c>
      <c r="C265" s="427" t="s">
        <v>1138</v>
      </c>
      <c r="D265" s="428" t="s">
        <v>1139</v>
      </c>
      <c r="E265" s="429" t="s">
        <v>1140</v>
      </c>
      <c r="F265" s="429" t="s">
        <v>1150</v>
      </c>
      <c r="G265" s="428" t="s">
        <v>1142</v>
      </c>
      <c r="H265" s="428" t="s">
        <v>49</v>
      </c>
      <c r="I265" s="428">
        <v>4468</v>
      </c>
      <c r="J265" s="428">
        <v>0</v>
      </c>
      <c r="K265" s="428">
        <v>4</v>
      </c>
      <c r="L265" s="428">
        <f t="shared" si="43"/>
        <v>1117</v>
      </c>
      <c r="M265" s="396">
        <v>46224</v>
      </c>
      <c r="N265" s="396" t="s">
        <v>1143</v>
      </c>
      <c r="O265" s="396"/>
      <c r="P265" s="430"/>
      <c r="Q265" s="427"/>
      <c r="R265" s="427"/>
      <c r="S265" s="431"/>
      <c r="T265" s="431" t="s">
        <v>1144</v>
      </c>
      <c r="U265" s="431" t="s">
        <v>1145</v>
      </c>
      <c r="V265" s="396"/>
      <c r="W265" s="396"/>
      <c r="X265" s="396"/>
      <c r="Y265" s="428" t="s">
        <v>1147</v>
      </c>
      <c r="Z265" s="428" t="s">
        <v>1148</v>
      </c>
      <c r="AA265" s="432">
        <v>9.7</v>
      </c>
      <c r="AB265" s="428">
        <f t="shared" si="44"/>
        <v>43339.6</v>
      </c>
      <c r="AC265" s="415"/>
      <c r="AD265" s="479" t="s">
        <v>604</v>
      </c>
      <c r="AE265" s="428" t="s">
        <v>56</v>
      </c>
      <c r="AF265" s="428"/>
      <c r="AG265" s="428"/>
      <c r="AH265" s="427"/>
      <c r="AI265" s="428"/>
      <c r="AJ265" s="428"/>
      <c r="AK265" s="428"/>
      <c r="AL265" s="428"/>
      <c r="AM265" s="428"/>
      <c r="AN265" s="428"/>
      <c r="AO265" s="406">
        <f t="shared" si="45"/>
        <v>4468</v>
      </c>
      <c r="AP265" s="406">
        <f t="shared" si="46"/>
        <v>4468</v>
      </c>
      <c r="AQ265" s="406"/>
      <c r="AR265" s="406"/>
      <c r="AS265" s="406"/>
      <c r="AT265" s="406"/>
      <c r="AU265" s="440">
        <f>AO265</f>
        <v>4468</v>
      </c>
      <c r="AV265" s="445"/>
      <c r="AW265" s="445"/>
      <c r="AX265" s="445"/>
      <c r="AY265" s="445"/>
      <c r="AZ265" s="445"/>
      <c r="BA265" s="445"/>
      <c r="XEV265" s="281"/>
      <c r="XEW265" s="281"/>
      <c r="XEX265" s="281"/>
      <c r="XEY265" s="281"/>
      <c r="XEZ265" s="281"/>
      <c r="XFA265" s="281"/>
      <c r="XFB265" s="281"/>
      <c r="XFC265" s="281"/>
      <c r="XFD265" s="281"/>
    </row>
    <row r="266" s="184" customFormat="1" ht="39" customHeight="1" spans="1:53 16350:16384">
      <c r="A266" s="426">
        <v>46171</v>
      </c>
      <c r="B266" s="427" t="s">
        <v>1137</v>
      </c>
      <c r="C266" s="427" t="s">
        <v>1138</v>
      </c>
      <c r="D266" s="428" t="s">
        <v>1139</v>
      </c>
      <c r="E266" s="429" t="s">
        <v>1140</v>
      </c>
      <c r="F266" s="429" t="s">
        <v>1151</v>
      </c>
      <c r="G266" s="428" t="s">
        <v>1142</v>
      </c>
      <c r="H266" s="428" t="s">
        <v>49</v>
      </c>
      <c r="I266" s="428">
        <v>1200</v>
      </c>
      <c r="J266" s="428">
        <v>0</v>
      </c>
      <c r="K266" s="428">
        <v>4</v>
      </c>
      <c r="L266" s="428">
        <f t="shared" si="43"/>
        <v>300</v>
      </c>
      <c r="M266" s="396">
        <v>46224</v>
      </c>
      <c r="N266" s="396" t="s">
        <v>1143</v>
      </c>
      <c r="O266" s="396"/>
      <c r="P266" s="430"/>
      <c r="Q266" s="427"/>
      <c r="R266" s="427"/>
      <c r="S266" s="431"/>
      <c r="T266" s="431" t="s">
        <v>1144</v>
      </c>
      <c r="U266" s="431" t="s">
        <v>1145</v>
      </c>
      <c r="V266" s="396"/>
      <c r="W266" s="396"/>
      <c r="X266" s="396"/>
      <c r="Y266" s="428" t="s">
        <v>1147</v>
      </c>
      <c r="Z266" s="428" t="s">
        <v>1148</v>
      </c>
      <c r="AA266" s="432">
        <v>9.7</v>
      </c>
      <c r="AB266" s="428">
        <f t="shared" si="44"/>
        <v>11640</v>
      </c>
      <c r="AC266" s="415"/>
      <c r="AD266" s="479" t="s">
        <v>604</v>
      </c>
      <c r="AE266" s="428" t="s">
        <v>56</v>
      </c>
      <c r="AF266" s="428"/>
      <c r="AG266" s="428"/>
      <c r="AH266" s="427"/>
      <c r="AI266" s="428"/>
      <c r="AJ266" s="428"/>
      <c r="AK266" s="428"/>
      <c r="AL266" s="428"/>
      <c r="AM266" s="428"/>
      <c r="AN266" s="428"/>
      <c r="AO266" s="406">
        <f t="shared" si="45"/>
        <v>1200</v>
      </c>
      <c r="AP266" s="406">
        <f t="shared" si="46"/>
        <v>1200</v>
      </c>
      <c r="AQ266" s="406"/>
      <c r="AR266" s="406"/>
      <c r="AS266" s="406"/>
      <c r="AT266" s="406"/>
      <c r="AU266" s="440">
        <f>AO266</f>
        <v>1200</v>
      </c>
      <c r="AV266" s="445"/>
      <c r="AW266" s="445"/>
      <c r="AX266" s="445"/>
      <c r="AY266" s="445"/>
      <c r="AZ266" s="445"/>
      <c r="BA266" s="445"/>
      <c r="XEE266" s="421"/>
      <c r="XEF266" s="421"/>
      <c r="XEG266" s="421"/>
      <c r="XEH266" s="421"/>
      <c r="XEI266" s="421"/>
      <c r="XEJ266" s="421"/>
      <c r="XEK266" s="421"/>
      <c r="XEL266" s="421"/>
      <c r="XEM266" s="421"/>
      <c r="XEN266" s="421"/>
      <c r="XEO266" s="421"/>
      <c r="XEP266" s="421"/>
      <c r="XEQ266" s="421"/>
      <c r="XER266" s="421"/>
      <c r="XES266" s="421"/>
      <c r="XET266" s="421"/>
      <c r="XEU266" s="421"/>
      <c r="XEV266" s="421"/>
      <c r="XEW266" s="421"/>
      <c r="XEX266" s="421"/>
      <c r="XEY266" s="421"/>
      <c r="XEZ266" s="421"/>
      <c r="XFA266" s="421"/>
      <c r="XFB266" s="421"/>
      <c r="XFC266" s="421"/>
      <c r="XFD266" s="421"/>
    </row>
    <row r="267" s="184" customFormat="1" ht="39" customHeight="1" spans="1:53 16350:16384">
      <c r="A267" s="411"/>
      <c r="B267" s="390"/>
      <c r="C267" s="390"/>
      <c r="D267" s="391"/>
      <c r="E267" s="392"/>
      <c r="F267" s="392"/>
      <c r="G267" s="391"/>
      <c r="H267" s="391"/>
      <c r="I267" s="391"/>
      <c r="J267" s="391"/>
      <c r="K267" s="391"/>
      <c r="L267" s="391"/>
      <c r="M267" s="393"/>
      <c r="N267" s="393"/>
      <c r="O267" s="393"/>
      <c r="P267" s="394"/>
      <c r="Q267" s="390"/>
      <c r="R267" s="390"/>
      <c r="S267" s="395"/>
      <c r="T267" s="395"/>
      <c r="U267" s="395"/>
      <c r="V267" s="393"/>
      <c r="W267" s="393"/>
      <c r="X267" s="393"/>
      <c r="Y267" s="391"/>
      <c r="Z267" s="391"/>
      <c r="AA267" s="397"/>
      <c r="AB267" s="391"/>
      <c r="AC267" s="399"/>
      <c r="AD267" s="392"/>
      <c r="AE267" s="391"/>
      <c r="AF267" s="391"/>
      <c r="AG267" s="391"/>
      <c r="AH267" s="390"/>
      <c r="AI267" s="391"/>
      <c r="AJ267" s="391"/>
      <c r="AK267" s="391"/>
      <c r="AL267" s="391"/>
      <c r="AM267" s="391"/>
      <c r="AN267" s="391"/>
      <c r="AO267" s="401"/>
      <c r="AP267" s="401"/>
      <c r="AQ267" s="401"/>
      <c r="AR267" s="401"/>
      <c r="AS267" s="401"/>
      <c r="AT267" s="401"/>
      <c r="AU267" s="513"/>
      <c r="AV267" s="445"/>
      <c r="AW267" s="445"/>
      <c r="AX267" s="445"/>
      <c r="AY267" s="445"/>
      <c r="AZ267" s="445"/>
      <c r="BA267" s="445"/>
    </row>
    <row r="268" s="184" customFormat="1" ht="39" customHeight="1" spans="1:53 16350:16384">
      <c r="A268" s="411"/>
      <c r="B268" s="390"/>
      <c r="C268" s="390"/>
      <c r="D268" s="391"/>
      <c r="E268" s="392"/>
      <c r="F268" s="392"/>
      <c r="G268" s="391"/>
      <c r="H268" s="391"/>
      <c r="I268" s="391"/>
      <c r="J268" s="391"/>
      <c r="K268" s="391"/>
      <c r="L268" s="391"/>
      <c r="M268" s="393"/>
      <c r="N268" s="393"/>
      <c r="O268" s="393"/>
      <c r="P268" s="394"/>
      <c r="Q268" s="390"/>
      <c r="R268" s="390"/>
      <c r="S268" s="413"/>
      <c r="T268" s="395"/>
      <c r="U268" s="413"/>
      <c r="V268" s="393"/>
      <c r="W268" s="393"/>
      <c r="X268" s="393"/>
      <c r="Y268" s="391"/>
      <c r="Z268" s="391"/>
      <c r="AA268" s="414"/>
      <c r="AB268" s="398"/>
      <c r="AC268" s="415"/>
      <c r="AD268" s="514"/>
      <c r="AE268" s="391"/>
      <c r="AF268" s="398"/>
      <c r="AG268" s="398"/>
      <c r="AH268" s="390"/>
      <c r="AI268" s="391"/>
      <c r="AJ268" s="398"/>
      <c r="AK268" s="398"/>
      <c r="AL268" s="398"/>
      <c r="AM268" s="398"/>
      <c r="AN268" s="398"/>
      <c r="AO268" s="417"/>
      <c r="AP268" s="417"/>
      <c r="AQ268" s="417"/>
      <c r="AR268" s="417"/>
      <c r="AS268" s="417"/>
      <c r="AT268" s="417"/>
      <c r="AU268" s="215"/>
      <c r="AV268" s="445"/>
      <c r="AW268" s="445"/>
      <c r="AX268" s="445"/>
      <c r="AY268" s="445"/>
      <c r="AZ268" s="445"/>
      <c r="BA268" s="445"/>
    </row>
    <row r="269" s="184" customFormat="1" ht="39" customHeight="1" spans="1:53 16350:16384">
      <c r="A269" s="411"/>
      <c r="B269" s="390"/>
      <c r="C269" s="390"/>
      <c r="D269" s="391"/>
      <c r="E269" s="392"/>
      <c r="F269" s="392"/>
      <c r="G269" s="391"/>
      <c r="H269" s="391"/>
      <c r="I269" s="391"/>
      <c r="J269" s="391"/>
      <c r="K269" s="391"/>
      <c r="L269" s="391"/>
      <c r="M269" s="393"/>
      <c r="N269" s="393"/>
      <c r="O269" s="393"/>
      <c r="P269" s="394"/>
      <c r="Q269" s="390"/>
      <c r="R269" s="390"/>
      <c r="S269" s="413"/>
      <c r="T269" s="395"/>
      <c r="U269" s="413"/>
      <c r="V269" s="393"/>
      <c r="W269" s="393"/>
      <c r="X269" s="393"/>
      <c r="Y269" s="391"/>
      <c r="Z269" s="391"/>
      <c r="AA269" s="414"/>
      <c r="AB269" s="398"/>
      <c r="AC269" s="415"/>
      <c r="AD269" s="514"/>
      <c r="AE269" s="391"/>
      <c r="AF269" s="398"/>
      <c r="AG269" s="398"/>
      <c r="AH269" s="390"/>
      <c r="AI269" s="391"/>
      <c r="AJ269" s="398"/>
      <c r="AK269" s="398"/>
      <c r="AL269" s="398"/>
      <c r="AM269" s="398"/>
      <c r="AN269" s="398"/>
      <c r="AO269" s="417"/>
      <c r="AP269" s="417"/>
      <c r="AQ269" s="417"/>
      <c r="AR269" s="417"/>
      <c r="AS269" s="417"/>
      <c r="AT269" s="417"/>
      <c r="AU269" s="215"/>
      <c r="AV269" s="445"/>
      <c r="AW269" s="445"/>
      <c r="AX269" s="445"/>
      <c r="AY269" s="445"/>
      <c r="AZ269" s="445"/>
      <c r="BA269" s="445"/>
    </row>
    <row r="270" s="184" customFormat="1" ht="39" customHeight="1" spans="1:53 16350:16384">
      <c r="A270" s="411"/>
      <c r="B270" s="390"/>
      <c r="C270" s="390"/>
      <c r="D270" s="391"/>
      <c r="E270" s="392"/>
      <c r="F270" s="392"/>
      <c r="G270" s="391"/>
      <c r="H270" s="391"/>
      <c r="I270" s="391"/>
      <c r="J270" s="391"/>
      <c r="K270" s="391"/>
      <c r="L270" s="391"/>
      <c r="M270" s="393"/>
      <c r="N270" s="393"/>
      <c r="O270" s="393"/>
      <c r="P270" s="394"/>
      <c r="Q270" s="390"/>
      <c r="R270" s="390"/>
      <c r="S270" s="413"/>
      <c r="T270" s="395"/>
      <c r="U270" s="413"/>
      <c r="V270" s="393"/>
      <c r="W270" s="393"/>
      <c r="X270" s="393"/>
      <c r="Y270" s="391"/>
      <c r="Z270" s="391"/>
      <c r="AA270" s="414"/>
      <c r="AB270" s="398"/>
      <c r="AC270" s="415"/>
      <c r="AD270" s="514"/>
      <c r="AE270" s="391"/>
      <c r="AF270" s="398"/>
      <c r="AG270" s="398"/>
      <c r="AH270" s="390"/>
      <c r="AI270" s="391"/>
      <c r="AJ270" s="398"/>
      <c r="AK270" s="398"/>
      <c r="AL270" s="398"/>
      <c r="AM270" s="398"/>
      <c r="AN270" s="398"/>
      <c r="AO270" s="417"/>
      <c r="AP270" s="417"/>
      <c r="AQ270" s="417"/>
      <c r="AR270" s="417"/>
      <c r="AS270" s="417"/>
      <c r="AT270" s="417"/>
      <c r="AU270" s="215"/>
      <c r="AV270" s="445"/>
      <c r="AW270" s="445"/>
      <c r="AX270" s="445"/>
      <c r="AY270" s="445"/>
      <c r="AZ270" s="445"/>
      <c r="BA270" s="445"/>
    </row>
    <row r="271" s="184" customFormat="1" ht="39" customHeight="1" spans="1:53 16350:16384">
      <c r="A271" s="411"/>
      <c r="B271" s="390"/>
      <c r="C271" s="390"/>
      <c r="D271" s="391"/>
      <c r="E271" s="392"/>
      <c r="F271" s="392"/>
      <c r="G271" s="391"/>
      <c r="H271" s="391"/>
      <c r="I271" s="391"/>
      <c r="J271" s="391"/>
      <c r="K271" s="391"/>
      <c r="L271" s="391"/>
      <c r="M271" s="393"/>
      <c r="N271" s="393"/>
      <c r="O271" s="393"/>
      <c r="P271" s="394"/>
      <c r="Q271" s="390"/>
      <c r="R271" s="390"/>
      <c r="S271" s="413"/>
      <c r="T271" s="395"/>
      <c r="U271" s="413"/>
      <c r="V271" s="393"/>
      <c r="W271" s="393"/>
      <c r="X271" s="393"/>
      <c r="Y271" s="391"/>
      <c r="Z271" s="391"/>
      <c r="AA271" s="414"/>
      <c r="AB271" s="398"/>
      <c r="AC271" s="415"/>
      <c r="AD271" s="514"/>
      <c r="AE271" s="391"/>
      <c r="AF271" s="398"/>
      <c r="AG271" s="398"/>
      <c r="AH271" s="390"/>
      <c r="AI271" s="391"/>
      <c r="AJ271" s="398"/>
      <c r="AK271" s="398"/>
      <c r="AL271" s="398"/>
      <c r="AM271" s="398"/>
      <c r="AN271" s="398"/>
      <c r="AO271" s="417"/>
      <c r="AP271" s="417"/>
      <c r="AQ271" s="417"/>
      <c r="AR271" s="417"/>
      <c r="AS271" s="417"/>
      <c r="AT271" s="417"/>
      <c r="AU271" s="215"/>
      <c r="AV271" s="445"/>
      <c r="AW271" s="445"/>
      <c r="AX271" s="445"/>
      <c r="AY271" s="445"/>
      <c r="AZ271" s="445"/>
      <c r="BA271" s="445"/>
    </row>
    <row r="272" s="184" customFormat="1" ht="39" customHeight="1" spans="1:53 16350:16384">
      <c r="A272" s="411"/>
      <c r="B272" s="390"/>
      <c r="C272" s="390"/>
      <c r="D272" s="391"/>
      <c r="E272" s="392"/>
      <c r="F272" s="392"/>
      <c r="G272" s="391"/>
      <c r="H272" s="391"/>
      <c r="I272" s="391"/>
      <c r="J272" s="391"/>
      <c r="K272" s="391"/>
      <c r="L272" s="391"/>
      <c r="M272" s="393"/>
      <c r="N272" s="393"/>
      <c r="O272" s="393"/>
      <c r="P272" s="394"/>
      <c r="Q272" s="390"/>
      <c r="R272" s="390"/>
      <c r="S272" s="413"/>
      <c r="T272" s="395"/>
      <c r="U272" s="413"/>
      <c r="V272" s="393"/>
      <c r="W272" s="393"/>
      <c r="X272" s="393"/>
      <c r="Y272" s="391"/>
      <c r="Z272" s="391"/>
      <c r="AA272" s="414"/>
      <c r="AB272" s="398"/>
      <c r="AC272" s="415"/>
      <c r="AD272" s="514"/>
      <c r="AE272" s="391"/>
      <c r="AF272" s="398"/>
      <c r="AG272" s="398"/>
      <c r="AH272" s="390"/>
      <c r="AI272" s="391"/>
      <c r="AJ272" s="398"/>
      <c r="AK272" s="398"/>
      <c r="AL272" s="398"/>
      <c r="AM272" s="398"/>
      <c r="AN272" s="398"/>
      <c r="AO272" s="417"/>
      <c r="AP272" s="417"/>
      <c r="AQ272" s="417"/>
      <c r="AR272" s="417"/>
      <c r="AS272" s="417"/>
      <c r="AT272" s="417"/>
      <c r="AU272" s="215"/>
      <c r="AV272" s="445"/>
      <c r="AW272" s="445"/>
      <c r="AX272" s="445"/>
      <c r="AY272" s="445"/>
      <c r="AZ272" s="445"/>
      <c r="BA272" s="445"/>
    </row>
    <row r="273" s="184" customFormat="1" ht="39" customHeight="1" spans="1:53">
      <c r="A273" s="411"/>
      <c r="B273" s="390"/>
      <c r="C273" s="390"/>
      <c r="D273" s="391"/>
      <c r="E273" s="392"/>
      <c r="F273" s="392"/>
      <c r="G273" s="391"/>
      <c r="H273" s="391"/>
      <c r="I273" s="391"/>
      <c r="J273" s="391"/>
      <c r="K273" s="391"/>
      <c r="L273" s="391"/>
      <c r="M273" s="393"/>
      <c r="N273" s="393"/>
      <c r="O273" s="393"/>
      <c r="P273" s="394"/>
      <c r="Q273" s="390"/>
      <c r="R273" s="390"/>
      <c r="S273" s="413"/>
      <c r="T273" s="395"/>
      <c r="U273" s="413"/>
      <c r="V273" s="393"/>
      <c r="W273" s="393"/>
      <c r="X273" s="393"/>
      <c r="Y273" s="391"/>
      <c r="Z273" s="391"/>
      <c r="AA273" s="414"/>
      <c r="AB273" s="398"/>
      <c r="AC273" s="415"/>
      <c r="AD273" s="514"/>
      <c r="AE273" s="391"/>
      <c r="AF273" s="398"/>
      <c r="AG273" s="398"/>
      <c r="AH273" s="390"/>
      <c r="AI273" s="391"/>
      <c r="AJ273" s="398"/>
      <c r="AK273" s="398"/>
      <c r="AL273" s="398"/>
      <c r="AM273" s="398"/>
      <c r="AN273" s="398"/>
      <c r="AO273" s="417"/>
      <c r="AP273" s="417"/>
      <c r="AQ273" s="417"/>
      <c r="AR273" s="417"/>
      <c r="AS273" s="417"/>
      <c r="AT273" s="417"/>
      <c r="AU273" s="215"/>
      <c r="AV273" s="445"/>
      <c r="AW273" s="445"/>
      <c r="AX273" s="445"/>
      <c r="AY273" s="445"/>
      <c r="AZ273" s="445"/>
      <c r="BA273" s="445"/>
    </row>
    <row r="274" s="184" customFormat="1" ht="39" customHeight="1" spans="1:53">
      <c r="A274" s="411"/>
      <c r="B274" s="390"/>
      <c r="C274" s="390"/>
      <c r="D274" s="391"/>
      <c r="E274" s="392"/>
      <c r="F274" s="392"/>
      <c r="G274" s="391"/>
      <c r="H274" s="391"/>
      <c r="I274" s="391"/>
      <c r="J274" s="391"/>
      <c r="K274" s="391"/>
      <c r="L274" s="391"/>
      <c r="M274" s="393"/>
      <c r="N274" s="393"/>
      <c r="O274" s="393"/>
      <c r="P274" s="394"/>
      <c r="Q274" s="390"/>
      <c r="R274" s="390"/>
      <c r="S274" s="413"/>
      <c r="T274" s="395"/>
      <c r="U274" s="413"/>
      <c r="V274" s="393"/>
      <c r="W274" s="393"/>
      <c r="X274" s="393"/>
      <c r="Y274" s="391"/>
      <c r="Z274" s="391"/>
      <c r="AA274" s="414"/>
      <c r="AB274" s="398"/>
      <c r="AC274" s="415"/>
      <c r="AD274" s="514"/>
      <c r="AE274" s="391"/>
      <c r="AF274" s="398"/>
      <c r="AG274" s="398"/>
      <c r="AH274" s="390"/>
      <c r="AI274" s="391"/>
      <c r="AJ274" s="398"/>
      <c r="AK274" s="398"/>
      <c r="AL274" s="398"/>
      <c r="AM274" s="398"/>
      <c r="AN274" s="398"/>
      <c r="AO274" s="417"/>
      <c r="AP274" s="417"/>
      <c r="AQ274" s="417"/>
      <c r="AR274" s="417"/>
      <c r="AS274" s="417"/>
      <c r="AT274" s="417"/>
      <c r="AU274" s="215"/>
      <c r="AV274" s="445"/>
      <c r="AW274" s="445"/>
      <c r="AX274" s="445"/>
      <c r="AY274" s="445"/>
      <c r="AZ274" s="445"/>
      <c r="BA274" s="445"/>
    </row>
    <row r="275" s="184" customFormat="1" ht="39" customHeight="1" spans="1:53">
      <c r="A275" s="411"/>
      <c r="B275" s="390"/>
      <c r="C275" s="390"/>
      <c r="D275" s="391"/>
      <c r="E275" s="392"/>
      <c r="F275" s="392"/>
      <c r="G275" s="391"/>
      <c r="H275" s="391"/>
      <c r="I275" s="391"/>
      <c r="J275" s="391"/>
      <c r="K275" s="391"/>
      <c r="L275" s="391"/>
      <c r="M275" s="393"/>
      <c r="N275" s="393"/>
      <c r="O275" s="393"/>
      <c r="P275" s="394"/>
      <c r="Q275" s="390"/>
      <c r="R275" s="390"/>
      <c r="S275" s="413"/>
      <c r="T275" s="395"/>
      <c r="U275" s="413"/>
      <c r="V275" s="393"/>
      <c r="W275" s="393"/>
      <c r="X275" s="393"/>
      <c r="Y275" s="391"/>
      <c r="Z275" s="391"/>
      <c r="AA275" s="414"/>
      <c r="AB275" s="398"/>
      <c r="AC275" s="415"/>
      <c r="AD275" s="514"/>
      <c r="AE275" s="391"/>
      <c r="AF275" s="398"/>
      <c r="AG275" s="398"/>
      <c r="AH275" s="390"/>
      <c r="AI275" s="391"/>
      <c r="AJ275" s="398"/>
      <c r="AK275" s="398"/>
      <c r="AL275" s="398"/>
      <c r="AM275" s="398"/>
      <c r="AN275" s="398"/>
      <c r="AO275" s="417"/>
      <c r="AP275" s="417"/>
      <c r="AQ275" s="417"/>
      <c r="AR275" s="417"/>
      <c r="AS275" s="417"/>
      <c r="AT275" s="417"/>
      <c r="AU275" s="215"/>
      <c r="AV275" s="445"/>
      <c r="AW275" s="445"/>
      <c r="AX275" s="445"/>
      <c r="AY275" s="445"/>
      <c r="AZ275" s="445"/>
      <c r="BA275" s="445"/>
    </row>
    <row r="276" s="184" customFormat="1" ht="39" customHeight="1" spans="1:53">
      <c r="A276" s="411"/>
      <c r="B276" s="390"/>
      <c r="C276" s="390"/>
      <c r="D276" s="391"/>
      <c r="E276" s="392"/>
      <c r="F276" s="392"/>
      <c r="G276" s="391"/>
      <c r="H276" s="391"/>
      <c r="I276" s="391"/>
      <c r="J276" s="391"/>
      <c r="K276" s="391"/>
      <c r="L276" s="391"/>
      <c r="M276" s="393"/>
      <c r="N276" s="393"/>
      <c r="O276" s="393"/>
      <c r="P276" s="394"/>
      <c r="Q276" s="390"/>
      <c r="R276" s="390"/>
      <c r="S276" s="413"/>
      <c r="T276" s="395"/>
      <c r="U276" s="413"/>
      <c r="V276" s="393"/>
      <c r="W276" s="393"/>
      <c r="X276" s="393"/>
      <c r="Y276" s="391"/>
      <c r="Z276" s="391"/>
      <c r="AA276" s="414"/>
      <c r="AB276" s="398"/>
      <c r="AC276" s="415"/>
      <c r="AD276" s="514"/>
      <c r="AE276" s="391"/>
      <c r="AF276" s="398"/>
      <c r="AG276" s="398"/>
      <c r="AH276" s="390"/>
      <c r="AI276" s="391"/>
      <c r="AJ276" s="398"/>
      <c r="AK276" s="398"/>
      <c r="AL276" s="398"/>
      <c r="AM276" s="398"/>
      <c r="AN276" s="398"/>
      <c r="AO276" s="417"/>
      <c r="AP276" s="417"/>
      <c r="AQ276" s="417"/>
      <c r="AR276" s="417"/>
      <c r="AS276" s="417"/>
      <c r="AT276" s="417"/>
      <c r="AU276" s="215"/>
      <c r="AV276" s="445"/>
      <c r="AW276" s="445"/>
      <c r="AX276" s="445"/>
      <c r="AY276" s="445"/>
      <c r="AZ276" s="445"/>
      <c r="BA276" s="445"/>
    </row>
    <row r="277" s="184" customFormat="1" ht="39" customHeight="1" spans="1:53">
      <c r="A277" s="411"/>
      <c r="B277" s="390"/>
      <c r="C277" s="390"/>
      <c r="D277" s="391"/>
      <c r="E277" s="392"/>
      <c r="F277" s="392"/>
      <c r="G277" s="391"/>
      <c r="H277" s="391"/>
      <c r="I277" s="391"/>
      <c r="J277" s="391"/>
      <c r="K277" s="391"/>
      <c r="L277" s="391"/>
      <c r="M277" s="393"/>
      <c r="N277" s="393"/>
      <c r="O277" s="393"/>
      <c r="P277" s="394"/>
      <c r="Q277" s="390"/>
      <c r="R277" s="390"/>
      <c r="S277" s="413"/>
      <c r="T277" s="395"/>
      <c r="U277" s="413"/>
      <c r="V277" s="393"/>
      <c r="W277" s="393"/>
      <c r="X277" s="393"/>
      <c r="Y277" s="391"/>
      <c r="Z277" s="391"/>
      <c r="AA277" s="414"/>
      <c r="AB277" s="398"/>
      <c r="AC277" s="415"/>
      <c r="AD277" s="514"/>
      <c r="AE277" s="391"/>
      <c r="AF277" s="398"/>
      <c r="AG277" s="398"/>
      <c r="AH277" s="390"/>
      <c r="AI277" s="391"/>
      <c r="AJ277" s="398"/>
      <c r="AK277" s="398"/>
      <c r="AL277" s="398"/>
      <c r="AM277" s="398"/>
      <c r="AN277" s="398"/>
      <c r="AO277" s="417"/>
      <c r="AP277" s="417"/>
      <c r="AQ277" s="417"/>
      <c r="AR277" s="417"/>
      <c r="AS277" s="417"/>
      <c r="AT277" s="417"/>
      <c r="AU277" s="215"/>
      <c r="AV277" s="445"/>
      <c r="AW277" s="445"/>
      <c r="AX277" s="445"/>
      <c r="AY277" s="445"/>
      <c r="AZ277" s="445"/>
      <c r="BA277" s="445"/>
    </row>
    <row r="278" s="184" customFormat="1" ht="39" customHeight="1" spans="1:53">
      <c r="A278" s="411"/>
      <c r="B278" s="390"/>
      <c r="C278" s="390"/>
      <c r="D278" s="391"/>
      <c r="E278" s="392"/>
      <c r="F278" s="392"/>
      <c r="G278" s="391"/>
      <c r="H278" s="391"/>
      <c r="I278" s="391"/>
      <c r="J278" s="391"/>
      <c r="K278" s="391"/>
      <c r="L278" s="391"/>
      <c r="M278" s="393"/>
      <c r="N278" s="393"/>
      <c r="O278" s="393"/>
      <c r="P278" s="394"/>
      <c r="Q278" s="390"/>
      <c r="R278" s="390"/>
      <c r="S278" s="413"/>
      <c r="T278" s="395"/>
      <c r="U278" s="413"/>
      <c r="V278" s="393"/>
      <c r="W278" s="393"/>
      <c r="X278" s="393"/>
      <c r="Y278" s="391"/>
      <c r="Z278" s="391"/>
      <c r="AA278" s="414"/>
      <c r="AB278" s="398"/>
      <c r="AC278" s="415"/>
      <c r="AD278" s="514"/>
      <c r="AE278" s="391"/>
      <c r="AF278" s="398"/>
      <c r="AG278" s="398"/>
      <c r="AH278" s="390"/>
      <c r="AI278" s="391"/>
      <c r="AJ278" s="398"/>
      <c r="AK278" s="398"/>
      <c r="AL278" s="398"/>
      <c r="AM278" s="398"/>
      <c r="AN278" s="398"/>
      <c r="AO278" s="417"/>
      <c r="AP278" s="417"/>
      <c r="AQ278" s="417"/>
      <c r="AR278" s="417"/>
      <c r="AS278" s="417"/>
      <c r="AT278" s="417"/>
      <c r="AU278" s="215"/>
      <c r="AV278" s="445"/>
      <c r="AW278" s="445"/>
      <c r="AX278" s="445"/>
      <c r="AY278" s="445"/>
      <c r="AZ278" s="445"/>
      <c r="BA278" s="445"/>
    </row>
    <row r="279" s="184" customFormat="1" ht="39" customHeight="1" spans="1:53">
      <c r="A279" s="411"/>
      <c r="B279" s="390"/>
      <c r="C279" s="390"/>
      <c r="D279" s="391"/>
      <c r="E279" s="392"/>
      <c r="F279" s="392"/>
      <c r="G279" s="391"/>
      <c r="H279" s="391"/>
      <c r="I279" s="391"/>
      <c r="J279" s="391"/>
      <c r="K279" s="391"/>
      <c r="L279" s="391"/>
      <c r="M279" s="393"/>
      <c r="N279" s="393"/>
      <c r="O279" s="393"/>
      <c r="P279" s="394"/>
      <c r="Q279" s="390"/>
      <c r="R279" s="390"/>
      <c r="S279" s="413"/>
      <c r="T279" s="395"/>
      <c r="U279" s="413"/>
      <c r="V279" s="393"/>
      <c r="W279" s="393"/>
      <c r="X279" s="393"/>
      <c r="Y279" s="391"/>
      <c r="Z279" s="391"/>
      <c r="AA279" s="414"/>
      <c r="AB279" s="398"/>
      <c r="AC279" s="415"/>
      <c r="AD279" s="514"/>
      <c r="AE279" s="391"/>
      <c r="AF279" s="398"/>
      <c r="AG279" s="398"/>
      <c r="AH279" s="390"/>
      <c r="AI279" s="391"/>
      <c r="AJ279" s="398"/>
      <c r="AK279" s="398"/>
      <c r="AL279" s="398"/>
      <c r="AM279" s="398"/>
      <c r="AN279" s="398"/>
      <c r="AO279" s="417"/>
      <c r="AP279" s="417"/>
      <c r="AQ279" s="417"/>
      <c r="AR279" s="417"/>
      <c r="AS279" s="417"/>
      <c r="AT279" s="417"/>
      <c r="AU279" s="215"/>
      <c r="AV279" s="445"/>
      <c r="AW279" s="445"/>
      <c r="AX279" s="445"/>
      <c r="AY279" s="445"/>
      <c r="AZ279" s="445"/>
      <c r="BA279" s="445"/>
    </row>
    <row r="280" s="184" customFormat="1" ht="39" customHeight="1" spans="1:53">
      <c r="A280" s="411"/>
      <c r="B280" s="390"/>
      <c r="C280" s="390"/>
      <c r="D280" s="391"/>
      <c r="E280" s="392"/>
      <c r="F280" s="392"/>
      <c r="G280" s="391"/>
      <c r="H280" s="391"/>
      <c r="I280" s="391"/>
      <c r="J280" s="391"/>
      <c r="K280" s="391"/>
      <c r="L280" s="391"/>
      <c r="M280" s="393"/>
      <c r="N280" s="393"/>
      <c r="O280" s="393"/>
      <c r="P280" s="394"/>
      <c r="Q280" s="390"/>
      <c r="R280" s="390"/>
      <c r="S280" s="413"/>
      <c r="T280" s="395"/>
      <c r="U280" s="413"/>
      <c r="V280" s="393"/>
      <c r="W280" s="393"/>
      <c r="X280" s="393"/>
      <c r="Y280" s="391"/>
      <c r="Z280" s="391"/>
      <c r="AA280" s="414"/>
      <c r="AB280" s="398"/>
      <c r="AC280" s="415"/>
      <c r="AD280" s="514"/>
      <c r="AE280" s="391"/>
      <c r="AF280" s="398"/>
      <c r="AG280" s="398"/>
      <c r="AH280" s="390"/>
      <c r="AI280" s="391"/>
      <c r="AJ280" s="398"/>
      <c r="AK280" s="398"/>
      <c r="AL280" s="398"/>
      <c r="AM280" s="398"/>
      <c r="AN280" s="398"/>
      <c r="AO280" s="417"/>
      <c r="AP280" s="417"/>
      <c r="AQ280" s="417"/>
      <c r="AR280" s="417"/>
      <c r="AS280" s="417"/>
      <c r="AT280" s="417"/>
      <c r="AU280" s="215"/>
      <c r="AV280" s="445"/>
      <c r="AW280" s="445"/>
      <c r="AX280" s="445"/>
      <c r="AY280" s="445"/>
      <c r="AZ280" s="445"/>
      <c r="BA280" s="445"/>
    </row>
    <row r="281" s="184" customFormat="1" ht="39" customHeight="1" spans="1:53">
      <c r="A281" s="411"/>
      <c r="B281" s="390"/>
      <c r="C281" s="390"/>
      <c r="D281" s="391"/>
      <c r="E281" s="392"/>
      <c r="F281" s="392"/>
      <c r="G281" s="391"/>
      <c r="H281" s="391"/>
      <c r="I281" s="391"/>
      <c r="J281" s="391"/>
      <c r="K281" s="391"/>
      <c r="L281" s="391"/>
      <c r="M281" s="393"/>
      <c r="N281" s="393"/>
      <c r="O281" s="393"/>
      <c r="P281" s="394"/>
      <c r="Q281" s="390"/>
      <c r="R281" s="390"/>
      <c r="S281" s="413"/>
      <c r="T281" s="395"/>
      <c r="U281" s="413"/>
      <c r="V281" s="393"/>
      <c r="W281" s="393"/>
      <c r="X281" s="393"/>
      <c r="Y281" s="391"/>
      <c r="Z281" s="391"/>
      <c r="AA281" s="414"/>
      <c r="AB281" s="398"/>
      <c r="AC281" s="415"/>
      <c r="AD281" s="514"/>
      <c r="AE281" s="391"/>
      <c r="AF281" s="398"/>
      <c r="AG281" s="398"/>
      <c r="AH281" s="390"/>
      <c r="AI281" s="391"/>
      <c r="AJ281" s="398"/>
      <c r="AK281" s="398"/>
      <c r="AL281" s="398"/>
      <c r="AM281" s="398"/>
      <c r="AN281" s="398"/>
      <c r="AO281" s="417"/>
      <c r="AP281" s="417"/>
      <c r="AQ281" s="417"/>
      <c r="AR281" s="417"/>
      <c r="AS281" s="417"/>
      <c r="AT281" s="417"/>
      <c r="AU281" s="215"/>
      <c r="AV281" s="445"/>
      <c r="AW281" s="445"/>
      <c r="AX281" s="445"/>
      <c r="AY281" s="445"/>
      <c r="AZ281" s="445"/>
      <c r="BA281" s="445"/>
    </row>
    <row r="282" s="184" customFormat="1" ht="39" customHeight="1" spans="1:53">
      <c r="A282" s="411"/>
      <c r="B282" s="390"/>
      <c r="C282" s="390"/>
      <c r="D282" s="391"/>
      <c r="E282" s="392"/>
      <c r="F282" s="392"/>
      <c r="G282" s="391"/>
      <c r="H282" s="391"/>
      <c r="I282" s="391"/>
      <c r="J282" s="391"/>
      <c r="K282" s="391"/>
      <c r="L282" s="391"/>
      <c r="M282" s="393"/>
      <c r="N282" s="393"/>
      <c r="O282" s="393"/>
      <c r="P282" s="394"/>
      <c r="Q282" s="390"/>
      <c r="R282" s="390"/>
      <c r="S282" s="413"/>
      <c r="T282" s="395"/>
      <c r="U282" s="413"/>
      <c r="V282" s="393"/>
      <c r="W282" s="393"/>
      <c r="X282" s="393"/>
      <c r="Y282" s="391"/>
      <c r="Z282" s="391"/>
      <c r="AA282" s="414"/>
      <c r="AB282" s="398"/>
      <c r="AC282" s="415"/>
      <c r="AD282" s="514"/>
      <c r="AE282" s="391"/>
      <c r="AF282" s="398"/>
      <c r="AG282" s="398"/>
      <c r="AH282" s="390"/>
      <c r="AI282" s="391"/>
      <c r="AJ282" s="398"/>
      <c r="AK282" s="398"/>
      <c r="AL282" s="398"/>
      <c r="AM282" s="398"/>
      <c r="AN282" s="398"/>
      <c r="AO282" s="417"/>
      <c r="AP282" s="417"/>
      <c r="AQ282" s="417"/>
      <c r="AR282" s="417"/>
      <c r="AS282" s="417"/>
      <c r="AT282" s="417"/>
      <c r="AU282" s="215"/>
      <c r="AV282" s="445"/>
      <c r="AW282" s="445"/>
      <c r="AX282" s="445"/>
      <c r="AY282" s="445"/>
      <c r="AZ282" s="445"/>
      <c r="BA282" s="445"/>
    </row>
    <row r="283" s="184" customFormat="1" ht="39" customHeight="1" spans="1:53">
      <c r="A283" s="411"/>
      <c r="B283" s="390"/>
      <c r="C283" s="390"/>
      <c r="D283" s="391"/>
      <c r="E283" s="392"/>
      <c r="F283" s="392"/>
      <c r="G283" s="391"/>
      <c r="H283" s="391"/>
      <c r="I283" s="391"/>
      <c r="J283" s="391"/>
      <c r="K283" s="391"/>
      <c r="L283" s="391"/>
      <c r="M283" s="393"/>
      <c r="N283" s="393"/>
      <c r="O283" s="393"/>
      <c r="P283" s="394"/>
      <c r="Q283" s="390"/>
      <c r="R283" s="390"/>
      <c r="S283" s="413"/>
      <c r="T283" s="395"/>
      <c r="U283" s="413"/>
      <c r="V283" s="393"/>
      <c r="W283" s="393"/>
      <c r="X283" s="393"/>
      <c r="Y283" s="391"/>
      <c r="Z283" s="391"/>
      <c r="AA283" s="414"/>
      <c r="AB283" s="398"/>
      <c r="AC283" s="415"/>
      <c r="AD283" s="514"/>
      <c r="AE283" s="391"/>
      <c r="AF283" s="398"/>
      <c r="AG283" s="398"/>
      <c r="AH283" s="390"/>
      <c r="AI283" s="391"/>
      <c r="AJ283" s="398"/>
      <c r="AK283" s="398"/>
      <c r="AL283" s="398"/>
      <c r="AM283" s="398"/>
      <c r="AN283" s="398"/>
      <c r="AO283" s="417"/>
      <c r="AP283" s="417"/>
      <c r="AQ283" s="417"/>
      <c r="AR283" s="417"/>
      <c r="AS283" s="417"/>
      <c r="AT283" s="417"/>
      <c r="AU283" s="215"/>
      <c r="AV283" s="445"/>
      <c r="AW283" s="445"/>
      <c r="AX283" s="445"/>
      <c r="AY283" s="445"/>
      <c r="AZ283" s="445"/>
      <c r="BA283" s="445"/>
    </row>
    <row r="284" s="184" customFormat="1" ht="39" customHeight="1" spans="1:53">
      <c r="A284" s="411"/>
      <c r="B284" s="390"/>
      <c r="C284" s="390"/>
      <c r="D284" s="391"/>
      <c r="E284" s="392"/>
      <c r="F284" s="392"/>
      <c r="G284" s="391"/>
      <c r="H284" s="391"/>
      <c r="I284" s="391"/>
      <c r="J284" s="391"/>
      <c r="K284" s="391"/>
      <c r="L284" s="391"/>
      <c r="M284" s="393"/>
      <c r="N284" s="393"/>
      <c r="O284" s="393"/>
      <c r="P284" s="394"/>
      <c r="Q284" s="390"/>
      <c r="R284" s="390"/>
      <c r="S284" s="413"/>
      <c r="T284" s="395"/>
      <c r="U284" s="413"/>
      <c r="V284" s="393"/>
      <c r="W284" s="393"/>
      <c r="X284" s="393"/>
      <c r="Y284" s="391"/>
      <c r="Z284" s="391"/>
      <c r="AA284" s="414"/>
      <c r="AB284" s="398"/>
      <c r="AC284" s="415"/>
      <c r="AD284" s="514"/>
      <c r="AE284" s="391"/>
      <c r="AF284" s="398"/>
      <c r="AG284" s="398"/>
      <c r="AH284" s="390"/>
      <c r="AI284" s="391"/>
      <c r="AJ284" s="398"/>
      <c r="AK284" s="398"/>
      <c r="AL284" s="398"/>
      <c r="AM284" s="398"/>
      <c r="AN284" s="398"/>
      <c r="AO284" s="417"/>
      <c r="AP284" s="417"/>
      <c r="AQ284" s="417"/>
      <c r="AR284" s="417"/>
      <c r="AS284" s="417"/>
      <c r="AT284" s="417"/>
      <c r="AU284" s="215"/>
      <c r="AV284" s="445"/>
      <c r="AW284" s="445"/>
      <c r="AX284" s="445"/>
      <c r="AY284" s="445"/>
      <c r="AZ284" s="445"/>
      <c r="BA284" s="445"/>
    </row>
    <row r="285" s="184" customFormat="1" ht="39" customHeight="1" spans="1:53">
      <c r="A285" s="411"/>
      <c r="B285" s="390"/>
      <c r="C285" s="390"/>
      <c r="D285" s="391"/>
      <c r="E285" s="392"/>
      <c r="F285" s="392"/>
      <c r="G285" s="391"/>
      <c r="H285" s="391"/>
      <c r="I285" s="391"/>
      <c r="J285" s="391"/>
      <c r="K285" s="391"/>
      <c r="L285" s="391"/>
      <c r="M285" s="393"/>
      <c r="N285" s="393"/>
      <c r="O285" s="393"/>
      <c r="P285" s="394"/>
      <c r="Q285" s="390"/>
      <c r="R285" s="390"/>
      <c r="S285" s="413"/>
      <c r="T285" s="395"/>
      <c r="U285" s="413"/>
      <c r="V285" s="393"/>
      <c r="W285" s="393"/>
      <c r="X285" s="393"/>
      <c r="Y285" s="391"/>
      <c r="Z285" s="391"/>
      <c r="AA285" s="414"/>
      <c r="AB285" s="398"/>
      <c r="AC285" s="415"/>
      <c r="AD285" s="514"/>
      <c r="AE285" s="391"/>
      <c r="AF285" s="398"/>
      <c r="AG285" s="398"/>
      <c r="AH285" s="390"/>
      <c r="AI285" s="391"/>
      <c r="AJ285" s="398"/>
      <c r="AK285" s="398"/>
      <c r="AL285" s="398"/>
      <c r="AM285" s="398"/>
      <c r="AN285" s="398"/>
      <c r="AO285" s="417"/>
      <c r="AP285" s="417"/>
      <c r="AQ285" s="417"/>
      <c r="AR285" s="417"/>
      <c r="AS285" s="417"/>
      <c r="AT285" s="417"/>
      <c r="AU285" s="215"/>
      <c r="AV285" s="445"/>
      <c r="AW285" s="445"/>
      <c r="AX285" s="445"/>
      <c r="AY285" s="445"/>
      <c r="AZ285" s="445"/>
      <c r="BA285" s="445"/>
    </row>
    <row r="286" s="184" customFormat="1" ht="39" customHeight="1" spans="1:53">
      <c r="A286" s="411"/>
      <c r="B286" s="390"/>
      <c r="C286" s="390"/>
      <c r="D286" s="391"/>
      <c r="E286" s="392"/>
      <c r="F286" s="392"/>
      <c r="G286" s="391"/>
      <c r="H286" s="391"/>
      <c r="I286" s="391"/>
      <c r="J286" s="391"/>
      <c r="K286" s="391"/>
      <c r="L286" s="391"/>
      <c r="M286" s="393"/>
      <c r="N286" s="393"/>
      <c r="O286" s="393"/>
      <c r="P286" s="394"/>
      <c r="Q286" s="390"/>
      <c r="R286" s="390"/>
      <c r="S286" s="413"/>
      <c r="T286" s="395"/>
      <c r="U286" s="413"/>
      <c r="V286" s="393"/>
      <c r="W286" s="393"/>
      <c r="X286" s="393"/>
      <c r="Y286" s="391"/>
      <c r="Z286" s="391"/>
      <c r="AA286" s="414"/>
      <c r="AB286" s="398"/>
      <c r="AC286" s="415"/>
      <c r="AD286" s="514"/>
      <c r="AE286" s="391"/>
      <c r="AF286" s="398"/>
      <c r="AG286" s="398"/>
      <c r="AH286" s="390"/>
      <c r="AI286" s="391"/>
      <c r="AJ286" s="398"/>
      <c r="AK286" s="398"/>
      <c r="AL286" s="398"/>
      <c r="AM286" s="398"/>
      <c r="AN286" s="398"/>
      <c r="AO286" s="417"/>
      <c r="AP286" s="417"/>
      <c r="AQ286" s="417"/>
      <c r="AR286" s="417"/>
      <c r="AS286" s="417"/>
      <c r="AT286" s="417"/>
      <c r="AU286" s="215"/>
      <c r="AV286" s="445"/>
      <c r="AW286" s="445"/>
      <c r="AX286" s="445"/>
      <c r="AY286" s="445"/>
      <c r="AZ286" s="445"/>
      <c r="BA286" s="445"/>
    </row>
    <row r="287" s="184" customFormat="1" ht="39" customHeight="1" spans="1:53">
      <c r="A287" s="411"/>
      <c r="B287" s="390"/>
      <c r="C287" s="390"/>
      <c r="D287" s="391"/>
      <c r="E287" s="392"/>
      <c r="F287" s="392"/>
      <c r="G287" s="391"/>
      <c r="H287" s="391"/>
      <c r="I287" s="391"/>
      <c r="J287" s="391"/>
      <c r="K287" s="391"/>
      <c r="L287" s="391"/>
      <c r="M287" s="393"/>
      <c r="N287" s="393"/>
      <c r="O287" s="393"/>
      <c r="P287" s="394"/>
      <c r="Q287" s="390"/>
      <c r="R287" s="390"/>
      <c r="S287" s="413"/>
      <c r="T287" s="395"/>
      <c r="U287" s="413"/>
      <c r="V287" s="393"/>
      <c r="W287" s="393"/>
      <c r="X287" s="393"/>
      <c r="Y287" s="391"/>
      <c r="Z287" s="391"/>
      <c r="AA287" s="414"/>
      <c r="AB287" s="398"/>
      <c r="AC287" s="415"/>
      <c r="AD287" s="514"/>
      <c r="AE287" s="391"/>
      <c r="AF287" s="398"/>
      <c r="AG287" s="398"/>
      <c r="AH287" s="390"/>
      <c r="AI287" s="391"/>
      <c r="AJ287" s="398"/>
      <c r="AK287" s="398"/>
      <c r="AL287" s="398"/>
      <c r="AM287" s="398"/>
      <c r="AN287" s="398"/>
      <c r="AO287" s="417"/>
      <c r="AP287" s="417"/>
      <c r="AQ287" s="417"/>
      <c r="AR287" s="417"/>
      <c r="AS287" s="417"/>
      <c r="AT287" s="417"/>
      <c r="AU287" s="215"/>
      <c r="AV287" s="445"/>
      <c r="AW287" s="445"/>
      <c r="AX287" s="445"/>
      <c r="AY287" s="445"/>
      <c r="AZ287" s="445"/>
      <c r="BA287" s="445"/>
    </row>
    <row r="288" s="184" customFormat="1" ht="39" customHeight="1" spans="1:53">
      <c r="A288" s="411"/>
      <c r="B288" s="390"/>
      <c r="C288" s="390"/>
      <c r="D288" s="391"/>
      <c r="E288" s="392"/>
      <c r="F288" s="392"/>
      <c r="G288" s="391"/>
      <c r="H288" s="391"/>
      <c r="I288" s="391"/>
      <c r="J288" s="391"/>
      <c r="K288" s="391"/>
      <c r="L288" s="391"/>
      <c r="M288" s="393"/>
      <c r="N288" s="393"/>
      <c r="O288" s="393"/>
      <c r="P288" s="394"/>
      <c r="Q288" s="390"/>
      <c r="R288" s="390"/>
      <c r="S288" s="413"/>
      <c r="T288" s="395"/>
      <c r="U288" s="413"/>
      <c r="V288" s="393"/>
      <c r="W288" s="393"/>
      <c r="X288" s="393"/>
      <c r="Y288" s="391"/>
      <c r="Z288" s="391"/>
      <c r="AA288" s="414"/>
      <c r="AB288" s="398"/>
      <c r="AC288" s="415"/>
      <c r="AD288" s="514"/>
      <c r="AE288" s="391"/>
      <c r="AF288" s="398"/>
      <c r="AG288" s="398"/>
      <c r="AH288" s="390"/>
      <c r="AI288" s="391"/>
      <c r="AJ288" s="398"/>
      <c r="AK288" s="398"/>
      <c r="AL288" s="398"/>
      <c r="AM288" s="398"/>
      <c r="AN288" s="398"/>
      <c r="AO288" s="417"/>
      <c r="AP288" s="417"/>
      <c r="AQ288" s="417"/>
      <c r="AR288" s="417"/>
      <c r="AS288" s="417"/>
      <c r="AT288" s="417"/>
      <c r="AU288" s="215"/>
      <c r="AV288" s="445"/>
      <c r="AW288" s="445"/>
      <c r="AX288" s="445"/>
      <c r="AY288" s="445"/>
      <c r="AZ288" s="445"/>
      <c r="BA288" s="445"/>
    </row>
    <row r="289" s="184" customFormat="1" ht="39" customHeight="1" spans="1:53">
      <c r="A289" s="411"/>
      <c r="B289" s="390"/>
      <c r="C289" s="390"/>
      <c r="D289" s="391"/>
      <c r="E289" s="392"/>
      <c r="F289" s="392"/>
      <c r="G289" s="391"/>
      <c r="H289" s="391"/>
      <c r="I289" s="391"/>
      <c r="J289" s="391"/>
      <c r="K289" s="391"/>
      <c r="L289" s="391"/>
      <c r="M289" s="393"/>
      <c r="N289" s="393"/>
      <c r="O289" s="393"/>
      <c r="P289" s="394"/>
      <c r="Q289" s="390"/>
      <c r="R289" s="390"/>
      <c r="S289" s="413"/>
      <c r="T289" s="395"/>
      <c r="U289" s="413"/>
      <c r="V289" s="393"/>
      <c r="W289" s="393"/>
      <c r="X289" s="393"/>
      <c r="Y289" s="391"/>
      <c r="Z289" s="391"/>
      <c r="AA289" s="414"/>
      <c r="AB289" s="398"/>
      <c r="AC289" s="415"/>
      <c r="AD289" s="514"/>
      <c r="AE289" s="391"/>
      <c r="AF289" s="398"/>
      <c r="AG289" s="398"/>
      <c r="AH289" s="390"/>
      <c r="AI289" s="391"/>
      <c r="AJ289" s="398"/>
      <c r="AK289" s="398"/>
      <c r="AL289" s="398"/>
      <c r="AM289" s="398"/>
      <c r="AN289" s="398"/>
      <c r="AO289" s="417"/>
      <c r="AP289" s="417"/>
      <c r="AQ289" s="417"/>
      <c r="AR289" s="417"/>
      <c r="AS289" s="417"/>
      <c r="AT289" s="417"/>
      <c r="AU289" s="215"/>
      <c r="AV289" s="445"/>
      <c r="AW289" s="445"/>
      <c r="AX289" s="445"/>
      <c r="AY289" s="445"/>
      <c r="AZ289" s="445"/>
      <c r="BA289" s="445"/>
    </row>
    <row r="290" s="186" customFormat="1" ht="39" customHeight="1" spans="1:53">
      <c r="A290" s="515"/>
      <c r="B290" s="516"/>
      <c r="C290" s="517"/>
      <c r="D290" s="442"/>
      <c r="E290" s="518"/>
      <c r="F290" s="435"/>
      <c r="G290" s="435"/>
      <c r="H290" s="435"/>
      <c r="I290" s="435"/>
      <c r="J290" s="442"/>
      <c r="K290" s="442"/>
      <c r="L290" s="442"/>
      <c r="M290" s="519"/>
      <c r="N290" s="207"/>
      <c r="O290" s="207"/>
      <c r="P290" s="207"/>
      <c r="Q290" s="207"/>
      <c r="R290" s="207"/>
      <c r="S290" s="210"/>
      <c r="T290" s="210"/>
      <c r="U290" s="210"/>
      <c r="V290" s="207"/>
      <c r="W290" s="207"/>
      <c r="X290" s="207"/>
      <c r="Y290" s="520"/>
      <c r="Z290" s="435"/>
      <c r="AA290" s="521"/>
      <c r="AB290" s="522"/>
      <c r="AC290" s="523"/>
      <c r="AD290" s="442"/>
      <c r="AE290" s="442"/>
      <c r="AF290" s="442"/>
      <c r="AG290" s="442"/>
      <c r="AH290" s="517"/>
      <c r="AI290" s="517"/>
      <c r="AJ290" s="435"/>
      <c r="AK290" s="442"/>
      <c r="AL290" s="435"/>
      <c r="AM290" s="442"/>
      <c r="AN290" s="442"/>
      <c r="AO290" s="442"/>
      <c r="AP290" s="524"/>
      <c r="AQ290" s="525"/>
      <c r="AR290" s="526"/>
      <c r="AS290" s="526"/>
      <c r="AT290" s="526"/>
      <c r="AU290" s="442"/>
    </row>
    <row r="291" s="186" customFormat="1" ht="39" customHeight="1" spans="1:53">
      <c r="A291" s="515"/>
      <c r="B291" s="516"/>
      <c r="C291" s="517"/>
      <c r="D291" s="442"/>
      <c r="E291" s="518"/>
      <c r="F291" s="435"/>
      <c r="G291" s="435"/>
      <c r="H291" s="435"/>
      <c r="I291" s="435"/>
      <c r="J291" s="442"/>
      <c r="K291" s="442"/>
      <c r="L291" s="442"/>
      <c r="M291" s="519"/>
      <c r="N291" s="207"/>
      <c r="O291" s="207"/>
      <c r="P291" s="207"/>
      <c r="Q291" s="207"/>
      <c r="R291" s="207"/>
      <c r="S291" s="210"/>
      <c r="T291" s="210"/>
      <c r="U291" s="210"/>
      <c r="V291" s="207"/>
      <c r="W291" s="207"/>
      <c r="X291" s="207"/>
      <c r="Y291" s="520"/>
      <c r="Z291" s="435"/>
      <c r="AA291" s="521"/>
      <c r="AB291" s="522"/>
      <c r="AC291" s="523"/>
      <c r="AD291" s="442"/>
      <c r="AE291" s="442"/>
      <c r="AF291" s="442"/>
      <c r="AG291" s="442"/>
      <c r="AH291" s="517"/>
      <c r="AI291" s="517"/>
      <c r="AJ291" s="435"/>
      <c r="AK291" s="442"/>
      <c r="AL291" s="435"/>
      <c r="AM291" s="442"/>
      <c r="AN291" s="442"/>
      <c r="AO291" s="442"/>
      <c r="AP291" s="524"/>
      <c r="AQ291" s="525"/>
      <c r="AR291" s="526"/>
      <c r="AS291" s="526"/>
      <c r="AT291" s="526"/>
      <c r="AU291" s="442"/>
    </row>
    <row r="292" s="186" customFormat="1" ht="39" customHeight="1" spans="1:53">
      <c r="A292" s="515"/>
      <c r="B292" s="516"/>
      <c r="C292" s="517"/>
      <c r="D292" s="442"/>
      <c r="E292" s="518"/>
      <c r="F292" s="435"/>
      <c r="G292" s="435"/>
      <c r="H292" s="435"/>
      <c r="I292" s="435"/>
      <c r="J292" s="442"/>
      <c r="K292" s="442"/>
      <c r="L292" s="442"/>
      <c r="M292" s="519"/>
      <c r="N292" s="207"/>
      <c r="O292" s="207"/>
      <c r="P292" s="207"/>
      <c r="Q292" s="207"/>
      <c r="R292" s="207"/>
      <c r="S292" s="210"/>
      <c r="T292" s="210"/>
      <c r="U292" s="210"/>
      <c r="V292" s="207"/>
      <c r="W292" s="207"/>
      <c r="X292" s="207"/>
      <c r="Y292" s="520"/>
      <c r="Z292" s="435"/>
      <c r="AA292" s="521"/>
      <c r="AB292" s="522"/>
      <c r="AC292" s="523"/>
      <c r="AD292" s="442"/>
      <c r="AE292" s="442"/>
      <c r="AF292" s="442"/>
      <c r="AG292" s="442"/>
      <c r="AH292" s="517"/>
      <c r="AI292" s="517"/>
      <c r="AJ292" s="435"/>
      <c r="AK292" s="442"/>
      <c r="AL292" s="435"/>
      <c r="AM292" s="442"/>
      <c r="AN292" s="442"/>
      <c r="AO292" s="442"/>
      <c r="AP292" s="524"/>
      <c r="AQ292" s="525"/>
      <c r="AR292" s="526"/>
      <c r="AS292" s="526"/>
      <c r="AT292" s="526"/>
      <c r="AU292" s="442"/>
    </row>
    <row r="293" s="186" customFormat="1" ht="39" customHeight="1" spans="1:53">
      <c r="A293" s="515"/>
      <c r="B293" s="516"/>
      <c r="C293" s="517"/>
      <c r="D293" s="442"/>
      <c r="E293" s="518"/>
      <c r="F293" s="435"/>
      <c r="G293" s="435"/>
      <c r="H293" s="435"/>
      <c r="I293" s="435"/>
      <c r="J293" s="442"/>
      <c r="K293" s="442"/>
      <c r="L293" s="442"/>
      <c r="M293" s="519"/>
      <c r="N293" s="207"/>
      <c r="O293" s="207"/>
      <c r="P293" s="207"/>
      <c r="Q293" s="207"/>
      <c r="R293" s="207"/>
      <c r="S293" s="210"/>
      <c r="T293" s="210"/>
      <c r="U293" s="210"/>
      <c r="V293" s="207"/>
      <c r="W293" s="207"/>
      <c r="X293" s="207"/>
      <c r="Y293" s="520"/>
      <c r="Z293" s="435"/>
      <c r="AA293" s="521"/>
      <c r="AB293" s="522"/>
      <c r="AC293" s="523"/>
      <c r="AD293" s="442"/>
      <c r="AE293" s="442"/>
      <c r="AF293" s="442"/>
      <c r="AG293" s="442"/>
      <c r="AH293" s="517"/>
      <c r="AI293" s="517"/>
      <c r="AJ293" s="435"/>
      <c r="AK293" s="442"/>
      <c r="AL293" s="435"/>
      <c r="AM293" s="442"/>
      <c r="AN293" s="442"/>
      <c r="AO293" s="442"/>
      <c r="AP293" s="524"/>
      <c r="AQ293" s="525"/>
      <c r="AR293" s="526"/>
      <c r="AS293" s="526"/>
      <c r="AT293" s="526"/>
      <c r="AU293" s="442"/>
    </row>
    <row r="294" s="186" customFormat="1" ht="39" customHeight="1" spans="1:53">
      <c r="A294" s="515"/>
      <c r="B294" s="516"/>
      <c r="C294" s="517"/>
      <c r="D294" s="442"/>
      <c r="E294" s="518"/>
      <c r="F294" s="435"/>
      <c r="G294" s="435"/>
      <c r="H294" s="435"/>
      <c r="I294" s="435"/>
      <c r="J294" s="442"/>
      <c r="K294" s="442"/>
      <c r="L294" s="442"/>
      <c r="M294" s="519"/>
      <c r="N294" s="207"/>
      <c r="O294" s="207"/>
      <c r="P294" s="207"/>
      <c r="Q294" s="207"/>
      <c r="R294" s="207"/>
      <c r="S294" s="210"/>
      <c r="T294" s="210"/>
      <c r="U294" s="210"/>
      <c r="V294" s="207"/>
      <c r="W294" s="207"/>
      <c r="X294" s="207"/>
      <c r="Y294" s="520"/>
      <c r="Z294" s="435"/>
      <c r="AA294" s="521"/>
      <c r="AB294" s="522"/>
      <c r="AC294" s="523"/>
      <c r="AD294" s="442"/>
      <c r="AE294" s="442"/>
      <c r="AF294" s="442"/>
      <c r="AG294" s="442"/>
      <c r="AH294" s="517"/>
      <c r="AI294" s="517"/>
      <c r="AJ294" s="435"/>
      <c r="AK294" s="442"/>
      <c r="AL294" s="435"/>
      <c r="AM294" s="442"/>
      <c r="AN294" s="442"/>
      <c r="AO294" s="442"/>
      <c r="AP294" s="524"/>
      <c r="AQ294" s="525"/>
      <c r="AR294" s="526"/>
      <c r="AS294" s="526"/>
      <c r="AT294" s="526"/>
      <c r="AU294" s="442"/>
    </row>
    <row r="295" s="186" customFormat="1" ht="39" customHeight="1" spans="1:53">
      <c r="A295" s="515"/>
      <c r="B295" s="516"/>
      <c r="C295" s="517"/>
      <c r="D295" s="442"/>
      <c r="E295" s="518"/>
      <c r="F295" s="435"/>
      <c r="G295" s="435"/>
      <c r="H295" s="435"/>
      <c r="I295" s="435"/>
      <c r="J295" s="442"/>
      <c r="K295" s="442"/>
      <c r="L295" s="442"/>
      <c r="M295" s="519"/>
      <c r="N295" s="207"/>
      <c r="O295" s="207"/>
      <c r="P295" s="207"/>
      <c r="Q295" s="207"/>
      <c r="R295" s="207"/>
      <c r="S295" s="210"/>
      <c r="T295" s="210"/>
      <c r="U295" s="210"/>
      <c r="V295" s="207"/>
      <c r="W295" s="207"/>
      <c r="X295" s="207"/>
      <c r="Y295" s="520"/>
      <c r="Z295" s="435"/>
      <c r="AA295" s="521"/>
      <c r="AB295" s="522"/>
      <c r="AC295" s="523"/>
      <c r="AD295" s="442"/>
      <c r="AE295" s="442"/>
      <c r="AF295" s="442"/>
      <c r="AG295" s="442"/>
      <c r="AH295" s="517"/>
      <c r="AI295" s="517"/>
      <c r="AJ295" s="435"/>
      <c r="AK295" s="442"/>
      <c r="AL295" s="435"/>
      <c r="AM295" s="442"/>
      <c r="AN295" s="442"/>
      <c r="AO295" s="442"/>
      <c r="AP295" s="524"/>
      <c r="AQ295" s="525"/>
      <c r="AR295" s="526"/>
      <c r="AS295" s="526"/>
      <c r="AT295" s="526"/>
      <c r="AU295" s="442"/>
    </row>
    <row r="296" s="186" customFormat="1" ht="39" customHeight="1" spans="1:53">
      <c r="A296" s="515"/>
      <c r="B296" s="516"/>
      <c r="C296" s="517"/>
      <c r="D296" s="442"/>
      <c r="E296" s="435"/>
      <c r="F296" s="442"/>
      <c r="G296" s="435"/>
      <c r="H296" s="435"/>
      <c r="I296" s="435"/>
      <c r="J296" s="435"/>
      <c r="K296" s="442"/>
      <c r="L296" s="442"/>
      <c r="M296" s="519"/>
      <c r="N296" s="207"/>
      <c r="O296" s="207"/>
      <c r="P296" s="207"/>
      <c r="Q296" s="207"/>
      <c r="R296" s="207"/>
      <c r="S296" s="210"/>
      <c r="T296" s="210"/>
      <c r="U296" s="210"/>
      <c r="V296" s="207"/>
      <c r="W296" s="207"/>
      <c r="X296" s="207"/>
      <c r="Y296" s="435"/>
      <c r="Z296" s="435"/>
      <c r="AA296" s="521"/>
      <c r="AB296" s="522"/>
      <c r="AC296" s="527"/>
      <c r="AD296" s="442"/>
      <c r="AE296" s="442"/>
      <c r="AF296" s="442"/>
      <c r="AG296" s="442"/>
      <c r="AH296" s="517"/>
      <c r="AI296" s="517"/>
      <c r="AJ296" s="435"/>
      <c r="AK296" s="442"/>
      <c r="AL296" s="435"/>
      <c r="AM296" s="442"/>
      <c r="AN296" s="442"/>
      <c r="AO296" s="524"/>
      <c r="AP296" s="526"/>
      <c r="AQ296" s="525"/>
      <c r="AR296" s="526"/>
      <c r="AS296" s="526"/>
      <c r="AT296" s="526"/>
      <c r="AU296" s="442"/>
    </row>
    <row r="297" s="186" customFormat="1" ht="39" customHeight="1" spans="1:53">
      <c r="A297" s="528"/>
      <c r="B297" s="516"/>
      <c r="C297" s="529"/>
      <c r="D297" s="402"/>
      <c r="E297" s="402"/>
      <c r="F297" s="237"/>
      <c r="G297" s="400"/>
      <c r="H297" s="400"/>
      <c r="I297" s="402"/>
      <c r="J297" s="402"/>
      <c r="K297" s="402"/>
      <c r="L297" s="402"/>
      <c r="M297" s="530"/>
      <c r="N297" s="531"/>
      <c r="O297" s="531"/>
      <c r="P297" s="531"/>
      <c r="Q297" s="530"/>
      <c r="R297" s="530"/>
      <c r="S297" s="210"/>
      <c r="T297" s="210"/>
      <c r="U297" s="210"/>
      <c r="V297" s="531"/>
      <c r="W297" s="531"/>
      <c r="X297" s="531"/>
      <c r="Y297" s="400"/>
      <c r="Z297" s="400"/>
      <c r="AA297" s="521"/>
      <c r="AB297" s="522"/>
      <c r="AC297" s="523"/>
      <c r="AD297" s="402"/>
      <c r="AE297" s="402"/>
      <c r="AF297" s="442"/>
      <c r="AG297" s="402"/>
      <c r="AH297" s="529"/>
      <c r="AI297" s="529"/>
      <c r="AJ297" s="400"/>
      <c r="AK297" s="402"/>
      <c r="AL297" s="400"/>
      <c r="AM297" s="402"/>
      <c r="AN297" s="442"/>
      <c r="AO297" s="442"/>
      <c r="AP297" s="524"/>
      <c r="AQ297" s="525"/>
      <c r="AR297" s="526"/>
      <c r="AS297" s="526"/>
      <c r="AT297" s="526"/>
      <c r="AU297" s="442"/>
    </row>
    <row r="298" s="186" customFormat="1" ht="35" customHeight="1" spans="1:53">
      <c r="A298" s="515"/>
      <c r="B298" s="516"/>
      <c r="C298" s="517"/>
      <c r="D298" s="442"/>
      <c r="E298" s="442"/>
      <c r="F298" s="435"/>
      <c r="G298" s="435" t="s">
        <v>1152</v>
      </c>
      <c r="H298" s="435"/>
      <c r="I298" s="442">
        <f>SUM(I2:I297)</f>
        <v>185092</v>
      </c>
      <c r="J298" s="442"/>
      <c r="K298" s="442"/>
      <c r="L298" s="442">
        <f>SUM(L2:L297)</f>
        <v>91762</v>
      </c>
      <c r="M298" s="519"/>
      <c r="N298" s="207"/>
      <c r="O298" s="207"/>
      <c r="P298" s="207"/>
      <c r="Q298" s="519"/>
      <c r="R298" s="519"/>
      <c r="S298" s="210"/>
      <c r="T298" s="210"/>
      <c r="U298" s="210"/>
      <c r="V298" s="207"/>
      <c r="W298" s="207"/>
      <c r="X298" s="207"/>
      <c r="Y298" s="435"/>
      <c r="Z298" s="435"/>
      <c r="AA298" s="521"/>
      <c r="AB298" s="442">
        <f>SUM(AB2:AB297)</f>
        <v>1426722.95288</v>
      </c>
      <c r="AC298" s="523"/>
      <c r="AD298" s="442"/>
      <c r="AE298" s="442"/>
      <c r="AF298" s="442">
        <f>SUM(AF1:AF297)</f>
        <v>0</v>
      </c>
      <c r="AG298" s="442"/>
      <c r="AH298" s="517"/>
      <c r="AI298" s="517"/>
      <c r="AJ298" s="435"/>
      <c r="AK298" s="442"/>
      <c r="AL298" s="435"/>
      <c r="AM298" s="442"/>
      <c r="AN298" s="442"/>
      <c r="AO298" s="442">
        <f t="shared" ref="AO298:AU298" si="48">SUM(AO2:AO297)</f>
        <v>184592</v>
      </c>
      <c r="AP298" s="524">
        <f t="shared" si="48"/>
        <v>148256</v>
      </c>
      <c r="AQ298" s="524">
        <f t="shared" si="48"/>
        <v>36304</v>
      </c>
      <c r="AR298" s="524">
        <f t="shared" si="48"/>
        <v>69892</v>
      </c>
      <c r="AS298" s="524">
        <f t="shared" si="48"/>
        <v>95732</v>
      </c>
      <c r="AT298" s="524">
        <f t="shared" si="48"/>
        <v>10668</v>
      </c>
      <c r="AU298" s="524">
        <f t="shared" si="48"/>
        <v>8440</v>
      </c>
    </row>
    <row r="299" s="186" customFormat="1" ht="39" customHeight="1" spans="1:53">
      <c r="A299" s="528"/>
      <c r="B299" s="516"/>
      <c r="C299" s="529"/>
      <c r="D299" s="402"/>
      <c r="E299" s="402"/>
      <c r="F299" s="400"/>
      <c r="G299" s="400"/>
      <c r="H299" s="435"/>
      <c r="I299" s="400"/>
      <c r="J299" s="402"/>
      <c r="K299" s="402"/>
      <c r="L299" s="402"/>
      <c r="M299" s="530"/>
      <c r="N299" s="531"/>
      <c r="O299" s="531"/>
      <c r="P299" s="531"/>
      <c r="Q299" s="530"/>
      <c r="R299" s="530"/>
      <c r="S299" s="210"/>
      <c r="T299" s="210"/>
      <c r="U299" s="210"/>
      <c r="V299" s="531"/>
      <c r="W299" s="531"/>
      <c r="X299" s="532"/>
      <c r="Y299" s="533"/>
      <c r="Z299" s="435"/>
      <c r="AA299" s="534"/>
      <c r="AB299" s="535"/>
      <c r="AC299" s="536"/>
      <c r="AD299" s="402"/>
      <c r="AE299" s="402"/>
      <c r="AF299" s="442"/>
      <c r="AG299" s="402"/>
      <c r="AH299" s="529"/>
      <c r="AI299" s="529"/>
      <c r="AJ299" s="400"/>
      <c r="AK299" s="402"/>
      <c r="AL299" s="400"/>
      <c r="AM299" s="442"/>
      <c r="AN299" s="442"/>
      <c r="AO299" s="442"/>
      <c r="AP299" s="442"/>
      <c r="AQ299" s="442"/>
      <c r="AR299" s="524"/>
      <c r="AS299" s="524"/>
      <c r="AT299" s="524"/>
      <c r="AU299" s="442"/>
    </row>
    <row r="300" s="186" customFormat="1" ht="39" customHeight="1" spans="1:53">
      <c r="A300" s="515"/>
      <c r="B300" s="537"/>
      <c r="C300" s="517"/>
      <c r="D300" s="442"/>
      <c r="E300" s="442"/>
      <c r="F300" s="435"/>
      <c r="G300" s="435"/>
      <c r="H300" s="435"/>
      <c r="I300" s="442"/>
      <c r="J300" s="442"/>
      <c r="K300" s="442"/>
      <c r="L300" s="442"/>
      <c r="M300" s="519"/>
      <c r="N300" s="207"/>
      <c r="O300" s="207"/>
      <c r="P300" s="207"/>
      <c r="Q300" s="519"/>
      <c r="R300" s="519"/>
      <c r="S300" s="210"/>
      <c r="T300" s="210"/>
      <c r="U300" s="210"/>
      <c r="V300" s="207"/>
      <c r="W300" s="207"/>
      <c r="X300" s="207"/>
      <c r="Y300" s="435"/>
      <c r="Z300" s="435"/>
      <c r="AA300" s="521"/>
      <c r="AB300" s="522"/>
      <c r="AC300" s="523"/>
      <c r="AD300" s="442"/>
      <c r="AE300" s="442"/>
      <c r="AF300" s="442"/>
      <c r="AG300" s="442"/>
      <c r="AH300" s="517"/>
      <c r="AI300" s="517"/>
      <c r="AJ300" s="435"/>
      <c r="AK300" s="442"/>
      <c r="AL300" s="435"/>
      <c r="AM300" s="442"/>
      <c r="AN300" s="442"/>
      <c r="AO300" s="442"/>
      <c r="AP300" s="442"/>
      <c r="AQ300" s="442"/>
      <c r="AR300" s="442"/>
      <c r="AS300" s="442"/>
      <c r="AT300" s="442"/>
      <c r="AU300" s="442"/>
    </row>
    <row r="301" s="186" customFormat="1" ht="39" customHeight="1" spans="1:53">
      <c r="A301" s="538"/>
      <c r="B301" s="188"/>
      <c r="D301" s="539"/>
      <c r="E301" s="539"/>
      <c r="F301" s="540"/>
      <c r="G301" s="540"/>
      <c r="H301" s="540"/>
      <c r="I301" s="539"/>
      <c r="J301" s="539"/>
      <c r="K301" s="539"/>
      <c r="L301" s="539"/>
      <c r="M301" s="541"/>
      <c r="N301" s="542"/>
      <c r="O301" s="542"/>
      <c r="P301" s="542"/>
      <c r="Q301" s="541"/>
      <c r="R301" s="541"/>
      <c r="S301" s="196"/>
      <c r="T301" s="196"/>
      <c r="U301" s="196"/>
      <c r="V301" s="542"/>
      <c r="W301" s="542"/>
      <c r="X301" s="542"/>
      <c r="Y301" s="540"/>
      <c r="Z301" s="540"/>
      <c r="AA301" s="543"/>
      <c r="AB301" s="544"/>
      <c r="AC301" s="545"/>
      <c r="AD301" s="539"/>
      <c r="AE301" s="539"/>
      <c r="AF301" s="539"/>
      <c r="AG301" s="539"/>
      <c r="AJ301" s="540"/>
      <c r="AK301" s="539"/>
      <c r="AL301" s="540"/>
      <c r="AM301" s="539"/>
      <c r="AN301" s="539"/>
      <c r="AO301" s="539"/>
      <c r="AP301" s="546"/>
      <c r="AQ301" s="200"/>
      <c r="AR301" s="547"/>
      <c r="AS301" s="547"/>
      <c r="AT301" s="547"/>
      <c r="AU301" s="539"/>
    </row>
    <row r="302" customHeight="1" spans="1:53">
      <c r="AC302" s="548"/>
    </row>
    <row r="303" customHeight="1" spans="1:53">
      <c r="J303" s="549" t="s">
        <v>1153</v>
      </c>
      <c r="AC303" s="548"/>
    </row>
  </sheetData>
  <sheetProtection formatCells="0" formatColumns="0" formatRows="0" insertRows="0" insertColumns="0" insertHyperlinks="0" deleteColumns="0" deleteRows="0" sort="0" autoFilter="0" pivotTables="0"/>
  <protectedRanges>
    <protectedRange sqref="$A1:$XFD1048576" name="Range1"/>
  </protectedRanges>
  <autoFilter xmlns:etc="http://www.wps.cn/officeDocument/2017/etCustomData" ref="A1:XFD303" etc:filterBottomFollowUsedRange="1">
    <sortState ref="1:303">
      <sortCondition ref="N1"/>
    </sortState>
    <extLst/>
  </autoFilter>
  <conditionalFormatting sqref="U96">
    <cfRule type="containsText" dxfId="0" priority="32" operator="between" text="欠">
      <formula>NOT(ISERROR(SEARCH("欠",U96)))</formula>
    </cfRule>
  </conditionalFormatting>
  <conditionalFormatting sqref="T101">
    <cfRule type="containsText" dxfId="0" priority="39" operator="between" text="欠">
      <formula>NOT(ISERROR(SEARCH("欠",T101)))</formula>
    </cfRule>
  </conditionalFormatting>
  <conditionalFormatting sqref="U101">
    <cfRule type="containsText" dxfId="0" priority="40" operator="between" text="欠">
      <formula>NOT(ISERROR(SEARCH("欠",U101)))</formula>
    </cfRule>
  </conditionalFormatting>
  <conditionalFormatting sqref="T106">
    <cfRule type="containsText" dxfId="0" priority="37" operator="between" text="欠">
      <formula>NOT(ISERROR(SEARCH("欠",T106)))</formula>
    </cfRule>
  </conditionalFormatting>
  <conditionalFormatting sqref="S122">
    <cfRule type="containsText" dxfId="0" priority="36" operator="between" text="欠">
      <formula>NOT(ISERROR(SEARCH("欠",S122)))</formula>
    </cfRule>
  </conditionalFormatting>
  <conditionalFormatting sqref="T122">
    <cfRule type="containsText" dxfId="0" priority="34" operator="between" text="欠">
      <formula>NOT(ISERROR(SEARCH("欠",T122)))</formula>
    </cfRule>
  </conditionalFormatting>
  <conditionalFormatting sqref="S127">
    <cfRule type="containsText" dxfId="0" priority="31" operator="between" text="欠">
      <formula>NOT(ISERROR(SEARCH("欠",S127)))</formula>
    </cfRule>
  </conditionalFormatting>
  <conditionalFormatting sqref="T127:U127">
    <cfRule type="containsText" dxfId="0" priority="21" operator="between" text="欠">
      <formula>NOT(ISERROR(SEARCH("欠",T127)))</formula>
    </cfRule>
  </conditionalFormatting>
  <conditionalFormatting sqref="S150">
    <cfRule type="containsText" dxfId="0" priority="18" operator="between" text="欠">
      <formula>NOT(ISERROR(SEARCH("欠",S150)))</formula>
    </cfRule>
  </conditionalFormatting>
  <conditionalFormatting sqref="S154">
    <cfRule type="containsText" dxfId="0" priority="16" operator="between" text="欠">
      <formula>NOT(ISERROR(SEARCH("欠",S154)))</formula>
    </cfRule>
  </conditionalFormatting>
  <conditionalFormatting sqref="T154">
    <cfRule type="containsText" dxfId="0" priority="8" operator="between" text="欠">
      <formula>NOT(ISERROR(SEARCH("欠",T154)))</formula>
    </cfRule>
  </conditionalFormatting>
  <conditionalFormatting sqref="U154">
    <cfRule type="containsText" dxfId="0" priority="4" operator="between" text="欠">
      <formula>NOT(ISERROR(SEARCH("欠",U154)))</formula>
    </cfRule>
  </conditionalFormatting>
  <conditionalFormatting sqref="S155">
    <cfRule type="containsText" dxfId="0" priority="15" operator="between" text="欠">
      <formula>NOT(ISERROR(SEARCH("欠",S155)))</formula>
    </cfRule>
  </conditionalFormatting>
  <conditionalFormatting sqref="T155">
    <cfRule type="containsText" dxfId="0" priority="7" operator="between" text="欠">
      <formula>NOT(ISERROR(SEARCH("欠",T155)))</formula>
    </cfRule>
  </conditionalFormatting>
  <conditionalFormatting sqref="U155">
    <cfRule type="containsText" dxfId="0" priority="3" operator="between" text="欠">
      <formula>NOT(ISERROR(SEARCH("欠",U155)))</formula>
    </cfRule>
  </conditionalFormatting>
  <conditionalFormatting sqref="S156">
    <cfRule type="containsText" dxfId="0" priority="14" operator="between" text="欠">
      <formula>NOT(ISERROR(SEARCH("欠",S156)))</formula>
    </cfRule>
  </conditionalFormatting>
  <conditionalFormatting sqref="T156">
    <cfRule type="containsText" dxfId="0" priority="6" operator="between" text="欠">
      <formula>NOT(ISERROR(SEARCH("欠",T156)))</formula>
    </cfRule>
  </conditionalFormatting>
  <conditionalFormatting sqref="U156">
    <cfRule type="containsText" dxfId="0" priority="2" operator="between" text="欠">
      <formula>NOT(ISERROR(SEARCH("欠",U156)))</formula>
    </cfRule>
  </conditionalFormatting>
  <conditionalFormatting sqref="S186">
    <cfRule type="containsText" dxfId="0" priority="30" operator="between" text="欠">
      <formula>NOT(ISERROR(SEARCH("欠",S186)))</formula>
    </cfRule>
  </conditionalFormatting>
  <conditionalFormatting sqref="S187">
    <cfRule type="containsText" dxfId="0" priority="29" operator="between" text="欠">
      <formula>NOT(ISERROR(SEARCH("欠",S187)))</formula>
    </cfRule>
  </conditionalFormatting>
  <conditionalFormatting sqref="S68:S69">
    <cfRule type="containsText" dxfId="0" priority="230" operator="between" text="欠">
      <formula>NOT(ISERROR(SEARCH("欠",S68)))</formula>
    </cfRule>
  </conditionalFormatting>
  <conditionalFormatting sqref="S151:S153">
    <cfRule type="containsText" dxfId="0" priority="20" operator="between" text="欠">
      <formula>NOT(ISERROR(SEARCH("欠",S151)))</formula>
    </cfRule>
  </conditionalFormatting>
  <conditionalFormatting sqref="S158:S164">
    <cfRule type="containsText" dxfId="0" priority="13" operator="between" text="欠">
      <formula>NOT(ISERROR(SEARCH("欠",S158)))</formula>
    </cfRule>
  </conditionalFormatting>
  <conditionalFormatting sqref="S183:S208">
    <cfRule type="containsText" dxfId="0" priority="28" operator="between" text="欠">
      <formula>NOT(ISERROR(SEARCH("欠",S183)))</formula>
    </cfRule>
  </conditionalFormatting>
  <conditionalFormatting sqref="T68:T69">
    <cfRule type="containsText" dxfId="0" priority="320" operator="between" text="欠">
      <formula>NOT(ISERROR(SEARCH("欠",T68)))</formula>
    </cfRule>
  </conditionalFormatting>
  <conditionalFormatting sqref="T102:T103">
    <cfRule type="containsText" dxfId="0" priority="38" operator="between" text="欠">
      <formula>NOT(ISERROR(SEARCH("欠",T102)))</formula>
    </cfRule>
  </conditionalFormatting>
  <conditionalFormatting sqref="T158:T166">
    <cfRule type="containsText" dxfId="0" priority="5" operator="between" text="欠">
      <formula>NOT(ISERROR(SEARCH("欠",T158)))</formula>
    </cfRule>
  </conditionalFormatting>
  <conditionalFormatting sqref="T182:T208">
    <cfRule type="containsText" dxfId="0" priority="23" operator="between" text="欠">
      <formula>NOT(ISERROR(SEARCH("欠",T182)))</formula>
    </cfRule>
  </conditionalFormatting>
  <conditionalFormatting sqref="U158:U166">
    <cfRule type="containsText" dxfId="0" priority="1" operator="between" text="欠">
      <formula>NOT(ISERROR(SEARCH("欠",U158)))</formula>
    </cfRule>
  </conditionalFormatting>
  <conditionalFormatting sqref="U181:U208">
    <cfRule type="containsText" dxfId="0" priority="22" operator="between" text="欠">
      <formula>NOT(ISERROR(SEARCH("欠",U181)))</formula>
    </cfRule>
  </conditionalFormatting>
  <conditionalFormatting sqref="S1:U68 S84:U86 S89:U89">
    <cfRule type="containsText" dxfId="0" priority="196" operator="between" text="欠">
      <formula>NOT(ISERROR(SEARCH("欠",S1)))</formula>
    </cfRule>
  </conditionalFormatting>
  <conditionalFormatting sqref="U70:U83 U87:U88 U90:U96 U98:U101 U103:U126 U128:U154 U168:U180 U209:U289">
    <cfRule type="containsText" dxfId="0" priority="41" operator="between" text="欠">
      <formula>NOT(ISERROR(SEARCH("欠",U70)))</formula>
    </cfRule>
  </conditionalFormatting>
  <conditionalFormatting sqref="S72:T83 S87:T88 S90:T101 S102:S103 S104:T106 S107:S108 S109:T121 S123:T126 S128:T151 T152:T155 S166:S167 S168:T180 T181 S209:T289">
    <cfRule type="containsText" dxfId="0" priority="42" operator="between" text="欠">
      <formula>NOT(ISERROR(SEARCH("欠",S72)))</formula>
    </cfRule>
  </conditionalFormatting>
  <conditionalFormatting sqref="S290:U1048576">
    <cfRule type="containsText" dxfId="0" priority="1062" operator="between" text="欠">
      <formula>NOT(ISERROR(SEARCH("欠",S290)))</formula>
    </cfRule>
  </conditionalFormatting>
  <pageMargins left="0.15625" right="0.0777777777777778" top="0.590277777777778" bottom="0.55" header="0.235416666666667" footer="0.235416666666667"/>
  <pageSetup paperSize="9" scale="10" orientation="portrait"/>
  <headerFooter>
    <oddHeader>&amp;C&amp;18&amp;BZURU 恐龙，蜘蛛生产排期表</oddHeader>
    <oddFooter>&amp;L制表：黄玲&amp;C日期：&amp;D 第&amp;P页，共&amp;N页&amp;R审核：陈炎</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9"/>
  <sheetViews>
    <sheetView workbookViewId="0">
      <pane xSplit="7" ySplit="3" topLeftCell="H4" activePane="bottomRight" state="frozen"/>
      <selection/>
      <selection pane="topRight"/>
      <selection pane="bottomLeft"/>
      <selection pane="bottomRight" activeCell="A237" sqref="$A237:$XFD237"/>
    </sheetView>
  </sheetViews>
  <sheetFormatPr defaultColWidth="9" defaultRowHeight="13.5"/>
  <cols>
    <col min="1" max="1" width="9" style="132"/>
    <col min="2" max="2" width="11.3666666666667" style="132" customWidth="1"/>
    <col min="3" max="3" width="14.5416666666667" style="133" customWidth="1"/>
    <col min="4" max="4" width="15.275" style="133" customWidth="1"/>
    <col min="5" max="5" width="12.9083333333333" style="133" customWidth="1"/>
    <col min="6" max="6" width="9.45833333333333" style="133" customWidth="1"/>
    <col min="7" max="7" width="19.275" style="133" customWidth="1"/>
    <col min="8" max="8" width="13.0916666666667" style="133" customWidth="1"/>
    <col min="9" max="9" width="12.3666666666667" style="133" customWidth="1"/>
    <col min="10" max="16" width="11.725" style="133" customWidth="1"/>
    <col min="17" max="17" width="55.8166666666667" style="132" customWidth="1"/>
    <col min="18" max="16384" width="9" style="132"/>
  </cols>
  <sheetData>
    <row r="1" ht="14.25"/>
    <row r="2" ht="23" customHeight="1" spans="1:17">
      <c r="B2" s="134" t="s">
        <v>1154</v>
      </c>
      <c r="C2" s="135"/>
      <c r="D2" s="135"/>
      <c r="E2" s="135"/>
      <c r="F2" s="135"/>
      <c r="G2" s="135"/>
      <c r="H2" s="135"/>
      <c r="I2" s="135"/>
      <c r="J2" s="135"/>
      <c r="K2" s="135"/>
      <c r="L2" s="135"/>
      <c r="M2" s="135"/>
      <c r="N2" s="135"/>
      <c r="O2" s="135"/>
      <c r="P2" s="135"/>
      <c r="Q2" s="136"/>
    </row>
    <row r="3" s="129" customFormat="1" ht="38" customHeight="1" spans="1:17">
      <c r="A3" s="137" t="s">
        <v>1155</v>
      </c>
      <c r="B3" s="138" t="s">
        <v>1156</v>
      </c>
      <c r="C3" s="139" t="s">
        <v>1157</v>
      </c>
      <c r="D3" s="139" t="s">
        <v>1158</v>
      </c>
      <c r="E3" s="139" t="s">
        <v>6</v>
      </c>
      <c r="F3" s="139" t="s">
        <v>1159</v>
      </c>
      <c r="G3" s="139" t="s">
        <v>7</v>
      </c>
      <c r="H3" s="139" t="s">
        <v>1160</v>
      </c>
      <c r="I3" s="140" t="s">
        <v>1161</v>
      </c>
      <c r="J3" s="141" t="s">
        <v>1162</v>
      </c>
      <c r="K3" s="141" t="s">
        <v>1163</v>
      </c>
      <c r="L3" s="142" t="s">
        <v>1164</v>
      </c>
      <c r="M3" s="142" t="s">
        <v>1165</v>
      </c>
      <c r="N3" s="142" t="s">
        <v>1166</v>
      </c>
      <c r="O3" s="143" t="s">
        <v>1167</v>
      </c>
      <c r="P3" s="143" t="s">
        <v>1168</v>
      </c>
      <c r="Q3" s="144" t="s">
        <v>24</v>
      </c>
    </row>
    <row r="4" s="129" customFormat="1" ht="19" customHeight="1" spans="1:17">
      <c r="A4" s="137" t="s">
        <v>1169</v>
      </c>
      <c r="B4" s="145">
        <v>46080</v>
      </c>
      <c r="C4" s="146"/>
      <c r="D4" s="147">
        <v>1000036614</v>
      </c>
      <c r="E4" s="146">
        <v>71172</v>
      </c>
      <c r="F4" s="148">
        <v>50000</v>
      </c>
      <c r="G4" s="149" t="s">
        <v>1170</v>
      </c>
      <c r="H4" s="149" t="s">
        <v>1171</v>
      </c>
      <c r="I4" s="149" t="s">
        <v>1172</v>
      </c>
      <c r="J4" s="146">
        <f>F4</f>
        <v>50000</v>
      </c>
      <c r="K4" s="146"/>
      <c r="L4" s="146"/>
      <c r="M4" s="146"/>
      <c r="N4" s="146"/>
      <c r="O4" s="146"/>
      <c r="P4" s="149"/>
      <c r="Q4" s="150"/>
    </row>
    <row r="5" s="129" customFormat="1" ht="19" customHeight="1" spans="1:17">
      <c r="A5" s="137" t="s">
        <v>1169</v>
      </c>
      <c r="B5" s="145">
        <v>46080</v>
      </c>
      <c r="C5" s="146"/>
      <c r="D5" s="147">
        <v>1000036615</v>
      </c>
      <c r="E5" s="146">
        <v>71172</v>
      </c>
      <c r="F5" s="148">
        <v>20000</v>
      </c>
      <c r="G5" s="149" t="s">
        <v>1170</v>
      </c>
      <c r="H5" s="149" t="s">
        <v>1171</v>
      </c>
      <c r="I5" s="149" t="s">
        <v>1173</v>
      </c>
      <c r="J5" s="146"/>
      <c r="K5" s="146">
        <f>F5</f>
        <v>20000</v>
      </c>
      <c r="L5" s="146"/>
      <c r="M5" s="146"/>
      <c r="N5" s="146"/>
      <c r="O5" s="146"/>
      <c r="P5" s="149"/>
      <c r="Q5" s="150"/>
    </row>
    <row r="6" s="129" customFormat="1" ht="19" customHeight="1" spans="1:17">
      <c r="A6" s="137" t="s">
        <v>1169</v>
      </c>
      <c r="B6" s="145">
        <v>46080</v>
      </c>
      <c r="C6" s="146"/>
      <c r="D6" s="147">
        <v>1000036616</v>
      </c>
      <c r="E6" s="146">
        <v>71172</v>
      </c>
      <c r="F6" s="148">
        <v>70000</v>
      </c>
      <c r="G6" s="149" t="s">
        <v>36</v>
      </c>
      <c r="H6" s="149" t="s">
        <v>1171</v>
      </c>
      <c r="I6" s="149" t="s">
        <v>1174</v>
      </c>
      <c r="J6" s="146"/>
      <c r="K6" s="146"/>
      <c r="L6" s="146">
        <f>F6</f>
        <v>70000</v>
      </c>
      <c r="M6" s="146"/>
      <c r="N6" s="146"/>
      <c r="O6" s="146"/>
      <c r="P6" s="149"/>
      <c r="Q6" s="150"/>
    </row>
    <row r="7" s="130" customFormat="1" ht="19" customHeight="1" spans="1:17">
      <c r="A7" s="151" t="s">
        <v>1169</v>
      </c>
      <c r="B7" s="152">
        <v>46154</v>
      </c>
      <c r="C7" s="153"/>
      <c r="D7" s="154">
        <v>1000039941</v>
      </c>
      <c r="E7" s="153">
        <v>71172</v>
      </c>
      <c r="F7" s="155">
        <v>40000</v>
      </c>
      <c r="G7" s="156" t="s">
        <v>1170</v>
      </c>
      <c r="H7" s="156" t="s">
        <v>1171</v>
      </c>
      <c r="I7" s="156" t="s">
        <v>1172</v>
      </c>
      <c r="J7" s="153">
        <f>F7</f>
        <v>40000</v>
      </c>
      <c r="K7" s="153"/>
      <c r="L7" s="153"/>
      <c r="M7" s="153"/>
      <c r="N7" s="153"/>
      <c r="O7" s="153"/>
      <c r="P7" s="156"/>
      <c r="Q7" s="157"/>
    </row>
    <row r="8" s="130" customFormat="1" ht="19" customHeight="1" spans="1:17">
      <c r="A8" s="151" t="s">
        <v>1169</v>
      </c>
      <c r="B8" s="152">
        <v>46154</v>
      </c>
      <c r="C8" s="153"/>
      <c r="D8" s="154">
        <v>1000039942</v>
      </c>
      <c r="E8" s="153">
        <v>71172</v>
      </c>
      <c r="F8" s="155">
        <v>20000</v>
      </c>
      <c r="G8" s="156" t="s">
        <v>1170</v>
      </c>
      <c r="H8" s="156" t="s">
        <v>1171</v>
      </c>
      <c r="I8" s="156" t="s">
        <v>1173</v>
      </c>
      <c r="J8" s="153"/>
      <c r="K8" s="153">
        <f>F8</f>
        <v>20000</v>
      </c>
      <c r="L8" s="153"/>
      <c r="M8" s="153"/>
      <c r="N8" s="153"/>
      <c r="O8" s="153"/>
      <c r="P8" s="156"/>
      <c r="Q8" s="157"/>
    </row>
    <row r="9" s="130" customFormat="1" ht="19" customHeight="1" spans="1:17">
      <c r="A9" s="151" t="s">
        <v>1169</v>
      </c>
      <c r="B9" s="152">
        <v>46154</v>
      </c>
      <c r="C9" s="153"/>
      <c r="D9" s="154">
        <v>1000039943</v>
      </c>
      <c r="E9" s="153">
        <v>71172</v>
      </c>
      <c r="F9" s="155">
        <v>60000</v>
      </c>
      <c r="G9" s="156" t="s">
        <v>36</v>
      </c>
      <c r="H9" s="156" t="s">
        <v>1175</v>
      </c>
      <c r="I9" s="158" t="s">
        <v>1176</v>
      </c>
      <c r="J9" s="153"/>
      <c r="K9" s="153"/>
      <c r="L9" s="153"/>
      <c r="M9" s="153">
        <f>F9</f>
        <v>60000</v>
      </c>
      <c r="N9" s="153"/>
      <c r="O9" s="153"/>
      <c r="P9" s="156"/>
      <c r="Q9" s="157"/>
    </row>
    <row r="10" s="130" customFormat="1" ht="19" customHeight="1" spans="1:17">
      <c r="A10" s="151" t="s">
        <v>1169</v>
      </c>
      <c r="B10" s="159">
        <v>46184</v>
      </c>
      <c r="C10" s="153"/>
      <c r="D10" s="154">
        <v>1000041297</v>
      </c>
      <c r="E10" s="153">
        <v>71172</v>
      </c>
      <c r="F10" s="155">
        <v>11216</v>
      </c>
      <c r="G10" s="156" t="s">
        <v>36</v>
      </c>
      <c r="H10" s="158" t="s">
        <v>1171</v>
      </c>
      <c r="I10" s="158" t="s">
        <v>1177</v>
      </c>
      <c r="J10" s="153"/>
      <c r="K10" s="153"/>
      <c r="L10" s="153"/>
      <c r="M10" s="153"/>
      <c r="N10" s="153">
        <f>F10</f>
        <v>11216</v>
      </c>
      <c r="O10" s="153"/>
      <c r="P10" s="156"/>
      <c r="Q10" s="160" t="s">
        <v>1178</v>
      </c>
    </row>
    <row r="11" s="130" customFormat="1" ht="19" customHeight="1" spans="1:17">
      <c r="A11" s="151" t="s">
        <v>1169</v>
      </c>
      <c r="B11" s="159">
        <v>46190</v>
      </c>
      <c r="C11" s="153"/>
      <c r="D11" s="154">
        <v>1000041517</v>
      </c>
      <c r="E11" s="153">
        <v>71172</v>
      </c>
      <c r="F11" s="155">
        <v>50000</v>
      </c>
      <c r="G11" s="156" t="s">
        <v>1170</v>
      </c>
      <c r="H11" s="158" t="s">
        <v>1171</v>
      </c>
      <c r="I11" s="156" t="s">
        <v>1172</v>
      </c>
      <c r="J11" s="153">
        <v>50000</v>
      </c>
      <c r="K11" s="153"/>
      <c r="L11" s="153"/>
      <c r="M11" s="153"/>
      <c r="N11" s="153"/>
      <c r="O11" s="153"/>
      <c r="P11" s="156"/>
      <c r="Q11" s="157"/>
    </row>
    <row r="12" s="130" customFormat="1" ht="19" customHeight="1" spans="1:17">
      <c r="A12" s="151" t="s">
        <v>1169</v>
      </c>
      <c r="B12" s="159">
        <v>46190</v>
      </c>
      <c r="C12" s="153"/>
      <c r="D12" s="154">
        <v>1000041518</v>
      </c>
      <c r="E12" s="153">
        <v>71172</v>
      </c>
      <c r="F12" s="155">
        <v>30000</v>
      </c>
      <c r="G12" s="156" t="s">
        <v>36</v>
      </c>
      <c r="H12" s="156" t="s">
        <v>1175</v>
      </c>
      <c r="I12" s="158" t="s">
        <v>1176</v>
      </c>
      <c r="J12" s="153"/>
      <c r="K12" s="153"/>
      <c r="L12" s="153"/>
      <c r="M12" s="153">
        <v>30000</v>
      </c>
      <c r="N12" s="153"/>
      <c r="O12" s="153"/>
      <c r="P12" s="156"/>
      <c r="Q12" s="157"/>
    </row>
    <row r="13" s="131" customFormat="1" ht="19" customHeight="1" spans="1:17">
      <c r="A13" s="161" t="s">
        <v>1169</v>
      </c>
      <c r="B13" s="162">
        <v>46230</v>
      </c>
      <c r="C13" s="163"/>
      <c r="D13" s="164">
        <v>1000043203</v>
      </c>
      <c r="E13" s="163">
        <v>71172</v>
      </c>
      <c r="F13" s="165">
        <v>20000</v>
      </c>
      <c r="G13" s="166" t="s">
        <v>1170</v>
      </c>
      <c r="H13" s="166"/>
      <c r="I13" s="166" t="s">
        <v>1172</v>
      </c>
      <c r="J13" s="163">
        <f>F13</f>
        <v>20000</v>
      </c>
      <c r="K13" s="163"/>
      <c r="L13" s="163"/>
      <c r="M13" s="163"/>
      <c r="N13" s="163"/>
      <c r="O13" s="163"/>
      <c r="P13" s="166"/>
      <c r="Q13" s="167"/>
    </row>
    <row r="14" s="131" customFormat="1" ht="19" customHeight="1" spans="1:17">
      <c r="A14" s="161" t="s">
        <v>1169</v>
      </c>
      <c r="B14" s="162">
        <v>46230</v>
      </c>
      <c r="C14" s="163"/>
      <c r="D14" s="164">
        <v>1000043204</v>
      </c>
      <c r="E14" s="163">
        <v>71172</v>
      </c>
      <c r="F14" s="165">
        <v>20000</v>
      </c>
      <c r="G14" s="166" t="s">
        <v>36</v>
      </c>
      <c r="H14" s="166"/>
      <c r="I14" s="168" t="s">
        <v>1176</v>
      </c>
      <c r="J14" s="163"/>
      <c r="K14" s="163"/>
      <c r="L14" s="163"/>
      <c r="M14" s="163">
        <f>F14</f>
        <v>20000</v>
      </c>
      <c r="N14" s="163"/>
      <c r="O14" s="163"/>
      <c r="P14" s="166"/>
      <c r="Q14" s="167"/>
    </row>
    <row r="15" s="129" customFormat="1" ht="19" customHeight="1" spans="1:17">
      <c r="A15" s="151"/>
      <c r="B15" s="169"/>
      <c r="C15" s="146"/>
      <c r="D15" s="147"/>
      <c r="E15" s="146"/>
      <c r="F15" s="148"/>
      <c r="G15" s="149"/>
      <c r="H15" s="149"/>
      <c r="I15" s="149"/>
      <c r="J15" s="146"/>
      <c r="K15" s="146"/>
      <c r="L15" s="146"/>
      <c r="M15" s="146"/>
      <c r="N15" s="146"/>
      <c r="O15" s="146"/>
      <c r="P15" s="149"/>
      <c r="Q15" s="150"/>
    </row>
    <row r="16" s="129" customFormat="1" ht="19" customHeight="1" spans="1:17">
      <c r="A16" s="151"/>
      <c r="B16" s="169"/>
      <c r="C16" s="146"/>
      <c r="D16" s="146"/>
      <c r="E16" s="146"/>
      <c r="F16" s="146"/>
      <c r="G16" s="149"/>
      <c r="H16" s="146"/>
      <c r="I16" s="149"/>
      <c r="J16" s="146"/>
      <c r="K16" s="146"/>
      <c r="L16" s="146"/>
      <c r="M16" s="146"/>
      <c r="N16" s="146"/>
      <c r="O16" s="146"/>
      <c r="P16" s="149"/>
      <c r="Q16" s="150"/>
    </row>
    <row r="17" s="129" customFormat="1" ht="19" customHeight="1" spans="1:17">
      <c r="A17" s="137"/>
      <c r="B17" s="145"/>
      <c r="C17" s="146"/>
      <c r="D17" s="146"/>
      <c r="E17" s="146"/>
      <c r="F17" s="146"/>
      <c r="G17" s="146" t="s">
        <v>1152</v>
      </c>
      <c r="H17" s="146"/>
      <c r="I17" s="149"/>
      <c r="J17" s="146">
        <f t="shared" ref="J17:O17" si="0">SUM(J4:J16)</f>
        <v>160000</v>
      </c>
      <c r="K17" s="146">
        <f t="shared" si="0"/>
        <v>40000</v>
      </c>
      <c r="L17" s="146">
        <f t="shared" si="0"/>
        <v>70000</v>
      </c>
      <c r="M17" s="146">
        <f t="shared" si="0"/>
        <v>110000</v>
      </c>
      <c r="N17" s="146">
        <f t="shared" si="0"/>
        <v>11216</v>
      </c>
      <c r="O17" s="146">
        <f t="shared" si="0"/>
        <v>0</v>
      </c>
      <c r="P17" s="149"/>
      <c r="Q17" s="150"/>
    </row>
    <row r="18" s="129" customFormat="1" ht="19" customHeight="1" spans="1:17">
      <c r="A18" s="137"/>
      <c r="B18" s="145"/>
      <c r="C18" s="146"/>
      <c r="D18" s="146"/>
      <c r="E18" s="146"/>
      <c r="F18" s="146"/>
      <c r="G18" s="146" t="s">
        <v>1179</v>
      </c>
      <c r="H18" s="146"/>
      <c r="I18" s="149"/>
      <c r="J18" s="146">
        <f>'71172大脑'!AP298</f>
        <v>148256</v>
      </c>
      <c r="K18" s="146">
        <f>'71172大脑'!AQ298</f>
        <v>36304</v>
      </c>
      <c r="L18" s="146">
        <f>'71172大脑'!AR298</f>
        <v>69892</v>
      </c>
      <c r="M18" s="146">
        <f>'71172大脑'!AS298</f>
        <v>95732</v>
      </c>
      <c r="N18" s="146">
        <f>'71172大脑'!AT298</f>
        <v>10668</v>
      </c>
      <c r="O18" s="146">
        <f>SUM(O5:O17)</f>
        <v>0</v>
      </c>
      <c r="P18" s="149"/>
      <c r="Q18" s="150"/>
    </row>
    <row r="19" s="129" customFormat="1" ht="19" customHeight="1" spans="1:17">
      <c r="A19" s="137"/>
      <c r="B19" s="170"/>
      <c r="C19" s="171"/>
      <c r="D19" s="171"/>
      <c r="E19" s="171"/>
      <c r="F19" s="171"/>
      <c r="G19" s="171" t="s">
        <v>1180</v>
      </c>
      <c r="H19" s="171"/>
      <c r="I19" s="172"/>
      <c r="J19" s="173">
        <f t="shared" ref="J19:O19" si="1">J17-J18</f>
        <v>11744</v>
      </c>
      <c r="K19" s="174">
        <f t="shared" si="1"/>
        <v>3696</v>
      </c>
      <c r="L19" s="173">
        <f t="shared" si="1"/>
        <v>108</v>
      </c>
      <c r="M19" s="173">
        <f t="shared" si="1"/>
        <v>14268</v>
      </c>
      <c r="N19" s="173">
        <f t="shared" si="1"/>
        <v>548</v>
      </c>
      <c r="O19" s="173">
        <f t="shared" si="1"/>
        <v>0</v>
      </c>
      <c r="P19" s="175"/>
      <c r="Q19" s="176"/>
    </row>
  </sheetData>
  <sheetProtection formatCells="0" formatColumns="0" formatRows="0" insertRows="0" insertColumns="0" insertHyperlinks="0" deleteColumns="0" deleteRows="0" sort="0" autoFilter="0" pivotTables="0"/>
  <autoFilter xmlns:etc="http://www.wps.cn/officeDocument/2017/etCustomData" ref="B3:Q19" etc:filterBottomFollowUsedRange="0">
    <extLst/>
  </autoFilter>
  <mergeCells count="1">
    <mergeCell ref="B2:Q2"/>
  </mergeCells>
  <pageMargins left="0.75" right="0.75" top="1" bottom="1" header="0.511805555555556" footer="0.511805555555556"/>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F40"/>
  <sheetViews>
    <sheetView topLeftCell="B7" workbookViewId="0">
      <selection activeCell="B7" sqref="B7"/>
    </sheetView>
  </sheetViews>
  <sheetFormatPr defaultColWidth="9" defaultRowHeight="13.5"/>
  <cols>
    <col min="1" max="1" width="3.18333333333333" customWidth="1"/>
    <col min="2" max="2" width="18.4583333333333" customWidth="1"/>
    <col min="3" max="3" width="14.5416666666667" style="82" customWidth="1"/>
    <col min="4" max="4" width="11.5416666666667" style="82" customWidth="1"/>
    <col min="5" max="5" width="13.8166666666667" style="82" customWidth="1"/>
    <col min="6" max="6" width="14.3666666666667" style="82" customWidth="1"/>
    <col min="7" max="7" width="17.0916666666667" style="82" customWidth="1"/>
    <col min="8" max="8" width="47.9583333333333" customWidth="1"/>
    <col min="9" max="9" width="13.9083333333333" style="82" customWidth="1"/>
    <col min="10" max="13" width="9" style="83"/>
  </cols>
  <sheetData>
    <row r="1" ht="21" customHeight="1" spans="2:32">
      <c r="B1" s="84" t="s">
        <v>1181</v>
      </c>
      <c r="C1" s="85"/>
      <c r="D1" s="85"/>
      <c r="E1" s="85"/>
      <c r="F1" s="85"/>
      <c r="G1" s="85"/>
      <c r="H1" s="86"/>
      <c r="I1" s="87"/>
      <c r="J1" s="88"/>
      <c r="K1" s="88"/>
      <c r="L1" s="88"/>
      <c r="M1" s="88"/>
      <c r="N1" s="89"/>
      <c r="O1" s="89"/>
      <c r="P1" s="89"/>
      <c r="Q1" s="89"/>
      <c r="R1" s="89"/>
      <c r="S1" s="89"/>
      <c r="T1" s="89"/>
      <c r="U1" s="89"/>
      <c r="V1" s="89"/>
      <c r="W1" s="89"/>
      <c r="X1" s="89"/>
      <c r="Y1" s="89"/>
      <c r="Z1" s="89"/>
      <c r="AA1" s="89"/>
      <c r="AB1" s="89"/>
      <c r="AC1" s="89"/>
      <c r="AD1" s="89"/>
      <c r="AE1" s="89"/>
      <c r="AF1" s="89"/>
    </row>
    <row r="2" ht="16" customHeight="1" spans="2:32">
      <c r="B2" s="90" t="s">
        <v>1182</v>
      </c>
      <c r="C2" s="91" t="s">
        <v>1158</v>
      </c>
      <c r="D2" s="92" t="s">
        <v>1183</v>
      </c>
      <c r="E2" s="91" t="s">
        <v>7</v>
      </c>
      <c r="F2" s="93" t="s">
        <v>1159</v>
      </c>
      <c r="G2" s="94" t="s">
        <v>1184</v>
      </c>
      <c r="H2" s="95" t="s">
        <v>24</v>
      </c>
      <c r="I2" s="87"/>
      <c r="J2" s="88"/>
      <c r="K2" s="88"/>
      <c r="L2" s="88"/>
      <c r="M2" s="88"/>
      <c r="N2" s="89"/>
      <c r="O2" s="89"/>
      <c r="P2" s="89"/>
      <c r="Q2" s="89"/>
      <c r="R2" s="89"/>
      <c r="S2" s="89"/>
      <c r="T2" s="89"/>
      <c r="U2" s="89"/>
      <c r="V2" s="89"/>
      <c r="W2" s="89"/>
      <c r="X2" s="89"/>
      <c r="Y2" s="89"/>
      <c r="Z2" s="89"/>
      <c r="AA2" s="89"/>
      <c r="AB2" s="89"/>
      <c r="AC2" s="89"/>
      <c r="AD2" s="89"/>
      <c r="AE2" s="89"/>
      <c r="AF2" s="89"/>
    </row>
    <row r="3" ht="24" customHeight="1" spans="2:32">
      <c r="B3" s="96"/>
      <c r="C3" s="97"/>
      <c r="D3" s="91"/>
      <c r="E3" s="97"/>
      <c r="F3" s="98"/>
      <c r="G3" s="99"/>
      <c r="H3" s="100"/>
      <c r="I3" s="87"/>
      <c r="J3" s="88"/>
      <c r="K3" s="88"/>
      <c r="L3" s="88"/>
      <c r="M3" s="88"/>
      <c r="N3" s="89"/>
      <c r="O3" s="89"/>
      <c r="P3" s="89"/>
      <c r="Q3" s="89"/>
      <c r="R3" s="89"/>
      <c r="S3" s="89"/>
      <c r="T3" s="89"/>
      <c r="U3" s="89"/>
      <c r="V3" s="89"/>
      <c r="W3" s="89"/>
      <c r="X3" s="89"/>
      <c r="Y3" s="89"/>
      <c r="Z3" s="89"/>
      <c r="AA3" s="89"/>
      <c r="AB3" s="89"/>
      <c r="AC3" s="89"/>
      <c r="AD3" s="89"/>
      <c r="AE3" s="89"/>
      <c r="AF3" s="89"/>
    </row>
    <row r="4" ht="15" customHeight="1" spans="2:32">
      <c r="B4" s="101">
        <v>46036</v>
      </c>
      <c r="C4" s="97" t="s">
        <v>1185</v>
      </c>
      <c r="D4" s="97">
        <v>71172</v>
      </c>
      <c r="E4" s="97" t="s">
        <v>49</v>
      </c>
      <c r="F4" s="97">
        <v>60000</v>
      </c>
      <c r="G4" s="102">
        <v>46150</v>
      </c>
      <c r="H4" s="100"/>
    </row>
    <row r="5" ht="15" customHeight="1" spans="2:32">
      <c r="B5" s="101">
        <v>46093</v>
      </c>
      <c r="C5" s="97" t="s">
        <v>1186</v>
      </c>
      <c r="D5" s="97">
        <v>71172</v>
      </c>
      <c r="E5" s="97" t="s">
        <v>49</v>
      </c>
      <c r="F5" s="97">
        <v>60000</v>
      </c>
      <c r="G5" s="103">
        <v>46148</v>
      </c>
      <c r="H5" s="100"/>
    </row>
    <row r="6" s="81" customFormat="1" ht="15" customHeight="1" spans="2:32">
      <c r="B6" s="104">
        <v>46169</v>
      </c>
      <c r="C6" s="105" t="s">
        <v>1187</v>
      </c>
      <c r="D6" s="105">
        <v>71172</v>
      </c>
      <c r="E6" s="105" t="s">
        <v>49</v>
      </c>
      <c r="F6" s="105">
        <v>80000</v>
      </c>
      <c r="G6" s="103">
        <v>46265</v>
      </c>
      <c r="H6" s="106"/>
      <c r="I6" s="107"/>
      <c r="J6" s="108"/>
      <c r="K6" s="108"/>
      <c r="L6" s="108"/>
      <c r="M6" s="108"/>
    </row>
    <row r="7" ht="15" customHeight="1" spans="2:32">
      <c r="B7" s="109">
        <v>46233</v>
      </c>
      <c r="C7" s="110" t="s">
        <v>1188</v>
      </c>
      <c r="D7" s="110">
        <v>71172</v>
      </c>
      <c r="E7" s="110" t="s">
        <v>49</v>
      </c>
      <c r="F7" s="110">
        <v>50000</v>
      </c>
      <c r="G7" s="111">
        <v>46288</v>
      </c>
      <c r="H7" s="100"/>
    </row>
    <row r="8" ht="15" customHeight="1" spans="2:32">
      <c r="B8" s="96"/>
      <c r="C8" s="97"/>
      <c r="D8" s="97"/>
      <c r="E8" s="97"/>
      <c r="F8" s="97"/>
      <c r="G8" s="112"/>
      <c r="H8" s="100"/>
    </row>
    <row r="9" ht="15" customHeight="1" spans="2:32">
      <c r="B9" s="96"/>
      <c r="C9" s="97"/>
      <c r="D9" s="97"/>
      <c r="E9" s="97" t="s">
        <v>1189</v>
      </c>
      <c r="F9" s="97">
        <f>SUM(F4:F8)</f>
        <v>250000</v>
      </c>
      <c r="G9" s="113"/>
      <c r="H9" s="100"/>
    </row>
    <row r="10" ht="15" customHeight="1" spans="2:32">
      <c r="B10" s="96"/>
      <c r="C10" s="97"/>
      <c r="D10" s="97"/>
      <c r="E10" s="97" t="s">
        <v>1179</v>
      </c>
      <c r="F10" s="97">
        <f>'71172大脑'!I298</f>
        <v>185092</v>
      </c>
      <c r="G10" s="113"/>
      <c r="H10" s="100"/>
    </row>
    <row r="11" ht="15" customHeight="1" spans="2:32">
      <c r="B11" s="96"/>
      <c r="C11" s="97"/>
      <c r="D11" s="97"/>
      <c r="E11" s="97" t="s">
        <v>1190</v>
      </c>
      <c r="F11" s="97">
        <f>F9-F10</f>
        <v>64908</v>
      </c>
      <c r="G11" s="113"/>
      <c r="H11" s="100"/>
    </row>
    <row r="12" ht="15" customHeight="1" spans="2:32">
      <c r="B12" s="96"/>
      <c r="C12" s="97"/>
      <c r="D12" s="97"/>
      <c r="E12" s="97"/>
      <c r="F12" s="97"/>
      <c r="G12" s="113"/>
      <c r="H12" s="100"/>
    </row>
    <row r="13" ht="15" customHeight="1" spans="2:32">
      <c r="B13" s="96"/>
      <c r="C13" s="97"/>
      <c r="D13" s="97"/>
      <c r="E13" s="97"/>
      <c r="F13" s="97"/>
      <c r="G13" s="113"/>
      <c r="H13" s="100"/>
    </row>
    <row r="14" ht="15" customHeight="1" spans="2:32">
      <c r="B14" s="96"/>
      <c r="C14" s="97"/>
      <c r="D14" s="97"/>
      <c r="E14" s="97"/>
      <c r="F14" s="97"/>
      <c r="G14" s="113"/>
      <c r="H14" s="100"/>
    </row>
    <row r="15" ht="22" customHeight="1" spans="2:32">
      <c r="B15" s="114" t="s">
        <v>1191</v>
      </c>
      <c r="C15" s="115"/>
      <c r="D15" s="115"/>
      <c r="E15" s="115"/>
      <c r="F15" s="115"/>
      <c r="G15" s="115"/>
      <c r="H15" s="116"/>
    </row>
    <row r="16" ht="16" customHeight="1" spans="2:32">
      <c r="B16" s="90" t="s">
        <v>1182</v>
      </c>
      <c r="C16" s="91" t="s">
        <v>1158</v>
      </c>
      <c r="D16" s="92" t="s">
        <v>1183</v>
      </c>
      <c r="E16" s="91" t="s">
        <v>7</v>
      </c>
      <c r="F16" s="98">
        <v>71172</v>
      </c>
      <c r="G16" s="94" t="s">
        <v>1184</v>
      </c>
      <c r="H16" s="95" t="s">
        <v>24</v>
      </c>
    </row>
    <row r="17" ht="16" customHeight="1" spans="2:8">
      <c r="B17" s="96"/>
      <c r="C17" s="97"/>
      <c r="D17" s="91"/>
      <c r="E17" s="97"/>
      <c r="F17" s="117" t="s">
        <v>49</v>
      </c>
      <c r="G17" s="99"/>
      <c r="H17" s="100"/>
    </row>
    <row r="18" ht="16" customHeight="1" spans="2:8">
      <c r="B18" s="101">
        <v>45975</v>
      </c>
      <c r="C18" s="97" t="s">
        <v>1192</v>
      </c>
      <c r="D18" s="97">
        <v>71172</v>
      </c>
      <c r="E18" s="97" t="s">
        <v>49</v>
      </c>
      <c r="F18" s="117">
        <v>4000</v>
      </c>
      <c r="G18" s="102">
        <v>45990</v>
      </c>
      <c r="H18" s="100" t="s">
        <v>1193</v>
      </c>
    </row>
    <row r="19" ht="15" customHeight="1" spans="2:8">
      <c r="B19" s="101">
        <v>45989</v>
      </c>
      <c r="C19" s="97" t="s">
        <v>1194</v>
      </c>
      <c r="D19" s="97">
        <v>71172</v>
      </c>
      <c r="E19" s="97" t="s">
        <v>49</v>
      </c>
      <c r="F19" s="97">
        <v>40000</v>
      </c>
      <c r="G19" s="102">
        <v>46004</v>
      </c>
      <c r="H19" s="100" t="s">
        <v>1193</v>
      </c>
    </row>
    <row r="20" ht="15" customHeight="1" spans="2:8">
      <c r="B20" s="101">
        <v>46016</v>
      </c>
      <c r="C20" s="97" t="s">
        <v>1195</v>
      </c>
      <c r="D20" s="97">
        <v>71172</v>
      </c>
      <c r="E20" s="97" t="s">
        <v>49</v>
      </c>
      <c r="F20" s="97">
        <v>12000</v>
      </c>
      <c r="G20" s="102">
        <v>46051</v>
      </c>
      <c r="H20" s="100" t="s">
        <v>1193</v>
      </c>
    </row>
    <row r="21" ht="15" customHeight="1" spans="2:8">
      <c r="B21" s="101">
        <v>46031</v>
      </c>
      <c r="C21" s="97" t="s">
        <v>1196</v>
      </c>
      <c r="D21" s="97">
        <v>71172</v>
      </c>
      <c r="E21" s="97" t="s">
        <v>49</v>
      </c>
      <c r="F21" s="97">
        <v>72000</v>
      </c>
      <c r="G21" s="102">
        <v>46046</v>
      </c>
      <c r="H21" s="100" t="s">
        <v>1193</v>
      </c>
    </row>
    <row r="22" ht="15" customHeight="1" spans="2:8">
      <c r="B22" s="101">
        <v>46062</v>
      </c>
      <c r="C22" s="97" t="s">
        <v>1197</v>
      </c>
      <c r="D22" s="97">
        <v>71172</v>
      </c>
      <c r="E22" s="97" t="s">
        <v>49</v>
      </c>
      <c r="F22" s="97">
        <v>12000</v>
      </c>
      <c r="G22" s="102">
        <v>46112</v>
      </c>
      <c r="H22" s="100" t="s">
        <v>1193</v>
      </c>
    </row>
    <row r="23" ht="15" customHeight="1" spans="2:8">
      <c r="B23" s="101">
        <v>46090</v>
      </c>
      <c r="C23" s="97" t="s">
        <v>1198</v>
      </c>
      <c r="D23" s="97">
        <v>71172</v>
      </c>
      <c r="E23" s="97" t="s">
        <v>49</v>
      </c>
      <c r="F23" s="97">
        <v>20000</v>
      </c>
      <c r="G23" s="102" t="s">
        <v>1199</v>
      </c>
      <c r="H23" s="100" t="s">
        <v>1193</v>
      </c>
    </row>
    <row r="24" ht="15" customHeight="1" spans="2:8">
      <c r="B24" s="101">
        <v>46125</v>
      </c>
      <c r="C24" s="97" t="s">
        <v>1200</v>
      </c>
      <c r="D24" s="97">
        <v>71172</v>
      </c>
      <c r="E24" s="97" t="s">
        <v>49</v>
      </c>
      <c r="F24" s="97">
        <v>52000</v>
      </c>
      <c r="G24" s="102" t="s">
        <v>1201</v>
      </c>
      <c r="H24" s="100" t="s">
        <v>1193</v>
      </c>
    </row>
    <row r="25" ht="15" customHeight="1" spans="2:8">
      <c r="B25" s="104">
        <v>46157</v>
      </c>
      <c r="C25" s="105" t="s">
        <v>1202</v>
      </c>
      <c r="D25" s="105">
        <v>71172</v>
      </c>
      <c r="E25" s="105" t="s">
        <v>49</v>
      </c>
      <c r="F25" s="105">
        <v>20000</v>
      </c>
      <c r="G25" s="103" t="s">
        <v>1203</v>
      </c>
      <c r="H25" s="106" t="s">
        <v>1193</v>
      </c>
    </row>
    <row r="26" ht="15" customHeight="1" spans="2:8">
      <c r="B26" s="104">
        <v>46169</v>
      </c>
      <c r="C26" s="105" t="s">
        <v>1204</v>
      </c>
      <c r="D26" s="105">
        <v>71172</v>
      </c>
      <c r="E26" s="105" t="s">
        <v>49</v>
      </c>
      <c r="F26" s="105">
        <v>20000</v>
      </c>
      <c r="G26" s="103">
        <v>46184</v>
      </c>
      <c r="H26" s="106" t="s">
        <v>1193</v>
      </c>
    </row>
    <row r="27" ht="15" customHeight="1" spans="2:8">
      <c r="B27" s="104">
        <v>46189</v>
      </c>
      <c r="C27" s="105" t="s">
        <v>1205</v>
      </c>
      <c r="D27" s="105">
        <v>71172</v>
      </c>
      <c r="E27" s="105" t="s">
        <v>49</v>
      </c>
      <c r="F27" s="105">
        <v>20000</v>
      </c>
      <c r="G27" s="118" t="s">
        <v>1206</v>
      </c>
      <c r="H27" s="106" t="s">
        <v>1193</v>
      </c>
    </row>
    <row r="28" ht="15" customHeight="1" spans="2:8">
      <c r="B28" s="104">
        <v>46205</v>
      </c>
      <c r="C28" s="119" t="s">
        <v>1207</v>
      </c>
      <c r="D28" s="105">
        <v>71172</v>
      </c>
      <c r="E28" s="105" t="s">
        <v>49</v>
      </c>
      <c r="F28" s="105">
        <v>60000</v>
      </c>
      <c r="G28" s="118" t="s">
        <v>1208</v>
      </c>
      <c r="H28" s="106" t="s">
        <v>1193</v>
      </c>
    </row>
    <row r="29" ht="30" customHeight="1" spans="2:8">
      <c r="B29" s="109">
        <v>46232</v>
      </c>
      <c r="C29" s="120" t="s">
        <v>1209</v>
      </c>
      <c r="D29" s="110">
        <v>71172</v>
      </c>
      <c r="E29" s="110" t="s">
        <v>49</v>
      </c>
      <c r="F29" s="110">
        <v>48000</v>
      </c>
      <c r="G29" s="121" t="s">
        <v>1210</v>
      </c>
      <c r="H29" s="122" t="s">
        <v>1211</v>
      </c>
    </row>
    <row r="30" ht="15" customHeight="1" spans="2:8">
      <c r="B30" s="104"/>
      <c r="C30" s="119"/>
      <c r="D30" s="105"/>
      <c r="E30" s="123"/>
      <c r="F30" s="105"/>
      <c r="G30" s="118"/>
      <c r="H30" s="106"/>
    </row>
    <row r="31" ht="15" customHeight="1" spans="2:8">
      <c r="B31" s="101"/>
      <c r="C31" s="97"/>
      <c r="D31" s="97"/>
      <c r="E31" s="124"/>
      <c r="F31" s="97"/>
      <c r="G31" s="102"/>
      <c r="H31" s="100"/>
    </row>
    <row r="32" ht="15" customHeight="1" spans="2:8">
      <c r="B32" s="96"/>
      <c r="C32" s="97"/>
      <c r="D32" s="97"/>
      <c r="E32" s="96"/>
      <c r="F32" s="110">
        <f>SUM(F18:F31)</f>
        <v>380000</v>
      </c>
      <c r="G32" s="113"/>
      <c r="H32" s="100"/>
    </row>
    <row r="33" ht="15" customHeight="1" spans="2:8">
      <c r="B33" s="96" t="s">
        <v>1179</v>
      </c>
      <c r="C33" s="97"/>
      <c r="D33" s="97"/>
      <c r="E33" s="97"/>
      <c r="F33" s="97">
        <f>F10</f>
        <v>185092</v>
      </c>
      <c r="G33" s="113"/>
      <c r="H33" s="100"/>
    </row>
    <row r="34" ht="15" customHeight="1" spans="2:8">
      <c r="B34" s="96" t="s">
        <v>1212</v>
      </c>
      <c r="C34" s="97"/>
      <c r="D34" s="97"/>
      <c r="E34" s="97"/>
      <c r="F34" s="97">
        <f>F32-F33</f>
        <v>194908</v>
      </c>
      <c r="G34" s="113"/>
      <c r="H34" s="100"/>
    </row>
    <row r="35" ht="15" customHeight="1" spans="2:8">
      <c r="B35" s="96" t="s">
        <v>1213</v>
      </c>
      <c r="C35" s="97"/>
      <c r="D35" s="97"/>
      <c r="E35" s="97"/>
      <c r="F35" s="97">
        <f>F32-F9</f>
        <v>130000</v>
      </c>
      <c r="G35" s="113"/>
      <c r="H35" s="100"/>
    </row>
    <row r="36" ht="15" customHeight="1" spans="2:8">
      <c r="B36" s="96"/>
      <c r="C36" s="97"/>
      <c r="D36" s="97"/>
      <c r="E36" s="97"/>
      <c r="F36" s="97"/>
      <c r="G36" s="113"/>
      <c r="H36" s="100"/>
    </row>
    <row r="37" ht="15" customHeight="1" spans="2:8">
      <c r="B37" s="96"/>
      <c r="C37" s="97"/>
      <c r="D37" s="97"/>
      <c r="E37" s="97"/>
      <c r="F37" s="97"/>
      <c r="G37" s="113"/>
      <c r="H37" s="100"/>
    </row>
    <row r="38" ht="15" customHeight="1" spans="2:8">
      <c r="B38" s="96"/>
      <c r="C38" s="97"/>
      <c r="D38" s="97"/>
      <c r="E38" s="97"/>
      <c r="F38" s="97"/>
      <c r="G38" s="113"/>
      <c r="H38" s="100"/>
    </row>
    <row r="39" ht="15" customHeight="1" spans="2:8">
      <c r="B39" s="96"/>
      <c r="C39" s="97"/>
      <c r="D39" s="97"/>
      <c r="E39" s="97"/>
      <c r="F39" s="97"/>
      <c r="G39" s="113"/>
      <c r="H39" s="100"/>
    </row>
    <row r="40" ht="15" customHeight="1" spans="2:8">
      <c r="B40" s="125"/>
      <c r="C40" s="126"/>
      <c r="D40" s="126"/>
      <c r="E40" s="126"/>
      <c r="F40" s="126"/>
      <c r="G40" s="127"/>
      <c r="H40" s="128"/>
    </row>
  </sheetData>
  <sheetProtection formatCells="0" formatColumns="0" formatRows="0" insertRows="0" insertColumns="0" insertHyperlinks="0" deleteColumns="0" deleteRows="0" sort="0" autoFilter="0" pivotTables="0"/>
  <mergeCells count="15">
    <mergeCell ref="B1:H1"/>
    <mergeCell ref="B15:H15"/>
    <mergeCell ref="B2:B3"/>
    <mergeCell ref="B16:B17"/>
    <mergeCell ref="C2:C3"/>
    <mergeCell ref="C16:C17"/>
    <mergeCell ref="D2:D3"/>
    <mergeCell ref="D16:D17"/>
    <mergeCell ref="E2:E3"/>
    <mergeCell ref="E16:E17"/>
    <mergeCell ref="F2:F3"/>
    <mergeCell ref="G2:G3"/>
    <mergeCell ref="G16:G17"/>
    <mergeCell ref="H2:H3"/>
    <mergeCell ref="H16:H17"/>
  </mergeCells>
  <pageMargins left="0.235416666666667" right="0.235416666666667" top="0" bottom="0" header="0" footer="0"/>
  <pageSetup paperSize="9" orientation="landscape"/>
  <headerFooter/>
  <colBreaks count="1" manualBreakCount="1">
    <brk id="8" max="1048575" man="1"/>
  </col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G21" sqref="G2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9"/>
  <sheetViews>
    <sheetView workbookViewId="0">
      <selection activeCell="A245" sqref="$A245:$XFD245"/>
    </sheetView>
  </sheetViews>
  <sheetFormatPr defaultColWidth="9" defaultRowHeight="13.5"/>
  <cols>
    <col min="1" max="3" width="9" style="5"/>
    <col min="4" max="5" width="10.0916666666667" style="5"/>
    <col min="6" max="6" width="13.4583333333333" style="5" customWidth="1"/>
    <col min="7" max="18" width="9" style="5"/>
    <col min="19" max="19" width="10.0916666666667" style="5"/>
    <col min="20" max="20" width="9.275" style="5"/>
    <col min="21" max="26" width="9" style="5"/>
    <col min="27" max="27" width="9.275" style="5"/>
    <col min="28" max="46" width="9" style="5"/>
    <col min="47" max="47" width="11.6333333333333" style="5" customWidth="1"/>
    <col min="48" max="16384" width="9" style="5"/>
  </cols>
  <sheetData>
    <row r="1" s="1" customFormat="1" ht="39" customHeight="1" spans="1:48 16351:16384">
      <c r="A1" s="6" t="s">
        <v>0</v>
      </c>
      <c r="B1" s="7" t="s">
        <v>1</v>
      </c>
      <c r="C1" s="7" t="s">
        <v>2</v>
      </c>
      <c r="D1" s="8" t="s">
        <v>3</v>
      </c>
      <c r="E1" s="9" t="s">
        <v>4</v>
      </c>
      <c r="F1" s="9" t="s">
        <v>5</v>
      </c>
      <c r="G1" s="8" t="s">
        <v>6</v>
      </c>
      <c r="H1" s="8" t="s">
        <v>7</v>
      </c>
      <c r="I1" s="8" t="s">
        <v>8</v>
      </c>
      <c r="J1" s="8" t="s">
        <v>9</v>
      </c>
      <c r="K1" s="8" t="s">
        <v>10</v>
      </c>
      <c r="L1" s="8" t="s">
        <v>11</v>
      </c>
      <c r="M1" s="10" t="s">
        <v>12</v>
      </c>
      <c r="N1" s="11" t="s">
        <v>13</v>
      </c>
      <c r="O1" s="10" t="s">
        <v>14</v>
      </c>
      <c r="P1" s="11" t="s">
        <v>15</v>
      </c>
      <c r="Q1" s="7" t="s">
        <v>16</v>
      </c>
      <c r="R1" s="7" t="s">
        <v>1214</v>
      </c>
      <c r="S1" s="12" t="s">
        <v>18</v>
      </c>
      <c r="T1" s="12" t="s">
        <v>19</v>
      </c>
      <c r="U1" s="12" t="s">
        <v>20</v>
      </c>
      <c r="V1" s="10" t="s">
        <v>21</v>
      </c>
      <c r="W1" s="10" t="s">
        <v>22</v>
      </c>
      <c r="X1" s="10"/>
      <c r="Y1" s="13" t="s">
        <v>24</v>
      </c>
      <c r="Z1" s="8" t="s">
        <v>25</v>
      </c>
      <c r="AA1" s="8" t="s">
        <v>26</v>
      </c>
      <c r="AB1" s="8" t="s">
        <v>27</v>
      </c>
      <c r="AC1" s="8" t="s">
        <v>28</v>
      </c>
      <c r="AD1" s="9" t="s">
        <v>29</v>
      </c>
      <c r="AE1" s="8" t="s">
        <v>30</v>
      </c>
      <c r="AF1" s="8" t="s">
        <v>31</v>
      </c>
      <c r="AG1" s="8" t="s">
        <v>32</v>
      </c>
      <c r="AH1" s="7" t="s">
        <v>33</v>
      </c>
      <c r="AI1" s="8" t="s">
        <v>30</v>
      </c>
      <c r="AJ1" s="8" t="s">
        <v>34</v>
      </c>
      <c r="AK1" s="8" t="s">
        <v>35</v>
      </c>
      <c r="AL1" s="8" t="s">
        <v>36</v>
      </c>
      <c r="AM1" s="8" t="s">
        <v>35</v>
      </c>
      <c r="AN1" s="8" t="s">
        <v>37</v>
      </c>
      <c r="AO1" s="8" t="s">
        <v>38</v>
      </c>
      <c r="AP1" s="14" t="s">
        <v>39</v>
      </c>
      <c r="AQ1" s="14" t="s">
        <v>40</v>
      </c>
      <c r="AR1" s="14" t="s">
        <v>41</v>
      </c>
      <c r="AS1" s="14" t="s">
        <v>42</v>
      </c>
      <c r="AT1" s="15" t="s">
        <v>44</v>
      </c>
      <c r="AU1" s="16" t="s">
        <v>1215</v>
      </c>
    </row>
    <row r="2" s="2" customFormat="1" ht="39" customHeight="1" spans="1:48 16351:16384">
      <c r="A2" s="17">
        <v>46122</v>
      </c>
      <c r="B2" s="18" t="s">
        <v>1216</v>
      </c>
      <c r="C2" s="19" t="s">
        <v>1217</v>
      </c>
      <c r="D2" s="20" t="s">
        <v>1218</v>
      </c>
      <c r="E2" s="21" t="s">
        <v>1219</v>
      </c>
      <c r="F2" s="20" t="s">
        <v>1220</v>
      </c>
      <c r="G2" s="22" t="s">
        <v>59</v>
      </c>
      <c r="H2" s="21" t="s">
        <v>49</v>
      </c>
      <c r="I2" s="23">
        <v>936</v>
      </c>
      <c r="J2" s="22">
        <v>0</v>
      </c>
      <c r="K2" s="22">
        <v>4</v>
      </c>
      <c r="L2" s="22">
        <f t="shared" ref="L2:L9" si="0">I2/K2</f>
        <v>234</v>
      </c>
      <c r="M2" s="24">
        <v>46202</v>
      </c>
      <c r="N2" s="24">
        <v>46198</v>
      </c>
      <c r="O2" s="24"/>
      <c r="P2" s="24"/>
      <c r="Q2" s="24"/>
      <c r="R2" s="24"/>
      <c r="S2" s="12"/>
      <c r="T2" s="25">
        <v>46127</v>
      </c>
      <c r="U2" s="12">
        <v>46135</v>
      </c>
      <c r="V2" s="24"/>
      <c r="W2" s="24"/>
      <c r="X2" s="24"/>
      <c r="Y2" s="26" t="s">
        <v>1221</v>
      </c>
      <c r="Z2" s="21" t="s">
        <v>1222</v>
      </c>
      <c r="AA2" s="27">
        <v>9.86</v>
      </c>
      <c r="AB2" s="28">
        <f t="shared" ref="AB2:AB9" si="1">I2*AA2</f>
        <v>9228.96</v>
      </c>
      <c r="AC2" s="29"/>
      <c r="AD2" s="30"/>
      <c r="AE2" s="19"/>
      <c r="AF2" s="29"/>
      <c r="AG2" s="29"/>
      <c r="AH2" s="19"/>
      <c r="AI2" s="19"/>
      <c r="AJ2" s="30"/>
      <c r="AK2" s="29"/>
      <c r="AL2" s="30"/>
      <c r="AM2" s="29"/>
      <c r="AN2" s="29"/>
      <c r="AO2" s="29">
        <f t="shared" ref="AO2:AO9" si="2">I2</f>
        <v>936</v>
      </c>
      <c r="AP2" s="29">
        <f t="shared" ref="AP2:AP7" si="3">I2</f>
        <v>936</v>
      </c>
      <c r="AQ2" s="29"/>
      <c r="AR2" s="29">
        <f>I2</f>
        <v>936</v>
      </c>
      <c r="AS2" s="29"/>
      <c r="AT2" s="29"/>
      <c r="AU2" s="31">
        <v>46162</v>
      </c>
    </row>
    <row r="3" s="2" customFormat="1" ht="39" customHeight="1" spans="1:48 16351:16384">
      <c r="A3" s="17">
        <v>46122</v>
      </c>
      <c r="B3" s="18" t="s">
        <v>1216</v>
      </c>
      <c r="C3" s="19" t="s">
        <v>1217</v>
      </c>
      <c r="D3" s="20" t="s">
        <v>1223</v>
      </c>
      <c r="E3" s="21" t="s">
        <v>1224</v>
      </c>
      <c r="F3" s="20" t="s">
        <v>1225</v>
      </c>
      <c r="G3" s="22" t="s">
        <v>59</v>
      </c>
      <c r="H3" s="21" t="s">
        <v>49</v>
      </c>
      <c r="I3" s="23">
        <v>368</v>
      </c>
      <c r="J3" s="22">
        <v>0</v>
      </c>
      <c r="K3" s="22">
        <v>4</v>
      </c>
      <c r="L3" s="22">
        <f t="shared" si="0"/>
        <v>92</v>
      </c>
      <c r="M3" s="24">
        <v>46202</v>
      </c>
      <c r="N3" s="24">
        <v>46198</v>
      </c>
      <c r="O3" s="24"/>
      <c r="P3" s="24"/>
      <c r="Q3" s="24"/>
      <c r="R3" s="24"/>
      <c r="S3" s="12"/>
      <c r="T3" s="25">
        <v>46127</v>
      </c>
      <c r="U3" s="12">
        <v>46135</v>
      </c>
      <c r="V3" s="24"/>
      <c r="W3" s="24"/>
      <c r="X3" s="24"/>
      <c r="Y3" s="26" t="s">
        <v>1226</v>
      </c>
      <c r="Z3" s="21" t="s">
        <v>1222</v>
      </c>
      <c r="AA3" s="27">
        <v>9.86</v>
      </c>
      <c r="AB3" s="28">
        <f t="shared" si="1"/>
        <v>3628.48</v>
      </c>
      <c r="AC3" s="29"/>
      <c r="AD3" s="30"/>
      <c r="AE3" s="19"/>
      <c r="AF3" s="29"/>
      <c r="AG3" s="29"/>
      <c r="AH3" s="19"/>
      <c r="AI3" s="19"/>
      <c r="AJ3" s="30"/>
      <c r="AK3" s="29"/>
      <c r="AL3" s="30"/>
      <c r="AM3" s="29"/>
      <c r="AN3" s="29"/>
      <c r="AO3" s="29">
        <f t="shared" si="2"/>
        <v>368</v>
      </c>
      <c r="AP3" s="29">
        <f t="shared" si="3"/>
        <v>368</v>
      </c>
      <c r="AQ3" s="29"/>
      <c r="AR3" s="29">
        <f>I3</f>
        <v>368</v>
      </c>
      <c r="AS3" s="29"/>
      <c r="AT3" s="29"/>
      <c r="AU3" s="31">
        <v>46162</v>
      </c>
    </row>
    <row r="4" s="2" customFormat="1" ht="39" customHeight="1" spans="1:48 16351:16384">
      <c r="A4" s="17">
        <v>46122</v>
      </c>
      <c r="B4" s="18" t="s">
        <v>1216</v>
      </c>
      <c r="C4" s="19" t="s">
        <v>1217</v>
      </c>
      <c r="D4" s="20" t="s">
        <v>1227</v>
      </c>
      <c r="E4" s="21" t="s">
        <v>1219</v>
      </c>
      <c r="F4" s="20" t="s">
        <v>1228</v>
      </c>
      <c r="G4" s="22" t="s">
        <v>59</v>
      </c>
      <c r="H4" s="21" t="s">
        <v>49</v>
      </c>
      <c r="I4" s="23">
        <v>468</v>
      </c>
      <c r="J4" s="22">
        <v>0</v>
      </c>
      <c r="K4" s="22">
        <v>4</v>
      </c>
      <c r="L4" s="22">
        <f t="shared" si="0"/>
        <v>117</v>
      </c>
      <c r="M4" s="24">
        <v>46227</v>
      </c>
      <c r="N4" s="24">
        <v>46223</v>
      </c>
      <c r="O4" s="24"/>
      <c r="P4" s="24"/>
      <c r="Q4" s="24"/>
      <c r="R4" s="24"/>
      <c r="S4" s="12"/>
      <c r="T4" s="25">
        <v>46127</v>
      </c>
      <c r="U4" s="12">
        <v>46135</v>
      </c>
      <c r="V4" s="24"/>
      <c r="W4" s="24"/>
      <c r="X4" s="24"/>
      <c r="Y4" s="26" t="s">
        <v>1229</v>
      </c>
      <c r="Z4" s="21" t="s">
        <v>1222</v>
      </c>
      <c r="AA4" s="27">
        <v>9.86</v>
      </c>
      <c r="AB4" s="28">
        <f t="shared" si="1"/>
        <v>4614.48</v>
      </c>
      <c r="AC4" s="29"/>
      <c r="AD4" s="30"/>
      <c r="AE4" s="19"/>
      <c r="AF4" s="29"/>
      <c r="AG4" s="29"/>
      <c r="AH4" s="19"/>
      <c r="AI4" s="19"/>
      <c r="AJ4" s="30"/>
      <c r="AK4" s="29"/>
      <c r="AL4" s="30"/>
      <c r="AM4" s="29"/>
      <c r="AN4" s="29"/>
      <c r="AO4" s="29">
        <f t="shared" si="2"/>
        <v>468</v>
      </c>
      <c r="AP4" s="29">
        <f t="shared" si="3"/>
        <v>468</v>
      </c>
      <c r="AQ4" s="29"/>
      <c r="AR4" s="29">
        <f>I4</f>
        <v>468</v>
      </c>
      <c r="AS4" s="29"/>
      <c r="AT4" s="29"/>
      <c r="AU4" s="31">
        <v>46162</v>
      </c>
    </row>
    <row r="5" s="2" customFormat="1" ht="39" customHeight="1" spans="1:48 16351:16384">
      <c r="A5" s="17">
        <v>46122</v>
      </c>
      <c r="B5" s="18" t="s">
        <v>1216</v>
      </c>
      <c r="C5" s="19" t="s">
        <v>1217</v>
      </c>
      <c r="D5" s="20" t="s">
        <v>1230</v>
      </c>
      <c r="E5" s="21" t="s">
        <v>1224</v>
      </c>
      <c r="F5" s="20" t="s">
        <v>1231</v>
      </c>
      <c r="G5" s="22" t="s">
        <v>59</v>
      </c>
      <c r="H5" s="21" t="s">
        <v>49</v>
      </c>
      <c r="I5" s="23">
        <v>184</v>
      </c>
      <c r="J5" s="22">
        <v>0</v>
      </c>
      <c r="K5" s="22">
        <v>4</v>
      </c>
      <c r="L5" s="22">
        <f t="shared" si="0"/>
        <v>46</v>
      </c>
      <c r="M5" s="24">
        <v>46227</v>
      </c>
      <c r="N5" s="24">
        <v>46223</v>
      </c>
      <c r="O5" s="24"/>
      <c r="P5" s="24"/>
      <c r="Q5" s="24"/>
      <c r="R5" s="24"/>
      <c r="S5" s="12"/>
      <c r="T5" s="25">
        <v>46127</v>
      </c>
      <c r="U5" s="12">
        <v>46135</v>
      </c>
      <c r="V5" s="24"/>
      <c r="W5" s="24"/>
      <c r="X5" s="24"/>
      <c r="Y5" s="26" t="s">
        <v>1226</v>
      </c>
      <c r="Z5" s="21" t="s">
        <v>213</v>
      </c>
      <c r="AA5" s="27">
        <v>9.86</v>
      </c>
      <c r="AB5" s="28">
        <f t="shared" si="1"/>
        <v>1814.24</v>
      </c>
      <c r="AC5" s="29"/>
      <c r="AD5" s="30"/>
      <c r="AE5" s="19"/>
      <c r="AF5" s="29"/>
      <c r="AG5" s="29"/>
      <c r="AH5" s="19"/>
      <c r="AI5" s="19"/>
      <c r="AJ5" s="30"/>
      <c r="AK5" s="29"/>
      <c r="AL5" s="30"/>
      <c r="AM5" s="29"/>
      <c r="AN5" s="29"/>
      <c r="AO5" s="29">
        <f t="shared" si="2"/>
        <v>184</v>
      </c>
      <c r="AP5" s="29">
        <f t="shared" si="3"/>
        <v>184</v>
      </c>
      <c r="AQ5" s="29"/>
      <c r="AR5" s="29">
        <f>I5</f>
        <v>184</v>
      </c>
      <c r="AS5" s="29"/>
      <c r="AT5" s="29"/>
      <c r="AU5" s="31">
        <v>46162</v>
      </c>
    </row>
    <row r="6" s="3" customFormat="1" ht="39" customHeight="1" spans="1:48 16351:16384">
      <c r="A6" s="32">
        <v>46112</v>
      </c>
      <c r="B6" s="33" t="s">
        <v>1232</v>
      </c>
      <c r="C6" s="34" t="s">
        <v>69</v>
      </c>
      <c r="D6" s="35" t="s">
        <v>1233</v>
      </c>
      <c r="E6" s="36" t="s">
        <v>1234</v>
      </c>
      <c r="F6" s="35" t="s">
        <v>1235</v>
      </c>
      <c r="G6" s="37" t="s">
        <v>136</v>
      </c>
      <c r="H6" s="36" t="s">
        <v>1236</v>
      </c>
      <c r="I6" s="35">
        <v>532</v>
      </c>
      <c r="J6" s="37">
        <v>0</v>
      </c>
      <c r="K6" s="37">
        <v>4</v>
      </c>
      <c r="L6" s="37">
        <f t="shared" si="0"/>
        <v>133</v>
      </c>
      <c r="M6" s="38">
        <v>46240</v>
      </c>
      <c r="N6" s="38">
        <v>46237</v>
      </c>
      <c r="O6" s="38" t="s">
        <v>50</v>
      </c>
      <c r="P6" s="38"/>
      <c r="Q6" s="38"/>
      <c r="R6" s="38"/>
      <c r="S6" s="39" t="s">
        <v>61</v>
      </c>
      <c r="T6" s="40">
        <v>46112</v>
      </c>
      <c r="U6" s="39" t="s">
        <v>73</v>
      </c>
      <c r="V6" s="38"/>
      <c r="W6" s="38"/>
      <c r="X6" s="38"/>
      <c r="Y6" s="41" t="s">
        <v>1237</v>
      </c>
      <c r="Z6" s="36" t="s">
        <v>192</v>
      </c>
      <c r="AA6" s="42">
        <v>9.86</v>
      </c>
      <c r="AB6" s="43">
        <f t="shared" si="1"/>
        <v>5245.52</v>
      </c>
      <c r="AC6" s="44"/>
      <c r="AD6" s="45" t="s">
        <v>142</v>
      </c>
      <c r="AE6" s="34" t="s">
        <v>56</v>
      </c>
      <c r="AF6" s="44"/>
      <c r="AG6" s="44"/>
      <c r="AH6" s="34"/>
      <c r="AI6" s="34"/>
      <c r="AJ6" s="45"/>
      <c r="AK6" s="44"/>
      <c r="AL6" s="45"/>
      <c r="AM6" s="44"/>
      <c r="AN6" s="44"/>
      <c r="AO6" s="44">
        <f t="shared" si="2"/>
        <v>532</v>
      </c>
      <c r="AP6" s="44">
        <f t="shared" si="3"/>
        <v>532</v>
      </c>
      <c r="AQ6" s="44"/>
      <c r="AR6" s="44">
        <f>I6</f>
        <v>532</v>
      </c>
      <c r="AS6" s="44"/>
      <c r="AT6" s="46"/>
      <c r="AU6" s="31">
        <v>46185</v>
      </c>
    </row>
    <row r="7" s="3" customFormat="1" ht="39" customHeight="1" spans="1:48 16351:16384">
      <c r="A7" s="32">
        <v>46112</v>
      </c>
      <c r="B7" s="33" t="s">
        <v>1232</v>
      </c>
      <c r="C7" s="34" t="s">
        <v>69</v>
      </c>
      <c r="D7" s="35" t="s">
        <v>1238</v>
      </c>
      <c r="E7" s="36" t="s">
        <v>1239</v>
      </c>
      <c r="F7" s="35" t="s">
        <v>1240</v>
      </c>
      <c r="G7" s="37" t="s">
        <v>136</v>
      </c>
      <c r="H7" s="36" t="s">
        <v>1236</v>
      </c>
      <c r="I7" s="35">
        <v>532</v>
      </c>
      <c r="J7" s="37">
        <v>0</v>
      </c>
      <c r="K7" s="37">
        <v>4</v>
      </c>
      <c r="L7" s="37">
        <f t="shared" si="0"/>
        <v>133</v>
      </c>
      <c r="M7" s="38">
        <v>46205</v>
      </c>
      <c r="N7" s="38">
        <v>46202</v>
      </c>
      <c r="O7" s="38" t="s">
        <v>50</v>
      </c>
      <c r="P7" s="38"/>
      <c r="Q7" s="38"/>
      <c r="R7" s="38"/>
      <c r="S7" s="39" t="s">
        <v>61</v>
      </c>
      <c r="T7" s="40">
        <v>46112</v>
      </c>
      <c r="U7" s="39" t="s">
        <v>73</v>
      </c>
      <c r="V7" s="38"/>
      <c r="W7" s="38"/>
      <c r="X7" s="38"/>
      <c r="Y7" s="41" t="s">
        <v>1241</v>
      </c>
      <c r="Z7" s="36" t="s">
        <v>192</v>
      </c>
      <c r="AA7" s="42">
        <v>9.86</v>
      </c>
      <c r="AB7" s="43">
        <f t="shared" si="1"/>
        <v>5245.52</v>
      </c>
      <c r="AC7" s="44"/>
      <c r="AD7" s="45" t="s">
        <v>142</v>
      </c>
      <c r="AE7" s="34" t="s">
        <v>56</v>
      </c>
      <c r="AF7" s="44"/>
      <c r="AG7" s="44"/>
      <c r="AH7" s="34"/>
      <c r="AI7" s="34"/>
      <c r="AJ7" s="45"/>
      <c r="AK7" s="44"/>
      <c r="AL7" s="45"/>
      <c r="AM7" s="44"/>
      <c r="AN7" s="44"/>
      <c r="AO7" s="44">
        <f t="shared" si="2"/>
        <v>532</v>
      </c>
      <c r="AP7" s="44">
        <f t="shared" si="3"/>
        <v>532</v>
      </c>
      <c r="AQ7" s="44"/>
      <c r="AR7" s="44">
        <f>AO7</f>
        <v>532</v>
      </c>
      <c r="AS7" s="44"/>
      <c r="AT7" s="46"/>
      <c r="AU7" s="31">
        <v>46185</v>
      </c>
    </row>
    <row r="8" s="3" customFormat="1" ht="39" customHeight="1" spans="1:48 16351:16384">
      <c r="A8" s="47">
        <v>46178</v>
      </c>
      <c r="B8" s="48" t="s">
        <v>1242</v>
      </c>
      <c r="C8" s="48" t="s">
        <v>46</v>
      </c>
      <c r="D8" s="49">
        <v>4500210838</v>
      </c>
      <c r="E8" s="50"/>
      <c r="F8" s="50" t="s">
        <v>1243</v>
      </c>
      <c r="G8" s="49" t="s">
        <v>59</v>
      </c>
      <c r="H8" s="49" t="s">
        <v>49</v>
      </c>
      <c r="I8" s="49">
        <v>320</v>
      </c>
      <c r="J8" s="49">
        <v>0</v>
      </c>
      <c r="K8" s="49">
        <v>4</v>
      </c>
      <c r="L8" s="49">
        <f t="shared" si="0"/>
        <v>80</v>
      </c>
      <c r="M8" s="51">
        <v>46255</v>
      </c>
      <c r="N8" s="52">
        <v>46251</v>
      </c>
      <c r="O8" s="51"/>
      <c r="P8" s="52"/>
      <c r="Q8" s="48"/>
      <c r="R8" s="48"/>
      <c r="S8" s="53"/>
      <c r="T8" s="53">
        <v>46202</v>
      </c>
      <c r="U8" s="53" t="s">
        <v>1244</v>
      </c>
      <c r="V8" s="51"/>
      <c r="W8" s="51"/>
      <c r="X8" s="51"/>
      <c r="Y8" s="49" t="s">
        <v>1245</v>
      </c>
      <c r="Z8" s="49" t="s">
        <v>1246</v>
      </c>
      <c r="AA8" s="54">
        <v>11.9558</v>
      </c>
      <c r="AB8" s="49">
        <f t="shared" si="1"/>
        <v>3825.856</v>
      </c>
      <c r="AC8" s="49"/>
      <c r="AD8" s="55" t="s">
        <v>247</v>
      </c>
      <c r="AE8" s="49" t="s">
        <v>56</v>
      </c>
      <c r="AF8" s="56"/>
      <c r="AG8" s="56"/>
      <c r="AH8" s="56"/>
      <c r="AI8" s="56"/>
      <c r="AJ8" s="56"/>
      <c r="AK8" s="57"/>
      <c r="AL8" s="58"/>
      <c r="AM8" s="58"/>
      <c r="AN8" s="58"/>
      <c r="AO8" s="59">
        <f t="shared" si="2"/>
        <v>320</v>
      </c>
      <c r="AP8" s="56">
        <f>AO8</f>
        <v>320</v>
      </c>
      <c r="AQ8" s="58"/>
      <c r="AR8" s="56"/>
      <c r="AS8" s="56">
        <f>AO8</f>
        <v>320</v>
      </c>
      <c r="AT8" s="56"/>
      <c r="AU8" s="60">
        <v>46219</v>
      </c>
      <c r="AV8" s="61"/>
      <c r="XEE8" s="62"/>
      <c r="XEF8" s="62"/>
      <c r="XEG8" s="62"/>
      <c r="XEH8" s="62"/>
      <c r="XEI8" s="62"/>
      <c r="XEJ8" s="62"/>
      <c r="XEK8" s="62"/>
      <c r="XEL8" s="62"/>
      <c r="XEM8" s="62"/>
      <c r="XEN8" s="63"/>
      <c r="XEO8" s="63"/>
      <c r="XEP8" s="63"/>
      <c r="XEQ8" s="63"/>
      <c r="XER8" s="63"/>
      <c r="XES8" s="63"/>
      <c r="XET8" s="63"/>
      <c r="XEU8" s="63"/>
      <c r="XEV8" s="63"/>
      <c r="XEW8" s="63"/>
      <c r="XEX8" s="47"/>
      <c r="XEY8" s="48"/>
      <c r="XEZ8" s="48"/>
      <c r="XFA8" s="49"/>
      <c r="XFB8" s="50"/>
      <c r="XFC8" s="50"/>
      <c r="XFD8" s="49"/>
    </row>
    <row r="9" s="4" customFormat="1" ht="39" customHeight="1" spans="1:48 16351:16384">
      <c r="A9" s="64">
        <v>46233</v>
      </c>
      <c r="B9" s="65" t="s">
        <v>522</v>
      </c>
      <c r="C9" s="65" t="s">
        <v>77</v>
      </c>
      <c r="D9" s="66">
        <v>4500218205</v>
      </c>
      <c r="E9" s="67" t="s">
        <v>1247</v>
      </c>
      <c r="F9" s="67" t="s">
        <v>1248</v>
      </c>
      <c r="G9" s="66" t="s">
        <v>59</v>
      </c>
      <c r="H9" s="66" t="s">
        <v>49</v>
      </c>
      <c r="I9" s="66">
        <v>2920</v>
      </c>
      <c r="J9" s="66">
        <v>0</v>
      </c>
      <c r="K9" s="68">
        <v>4</v>
      </c>
      <c r="L9" s="68">
        <f t="shared" si="0"/>
        <v>730</v>
      </c>
      <c r="M9" s="69">
        <v>46282</v>
      </c>
      <c r="N9" s="70">
        <v>46279</v>
      </c>
      <c r="O9" s="69"/>
      <c r="P9" s="70"/>
      <c r="Q9" s="69"/>
      <c r="R9" s="65"/>
      <c r="S9" s="71" t="s">
        <v>61</v>
      </c>
      <c r="T9" s="71" t="s">
        <v>1041</v>
      </c>
      <c r="U9" s="71" t="s">
        <v>1041</v>
      </c>
      <c r="V9" s="69"/>
      <c r="W9" s="69"/>
      <c r="X9" s="69"/>
      <c r="Y9" s="66" t="s">
        <v>1249</v>
      </c>
      <c r="Z9" s="66" t="s">
        <v>526</v>
      </c>
      <c r="AA9" s="72">
        <v>6.6478</v>
      </c>
      <c r="AB9" s="66">
        <f t="shared" si="1"/>
        <v>19411.576</v>
      </c>
      <c r="AC9" s="66"/>
      <c r="AD9" s="73" t="s">
        <v>55</v>
      </c>
      <c r="AE9" s="74" t="s">
        <v>56</v>
      </c>
      <c r="AF9" s="75"/>
      <c r="AG9" s="76"/>
      <c r="AH9" s="77"/>
      <c r="AI9" s="78"/>
      <c r="AJ9" s="78"/>
      <c r="AK9" s="77"/>
      <c r="AL9" s="78"/>
      <c r="AM9" s="79"/>
      <c r="AO9" s="77">
        <f t="shared" si="2"/>
        <v>2920</v>
      </c>
      <c r="AP9" s="77">
        <f>I9</f>
        <v>2920</v>
      </c>
      <c r="AS9" s="77">
        <f>AO9</f>
        <v>2920</v>
      </c>
      <c r="AU9" s="80">
        <v>46244</v>
      </c>
      <c r="XDW9" s="78"/>
      <c r="XDX9" s="78"/>
      <c r="XDY9" s="78"/>
      <c r="XDZ9" s="78"/>
      <c r="XEA9" s="78"/>
      <c r="XEB9" s="78"/>
      <c r="XEC9" s="78"/>
      <c r="XED9" s="78"/>
      <c r="XEE9" s="78"/>
      <c r="XEF9" s="64"/>
      <c r="XEG9" s="65"/>
      <c r="XEH9" s="65"/>
      <c r="XEI9" s="66"/>
      <c r="XEJ9" s="67"/>
      <c r="XEK9" s="67"/>
      <c r="XEL9" s="66"/>
      <c r="XEM9" s="66"/>
      <c r="XEN9" s="66"/>
      <c r="XEO9" s="64"/>
      <c r="XEP9" s="65"/>
      <c r="XEQ9" s="65"/>
      <c r="XER9" s="66"/>
      <c r="XES9" s="67"/>
      <c r="XET9" s="67"/>
      <c r="XEU9" s="66"/>
      <c r="XEV9" s="66"/>
      <c r="XEW9" s="64"/>
      <c r="XEX9" s="65"/>
      <c r="XEY9" s="65"/>
      <c r="XEZ9" s="66"/>
      <c r="XFA9" s="67"/>
      <c r="XFB9" s="67"/>
      <c r="XFC9" s="66"/>
      <c r="XFD9" s="66"/>
    </row>
  </sheetData>
  <sheetProtection formatCells="0" formatColumns="0" formatRows="0" insertRows="0" insertColumns="0" insertHyperlinks="0" deleteColumns="0" deleteRows="0" sort="0" autoFilter="0" pivotTables="0"/>
  <autoFilter xmlns:etc="http://www.wps.cn/officeDocument/2017/etCustomData" ref="A1:AS9" etc:filterBottomFollowUsedRange="0">
    <extLst/>
  </autoFilter>
  <conditionalFormatting sqref="S6:T6">
    <cfRule type="containsText" dxfId="0" priority="9" operator="between" text="欠">
      <formula>NOT(ISERROR(SEARCH("欠",S6)))</formula>
    </cfRule>
  </conditionalFormatting>
  <conditionalFormatting sqref="U6">
    <cfRule type="containsText" dxfId="0" priority="8" operator="between" text="欠">
      <formula>NOT(ISERROR(SEARCH("欠",U6)))</formula>
    </cfRule>
  </conditionalFormatting>
  <conditionalFormatting sqref="S7:T7">
    <cfRule type="containsText" dxfId="0" priority="7" operator="between" text="欠">
      <formula>NOT(ISERROR(SEARCH("欠",S7)))</formula>
    </cfRule>
  </conditionalFormatting>
  <conditionalFormatting sqref="U7">
    <cfRule type="containsText" dxfId="0" priority="6" operator="between" text="欠">
      <formula>NOT(ISERROR(SEARCH("欠",U7)))</formula>
    </cfRule>
  </conditionalFormatting>
  <conditionalFormatting sqref="S8">
    <cfRule type="containsText" dxfId="0" priority="5" operator="between" text="欠">
      <formula>NOT(ISERROR(SEARCH("欠",S8)))</formula>
    </cfRule>
  </conditionalFormatting>
  <conditionalFormatting sqref="T8">
    <cfRule type="containsText" dxfId="0" priority="4" operator="between" text="欠">
      <formula>NOT(ISERROR(SEARCH("欠",T8)))</formula>
    </cfRule>
  </conditionalFormatting>
  <conditionalFormatting sqref="U8">
    <cfRule type="containsText" dxfId="0" priority="3" operator="between" text="欠">
      <formula>NOT(ISERROR(SEARCH("欠",U8)))</formula>
    </cfRule>
  </conditionalFormatting>
  <conditionalFormatting sqref="S9:T9">
    <cfRule type="containsText" dxfId="0" priority="2" operator="between" text="欠">
      <formula>NOT(ISERROR(SEARCH("欠",S9)))</formula>
    </cfRule>
  </conditionalFormatting>
  <conditionalFormatting sqref="U9">
    <cfRule type="containsText" dxfId="0" priority="1" operator="between" text="欠">
      <formula>NOT(ISERROR(SEARCH("欠",U9)))</formula>
    </cfRule>
  </conditionalFormatting>
  <conditionalFormatting sqref="S1:U5">
    <cfRule type="containsText" dxfId="0" priority="10" operator="between" text="欠">
      <formula>NOT(ISERROR(SEARCH("欠",S1)))</formula>
    </cfRule>
  </conditionalFormatting>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12" master="" otherUserPermission="visible">
    <arrUserId title="Range1" rangeCreator="" othersAccessPermission="visible">
      <userID accessPermission="edit">1475153551</userID>
      <userID accessPermission="edit">1474966847</userID>
      <userID accessPermission="edit">1474709007</userID>
      <userID accessPermission="edit">1715258932</userID>
      <userID accessPermission="edit">1851561945</userID>
      <userID accessPermission="edit">1765212680</userID>
      <userID accessPermission="edit">1853477080</userID>
      <userID accessPermission="edit">1848489229</userID>
      <userID accessPermission="edit">1850010794</userID>
    </arrUserId>
  </rangeList>
  <rangeList sheetStid="3" master="" otherUserPermission="visible"/>
  <rangeList sheetStid="2" master="" otherUserPermission="visible"/>
  <rangeList sheetStid="15" master="" otherUserPermission="visible"/>
  <rangeList sheetStid="16" master="" otherUserPermission="visible"/>
</allowEditUser>
</file>

<file path=customXml/item2.xml><?xml version="1.0" encoding="utf-8"?>
<comments xmlns="https://web.wps.cn/et/2018/main" xmlns:s="http://schemas.openxmlformats.org/spreadsheetml/2006/main" xmlns:r="http://schemas.openxmlformats.org/officeDocument/2006/relationships">
  <commentList sheetStid="12">
    <commentChains s:ref="Q67" rgbClr="FF0000">
      <unresolved>
        <commentChain chainId="7301510803b6595593aa50ce5e2ef1e7dabd7505">
          <item id="275dbf91f1c2ade379ca4fa2c2badb549f5106b0" userID="1853477080" userName="陈龙" dateTime="2026-06-15T01:22:35" isNormal="0">
            <s:text>
              <s:r>
                <s:t xml:space="preserve">6/12寄出</s:t>
              </s:r>
            </s:text>
          </item>
        </commentChain>
      </unresolved>
      <resolved/>
    </commentChains>
    <commentChains s:ref="AU67" rgbClr="FF0000">
      <unresolved>
        <commentChain chainId="8c42f9c25eeef1775612912e5e2d47861b71903d">
          <item id="2b425b2a0f7708941a242d68ac964f350cd34305" isNormal="1">
            <s:text>
              <s:r>
                <s:t xml:space="preserve">dell:
5/8收到资料</s:t>
              </s:r>
            </s:text>
          </item>
        </commentChain>
      </unresolved>
      <resolved/>
    </commentChains>
    <commentChains s:ref="P81" rgbClr="FF0000">
      <unresolved>
        <commentChain chainId="695a37b527fff969b5b4da4bcf7155bfc0fa24be">
          <item id="e96f2f02fdd521a1dffbc9b147e733fd69c46c95" userID="1853477080" userName="陈龙" dateTime="2026-06-09T08:39:53" isNormal="0">
            <s:text>
              <s:r>
                <s:t xml:space="preserve">6月6日寄出</s:t>
              </s:r>
            </s:text>
          </item>
        </commentChain>
      </unresolved>
      <resolved/>
    </commentChains>
    <commentChains s:ref="Q81" rgbClr="FF0000">
      <unresolved>
        <commentChain chainId="342e855e788766386e548aaebb9996160344945e">
          <item id="4d11af7420c70df4a632cdca0d415cf9709ddb10" userID="1853477080" userName="陈龙" dateTime="2026-06-09T08:39:53" isNormal="0">
            <s:text>
              <s:r>
                <s:t xml:space="preserve">6月6日寄出</s:t>
              </s:r>
            </s:text>
          </item>
        </commentChain>
      </unresolved>
      <resolved/>
    </commentChains>
    <commentChains s:ref="P85" rgbClr="FF0000">
      <unresolved>
        <commentChain chainId="2d6a5fced563b77d89e1a7945a0f44479e7e702f">
          <item id="a49637ed42def50e5a3f982d8c992df75a00e9cd" userID="1853477080" userName="陈龙" dateTime="2026-06-24T01:39:25" isNormal="0">
            <s:text>
              <s:r>
                <s:t xml:space="preserve">5月21日寄出欠贴纸</s:t>
              </s:r>
            </s:text>
          </item>
        </commentChain>
      </unresolved>
      <resolved/>
    </commentChains>
    <commentChains s:ref="O92" rgbClr="FF0000">
      <unresolved>
        <commentChain chainId="1cbaf379a98708296b647e564fc29dc647ab555d">
          <item id="8601dc06f86902d95a3dba64381b1d371ccc0e06" userID="1853477080" userName="陈龙" dateTime="2026-06-03T03:00:02" isNormal="0">
            <s:text>
              <s:r>
                <s:t xml:space="preserve">样办2套6/2寄出</s:t>
              </s:r>
            </s:text>
          </item>
        </commentChain>
      </unresolved>
      <resolved/>
    </commentChains>
    <commentChains s:ref="P92" rgbClr="FF0000">
      <unresolved>
        <commentChain chainId="9598d10b3b8f447362c8238698c20e87df5eed83">
          <item id="6550f99d9e45dfeb9eafa11054e6c6dde09bc729" userID="1853477080" userName="陈龙" dateTime="2026-06-03T03:00:02" isNormal="0">
            <s:text>
              <s:r>
                <s:t xml:space="preserve">样办2套6/2寄出</s:t>
              </s:r>
            </s:text>
          </item>
        </commentChain>
      </unresolved>
      <resolved/>
    </commentChains>
    <commentChains s:ref="Q92" rgbClr="FF0000">
      <unresolved>
        <commentChain chainId="1d72e4e935d1396ea8f0971ede99db638a6ce17b">
          <item id="146b0a623da8b7762285f8ae6c803291f2e76912" userID="1853477080" userName="陈龙" dateTime="2026-06-03T03:00:02" isNormal="0">
            <s:text>
              <s:r>
                <s:t xml:space="preserve">样办2套6/2寄出</s:t>
              </s:r>
            </s:text>
          </item>
        </commentChain>
      </unresolved>
      <resolved/>
    </commentChains>
    <commentChains s:ref="P98" rgbClr="FF0000">
      <unresolved>
        <commentChain chainId="d711b8198ad8c8aabb87de3f734b1628db4cd89f">
          <item id="29911aad66690147e7ce729763ab21006ca6d86e" userID="1853477080" userName="陈龙" dateTime="2026-06-23T01:31:29" isNormal="0">
            <s:text>
              <s:r>
                <s:t xml:space="preserve">6/18寄出样办</s:t>
              </s:r>
            </s:text>
          </item>
        </commentChain>
      </unresolved>
      <resolved/>
    </commentChains>
    <commentChains s:ref="P111" rgbClr="FF0000">
      <unresolved>
        <commentChain chainId="7070e6d060a3e83b20c1b4f552181a66fe23b8a0">
          <item id="1b611666744e16fefe01d0d26fc23b8f754cded2" userID="1853477080" userName="陈龙" dateTime="2026-07-24T00:42:55" isNormal="0">
            <s:text>
              <s:r>
                <s:t xml:space="preserve">未验货已装柜</s:t>
              </s:r>
            </s:text>
          </item>
        </commentChain>
      </unresolved>
      <resolved/>
    </commentChains>
    <commentChains s:ref="P112" rgbClr="FF0000">
      <unresolved>
        <commentChain chainId="db07244f764bd55714d6222ab9ff35d1ae5a3071">
          <item id="63fc13e5821e6dafdb08f3c2fe379a7bdd85ce0a" userID="1853477080" userName="陈龙" dateTime="2026-07-24T00:42:55" isNormal="0">
            <s:text>
              <s:r>
                <s:t xml:space="preserve">未验货已装柜</s:t>
              </s:r>
            </s:text>
          </item>
        </commentChain>
      </unresolved>
      <resolved/>
    </commentChains>
    <commentChains s:ref="P113" rgbClr="FF0000">
      <unresolved>
        <commentChain chainId="16c0613f0d7825f66fa9dfe0fcec9573ccb069ae">
          <item id="5bce5ceb6f7566c91fc08470c92a34c69b50c259" userID="1853477080" userName="陈龙" dateTime="2026-07-24T00:42:55" isNormal="0">
            <s:text>
              <s:r>
                <s:t xml:space="preserve">未验货已装柜</s:t>
              </s:r>
            </s:text>
          </item>
        </commentChain>
      </unresolved>
      <resolved/>
    </commentChains>
    <commentChains s:ref="P125" rgbClr="FF0000">
      <unresolved>
        <commentChain chainId="de8cb411adb9bed3e76b335ae0597b49310bf376">
          <item id="f1f4b9f679b7966206415a52f8e7b22254b3921d" userID="1853477080" userName="陈龙" dateTime="2026-07-16T02:04:07" isNormal="0">
            <s:text>
              <s:r>
                <s:t xml:space="preserve">大货办7/15寄出</s:t>
              </s:r>
            </s:text>
          </item>
        </commentChain>
      </unresolved>
      <resolved/>
    </commentChains>
    <commentChains s:ref="Q143" rgbClr="FF0000">
      <unresolved>
        <commentChain chainId="126f2ca5aab9065a38ce9836812726a8b7ac7d86">
          <item id="c3674322a9cd74899e1f714450746c347572cbc1" userID="1853477080" userName="陈龙" dateTime="2026-07-16T02:07:12" isNormal="0">
            <s:text>
              <s:r>
                <s:t xml:space="preserve">7/14样办寄出</s:t>
              </s:r>
            </s:text>
          </item>
        </commentChain>
      </unresolved>
      <resolved/>
    </commentChains>
    <commentChains s:ref="Q167" rgbClr="FF0000">
      <unresolved>
        <commentChain chainId="dd9ffd6f0163f0262582c1f645d2a3bd1ee43e74">
          <item id="11016761a0b34d7b4717029cd7184c37e1231a3b" userID="1853477080" userName="陈龙" dateTime="2026-08-12T01:36:10" isNormal="0">
            <s:text>
              <s:r>
                <s:t xml:space="preserve">8/5送俊达</s:t>
              </s:r>
            </s:text>
          </item>
        </commentChain>
      </unresolved>
      <resolved/>
    </commentChains>
    <commentChains s:ref="P173" rgbClr="FF0000">
      <unresolved>
        <commentChain chainId="1ea0ddb75aa41d48ceec68055080f71e057cf6ac">
          <item id="01a557ed00df544033890a2736377a805cb05761" userID="1853477080" userName="陈龙" dateTime="2026-07-24T00:42:55" isNormal="0">
            <s:text>
              <s:r>
                <s:t xml:space="preserve">未验货已装柜</s:t>
              </s:r>
            </s:text>
          </item>
        </commentChain>
      </unresolved>
      <resolved/>
    </commentChains>
    <commentChains s:ref="X199" rgbClr="FF0000">
      <unresolved>
        <commentChain chainId="a02d1f05ef4b4c69f9e7bfc3d3b1454f311f5c30">
          <item id="fe58871f9e533d42942a4d73f77a8010bfb6a3d6" userID="1853477080" userName="陈龙" dateTime="2026-07-25T02:43:42" isNormal="0">
            <s:text>
              <s:r>
                <s:t xml:space="preserve">7/24 收到资料</s:t>
              </s:r>
            </s:text>
          </item>
        </commentChain>
      </unresolved>
      <resolved/>
    </commentChains>
    <commentChains s:ref="AU263" rgbClr="FF0000">
      <unresolved>
        <commentChain chainId="c3c7dc91d5d8e94f2f47766ac67b7074ba6617e1">
          <item id="97716cf975b3b312a267e3f717e8df8a8323c736" isNormal="1">
            <s:text>
              <s:r>
                <s:t xml:space="preserve">dell:
中文说明书</s:t>
              </s:r>
            </s:text>
          </item>
        </commentChain>
      </unresolved>
      <resolved/>
    </commentChains>
    <commentChains s:ref="AU264" rgbClr="FF0000">
      <unresolved>
        <commentChain chainId="f24ec4dd7e6d391feca2fdf90443d85f373554a2">
          <item id="12466f26ef5d6103015cdd6cda698637649df210" isNormal="1">
            <s:text>
              <s:r>
                <s:t xml:space="preserve">dell:
中文说明书</s:t>
              </s:r>
            </s:text>
          </item>
        </commentChain>
      </unresolved>
      <resolved/>
    </commentChains>
    <commentChains s:ref="AU265" rgbClr="FF0000">
      <unresolved>
        <commentChain chainId="09fcbea59046e707887a4cd82ed1fd8e5df20d09">
          <item id="1d99296a5ccf2273cebc02b377e9593d452eb684" isNormal="1">
            <s:text>
              <s:r>
                <s:t xml:space="preserve">dell:
中文说明书</s:t>
              </s:r>
            </s:text>
          </item>
        </commentChain>
      </unresolved>
      <resolved/>
    </commentChains>
    <commentChains s:ref="AU266" rgbClr="FF0000">
      <unresolved>
        <commentChain chainId="649899563a21063059d4e6b8dd2f5edc02e62a33">
          <item id="90dd53c898e3cb03a9ad43363a616b5880fe713c" isNormal="1">
            <s:text>
              <s:r>
                <s:t xml:space="preserve">dell:
中文说明书</s:t>
              </s:r>
            </s:text>
          </item>
        </commentChain>
      </unresolved>
      <resolved/>
    </commentChains>
  </commentList>
</comments>
</file>

<file path=customXml/item3.xml><?xml version="1.0" encoding="utf-8"?>
<autofilters xmlns="https://web.wps.cn/et/2018/main">
  <sheetItem sheetStid="12">
    <filterData filterID="1474966847"/>
    <filterData filterID="1852930426">
      <hiddenRange rowFrom="1" rowTo="256"/>
      <hiddenRange rowFrom="258" rowTo="302"/>
    </filterData>
    <filterData filterID="1479941211"/>
    <filterData filterID="1848489229"/>
    <filterData filterID="1474709007"/>
    <filterData filterID="1848493306">
      <hiddenRange rowFrom="1" rowTo="163"/>
      <hiddenRange rowFrom="166" rowTo="220"/>
      <hiddenRange rowFrom="222" rowTo="227"/>
      <hiddenRange rowFrom="230" rowTo="238"/>
      <hiddenRange rowFrom="241" rowTo="241"/>
      <hiddenRange rowFrom="246" rowTo="250"/>
      <hiddenRange rowFrom="252" rowTo="302"/>
    </filterData>
    <filterData filterID="1475153551"/>
    <filterData filterID="1765212680">
      <hiddenRange rowFrom="1" rowTo="58"/>
      <hiddenRange rowFrom="64" rowTo="203"/>
      <hiddenRange rowFrom="205" rowTo="214"/>
      <hiddenRange rowFrom="216" rowTo="216"/>
      <hiddenRange rowFrom="222" rowTo="227"/>
      <hiddenRange rowFrom="231" rowTo="235"/>
      <hiddenRange rowFrom="237" rowTo="238"/>
      <hiddenRange rowFrom="246" rowTo="250"/>
      <hiddenRange rowFrom="252" rowTo="254"/>
      <hiddenRange rowFrom="256" rowTo="256"/>
      <hiddenRange rowFrom="259" rowTo="300"/>
    </filterData>
    <filterData filterID="1853477080">
      <hiddenRange rowFrom="186" rowTo="186"/>
    </filterData>
    <filterData filterID="1828143256">
      <hiddenRange rowFrom="1" rowTo="98"/>
      <hiddenRange rowFrom="100" rowTo="302"/>
    </filterData>
    <autofilterInfo filterID="1848493306">
      <autoFilter xmlns="http://schemas.openxmlformats.org/spreadsheetml/2006/main" ref="A1:XFD303">
        <filterColumn colId="3">
          <customFilters>
            <customFilter operator="equal" val="4500213705"/>
          </customFilters>
        </filterColumn>
      </autoFilter>
    </autofilterInfo>
    <autofilterInfo filterID="1828143256">
      <autoFilter xmlns="http://schemas.openxmlformats.org/spreadsheetml/2006/main" ref="A1:XFD303">
        <filterColumn colId="3">
          <customFilters>
            <customFilter operator="equal" val="4500201727"/>
          </customFilters>
        </filterColumn>
      </autoFilter>
    </autofilterInfo>
    <autofilterInfo filterID="1765212680">
      <autoFilter xmlns="http://schemas.openxmlformats.org/spreadsheetml/2006/main" ref="A1:XFD303">
        <filterColumn colId="3">
          <customFilters>
            <customFilter operator="equal" val="4500201308"/>
          </customFilters>
        </filterColumn>
      </autoFilter>
    </autofilterInfo>
    <autofilterInfo filterID="1852930426">
      <autoFilter xmlns="http://schemas.openxmlformats.org/spreadsheetml/2006/main" ref="A1:XFD303">
        <filterColumn colId="3">
          <customFilters>
            <customFilter operator="equal" val="4500217034"/>
          </customFilters>
        </filterColumn>
      </autoFilter>
    </autofilterInfo>
  </sheetItem>
  <sheetItem sheetStid="16">
    <filterData filterID="1475153551">
      <hiddenRange rowFrom="1" rowTo="7"/>
    </filterData>
    <autofilterInfo filterID="1475153551">
      <autoFilter xmlns="http://schemas.openxmlformats.org/spreadsheetml/2006/main" ref="A1:AS9">
        <filterColumn colId="3">
          <customFilters>
            <customFilter operator="equal" val="4500218205"/>
          </customFilters>
        </filterColumn>
      </autoFilter>
    </autofilterInfo>
  </sheetItem>
</autofilters>
</file>

<file path=customXml/item4.xml><?xml version="1.0" encoding="utf-8"?>
<woProps xmlns="https://web.wps.cn/et/2018/main" xmlns:s="http://schemas.openxmlformats.org/spreadsheetml/2006/main">
  <woSheetsProps>
    <woSheetProps sheetStid="12" interlineOnOff="0" interlineColor="0" isDbSheet="0" isDashBoardSheet="0" isDbDashBoardSheet="0" isFlexPaperSheet="0">
      <hyperlinks>
        <hyperlink ref="Y138">
          <hypersublink pos="307" length="13" display="care@zuru.com" address="mailto:care@zuru.com" subaddress="" screenTip="" linkrunstype="LRTURL"/>
        </hyperlink>
        <hyperlink ref="Y191">
          <hypersublink pos="311" length="13" display="care@zuru.com" address="mailto:care@zuru.com" subaddress="" screenTip="" linkrunstype="LRTURL"/>
        </hyperlink>
      </hyperlinks>
      <cellprotection/>
      <appEtDbRelations/>
    </woSheetProps>
    <woSheetProps sheetStid="3"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16" interlineOnOff="0" interlineColor="0" isDbSheet="0" isDashBoardSheet="0" isDbDashBoardSheet="0" isFlexPaperSheet="0">
      <hyperlinks>
        <hyperlink ref="Y8">
          <hypersublink pos="273" length="15" display="Mia.yu@zuru.com" address="mailto:Mia.yu@zuru.com" subaddress="" screenTip="" linkrunstype="LRTURL"/>
        </hyperlink>
      </hyperlinks>
      <cellprotection/>
      <appEtDbRelations/>
    </woSheetProps>
  </woSheetsProps>
  <woBookProps>
    <bookSettings fileId="526436693155" isFilterShared="0" woEtMtcEnabled="0" coreConquerUserId="" isAutoUpdatePaused="0" filterType="user" isMergeTasksAutoUpdate="0" isInserPicAsAttachment="0" supportDbFmlaDisp="0"/>
  </woBookProps>
</woProps>
</file>

<file path=customXml/item5.xml><?xml version="1.0" encoding="utf-8"?>
<pixelators xmlns="https://web.wps.cn/et/2018/main" xmlns:s="http://schemas.openxmlformats.org/spreadsheetml/2006/main">
  <pixelatorList sheetStid="12"/>
  <pixelatorList sheetStid="3"/>
  <pixelatorList sheetStid="2"/>
  <pixelatorList sheetStid="15"/>
  <pixelatorList sheetStid="16"/>
  <pixelatorList sheetStid="17"/>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5</vt:i4>
      </vt:variant>
    </vt:vector>
  </HeadingPairs>
  <TitlesOfParts>
    <vt:vector size="5" baseType="lpstr">
      <vt:lpstr>71172大脑</vt:lpstr>
      <vt:lpstr>彩盒MA</vt:lpstr>
      <vt:lpstr>产品MA</vt:lpstr>
      <vt:lpstr>客版MA</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陈炎</cp:lastModifiedBy>
  <dcterms:created xsi:type="dcterms:W3CDTF">2018-05-17T00:48:00Z</dcterms:created>
  <cp:lastPrinted>2019-07-01T04:03:00Z</cp:lastPrinted>
  <dcterms:modified xsi:type="dcterms:W3CDTF">2026-09-04T08:12:00Z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KSOReadingLayout">
    <vt:bool>false</vt:bool>
  </property>
  <property fmtid="{D5CDD505-2E9C-101B-9397-08002B2CF9AE}" pid="4" name="ICV">
    <vt:lpwstr>6DC5FD6633A8448AA5542C21D5A2A80B</vt:lpwstr>
  </property>
  <property fmtid="{D5CDD505-2E9C-101B-9397-08002B2CF9AE}" pid="5" name="commondata">
    <vt:lpwstr>eyJoZGlkIjoiZTNiMmJjMGUyMDNhMGI0MjllZTc4OTE3ODRjOTBjMWQifQ==</vt:lpwstr>
  </property>
  <property fmtid="{D5CDD505-2E9C-101B-9397-08002B2CF9AE}" pid="6" name="CalculationRule">
    <vt:i4>0</vt:i4>
  </property>
</Properties>
</file>