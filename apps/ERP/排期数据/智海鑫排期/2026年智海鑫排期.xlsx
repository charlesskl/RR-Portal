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fileSharing userName="Unknown User" reservationPassword="CCDC"/>
  <workbookPr codeName="ThisWorkbook"/>
  <bookViews>
    <workbookView windowWidth="28800" windowHeight="12465" tabRatio="515"/>
  </bookViews>
  <sheets>
    <sheet name="总接单" sheetId="47" r:id="rId1"/>
    <sheet name="总排期" sheetId="45" r:id="rId2"/>
    <sheet name="已出货" sheetId="51" r:id="rId3"/>
    <sheet name="取消单" sheetId="52" r:id="rId4"/>
    <sheet name="名称" sheetId="48" state="hidden" r:id="rId5"/>
  </sheets>
  <definedNames>
    <definedName name="_xlnm._FilterDatabase" localSheetId="0" hidden="1">总接单!$A$2:$Q$69</definedName>
    <definedName name="_xlnm._FilterDatabase" localSheetId="1" hidden="1">总排期!$A$1:$AC$12</definedName>
    <definedName name="_xlnm._FilterDatabase" localSheetId="2" hidden="1">已出货!$A$1:$AC$62</definedName>
    <definedName name="_xlnm._FilterDatabase" localSheetId="3" hidden="1">取消单!$A$1:$Y$7</definedName>
    <definedName name="_xlnm._FilterDatabase" localSheetId="4" hidden="1">名称!$A$1:$C$102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<sst xmlns="http://schemas.openxmlformats.org/spreadsheetml/2006/main" count="1392" uniqueCount="350">
  <si>
    <t>产品名称</t>
  </si>
  <si>
    <t>接单期</t>
  </si>
  <si>
    <t>出货期</t>
  </si>
  <si>
    <t>PO号</t>
  </si>
  <si>
    <t>货号</t>
  </si>
  <si>
    <t>数量</t>
  </si>
  <si>
    <t>包装版本</t>
  </si>
  <si>
    <t>车轮</t>
  </si>
  <si>
    <t>单价(USD)</t>
  </si>
  <si>
    <t>金额USD</t>
  </si>
  <si>
    <t>金额HKD</t>
  </si>
  <si>
    <t>202409M02</t>
  </si>
  <si>
    <t>日本版</t>
  </si>
  <si>
    <t>202506M02</t>
  </si>
  <si>
    <t>替换精品样</t>
  </si>
  <si>
    <t>202511M02</t>
  </si>
  <si>
    <t>202601M01</t>
  </si>
  <si>
    <t>亚洲版</t>
  </si>
  <si>
    <t>海外版</t>
  </si>
  <si>
    <t>合计：</t>
  </si>
  <si>
    <r>
      <rPr>
        <b/>
        <sz val="9"/>
        <color rgb="FF1B1BFB"/>
        <rFont val="Times New Roman"/>
        <charset val="134"/>
      </rPr>
      <t>2025</t>
    </r>
    <r>
      <rPr>
        <b/>
        <sz val="9"/>
        <color rgb="FF1B1BFB"/>
        <rFont val="宋体"/>
        <charset val="134"/>
      </rPr>
      <t>年存：</t>
    </r>
  </si>
  <si>
    <r>
      <rPr>
        <b/>
        <sz val="9"/>
        <color rgb="FFFF0000"/>
        <rFont val="宋体"/>
        <charset val="134"/>
      </rPr>
      <t>总接单：</t>
    </r>
  </si>
  <si>
    <r>
      <rPr>
        <b/>
        <sz val="9"/>
        <color rgb="FFFF0000"/>
        <rFont val="宋体"/>
        <charset val="134"/>
      </rPr>
      <t>总排期：</t>
    </r>
  </si>
  <si>
    <r>
      <rPr>
        <b/>
        <sz val="9"/>
        <color rgb="FFFF0000"/>
        <rFont val="宋体"/>
        <charset val="134"/>
      </rPr>
      <t>已走货：</t>
    </r>
  </si>
  <si>
    <t>以下标注内容区分识别备注：</t>
  </si>
  <si>
    <t>类型</t>
  </si>
  <si>
    <t>内容</t>
  </si>
  <si>
    <t>黄色填充</t>
  </si>
  <si>
    <t>新加单或更改</t>
  </si>
  <si>
    <t>粉色填充</t>
  </si>
  <si>
    <t>扣单/转单</t>
  </si>
  <si>
    <t>蓝色字体</t>
  </si>
  <si>
    <t>已完成</t>
  </si>
  <si>
    <t>粉色字体</t>
  </si>
  <si>
    <t>已出货</t>
  </si>
  <si>
    <t>红色字体</t>
  </si>
  <si>
    <t>取消单</t>
  </si>
  <si>
    <t>客名</t>
  </si>
  <si>
    <t>国家</t>
  </si>
  <si>
    <t>外箱</t>
  </si>
  <si>
    <t>总箱数</t>
  </si>
  <si>
    <t>客PO期</t>
  </si>
  <si>
    <t>验货期</t>
  </si>
  <si>
    <t>验货/抽板
地点</t>
  </si>
  <si>
    <t>验货结果</t>
  </si>
  <si>
    <t>船期SO</t>
  </si>
  <si>
    <t>箱唛</t>
  </si>
  <si>
    <t>封箱胶纸颜色</t>
  </si>
  <si>
    <t>证纸</t>
  </si>
  <si>
    <t>QC贴纸</t>
  </si>
  <si>
    <t>其他客供贴纸</t>
  </si>
  <si>
    <t>外箱盖章</t>
  </si>
  <si>
    <t>日期码</t>
  </si>
  <si>
    <t>备注</t>
  </si>
  <si>
    <t>单价USD</t>
  </si>
  <si>
    <t>发票号</t>
  </si>
  <si>
    <t>是否入系统</t>
  </si>
  <si>
    <t>智海鑫</t>
  </si>
  <si>
    <t>日本</t>
  </si>
  <si>
    <t>巨形机器人-大魔神（日本版）</t>
  </si>
  <si>
    <t>华登</t>
  </si>
  <si>
    <t>OK</t>
  </si>
  <si>
    <t>客供贴纸</t>
  </si>
  <si>
    <t>/</t>
  </si>
  <si>
    <t>BSP客户产品日期码编码规则：10位数日期码
20008是华登客户工厂代码，日期2位数倒着记，月2位数倒着记，年1位数
如2025年5月30日生产，日期码格式为：2000803505，日期码使用喷墨打印。
依据生产包装日期调整月日年。
量产可以日本的一个日期码，海外一个日期码，亚洲一个日期码。</t>
  </si>
  <si>
    <t>工厂需要100%进行版权管控所有受控部品数量，确保受控部品没有遗失的情况发生。</t>
  </si>
  <si>
    <t>已入系统</t>
  </si>
  <si>
    <t>日本
(替换精品样)</t>
  </si>
  <si>
    <t>巨形机器人-马赫巴隆（日本版）</t>
  </si>
  <si>
    <t>透明封箱胶纸</t>
  </si>
  <si>
    <t>BSP客户产品日期码编码规则：10位数日期码
20008是华登客户工厂代码，日期2位数倒着记，月2位数倒着记，年1位数
如2025年8月29日生产，日期码格式为：2000892805，日期码使用喷墨打印。
依据生产包装日期调整月日年。
量产可以日本的一个日期码，海外一个日期码，亚洲一个日期码。</t>
  </si>
  <si>
    <t>日本
（客诉对应精品）</t>
  </si>
  <si>
    <t>巨型机器人第五代一古连泰沙（日本版）</t>
  </si>
  <si>
    <t>待客通知</t>
  </si>
  <si>
    <t>OK
（需套箱外箱出货）</t>
  </si>
  <si>
    <t>日本版的日期章是4月1日
盖2000810406</t>
  </si>
  <si>
    <t>日本
（彩盒备品）</t>
  </si>
  <si>
    <t>无用加盖日期码</t>
  </si>
  <si>
    <t>将20个天地盒打包在2个包裹中，分别为20个天盒装1包、20个地盒装1包，包裹正面需粘贴A4纸打印的备品资料</t>
  </si>
  <si>
    <t>合计</t>
  </si>
  <si>
    <t>贴纸</t>
  </si>
  <si>
    <t>巨型机器人第四代一勇者莱丁（日本版）</t>
  </si>
  <si>
    <t>有</t>
  </si>
  <si>
    <t>BSP客户产品日期码编码规则：10位数日期码
20008是华登客户工厂代码，日期2位数倒着记，月2位数倒着记，年1位数
如2026年01月26日生产，日期码格式为：2000862106，日期码使用喷码打印。
依据生产包装日期调整月日年。
量产可以日本的一个日期码，海外一个日期码，亚洲一个日期码。</t>
  </si>
  <si>
    <t>出货请附免费包材：日本版彩盒样品50pcs、日本版外箱样品10pcs。
工厂需要100%进行版权管控所有受控部品数量，确保受控部品没有遗失的情况发生。</t>
  </si>
  <si>
    <t>日本
(TNS)</t>
  </si>
  <si>
    <t>日本
（客户中心）</t>
  </si>
  <si>
    <t>纸箱顶部：黄色黑字“SAMPLE”封箱胶纸
纸箱底部：透明封箱胶纸</t>
  </si>
  <si>
    <r>
      <rPr>
        <sz val="9"/>
        <color rgb="FFFF00FF"/>
        <rFont val="宋体"/>
        <charset val="134"/>
        <scheme val="major"/>
      </rPr>
      <t>外箱上需粘贴A4纸打印的样品标签，并在对应的“CUSTOMER CENTER”处进行打钩“</t>
    </r>
    <r>
      <rPr>
        <sz val="9"/>
        <color rgb="FFFF00FF"/>
        <rFont val="Arial"/>
        <charset val="134"/>
      </rPr>
      <t>√</t>
    </r>
    <r>
      <rPr>
        <sz val="9"/>
        <color rgb="FFFF00FF"/>
        <rFont val="宋体"/>
        <charset val="134"/>
        <scheme val="major"/>
      </rPr>
      <t>”</t>
    </r>
  </si>
  <si>
    <t>日本
(研发样品)</t>
  </si>
  <si>
    <r>
      <rPr>
        <sz val="9"/>
        <color rgb="FFFF00FF"/>
        <rFont val="宋体"/>
        <charset val="134"/>
        <scheme val="major"/>
      </rPr>
      <t>外箱上需粘贴A4纸打印的样品标签，并在对应的“R&amp;D SAMPLE”处进行打钩“</t>
    </r>
    <r>
      <rPr>
        <sz val="9"/>
        <color rgb="FFFF00FF"/>
        <rFont val="Arial"/>
        <charset val="134"/>
      </rPr>
      <t>√</t>
    </r>
    <r>
      <rPr>
        <sz val="9"/>
        <color rgb="FFFF00FF"/>
        <rFont val="宋体"/>
        <charset val="134"/>
        <scheme val="major"/>
      </rPr>
      <t>”</t>
    </r>
  </si>
  <si>
    <t>日本
(JPN销售样品)</t>
  </si>
  <si>
    <r>
      <rPr>
        <sz val="9"/>
        <color rgb="FFFF00FF"/>
        <rFont val="宋体"/>
        <charset val="134"/>
        <scheme val="major"/>
      </rPr>
      <t>外箱上需粘贴A4纸打印的样品标签，并在对应的“JPN SALES SAMPLE”处进行打钩“</t>
    </r>
    <r>
      <rPr>
        <sz val="9"/>
        <color rgb="FFFF00FF"/>
        <rFont val="Arial"/>
        <charset val="134"/>
      </rPr>
      <t>√</t>
    </r>
    <r>
      <rPr>
        <sz val="9"/>
        <color rgb="FFFF00FF"/>
        <rFont val="宋体"/>
        <charset val="134"/>
        <scheme val="major"/>
      </rPr>
      <t>”</t>
    </r>
  </si>
  <si>
    <t>日本
(海外样品)</t>
  </si>
  <si>
    <r>
      <rPr>
        <sz val="9"/>
        <color rgb="FFFF00FF"/>
        <rFont val="宋体"/>
        <charset val="134"/>
        <scheme val="major"/>
      </rPr>
      <t>外箱上需粘贴A4纸打印的样品标签，并在对应的“OVERSEAS SAMPLE”处进行打钩“</t>
    </r>
    <r>
      <rPr>
        <sz val="9"/>
        <color rgb="FFFF00FF"/>
        <rFont val="Arial"/>
        <charset val="134"/>
      </rPr>
      <t>√</t>
    </r>
    <r>
      <rPr>
        <sz val="9"/>
        <color rgb="FFFF00FF"/>
        <rFont val="宋体"/>
        <charset val="134"/>
        <scheme val="major"/>
      </rPr>
      <t>”</t>
    </r>
  </si>
  <si>
    <t>美国</t>
  </si>
  <si>
    <t>巨型机器人第四代一勇者莱丁（海外版）</t>
  </si>
  <si>
    <t>BSP客户产品日期码编码规则：10位数日期码
20008是华登客户工厂代码，日期2位数倒着记，月2位数倒着记，年1位数
如2026年01月30日生产，日期码格式为：2000803106，日期码使用喷码打印。
依据生产包装日期调整月日年。
量产可以日本的一个日期码，海外一个日期码，亚洲一个日期码。</t>
  </si>
  <si>
    <t>墨西哥</t>
  </si>
  <si>
    <t>智利</t>
  </si>
  <si>
    <t>黄色封箱胶纸</t>
  </si>
  <si>
    <t>意大利</t>
  </si>
  <si>
    <t>蓝色封箱胶纸</t>
  </si>
  <si>
    <t>法国</t>
  </si>
  <si>
    <t>英国</t>
  </si>
  <si>
    <t>德国</t>
  </si>
  <si>
    <t>南非</t>
  </si>
  <si>
    <t>韩国</t>
  </si>
  <si>
    <t>亚洲</t>
  </si>
  <si>
    <t>巨型机器人第四代一勇者莱丁（亚洲版）</t>
  </si>
  <si>
    <t>黑色封箱胶纸</t>
  </si>
  <si>
    <t>出货请附免费包材：亚洲版彩盒样品30pcs。
工厂需要100%进行版权管控所有受控部品数量，确保受控部品没有遗失的情况发生。</t>
  </si>
  <si>
    <t>亚洲样品</t>
  </si>
  <si>
    <t>日本
(新检品)</t>
  </si>
  <si>
    <t>日本
(BNCR样品)</t>
  </si>
  <si>
    <t>日本
（JAPAN）</t>
  </si>
  <si>
    <t>√</t>
  </si>
  <si>
    <t>日本
（JAPAN (TNS）</t>
  </si>
  <si>
    <t>日本
（R&amp;D SAMPLE）</t>
  </si>
  <si>
    <t>日本
（JPN SALES SAMPLE）</t>
  </si>
  <si>
    <t>日本
（OVERSEAS SAMPLE）</t>
  </si>
  <si>
    <t>日本
（CUSTOMER CENTER）</t>
  </si>
  <si>
    <t>亚洲
（香港万代办公室）</t>
  </si>
  <si>
    <t>巨型机器人第五代一古连泰沙（亚洲版）</t>
  </si>
  <si>
    <t>业务快递寄出</t>
  </si>
  <si>
    <t>亚洲版的日期章是4月10日，盖2000801406</t>
  </si>
  <si>
    <t>亚洲
（广州万代办公室）</t>
  </si>
  <si>
    <t>亚洲
（香港万代货运办公室）</t>
  </si>
  <si>
    <t>亚洲
（彩盒备品）</t>
  </si>
  <si>
    <t>将15个天地盒打包在2个包裹中，分别为15个天盒装1包、15个地盒装1包，包裹正面需粘贴A4纸打印的备品资料</t>
  </si>
  <si>
    <t>日本
（外箱备品）</t>
  </si>
  <si>
    <t>将10个外箱打包在1包中，包裹正面需粘贴A4纸打印的备品资料</t>
  </si>
  <si>
    <t>将10个天地盒打包在2个包裹中，分别为10个天盒装1包、10个地盒装1包，包裹正面需粘贴A4纸打印的备品资料</t>
  </si>
  <si>
    <t>PASS</t>
  </si>
  <si>
    <t>客人自提</t>
  </si>
  <si>
    <t>1张</t>
  </si>
  <si>
    <t>ASIA</t>
  </si>
  <si>
    <t>亚洲
（泰国）</t>
  </si>
  <si>
    <t>2张</t>
  </si>
  <si>
    <t>THA</t>
  </si>
  <si>
    <t>两张客供贴纸中，泰国语贴纸需手写生产日期“2026/04/10”。</t>
  </si>
  <si>
    <t>亚洲
（中国广州）</t>
  </si>
  <si>
    <t>CHI</t>
  </si>
  <si>
    <t>粘贴客供贴纸时需区分中国3张贴纸，如广州订单中贴纸右上角印刷有“BTT”。</t>
  </si>
  <si>
    <t>亚洲
（中国北京）</t>
  </si>
  <si>
    <t>CHI-SOO</t>
  </si>
  <si>
    <t>粘贴客供贴纸时需区分中国3张贴纸，如广州订单中贴纸右上角印刷有“SOO”。</t>
  </si>
  <si>
    <t>亚洲
（中国杭州）</t>
  </si>
  <si>
    <t>CHI-MMG</t>
  </si>
  <si>
    <t>粘贴客供贴纸时需区分中国3张贴纸，如广州订单中贴纸右上角印刷有“MMG”。</t>
  </si>
  <si>
    <t>亚洲
（新加坡）</t>
  </si>
  <si>
    <t>SIN</t>
  </si>
  <si>
    <t>亚洲
（马来西亚）</t>
  </si>
  <si>
    <t>MAL-LTT</t>
  </si>
  <si>
    <t>巨型机器人第五代一古连泰沙（海外版）</t>
  </si>
  <si>
    <t>BNTCA</t>
  </si>
  <si>
    <t>海外版的日期章是4月17日，盖2000871406</t>
  </si>
  <si>
    <t>COSMIC GROUP</t>
  </si>
  <si>
    <t>加拿大</t>
  </si>
  <si>
    <t>ANIMEXICO</t>
  </si>
  <si>
    <t>DOUBLE M</t>
  </si>
  <si>
    <t>“HEO”贴纸</t>
  </si>
  <si>
    <t>阿联酋
(COMICAVE)</t>
  </si>
  <si>
    <t>绿色封箱胶纸</t>
  </si>
  <si>
    <t>COMICAVE</t>
  </si>
  <si>
    <t>阿联酋
(GEEKAY)</t>
  </si>
  <si>
    <t>GEEKAY</t>
  </si>
  <si>
    <t>HI</t>
  </si>
  <si>
    <t>KOR</t>
  </si>
  <si>
    <t>日本
（新検品）</t>
  </si>
  <si>
    <t>此订单新检样品工程已快递寄出，大货不用生产</t>
  </si>
  <si>
    <t>日本
（BNCR样本）</t>
  </si>
  <si>
    <r>
      <rPr>
        <sz val="10"/>
        <color theme="1"/>
        <rFont val="宋体"/>
        <charset val="134"/>
      </rPr>
      <t>货号</t>
    </r>
  </si>
  <si>
    <r>
      <rPr>
        <sz val="10"/>
        <color theme="1"/>
        <rFont val="宋体"/>
        <charset val="134"/>
      </rPr>
      <t>名称</t>
    </r>
  </si>
  <si>
    <r>
      <rPr>
        <sz val="10"/>
        <color theme="1"/>
        <rFont val="宋体"/>
        <charset val="134"/>
      </rPr>
      <t>系列</t>
    </r>
  </si>
  <si>
    <r>
      <rPr>
        <sz val="10"/>
        <color theme="1"/>
        <rFont val="宋体"/>
        <charset val="134"/>
      </rPr>
      <t>工具箱</t>
    </r>
  </si>
  <si>
    <t>ROB</t>
  </si>
  <si>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只公仔装</t>
    </r>
  </si>
  <si>
    <r>
      <rPr>
        <sz val="10"/>
        <color theme="1"/>
        <rFont val="宋体"/>
        <charset val="134"/>
      </rPr>
      <t>瞭望台</t>
    </r>
  </si>
  <si>
    <r>
      <rPr>
        <sz val="10"/>
        <color theme="1"/>
        <rFont val="Times New Roman"/>
        <charset val="134"/>
      </rPr>
      <t>Nerf</t>
    </r>
    <r>
      <rPr>
        <sz val="10"/>
        <color theme="1"/>
        <rFont val="宋体"/>
        <charset val="134"/>
      </rPr>
      <t>标靶</t>
    </r>
  </si>
  <si>
    <t>NER</t>
  </si>
  <si>
    <r>
      <rPr>
        <sz val="10"/>
        <color theme="1"/>
        <rFont val="宋体"/>
        <charset val="134"/>
      </rPr>
      <t>皮卡丘</t>
    </r>
  </si>
  <si>
    <t>PKW</t>
  </si>
  <si>
    <t>19820
（19821）</t>
  </si>
  <si>
    <r>
      <rPr>
        <sz val="10"/>
        <color theme="1"/>
        <rFont val="宋体"/>
        <charset val="134"/>
      </rPr>
      <t>时尚女孩</t>
    </r>
  </si>
  <si>
    <t>BLF0007</t>
  </si>
  <si>
    <r>
      <rPr>
        <sz val="10"/>
        <color theme="1"/>
        <rFont val="宋体"/>
        <charset val="134"/>
      </rPr>
      <t>麦克风</t>
    </r>
  </si>
  <si>
    <t>CMW</t>
  </si>
  <si>
    <t>CIF0001</t>
  </si>
  <si>
    <r>
      <rPr>
        <sz val="10"/>
        <color theme="1"/>
        <rFont val="宋体"/>
        <charset val="134"/>
      </rPr>
      <t>摇铃</t>
    </r>
  </si>
  <si>
    <t>CMI0011</t>
  </si>
  <si>
    <r>
      <rPr>
        <sz val="10"/>
        <color theme="1"/>
        <rFont val="宋体"/>
        <charset val="134"/>
      </rPr>
      <t>农场屋</t>
    </r>
  </si>
  <si>
    <t>CMI0013</t>
  </si>
  <si>
    <r>
      <rPr>
        <sz val="10"/>
        <color theme="1"/>
        <rFont val="宋体"/>
        <charset val="134"/>
      </rPr>
      <t>西瓜音乐箱</t>
    </r>
  </si>
  <si>
    <t>CMI0029</t>
  </si>
  <si>
    <t>西瓜音乐箱（WM货号）</t>
  </si>
  <si>
    <t>CMW0015</t>
  </si>
  <si>
    <r>
      <rPr>
        <sz val="10"/>
        <color theme="1"/>
        <rFont val="宋体"/>
        <charset val="134"/>
      </rPr>
      <t>校车巴士</t>
    </r>
  </si>
  <si>
    <t>CMW0023</t>
  </si>
  <si>
    <r>
      <rPr>
        <sz val="10"/>
        <color theme="1"/>
        <rFont val="宋体"/>
        <charset val="134"/>
      </rPr>
      <t>搪胶鱼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乌龟混装</t>
    </r>
  </si>
  <si>
    <t>CMW0029</t>
  </si>
  <si>
    <r>
      <rPr>
        <sz val="10"/>
        <color theme="1"/>
        <rFont val="宋体"/>
        <charset val="134"/>
      </rPr>
      <t>搪胶鱼</t>
    </r>
  </si>
  <si>
    <t>CMW0031</t>
  </si>
  <si>
    <t>CMW0035=CMW0169</t>
  </si>
  <si>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只公仔装</t>
    </r>
  </si>
  <si>
    <t>CMW0038</t>
  </si>
  <si>
    <r>
      <rPr>
        <sz val="10"/>
        <color theme="1"/>
        <rFont val="宋体"/>
        <charset val="134"/>
      </rPr>
      <t>拖车</t>
    </r>
  </si>
  <si>
    <t>CMW0044</t>
  </si>
  <si>
    <t>CMW0080</t>
  </si>
  <si>
    <r>
      <rPr>
        <sz val="10"/>
        <color theme="1"/>
        <rFont val="宋体"/>
        <charset val="134"/>
      </rPr>
      <t>火车</t>
    </r>
  </si>
  <si>
    <t>CMW0086</t>
  </si>
  <si>
    <r>
      <rPr>
        <sz val="10"/>
        <color theme="1"/>
        <rFont val="宋体"/>
        <charset val="134"/>
      </rPr>
      <t>搪胶鱼</t>
    </r>
    <r>
      <rPr>
        <sz val="10"/>
        <color theme="1"/>
        <rFont val="Times New Roman"/>
        <charset val="134"/>
      </rPr>
      <t>+</t>
    </r>
    <r>
      <rPr>
        <sz val="10"/>
        <color theme="1"/>
        <rFont val="宋体"/>
        <charset val="134"/>
      </rPr>
      <t>乌龟</t>
    </r>
  </si>
  <si>
    <t>CMW0123</t>
  </si>
  <si>
    <t>校车巴士
（拉丁语IC）</t>
  </si>
  <si>
    <t>CMW0124</t>
  </si>
  <si>
    <t>校车巴士
（葡萄牙语IC）</t>
  </si>
  <si>
    <t>CMW0169</t>
  </si>
  <si>
    <t>CMW0170</t>
  </si>
  <si>
    <t>CMW0171</t>
  </si>
  <si>
    <r>
      <rPr>
        <sz val="10"/>
        <color theme="1"/>
        <rFont val="宋体"/>
        <charset val="134"/>
      </rPr>
      <t>盲盒装公仔</t>
    </r>
  </si>
  <si>
    <t>CMW0174</t>
  </si>
  <si>
    <r>
      <rPr>
        <sz val="10"/>
        <color theme="1"/>
        <rFont val="宋体"/>
        <charset val="134"/>
      </rPr>
      <t>盲盒公仔三代</t>
    </r>
  </si>
  <si>
    <t>CMW0182</t>
  </si>
  <si>
    <r>
      <rPr>
        <sz val="10"/>
        <color theme="1"/>
        <rFont val="宋体"/>
        <charset val="134"/>
      </rPr>
      <t>跳舞公仔</t>
    </r>
  </si>
  <si>
    <t>CMW0201</t>
  </si>
  <si>
    <r>
      <rPr>
        <sz val="10"/>
        <color theme="1"/>
        <rFont val="宋体"/>
        <charset val="134"/>
      </rPr>
      <t>纸盒装公仔</t>
    </r>
  </si>
  <si>
    <t>CMW0208</t>
  </si>
  <si>
    <t>4只公仔装（二代）</t>
  </si>
  <si>
    <t>CMW0209</t>
  </si>
  <si>
    <t>CMW0212</t>
  </si>
  <si>
    <t>8只公仔装
（亚马逊货号）</t>
  </si>
  <si>
    <t>CMW0297（CMW0174）</t>
  </si>
  <si>
    <t>CMW0352</t>
  </si>
  <si>
    <t>跳舞公仔（AMZ版）</t>
  </si>
  <si>
    <t>CMW0373</t>
  </si>
  <si>
    <t>两只公仔（散装）</t>
  </si>
  <si>
    <t>CMW0373B</t>
  </si>
  <si>
    <t>CMW0544</t>
  </si>
  <si>
    <t>跳舞公仔（WMT版）</t>
  </si>
  <si>
    <t>CMW0585（CMW0023）</t>
  </si>
  <si>
    <t>DIS0273A</t>
  </si>
  <si>
    <r>
      <rPr>
        <sz val="10"/>
        <color theme="1"/>
        <rFont val="宋体"/>
        <charset val="134"/>
      </rPr>
      <t>厨房</t>
    </r>
  </si>
  <si>
    <t>DIS0421A（CMW0420）</t>
  </si>
  <si>
    <r>
      <rPr>
        <sz val="10"/>
        <color theme="1"/>
        <rFont val="宋体"/>
        <charset val="134"/>
      </rPr>
      <t>拖车豪华版</t>
    </r>
  </si>
  <si>
    <t>DIS0457A（CMW0522）</t>
  </si>
  <si>
    <r>
      <rPr>
        <sz val="10"/>
        <color theme="1"/>
        <rFont val="宋体"/>
        <charset val="134"/>
      </rPr>
      <t>拖车豪华鸡屋版</t>
    </r>
  </si>
  <si>
    <t>FNT0079AK</t>
  </si>
  <si>
    <r>
      <rPr>
        <sz val="10"/>
        <color theme="1"/>
        <rFont val="Times New Roman"/>
        <charset val="134"/>
      </rPr>
      <t>FNT</t>
    </r>
    <r>
      <rPr>
        <sz val="10"/>
        <color theme="1"/>
        <rFont val="宋体"/>
        <charset val="134"/>
      </rPr>
      <t>单只装公仔</t>
    </r>
  </si>
  <si>
    <t>FNT</t>
  </si>
  <si>
    <t>FNT0165</t>
  </si>
  <si>
    <r>
      <rPr>
        <sz val="10"/>
        <color theme="1"/>
        <rFont val="Times New Roman"/>
        <charset val="134"/>
      </rPr>
      <t>FNT</t>
    </r>
    <r>
      <rPr>
        <sz val="10"/>
        <color theme="1"/>
        <rFont val="宋体"/>
        <charset val="134"/>
      </rPr>
      <t>电子版公仔</t>
    </r>
  </si>
  <si>
    <t>FNT0166</t>
  </si>
  <si>
    <t>FNT0184</t>
  </si>
  <si>
    <t>FNT0185</t>
  </si>
  <si>
    <t>FNT0208</t>
  </si>
  <si>
    <r>
      <rPr>
        <sz val="10"/>
        <color theme="1"/>
        <rFont val="Times New Roman"/>
        <charset val="134"/>
      </rPr>
      <t>FNT</t>
    </r>
    <r>
      <rPr>
        <sz val="10"/>
        <color theme="1"/>
        <rFont val="宋体"/>
        <charset val="134"/>
      </rPr>
      <t>四只装公仔</t>
    </r>
  </si>
  <si>
    <t>FNT0428</t>
  </si>
  <si>
    <t>FNT0670</t>
  </si>
  <si>
    <t>FNT0831</t>
  </si>
  <si>
    <t>FNT0838</t>
  </si>
  <si>
    <r>
      <rPr>
        <sz val="10"/>
        <color theme="1"/>
        <rFont val="Times New Roman"/>
        <charset val="134"/>
      </rPr>
      <t>FNT</t>
    </r>
    <r>
      <rPr>
        <sz val="10"/>
        <color theme="1"/>
        <rFont val="宋体"/>
        <charset val="134"/>
      </rPr>
      <t>四支装公仔</t>
    </r>
  </si>
  <si>
    <t>NER0150</t>
  </si>
  <si>
    <t>Nerf标靶（亚马逊版）</t>
  </si>
  <si>
    <t>NER0156</t>
  </si>
  <si>
    <t>NER0205</t>
  </si>
  <si>
    <r>
      <rPr>
        <sz val="10"/>
        <color theme="1"/>
        <rFont val="宋体"/>
        <charset val="134"/>
      </rPr>
      <t>二代标靶</t>
    </r>
  </si>
  <si>
    <t>NER0226</t>
  </si>
  <si>
    <t>NER0327</t>
  </si>
  <si>
    <r>
      <rPr>
        <sz val="10"/>
        <color theme="1"/>
        <rFont val="宋体"/>
        <charset val="134"/>
      </rPr>
      <t>组合版标靶</t>
    </r>
  </si>
  <si>
    <t>NER0339</t>
  </si>
  <si>
    <r>
      <rPr>
        <sz val="10"/>
        <color theme="1"/>
        <rFont val="宋体"/>
        <charset val="134"/>
      </rPr>
      <t>组合标靶</t>
    </r>
  </si>
  <si>
    <t>NER0340</t>
  </si>
  <si>
    <r>
      <rPr>
        <sz val="10"/>
        <color theme="1"/>
        <rFont val="宋体"/>
        <charset val="134"/>
      </rPr>
      <t>标靶单支装</t>
    </r>
    <r>
      <rPr>
        <sz val="10"/>
        <color theme="1"/>
        <rFont val="Times New Roman"/>
        <charset val="134"/>
      </rPr>
      <t>#1</t>
    </r>
  </si>
  <si>
    <t>NER0341</t>
  </si>
  <si>
    <r>
      <rPr>
        <sz val="10"/>
        <color theme="1"/>
        <rFont val="宋体"/>
        <charset val="134"/>
      </rPr>
      <t>标靶单支装</t>
    </r>
    <r>
      <rPr>
        <sz val="10"/>
        <color theme="1"/>
        <rFont val="Times New Roman"/>
        <charset val="134"/>
      </rPr>
      <t>#2</t>
    </r>
  </si>
  <si>
    <t>NER0342</t>
  </si>
  <si>
    <r>
      <rPr>
        <sz val="10"/>
        <color theme="1"/>
        <rFont val="宋体"/>
        <charset val="134"/>
      </rPr>
      <t>标靶单支装</t>
    </r>
    <r>
      <rPr>
        <sz val="10"/>
        <color theme="1"/>
        <rFont val="Times New Roman"/>
        <charset val="134"/>
      </rPr>
      <t>#3</t>
    </r>
  </si>
  <si>
    <t>NER0343</t>
  </si>
  <si>
    <r>
      <rPr>
        <sz val="10"/>
        <color theme="1"/>
        <rFont val="宋体"/>
        <charset val="134"/>
      </rPr>
      <t>标靶单支装</t>
    </r>
    <r>
      <rPr>
        <sz val="10"/>
        <color theme="1"/>
        <rFont val="Times New Roman"/>
        <charset val="134"/>
      </rPr>
      <t>#4</t>
    </r>
  </si>
  <si>
    <t>NER0344</t>
  </si>
  <si>
    <r>
      <rPr>
        <sz val="10"/>
        <color theme="1"/>
        <rFont val="宋体"/>
        <charset val="134"/>
      </rPr>
      <t>标靶单支装</t>
    </r>
    <r>
      <rPr>
        <sz val="10"/>
        <color theme="1"/>
        <rFont val="Times New Roman"/>
        <charset val="134"/>
      </rPr>
      <t>#5</t>
    </r>
  </si>
  <si>
    <t>NER0351</t>
  </si>
  <si>
    <r>
      <rPr>
        <sz val="10"/>
        <color theme="1"/>
        <rFont val="宋体"/>
        <charset val="134"/>
      </rPr>
      <t>射击标靶</t>
    </r>
  </si>
  <si>
    <t>PKW0030</t>
  </si>
  <si>
    <r>
      <rPr>
        <sz val="10"/>
        <color theme="1"/>
        <rFont val="宋体"/>
        <charset val="134"/>
      </rPr>
      <t>皮卡丘，伊贝混装</t>
    </r>
  </si>
  <si>
    <t>PKW0030（97759）</t>
  </si>
  <si>
    <t>PKW0031</t>
  </si>
  <si>
    <r>
      <rPr>
        <sz val="10"/>
        <color theme="1"/>
        <rFont val="宋体"/>
        <charset val="134"/>
      </rPr>
      <t>伊贝</t>
    </r>
  </si>
  <si>
    <t>ROB0243</t>
  </si>
  <si>
    <t>ROB0268</t>
  </si>
  <si>
    <r>
      <rPr>
        <sz val="10"/>
        <color theme="1"/>
        <rFont val="宋体"/>
        <charset val="134"/>
      </rPr>
      <t>混装公仔装</t>
    </r>
  </si>
  <si>
    <t>ROB0271</t>
  </si>
  <si>
    <r>
      <rPr>
        <sz val="10"/>
        <color theme="1"/>
        <rFont val="宋体"/>
        <charset val="134"/>
      </rPr>
      <t>单只公仔吸塑装</t>
    </r>
  </si>
  <si>
    <t>ROB0552</t>
  </si>
  <si>
    <t>SNF0145</t>
  </si>
  <si>
    <r>
      <rPr>
        <sz val="10"/>
        <color theme="1"/>
        <rFont val="宋体"/>
        <charset val="134"/>
      </rPr>
      <t>蜘蛛侠喷水公仔</t>
    </r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只装</t>
    </r>
  </si>
  <si>
    <t>SNF</t>
  </si>
  <si>
    <t>SNF0146</t>
  </si>
  <si>
    <r>
      <rPr>
        <sz val="10"/>
        <color theme="1"/>
        <rFont val="宋体"/>
        <charset val="134"/>
      </rPr>
      <t>蜘蛛侠喷水公仔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只装</t>
    </r>
  </si>
  <si>
    <t>SNF0167</t>
  </si>
  <si>
    <r>
      <rPr>
        <sz val="10"/>
        <color theme="1"/>
        <rFont val="宋体"/>
        <charset val="134"/>
      </rPr>
      <t>蜘蛛侠赛车</t>
    </r>
  </si>
  <si>
    <t>SNF0181</t>
  </si>
  <si>
    <t>SNF0182</t>
  </si>
  <si>
    <t>SNF0184</t>
  </si>
  <si>
    <t>蜘蛛侠赛车（WM货号）</t>
  </si>
  <si>
    <t>SNF0201</t>
  </si>
  <si>
    <r>
      <rPr>
        <sz val="10"/>
        <color theme="1"/>
        <rFont val="宋体"/>
        <charset val="134"/>
      </rPr>
      <t>蜘蛛侠带电赛车</t>
    </r>
  </si>
  <si>
    <t>SNF0219</t>
  </si>
  <si>
    <r>
      <rPr>
        <sz val="10"/>
        <color theme="1"/>
        <rFont val="宋体"/>
        <charset val="134"/>
      </rPr>
      <t>蜘蛛侠单支装混装</t>
    </r>
  </si>
  <si>
    <t>SNF0220</t>
  </si>
  <si>
    <r>
      <rPr>
        <sz val="10"/>
        <color theme="1"/>
        <rFont val="宋体"/>
        <charset val="134"/>
      </rPr>
      <t>红人蜘蛛侠</t>
    </r>
  </si>
  <si>
    <t>SNF0221</t>
  </si>
  <si>
    <r>
      <rPr>
        <sz val="10"/>
        <color theme="1"/>
        <rFont val="宋体"/>
        <charset val="134"/>
      </rPr>
      <t>白人蜘蛛侠</t>
    </r>
  </si>
  <si>
    <t>SNF0222</t>
  </si>
  <si>
    <r>
      <rPr>
        <sz val="10"/>
        <color theme="1"/>
        <rFont val="宋体"/>
        <charset val="134"/>
      </rPr>
      <t>黑人蜘蛛侠</t>
    </r>
  </si>
  <si>
    <t>SNF0283</t>
  </si>
  <si>
    <t>蜘蛛侠带电赛车（墨西哥货号）</t>
  </si>
  <si>
    <t>CMW0108</t>
  </si>
  <si>
    <t>CMW0138</t>
  </si>
  <si>
    <t>拖车
（西班牙IC）</t>
  </si>
  <si>
    <t>CMW0252</t>
  </si>
  <si>
    <r>
      <rPr>
        <sz val="10"/>
        <color theme="1"/>
        <rFont val="Times New Roman"/>
        <charset val="134"/>
      </rPr>
      <t>JJ+</t>
    </r>
    <r>
      <rPr>
        <sz val="10"/>
        <color theme="1"/>
        <rFont val="宋体"/>
        <charset val="134"/>
      </rPr>
      <t>渔夫公仔</t>
    </r>
  </si>
  <si>
    <t>CMW0143</t>
  </si>
  <si>
    <t>火车
（葡萄牙语IC）</t>
  </si>
  <si>
    <t>CMW0118</t>
  </si>
  <si>
    <t>厨房（邮包盒）</t>
  </si>
  <si>
    <t>CMW0282</t>
  </si>
  <si>
    <r>
      <rPr>
        <sz val="10"/>
        <color theme="1"/>
        <rFont val="宋体"/>
        <charset val="134"/>
      </rPr>
      <t>俄语校车</t>
    </r>
  </si>
  <si>
    <t>CMW0283</t>
  </si>
  <si>
    <r>
      <rPr>
        <sz val="10"/>
        <color theme="1"/>
        <rFont val="宋体"/>
        <charset val="134"/>
      </rPr>
      <t>俄语拖车</t>
    </r>
  </si>
  <si>
    <t>CMW0285</t>
  </si>
  <si>
    <r>
      <rPr>
        <sz val="10"/>
        <color theme="1"/>
        <rFont val="宋体"/>
        <charset val="134"/>
      </rPr>
      <t>俄语火车</t>
    </r>
  </si>
  <si>
    <t>CMW0054</t>
  </si>
  <si>
    <t>CMW0048</t>
  </si>
  <si>
    <t>盲盒
（二代）</t>
  </si>
  <si>
    <t>CMW0048
（校车公仔）</t>
  </si>
  <si>
    <t>校车公仔（旧结构）</t>
  </si>
  <si>
    <t>CMW0048
（火车公仔）</t>
  </si>
  <si>
    <t>火车公仔（旧结构）</t>
  </si>
  <si>
    <t>CMW0048
（拖车公仔）</t>
  </si>
  <si>
    <t>拖车公仔（旧结构）</t>
  </si>
  <si>
    <t>CMW0654（CMW0182）</t>
  </si>
  <si>
    <t>CMW0137</t>
  </si>
  <si>
    <r>
      <rPr>
        <sz val="10"/>
        <color theme="1"/>
        <rFont val="宋体"/>
        <charset val="134"/>
      </rPr>
      <t>德语校车</t>
    </r>
  </si>
  <si>
    <t>PKW3901</t>
  </si>
  <si>
    <r>
      <rPr>
        <sz val="10"/>
        <color theme="1"/>
        <rFont val="宋体"/>
        <charset val="134"/>
      </rPr>
      <t>皮卡丘邮包盒</t>
    </r>
  </si>
  <si>
    <t>SNF0357</t>
  </si>
  <si>
    <r>
      <rPr>
        <sz val="10"/>
        <color theme="1"/>
        <rFont val="宋体"/>
        <charset val="134"/>
      </rPr>
      <t>挤水蜘蛛侠混装</t>
    </r>
  </si>
  <si>
    <t>SNF0355</t>
  </si>
  <si>
    <r>
      <rPr>
        <sz val="10"/>
        <color theme="1"/>
        <rFont val="宋体"/>
        <charset val="134"/>
      </rPr>
      <t>蜘蛛侠配蜘蛛网套装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</si>
</sst>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yyyy/m/d&quot;周&quot;aaa"/>
    <numFmt numFmtId="178" formatCode="0.000_ ;[Red]\-0.000\ "/>
    <numFmt numFmtId="179" formatCode="0.00_ ;[Red]\-0.00\ "/>
    <numFmt numFmtId="180" formatCode="m&quot;月&quot;d&quot;日&quot;\(aaa\)"/>
  </numFmts>
  <fonts count="44">
    <font>
      <sz val="12"/>
      <name val="宋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9"/>
      <name val="宋体"/>
      <charset val="134"/>
      <scheme val="major"/>
    </font>
    <font>
      <b/>
      <sz val="9"/>
      <color rgb="FFFF0000"/>
      <name val="宋体"/>
      <charset val="134"/>
      <scheme val="major"/>
    </font>
    <font>
      <sz val="9"/>
      <name val="宋体"/>
      <charset val="134"/>
    </font>
    <font>
      <sz val="9"/>
      <color rgb="FFFF00FF"/>
      <name val="宋体"/>
      <charset val="134"/>
      <scheme val="major"/>
    </font>
    <font>
      <b/>
      <sz val="10"/>
      <color rgb="FFFF0000"/>
      <name val="Times New Roman"/>
      <charset val="134"/>
    </font>
    <font>
      <sz val="9"/>
      <color rgb="FFFF00FF"/>
      <name val="Arial"/>
      <charset val="134"/>
    </font>
    <font>
      <sz val="9"/>
      <color rgb="FF0000FF"/>
      <name val="宋体"/>
      <charset val="134"/>
      <scheme val="major"/>
    </font>
    <font>
      <b/>
      <sz val="9"/>
      <color rgb="FF0000FF"/>
      <name val="宋体"/>
      <charset val="134"/>
      <scheme val="major"/>
    </font>
    <font>
      <b/>
      <sz val="9"/>
      <name val="宋体"/>
      <charset val="134"/>
      <scheme val="major"/>
    </font>
    <font>
      <sz val="9"/>
      <color rgb="FFFF00FF"/>
      <name val="宋体"/>
      <charset val="134"/>
    </font>
    <font>
      <b/>
      <sz val="9"/>
      <color rgb="FFFF0000"/>
      <name val="宋体"/>
      <charset val="134"/>
    </font>
    <font>
      <b/>
      <sz val="9"/>
      <color rgb="FF1B1BFB"/>
      <name val="Times New Roman"/>
      <charset val="134"/>
    </font>
    <font>
      <b/>
      <sz val="9"/>
      <color rgb="FFFF0000"/>
      <name val="Times New Roman"/>
      <charset val="134"/>
    </font>
    <font>
      <sz val="10"/>
      <name val="宋体"/>
      <charset val="134"/>
    </font>
    <font>
      <sz val="10"/>
      <color rgb="FF0000FF"/>
      <name val="宋体"/>
      <charset val="134"/>
    </font>
    <font>
      <sz val="10"/>
      <color rgb="FFFF00FF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name val="Helv"/>
      <charset val="134"/>
    </font>
    <font>
      <sz val="12"/>
      <name val="Times New Roman"/>
      <charset val="134"/>
    </font>
    <font>
      <b/>
      <sz val="9"/>
      <color rgb="FF1B1BFB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CA7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4">
    <xf numFmtId="0" fontId="0" fillId="0" borderId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4" borderId="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5" applyNumberFormat="0" applyAlignment="0" applyProtection="0">
      <alignment vertical="center"/>
    </xf>
    <xf numFmtId="0" fontId="30" fillId="6" borderId="6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176" fontId="0" fillId="0" borderId="0"/>
    <xf numFmtId="0" fontId="0" fillId="0" borderId="0" applyProtection="0"/>
    <xf numFmtId="0" fontId="40" fillId="0" borderId="0"/>
    <xf numFmtId="0" fontId="20" fillId="0" borderId="0">
      <alignment vertical="center"/>
    </xf>
    <xf numFmtId="0" fontId="41" fillId="0" borderId="0"/>
    <xf numFmtId="0" fontId="20" fillId="0" borderId="0">
      <alignment vertical="center"/>
    </xf>
    <xf numFmtId="0" fontId="0" fillId="0" borderId="0" applyProtection="0"/>
    <xf numFmtId="0" fontId="0" fillId="0" borderId="0"/>
    <xf numFmtId="176" fontId="0" fillId="0" borderId="0"/>
    <xf numFmtId="176" fontId="0" fillId="0" borderId="0"/>
    <xf numFmtId="0" fontId="0" fillId="0" borderId="0"/>
    <xf numFmtId="0" fontId="42" fillId="0" borderId="0"/>
    <xf numFmtId="176" fontId="0" fillId="0" borderId="0"/>
    <xf numFmtId="0" fontId="0" fillId="0" borderId="0" applyProtection="0"/>
    <xf numFmtId="0" fontId="0" fillId="0" borderId="0" applyProtection="0"/>
    <xf numFmtId="176" fontId="0" fillId="0" borderId="0"/>
    <xf numFmtId="0" fontId="0" fillId="0" borderId="0" applyProtection="0"/>
    <xf numFmtId="0" fontId="0" fillId="0" borderId="0" applyProtection="0"/>
    <xf numFmtId="0" fontId="0" fillId="0" borderId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88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177" fontId="3" fillId="0" borderId="0" xfId="0" applyNumberFormat="1" applyFont="1" applyFill="1" applyBorder="1" applyAlignment="1">
      <alignment horizontal="center" vertical="center" wrapText="1"/>
    </xf>
    <xf numFmtId="178" fontId="3" fillId="0" borderId="0" xfId="0" applyNumberFormat="1" applyFont="1" applyFill="1" applyBorder="1" applyAlignment="1">
      <alignment horizontal="center" vertical="center" wrapText="1"/>
    </xf>
    <xf numFmtId="179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 wrapText="1" shrinkToFit="1"/>
    </xf>
    <xf numFmtId="177" fontId="3" fillId="0" borderId="1" xfId="0" applyNumberFormat="1" applyFont="1" applyFill="1" applyBorder="1" applyAlignment="1">
      <alignment horizontal="center" vertical="center" shrinkToFit="1"/>
    </xf>
    <xf numFmtId="177" fontId="3" fillId="0" borderId="1" xfId="0" applyNumberFormat="1" applyFont="1" applyFill="1" applyBorder="1" applyAlignment="1">
      <alignment horizontal="center" vertical="center" wrapText="1" shrinkToFi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 shrinkToFit="1"/>
    </xf>
    <xf numFmtId="0" fontId="3" fillId="0" borderId="1" xfId="0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 wrapText="1"/>
    </xf>
    <xf numFmtId="179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 shrinkToFit="1"/>
    </xf>
    <xf numFmtId="18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 shrinkToFit="1"/>
    </xf>
    <xf numFmtId="179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 shrinkToFit="1"/>
    </xf>
    <xf numFmtId="180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 shrinkToFit="1"/>
    </xf>
    <xf numFmtId="0" fontId="6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 shrinkToFit="1"/>
    </xf>
    <xf numFmtId="178" fontId="6" fillId="0" borderId="1" xfId="0" applyNumberFormat="1" applyFont="1" applyFill="1" applyBorder="1" applyAlignment="1">
      <alignment horizontal="center" vertical="center" wrapText="1"/>
    </xf>
    <xf numFmtId="17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 shrinkToFit="1"/>
    </xf>
    <xf numFmtId="18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 shrinkToFit="1"/>
    </xf>
    <xf numFmtId="0" fontId="9" fillId="0" borderId="1" xfId="0" applyNumberFormat="1" applyFont="1" applyFill="1" applyBorder="1" applyAlignment="1">
      <alignment horizontal="center" vertical="center" wrapText="1"/>
    </xf>
    <xf numFmtId="177" fontId="9" fillId="0" borderId="1" xfId="0" applyNumberFormat="1" applyFont="1" applyFill="1" applyBorder="1" applyAlignment="1">
      <alignment horizontal="center" vertical="center" wrapText="1"/>
    </xf>
    <xf numFmtId="177" fontId="9" fillId="0" borderId="1" xfId="0" applyNumberFormat="1" applyFont="1" applyFill="1" applyBorder="1" applyAlignment="1">
      <alignment horizontal="center" vertical="center" wrapText="1" shrinkToFit="1"/>
    </xf>
    <xf numFmtId="178" fontId="9" fillId="0" borderId="1" xfId="0" applyNumberFormat="1" applyFont="1" applyFill="1" applyBorder="1" applyAlignment="1">
      <alignment horizontal="center" vertical="center" wrapText="1"/>
    </xf>
    <xf numFmtId="179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 wrapText="1"/>
    </xf>
    <xf numFmtId="179" fontId="5" fillId="0" borderId="0" xfId="0" applyNumberFormat="1" applyFont="1" applyFill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 wrapText="1"/>
    </xf>
    <xf numFmtId="17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79" fontId="12" fillId="0" borderId="1" xfId="0" applyNumberFormat="1" applyFont="1" applyFill="1" applyBorder="1" applyAlignment="1">
      <alignment horizontal="center" vertical="center" wrapText="1"/>
    </xf>
    <xf numFmtId="177" fontId="13" fillId="0" borderId="1" xfId="0" applyNumberFormat="1" applyFont="1" applyFill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Alignment="1">
      <alignment horizontal="center" vertical="center"/>
    </xf>
    <xf numFmtId="177" fontId="14" fillId="0" borderId="0" xfId="0" applyNumberFormat="1" applyFont="1" applyFill="1" applyBorder="1" applyAlignment="1">
      <alignment horizontal="right" vertical="center" wrapText="1"/>
    </xf>
    <xf numFmtId="179" fontId="14" fillId="0" borderId="0" xfId="0" applyNumberFormat="1" applyFont="1" applyFill="1" applyBorder="1" applyAlignment="1">
      <alignment horizontal="center" vertical="center" wrapText="1"/>
    </xf>
    <xf numFmtId="177" fontId="15" fillId="0" borderId="0" xfId="0" applyNumberFormat="1" applyFont="1" applyFill="1" applyBorder="1" applyAlignment="1">
      <alignment horizontal="right" vertical="center" wrapText="1"/>
    </xf>
    <xf numFmtId="179" fontId="15" fillId="0" borderId="0" xfId="0" applyNumberFormat="1" applyFont="1" applyFill="1" applyBorder="1" applyAlignment="1">
      <alignment horizontal="center" vertical="center" wrapText="1"/>
    </xf>
    <xf numFmtId="177" fontId="13" fillId="0" borderId="0" xfId="0" applyNumberFormat="1" applyFont="1" applyFill="1" applyBorder="1" applyAlignment="1">
      <alignment horizontal="right" vertical="center" wrapText="1"/>
    </xf>
    <xf numFmtId="179" fontId="13" fillId="0" borderId="0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 applyAlignment="1" applyProtection="1">
      <alignment horizontal="left" vertical="center"/>
    </xf>
    <xf numFmtId="0" fontId="16" fillId="0" borderId="0" xfId="0" applyFont="1" applyFill="1" applyBorder="1" applyAlignment="1" applyProtection="1">
      <alignment horizontal="center" vertical="center"/>
    </xf>
    <xf numFmtId="0" fontId="16" fillId="0" borderId="1" xfId="0" applyFont="1" applyFill="1" applyBorder="1" applyAlignment="1" applyProtection="1">
      <alignment horizontal="center" vertical="center"/>
    </xf>
    <xf numFmtId="0" fontId="16" fillId="2" borderId="1" xfId="0" applyFont="1" applyFill="1" applyBorder="1" applyAlignment="1" applyProtection="1">
      <alignment horizontal="center" vertical="center"/>
    </xf>
    <xf numFmtId="0" fontId="16" fillId="3" borderId="1" xfId="0" applyFont="1" applyFill="1" applyBorder="1" applyAlignment="1" applyProtection="1">
      <alignment horizontal="center" vertical="center"/>
    </xf>
    <xf numFmtId="0" fontId="17" fillId="0" borderId="1" xfId="0" applyFont="1" applyFill="1" applyBorder="1" applyAlignment="1" applyProtection="1">
      <alignment horizontal="center" vertical="center"/>
    </xf>
    <xf numFmtId="0" fontId="18" fillId="0" borderId="1" xfId="0" applyFont="1" applyFill="1" applyBorder="1" applyAlignment="1" applyProtection="1">
      <alignment horizontal="center" vertical="center"/>
    </xf>
    <xf numFmtId="0" fontId="19" fillId="0" borderId="1" xfId="0" applyFont="1" applyFill="1" applyBorder="1" applyAlignment="1" applyProtection="1">
      <alignment horizontal="center" vertical="center"/>
    </xf>
  </cellXfs>
  <cellStyles count="9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2 3 3" xfId="50"/>
    <cellStyle name="Normal_Book1_INVOICE (Tray 2+ 3) 2003070091&amp;031212" xfId="51"/>
    <cellStyle name="常规 6" xfId="52"/>
    <cellStyle name="_ET_STYLE_NoName_00_" xfId="53"/>
    <cellStyle name="常规 5 2" xfId="54"/>
    <cellStyle name="常规 2 5" xfId="55"/>
    <cellStyle name="样式 1 2 2" xfId="56"/>
    <cellStyle name="常规 2 2 2" xfId="57"/>
    <cellStyle name="常规 2 2 3" xfId="58"/>
    <cellStyle name="样式 1 2 3" xfId="59"/>
    <cellStyle name="Normal 2" xfId="60"/>
    <cellStyle name="常规 2 2" xfId="61"/>
    <cellStyle name="常规 2 3" xfId="62"/>
    <cellStyle name="常规 2 3 2" xfId="63"/>
    <cellStyle name="常规 2" xfId="64"/>
    <cellStyle name="常规 2 3 2 2" xfId="65"/>
    <cellStyle name="常规 2 4" xfId="66"/>
    <cellStyle name="常规 2 4 2" xfId="67"/>
    <cellStyle name="常规 3" xfId="68"/>
    <cellStyle name="常规 3 2" xfId="69"/>
    <cellStyle name="常规 3 2 2" xfId="70"/>
    <cellStyle name="常规 3 3" xfId="71"/>
    <cellStyle name="常规 4" xfId="72"/>
    <cellStyle name="常规 4 2" xfId="73"/>
    <cellStyle name="常规 4 2 2" xfId="74"/>
    <cellStyle name="常规 4 3" xfId="75"/>
    <cellStyle name="常规 5" xfId="76"/>
    <cellStyle name="常规_2014年Basic Concepts合同评审表(3)" xfId="77"/>
    <cellStyle name="常规_Sheet3" xfId="78"/>
    <cellStyle name="常规_排期" xfId="79"/>
    <cellStyle name="千位分隔 2" xfId="80"/>
    <cellStyle name="千位分隔 2 2" xfId="81"/>
    <cellStyle name="千位分隔 2 4" xfId="82"/>
    <cellStyle name="千位分隔 2 2 2" xfId="83"/>
    <cellStyle name="千位分隔 2 2 2 2" xfId="84"/>
    <cellStyle name="千位分隔 2 2 3" xfId="85"/>
    <cellStyle name="千位分隔 2 3" xfId="86"/>
    <cellStyle name="千位分隔 2 3 2" xfId="87"/>
    <cellStyle name="样式 1" xfId="88"/>
    <cellStyle name="样式 1 2" xfId="89"/>
    <cellStyle name="样式 1 2 2 2" xfId="90"/>
    <cellStyle name="样式 1 3" xfId="91"/>
    <cellStyle name="样式 1 3 2" xfId="92"/>
    <cellStyle name="样式 1 4" xfId="9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E82EE6"/>
      <color rgb="00ECA7E6"/>
      <color rgb="00FAE5F8"/>
      <color rgb="000B13BB"/>
      <color rgb="00FF0000"/>
      <color rgb="00FFFF00"/>
      <color rgb="001B1BFB"/>
      <color rgb="00000000"/>
      <color rgb="000000FF"/>
      <color rgb="00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82" dbFileVersion="0" changeLogVersion="0">
    <open main="34" threadCnt="1"/>
    <sheetInfos>
      <sheetInfo cellCmpFml="43" sheetStid="47">
        <open main="2" threadCnt="1"/>
      </sheetInfo>
      <sheetInfo cellCmpFml="12" sheetStid="45">
        <open threadCnt="1"/>
      </sheetInfo>
      <sheetInfo cellCmpFml="14" sheetStid="51">
        <open main="3" threadCnt="1"/>
      </sheetInfo>
      <sheetInfo cellCmpFml="13" sheetStid="52">
        <open threadCnt="1"/>
      </sheetInfo>
      <sheetInfo cellCmpFml="0" sheetStid="48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www.wps.cn/officeDocument/2023/relationships/woinfos" Target="woinfos.xml"/><Relationship Id="rId11" Type="http://schemas.openxmlformats.org/officeDocument/2006/relationships/styles" Target="styles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3"/>
  <sheetViews>
    <sheetView tabSelected="1" workbookViewId="0">
      <pane xSplit="6" ySplit="2" topLeftCell="G58" activePane="bottomRight" state="frozen"/>
      <selection/>
      <selection pane="topRight"/>
      <selection pane="bottomLeft"/>
      <selection pane="bottomRight" activeCell="H74" sqref="H74"/>
    </sheetView>
  </sheetViews>
  <sheetFormatPr defaultColWidth="9" defaultRowHeight="25" customHeight="1"/>
  <cols>
    <col min="1" max="2" width="12.6" style="52" customWidth="1"/>
    <col min="3" max="3" width="12.6" style="53" customWidth="1"/>
    <col min="4" max="4" width="10.6" style="53" customWidth="1"/>
    <col min="5" max="5" width="8.625" style="56" customWidth="1"/>
    <col min="6" max="6" width="6.625" style="52" customWidth="1"/>
    <col min="7" max="14" width="10.625" style="52" customWidth="1"/>
    <col min="15" max="15" width="8.6" style="57" customWidth="1"/>
    <col min="16" max="17" width="12.6" style="58" customWidth="1"/>
    <col min="18" max="16384" width="9" style="52"/>
  </cols>
  <sheetData>
    <row r="1" s="52" customFormat="1" customHeight="1" spans="1:17">
      <c r="A1" s="59" t="s">
        <v>0</v>
      </c>
      <c r="B1" s="59"/>
      <c r="C1" s="59"/>
      <c r="D1" s="59"/>
      <c r="E1" s="60"/>
      <c r="F1" s="59"/>
      <c r="G1" s="61"/>
      <c r="H1" s="61"/>
      <c r="I1" s="61"/>
      <c r="J1" s="61"/>
      <c r="K1" s="61"/>
      <c r="L1" s="61"/>
      <c r="M1" s="61"/>
      <c r="N1" s="61"/>
      <c r="O1" s="62"/>
      <c r="P1" s="63"/>
      <c r="Q1" s="63"/>
    </row>
    <row r="2" s="53" customFormat="1" customHeight="1" spans="1:17">
      <c r="A2" s="18" t="s">
        <v>1</v>
      </c>
      <c r="B2" s="18" t="s">
        <v>2</v>
      </c>
      <c r="C2" s="14" t="s">
        <v>3</v>
      </c>
      <c r="D2" s="14" t="s">
        <v>4</v>
      </c>
      <c r="E2" s="15" t="s">
        <v>5</v>
      </c>
      <c r="F2" s="18" t="s">
        <v>6</v>
      </c>
      <c r="G2" s="15">
        <v>202308</v>
      </c>
      <c r="H2" s="15">
        <v>2742115</v>
      </c>
      <c r="I2" s="15">
        <v>2785037</v>
      </c>
      <c r="J2" s="64" t="s">
        <v>7</v>
      </c>
      <c r="K2" s="15">
        <v>2816010</v>
      </c>
      <c r="L2" s="15">
        <v>2816011</v>
      </c>
      <c r="M2" s="64"/>
      <c r="N2" s="64"/>
      <c r="O2" s="62" t="s">
        <v>8</v>
      </c>
      <c r="P2" s="63" t="s">
        <v>9</v>
      </c>
      <c r="Q2" s="63" t="s">
        <v>10</v>
      </c>
    </row>
    <row r="3" s="52" customFormat="1" customHeight="1" spans="1:17">
      <c r="A3" s="59">
        <v>45554</v>
      </c>
      <c r="B3" s="59">
        <v>45590</v>
      </c>
      <c r="C3" s="15" t="s">
        <v>11</v>
      </c>
      <c r="D3" s="15">
        <v>2742115</v>
      </c>
      <c r="E3" s="24">
        <v>24</v>
      </c>
      <c r="F3" s="15" t="s">
        <v>12</v>
      </c>
      <c r="G3" s="64"/>
      <c r="H3" s="64">
        <f>E3</f>
        <v>24</v>
      </c>
      <c r="I3" s="60"/>
      <c r="J3" s="60"/>
      <c r="K3" s="60"/>
      <c r="L3" s="60"/>
      <c r="M3" s="60"/>
      <c r="N3" s="60"/>
      <c r="O3" s="20">
        <v>0</v>
      </c>
      <c r="P3" s="63">
        <f>SUM(G3:N3)*O3</f>
        <v>0</v>
      </c>
      <c r="Q3" s="63">
        <f>P3*7.75</f>
        <v>0</v>
      </c>
    </row>
    <row r="4" s="52" customFormat="1" customHeight="1" spans="1:17">
      <c r="A4" s="59">
        <v>45827</v>
      </c>
      <c r="B4" s="59">
        <v>45904</v>
      </c>
      <c r="C4" s="15" t="s">
        <v>13</v>
      </c>
      <c r="D4" s="15">
        <v>2785037</v>
      </c>
      <c r="E4" s="65">
        <v>30</v>
      </c>
      <c r="F4" s="15" t="s">
        <v>14</v>
      </c>
      <c r="G4" s="64"/>
      <c r="H4" s="64"/>
      <c r="I4" s="60">
        <f>E4</f>
        <v>30</v>
      </c>
      <c r="J4" s="60"/>
      <c r="K4" s="60"/>
      <c r="L4" s="60"/>
      <c r="M4" s="60"/>
      <c r="N4" s="60"/>
      <c r="O4" s="20">
        <v>0</v>
      </c>
      <c r="P4" s="63">
        <f>SUM(G4:N4)*O4</f>
        <v>0</v>
      </c>
      <c r="Q4" s="63">
        <f>P4*7.75</f>
        <v>0</v>
      </c>
    </row>
    <row r="5" s="54" customFormat="1" customHeight="1" spans="1:17">
      <c r="A5" s="29">
        <v>45985</v>
      </c>
      <c r="B5" s="34">
        <v>46046</v>
      </c>
      <c r="C5" s="31" t="s">
        <v>15</v>
      </c>
      <c r="D5" s="31">
        <v>2816010</v>
      </c>
      <c r="E5" s="32">
        <v>2964</v>
      </c>
      <c r="F5" s="31"/>
      <c r="G5" s="66"/>
      <c r="H5" s="66"/>
      <c r="I5" s="67"/>
      <c r="J5" s="67"/>
      <c r="K5" s="67">
        <f>E5</f>
        <v>2964</v>
      </c>
      <c r="L5" s="67"/>
      <c r="M5" s="67"/>
      <c r="N5" s="67"/>
      <c r="O5" s="36">
        <v>19.28</v>
      </c>
      <c r="P5" s="68">
        <f>SUM(G5:N5)*O5</f>
        <v>57145.92</v>
      </c>
      <c r="Q5" s="68">
        <f>P5*7.75</f>
        <v>442880.88</v>
      </c>
    </row>
    <row r="6" s="54" customFormat="1" customHeight="1" spans="1:17">
      <c r="A6" s="29">
        <v>45985</v>
      </c>
      <c r="B6" s="34">
        <v>46046</v>
      </c>
      <c r="C6" s="31" t="s">
        <v>15</v>
      </c>
      <c r="D6" s="31">
        <v>2816010</v>
      </c>
      <c r="E6" s="32">
        <v>30</v>
      </c>
      <c r="F6" s="31"/>
      <c r="G6" s="66"/>
      <c r="H6" s="66"/>
      <c r="I6" s="67"/>
      <c r="J6" s="67"/>
      <c r="K6" s="67">
        <f>E6</f>
        <v>30</v>
      </c>
      <c r="L6" s="67"/>
      <c r="M6" s="67"/>
      <c r="N6" s="67"/>
      <c r="O6" s="36">
        <v>19.28</v>
      </c>
      <c r="P6" s="68">
        <f>SUM(G6:N6)*O6</f>
        <v>578.4</v>
      </c>
      <c r="Q6" s="68">
        <f>P6*7.75</f>
        <v>4482.6</v>
      </c>
    </row>
    <row r="7" s="54" customFormat="1" customHeight="1" spans="1:17">
      <c r="A7" s="29">
        <v>45985</v>
      </c>
      <c r="B7" s="34">
        <v>46046</v>
      </c>
      <c r="C7" s="31" t="s">
        <v>15</v>
      </c>
      <c r="D7" s="31">
        <v>2816010</v>
      </c>
      <c r="E7" s="32">
        <v>58</v>
      </c>
      <c r="F7" s="31"/>
      <c r="G7" s="66"/>
      <c r="H7" s="66"/>
      <c r="I7" s="67"/>
      <c r="J7" s="67"/>
      <c r="K7" s="67">
        <f>E7</f>
        <v>58</v>
      </c>
      <c r="L7" s="67"/>
      <c r="M7" s="67"/>
      <c r="N7" s="67"/>
      <c r="O7" s="36">
        <v>19.28</v>
      </c>
      <c r="P7" s="68">
        <f>SUM(G7:N7)*O7</f>
        <v>1118.24</v>
      </c>
      <c r="Q7" s="68">
        <f>P7*7.75</f>
        <v>8666.36</v>
      </c>
    </row>
    <row r="8" s="54" customFormat="1" customHeight="1" spans="1:17">
      <c r="A8" s="29">
        <v>45985</v>
      </c>
      <c r="B8" s="34">
        <v>46046</v>
      </c>
      <c r="C8" s="31" t="s">
        <v>15</v>
      </c>
      <c r="D8" s="31">
        <v>2816010</v>
      </c>
      <c r="E8" s="32">
        <v>40</v>
      </c>
      <c r="F8" s="31"/>
      <c r="G8" s="66"/>
      <c r="H8" s="66"/>
      <c r="I8" s="67"/>
      <c r="J8" s="67"/>
      <c r="K8" s="67">
        <f t="shared" ref="K8:K15" si="0">E8</f>
        <v>40</v>
      </c>
      <c r="L8" s="67"/>
      <c r="M8" s="67"/>
      <c r="N8" s="67"/>
      <c r="O8" s="36">
        <v>19.28</v>
      </c>
      <c r="P8" s="68">
        <f t="shared" ref="P8:P13" si="1">SUM(G8:N8)*O8</f>
        <v>771.2</v>
      </c>
      <c r="Q8" s="68">
        <f t="shared" ref="Q8:Q13" si="2">P8*7.75</f>
        <v>5976.8</v>
      </c>
    </row>
    <row r="9" s="54" customFormat="1" customHeight="1" spans="1:17">
      <c r="A9" s="29">
        <v>45985</v>
      </c>
      <c r="B9" s="34">
        <v>46046</v>
      </c>
      <c r="C9" s="31" t="s">
        <v>15</v>
      </c>
      <c r="D9" s="31">
        <v>2816010</v>
      </c>
      <c r="E9" s="32">
        <v>24</v>
      </c>
      <c r="F9" s="31"/>
      <c r="G9" s="66"/>
      <c r="H9" s="66"/>
      <c r="I9" s="67"/>
      <c r="J9" s="67"/>
      <c r="K9" s="67">
        <f t="shared" si="0"/>
        <v>24</v>
      </c>
      <c r="L9" s="67"/>
      <c r="M9" s="67"/>
      <c r="N9" s="67"/>
      <c r="O9" s="36">
        <v>19.28</v>
      </c>
      <c r="P9" s="68">
        <f t="shared" si="1"/>
        <v>462.72</v>
      </c>
      <c r="Q9" s="68">
        <f t="shared" si="2"/>
        <v>3586.08</v>
      </c>
    </row>
    <row r="10" s="54" customFormat="1" customHeight="1" spans="1:17">
      <c r="A10" s="29">
        <v>45985</v>
      </c>
      <c r="B10" s="34">
        <v>46046</v>
      </c>
      <c r="C10" s="31" t="s">
        <v>15</v>
      </c>
      <c r="D10" s="31">
        <v>2816010</v>
      </c>
      <c r="E10" s="32">
        <v>36</v>
      </c>
      <c r="F10" s="31"/>
      <c r="G10" s="66"/>
      <c r="H10" s="66"/>
      <c r="I10" s="67"/>
      <c r="J10" s="67"/>
      <c r="K10" s="67">
        <f t="shared" si="0"/>
        <v>36</v>
      </c>
      <c r="L10" s="67"/>
      <c r="M10" s="67"/>
      <c r="N10" s="67"/>
      <c r="O10" s="36">
        <v>19.28</v>
      </c>
      <c r="P10" s="68">
        <f t="shared" si="1"/>
        <v>694.08</v>
      </c>
      <c r="Q10" s="68">
        <f t="shared" si="2"/>
        <v>5379.12</v>
      </c>
    </row>
    <row r="11" s="54" customFormat="1" customHeight="1" spans="1:17">
      <c r="A11" s="29">
        <v>45985</v>
      </c>
      <c r="B11" s="34">
        <v>46046</v>
      </c>
      <c r="C11" s="31" t="s">
        <v>15</v>
      </c>
      <c r="D11" s="31">
        <v>2816010</v>
      </c>
      <c r="E11" s="32">
        <v>20</v>
      </c>
      <c r="F11" s="31"/>
      <c r="G11" s="66"/>
      <c r="H11" s="66"/>
      <c r="I11" s="67"/>
      <c r="J11" s="67"/>
      <c r="K11" s="67">
        <f t="shared" si="0"/>
        <v>20</v>
      </c>
      <c r="L11" s="67"/>
      <c r="M11" s="67"/>
      <c r="N11" s="67"/>
      <c r="O11" s="36">
        <v>19.28</v>
      </c>
      <c r="P11" s="68">
        <f t="shared" si="1"/>
        <v>385.6</v>
      </c>
      <c r="Q11" s="68">
        <f t="shared" si="2"/>
        <v>2988.4</v>
      </c>
    </row>
    <row r="12" s="54" customFormat="1" customHeight="1" spans="1:17">
      <c r="A12" s="29">
        <v>45985</v>
      </c>
      <c r="B12" s="34">
        <v>46046</v>
      </c>
      <c r="C12" s="31" t="s">
        <v>15</v>
      </c>
      <c r="D12" s="31">
        <v>2816010</v>
      </c>
      <c r="E12" s="32">
        <v>32</v>
      </c>
      <c r="F12" s="31"/>
      <c r="G12" s="66"/>
      <c r="H12" s="66"/>
      <c r="I12" s="67"/>
      <c r="J12" s="67"/>
      <c r="K12" s="67">
        <f t="shared" si="0"/>
        <v>32</v>
      </c>
      <c r="L12" s="67"/>
      <c r="M12" s="67"/>
      <c r="N12" s="67"/>
      <c r="O12" s="36">
        <v>19.28</v>
      </c>
      <c r="P12" s="68">
        <f t="shared" si="1"/>
        <v>616.96</v>
      </c>
      <c r="Q12" s="68">
        <f t="shared" si="2"/>
        <v>4781.44</v>
      </c>
    </row>
    <row r="13" s="54" customFormat="1" customHeight="1" spans="1:17">
      <c r="A13" s="29">
        <v>45985</v>
      </c>
      <c r="B13" s="34">
        <v>46046</v>
      </c>
      <c r="C13" s="31" t="s">
        <v>15</v>
      </c>
      <c r="D13" s="31">
        <v>2816010</v>
      </c>
      <c r="E13" s="32">
        <v>524</v>
      </c>
      <c r="F13" s="31"/>
      <c r="G13" s="66"/>
      <c r="H13" s="66"/>
      <c r="I13" s="67"/>
      <c r="J13" s="67"/>
      <c r="K13" s="67">
        <f t="shared" si="0"/>
        <v>524</v>
      </c>
      <c r="L13" s="67"/>
      <c r="M13" s="67"/>
      <c r="N13" s="67"/>
      <c r="O13" s="36">
        <v>19.28</v>
      </c>
      <c r="P13" s="68">
        <f t="shared" si="1"/>
        <v>10102.72</v>
      </c>
      <c r="Q13" s="68">
        <f t="shared" si="2"/>
        <v>78296.08</v>
      </c>
    </row>
    <row r="14" s="54" customFormat="1" customHeight="1" spans="1:17">
      <c r="A14" s="29">
        <v>45985</v>
      </c>
      <c r="B14" s="34">
        <v>46046</v>
      </c>
      <c r="C14" s="31" t="s">
        <v>15</v>
      </c>
      <c r="D14" s="31">
        <v>2816010</v>
      </c>
      <c r="E14" s="32">
        <f>1004-524</f>
        <v>480</v>
      </c>
      <c r="F14" s="31"/>
      <c r="G14" s="66"/>
      <c r="H14" s="66"/>
      <c r="I14" s="67"/>
      <c r="J14" s="67"/>
      <c r="K14" s="67">
        <f t="shared" si="0"/>
        <v>480</v>
      </c>
      <c r="L14" s="67"/>
      <c r="M14" s="67"/>
      <c r="N14" s="67"/>
      <c r="O14" s="36">
        <v>19.28</v>
      </c>
      <c r="P14" s="68">
        <f t="shared" ref="P14:P24" si="3">SUM(G14:N14)*O14</f>
        <v>9254.4</v>
      </c>
      <c r="Q14" s="68">
        <f t="shared" ref="Q14:Q24" si="4">P14*7.75</f>
        <v>71721.6</v>
      </c>
    </row>
    <row r="15" s="54" customFormat="1" customHeight="1" spans="1:17">
      <c r="A15" s="29">
        <v>45985</v>
      </c>
      <c r="B15" s="34">
        <v>46046</v>
      </c>
      <c r="C15" s="31" t="s">
        <v>15</v>
      </c>
      <c r="D15" s="31">
        <v>2816010</v>
      </c>
      <c r="E15" s="32">
        <v>63</v>
      </c>
      <c r="F15" s="31"/>
      <c r="G15" s="66"/>
      <c r="H15" s="66"/>
      <c r="I15" s="67"/>
      <c r="J15" s="67"/>
      <c r="K15" s="67">
        <f t="shared" si="0"/>
        <v>63</v>
      </c>
      <c r="L15" s="67"/>
      <c r="M15" s="67"/>
      <c r="N15" s="67"/>
      <c r="O15" s="36">
        <v>19.28</v>
      </c>
      <c r="P15" s="68">
        <f t="shared" si="3"/>
        <v>1214.64</v>
      </c>
      <c r="Q15" s="68">
        <f t="shared" si="4"/>
        <v>9413.46</v>
      </c>
    </row>
    <row r="16" s="54" customFormat="1" customHeight="1" spans="1:17">
      <c r="A16" s="29">
        <v>45985</v>
      </c>
      <c r="B16" s="34">
        <v>46046</v>
      </c>
      <c r="C16" s="31" t="s">
        <v>15</v>
      </c>
      <c r="D16" s="31">
        <v>2816010</v>
      </c>
      <c r="E16" s="32">
        <v>420</v>
      </c>
      <c r="F16" s="31"/>
      <c r="G16" s="66"/>
      <c r="H16" s="66"/>
      <c r="I16" s="67"/>
      <c r="J16" s="67"/>
      <c r="K16" s="67">
        <f t="shared" ref="K16:K24" si="5">E16</f>
        <v>420</v>
      </c>
      <c r="L16" s="67"/>
      <c r="M16" s="67"/>
      <c r="N16" s="67"/>
      <c r="O16" s="36">
        <v>19.28</v>
      </c>
      <c r="P16" s="68">
        <f t="shared" si="3"/>
        <v>8097.6</v>
      </c>
      <c r="Q16" s="68">
        <f t="shared" si="4"/>
        <v>62756.4</v>
      </c>
    </row>
    <row r="17" s="54" customFormat="1" customHeight="1" spans="1:17">
      <c r="A17" s="29">
        <v>45985</v>
      </c>
      <c r="B17" s="34">
        <v>46046</v>
      </c>
      <c r="C17" s="31" t="s">
        <v>15</v>
      </c>
      <c r="D17" s="31">
        <v>2816010</v>
      </c>
      <c r="E17" s="32">
        <v>12</v>
      </c>
      <c r="F17" s="31"/>
      <c r="G17" s="66"/>
      <c r="H17" s="66"/>
      <c r="I17" s="67"/>
      <c r="J17" s="67"/>
      <c r="K17" s="67">
        <f t="shared" si="5"/>
        <v>12</v>
      </c>
      <c r="L17" s="67"/>
      <c r="M17" s="67"/>
      <c r="N17" s="67"/>
      <c r="O17" s="36">
        <v>19.28</v>
      </c>
      <c r="P17" s="68">
        <f t="shared" si="3"/>
        <v>231.36</v>
      </c>
      <c r="Q17" s="68">
        <f t="shared" si="4"/>
        <v>1793.04</v>
      </c>
    </row>
    <row r="18" s="54" customFormat="1" customHeight="1" spans="1:17">
      <c r="A18" s="29">
        <v>45985</v>
      </c>
      <c r="B18" s="34">
        <v>46046</v>
      </c>
      <c r="C18" s="31" t="s">
        <v>15</v>
      </c>
      <c r="D18" s="31">
        <v>2816010</v>
      </c>
      <c r="E18" s="32">
        <v>6</v>
      </c>
      <c r="F18" s="31"/>
      <c r="G18" s="66"/>
      <c r="H18" s="66"/>
      <c r="I18" s="67"/>
      <c r="J18" s="67"/>
      <c r="K18" s="67">
        <f t="shared" si="5"/>
        <v>6</v>
      </c>
      <c r="L18" s="67"/>
      <c r="M18" s="67"/>
      <c r="N18" s="67"/>
      <c r="O18" s="36">
        <v>19.28</v>
      </c>
      <c r="P18" s="68">
        <f t="shared" si="3"/>
        <v>115.68</v>
      </c>
      <c r="Q18" s="68">
        <f t="shared" si="4"/>
        <v>896.52</v>
      </c>
    </row>
    <row r="19" s="54" customFormat="1" customHeight="1" spans="1:17">
      <c r="A19" s="29">
        <v>45985</v>
      </c>
      <c r="B19" s="34">
        <v>46046</v>
      </c>
      <c r="C19" s="31" t="s">
        <v>15</v>
      </c>
      <c r="D19" s="31">
        <v>2816010</v>
      </c>
      <c r="E19" s="32">
        <v>210</v>
      </c>
      <c r="F19" s="31"/>
      <c r="G19" s="66"/>
      <c r="H19" s="66"/>
      <c r="I19" s="67"/>
      <c r="J19" s="67"/>
      <c r="K19" s="67">
        <f t="shared" si="5"/>
        <v>210</v>
      </c>
      <c r="L19" s="67"/>
      <c r="M19" s="67"/>
      <c r="N19" s="67"/>
      <c r="O19" s="36">
        <v>19.28</v>
      </c>
      <c r="P19" s="68">
        <f t="shared" si="3"/>
        <v>4048.8</v>
      </c>
      <c r="Q19" s="68">
        <f t="shared" si="4"/>
        <v>31378.2</v>
      </c>
    </row>
    <row r="20" s="54" customFormat="1" customHeight="1" spans="1:17">
      <c r="A20" s="29">
        <v>45985</v>
      </c>
      <c r="B20" s="34">
        <v>46046</v>
      </c>
      <c r="C20" s="31" t="s">
        <v>15</v>
      </c>
      <c r="D20" s="31">
        <v>2816010</v>
      </c>
      <c r="E20" s="32">
        <v>80</v>
      </c>
      <c r="F20" s="31"/>
      <c r="G20" s="66"/>
      <c r="H20" s="66"/>
      <c r="I20" s="67"/>
      <c r="J20" s="67"/>
      <c r="K20" s="67">
        <f t="shared" si="5"/>
        <v>80</v>
      </c>
      <c r="L20" s="67"/>
      <c r="M20" s="67"/>
      <c r="N20" s="67"/>
      <c r="O20" s="36">
        <v>19.28</v>
      </c>
      <c r="P20" s="68">
        <f t="shared" si="3"/>
        <v>1542.4</v>
      </c>
      <c r="Q20" s="68">
        <f t="shared" si="4"/>
        <v>11953.6</v>
      </c>
    </row>
    <row r="21" s="54" customFormat="1" customHeight="1" spans="1:17">
      <c r="A21" s="29">
        <v>45985</v>
      </c>
      <c r="B21" s="34">
        <v>46046</v>
      </c>
      <c r="C21" s="31" t="s">
        <v>15</v>
      </c>
      <c r="D21" s="31">
        <v>2816010</v>
      </c>
      <c r="E21" s="32">
        <v>10</v>
      </c>
      <c r="F21" s="31"/>
      <c r="G21" s="66"/>
      <c r="H21" s="66"/>
      <c r="I21" s="67"/>
      <c r="J21" s="67"/>
      <c r="K21" s="67">
        <f t="shared" si="5"/>
        <v>10</v>
      </c>
      <c r="L21" s="67"/>
      <c r="M21" s="67"/>
      <c r="N21" s="67"/>
      <c r="O21" s="36">
        <v>19.28</v>
      </c>
      <c r="P21" s="68">
        <f t="shared" si="3"/>
        <v>192.8</v>
      </c>
      <c r="Q21" s="68">
        <f t="shared" si="4"/>
        <v>1494.2</v>
      </c>
    </row>
    <row r="22" s="54" customFormat="1" customHeight="1" spans="1:17">
      <c r="A22" s="29">
        <v>45985</v>
      </c>
      <c r="B22" s="34">
        <v>46046</v>
      </c>
      <c r="C22" s="31" t="s">
        <v>15</v>
      </c>
      <c r="D22" s="31">
        <v>2816010</v>
      </c>
      <c r="E22" s="32">
        <v>120</v>
      </c>
      <c r="F22" s="31"/>
      <c r="G22" s="66"/>
      <c r="H22" s="66"/>
      <c r="I22" s="67"/>
      <c r="J22" s="67"/>
      <c r="K22" s="67">
        <f t="shared" si="5"/>
        <v>120</v>
      </c>
      <c r="L22" s="67"/>
      <c r="M22" s="67"/>
      <c r="N22" s="67"/>
      <c r="O22" s="36">
        <v>19.28</v>
      </c>
      <c r="P22" s="68">
        <f t="shared" si="3"/>
        <v>2313.6</v>
      </c>
      <c r="Q22" s="68">
        <f t="shared" si="4"/>
        <v>17930.4</v>
      </c>
    </row>
    <row r="23" s="54" customFormat="1" customHeight="1" spans="1:17">
      <c r="A23" s="29">
        <v>45985</v>
      </c>
      <c r="B23" s="34">
        <v>46046</v>
      </c>
      <c r="C23" s="31" t="s">
        <v>15</v>
      </c>
      <c r="D23" s="31">
        <v>2816010</v>
      </c>
      <c r="E23" s="32">
        <v>44</v>
      </c>
      <c r="F23" s="31"/>
      <c r="G23" s="66"/>
      <c r="H23" s="66"/>
      <c r="I23" s="67"/>
      <c r="J23" s="67"/>
      <c r="K23" s="67">
        <f t="shared" si="5"/>
        <v>44</v>
      </c>
      <c r="L23" s="67"/>
      <c r="M23" s="67"/>
      <c r="N23" s="67"/>
      <c r="O23" s="36">
        <v>19.28</v>
      </c>
      <c r="P23" s="68">
        <f t="shared" si="3"/>
        <v>848.32</v>
      </c>
      <c r="Q23" s="68">
        <f t="shared" si="4"/>
        <v>6574.48</v>
      </c>
    </row>
    <row r="24" s="54" customFormat="1" customHeight="1" spans="1:17">
      <c r="A24" s="29">
        <v>45985</v>
      </c>
      <c r="B24" s="34">
        <v>46046</v>
      </c>
      <c r="C24" s="31" t="s">
        <v>15</v>
      </c>
      <c r="D24" s="31">
        <v>2816010</v>
      </c>
      <c r="E24" s="32">
        <v>100</v>
      </c>
      <c r="F24" s="31"/>
      <c r="G24" s="66"/>
      <c r="H24" s="66"/>
      <c r="I24" s="67"/>
      <c r="J24" s="67"/>
      <c r="K24" s="67">
        <f t="shared" si="5"/>
        <v>100</v>
      </c>
      <c r="L24" s="67"/>
      <c r="M24" s="67"/>
      <c r="N24" s="67"/>
      <c r="O24" s="36">
        <v>19.28</v>
      </c>
      <c r="P24" s="68">
        <f t="shared" ref="P24:P32" si="6">SUM(G24:N24)*O24</f>
        <v>1928</v>
      </c>
      <c r="Q24" s="68">
        <f t="shared" ref="Q24:Q32" si="7">P24*7.75</f>
        <v>14942</v>
      </c>
    </row>
    <row r="25" s="54" customFormat="1" customHeight="1" spans="1:17">
      <c r="A25" s="29">
        <v>46029</v>
      </c>
      <c r="B25" s="34">
        <v>46120</v>
      </c>
      <c r="C25" s="31" t="s">
        <v>16</v>
      </c>
      <c r="D25" s="31">
        <v>2816011</v>
      </c>
      <c r="E25" s="32">
        <v>18</v>
      </c>
      <c r="F25" s="31" t="s">
        <v>12</v>
      </c>
      <c r="G25" s="66"/>
      <c r="H25" s="66"/>
      <c r="I25" s="67"/>
      <c r="J25" s="67"/>
      <c r="K25" s="67"/>
      <c r="L25" s="67">
        <f>E25</f>
        <v>18</v>
      </c>
      <c r="M25" s="67"/>
      <c r="N25" s="67"/>
      <c r="O25" s="36">
        <v>19.325</v>
      </c>
      <c r="P25" s="68">
        <f t="shared" si="6"/>
        <v>347.85</v>
      </c>
      <c r="Q25" s="68">
        <f t="shared" si="7"/>
        <v>2695.84</v>
      </c>
    </row>
    <row r="26" s="54" customFormat="1" customHeight="1" spans="1:17">
      <c r="A26" s="29">
        <v>46029</v>
      </c>
      <c r="B26" s="34">
        <v>46120</v>
      </c>
      <c r="C26" s="31" t="s">
        <v>16</v>
      </c>
      <c r="D26" s="31">
        <v>2816011</v>
      </c>
      <c r="E26" s="32">
        <v>14</v>
      </c>
      <c r="F26" s="31" t="s">
        <v>12</v>
      </c>
      <c r="G26" s="66"/>
      <c r="H26" s="66"/>
      <c r="I26" s="67"/>
      <c r="J26" s="67"/>
      <c r="K26" s="67"/>
      <c r="L26" s="67">
        <f t="shared" ref="L26:L61" si="8">E26</f>
        <v>14</v>
      </c>
      <c r="M26" s="67"/>
      <c r="N26" s="67"/>
      <c r="O26" s="36">
        <v>19.325</v>
      </c>
      <c r="P26" s="68">
        <f t="shared" si="6"/>
        <v>270.55</v>
      </c>
      <c r="Q26" s="68">
        <f t="shared" si="7"/>
        <v>2096.76</v>
      </c>
    </row>
    <row r="27" s="52" customFormat="1" customHeight="1" spans="1:17">
      <c r="A27" s="13">
        <v>46029</v>
      </c>
      <c r="B27" s="17">
        <v>46120</v>
      </c>
      <c r="C27" s="15" t="s">
        <v>16</v>
      </c>
      <c r="D27" s="15">
        <v>2816011</v>
      </c>
      <c r="E27" s="24">
        <v>24</v>
      </c>
      <c r="F27" s="15" t="s">
        <v>12</v>
      </c>
      <c r="G27" s="64"/>
      <c r="H27" s="64"/>
      <c r="I27" s="60"/>
      <c r="J27" s="60"/>
      <c r="K27" s="60"/>
      <c r="L27" s="60">
        <f t="shared" si="8"/>
        <v>24</v>
      </c>
      <c r="M27" s="60"/>
      <c r="N27" s="60"/>
      <c r="O27" s="20">
        <v>0</v>
      </c>
      <c r="P27" s="63">
        <f t="shared" si="6"/>
        <v>0</v>
      </c>
      <c r="Q27" s="63">
        <f t="shared" si="7"/>
        <v>0</v>
      </c>
    </row>
    <row r="28" s="54" customFormat="1" customHeight="1" spans="1:17">
      <c r="A28" s="29">
        <v>46029</v>
      </c>
      <c r="B28" s="34">
        <v>46120</v>
      </c>
      <c r="C28" s="31" t="s">
        <v>16</v>
      </c>
      <c r="D28" s="31">
        <v>2816011</v>
      </c>
      <c r="E28" s="32">
        <v>3000</v>
      </c>
      <c r="F28" s="31" t="s">
        <v>12</v>
      </c>
      <c r="G28" s="66"/>
      <c r="H28" s="66"/>
      <c r="I28" s="67"/>
      <c r="J28" s="67"/>
      <c r="K28" s="67"/>
      <c r="L28" s="67">
        <f t="shared" si="8"/>
        <v>3000</v>
      </c>
      <c r="M28" s="67"/>
      <c r="N28" s="67"/>
      <c r="O28" s="36">
        <v>19.325</v>
      </c>
      <c r="P28" s="68">
        <f t="shared" si="6"/>
        <v>57975</v>
      </c>
      <c r="Q28" s="68">
        <f t="shared" si="7"/>
        <v>449306.25</v>
      </c>
    </row>
    <row r="29" s="54" customFormat="1" customHeight="1" spans="1:17">
      <c r="A29" s="29">
        <v>46029</v>
      </c>
      <c r="B29" s="34">
        <v>46120</v>
      </c>
      <c r="C29" s="31" t="s">
        <v>16</v>
      </c>
      <c r="D29" s="31">
        <v>2816011</v>
      </c>
      <c r="E29" s="32">
        <v>72</v>
      </c>
      <c r="F29" s="31" t="s">
        <v>12</v>
      </c>
      <c r="G29" s="66"/>
      <c r="H29" s="66"/>
      <c r="I29" s="67"/>
      <c r="J29" s="67"/>
      <c r="K29" s="67"/>
      <c r="L29" s="67">
        <f t="shared" si="8"/>
        <v>72</v>
      </c>
      <c r="M29" s="67"/>
      <c r="N29" s="67"/>
      <c r="O29" s="36">
        <v>19.325</v>
      </c>
      <c r="P29" s="68">
        <f t="shared" si="6"/>
        <v>1391.4</v>
      </c>
      <c r="Q29" s="68">
        <f t="shared" si="7"/>
        <v>10783.35</v>
      </c>
    </row>
    <row r="30" s="54" customFormat="1" customHeight="1" spans="1:17">
      <c r="A30" s="29">
        <v>46029</v>
      </c>
      <c r="B30" s="34">
        <v>46120</v>
      </c>
      <c r="C30" s="31" t="s">
        <v>16</v>
      </c>
      <c r="D30" s="31">
        <v>2816011</v>
      </c>
      <c r="E30" s="32">
        <v>43</v>
      </c>
      <c r="F30" s="31" t="s">
        <v>12</v>
      </c>
      <c r="G30" s="66"/>
      <c r="H30" s="66"/>
      <c r="I30" s="67"/>
      <c r="J30" s="67"/>
      <c r="K30" s="67"/>
      <c r="L30" s="67">
        <f t="shared" si="8"/>
        <v>43</v>
      </c>
      <c r="M30" s="67"/>
      <c r="N30" s="67"/>
      <c r="O30" s="36">
        <v>19.325</v>
      </c>
      <c r="P30" s="68">
        <f t="shared" si="6"/>
        <v>830.98</v>
      </c>
      <c r="Q30" s="68">
        <f t="shared" si="7"/>
        <v>6440.1</v>
      </c>
    </row>
    <row r="31" s="54" customFormat="1" customHeight="1" spans="1:17">
      <c r="A31" s="29">
        <v>46029</v>
      </c>
      <c r="B31" s="34">
        <v>46120</v>
      </c>
      <c r="C31" s="31" t="s">
        <v>16</v>
      </c>
      <c r="D31" s="31">
        <v>2816011</v>
      </c>
      <c r="E31" s="32">
        <v>26</v>
      </c>
      <c r="F31" s="31" t="s">
        <v>12</v>
      </c>
      <c r="G31" s="66"/>
      <c r="H31" s="66"/>
      <c r="I31" s="67"/>
      <c r="J31" s="67"/>
      <c r="K31" s="67"/>
      <c r="L31" s="67">
        <f t="shared" si="8"/>
        <v>26</v>
      </c>
      <c r="M31" s="67"/>
      <c r="N31" s="67"/>
      <c r="O31" s="36">
        <v>19.325</v>
      </c>
      <c r="P31" s="68">
        <f t="shared" si="6"/>
        <v>502.45</v>
      </c>
      <c r="Q31" s="68">
        <f t="shared" si="7"/>
        <v>3893.99</v>
      </c>
    </row>
    <row r="32" s="54" customFormat="1" customHeight="1" spans="1:17">
      <c r="A32" s="29">
        <v>46029</v>
      </c>
      <c r="B32" s="34">
        <v>46120</v>
      </c>
      <c r="C32" s="31" t="s">
        <v>16</v>
      </c>
      <c r="D32" s="31">
        <v>2816011</v>
      </c>
      <c r="E32" s="32">
        <v>40</v>
      </c>
      <c r="F32" s="31" t="s">
        <v>12</v>
      </c>
      <c r="G32" s="66"/>
      <c r="H32" s="66"/>
      <c r="I32" s="67"/>
      <c r="J32" s="67"/>
      <c r="K32" s="67"/>
      <c r="L32" s="67">
        <f t="shared" si="8"/>
        <v>40</v>
      </c>
      <c r="M32" s="67"/>
      <c r="N32" s="67"/>
      <c r="O32" s="36">
        <v>19.325</v>
      </c>
      <c r="P32" s="68">
        <f t="shared" si="6"/>
        <v>773</v>
      </c>
      <c r="Q32" s="68">
        <f t="shared" si="7"/>
        <v>5990.75</v>
      </c>
    </row>
    <row r="33" s="54" customFormat="1" customHeight="1" spans="1:17">
      <c r="A33" s="29">
        <v>46029</v>
      </c>
      <c r="B33" s="34">
        <v>46120</v>
      </c>
      <c r="C33" s="31" t="s">
        <v>16</v>
      </c>
      <c r="D33" s="31">
        <v>2816011</v>
      </c>
      <c r="E33" s="32">
        <v>50</v>
      </c>
      <c r="F33" s="31" t="s">
        <v>12</v>
      </c>
      <c r="G33" s="66"/>
      <c r="H33" s="66"/>
      <c r="I33" s="67"/>
      <c r="J33" s="67"/>
      <c r="K33" s="67"/>
      <c r="L33" s="67">
        <f t="shared" si="8"/>
        <v>50</v>
      </c>
      <c r="M33" s="67"/>
      <c r="N33" s="67"/>
      <c r="O33" s="36">
        <v>19.325</v>
      </c>
      <c r="P33" s="68">
        <f t="shared" ref="P33:P38" si="9">SUM(G33:N33)*O33</f>
        <v>966.25</v>
      </c>
      <c r="Q33" s="68">
        <f t="shared" ref="Q33:Q38" si="10">P33*7.75</f>
        <v>7488.44</v>
      </c>
    </row>
    <row r="34" s="54" customFormat="1" customHeight="1" spans="1:17">
      <c r="A34" s="29">
        <v>46029</v>
      </c>
      <c r="B34" s="34">
        <v>46120</v>
      </c>
      <c r="C34" s="31" t="s">
        <v>16</v>
      </c>
      <c r="D34" s="31">
        <v>2816011</v>
      </c>
      <c r="E34" s="32">
        <v>10</v>
      </c>
      <c r="F34" s="31" t="s">
        <v>12</v>
      </c>
      <c r="G34" s="66"/>
      <c r="H34" s="66"/>
      <c r="I34" s="67"/>
      <c r="J34" s="67"/>
      <c r="K34" s="67"/>
      <c r="L34" s="67">
        <f t="shared" si="8"/>
        <v>10</v>
      </c>
      <c r="M34" s="67"/>
      <c r="N34" s="67"/>
      <c r="O34" s="36">
        <v>0</v>
      </c>
      <c r="P34" s="68">
        <f t="shared" si="9"/>
        <v>0</v>
      </c>
      <c r="Q34" s="68">
        <f t="shared" si="10"/>
        <v>0</v>
      </c>
    </row>
    <row r="35" s="52" customFormat="1" customHeight="1" spans="1:17">
      <c r="A35" s="13">
        <v>46029</v>
      </c>
      <c r="B35" s="17">
        <v>46120</v>
      </c>
      <c r="C35" s="15" t="s">
        <v>16</v>
      </c>
      <c r="D35" s="15">
        <v>2816011</v>
      </c>
      <c r="E35" s="24">
        <v>20</v>
      </c>
      <c r="F35" s="15" t="s">
        <v>12</v>
      </c>
      <c r="G35" s="64"/>
      <c r="H35" s="64"/>
      <c r="I35" s="60"/>
      <c r="J35" s="60"/>
      <c r="K35" s="60"/>
      <c r="L35" s="60">
        <f t="shared" si="8"/>
        <v>20</v>
      </c>
      <c r="M35" s="60"/>
      <c r="N35" s="60"/>
      <c r="O35" s="20">
        <v>0</v>
      </c>
      <c r="P35" s="63">
        <f t="shared" si="9"/>
        <v>0</v>
      </c>
      <c r="Q35" s="63">
        <f t="shared" si="10"/>
        <v>0</v>
      </c>
    </row>
    <row r="36" s="52" customFormat="1" customHeight="1" spans="1:17">
      <c r="A36" s="13">
        <v>46029</v>
      </c>
      <c r="B36" s="17">
        <v>46120</v>
      </c>
      <c r="C36" s="15" t="s">
        <v>16</v>
      </c>
      <c r="D36" s="15">
        <v>2816011</v>
      </c>
      <c r="E36" s="24">
        <v>20</v>
      </c>
      <c r="F36" s="15" t="s">
        <v>12</v>
      </c>
      <c r="G36" s="64"/>
      <c r="H36" s="64"/>
      <c r="I36" s="60"/>
      <c r="J36" s="60"/>
      <c r="K36" s="60"/>
      <c r="L36" s="60">
        <f t="shared" si="8"/>
        <v>20</v>
      </c>
      <c r="M36" s="60"/>
      <c r="N36" s="60"/>
      <c r="O36" s="20">
        <v>0</v>
      </c>
      <c r="P36" s="63">
        <f t="shared" si="9"/>
        <v>0</v>
      </c>
      <c r="Q36" s="63">
        <f t="shared" si="10"/>
        <v>0</v>
      </c>
    </row>
    <row r="37" s="54" customFormat="1" customHeight="1" spans="1:17">
      <c r="A37" s="29">
        <v>46029</v>
      </c>
      <c r="B37" s="34">
        <v>46120</v>
      </c>
      <c r="C37" s="31" t="s">
        <v>16</v>
      </c>
      <c r="D37" s="31">
        <v>2816011</v>
      </c>
      <c r="E37" s="32">
        <v>10</v>
      </c>
      <c r="F37" s="31" t="s">
        <v>12</v>
      </c>
      <c r="G37" s="66"/>
      <c r="H37" s="66"/>
      <c r="I37" s="67"/>
      <c r="J37" s="67"/>
      <c r="K37" s="67"/>
      <c r="L37" s="67">
        <f t="shared" si="8"/>
        <v>10</v>
      </c>
      <c r="M37" s="67"/>
      <c r="N37" s="67"/>
      <c r="O37" s="36">
        <v>0</v>
      </c>
      <c r="P37" s="68">
        <f t="shared" si="9"/>
        <v>0</v>
      </c>
      <c r="Q37" s="68">
        <f t="shared" si="10"/>
        <v>0</v>
      </c>
    </row>
    <row r="38" s="54" customFormat="1" customHeight="1" spans="1:17">
      <c r="A38" s="29">
        <v>46029</v>
      </c>
      <c r="B38" s="34">
        <v>46129</v>
      </c>
      <c r="C38" s="31" t="s">
        <v>16</v>
      </c>
      <c r="D38" s="31">
        <v>2816011</v>
      </c>
      <c r="E38" s="32">
        <f>1316-716</f>
        <v>600</v>
      </c>
      <c r="F38" s="31" t="s">
        <v>17</v>
      </c>
      <c r="G38" s="66"/>
      <c r="H38" s="66"/>
      <c r="I38" s="67"/>
      <c r="J38" s="67"/>
      <c r="K38" s="67"/>
      <c r="L38" s="67">
        <f t="shared" si="8"/>
        <v>600</v>
      </c>
      <c r="M38" s="67"/>
      <c r="N38" s="67"/>
      <c r="O38" s="36">
        <v>19.325</v>
      </c>
      <c r="P38" s="68">
        <f t="shared" si="9"/>
        <v>11595</v>
      </c>
      <c r="Q38" s="68">
        <f t="shared" si="10"/>
        <v>89861.25</v>
      </c>
    </row>
    <row r="39" s="54" customFormat="1" customHeight="1" spans="1:17">
      <c r="A39" s="29">
        <v>46029</v>
      </c>
      <c r="B39" s="34">
        <v>46129</v>
      </c>
      <c r="C39" s="31" t="s">
        <v>16</v>
      </c>
      <c r="D39" s="31">
        <v>2816011</v>
      </c>
      <c r="E39" s="32">
        <v>716</v>
      </c>
      <c r="F39" s="31" t="s">
        <v>17</v>
      </c>
      <c r="G39" s="66"/>
      <c r="H39" s="66"/>
      <c r="I39" s="67"/>
      <c r="J39" s="67"/>
      <c r="K39" s="67"/>
      <c r="L39" s="67">
        <f t="shared" si="8"/>
        <v>716</v>
      </c>
      <c r="M39" s="67"/>
      <c r="N39" s="67"/>
      <c r="O39" s="36">
        <v>19.325</v>
      </c>
      <c r="P39" s="68">
        <f t="shared" ref="P39:P62" si="11">SUM(G39:N39)*O39</f>
        <v>13836.7</v>
      </c>
      <c r="Q39" s="68">
        <f t="shared" ref="Q39:Q62" si="12">P39*7.75</f>
        <v>107234.43</v>
      </c>
    </row>
    <row r="40" s="54" customFormat="1" customHeight="1" spans="1:17">
      <c r="A40" s="29">
        <v>46029</v>
      </c>
      <c r="B40" s="34">
        <v>46129</v>
      </c>
      <c r="C40" s="31" t="s">
        <v>16</v>
      </c>
      <c r="D40" s="31">
        <v>2816011</v>
      </c>
      <c r="E40" s="32">
        <v>66</v>
      </c>
      <c r="F40" s="31" t="s">
        <v>17</v>
      </c>
      <c r="G40" s="66"/>
      <c r="H40" s="66"/>
      <c r="I40" s="67"/>
      <c r="J40" s="67"/>
      <c r="K40" s="67"/>
      <c r="L40" s="67">
        <f t="shared" si="8"/>
        <v>66</v>
      </c>
      <c r="M40" s="67"/>
      <c r="N40" s="67"/>
      <c r="O40" s="36">
        <v>19.325</v>
      </c>
      <c r="P40" s="68">
        <f t="shared" si="11"/>
        <v>1275.45</v>
      </c>
      <c r="Q40" s="68">
        <f t="shared" si="12"/>
        <v>9884.74</v>
      </c>
    </row>
    <row r="41" s="54" customFormat="1" customHeight="1" spans="1:17">
      <c r="A41" s="29">
        <v>46029</v>
      </c>
      <c r="B41" s="34">
        <v>46129</v>
      </c>
      <c r="C41" s="31" t="s">
        <v>16</v>
      </c>
      <c r="D41" s="31">
        <v>2816011</v>
      </c>
      <c r="E41" s="32">
        <v>28</v>
      </c>
      <c r="F41" s="31" t="s">
        <v>17</v>
      </c>
      <c r="G41" s="66"/>
      <c r="H41" s="66"/>
      <c r="I41" s="67"/>
      <c r="J41" s="67"/>
      <c r="K41" s="67"/>
      <c r="L41" s="67">
        <f t="shared" si="8"/>
        <v>28</v>
      </c>
      <c r="M41" s="67"/>
      <c r="N41" s="67"/>
      <c r="O41" s="36">
        <v>19.325</v>
      </c>
      <c r="P41" s="68">
        <f t="shared" si="11"/>
        <v>541.1</v>
      </c>
      <c r="Q41" s="68">
        <f t="shared" si="12"/>
        <v>4193.53</v>
      </c>
    </row>
    <row r="42" s="54" customFormat="1" customHeight="1" spans="1:17">
      <c r="A42" s="29">
        <v>46029</v>
      </c>
      <c r="B42" s="34">
        <v>46129</v>
      </c>
      <c r="C42" s="31" t="s">
        <v>16</v>
      </c>
      <c r="D42" s="31">
        <v>2816011</v>
      </c>
      <c r="E42" s="32">
        <v>40</v>
      </c>
      <c r="F42" s="31" t="s">
        <v>17</v>
      </c>
      <c r="G42" s="66"/>
      <c r="H42" s="66"/>
      <c r="I42" s="67"/>
      <c r="J42" s="67"/>
      <c r="K42" s="67"/>
      <c r="L42" s="67">
        <f t="shared" si="8"/>
        <v>40</v>
      </c>
      <c r="M42" s="67"/>
      <c r="N42" s="67"/>
      <c r="O42" s="36">
        <v>19.325</v>
      </c>
      <c r="P42" s="68">
        <f t="shared" si="11"/>
        <v>773</v>
      </c>
      <c r="Q42" s="68">
        <f t="shared" si="12"/>
        <v>5990.75</v>
      </c>
    </row>
    <row r="43" s="54" customFormat="1" customHeight="1" spans="1:17">
      <c r="A43" s="29">
        <v>46029</v>
      </c>
      <c r="B43" s="34">
        <v>46129</v>
      </c>
      <c r="C43" s="31" t="s">
        <v>16</v>
      </c>
      <c r="D43" s="31">
        <v>2816011</v>
      </c>
      <c r="E43" s="32">
        <v>26</v>
      </c>
      <c r="F43" s="31" t="s">
        <v>17</v>
      </c>
      <c r="G43" s="66"/>
      <c r="H43" s="66"/>
      <c r="I43" s="67"/>
      <c r="J43" s="67"/>
      <c r="K43" s="67"/>
      <c r="L43" s="67">
        <f t="shared" si="8"/>
        <v>26</v>
      </c>
      <c r="M43" s="67"/>
      <c r="N43" s="67"/>
      <c r="O43" s="36">
        <v>19.325</v>
      </c>
      <c r="P43" s="68">
        <f t="shared" si="11"/>
        <v>502.45</v>
      </c>
      <c r="Q43" s="68">
        <f t="shared" si="12"/>
        <v>3893.99</v>
      </c>
    </row>
    <row r="44" s="54" customFormat="1" customHeight="1" spans="1:17">
      <c r="A44" s="29">
        <v>46029</v>
      </c>
      <c r="B44" s="34">
        <v>46129</v>
      </c>
      <c r="C44" s="31" t="s">
        <v>16</v>
      </c>
      <c r="D44" s="31">
        <v>2816011</v>
      </c>
      <c r="E44" s="32">
        <v>30</v>
      </c>
      <c r="F44" s="31" t="s">
        <v>17</v>
      </c>
      <c r="G44" s="66"/>
      <c r="H44" s="66"/>
      <c r="I44" s="67"/>
      <c r="J44" s="67"/>
      <c r="K44" s="67"/>
      <c r="L44" s="67">
        <f t="shared" si="8"/>
        <v>30</v>
      </c>
      <c r="M44" s="67"/>
      <c r="N44" s="67"/>
      <c r="O44" s="36">
        <v>19.325</v>
      </c>
      <c r="P44" s="68">
        <f t="shared" si="11"/>
        <v>579.75</v>
      </c>
      <c r="Q44" s="68">
        <f t="shared" si="12"/>
        <v>4493.06</v>
      </c>
    </row>
    <row r="45" s="54" customFormat="1" customHeight="1" spans="1:17">
      <c r="A45" s="29">
        <v>46029</v>
      </c>
      <c r="B45" s="34">
        <v>46129</v>
      </c>
      <c r="C45" s="31" t="s">
        <v>16</v>
      </c>
      <c r="D45" s="31">
        <v>2816011</v>
      </c>
      <c r="E45" s="32">
        <v>50</v>
      </c>
      <c r="F45" s="31" t="s">
        <v>17</v>
      </c>
      <c r="G45" s="66"/>
      <c r="H45" s="66"/>
      <c r="I45" s="67"/>
      <c r="J45" s="67"/>
      <c r="K45" s="67"/>
      <c r="L45" s="67">
        <f t="shared" si="8"/>
        <v>50</v>
      </c>
      <c r="M45" s="67"/>
      <c r="N45" s="67"/>
      <c r="O45" s="36">
        <v>19.325</v>
      </c>
      <c r="P45" s="68">
        <f t="shared" si="11"/>
        <v>966.25</v>
      </c>
      <c r="Q45" s="68">
        <f t="shared" si="12"/>
        <v>7488.44</v>
      </c>
    </row>
    <row r="46" s="54" customFormat="1" customHeight="1" spans="1:17">
      <c r="A46" s="29">
        <v>46029</v>
      </c>
      <c r="B46" s="34">
        <v>46127</v>
      </c>
      <c r="C46" s="31" t="s">
        <v>16</v>
      </c>
      <c r="D46" s="31">
        <v>2816011</v>
      </c>
      <c r="E46" s="32">
        <v>10</v>
      </c>
      <c r="F46" s="31" t="s">
        <v>17</v>
      </c>
      <c r="G46" s="66"/>
      <c r="H46" s="66"/>
      <c r="I46" s="67"/>
      <c r="J46" s="67"/>
      <c r="K46" s="67"/>
      <c r="L46" s="67">
        <f t="shared" si="8"/>
        <v>10</v>
      </c>
      <c r="M46" s="67"/>
      <c r="N46" s="67"/>
      <c r="O46" s="36">
        <v>19.325</v>
      </c>
      <c r="P46" s="68">
        <f t="shared" si="11"/>
        <v>193.25</v>
      </c>
      <c r="Q46" s="68">
        <f t="shared" si="12"/>
        <v>1497.69</v>
      </c>
    </row>
    <row r="47" s="54" customFormat="1" customHeight="1" spans="1:17">
      <c r="A47" s="29">
        <v>46029</v>
      </c>
      <c r="B47" s="34">
        <v>46127</v>
      </c>
      <c r="C47" s="31" t="s">
        <v>16</v>
      </c>
      <c r="D47" s="31">
        <v>2816011</v>
      </c>
      <c r="E47" s="32">
        <v>3</v>
      </c>
      <c r="F47" s="31" t="s">
        <v>17</v>
      </c>
      <c r="G47" s="66"/>
      <c r="H47" s="66"/>
      <c r="I47" s="67"/>
      <c r="J47" s="67"/>
      <c r="K47" s="67"/>
      <c r="L47" s="67">
        <f t="shared" si="8"/>
        <v>3</v>
      </c>
      <c r="M47" s="67"/>
      <c r="N47" s="67"/>
      <c r="O47" s="36">
        <v>19.325</v>
      </c>
      <c r="P47" s="68">
        <f t="shared" si="11"/>
        <v>57.98</v>
      </c>
      <c r="Q47" s="68">
        <f t="shared" si="12"/>
        <v>449.35</v>
      </c>
    </row>
    <row r="48" s="54" customFormat="1" customHeight="1" spans="1:17">
      <c r="A48" s="29">
        <v>46029</v>
      </c>
      <c r="B48" s="34">
        <v>46127</v>
      </c>
      <c r="C48" s="31" t="s">
        <v>16</v>
      </c>
      <c r="D48" s="31">
        <v>2816011</v>
      </c>
      <c r="E48" s="32">
        <v>51</v>
      </c>
      <c r="F48" s="31" t="s">
        <v>17</v>
      </c>
      <c r="G48" s="66"/>
      <c r="H48" s="66"/>
      <c r="I48" s="67"/>
      <c r="J48" s="67"/>
      <c r="K48" s="67"/>
      <c r="L48" s="67">
        <f t="shared" si="8"/>
        <v>51</v>
      </c>
      <c r="M48" s="67"/>
      <c r="N48" s="67"/>
      <c r="O48" s="36">
        <v>19.325</v>
      </c>
      <c r="P48" s="68">
        <f t="shared" si="11"/>
        <v>985.58</v>
      </c>
      <c r="Q48" s="68">
        <f t="shared" si="12"/>
        <v>7638.25</v>
      </c>
    </row>
    <row r="49" s="54" customFormat="1" customHeight="1" spans="1:17">
      <c r="A49" s="29">
        <v>46029</v>
      </c>
      <c r="B49" s="34">
        <v>46127</v>
      </c>
      <c r="C49" s="31" t="s">
        <v>16</v>
      </c>
      <c r="D49" s="31">
        <v>2816011</v>
      </c>
      <c r="E49" s="32">
        <v>15</v>
      </c>
      <c r="F49" s="31" t="s">
        <v>17</v>
      </c>
      <c r="G49" s="66"/>
      <c r="H49" s="66"/>
      <c r="I49" s="67"/>
      <c r="J49" s="67"/>
      <c r="K49" s="67"/>
      <c r="L49" s="67">
        <f t="shared" si="8"/>
        <v>15</v>
      </c>
      <c r="M49" s="67"/>
      <c r="N49" s="67"/>
      <c r="O49" s="36">
        <v>0</v>
      </c>
      <c r="P49" s="68">
        <f t="shared" si="11"/>
        <v>0</v>
      </c>
      <c r="Q49" s="68">
        <f t="shared" si="12"/>
        <v>0</v>
      </c>
    </row>
    <row r="50" s="54" customFormat="1" customHeight="1" spans="1:17">
      <c r="A50" s="29">
        <v>46029</v>
      </c>
      <c r="B50" s="34">
        <v>46127</v>
      </c>
      <c r="C50" s="31" t="s">
        <v>16</v>
      </c>
      <c r="D50" s="31">
        <v>2816011</v>
      </c>
      <c r="E50" s="32">
        <v>15</v>
      </c>
      <c r="F50" s="31" t="s">
        <v>17</v>
      </c>
      <c r="G50" s="66"/>
      <c r="H50" s="66"/>
      <c r="I50" s="67"/>
      <c r="J50" s="67"/>
      <c r="K50" s="67"/>
      <c r="L50" s="67">
        <f t="shared" si="8"/>
        <v>15</v>
      </c>
      <c r="M50" s="67"/>
      <c r="N50" s="67"/>
      <c r="O50" s="36">
        <v>0</v>
      </c>
      <c r="P50" s="68">
        <f t="shared" si="11"/>
        <v>0</v>
      </c>
      <c r="Q50" s="68">
        <f t="shared" si="12"/>
        <v>0</v>
      </c>
    </row>
    <row r="51" s="54" customFormat="1" customHeight="1" spans="1:17">
      <c r="A51" s="29">
        <v>46029</v>
      </c>
      <c r="B51" s="34">
        <v>46141</v>
      </c>
      <c r="C51" s="31" t="s">
        <v>16</v>
      </c>
      <c r="D51" s="31">
        <v>2816011</v>
      </c>
      <c r="E51" s="32">
        <v>992</v>
      </c>
      <c r="F51" s="31" t="s">
        <v>18</v>
      </c>
      <c r="G51" s="66"/>
      <c r="H51" s="66"/>
      <c r="I51" s="67"/>
      <c r="J51" s="67"/>
      <c r="K51" s="67"/>
      <c r="L51" s="67">
        <f t="shared" si="8"/>
        <v>992</v>
      </c>
      <c r="M51" s="67"/>
      <c r="N51" s="67"/>
      <c r="O51" s="36">
        <v>19.325</v>
      </c>
      <c r="P51" s="68">
        <f t="shared" si="11"/>
        <v>19170.4</v>
      </c>
      <c r="Q51" s="68">
        <f t="shared" si="12"/>
        <v>148570.6</v>
      </c>
    </row>
    <row r="52" s="54" customFormat="1" customHeight="1" spans="1:17">
      <c r="A52" s="29">
        <v>46029</v>
      </c>
      <c r="B52" s="34">
        <v>46141</v>
      </c>
      <c r="C52" s="31" t="s">
        <v>16</v>
      </c>
      <c r="D52" s="31">
        <v>2816011</v>
      </c>
      <c r="E52" s="32">
        <v>8</v>
      </c>
      <c r="F52" s="31" t="s">
        <v>18</v>
      </c>
      <c r="G52" s="66"/>
      <c r="H52" s="66"/>
      <c r="I52" s="67"/>
      <c r="J52" s="67"/>
      <c r="K52" s="67"/>
      <c r="L52" s="67">
        <f t="shared" si="8"/>
        <v>8</v>
      </c>
      <c r="M52" s="67"/>
      <c r="N52" s="67"/>
      <c r="O52" s="36">
        <v>19.325</v>
      </c>
      <c r="P52" s="68">
        <f t="shared" si="11"/>
        <v>154.6</v>
      </c>
      <c r="Q52" s="68">
        <f t="shared" si="12"/>
        <v>1198.15</v>
      </c>
    </row>
    <row r="53" s="54" customFormat="1" customHeight="1" spans="1:17">
      <c r="A53" s="29">
        <v>46029</v>
      </c>
      <c r="B53" s="34">
        <v>46141</v>
      </c>
      <c r="C53" s="31" t="s">
        <v>16</v>
      </c>
      <c r="D53" s="31">
        <v>2816011</v>
      </c>
      <c r="E53" s="32">
        <v>48</v>
      </c>
      <c r="F53" s="31" t="s">
        <v>18</v>
      </c>
      <c r="G53" s="66"/>
      <c r="H53" s="66"/>
      <c r="I53" s="67"/>
      <c r="J53" s="67"/>
      <c r="K53" s="67"/>
      <c r="L53" s="67">
        <f t="shared" si="8"/>
        <v>48</v>
      </c>
      <c r="M53" s="67"/>
      <c r="N53" s="67"/>
      <c r="O53" s="36">
        <v>19.325</v>
      </c>
      <c r="P53" s="68">
        <f t="shared" si="11"/>
        <v>927.6</v>
      </c>
      <c r="Q53" s="68">
        <f t="shared" si="12"/>
        <v>7188.9</v>
      </c>
    </row>
    <row r="54" s="54" customFormat="1" customHeight="1" spans="1:17">
      <c r="A54" s="29">
        <v>46029</v>
      </c>
      <c r="B54" s="34">
        <v>46141</v>
      </c>
      <c r="C54" s="31" t="s">
        <v>16</v>
      </c>
      <c r="D54" s="31">
        <v>2816011</v>
      </c>
      <c r="E54" s="32">
        <v>4</v>
      </c>
      <c r="F54" s="31" t="s">
        <v>18</v>
      </c>
      <c r="G54" s="66"/>
      <c r="H54" s="66"/>
      <c r="I54" s="67"/>
      <c r="J54" s="67"/>
      <c r="K54" s="67"/>
      <c r="L54" s="67">
        <f t="shared" si="8"/>
        <v>4</v>
      </c>
      <c r="M54" s="67"/>
      <c r="N54" s="67"/>
      <c r="O54" s="36">
        <v>19.325</v>
      </c>
      <c r="P54" s="68">
        <f t="shared" si="11"/>
        <v>77.3</v>
      </c>
      <c r="Q54" s="68">
        <f t="shared" si="12"/>
        <v>599.08</v>
      </c>
    </row>
    <row r="55" s="54" customFormat="1" customHeight="1" spans="1:17">
      <c r="A55" s="29">
        <v>46029</v>
      </c>
      <c r="B55" s="34">
        <v>46141</v>
      </c>
      <c r="C55" s="31" t="s">
        <v>16</v>
      </c>
      <c r="D55" s="31">
        <v>2816011</v>
      </c>
      <c r="E55" s="32">
        <v>2800</v>
      </c>
      <c r="F55" s="31" t="s">
        <v>18</v>
      </c>
      <c r="G55" s="66"/>
      <c r="H55" s="66"/>
      <c r="I55" s="67"/>
      <c r="J55" s="67"/>
      <c r="K55" s="67"/>
      <c r="L55" s="67">
        <f t="shared" si="8"/>
        <v>2800</v>
      </c>
      <c r="M55" s="67"/>
      <c r="N55" s="67"/>
      <c r="O55" s="36">
        <v>19.325</v>
      </c>
      <c r="P55" s="68">
        <f t="shared" si="11"/>
        <v>54110</v>
      </c>
      <c r="Q55" s="68">
        <f t="shared" si="12"/>
        <v>419352.5</v>
      </c>
    </row>
    <row r="56" s="54" customFormat="1" customHeight="1" spans="1:17">
      <c r="A56" s="29">
        <v>46029</v>
      </c>
      <c r="B56" s="34">
        <v>46141</v>
      </c>
      <c r="C56" s="31" t="s">
        <v>16</v>
      </c>
      <c r="D56" s="31">
        <v>2816011</v>
      </c>
      <c r="E56" s="32">
        <v>3200</v>
      </c>
      <c r="F56" s="31" t="s">
        <v>18</v>
      </c>
      <c r="G56" s="66"/>
      <c r="H56" s="66"/>
      <c r="I56" s="67"/>
      <c r="J56" s="67"/>
      <c r="K56" s="67"/>
      <c r="L56" s="67">
        <f t="shared" si="8"/>
        <v>3200</v>
      </c>
      <c r="M56" s="67"/>
      <c r="N56" s="67"/>
      <c r="O56" s="36">
        <v>19.325</v>
      </c>
      <c r="P56" s="68">
        <f t="shared" si="11"/>
        <v>61840</v>
      </c>
      <c r="Q56" s="68">
        <f t="shared" si="12"/>
        <v>479260</v>
      </c>
    </row>
    <row r="57" s="54" customFormat="1" customHeight="1" spans="1:17">
      <c r="A57" s="29">
        <v>46029</v>
      </c>
      <c r="B57" s="34">
        <v>46141</v>
      </c>
      <c r="C57" s="31" t="s">
        <v>16</v>
      </c>
      <c r="D57" s="31">
        <v>2816011</v>
      </c>
      <c r="E57" s="32">
        <v>332</v>
      </c>
      <c r="F57" s="31" t="s">
        <v>18</v>
      </c>
      <c r="G57" s="66"/>
      <c r="H57" s="66"/>
      <c r="I57" s="67"/>
      <c r="J57" s="67"/>
      <c r="K57" s="67"/>
      <c r="L57" s="67">
        <f t="shared" si="8"/>
        <v>332</v>
      </c>
      <c r="M57" s="67"/>
      <c r="N57" s="67"/>
      <c r="O57" s="36">
        <v>19.325</v>
      </c>
      <c r="P57" s="68">
        <f t="shared" si="11"/>
        <v>6415.9</v>
      </c>
      <c r="Q57" s="68">
        <f t="shared" si="12"/>
        <v>49723.23</v>
      </c>
    </row>
    <row r="58" s="54" customFormat="1" customHeight="1" spans="1:17">
      <c r="A58" s="29">
        <v>46029</v>
      </c>
      <c r="B58" s="34">
        <v>46141</v>
      </c>
      <c r="C58" s="31" t="s">
        <v>16</v>
      </c>
      <c r="D58" s="31">
        <v>2816011</v>
      </c>
      <c r="E58" s="32">
        <v>96</v>
      </c>
      <c r="F58" s="31" t="s">
        <v>18</v>
      </c>
      <c r="G58" s="66"/>
      <c r="H58" s="66"/>
      <c r="I58" s="67"/>
      <c r="J58" s="67"/>
      <c r="K58" s="67"/>
      <c r="L58" s="67">
        <f t="shared" si="8"/>
        <v>96</v>
      </c>
      <c r="M58" s="67"/>
      <c r="N58" s="67"/>
      <c r="O58" s="36">
        <v>19.325</v>
      </c>
      <c r="P58" s="68">
        <f t="shared" si="11"/>
        <v>1855.2</v>
      </c>
      <c r="Q58" s="68">
        <f t="shared" si="12"/>
        <v>14377.8</v>
      </c>
    </row>
    <row r="59" s="54" customFormat="1" customHeight="1" spans="1:17">
      <c r="A59" s="29">
        <v>46029</v>
      </c>
      <c r="B59" s="34">
        <v>46141</v>
      </c>
      <c r="C59" s="31" t="s">
        <v>16</v>
      </c>
      <c r="D59" s="31">
        <v>2816011</v>
      </c>
      <c r="E59" s="32">
        <v>14</v>
      </c>
      <c r="F59" s="31" t="s">
        <v>18</v>
      </c>
      <c r="G59" s="66"/>
      <c r="H59" s="66"/>
      <c r="I59" s="67"/>
      <c r="J59" s="67"/>
      <c r="K59" s="67"/>
      <c r="L59" s="67">
        <f t="shared" si="8"/>
        <v>14</v>
      </c>
      <c r="M59" s="67"/>
      <c r="N59" s="67"/>
      <c r="O59" s="36">
        <v>19.325</v>
      </c>
      <c r="P59" s="68">
        <f t="shared" si="11"/>
        <v>270.55</v>
      </c>
      <c r="Q59" s="68">
        <f t="shared" si="12"/>
        <v>2096.76</v>
      </c>
    </row>
    <row r="60" s="54" customFormat="1" customHeight="1" spans="1:17">
      <c r="A60" s="29">
        <v>46029</v>
      </c>
      <c r="B60" s="34">
        <v>46141</v>
      </c>
      <c r="C60" s="31" t="s">
        <v>16</v>
      </c>
      <c r="D60" s="31">
        <v>2816011</v>
      </c>
      <c r="E60" s="32">
        <v>48</v>
      </c>
      <c r="F60" s="31" t="s">
        <v>18</v>
      </c>
      <c r="G60" s="66"/>
      <c r="H60" s="66"/>
      <c r="I60" s="67"/>
      <c r="J60" s="67"/>
      <c r="K60" s="67"/>
      <c r="L60" s="67">
        <f t="shared" si="8"/>
        <v>48</v>
      </c>
      <c r="M60" s="67"/>
      <c r="N60" s="67"/>
      <c r="O60" s="36">
        <v>19.325</v>
      </c>
      <c r="P60" s="68">
        <f t="shared" si="11"/>
        <v>927.6</v>
      </c>
      <c r="Q60" s="68">
        <f t="shared" si="12"/>
        <v>7188.9</v>
      </c>
    </row>
    <row r="61" s="54" customFormat="1" customHeight="1" spans="1:17">
      <c r="A61" s="29">
        <v>46029</v>
      </c>
      <c r="B61" s="34">
        <v>46141</v>
      </c>
      <c r="C61" s="31" t="s">
        <v>16</v>
      </c>
      <c r="D61" s="31">
        <v>2816011</v>
      </c>
      <c r="E61" s="32">
        <v>150</v>
      </c>
      <c r="F61" s="31" t="s">
        <v>18</v>
      </c>
      <c r="G61" s="66"/>
      <c r="H61" s="66"/>
      <c r="I61" s="67"/>
      <c r="J61" s="67"/>
      <c r="K61" s="67"/>
      <c r="L61" s="67">
        <f t="shared" si="8"/>
        <v>150</v>
      </c>
      <c r="M61" s="67"/>
      <c r="N61" s="67"/>
      <c r="O61" s="36">
        <v>19.325</v>
      </c>
      <c r="P61" s="68">
        <f t="shared" si="11"/>
        <v>2898.75</v>
      </c>
      <c r="Q61" s="68">
        <f t="shared" si="12"/>
        <v>22465.31</v>
      </c>
    </row>
    <row r="62" s="52" customFormat="1" customHeight="1" spans="1:17">
      <c r="A62" s="59"/>
      <c r="B62" s="59"/>
      <c r="C62" s="64"/>
      <c r="D62" s="64"/>
      <c r="E62" s="65"/>
      <c r="F62" s="15"/>
      <c r="G62" s="64"/>
      <c r="H62" s="64"/>
      <c r="I62" s="60"/>
      <c r="J62" s="60"/>
      <c r="K62" s="60"/>
      <c r="L62" s="60"/>
      <c r="M62" s="60"/>
      <c r="N62" s="60"/>
      <c r="O62" s="62"/>
      <c r="P62" s="63">
        <f t="shared" si="11"/>
        <v>0</v>
      </c>
      <c r="Q62" s="63">
        <f t="shared" si="12"/>
        <v>0</v>
      </c>
    </row>
    <row r="63" s="52" customFormat="1" customHeight="1" spans="1:17">
      <c r="A63" s="59"/>
      <c r="B63" s="59"/>
      <c r="C63" s="64"/>
      <c r="D63" s="64"/>
      <c r="E63" s="65"/>
      <c r="F63" s="15"/>
      <c r="G63" s="64"/>
      <c r="H63" s="64"/>
      <c r="I63" s="60"/>
      <c r="J63" s="60"/>
      <c r="K63" s="60"/>
      <c r="L63" s="60"/>
      <c r="M63" s="60"/>
      <c r="N63" s="60"/>
      <c r="O63" s="62"/>
      <c r="P63" s="63">
        <f t="shared" ref="P62:P67" si="13">SUM(G63:N63)*O63</f>
        <v>0</v>
      </c>
      <c r="Q63" s="63">
        <f t="shared" ref="Q62:Q67" si="14">P63*7.75</f>
        <v>0</v>
      </c>
    </row>
    <row r="64" s="52" customFormat="1" customHeight="1" spans="1:17">
      <c r="A64" s="59"/>
      <c r="B64" s="59"/>
      <c r="C64" s="64"/>
      <c r="D64" s="64"/>
      <c r="E64" s="65"/>
      <c r="F64" s="15"/>
      <c r="G64" s="64"/>
      <c r="H64" s="64"/>
      <c r="I64" s="60"/>
      <c r="J64" s="60"/>
      <c r="K64" s="60"/>
      <c r="L64" s="60"/>
      <c r="M64" s="60"/>
      <c r="N64" s="60"/>
      <c r="O64" s="62"/>
      <c r="P64" s="63">
        <f t="shared" si="13"/>
        <v>0</v>
      </c>
      <c r="Q64" s="63">
        <f t="shared" si="14"/>
        <v>0</v>
      </c>
    </row>
    <row r="65" s="52" customFormat="1" customHeight="1" spans="1:17">
      <c r="A65" s="59"/>
      <c r="B65" s="59"/>
      <c r="C65" s="64"/>
      <c r="D65" s="64"/>
      <c r="E65" s="65"/>
      <c r="F65" s="15"/>
      <c r="G65" s="64"/>
      <c r="H65" s="64"/>
      <c r="I65" s="60"/>
      <c r="J65" s="60"/>
      <c r="K65" s="60"/>
      <c r="L65" s="60"/>
      <c r="M65" s="60"/>
      <c r="N65" s="60"/>
      <c r="O65" s="62"/>
      <c r="P65" s="63">
        <f t="shared" si="13"/>
        <v>0</v>
      </c>
      <c r="Q65" s="63">
        <f t="shared" si="14"/>
        <v>0</v>
      </c>
    </row>
    <row r="66" s="52" customFormat="1" customHeight="1" spans="1:17">
      <c r="A66" s="59"/>
      <c r="B66" s="59"/>
      <c r="C66" s="64"/>
      <c r="D66" s="64"/>
      <c r="E66" s="65"/>
      <c r="F66" s="15"/>
      <c r="G66" s="64"/>
      <c r="H66" s="64"/>
      <c r="I66" s="60"/>
      <c r="J66" s="60"/>
      <c r="K66" s="60"/>
      <c r="L66" s="60"/>
      <c r="M66" s="60"/>
      <c r="N66" s="60"/>
      <c r="O66" s="62"/>
      <c r="P66" s="63">
        <f t="shared" si="13"/>
        <v>0</v>
      </c>
      <c r="Q66" s="63">
        <f t="shared" si="14"/>
        <v>0</v>
      </c>
    </row>
    <row r="67" customHeight="1" spans="1:17">
      <c r="A67" s="59"/>
      <c r="B67" s="59"/>
      <c r="C67" s="64"/>
      <c r="D67" s="64"/>
      <c r="E67" s="65"/>
      <c r="F67" s="64"/>
      <c r="G67" s="64"/>
      <c r="H67" s="64"/>
      <c r="I67" s="60"/>
      <c r="J67" s="60"/>
      <c r="K67" s="60"/>
      <c r="L67" s="60"/>
      <c r="M67" s="60"/>
      <c r="N67" s="60"/>
      <c r="O67" s="62"/>
      <c r="P67" s="63">
        <f t="shared" si="13"/>
        <v>0</v>
      </c>
      <c r="Q67" s="63">
        <f t="shared" si="14"/>
        <v>0</v>
      </c>
    </row>
    <row r="68" s="55" customFormat="1" customHeight="1" spans="1:17">
      <c r="A68" s="69"/>
      <c r="B68" s="69"/>
      <c r="C68" s="70"/>
      <c r="D68" s="70" t="s">
        <v>19</v>
      </c>
      <c r="E68" s="71">
        <f>SUM(E2:E67)</f>
        <v>18016</v>
      </c>
      <c r="F68" s="71">
        <f>E68-O68</f>
        <v>0</v>
      </c>
      <c r="G68" s="71">
        <f t="shared" ref="G68:N68" si="15">SUM(G3:G67)</f>
        <v>0</v>
      </c>
      <c r="H68" s="71">
        <f t="shared" si="15"/>
        <v>24</v>
      </c>
      <c r="I68" s="71">
        <f t="shared" si="15"/>
        <v>30</v>
      </c>
      <c r="J68" s="71">
        <f t="shared" si="15"/>
        <v>0</v>
      </c>
      <c r="K68" s="71">
        <f t="shared" si="15"/>
        <v>5273</v>
      </c>
      <c r="L68" s="71">
        <f t="shared" si="15"/>
        <v>12689</v>
      </c>
      <c r="M68" s="71">
        <f t="shared" si="15"/>
        <v>0</v>
      </c>
      <c r="N68" s="71">
        <f t="shared" si="15"/>
        <v>0</v>
      </c>
      <c r="O68" s="72">
        <f>SUM(G68:N68)</f>
        <v>18016</v>
      </c>
      <c r="P68" s="72">
        <f>SUM(P2:P67)</f>
        <v>344675.33</v>
      </c>
      <c r="Q68" s="72">
        <f>SUM(Q2:Q67)</f>
        <v>2671233.85</v>
      </c>
    </row>
    <row r="69" customHeight="1" spans="1:17">
      <c r="E69" s="73"/>
    </row>
    <row r="71" customHeight="1" spans="1:17">
      <c r="A71" s="74" t="s">
        <v>20</v>
      </c>
      <c r="B71" s="75">
        <v>787891.66</v>
      </c>
    </row>
    <row r="72" customHeight="1" spans="1:17">
      <c r="A72" s="76" t="s">
        <v>21</v>
      </c>
      <c r="B72" s="77">
        <f>Q68</f>
        <v>2671233.85</v>
      </c>
    </row>
    <row r="73" customHeight="1" spans="1:17">
      <c r="A73" s="76" t="s">
        <v>22</v>
      </c>
      <c r="B73" s="77">
        <f>总排期!AA12</f>
        <v>0</v>
      </c>
    </row>
    <row r="74" customHeight="1" spans="1:17">
      <c r="A74" s="76" t="s">
        <v>23</v>
      </c>
      <c r="B74" s="77">
        <f>已出货!AA62</f>
        <v>2671233.85</v>
      </c>
    </row>
    <row r="75" customHeight="1" spans="1:17">
      <c r="A75" s="76"/>
      <c r="B75" s="77">
        <f>B72-B73-B74</f>
        <v>0</v>
      </c>
    </row>
    <row r="76" customHeight="1" spans="1:17">
      <c r="A76" s="78"/>
      <c r="B76" s="79"/>
    </row>
    <row r="77" customHeight="1" spans="1:17">
      <c r="A77" s="80" t="s">
        <v>24</v>
      </c>
      <c r="B77" s="81"/>
    </row>
    <row r="78" customHeight="1" spans="1:17">
      <c r="A78" s="82" t="s">
        <v>25</v>
      </c>
      <c r="B78" s="82" t="s">
        <v>26</v>
      </c>
    </row>
    <row r="79" customHeight="1" spans="1:17">
      <c r="A79" s="83" t="s">
        <v>27</v>
      </c>
      <c r="B79" s="83" t="s">
        <v>28</v>
      </c>
    </row>
    <row r="80" customHeight="1" spans="1:17">
      <c r="A80" s="84" t="s">
        <v>29</v>
      </c>
      <c r="B80" s="84" t="s">
        <v>30</v>
      </c>
    </row>
    <row r="81" customHeight="1" spans="1:2">
      <c r="A81" s="85" t="s">
        <v>31</v>
      </c>
      <c r="B81" s="85" t="s">
        <v>32</v>
      </c>
    </row>
    <row r="82" customHeight="1" spans="1:2">
      <c r="A82" s="86" t="s">
        <v>33</v>
      </c>
      <c r="B82" s="86" t="s">
        <v>34</v>
      </c>
    </row>
    <row r="83" customHeight="1" spans="1:2">
      <c r="A83" s="87" t="s">
        <v>35</v>
      </c>
      <c r="B83" s="87" t="s">
        <v>36</v>
      </c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autoFilter xmlns:etc="http://www.wps.cn/officeDocument/2017/etCustomData" ref="A2:Q69" etc:filterBottomFollowUsedRange="0">
    <extLst/>
  </autoFilter>
  <mergeCells count="1">
    <mergeCell ref="A1:F1"/>
  </mergeCells>
  <pageMargins left="0.75" right="0.75" top="1" bottom="1" header="0.5" footer="0.5"/>
  <pageSetup paperSize="9" orientation="portrait"/>
  <headerFooter/>
  <ignoredErrors>
    <ignoredError sqref="L68 G6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"/>
  <sheetViews>
    <sheetView workbookViewId="0">
      <pane xSplit="7" ySplit="1" topLeftCell="T2" activePane="bottomRight" state="frozen"/>
      <selection/>
      <selection pane="topRight"/>
      <selection pane="bottomLeft"/>
      <selection pane="bottomRight" activeCell="X19" sqref="X19"/>
    </sheetView>
  </sheetViews>
  <sheetFormatPr defaultColWidth="9" defaultRowHeight="25" customHeight="1"/>
  <cols>
    <col min="1" max="1" width="12.6" style="6" customWidth="1"/>
    <col min="2" max="2" width="12.625" style="7" customWidth="1"/>
    <col min="3" max="3" width="15.625" style="7" customWidth="1"/>
    <col min="4" max="5" width="12.625" style="7" customWidth="1"/>
    <col min="6" max="6" width="15.625" style="7" customWidth="1"/>
    <col min="7" max="7" width="6.625" style="7" customWidth="1"/>
    <col min="8" max="8" width="5.625" style="7" customWidth="1"/>
    <col min="9" max="9" width="5.625" style="8" customWidth="1"/>
    <col min="10" max="12" width="12.625" style="9" customWidth="1"/>
    <col min="13" max="14" width="8.625" style="4" customWidth="1"/>
    <col min="15" max="15" width="12.625" style="9" customWidth="1"/>
    <col min="16" max="16" width="14.2" style="9" customWidth="1"/>
    <col min="17" max="17" width="29.175" style="9" customWidth="1"/>
    <col min="18" max="23" width="10.625" style="7" customWidth="1"/>
    <col min="24" max="24" width="34.7083333333333" style="9" customWidth="1"/>
    <col min="25" max="25" width="8.625" style="10" customWidth="1"/>
    <col min="26" max="27" width="12.625" style="11" customWidth="1"/>
    <col min="28" max="28" width="8.625" style="12" customWidth="1"/>
    <col min="29" max="29" width="8.625" style="9" customWidth="1"/>
    <col min="30" max="16384" width="9" style="4"/>
  </cols>
  <sheetData>
    <row r="1" s="4" customFormat="1" customHeight="1" spans="1:29">
      <c r="A1" s="13" t="s">
        <v>1</v>
      </c>
      <c r="B1" s="14" t="s">
        <v>37</v>
      </c>
      <c r="C1" s="14" t="s">
        <v>38</v>
      </c>
      <c r="D1" s="14" t="s">
        <v>3</v>
      </c>
      <c r="E1" s="14" t="s">
        <v>4</v>
      </c>
      <c r="F1" s="15" t="s">
        <v>0</v>
      </c>
      <c r="G1" s="15" t="s">
        <v>5</v>
      </c>
      <c r="H1" s="15" t="s">
        <v>39</v>
      </c>
      <c r="I1" s="16" t="s">
        <v>40</v>
      </c>
      <c r="J1" s="17" t="s">
        <v>41</v>
      </c>
      <c r="K1" s="18" t="s">
        <v>2</v>
      </c>
      <c r="L1" s="18" t="s">
        <v>42</v>
      </c>
      <c r="M1" s="14" t="s">
        <v>43</v>
      </c>
      <c r="N1" s="14" t="s">
        <v>44</v>
      </c>
      <c r="O1" s="14" t="s">
        <v>45</v>
      </c>
      <c r="P1" s="17" t="s">
        <v>46</v>
      </c>
      <c r="Q1" s="17" t="s">
        <v>47</v>
      </c>
      <c r="R1" s="14" t="s">
        <v>48</v>
      </c>
      <c r="S1" s="14" t="s">
        <v>49</v>
      </c>
      <c r="T1" s="14" t="s">
        <v>50</v>
      </c>
      <c r="U1" s="14" t="s">
        <v>51</v>
      </c>
      <c r="V1" s="14" t="s">
        <v>6</v>
      </c>
      <c r="W1" s="14" t="s">
        <v>52</v>
      </c>
      <c r="X1" s="19" t="s">
        <v>53</v>
      </c>
      <c r="Y1" s="20" t="s">
        <v>54</v>
      </c>
      <c r="Z1" s="21" t="s">
        <v>9</v>
      </c>
      <c r="AA1" s="21" t="s">
        <v>10</v>
      </c>
      <c r="AB1" s="22" t="s">
        <v>55</v>
      </c>
      <c r="AC1" s="19" t="s">
        <v>56</v>
      </c>
    </row>
    <row r="2" s="40" customFormat="1" customHeight="1" spans="1:29">
      <c r="A2" s="41">
        <v>45554</v>
      </c>
      <c r="B2" s="42" t="s">
        <v>57</v>
      </c>
      <c r="C2" s="42" t="s">
        <v>58</v>
      </c>
      <c r="D2" s="43" t="s">
        <v>11</v>
      </c>
      <c r="E2" s="43">
        <v>2742115</v>
      </c>
      <c r="F2" s="43" t="s">
        <v>59</v>
      </c>
      <c r="G2" s="44">
        <v>24</v>
      </c>
      <c r="H2" s="44">
        <v>2</v>
      </c>
      <c r="I2" s="45">
        <f>G2/H2</f>
        <v>12</v>
      </c>
      <c r="J2" s="46">
        <v>45603</v>
      </c>
      <c r="K2" s="46">
        <f>J2-7</f>
        <v>45596</v>
      </c>
      <c r="L2" s="46">
        <v>45609</v>
      </c>
      <c r="M2" s="47" t="s">
        <v>60</v>
      </c>
      <c r="N2" s="47"/>
      <c r="O2" s="46"/>
      <c r="P2" s="46" t="s">
        <v>61</v>
      </c>
      <c r="Q2" s="46"/>
      <c r="R2" s="43"/>
      <c r="S2" s="43"/>
      <c r="T2" s="43" t="s">
        <v>62</v>
      </c>
      <c r="U2" s="43" t="s">
        <v>63</v>
      </c>
      <c r="V2" s="43" t="s">
        <v>12</v>
      </c>
      <c r="W2" s="43" t="s">
        <v>64</v>
      </c>
      <c r="X2" s="46" t="s">
        <v>65</v>
      </c>
      <c r="Y2" s="48">
        <v>0</v>
      </c>
      <c r="Z2" s="49">
        <f t="shared" ref="Z2:Z11" si="0">G2*Y2</f>
        <v>0</v>
      </c>
      <c r="AA2" s="49">
        <f t="shared" ref="AA2:AA11" si="1">Z2*7.75</f>
        <v>0</v>
      </c>
      <c r="AB2" s="50"/>
      <c r="AC2" s="46" t="s">
        <v>66</v>
      </c>
    </row>
    <row r="3" s="40" customFormat="1" customHeight="1" spans="1:29">
      <c r="A3" s="41">
        <v>45827</v>
      </c>
      <c r="B3" s="42" t="s">
        <v>57</v>
      </c>
      <c r="C3" s="42" t="s">
        <v>67</v>
      </c>
      <c r="D3" s="43" t="s">
        <v>13</v>
      </c>
      <c r="E3" s="43">
        <v>2785037</v>
      </c>
      <c r="F3" s="43" t="s">
        <v>68</v>
      </c>
      <c r="G3" s="44">
        <v>30</v>
      </c>
      <c r="H3" s="44">
        <v>2</v>
      </c>
      <c r="I3" s="45">
        <f>G3/H3</f>
        <v>15</v>
      </c>
      <c r="J3" s="46">
        <v>45904</v>
      </c>
      <c r="K3" s="46">
        <f>J3-7</f>
        <v>45897</v>
      </c>
      <c r="L3" s="46">
        <v>45903</v>
      </c>
      <c r="M3" s="47" t="s">
        <v>60</v>
      </c>
      <c r="N3" s="47"/>
      <c r="O3" s="46"/>
      <c r="P3" s="46" t="s">
        <v>61</v>
      </c>
      <c r="Q3" s="46" t="s">
        <v>69</v>
      </c>
      <c r="R3" s="43" t="s">
        <v>63</v>
      </c>
      <c r="S3" s="43" t="s">
        <v>63</v>
      </c>
      <c r="T3" s="43" t="s">
        <v>63</v>
      </c>
      <c r="U3" s="43" t="s">
        <v>63</v>
      </c>
      <c r="V3" s="43" t="s">
        <v>14</v>
      </c>
      <c r="W3" s="43" t="s">
        <v>70</v>
      </c>
      <c r="X3" s="46" t="s">
        <v>65</v>
      </c>
      <c r="Y3" s="48">
        <v>0</v>
      </c>
      <c r="Z3" s="49">
        <f t="shared" si="0"/>
        <v>0</v>
      </c>
      <c r="AA3" s="49">
        <f t="shared" si="1"/>
        <v>0</v>
      </c>
      <c r="AB3" s="50"/>
      <c r="AC3" s="46" t="s">
        <v>66</v>
      </c>
    </row>
    <row r="4" s="4" customFormat="1" customHeight="1" spans="1:29">
      <c r="A4" s="13">
        <v>46029</v>
      </c>
      <c r="B4" s="23" t="s">
        <v>57</v>
      </c>
      <c r="C4" s="23" t="s">
        <v>71</v>
      </c>
      <c r="D4" s="15" t="s">
        <v>16</v>
      </c>
      <c r="E4" s="15">
        <v>2816011</v>
      </c>
      <c r="F4" s="24" t="s">
        <v>72</v>
      </c>
      <c r="G4" s="24">
        <v>24</v>
      </c>
      <c r="H4" s="24">
        <v>2</v>
      </c>
      <c r="I4" s="16">
        <f>G4/H4</f>
        <v>12</v>
      </c>
      <c r="J4" s="17">
        <v>46120</v>
      </c>
      <c r="K4" s="17">
        <v>46120</v>
      </c>
      <c r="L4" s="17" t="s">
        <v>73</v>
      </c>
      <c r="M4" s="14" t="s">
        <v>60</v>
      </c>
      <c r="N4" s="14"/>
      <c r="O4" s="17" t="s">
        <v>73</v>
      </c>
      <c r="P4" s="17" t="s">
        <v>74</v>
      </c>
      <c r="Q4" s="17" t="s">
        <v>69</v>
      </c>
      <c r="R4" s="15" t="s">
        <v>63</v>
      </c>
      <c r="S4" s="15" t="s">
        <v>63</v>
      </c>
      <c r="T4" s="15" t="s">
        <v>63</v>
      </c>
      <c r="U4" s="15" t="s">
        <v>63</v>
      </c>
      <c r="V4" s="15" t="s">
        <v>12</v>
      </c>
      <c r="W4" s="15" t="s">
        <v>75</v>
      </c>
      <c r="X4" s="17" t="s">
        <v>65</v>
      </c>
      <c r="Y4" s="20">
        <v>0</v>
      </c>
      <c r="Z4" s="25">
        <f t="shared" si="0"/>
        <v>0</v>
      </c>
      <c r="AA4" s="25">
        <f t="shared" si="1"/>
        <v>0</v>
      </c>
      <c r="AB4" s="51"/>
      <c r="AC4" s="17" t="s">
        <v>66</v>
      </c>
    </row>
    <row r="5" s="4" customFormat="1" customHeight="1" spans="1:29">
      <c r="A5" s="13">
        <v>46029</v>
      </c>
      <c r="B5" s="23" t="s">
        <v>57</v>
      </c>
      <c r="C5" s="23" t="s">
        <v>76</v>
      </c>
      <c r="D5" s="15" t="s">
        <v>16</v>
      </c>
      <c r="E5" s="15">
        <v>2816011</v>
      </c>
      <c r="F5" s="24" t="s">
        <v>72</v>
      </c>
      <c r="G5" s="24">
        <v>20</v>
      </c>
      <c r="H5" s="24">
        <v>10</v>
      </c>
      <c r="I5" s="16">
        <f>G5/H5</f>
        <v>2</v>
      </c>
      <c r="J5" s="17">
        <v>46120</v>
      </c>
      <c r="K5" s="17">
        <v>46120</v>
      </c>
      <c r="L5" s="17">
        <v>46120</v>
      </c>
      <c r="M5" s="14" t="s">
        <v>60</v>
      </c>
      <c r="N5" s="14"/>
      <c r="O5" s="17">
        <v>46122</v>
      </c>
      <c r="P5" s="15" t="s">
        <v>63</v>
      </c>
      <c r="Q5" s="15" t="s">
        <v>63</v>
      </c>
      <c r="R5" s="15" t="s">
        <v>63</v>
      </c>
      <c r="S5" s="15" t="s">
        <v>63</v>
      </c>
      <c r="T5" s="15" t="s">
        <v>63</v>
      </c>
      <c r="U5" s="15" t="s">
        <v>63</v>
      </c>
      <c r="V5" s="15" t="s">
        <v>12</v>
      </c>
      <c r="W5" s="15" t="s">
        <v>77</v>
      </c>
      <c r="X5" s="17" t="s">
        <v>78</v>
      </c>
      <c r="Y5" s="20">
        <v>0</v>
      </c>
      <c r="Z5" s="25">
        <f t="shared" si="0"/>
        <v>0</v>
      </c>
      <c r="AA5" s="25">
        <f t="shared" si="1"/>
        <v>0</v>
      </c>
      <c r="AB5" s="26"/>
      <c r="AC5" s="17"/>
    </row>
    <row r="6" s="4" customFormat="1" customHeight="1" spans="1:29">
      <c r="A6" s="13">
        <v>46029</v>
      </c>
      <c r="B6" s="23" t="s">
        <v>57</v>
      </c>
      <c r="C6" s="23" t="s">
        <v>76</v>
      </c>
      <c r="D6" s="15" t="s">
        <v>16</v>
      </c>
      <c r="E6" s="15">
        <v>2816011</v>
      </c>
      <c r="F6" s="24" t="s">
        <v>72</v>
      </c>
      <c r="G6" s="24">
        <v>20</v>
      </c>
      <c r="H6" s="24">
        <v>10</v>
      </c>
      <c r="I6" s="16">
        <f>G6/H6</f>
        <v>2</v>
      </c>
      <c r="J6" s="17">
        <v>46120</v>
      </c>
      <c r="K6" s="17">
        <v>46120</v>
      </c>
      <c r="L6" s="17">
        <v>46120</v>
      </c>
      <c r="M6" s="14" t="s">
        <v>60</v>
      </c>
      <c r="N6" s="14"/>
      <c r="O6" s="17">
        <v>46122</v>
      </c>
      <c r="P6" s="15" t="s">
        <v>63</v>
      </c>
      <c r="Q6" s="15" t="s">
        <v>63</v>
      </c>
      <c r="R6" s="15" t="s">
        <v>63</v>
      </c>
      <c r="S6" s="15" t="s">
        <v>63</v>
      </c>
      <c r="T6" s="15" t="s">
        <v>63</v>
      </c>
      <c r="U6" s="15" t="s">
        <v>63</v>
      </c>
      <c r="V6" s="15" t="s">
        <v>12</v>
      </c>
      <c r="W6" s="15" t="s">
        <v>77</v>
      </c>
      <c r="X6" s="17" t="s">
        <v>78</v>
      </c>
      <c r="Y6" s="20">
        <v>0</v>
      </c>
      <c r="Z6" s="25">
        <f t="shared" si="0"/>
        <v>0</v>
      </c>
      <c r="AA6" s="25">
        <f t="shared" si="1"/>
        <v>0</v>
      </c>
      <c r="AB6" s="26"/>
      <c r="AC6" s="17"/>
    </row>
    <row r="7" s="4" customFormat="1" customHeight="1" spans="1:29">
      <c r="A7" s="13"/>
      <c r="B7" s="23"/>
      <c r="C7" s="23"/>
      <c r="D7" s="15"/>
      <c r="E7" s="15"/>
      <c r="F7" s="24"/>
      <c r="G7" s="24"/>
      <c r="H7" s="24"/>
      <c r="I7" s="16"/>
      <c r="J7" s="17"/>
      <c r="K7" s="17"/>
      <c r="L7" s="17"/>
      <c r="M7" s="14"/>
      <c r="N7" s="14"/>
      <c r="O7" s="17"/>
      <c r="P7" s="17"/>
      <c r="Q7" s="17"/>
      <c r="R7" s="15"/>
      <c r="S7" s="15"/>
      <c r="T7" s="15"/>
      <c r="U7" s="15"/>
      <c r="V7" s="15"/>
      <c r="W7" s="15"/>
      <c r="X7" s="17"/>
      <c r="Y7" s="20"/>
      <c r="Z7" s="25">
        <f t="shared" si="0"/>
        <v>0</v>
      </c>
      <c r="AA7" s="25">
        <f t="shared" si="1"/>
        <v>0</v>
      </c>
      <c r="AB7" s="26"/>
      <c r="AC7" s="17"/>
    </row>
    <row r="8" s="4" customFormat="1" customHeight="1" spans="1:29">
      <c r="A8" s="13"/>
      <c r="B8" s="23"/>
      <c r="C8" s="23"/>
      <c r="D8" s="15"/>
      <c r="E8" s="15"/>
      <c r="F8" s="24"/>
      <c r="G8" s="24"/>
      <c r="H8" s="24"/>
      <c r="I8" s="16"/>
      <c r="J8" s="17"/>
      <c r="K8" s="17"/>
      <c r="L8" s="17"/>
      <c r="M8" s="14"/>
      <c r="N8" s="14"/>
      <c r="O8" s="17"/>
      <c r="P8" s="17"/>
      <c r="Q8" s="17"/>
      <c r="R8" s="15"/>
      <c r="S8" s="15"/>
      <c r="T8" s="15"/>
      <c r="U8" s="15"/>
      <c r="V8" s="15"/>
      <c r="W8" s="15"/>
      <c r="X8" s="17"/>
      <c r="Y8" s="20"/>
      <c r="Z8" s="25">
        <f t="shared" si="0"/>
        <v>0</v>
      </c>
      <c r="AA8" s="25">
        <f t="shared" si="1"/>
        <v>0</v>
      </c>
      <c r="AB8" s="26"/>
      <c r="AC8" s="17"/>
    </row>
    <row r="9" s="4" customFormat="1" customHeight="1" spans="1:29">
      <c r="A9" s="13"/>
      <c r="B9" s="23"/>
      <c r="C9" s="23"/>
      <c r="D9" s="15"/>
      <c r="E9" s="15"/>
      <c r="F9" s="24"/>
      <c r="G9" s="24"/>
      <c r="H9" s="24"/>
      <c r="I9" s="16"/>
      <c r="J9" s="17"/>
      <c r="K9" s="17"/>
      <c r="L9" s="17"/>
      <c r="M9" s="14"/>
      <c r="N9" s="14"/>
      <c r="O9" s="17"/>
      <c r="P9" s="17"/>
      <c r="Q9" s="17"/>
      <c r="R9" s="15"/>
      <c r="S9" s="15"/>
      <c r="T9" s="15"/>
      <c r="U9" s="15"/>
      <c r="V9" s="15"/>
      <c r="W9" s="15"/>
      <c r="X9" s="17"/>
      <c r="Y9" s="20"/>
      <c r="Z9" s="25">
        <f t="shared" si="0"/>
        <v>0</v>
      </c>
      <c r="AA9" s="25">
        <f t="shared" si="1"/>
        <v>0</v>
      </c>
      <c r="AB9" s="26"/>
      <c r="AC9" s="17"/>
    </row>
    <row r="10" s="4" customFormat="1" customHeight="1" spans="1:29">
      <c r="A10" s="13"/>
      <c r="B10" s="23"/>
      <c r="C10" s="23"/>
      <c r="D10" s="15"/>
      <c r="E10" s="15"/>
      <c r="F10" s="24"/>
      <c r="G10" s="24"/>
      <c r="H10" s="24"/>
      <c r="I10" s="16"/>
      <c r="J10" s="17"/>
      <c r="K10" s="17"/>
      <c r="L10" s="17"/>
      <c r="M10" s="14"/>
      <c r="N10" s="14"/>
      <c r="O10" s="17"/>
      <c r="P10" s="17"/>
      <c r="Q10" s="17"/>
      <c r="R10" s="15"/>
      <c r="S10" s="15"/>
      <c r="T10" s="15"/>
      <c r="U10" s="15"/>
      <c r="V10" s="15"/>
      <c r="W10" s="15"/>
      <c r="X10" s="17"/>
      <c r="Y10" s="20"/>
      <c r="Z10" s="25">
        <f t="shared" si="0"/>
        <v>0</v>
      </c>
      <c r="AA10" s="25">
        <f t="shared" si="1"/>
        <v>0</v>
      </c>
      <c r="AB10" s="26"/>
      <c r="AC10" s="17"/>
    </row>
    <row r="11" s="4" customFormat="1" customHeight="1" spans="1:29">
      <c r="A11" s="13"/>
      <c r="B11" s="23"/>
      <c r="C11" s="23"/>
      <c r="D11" s="15"/>
      <c r="E11" s="15"/>
      <c r="F11" s="24"/>
      <c r="G11" s="24"/>
      <c r="H11" s="24"/>
      <c r="I11" s="16"/>
      <c r="J11" s="17"/>
      <c r="K11" s="17"/>
      <c r="L11" s="17"/>
      <c r="M11" s="14"/>
      <c r="N11" s="14"/>
      <c r="O11" s="17"/>
      <c r="P11" s="17"/>
      <c r="Q11" s="17"/>
      <c r="R11" s="15"/>
      <c r="S11" s="15"/>
      <c r="T11" s="15"/>
      <c r="U11" s="15"/>
      <c r="V11" s="15"/>
      <c r="W11" s="15"/>
      <c r="X11" s="17"/>
      <c r="Y11" s="20"/>
      <c r="Z11" s="25">
        <f t="shared" si="0"/>
        <v>0</v>
      </c>
      <c r="AA11" s="25">
        <f t="shared" si="1"/>
        <v>0</v>
      </c>
      <c r="AB11" s="26"/>
      <c r="AC11" s="17"/>
    </row>
    <row r="12" s="5" customFormat="1" customHeight="1" spans="1:29">
      <c r="A12" s="13"/>
      <c r="B12" s="15"/>
      <c r="C12" s="15"/>
      <c r="D12" s="15"/>
      <c r="E12" s="15"/>
      <c r="F12" s="15" t="s">
        <v>79</v>
      </c>
      <c r="G12" s="15">
        <f>SUM(G1:G11)</f>
        <v>118</v>
      </c>
      <c r="H12" s="15"/>
      <c r="I12" s="16"/>
      <c r="J12" s="27"/>
      <c r="K12" s="27"/>
      <c r="L12" s="27"/>
      <c r="M12" s="19"/>
      <c r="N12" s="19"/>
      <c r="O12" s="27"/>
      <c r="P12" s="27"/>
      <c r="Q12" s="27"/>
      <c r="R12" s="15"/>
      <c r="S12" s="15"/>
      <c r="T12" s="15"/>
      <c r="U12" s="15"/>
      <c r="V12" s="15"/>
      <c r="W12" s="15"/>
      <c r="X12" s="27"/>
      <c r="Y12" s="20"/>
      <c r="Z12" s="21">
        <f>SUM(Z1:Z11)</f>
        <v>0</v>
      </c>
      <c r="AA12" s="21">
        <f>SUM(AA1:AA11)</f>
        <v>0</v>
      </c>
      <c r="AB12" s="22"/>
      <c r="AC12" s="27"/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autoFilter xmlns:etc="http://www.wps.cn/officeDocument/2017/etCustomData" ref="A1:AC12" etc:filterBottomFollowUsedRange="0">
    <extLst/>
  </autoFilter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FF"/>
  </sheetPr>
  <dimension ref="A1:AC62"/>
  <sheetViews>
    <sheetView workbookViewId="0">
      <pane xSplit="7" ySplit="1" topLeftCell="H45" activePane="bottomRight" state="frozen"/>
      <selection/>
      <selection pane="topRight"/>
      <selection pane="bottomLeft"/>
      <selection pane="bottomRight" activeCell="X57" sqref="X57"/>
    </sheetView>
  </sheetViews>
  <sheetFormatPr defaultColWidth="9" defaultRowHeight="25" customHeight="1"/>
  <cols>
    <col min="1" max="1" width="12.6" style="6" customWidth="1"/>
    <col min="2" max="2" width="12.625" style="7" customWidth="1"/>
    <col min="3" max="3" width="10.625" style="7" customWidth="1"/>
    <col min="4" max="5" width="12.625" style="7" customWidth="1"/>
    <col min="6" max="6" width="15.625" style="7" customWidth="1"/>
    <col min="7" max="7" width="6.625" style="7" customWidth="1"/>
    <col min="8" max="8" width="5.625" style="7" customWidth="1"/>
    <col min="9" max="9" width="5.625" style="8" customWidth="1"/>
    <col min="10" max="10" width="12.625" style="9" hidden="1" customWidth="1"/>
    <col min="11" max="11" width="12.625" style="9" customWidth="1"/>
    <col min="12" max="12" width="12.625" style="9" hidden="1" customWidth="1"/>
    <col min="13" max="14" width="8.625" style="4" hidden="1" customWidth="1"/>
    <col min="15" max="16" width="12.625" style="9" hidden="1" customWidth="1"/>
    <col min="17" max="21" width="10.625" style="7" hidden="1" customWidth="1"/>
    <col min="22" max="23" width="10.625" style="7" customWidth="1"/>
    <col min="24" max="24" width="20.625" style="9" customWidth="1"/>
    <col min="25" max="25" width="8.625" style="10" customWidth="1"/>
    <col min="26" max="27" width="12.625" style="11" customWidth="1"/>
    <col min="28" max="28" width="8.625" style="12" customWidth="1"/>
    <col min="29" max="29" width="8.625" style="9" customWidth="1"/>
    <col min="30" max="16384" width="9" style="4"/>
  </cols>
  <sheetData>
    <row r="1" s="4" customFormat="1" customHeight="1" spans="1:29">
      <c r="A1" s="13" t="s">
        <v>1</v>
      </c>
      <c r="B1" s="14" t="s">
        <v>37</v>
      </c>
      <c r="C1" s="14" t="s">
        <v>38</v>
      </c>
      <c r="D1" s="14" t="s">
        <v>3</v>
      </c>
      <c r="E1" s="14" t="s">
        <v>4</v>
      </c>
      <c r="F1" s="15" t="s">
        <v>0</v>
      </c>
      <c r="G1" s="15" t="s">
        <v>5</v>
      </c>
      <c r="H1" s="15" t="s">
        <v>39</v>
      </c>
      <c r="I1" s="16" t="s">
        <v>40</v>
      </c>
      <c r="J1" s="17" t="s">
        <v>41</v>
      </c>
      <c r="K1" s="18" t="s">
        <v>2</v>
      </c>
      <c r="L1" s="18" t="s">
        <v>42</v>
      </c>
      <c r="M1" s="14" t="s">
        <v>43</v>
      </c>
      <c r="N1" s="14" t="s">
        <v>44</v>
      </c>
      <c r="O1" s="14" t="s">
        <v>45</v>
      </c>
      <c r="P1" s="17" t="s">
        <v>46</v>
      </c>
      <c r="Q1" s="14" t="s">
        <v>80</v>
      </c>
      <c r="R1" s="14" t="s">
        <v>48</v>
      </c>
      <c r="S1" s="14" t="s">
        <v>49</v>
      </c>
      <c r="T1" s="14" t="s">
        <v>50</v>
      </c>
      <c r="U1" s="14" t="s">
        <v>51</v>
      </c>
      <c r="V1" s="14" t="s">
        <v>6</v>
      </c>
      <c r="W1" s="14" t="s">
        <v>52</v>
      </c>
      <c r="X1" s="19" t="s">
        <v>53</v>
      </c>
      <c r="Y1" s="20" t="s">
        <v>54</v>
      </c>
      <c r="Z1" s="21" t="s">
        <v>9</v>
      </c>
      <c r="AA1" s="21" t="s">
        <v>10</v>
      </c>
      <c r="AB1" s="22" t="s">
        <v>55</v>
      </c>
      <c r="AC1" s="19" t="s">
        <v>56</v>
      </c>
    </row>
    <row r="2" s="28" customFormat="1" customHeight="1" spans="1:29">
      <c r="A2" s="29">
        <v>45985</v>
      </c>
      <c r="B2" s="30" t="s">
        <v>57</v>
      </c>
      <c r="C2" s="30" t="s">
        <v>58</v>
      </c>
      <c r="D2" s="31" t="s">
        <v>15</v>
      </c>
      <c r="E2" s="31">
        <v>2816010</v>
      </c>
      <c r="F2" s="32" t="s">
        <v>81</v>
      </c>
      <c r="G2" s="32">
        <v>2964</v>
      </c>
      <c r="H2" s="32">
        <v>2</v>
      </c>
      <c r="I2" s="33">
        <f t="shared" ref="I2:I37" si="0">G2/H2</f>
        <v>1482</v>
      </c>
      <c r="J2" s="34">
        <v>46046</v>
      </c>
      <c r="K2" s="34">
        <v>46046</v>
      </c>
      <c r="L2" s="34">
        <v>45687</v>
      </c>
      <c r="M2" s="35" t="s">
        <v>60</v>
      </c>
      <c r="N2" s="35"/>
      <c r="O2" s="34"/>
      <c r="P2" s="34" t="s">
        <v>61</v>
      </c>
      <c r="Q2" s="34" t="s">
        <v>69</v>
      </c>
      <c r="R2" s="31" t="s">
        <v>63</v>
      </c>
      <c r="S2" s="31" t="s">
        <v>82</v>
      </c>
      <c r="T2" s="31" t="s">
        <v>62</v>
      </c>
      <c r="U2" s="31" t="s">
        <v>63</v>
      </c>
      <c r="V2" s="31" t="s">
        <v>12</v>
      </c>
      <c r="W2" s="31" t="s">
        <v>83</v>
      </c>
      <c r="X2" s="34" t="s">
        <v>84</v>
      </c>
      <c r="Y2" s="36">
        <v>19.28</v>
      </c>
      <c r="Z2" s="37">
        <f t="shared" ref="Z2:Z37" si="1">G2*Y2</f>
        <v>57145.92</v>
      </c>
      <c r="AA2" s="37">
        <f t="shared" ref="AA2:AA37" si="2">Z2*7.75</f>
        <v>442880.88</v>
      </c>
      <c r="AB2" s="38">
        <v>45959</v>
      </c>
      <c r="AC2" s="34"/>
    </row>
    <row r="3" s="28" customFormat="1" customHeight="1" spans="1:29">
      <c r="A3" s="29">
        <v>45985</v>
      </c>
      <c r="B3" s="30" t="s">
        <v>57</v>
      </c>
      <c r="C3" s="30" t="s">
        <v>85</v>
      </c>
      <c r="D3" s="31" t="s">
        <v>15</v>
      </c>
      <c r="E3" s="31">
        <v>2816010</v>
      </c>
      <c r="F3" s="32" t="s">
        <v>81</v>
      </c>
      <c r="G3" s="32">
        <v>30</v>
      </c>
      <c r="H3" s="32">
        <v>2</v>
      </c>
      <c r="I3" s="33">
        <f t="shared" si="0"/>
        <v>15</v>
      </c>
      <c r="J3" s="34">
        <v>46046</v>
      </c>
      <c r="K3" s="34">
        <v>46046</v>
      </c>
      <c r="L3" s="34">
        <v>45687</v>
      </c>
      <c r="M3" s="35" t="s">
        <v>60</v>
      </c>
      <c r="N3" s="35"/>
      <c r="O3" s="34"/>
      <c r="P3" s="34" t="s">
        <v>61</v>
      </c>
      <c r="Q3" s="34" t="s">
        <v>69</v>
      </c>
      <c r="R3" s="31" t="s">
        <v>63</v>
      </c>
      <c r="S3" s="31" t="s">
        <v>82</v>
      </c>
      <c r="T3" s="31" t="s">
        <v>62</v>
      </c>
      <c r="U3" s="31" t="s">
        <v>63</v>
      </c>
      <c r="V3" s="31" t="s">
        <v>12</v>
      </c>
      <c r="W3" s="31" t="s">
        <v>83</v>
      </c>
      <c r="X3" s="34" t="s">
        <v>65</v>
      </c>
      <c r="Y3" s="36">
        <v>19.28</v>
      </c>
      <c r="Z3" s="37">
        <f t="shared" si="1"/>
        <v>578.4</v>
      </c>
      <c r="AA3" s="37">
        <f t="shared" si="2"/>
        <v>4482.6</v>
      </c>
      <c r="AB3" s="38">
        <v>45959</v>
      </c>
      <c r="AC3" s="34"/>
    </row>
    <row r="4" s="28" customFormat="1" customHeight="1" spans="1:29">
      <c r="A4" s="29">
        <v>45985</v>
      </c>
      <c r="B4" s="30" t="s">
        <v>57</v>
      </c>
      <c r="C4" s="30" t="s">
        <v>86</v>
      </c>
      <c r="D4" s="31" t="s">
        <v>15</v>
      </c>
      <c r="E4" s="31">
        <v>2816010</v>
      </c>
      <c r="F4" s="32" t="s">
        <v>81</v>
      </c>
      <c r="G4" s="32">
        <v>58</v>
      </c>
      <c r="H4" s="32">
        <v>2</v>
      </c>
      <c r="I4" s="33">
        <f t="shared" si="0"/>
        <v>29</v>
      </c>
      <c r="J4" s="34">
        <v>46046</v>
      </c>
      <c r="K4" s="34">
        <v>46046</v>
      </c>
      <c r="L4" s="34">
        <v>45687</v>
      </c>
      <c r="M4" s="35" t="s">
        <v>60</v>
      </c>
      <c r="N4" s="35"/>
      <c r="O4" s="34"/>
      <c r="P4" s="34" t="s">
        <v>61</v>
      </c>
      <c r="Q4" s="34" t="s">
        <v>87</v>
      </c>
      <c r="R4" s="31" t="s">
        <v>63</v>
      </c>
      <c r="S4" s="31" t="s">
        <v>82</v>
      </c>
      <c r="T4" s="31" t="s">
        <v>62</v>
      </c>
      <c r="U4" s="31" t="s">
        <v>63</v>
      </c>
      <c r="V4" s="31" t="s">
        <v>12</v>
      </c>
      <c r="W4" s="31" t="s">
        <v>83</v>
      </c>
      <c r="X4" s="34" t="s">
        <v>88</v>
      </c>
      <c r="Y4" s="36">
        <v>19.28</v>
      </c>
      <c r="Z4" s="37">
        <f t="shared" si="1"/>
        <v>1118.24</v>
      </c>
      <c r="AA4" s="37">
        <f t="shared" si="2"/>
        <v>8666.36</v>
      </c>
      <c r="AB4" s="38">
        <v>45959</v>
      </c>
      <c r="AC4" s="34"/>
    </row>
    <row r="5" s="28" customFormat="1" customHeight="1" spans="1:29">
      <c r="A5" s="29">
        <v>45985</v>
      </c>
      <c r="B5" s="30" t="s">
        <v>57</v>
      </c>
      <c r="C5" s="30" t="s">
        <v>89</v>
      </c>
      <c r="D5" s="31" t="s">
        <v>15</v>
      </c>
      <c r="E5" s="31">
        <v>2816010</v>
      </c>
      <c r="F5" s="32" t="s">
        <v>81</v>
      </c>
      <c r="G5" s="32">
        <v>40</v>
      </c>
      <c r="H5" s="32">
        <v>2</v>
      </c>
      <c r="I5" s="33">
        <f t="shared" si="0"/>
        <v>20</v>
      </c>
      <c r="J5" s="34">
        <v>46046</v>
      </c>
      <c r="K5" s="34">
        <v>46046</v>
      </c>
      <c r="L5" s="34">
        <v>45687</v>
      </c>
      <c r="M5" s="35" t="s">
        <v>60</v>
      </c>
      <c r="N5" s="35"/>
      <c r="O5" s="34"/>
      <c r="P5" s="34" t="s">
        <v>61</v>
      </c>
      <c r="Q5" s="34" t="s">
        <v>87</v>
      </c>
      <c r="R5" s="31" t="s">
        <v>63</v>
      </c>
      <c r="S5" s="31" t="s">
        <v>82</v>
      </c>
      <c r="T5" s="31" t="s">
        <v>62</v>
      </c>
      <c r="U5" s="31" t="s">
        <v>63</v>
      </c>
      <c r="V5" s="31" t="s">
        <v>12</v>
      </c>
      <c r="W5" s="31" t="s">
        <v>83</v>
      </c>
      <c r="X5" s="34" t="s">
        <v>90</v>
      </c>
      <c r="Y5" s="36">
        <v>19.28</v>
      </c>
      <c r="Z5" s="37">
        <f t="shared" si="1"/>
        <v>771.2</v>
      </c>
      <c r="AA5" s="37">
        <f t="shared" si="2"/>
        <v>5976.8</v>
      </c>
      <c r="AB5" s="38">
        <v>45959</v>
      </c>
      <c r="AC5" s="34"/>
    </row>
    <row r="6" s="28" customFormat="1" customHeight="1" spans="1:29">
      <c r="A6" s="29">
        <v>45985</v>
      </c>
      <c r="B6" s="30" t="s">
        <v>57</v>
      </c>
      <c r="C6" s="30" t="s">
        <v>91</v>
      </c>
      <c r="D6" s="31" t="s">
        <v>15</v>
      </c>
      <c r="E6" s="31">
        <v>2816010</v>
      </c>
      <c r="F6" s="32" t="s">
        <v>81</v>
      </c>
      <c r="G6" s="32">
        <v>24</v>
      </c>
      <c r="H6" s="32">
        <v>2</v>
      </c>
      <c r="I6" s="33">
        <f t="shared" si="0"/>
        <v>12</v>
      </c>
      <c r="J6" s="34">
        <v>46046</v>
      </c>
      <c r="K6" s="34">
        <v>46046</v>
      </c>
      <c r="L6" s="34">
        <v>45687</v>
      </c>
      <c r="M6" s="35" t="s">
        <v>60</v>
      </c>
      <c r="N6" s="35"/>
      <c r="O6" s="34"/>
      <c r="P6" s="34" t="s">
        <v>61</v>
      </c>
      <c r="Q6" s="34" t="s">
        <v>87</v>
      </c>
      <c r="R6" s="31" t="s">
        <v>63</v>
      </c>
      <c r="S6" s="31" t="s">
        <v>82</v>
      </c>
      <c r="T6" s="31" t="s">
        <v>62</v>
      </c>
      <c r="U6" s="31" t="s">
        <v>63</v>
      </c>
      <c r="V6" s="31" t="s">
        <v>12</v>
      </c>
      <c r="W6" s="31" t="s">
        <v>83</v>
      </c>
      <c r="X6" s="34" t="s">
        <v>92</v>
      </c>
      <c r="Y6" s="36">
        <v>19.28</v>
      </c>
      <c r="Z6" s="37">
        <f t="shared" si="1"/>
        <v>462.72</v>
      </c>
      <c r="AA6" s="37">
        <f t="shared" si="2"/>
        <v>3586.08</v>
      </c>
      <c r="AB6" s="38">
        <v>45959</v>
      </c>
      <c r="AC6" s="34"/>
    </row>
    <row r="7" s="28" customFormat="1" customHeight="1" spans="1:29">
      <c r="A7" s="29">
        <v>45985</v>
      </c>
      <c r="B7" s="30" t="s">
        <v>57</v>
      </c>
      <c r="C7" s="30" t="s">
        <v>93</v>
      </c>
      <c r="D7" s="31" t="s">
        <v>15</v>
      </c>
      <c r="E7" s="31">
        <v>2816010</v>
      </c>
      <c r="F7" s="32" t="s">
        <v>81</v>
      </c>
      <c r="G7" s="32">
        <v>36</v>
      </c>
      <c r="H7" s="32">
        <v>2</v>
      </c>
      <c r="I7" s="33">
        <f t="shared" si="0"/>
        <v>18</v>
      </c>
      <c r="J7" s="34">
        <v>46046</v>
      </c>
      <c r="K7" s="34">
        <v>46046</v>
      </c>
      <c r="L7" s="34">
        <v>45687</v>
      </c>
      <c r="M7" s="35" t="s">
        <v>60</v>
      </c>
      <c r="N7" s="35"/>
      <c r="O7" s="34"/>
      <c r="P7" s="34" t="s">
        <v>61</v>
      </c>
      <c r="Q7" s="34" t="s">
        <v>87</v>
      </c>
      <c r="R7" s="31" t="s">
        <v>63</v>
      </c>
      <c r="S7" s="31" t="s">
        <v>82</v>
      </c>
      <c r="T7" s="31" t="s">
        <v>62</v>
      </c>
      <c r="U7" s="31" t="s">
        <v>63</v>
      </c>
      <c r="V7" s="31" t="s">
        <v>12</v>
      </c>
      <c r="W7" s="31" t="s">
        <v>83</v>
      </c>
      <c r="X7" s="34" t="s">
        <v>94</v>
      </c>
      <c r="Y7" s="36">
        <v>19.28</v>
      </c>
      <c r="Z7" s="37">
        <f t="shared" si="1"/>
        <v>694.08</v>
      </c>
      <c r="AA7" s="37">
        <f t="shared" si="2"/>
        <v>5379.12</v>
      </c>
      <c r="AB7" s="38">
        <v>45959</v>
      </c>
      <c r="AC7" s="34"/>
    </row>
    <row r="8" s="28" customFormat="1" customHeight="1" spans="1:29">
      <c r="A8" s="29">
        <v>45985</v>
      </c>
      <c r="B8" s="30" t="s">
        <v>57</v>
      </c>
      <c r="C8" s="30" t="s">
        <v>95</v>
      </c>
      <c r="D8" s="31" t="s">
        <v>15</v>
      </c>
      <c r="E8" s="31">
        <v>2816010</v>
      </c>
      <c r="F8" s="32" t="s">
        <v>96</v>
      </c>
      <c r="G8" s="32">
        <v>420</v>
      </c>
      <c r="H8" s="32">
        <v>2</v>
      </c>
      <c r="I8" s="33">
        <f t="shared" si="0"/>
        <v>210</v>
      </c>
      <c r="J8" s="34">
        <v>46046</v>
      </c>
      <c r="K8" s="34">
        <v>46046</v>
      </c>
      <c r="L8" s="34">
        <v>45693</v>
      </c>
      <c r="M8" s="35" t="s">
        <v>60</v>
      </c>
      <c r="N8" s="35"/>
      <c r="O8" s="34"/>
      <c r="P8" s="34" t="s">
        <v>61</v>
      </c>
      <c r="Q8" s="34" t="s">
        <v>69</v>
      </c>
      <c r="R8" s="31" t="s">
        <v>63</v>
      </c>
      <c r="S8" s="31" t="s">
        <v>82</v>
      </c>
      <c r="T8" s="31" t="s">
        <v>62</v>
      </c>
      <c r="U8" s="31" t="s">
        <v>63</v>
      </c>
      <c r="V8" s="31" t="s">
        <v>18</v>
      </c>
      <c r="W8" s="31" t="s">
        <v>97</v>
      </c>
      <c r="X8" s="34" t="s">
        <v>65</v>
      </c>
      <c r="Y8" s="36">
        <v>19.28</v>
      </c>
      <c r="Z8" s="37">
        <f t="shared" si="1"/>
        <v>8097.6</v>
      </c>
      <c r="AA8" s="37">
        <f t="shared" si="2"/>
        <v>62756.4</v>
      </c>
      <c r="AB8" s="38">
        <v>45964</v>
      </c>
      <c r="AC8" s="34"/>
    </row>
    <row r="9" s="28" customFormat="1" customHeight="1" spans="1:29">
      <c r="A9" s="29">
        <v>45985</v>
      </c>
      <c r="B9" s="30" t="s">
        <v>57</v>
      </c>
      <c r="C9" s="30" t="s">
        <v>98</v>
      </c>
      <c r="D9" s="31" t="s">
        <v>15</v>
      </c>
      <c r="E9" s="31">
        <v>2816010</v>
      </c>
      <c r="F9" s="32" t="s">
        <v>96</v>
      </c>
      <c r="G9" s="32">
        <v>12</v>
      </c>
      <c r="H9" s="32">
        <v>2</v>
      </c>
      <c r="I9" s="33">
        <f t="shared" si="0"/>
        <v>6</v>
      </c>
      <c r="J9" s="34">
        <v>46046</v>
      </c>
      <c r="K9" s="34">
        <v>46046</v>
      </c>
      <c r="L9" s="34">
        <v>45693</v>
      </c>
      <c r="M9" s="35" t="s">
        <v>60</v>
      </c>
      <c r="N9" s="35"/>
      <c r="O9" s="34"/>
      <c r="P9" s="34" t="s">
        <v>61</v>
      </c>
      <c r="Q9" s="34" t="s">
        <v>69</v>
      </c>
      <c r="R9" s="31" t="s">
        <v>63</v>
      </c>
      <c r="S9" s="31" t="s">
        <v>82</v>
      </c>
      <c r="T9" s="31" t="s">
        <v>62</v>
      </c>
      <c r="U9" s="31" t="s">
        <v>63</v>
      </c>
      <c r="V9" s="31" t="s">
        <v>18</v>
      </c>
      <c r="W9" s="31" t="s">
        <v>97</v>
      </c>
      <c r="X9" s="34" t="s">
        <v>65</v>
      </c>
      <c r="Y9" s="36">
        <v>19.28</v>
      </c>
      <c r="Z9" s="37">
        <f t="shared" si="1"/>
        <v>231.36</v>
      </c>
      <c r="AA9" s="37">
        <f t="shared" si="2"/>
        <v>1793.04</v>
      </c>
      <c r="AB9" s="38">
        <v>45964</v>
      </c>
      <c r="AC9" s="34"/>
    </row>
    <row r="10" s="28" customFormat="1" customHeight="1" spans="1:29">
      <c r="A10" s="29">
        <v>45985</v>
      </c>
      <c r="B10" s="30" t="s">
        <v>57</v>
      </c>
      <c r="C10" s="30" t="s">
        <v>99</v>
      </c>
      <c r="D10" s="31" t="s">
        <v>15</v>
      </c>
      <c r="E10" s="31">
        <v>2816010</v>
      </c>
      <c r="F10" s="32" t="s">
        <v>96</v>
      </c>
      <c r="G10" s="32">
        <v>6</v>
      </c>
      <c r="H10" s="32">
        <v>2</v>
      </c>
      <c r="I10" s="33">
        <f t="shared" si="0"/>
        <v>3</v>
      </c>
      <c r="J10" s="34">
        <v>46046</v>
      </c>
      <c r="K10" s="34">
        <v>46046</v>
      </c>
      <c r="L10" s="34">
        <v>45693</v>
      </c>
      <c r="M10" s="35" t="s">
        <v>60</v>
      </c>
      <c r="N10" s="35"/>
      <c r="O10" s="34"/>
      <c r="P10" s="34" t="s">
        <v>61</v>
      </c>
      <c r="Q10" s="34" t="s">
        <v>100</v>
      </c>
      <c r="R10" s="31" t="s">
        <v>63</v>
      </c>
      <c r="S10" s="31" t="s">
        <v>82</v>
      </c>
      <c r="T10" s="31" t="s">
        <v>62</v>
      </c>
      <c r="U10" s="31" t="s">
        <v>63</v>
      </c>
      <c r="V10" s="31" t="s">
        <v>18</v>
      </c>
      <c r="W10" s="31" t="s">
        <v>97</v>
      </c>
      <c r="X10" s="34" t="s">
        <v>65</v>
      </c>
      <c r="Y10" s="36">
        <v>19.28</v>
      </c>
      <c r="Z10" s="37">
        <f t="shared" si="1"/>
        <v>115.68</v>
      </c>
      <c r="AA10" s="37">
        <f t="shared" si="2"/>
        <v>896.52</v>
      </c>
      <c r="AB10" s="38">
        <v>45964</v>
      </c>
      <c r="AC10" s="34"/>
    </row>
    <row r="11" s="28" customFormat="1" customHeight="1" spans="1:29">
      <c r="A11" s="29">
        <v>45985</v>
      </c>
      <c r="B11" s="30" t="s">
        <v>57</v>
      </c>
      <c r="C11" s="30" t="s">
        <v>101</v>
      </c>
      <c r="D11" s="31" t="s">
        <v>15</v>
      </c>
      <c r="E11" s="31">
        <v>2816010</v>
      </c>
      <c r="F11" s="32" t="s">
        <v>96</v>
      </c>
      <c r="G11" s="32">
        <v>210</v>
      </c>
      <c r="H11" s="32">
        <v>2</v>
      </c>
      <c r="I11" s="33">
        <f t="shared" si="0"/>
        <v>105</v>
      </c>
      <c r="J11" s="34">
        <v>46046</v>
      </c>
      <c r="K11" s="34">
        <v>46046</v>
      </c>
      <c r="L11" s="34">
        <v>45693</v>
      </c>
      <c r="M11" s="35" t="s">
        <v>60</v>
      </c>
      <c r="N11" s="35"/>
      <c r="O11" s="34"/>
      <c r="P11" s="34" t="s">
        <v>61</v>
      </c>
      <c r="Q11" s="34" t="s">
        <v>102</v>
      </c>
      <c r="R11" s="31" t="s">
        <v>63</v>
      </c>
      <c r="S11" s="31" t="s">
        <v>82</v>
      </c>
      <c r="T11" s="31" t="s">
        <v>62</v>
      </c>
      <c r="U11" s="31" t="s">
        <v>63</v>
      </c>
      <c r="V11" s="31" t="s">
        <v>18</v>
      </c>
      <c r="W11" s="31" t="s">
        <v>97</v>
      </c>
      <c r="X11" s="34" t="s">
        <v>65</v>
      </c>
      <c r="Y11" s="36">
        <v>19.28</v>
      </c>
      <c r="Z11" s="37">
        <f t="shared" si="1"/>
        <v>4048.8</v>
      </c>
      <c r="AA11" s="37">
        <f t="shared" si="2"/>
        <v>31378.2</v>
      </c>
      <c r="AB11" s="38">
        <v>45964</v>
      </c>
      <c r="AC11" s="34"/>
    </row>
    <row r="12" s="28" customFormat="1" customHeight="1" spans="1:29">
      <c r="A12" s="29">
        <v>45985</v>
      </c>
      <c r="B12" s="30" t="s">
        <v>57</v>
      </c>
      <c r="C12" s="30" t="s">
        <v>103</v>
      </c>
      <c r="D12" s="31" t="s">
        <v>15</v>
      </c>
      <c r="E12" s="31">
        <v>2816010</v>
      </c>
      <c r="F12" s="32" t="s">
        <v>96</v>
      </c>
      <c r="G12" s="32">
        <v>80</v>
      </c>
      <c r="H12" s="32">
        <v>2</v>
      </c>
      <c r="I12" s="33">
        <f t="shared" si="0"/>
        <v>40</v>
      </c>
      <c r="J12" s="34">
        <v>46046</v>
      </c>
      <c r="K12" s="34">
        <v>46046</v>
      </c>
      <c r="L12" s="34">
        <v>45693</v>
      </c>
      <c r="M12" s="35" t="s">
        <v>60</v>
      </c>
      <c r="N12" s="35"/>
      <c r="O12" s="34"/>
      <c r="P12" s="34" t="s">
        <v>61</v>
      </c>
      <c r="Q12" s="34" t="s">
        <v>102</v>
      </c>
      <c r="R12" s="31" t="s">
        <v>63</v>
      </c>
      <c r="S12" s="31" t="s">
        <v>82</v>
      </c>
      <c r="T12" s="31" t="s">
        <v>62</v>
      </c>
      <c r="U12" s="31" t="s">
        <v>63</v>
      </c>
      <c r="V12" s="31" t="s">
        <v>18</v>
      </c>
      <c r="W12" s="31" t="s">
        <v>97</v>
      </c>
      <c r="X12" s="34" t="s">
        <v>65</v>
      </c>
      <c r="Y12" s="36">
        <v>19.28</v>
      </c>
      <c r="Z12" s="37">
        <f t="shared" si="1"/>
        <v>1542.4</v>
      </c>
      <c r="AA12" s="37">
        <f t="shared" si="2"/>
        <v>11953.6</v>
      </c>
      <c r="AB12" s="38">
        <v>45964</v>
      </c>
      <c r="AC12" s="34"/>
    </row>
    <row r="13" s="28" customFormat="1" customHeight="1" spans="1:29">
      <c r="A13" s="29">
        <v>45985</v>
      </c>
      <c r="B13" s="30" t="s">
        <v>57</v>
      </c>
      <c r="C13" s="30" t="s">
        <v>104</v>
      </c>
      <c r="D13" s="31" t="s">
        <v>15</v>
      </c>
      <c r="E13" s="31">
        <v>2816010</v>
      </c>
      <c r="F13" s="32" t="s">
        <v>96</v>
      </c>
      <c r="G13" s="32">
        <v>10</v>
      </c>
      <c r="H13" s="32">
        <v>2</v>
      </c>
      <c r="I13" s="33">
        <f t="shared" si="0"/>
        <v>5</v>
      </c>
      <c r="J13" s="34">
        <v>46046</v>
      </c>
      <c r="K13" s="34">
        <v>46046</v>
      </c>
      <c r="L13" s="34">
        <v>45693</v>
      </c>
      <c r="M13" s="35" t="s">
        <v>60</v>
      </c>
      <c r="N13" s="35"/>
      <c r="O13" s="34"/>
      <c r="P13" s="34" t="s">
        <v>61</v>
      </c>
      <c r="Q13" s="34" t="s">
        <v>102</v>
      </c>
      <c r="R13" s="31" t="s">
        <v>63</v>
      </c>
      <c r="S13" s="31" t="s">
        <v>82</v>
      </c>
      <c r="T13" s="31" t="s">
        <v>62</v>
      </c>
      <c r="U13" s="31" t="s">
        <v>63</v>
      </c>
      <c r="V13" s="31" t="s">
        <v>18</v>
      </c>
      <c r="W13" s="31" t="s">
        <v>97</v>
      </c>
      <c r="X13" s="34" t="s">
        <v>65</v>
      </c>
      <c r="Y13" s="36">
        <v>19.28</v>
      </c>
      <c r="Z13" s="37">
        <f t="shared" si="1"/>
        <v>192.8</v>
      </c>
      <c r="AA13" s="37">
        <f t="shared" si="2"/>
        <v>1494.2</v>
      </c>
      <c r="AB13" s="38">
        <v>45964</v>
      </c>
      <c r="AC13" s="34"/>
    </row>
    <row r="14" s="28" customFormat="1" customHeight="1" spans="1:29">
      <c r="A14" s="29">
        <v>45985</v>
      </c>
      <c r="B14" s="30" t="s">
        <v>57</v>
      </c>
      <c r="C14" s="30" t="s">
        <v>105</v>
      </c>
      <c r="D14" s="31" t="s">
        <v>15</v>
      </c>
      <c r="E14" s="31">
        <v>2816010</v>
      </c>
      <c r="F14" s="32" t="s">
        <v>96</v>
      </c>
      <c r="G14" s="32">
        <v>120</v>
      </c>
      <c r="H14" s="32">
        <v>2</v>
      </c>
      <c r="I14" s="33">
        <f t="shared" si="0"/>
        <v>60</v>
      </c>
      <c r="J14" s="34">
        <v>46046</v>
      </c>
      <c r="K14" s="34">
        <v>46046</v>
      </c>
      <c r="L14" s="34">
        <v>45693</v>
      </c>
      <c r="M14" s="35" t="s">
        <v>60</v>
      </c>
      <c r="N14" s="35"/>
      <c r="O14" s="34"/>
      <c r="P14" s="34" t="s">
        <v>61</v>
      </c>
      <c r="Q14" s="34" t="s">
        <v>102</v>
      </c>
      <c r="R14" s="31" t="s">
        <v>63</v>
      </c>
      <c r="S14" s="31" t="s">
        <v>82</v>
      </c>
      <c r="T14" s="31" t="s">
        <v>62</v>
      </c>
      <c r="U14" s="31" t="s">
        <v>63</v>
      </c>
      <c r="V14" s="31" t="s">
        <v>18</v>
      </c>
      <c r="W14" s="31" t="s">
        <v>97</v>
      </c>
      <c r="X14" s="34" t="s">
        <v>65</v>
      </c>
      <c r="Y14" s="36">
        <v>19.28</v>
      </c>
      <c r="Z14" s="37">
        <f t="shared" si="1"/>
        <v>2313.6</v>
      </c>
      <c r="AA14" s="37">
        <f t="shared" si="2"/>
        <v>17930.4</v>
      </c>
      <c r="AB14" s="38">
        <v>45964</v>
      </c>
      <c r="AC14" s="34"/>
    </row>
    <row r="15" s="28" customFormat="1" customHeight="1" spans="1:29">
      <c r="A15" s="29">
        <v>45985</v>
      </c>
      <c r="B15" s="30" t="s">
        <v>57</v>
      </c>
      <c r="C15" s="30" t="s">
        <v>106</v>
      </c>
      <c r="D15" s="31" t="s">
        <v>15</v>
      </c>
      <c r="E15" s="31">
        <v>2816010</v>
      </c>
      <c r="F15" s="32" t="s">
        <v>96</v>
      </c>
      <c r="G15" s="32">
        <v>44</v>
      </c>
      <c r="H15" s="32">
        <v>2</v>
      </c>
      <c r="I15" s="33">
        <f t="shared" si="0"/>
        <v>22</v>
      </c>
      <c r="J15" s="34">
        <v>46046</v>
      </c>
      <c r="K15" s="34">
        <v>46046</v>
      </c>
      <c r="L15" s="34">
        <v>45693</v>
      </c>
      <c r="M15" s="35" t="s">
        <v>60</v>
      </c>
      <c r="N15" s="35"/>
      <c r="O15" s="34"/>
      <c r="P15" s="34" t="s">
        <v>61</v>
      </c>
      <c r="Q15" s="34" t="s">
        <v>69</v>
      </c>
      <c r="R15" s="31" t="s">
        <v>63</v>
      </c>
      <c r="S15" s="31" t="s">
        <v>82</v>
      </c>
      <c r="T15" s="31" t="s">
        <v>62</v>
      </c>
      <c r="U15" s="31" t="s">
        <v>63</v>
      </c>
      <c r="V15" s="31" t="s">
        <v>18</v>
      </c>
      <c r="W15" s="31" t="s">
        <v>97</v>
      </c>
      <c r="X15" s="34" t="s">
        <v>65</v>
      </c>
      <c r="Y15" s="36">
        <v>19.28</v>
      </c>
      <c r="Z15" s="37">
        <f t="shared" si="1"/>
        <v>848.32</v>
      </c>
      <c r="AA15" s="37">
        <f t="shared" si="2"/>
        <v>6574.48</v>
      </c>
      <c r="AB15" s="38">
        <v>45964</v>
      </c>
      <c r="AC15" s="34"/>
    </row>
    <row r="16" s="28" customFormat="1" customHeight="1" spans="1:29">
      <c r="A16" s="29">
        <v>45985</v>
      </c>
      <c r="B16" s="30" t="s">
        <v>57</v>
      </c>
      <c r="C16" s="30" t="s">
        <v>107</v>
      </c>
      <c r="D16" s="31" t="s">
        <v>15</v>
      </c>
      <c r="E16" s="31">
        <v>2816010</v>
      </c>
      <c r="F16" s="32" t="s">
        <v>96</v>
      </c>
      <c r="G16" s="32">
        <v>100</v>
      </c>
      <c r="H16" s="32">
        <v>2</v>
      </c>
      <c r="I16" s="33">
        <f t="shared" si="0"/>
        <v>50</v>
      </c>
      <c r="J16" s="34">
        <v>46046</v>
      </c>
      <c r="K16" s="34">
        <v>46046</v>
      </c>
      <c r="L16" s="34">
        <v>45693</v>
      </c>
      <c r="M16" s="35" t="s">
        <v>60</v>
      </c>
      <c r="N16" s="35"/>
      <c r="O16" s="34"/>
      <c r="P16" s="34" t="s">
        <v>61</v>
      </c>
      <c r="Q16" s="34" t="s">
        <v>69</v>
      </c>
      <c r="R16" s="31" t="s">
        <v>63</v>
      </c>
      <c r="S16" s="31" t="s">
        <v>82</v>
      </c>
      <c r="T16" s="31" t="s">
        <v>62</v>
      </c>
      <c r="U16" s="31" t="s">
        <v>63</v>
      </c>
      <c r="V16" s="31" t="s">
        <v>18</v>
      </c>
      <c r="W16" s="31" t="s">
        <v>97</v>
      </c>
      <c r="X16" s="34" t="s">
        <v>65</v>
      </c>
      <c r="Y16" s="36">
        <v>19.28</v>
      </c>
      <c r="Z16" s="37">
        <f t="shared" si="1"/>
        <v>1928</v>
      </c>
      <c r="AA16" s="37">
        <f t="shared" si="2"/>
        <v>14942</v>
      </c>
      <c r="AB16" s="38">
        <v>45964</v>
      </c>
      <c r="AC16" s="34"/>
    </row>
    <row r="17" s="28" customFormat="1" customHeight="1" spans="1:29">
      <c r="A17" s="29">
        <v>45985</v>
      </c>
      <c r="B17" s="30" t="s">
        <v>57</v>
      </c>
      <c r="C17" s="30" t="s">
        <v>108</v>
      </c>
      <c r="D17" s="31" t="s">
        <v>15</v>
      </c>
      <c r="E17" s="31">
        <v>2816010</v>
      </c>
      <c r="F17" s="32" t="s">
        <v>109</v>
      </c>
      <c r="G17" s="32">
        <v>524</v>
      </c>
      <c r="H17" s="32">
        <v>2</v>
      </c>
      <c r="I17" s="33">
        <f t="shared" si="0"/>
        <v>262</v>
      </c>
      <c r="J17" s="34">
        <v>46046</v>
      </c>
      <c r="K17" s="34">
        <v>46046</v>
      </c>
      <c r="L17" s="34">
        <v>45693</v>
      </c>
      <c r="M17" s="35" t="s">
        <v>60</v>
      </c>
      <c r="N17" s="35"/>
      <c r="O17" s="34"/>
      <c r="P17" s="34" t="s">
        <v>61</v>
      </c>
      <c r="Q17" s="34" t="s">
        <v>110</v>
      </c>
      <c r="R17" s="31" t="s">
        <v>63</v>
      </c>
      <c r="S17" s="31" t="s">
        <v>82</v>
      </c>
      <c r="T17" s="31" t="s">
        <v>62</v>
      </c>
      <c r="U17" s="31" t="s">
        <v>63</v>
      </c>
      <c r="V17" s="31" t="s">
        <v>17</v>
      </c>
      <c r="W17" s="31" t="s">
        <v>83</v>
      </c>
      <c r="X17" s="34" t="s">
        <v>111</v>
      </c>
      <c r="Y17" s="36">
        <v>19.28</v>
      </c>
      <c r="Z17" s="37">
        <f t="shared" si="1"/>
        <v>10102.72</v>
      </c>
      <c r="AA17" s="37">
        <f t="shared" si="2"/>
        <v>78296.08</v>
      </c>
      <c r="AB17" s="38">
        <v>45964</v>
      </c>
      <c r="AC17" s="34"/>
    </row>
    <row r="18" s="28" customFormat="1" customHeight="1" spans="1:29">
      <c r="A18" s="29">
        <v>45985</v>
      </c>
      <c r="B18" s="30" t="s">
        <v>57</v>
      </c>
      <c r="C18" s="30" t="s">
        <v>108</v>
      </c>
      <c r="D18" s="31" t="s">
        <v>15</v>
      </c>
      <c r="E18" s="31">
        <v>2816010</v>
      </c>
      <c r="F18" s="32" t="s">
        <v>109</v>
      </c>
      <c r="G18" s="32">
        <f>1004-524</f>
        <v>480</v>
      </c>
      <c r="H18" s="32">
        <v>2</v>
      </c>
      <c r="I18" s="33">
        <f t="shared" si="0"/>
        <v>240</v>
      </c>
      <c r="J18" s="34">
        <v>46046</v>
      </c>
      <c r="K18" s="34">
        <v>46046</v>
      </c>
      <c r="L18" s="34">
        <v>45693</v>
      </c>
      <c r="M18" s="35" t="s">
        <v>60</v>
      </c>
      <c r="N18" s="35"/>
      <c r="O18" s="34"/>
      <c r="P18" s="34" t="s">
        <v>61</v>
      </c>
      <c r="Q18" s="34" t="s">
        <v>110</v>
      </c>
      <c r="R18" s="31" t="s">
        <v>63</v>
      </c>
      <c r="S18" s="31" t="s">
        <v>82</v>
      </c>
      <c r="T18" s="31" t="s">
        <v>62</v>
      </c>
      <c r="U18" s="31" t="s">
        <v>63</v>
      </c>
      <c r="V18" s="31" t="s">
        <v>17</v>
      </c>
      <c r="W18" s="31" t="s">
        <v>83</v>
      </c>
      <c r="X18" s="34" t="s">
        <v>111</v>
      </c>
      <c r="Y18" s="36">
        <v>19.28</v>
      </c>
      <c r="Z18" s="37">
        <f t="shared" si="1"/>
        <v>9254.4</v>
      </c>
      <c r="AA18" s="37">
        <f t="shared" si="2"/>
        <v>71721.6</v>
      </c>
      <c r="AB18" s="38">
        <v>45965</v>
      </c>
      <c r="AC18" s="34"/>
    </row>
    <row r="19" s="28" customFormat="1" customHeight="1" spans="1:29">
      <c r="A19" s="29">
        <v>45985</v>
      </c>
      <c r="B19" s="30" t="s">
        <v>57</v>
      </c>
      <c r="C19" s="30" t="s">
        <v>112</v>
      </c>
      <c r="D19" s="31" t="s">
        <v>15</v>
      </c>
      <c r="E19" s="31">
        <v>2816010</v>
      </c>
      <c r="F19" s="32" t="s">
        <v>109</v>
      </c>
      <c r="G19" s="32">
        <v>63</v>
      </c>
      <c r="H19" s="32">
        <v>2</v>
      </c>
      <c r="I19" s="33">
        <f t="shared" si="0"/>
        <v>31.5</v>
      </c>
      <c r="J19" s="34">
        <v>46046</v>
      </c>
      <c r="K19" s="34">
        <v>46046</v>
      </c>
      <c r="L19" s="34">
        <v>45693</v>
      </c>
      <c r="M19" s="35" t="s">
        <v>60</v>
      </c>
      <c r="N19" s="35"/>
      <c r="O19" s="34"/>
      <c r="P19" s="34" t="s">
        <v>61</v>
      </c>
      <c r="Q19" s="34" t="s">
        <v>87</v>
      </c>
      <c r="R19" s="31" t="s">
        <v>63</v>
      </c>
      <c r="S19" s="31" t="s">
        <v>82</v>
      </c>
      <c r="T19" s="31" t="s">
        <v>62</v>
      </c>
      <c r="U19" s="31" t="s">
        <v>63</v>
      </c>
      <c r="V19" s="31" t="s">
        <v>17</v>
      </c>
      <c r="W19" s="31" t="s">
        <v>83</v>
      </c>
      <c r="X19" s="34" t="s">
        <v>65</v>
      </c>
      <c r="Y19" s="36">
        <v>19.28</v>
      </c>
      <c r="Z19" s="37">
        <f t="shared" si="1"/>
        <v>1214.64</v>
      </c>
      <c r="AA19" s="37">
        <f t="shared" si="2"/>
        <v>9413.46</v>
      </c>
      <c r="AB19" s="38">
        <v>45965</v>
      </c>
      <c r="AC19" s="34"/>
    </row>
    <row r="20" s="28" customFormat="1" customHeight="1" spans="1:29">
      <c r="A20" s="29">
        <v>45985</v>
      </c>
      <c r="B20" s="30" t="s">
        <v>57</v>
      </c>
      <c r="C20" s="30" t="s">
        <v>113</v>
      </c>
      <c r="D20" s="31" t="s">
        <v>15</v>
      </c>
      <c r="E20" s="31">
        <v>2816010</v>
      </c>
      <c r="F20" s="32" t="s">
        <v>81</v>
      </c>
      <c r="G20" s="32">
        <v>20</v>
      </c>
      <c r="H20" s="32">
        <v>2</v>
      </c>
      <c r="I20" s="33">
        <f t="shared" si="0"/>
        <v>10</v>
      </c>
      <c r="J20" s="34">
        <v>46046</v>
      </c>
      <c r="K20" s="34">
        <v>46046</v>
      </c>
      <c r="L20" s="34">
        <v>45687</v>
      </c>
      <c r="M20" s="35" t="s">
        <v>60</v>
      </c>
      <c r="N20" s="35"/>
      <c r="O20" s="34"/>
      <c r="P20" s="34" t="s">
        <v>61</v>
      </c>
      <c r="Q20" s="34" t="s">
        <v>69</v>
      </c>
      <c r="R20" s="31" t="s">
        <v>63</v>
      </c>
      <c r="S20" s="31" t="s">
        <v>63</v>
      </c>
      <c r="T20" s="31" t="s">
        <v>62</v>
      </c>
      <c r="U20" s="31" t="s">
        <v>63</v>
      </c>
      <c r="V20" s="31" t="s">
        <v>12</v>
      </c>
      <c r="W20" s="31" t="s">
        <v>83</v>
      </c>
      <c r="X20" s="34" t="s">
        <v>65</v>
      </c>
      <c r="Y20" s="36">
        <v>19.28</v>
      </c>
      <c r="Z20" s="37">
        <f t="shared" si="1"/>
        <v>385.6</v>
      </c>
      <c r="AA20" s="37">
        <f t="shared" si="2"/>
        <v>2988.4</v>
      </c>
      <c r="AB20" s="38">
        <v>45967</v>
      </c>
      <c r="AC20" s="34"/>
    </row>
    <row r="21" s="28" customFormat="1" customHeight="1" spans="1:29">
      <c r="A21" s="29">
        <v>45985</v>
      </c>
      <c r="B21" s="30" t="s">
        <v>57</v>
      </c>
      <c r="C21" s="30" t="s">
        <v>114</v>
      </c>
      <c r="D21" s="31" t="s">
        <v>15</v>
      </c>
      <c r="E21" s="31">
        <v>2816010</v>
      </c>
      <c r="F21" s="32" t="s">
        <v>81</v>
      </c>
      <c r="G21" s="32">
        <v>32</v>
      </c>
      <c r="H21" s="32">
        <v>2</v>
      </c>
      <c r="I21" s="33">
        <f t="shared" si="0"/>
        <v>16</v>
      </c>
      <c r="J21" s="34">
        <v>46046</v>
      </c>
      <c r="K21" s="34">
        <v>46046</v>
      </c>
      <c r="L21" s="34">
        <v>45687</v>
      </c>
      <c r="M21" s="35" t="s">
        <v>60</v>
      </c>
      <c r="N21" s="35"/>
      <c r="O21" s="34"/>
      <c r="P21" s="34" t="s">
        <v>61</v>
      </c>
      <c r="Q21" s="34" t="s">
        <v>69</v>
      </c>
      <c r="R21" s="31" t="s">
        <v>63</v>
      </c>
      <c r="S21" s="31" t="s">
        <v>63</v>
      </c>
      <c r="T21" s="31" t="s">
        <v>62</v>
      </c>
      <c r="U21" s="31" t="s">
        <v>63</v>
      </c>
      <c r="V21" s="31" t="s">
        <v>12</v>
      </c>
      <c r="W21" s="31" t="s">
        <v>83</v>
      </c>
      <c r="X21" s="34" t="s">
        <v>65</v>
      </c>
      <c r="Y21" s="36">
        <v>19.28</v>
      </c>
      <c r="Z21" s="37">
        <f t="shared" si="1"/>
        <v>616.96</v>
      </c>
      <c r="AA21" s="37">
        <f t="shared" si="2"/>
        <v>4781.44</v>
      </c>
      <c r="AB21" s="38">
        <v>45967</v>
      </c>
      <c r="AC21" s="34"/>
    </row>
    <row r="22" s="28" customFormat="1" customHeight="1" spans="1:29">
      <c r="A22" s="29">
        <v>46029</v>
      </c>
      <c r="B22" s="30" t="s">
        <v>57</v>
      </c>
      <c r="C22" s="30" t="s">
        <v>115</v>
      </c>
      <c r="D22" s="31" t="s">
        <v>16</v>
      </c>
      <c r="E22" s="31">
        <v>2816011</v>
      </c>
      <c r="F22" s="32" t="s">
        <v>72</v>
      </c>
      <c r="G22" s="32">
        <v>3000</v>
      </c>
      <c r="H22" s="32">
        <v>2</v>
      </c>
      <c r="I22" s="33">
        <f t="shared" si="0"/>
        <v>1500</v>
      </c>
      <c r="J22" s="34">
        <v>46120</v>
      </c>
      <c r="K22" s="34">
        <v>46120</v>
      </c>
      <c r="L22" s="34">
        <v>46120</v>
      </c>
      <c r="M22" s="35" t="s">
        <v>60</v>
      </c>
      <c r="N22" s="35"/>
      <c r="O22" s="34">
        <v>46122</v>
      </c>
      <c r="P22" s="34" t="s">
        <v>61</v>
      </c>
      <c r="Q22" s="34" t="s">
        <v>69</v>
      </c>
      <c r="R22" s="39" t="s">
        <v>116</v>
      </c>
      <c r="S22" s="39" t="s">
        <v>116</v>
      </c>
      <c r="T22" s="31" t="s">
        <v>63</v>
      </c>
      <c r="U22" s="31" t="s">
        <v>63</v>
      </c>
      <c r="V22" s="31" t="s">
        <v>12</v>
      </c>
      <c r="W22" s="31" t="s">
        <v>75</v>
      </c>
      <c r="X22" s="31" t="s">
        <v>65</v>
      </c>
      <c r="Y22" s="36">
        <v>19.325</v>
      </c>
      <c r="Z22" s="37">
        <f t="shared" si="1"/>
        <v>57975</v>
      </c>
      <c r="AA22" s="37">
        <f t="shared" si="2"/>
        <v>449306.25</v>
      </c>
      <c r="AB22" s="38">
        <v>45970</v>
      </c>
      <c r="AC22" s="34" t="s">
        <v>66</v>
      </c>
    </row>
    <row r="23" s="28" customFormat="1" customHeight="1" spans="1:29">
      <c r="A23" s="29">
        <v>46029</v>
      </c>
      <c r="B23" s="30" t="s">
        <v>57</v>
      </c>
      <c r="C23" s="30" t="s">
        <v>117</v>
      </c>
      <c r="D23" s="31" t="s">
        <v>16</v>
      </c>
      <c r="E23" s="31">
        <v>2816011</v>
      </c>
      <c r="F23" s="32" t="s">
        <v>72</v>
      </c>
      <c r="G23" s="32">
        <v>72</v>
      </c>
      <c r="H23" s="32">
        <v>2</v>
      </c>
      <c r="I23" s="33">
        <f t="shared" si="0"/>
        <v>36</v>
      </c>
      <c r="J23" s="34">
        <v>46120</v>
      </c>
      <c r="K23" s="34">
        <v>46120</v>
      </c>
      <c r="L23" s="34">
        <v>46120</v>
      </c>
      <c r="M23" s="35" t="s">
        <v>60</v>
      </c>
      <c r="N23" s="35"/>
      <c r="O23" s="34">
        <v>46122</v>
      </c>
      <c r="P23" s="34" t="s">
        <v>61</v>
      </c>
      <c r="Q23" s="34" t="s">
        <v>69</v>
      </c>
      <c r="R23" s="39" t="s">
        <v>116</v>
      </c>
      <c r="S23" s="39" t="s">
        <v>116</v>
      </c>
      <c r="T23" s="31" t="s">
        <v>63</v>
      </c>
      <c r="U23" s="31" t="s">
        <v>63</v>
      </c>
      <c r="V23" s="31" t="s">
        <v>12</v>
      </c>
      <c r="W23" s="31" t="s">
        <v>75</v>
      </c>
      <c r="X23" s="31" t="s">
        <v>65</v>
      </c>
      <c r="Y23" s="36">
        <v>19.325</v>
      </c>
      <c r="Z23" s="37">
        <f t="shared" si="1"/>
        <v>1391.4</v>
      </c>
      <c r="AA23" s="37">
        <f t="shared" si="2"/>
        <v>10783.35</v>
      </c>
      <c r="AB23" s="38">
        <v>45970</v>
      </c>
      <c r="AC23" s="34" t="s">
        <v>66</v>
      </c>
    </row>
    <row r="24" s="28" customFormat="1" customHeight="1" spans="1:29">
      <c r="A24" s="29">
        <v>46029</v>
      </c>
      <c r="B24" s="30" t="s">
        <v>57</v>
      </c>
      <c r="C24" s="30" t="s">
        <v>118</v>
      </c>
      <c r="D24" s="31" t="s">
        <v>16</v>
      </c>
      <c r="E24" s="31">
        <v>2816011</v>
      </c>
      <c r="F24" s="32" t="s">
        <v>72</v>
      </c>
      <c r="G24" s="32">
        <v>43</v>
      </c>
      <c r="H24" s="32">
        <v>2</v>
      </c>
      <c r="I24" s="33">
        <f t="shared" si="0"/>
        <v>21.5</v>
      </c>
      <c r="J24" s="34">
        <v>46120</v>
      </c>
      <c r="K24" s="34">
        <v>46120</v>
      </c>
      <c r="L24" s="34">
        <v>46120</v>
      </c>
      <c r="M24" s="35" t="s">
        <v>60</v>
      </c>
      <c r="N24" s="35"/>
      <c r="O24" s="34">
        <v>46122</v>
      </c>
      <c r="P24" s="34" t="s">
        <v>61</v>
      </c>
      <c r="Q24" s="34" t="s">
        <v>87</v>
      </c>
      <c r="R24" s="31" t="s">
        <v>63</v>
      </c>
      <c r="S24" s="39" t="s">
        <v>116</v>
      </c>
      <c r="T24" s="31" t="s">
        <v>63</v>
      </c>
      <c r="U24" s="31" t="s">
        <v>63</v>
      </c>
      <c r="V24" s="31" t="s">
        <v>12</v>
      </c>
      <c r="W24" s="31" t="s">
        <v>75</v>
      </c>
      <c r="X24" s="34" t="s">
        <v>90</v>
      </c>
      <c r="Y24" s="36">
        <v>19.325</v>
      </c>
      <c r="Z24" s="37">
        <f t="shared" si="1"/>
        <v>830.98</v>
      </c>
      <c r="AA24" s="37">
        <f t="shared" si="2"/>
        <v>6440.1</v>
      </c>
      <c r="AB24" s="38">
        <v>45970</v>
      </c>
      <c r="AC24" s="34" t="s">
        <v>66</v>
      </c>
    </row>
    <row r="25" s="28" customFormat="1" customHeight="1" spans="1:29">
      <c r="A25" s="29">
        <v>46029</v>
      </c>
      <c r="B25" s="30" t="s">
        <v>57</v>
      </c>
      <c r="C25" s="30" t="s">
        <v>119</v>
      </c>
      <c r="D25" s="31" t="s">
        <v>16</v>
      </c>
      <c r="E25" s="31">
        <v>2816011</v>
      </c>
      <c r="F25" s="32" t="s">
        <v>72</v>
      </c>
      <c r="G25" s="32">
        <v>26</v>
      </c>
      <c r="H25" s="32">
        <v>2</v>
      </c>
      <c r="I25" s="33">
        <f t="shared" si="0"/>
        <v>13</v>
      </c>
      <c r="J25" s="34">
        <v>46120</v>
      </c>
      <c r="K25" s="34">
        <v>46120</v>
      </c>
      <c r="L25" s="34">
        <v>46120</v>
      </c>
      <c r="M25" s="35" t="s">
        <v>60</v>
      </c>
      <c r="N25" s="35"/>
      <c r="O25" s="34">
        <v>46122</v>
      </c>
      <c r="P25" s="34" t="s">
        <v>61</v>
      </c>
      <c r="Q25" s="34" t="s">
        <v>87</v>
      </c>
      <c r="R25" s="31" t="s">
        <v>63</v>
      </c>
      <c r="S25" s="39" t="s">
        <v>116</v>
      </c>
      <c r="T25" s="31" t="s">
        <v>63</v>
      </c>
      <c r="U25" s="31" t="s">
        <v>63</v>
      </c>
      <c r="V25" s="31" t="s">
        <v>12</v>
      </c>
      <c r="W25" s="31" t="s">
        <v>75</v>
      </c>
      <c r="X25" s="34" t="s">
        <v>92</v>
      </c>
      <c r="Y25" s="36">
        <v>19.325</v>
      </c>
      <c r="Z25" s="37">
        <f t="shared" si="1"/>
        <v>502.45</v>
      </c>
      <c r="AA25" s="37">
        <f t="shared" si="2"/>
        <v>3893.99</v>
      </c>
      <c r="AB25" s="38">
        <v>45970</v>
      </c>
      <c r="AC25" s="34" t="s">
        <v>66</v>
      </c>
    </row>
    <row r="26" s="28" customFormat="1" customHeight="1" spans="1:29">
      <c r="A26" s="29">
        <v>46029</v>
      </c>
      <c r="B26" s="30" t="s">
        <v>57</v>
      </c>
      <c r="C26" s="30" t="s">
        <v>120</v>
      </c>
      <c r="D26" s="31" t="s">
        <v>16</v>
      </c>
      <c r="E26" s="31">
        <v>2816011</v>
      </c>
      <c r="F26" s="32" t="s">
        <v>72</v>
      </c>
      <c r="G26" s="32">
        <v>40</v>
      </c>
      <c r="H26" s="32">
        <v>2</v>
      </c>
      <c r="I26" s="33">
        <f t="shared" si="0"/>
        <v>20</v>
      </c>
      <c r="J26" s="34">
        <v>46120</v>
      </c>
      <c r="K26" s="34">
        <v>46120</v>
      </c>
      <c r="L26" s="34">
        <v>46120</v>
      </c>
      <c r="M26" s="35" t="s">
        <v>60</v>
      </c>
      <c r="N26" s="35"/>
      <c r="O26" s="34">
        <v>46122</v>
      </c>
      <c r="P26" s="34" t="s">
        <v>61</v>
      </c>
      <c r="Q26" s="34" t="s">
        <v>87</v>
      </c>
      <c r="R26" s="31" t="s">
        <v>63</v>
      </c>
      <c r="S26" s="39" t="s">
        <v>116</v>
      </c>
      <c r="T26" s="31" t="s">
        <v>63</v>
      </c>
      <c r="U26" s="31" t="s">
        <v>63</v>
      </c>
      <c r="V26" s="31" t="s">
        <v>12</v>
      </c>
      <c r="W26" s="31" t="s">
        <v>75</v>
      </c>
      <c r="X26" s="34" t="s">
        <v>94</v>
      </c>
      <c r="Y26" s="36">
        <v>19.325</v>
      </c>
      <c r="Z26" s="37">
        <f t="shared" si="1"/>
        <v>773</v>
      </c>
      <c r="AA26" s="37">
        <f t="shared" si="2"/>
        <v>5990.75</v>
      </c>
      <c r="AB26" s="38">
        <v>45970</v>
      </c>
      <c r="AC26" s="34" t="s">
        <v>66</v>
      </c>
    </row>
    <row r="27" s="28" customFormat="1" customHeight="1" spans="1:29">
      <c r="A27" s="29">
        <v>46029</v>
      </c>
      <c r="B27" s="30" t="s">
        <v>57</v>
      </c>
      <c r="C27" s="30" t="s">
        <v>121</v>
      </c>
      <c r="D27" s="31" t="s">
        <v>16</v>
      </c>
      <c r="E27" s="31">
        <v>2816011</v>
      </c>
      <c r="F27" s="32" t="s">
        <v>72</v>
      </c>
      <c r="G27" s="32">
        <v>50</v>
      </c>
      <c r="H27" s="32">
        <v>2</v>
      </c>
      <c r="I27" s="33">
        <f t="shared" si="0"/>
        <v>25</v>
      </c>
      <c r="J27" s="34">
        <v>46120</v>
      </c>
      <c r="K27" s="34">
        <v>46120</v>
      </c>
      <c r="L27" s="34">
        <v>46120</v>
      </c>
      <c r="M27" s="35" t="s">
        <v>60</v>
      </c>
      <c r="N27" s="35"/>
      <c r="O27" s="34">
        <v>46122</v>
      </c>
      <c r="P27" s="34" t="s">
        <v>61</v>
      </c>
      <c r="Q27" s="34" t="s">
        <v>87</v>
      </c>
      <c r="R27" s="31" t="s">
        <v>63</v>
      </c>
      <c r="S27" s="39" t="s">
        <v>116</v>
      </c>
      <c r="T27" s="31" t="s">
        <v>63</v>
      </c>
      <c r="U27" s="31" t="s">
        <v>63</v>
      </c>
      <c r="V27" s="31" t="s">
        <v>12</v>
      </c>
      <c r="W27" s="31" t="s">
        <v>75</v>
      </c>
      <c r="X27" s="34" t="s">
        <v>88</v>
      </c>
      <c r="Y27" s="36">
        <v>19.325</v>
      </c>
      <c r="Z27" s="37">
        <f t="shared" si="1"/>
        <v>966.25</v>
      </c>
      <c r="AA27" s="37">
        <f t="shared" si="2"/>
        <v>7488.44</v>
      </c>
      <c r="AB27" s="38">
        <v>45970</v>
      </c>
      <c r="AC27" s="34" t="s">
        <v>66</v>
      </c>
    </row>
    <row r="28" s="28" customFormat="1" customHeight="1" spans="1:29">
      <c r="A28" s="29">
        <v>46029</v>
      </c>
      <c r="B28" s="30" t="s">
        <v>57</v>
      </c>
      <c r="C28" s="30" t="s">
        <v>122</v>
      </c>
      <c r="D28" s="31" t="s">
        <v>16</v>
      </c>
      <c r="E28" s="31">
        <v>2816011</v>
      </c>
      <c r="F28" s="32" t="s">
        <v>123</v>
      </c>
      <c r="G28" s="32">
        <v>10</v>
      </c>
      <c r="H28" s="32">
        <v>2</v>
      </c>
      <c r="I28" s="33">
        <f t="shared" si="0"/>
        <v>5</v>
      </c>
      <c r="J28" s="34">
        <v>46127</v>
      </c>
      <c r="K28" s="34">
        <v>46127</v>
      </c>
      <c r="L28" s="34">
        <v>46127</v>
      </c>
      <c r="M28" s="35" t="s">
        <v>60</v>
      </c>
      <c r="N28" s="35"/>
      <c r="O28" s="34" t="s">
        <v>124</v>
      </c>
      <c r="P28" s="34" t="s">
        <v>74</v>
      </c>
      <c r="Q28" s="34" t="s">
        <v>87</v>
      </c>
      <c r="R28" s="31" t="s">
        <v>63</v>
      </c>
      <c r="S28" s="31" t="s">
        <v>116</v>
      </c>
      <c r="T28" s="31" t="s">
        <v>63</v>
      </c>
      <c r="U28" s="31" t="s">
        <v>63</v>
      </c>
      <c r="V28" s="31" t="s">
        <v>17</v>
      </c>
      <c r="W28" s="31" t="s">
        <v>125</v>
      </c>
      <c r="X28" s="34" t="s">
        <v>65</v>
      </c>
      <c r="Y28" s="36">
        <v>19.325</v>
      </c>
      <c r="Z28" s="37">
        <f t="shared" si="1"/>
        <v>193.25</v>
      </c>
      <c r="AA28" s="37">
        <f t="shared" si="2"/>
        <v>1497.69</v>
      </c>
      <c r="AB28" s="38">
        <v>45979</v>
      </c>
      <c r="AC28" s="34" t="s">
        <v>66</v>
      </c>
    </row>
    <row r="29" s="28" customFormat="1" customHeight="1" spans="1:29">
      <c r="A29" s="29">
        <v>46029</v>
      </c>
      <c r="B29" s="30" t="s">
        <v>57</v>
      </c>
      <c r="C29" s="30" t="s">
        <v>126</v>
      </c>
      <c r="D29" s="31" t="s">
        <v>16</v>
      </c>
      <c r="E29" s="31">
        <v>2816011</v>
      </c>
      <c r="F29" s="32" t="s">
        <v>123</v>
      </c>
      <c r="G29" s="32">
        <v>3</v>
      </c>
      <c r="H29" s="32">
        <v>2</v>
      </c>
      <c r="I29" s="33">
        <f t="shared" si="0"/>
        <v>1.5</v>
      </c>
      <c r="J29" s="34">
        <v>46127</v>
      </c>
      <c r="K29" s="34">
        <v>46127</v>
      </c>
      <c r="L29" s="34">
        <v>46127</v>
      </c>
      <c r="M29" s="35" t="s">
        <v>60</v>
      </c>
      <c r="N29" s="35"/>
      <c r="O29" s="34" t="s">
        <v>124</v>
      </c>
      <c r="P29" s="34" t="s">
        <v>74</v>
      </c>
      <c r="Q29" s="34" t="s">
        <v>87</v>
      </c>
      <c r="R29" s="31" t="s">
        <v>63</v>
      </c>
      <c r="S29" s="31" t="s">
        <v>116</v>
      </c>
      <c r="T29" s="31" t="s">
        <v>63</v>
      </c>
      <c r="U29" s="31" t="s">
        <v>63</v>
      </c>
      <c r="V29" s="31" t="s">
        <v>17</v>
      </c>
      <c r="W29" s="31" t="s">
        <v>125</v>
      </c>
      <c r="X29" s="34" t="s">
        <v>65</v>
      </c>
      <c r="Y29" s="36">
        <v>19.325</v>
      </c>
      <c r="Z29" s="37">
        <f t="shared" si="1"/>
        <v>57.98</v>
      </c>
      <c r="AA29" s="37">
        <f t="shared" si="2"/>
        <v>449.35</v>
      </c>
      <c r="AB29" s="38">
        <v>45979</v>
      </c>
      <c r="AC29" s="34" t="s">
        <v>66</v>
      </c>
    </row>
    <row r="30" s="28" customFormat="1" customHeight="1" spans="1:29">
      <c r="A30" s="29">
        <v>46029</v>
      </c>
      <c r="B30" s="30" t="s">
        <v>57</v>
      </c>
      <c r="C30" s="30" t="s">
        <v>127</v>
      </c>
      <c r="D30" s="31" t="s">
        <v>16</v>
      </c>
      <c r="E30" s="31">
        <v>2816011</v>
      </c>
      <c r="F30" s="32" t="s">
        <v>123</v>
      </c>
      <c r="G30" s="32">
        <v>51</v>
      </c>
      <c r="H30" s="32">
        <v>2</v>
      </c>
      <c r="I30" s="33">
        <f t="shared" si="0"/>
        <v>25.5</v>
      </c>
      <c r="J30" s="34">
        <v>46127</v>
      </c>
      <c r="K30" s="34">
        <v>46127</v>
      </c>
      <c r="L30" s="34">
        <v>46127</v>
      </c>
      <c r="M30" s="35" t="s">
        <v>60</v>
      </c>
      <c r="N30" s="35"/>
      <c r="O30" s="34" t="s">
        <v>124</v>
      </c>
      <c r="P30" s="34" t="s">
        <v>74</v>
      </c>
      <c r="Q30" s="34" t="s">
        <v>87</v>
      </c>
      <c r="R30" s="31" t="s">
        <v>63</v>
      </c>
      <c r="S30" s="31" t="s">
        <v>116</v>
      </c>
      <c r="T30" s="31" t="s">
        <v>63</v>
      </c>
      <c r="U30" s="31" t="s">
        <v>63</v>
      </c>
      <c r="V30" s="31" t="s">
        <v>17</v>
      </c>
      <c r="W30" s="31" t="s">
        <v>125</v>
      </c>
      <c r="X30" s="34" t="s">
        <v>65</v>
      </c>
      <c r="Y30" s="36">
        <v>19.325</v>
      </c>
      <c r="Z30" s="37">
        <f t="shared" si="1"/>
        <v>985.58</v>
      </c>
      <c r="AA30" s="37">
        <f t="shared" si="2"/>
        <v>7638.25</v>
      </c>
      <c r="AB30" s="38">
        <v>45979</v>
      </c>
      <c r="AC30" s="34" t="s">
        <v>66</v>
      </c>
    </row>
    <row r="31" s="28" customFormat="1" customHeight="1" spans="1:29">
      <c r="A31" s="29">
        <v>46029</v>
      </c>
      <c r="B31" s="30" t="s">
        <v>57</v>
      </c>
      <c r="C31" s="30" t="s">
        <v>128</v>
      </c>
      <c r="D31" s="31" t="s">
        <v>16</v>
      </c>
      <c r="E31" s="31">
        <v>2816011</v>
      </c>
      <c r="F31" s="32" t="s">
        <v>123</v>
      </c>
      <c r="G31" s="32">
        <v>15</v>
      </c>
      <c r="H31" s="32">
        <v>2</v>
      </c>
      <c r="I31" s="33">
        <f t="shared" si="0"/>
        <v>7.5</v>
      </c>
      <c r="J31" s="34">
        <v>46127</v>
      </c>
      <c r="K31" s="34">
        <v>46127</v>
      </c>
      <c r="L31" s="34">
        <v>46127</v>
      </c>
      <c r="M31" s="35" t="s">
        <v>60</v>
      </c>
      <c r="N31" s="35"/>
      <c r="O31" s="34" t="s">
        <v>124</v>
      </c>
      <c r="P31" s="34" t="s">
        <v>63</v>
      </c>
      <c r="Q31" s="34" t="s">
        <v>63</v>
      </c>
      <c r="R31" s="31" t="s">
        <v>63</v>
      </c>
      <c r="S31" s="31" t="s">
        <v>63</v>
      </c>
      <c r="T31" s="31" t="s">
        <v>63</v>
      </c>
      <c r="U31" s="31" t="s">
        <v>63</v>
      </c>
      <c r="V31" s="31" t="s">
        <v>17</v>
      </c>
      <c r="W31" s="31" t="s">
        <v>77</v>
      </c>
      <c r="X31" s="34" t="s">
        <v>129</v>
      </c>
      <c r="Y31" s="36">
        <v>0</v>
      </c>
      <c r="Z31" s="37">
        <f t="shared" si="1"/>
        <v>0</v>
      </c>
      <c r="AA31" s="37">
        <f t="shared" si="2"/>
        <v>0</v>
      </c>
      <c r="AB31" s="38">
        <v>45979</v>
      </c>
      <c r="AC31" s="34"/>
    </row>
    <row r="32" s="28" customFormat="1" customHeight="1" spans="1:29">
      <c r="A32" s="29">
        <v>46029</v>
      </c>
      <c r="B32" s="30" t="s">
        <v>57</v>
      </c>
      <c r="C32" s="30" t="s">
        <v>128</v>
      </c>
      <c r="D32" s="31" t="s">
        <v>16</v>
      </c>
      <c r="E32" s="31">
        <v>2816011</v>
      </c>
      <c r="F32" s="32" t="s">
        <v>123</v>
      </c>
      <c r="G32" s="32">
        <v>15</v>
      </c>
      <c r="H32" s="32">
        <v>2</v>
      </c>
      <c r="I32" s="33">
        <f t="shared" si="0"/>
        <v>7.5</v>
      </c>
      <c r="J32" s="34">
        <v>46127</v>
      </c>
      <c r="K32" s="34">
        <v>46127</v>
      </c>
      <c r="L32" s="34">
        <v>46127</v>
      </c>
      <c r="M32" s="35" t="s">
        <v>60</v>
      </c>
      <c r="N32" s="35"/>
      <c r="O32" s="34" t="s">
        <v>124</v>
      </c>
      <c r="P32" s="34" t="s">
        <v>63</v>
      </c>
      <c r="Q32" s="34" t="s">
        <v>63</v>
      </c>
      <c r="R32" s="31" t="s">
        <v>63</v>
      </c>
      <c r="S32" s="31" t="s">
        <v>63</v>
      </c>
      <c r="T32" s="31" t="s">
        <v>63</v>
      </c>
      <c r="U32" s="31" t="s">
        <v>63</v>
      </c>
      <c r="V32" s="31" t="s">
        <v>17</v>
      </c>
      <c r="W32" s="31" t="s">
        <v>77</v>
      </c>
      <c r="X32" s="34" t="s">
        <v>129</v>
      </c>
      <c r="Y32" s="36">
        <v>0</v>
      </c>
      <c r="Z32" s="37">
        <f t="shared" si="1"/>
        <v>0</v>
      </c>
      <c r="AA32" s="37">
        <f t="shared" si="2"/>
        <v>0</v>
      </c>
      <c r="AB32" s="38">
        <v>45979</v>
      </c>
      <c r="AC32" s="34"/>
    </row>
    <row r="33" s="28" customFormat="1" customHeight="1" spans="1:29">
      <c r="A33" s="29">
        <v>46029</v>
      </c>
      <c r="B33" s="30" t="s">
        <v>57</v>
      </c>
      <c r="C33" s="30" t="s">
        <v>130</v>
      </c>
      <c r="D33" s="31" t="s">
        <v>16</v>
      </c>
      <c r="E33" s="31">
        <v>2816011</v>
      </c>
      <c r="F33" s="32" t="s">
        <v>72</v>
      </c>
      <c r="G33" s="32">
        <v>10</v>
      </c>
      <c r="H33" s="32">
        <v>10</v>
      </c>
      <c r="I33" s="33">
        <f t="shared" si="0"/>
        <v>1</v>
      </c>
      <c r="J33" s="34">
        <v>46120</v>
      </c>
      <c r="K33" s="34">
        <v>46120</v>
      </c>
      <c r="L33" s="34">
        <v>46120</v>
      </c>
      <c r="M33" s="35" t="s">
        <v>60</v>
      </c>
      <c r="N33" s="35"/>
      <c r="O33" s="34">
        <v>46122</v>
      </c>
      <c r="P33" s="31" t="s">
        <v>63</v>
      </c>
      <c r="Q33" s="31" t="s">
        <v>63</v>
      </c>
      <c r="R33" s="31" t="s">
        <v>63</v>
      </c>
      <c r="S33" s="31" t="s">
        <v>63</v>
      </c>
      <c r="T33" s="31" t="s">
        <v>63</v>
      </c>
      <c r="U33" s="31" t="s">
        <v>63</v>
      </c>
      <c r="V33" s="31" t="s">
        <v>12</v>
      </c>
      <c r="W33" s="31" t="s">
        <v>77</v>
      </c>
      <c r="X33" s="34" t="s">
        <v>131</v>
      </c>
      <c r="Y33" s="36">
        <v>0</v>
      </c>
      <c r="Z33" s="37">
        <f t="shared" si="1"/>
        <v>0</v>
      </c>
      <c r="AA33" s="37">
        <f t="shared" si="2"/>
        <v>0</v>
      </c>
      <c r="AB33" s="38">
        <v>45979</v>
      </c>
      <c r="AC33" s="34"/>
    </row>
    <row r="34" s="28" customFormat="1" customHeight="1" spans="1:29">
      <c r="A34" s="29">
        <v>46029</v>
      </c>
      <c r="B34" s="30" t="s">
        <v>57</v>
      </c>
      <c r="C34" s="30" t="s">
        <v>76</v>
      </c>
      <c r="D34" s="31" t="s">
        <v>16</v>
      </c>
      <c r="E34" s="31">
        <v>2816011</v>
      </c>
      <c r="F34" s="32" t="s">
        <v>72</v>
      </c>
      <c r="G34" s="32">
        <v>10</v>
      </c>
      <c r="H34" s="32">
        <v>5</v>
      </c>
      <c r="I34" s="33">
        <f t="shared" si="0"/>
        <v>2</v>
      </c>
      <c r="J34" s="34">
        <v>46120</v>
      </c>
      <c r="K34" s="34">
        <v>46120</v>
      </c>
      <c r="L34" s="34">
        <v>46120</v>
      </c>
      <c r="M34" s="35" t="s">
        <v>60</v>
      </c>
      <c r="N34" s="35"/>
      <c r="O34" s="34">
        <v>46122</v>
      </c>
      <c r="P34" s="31" t="s">
        <v>63</v>
      </c>
      <c r="Q34" s="31" t="s">
        <v>63</v>
      </c>
      <c r="R34" s="31" t="s">
        <v>63</v>
      </c>
      <c r="S34" s="31" t="s">
        <v>63</v>
      </c>
      <c r="T34" s="31" t="s">
        <v>63</v>
      </c>
      <c r="U34" s="31" t="s">
        <v>63</v>
      </c>
      <c r="V34" s="31" t="s">
        <v>12</v>
      </c>
      <c r="W34" s="31" t="s">
        <v>77</v>
      </c>
      <c r="X34" s="34" t="s">
        <v>132</v>
      </c>
      <c r="Y34" s="36">
        <v>0</v>
      </c>
      <c r="Z34" s="37">
        <f t="shared" si="1"/>
        <v>0</v>
      </c>
      <c r="AA34" s="37">
        <f t="shared" si="2"/>
        <v>0</v>
      </c>
      <c r="AB34" s="38">
        <v>45979</v>
      </c>
      <c r="AC34" s="34"/>
    </row>
    <row r="35" s="28" customFormat="1" customHeight="1" spans="1:29">
      <c r="A35" s="29">
        <v>46029</v>
      </c>
      <c r="B35" s="30" t="s">
        <v>57</v>
      </c>
      <c r="C35" s="30" t="s">
        <v>108</v>
      </c>
      <c r="D35" s="31" t="s">
        <v>16</v>
      </c>
      <c r="E35" s="31">
        <v>2816011</v>
      </c>
      <c r="F35" s="32" t="s">
        <v>123</v>
      </c>
      <c r="G35" s="32">
        <v>716</v>
      </c>
      <c r="H35" s="32">
        <v>2</v>
      </c>
      <c r="I35" s="33">
        <f t="shared" si="0"/>
        <v>358</v>
      </c>
      <c r="J35" s="34">
        <v>46129</v>
      </c>
      <c r="K35" s="34">
        <v>46129</v>
      </c>
      <c r="L35" s="34">
        <v>46129</v>
      </c>
      <c r="M35" s="35" t="s">
        <v>60</v>
      </c>
      <c r="N35" s="35" t="s">
        <v>133</v>
      </c>
      <c r="O35" s="34" t="s">
        <v>134</v>
      </c>
      <c r="P35" s="34" t="s">
        <v>61</v>
      </c>
      <c r="Q35" s="34" t="s">
        <v>110</v>
      </c>
      <c r="R35" s="31" t="s">
        <v>63</v>
      </c>
      <c r="S35" s="31" t="s">
        <v>116</v>
      </c>
      <c r="T35" s="31" t="s">
        <v>135</v>
      </c>
      <c r="U35" s="31" t="s">
        <v>136</v>
      </c>
      <c r="V35" s="31" t="s">
        <v>17</v>
      </c>
      <c r="W35" s="31" t="s">
        <v>125</v>
      </c>
      <c r="X35" s="34" t="s">
        <v>65</v>
      </c>
      <c r="Y35" s="36">
        <v>19.325</v>
      </c>
      <c r="Z35" s="37">
        <f t="shared" si="1"/>
        <v>13836.7</v>
      </c>
      <c r="AA35" s="37">
        <f t="shared" si="2"/>
        <v>107234.43</v>
      </c>
      <c r="AB35" s="38">
        <v>45979</v>
      </c>
      <c r="AC35" s="34" t="s">
        <v>66</v>
      </c>
    </row>
    <row r="36" s="28" customFormat="1" customHeight="1" spans="1:29">
      <c r="A36" s="29">
        <v>46029</v>
      </c>
      <c r="B36" s="30" t="s">
        <v>57</v>
      </c>
      <c r="C36" s="30" t="s">
        <v>137</v>
      </c>
      <c r="D36" s="31" t="s">
        <v>16</v>
      </c>
      <c r="E36" s="31">
        <v>2816011</v>
      </c>
      <c r="F36" s="32" t="s">
        <v>123</v>
      </c>
      <c r="G36" s="32">
        <v>66</v>
      </c>
      <c r="H36" s="32">
        <v>2</v>
      </c>
      <c r="I36" s="33">
        <f t="shared" si="0"/>
        <v>33</v>
      </c>
      <c r="J36" s="34">
        <v>46129</v>
      </c>
      <c r="K36" s="34">
        <v>46129</v>
      </c>
      <c r="L36" s="34">
        <v>46129</v>
      </c>
      <c r="M36" s="35" t="s">
        <v>60</v>
      </c>
      <c r="N36" s="35" t="s">
        <v>133</v>
      </c>
      <c r="O36" s="34" t="s">
        <v>134</v>
      </c>
      <c r="P36" s="34" t="s">
        <v>61</v>
      </c>
      <c r="Q36" s="34" t="s">
        <v>110</v>
      </c>
      <c r="R36" s="31" t="s">
        <v>63</v>
      </c>
      <c r="S36" s="31" t="s">
        <v>116</v>
      </c>
      <c r="T36" s="31" t="s">
        <v>138</v>
      </c>
      <c r="U36" s="31" t="s">
        <v>139</v>
      </c>
      <c r="V36" s="31" t="s">
        <v>17</v>
      </c>
      <c r="W36" s="31" t="s">
        <v>125</v>
      </c>
      <c r="X36" s="34" t="s">
        <v>140</v>
      </c>
      <c r="Y36" s="36">
        <v>19.325</v>
      </c>
      <c r="Z36" s="37">
        <f t="shared" si="1"/>
        <v>1275.45</v>
      </c>
      <c r="AA36" s="37">
        <f t="shared" si="2"/>
        <v>9884.74</v>
      </c>
      <c r="AB36" s="38">
        <v>45979</v>
      </c>
      <c r="AC36" s="34" t="s">
        <v>66</v>
      </c>
    </row>
    <row r="37" s="28" customFormat="1" customHeight="1" spans="1:29">
      <c r="A37" s="29">
        <v>46029</v>
      </c>
      <c r="B37" s="30" t="s">
        <v>57</v>
      </c>
      <c r="C37" s="30" t="s">
        <v>141</v>
      </c>
      <c r="D37" s="31" t="s">
        <v>16</v>
      </c>
      <c r="E37" s="31">
        <v>2816011</v>
      </c>
      <c r="F37" s="32" t="s">
        <v>123</v>
      </c>
      <c r="G37" s="32">
        <v>28</v>
      </c>
      <c r="H37" s="32">
        <v>2</v>
      </c>
      <c r="I37" s="33">
        <f t="shared" si="0"/>
        <v>14</v>
      </c>
      <c r="J37" s="34">
        <v>46129</v>
      </c>
      <c r="K37" s="34">
        <v>46129</v>
      </c>
      <c r="L37" s="34">
        <v>46129</v>
      </c>
      <c r="M37" s="35" t="s">
        <v>60</v>
      </c>
      <c r="N37" s="35" t="s">
        <v>133</v>
      </c>
      <c r="O37" s="34" t="s">
        <v>134</v>
      </c>
      <c r="P37" s="34" t="s">
        <v>61</v>
      </c>
      <c r="Q37" s="34" t="s">
        <v>110</v>
      </c>
      <c r="R37" s="31" t="s">
        <v>63</v>
      </c>
      <c r="S37" s="31" t="s">
        <v>116</v>
      </c>
      <c r="T37" s="31" t="s">
        <v>138</v>
      </c>
      <c r="U37" s="31" t="s">
        <v>142</v>
      </c>
      <c r="V37" s="31" t="s">
        <v>17</v>
      </c>
      <c r="W37" s="31" t="s">
        <v>125</v>
      </c>
      <c r="X37" s="34" t="s">
        <v>143</v>
      </c>
      <c r="Y37" s="36">
        <v>19.325</v>
      </c>
      <c r="Z37" s="37">
        <f t="shared" si="1"/>
        <v>541.1</v>
      </c>
      <c r="AA37" s="37">
        <f t="shared" si="2"/>
        <v>4193.53</v>
      </c>
      <c r="AB37" s="38">
        <v>45979</v>
      </c>
      <c r="AC37" s="34" t="s">
        <v>66</v>
      </c>
    </row>
    <row r="38" s="28" customFormat="1" customHeight="1" spans="1:29">
      <c r="A38" s="29">
        <v>46029</v>
      </c>
      <c r="B38" s="30" t="s">
        <v>57</v>
      </c>
      <c r="C38" s="30" t="s">
        <v>144</v>
      </c>
      <c r="D38" s="31" t="s">
        <v>16</v>
      </c>
      <c r="E38" s="31">
        <v>2816011</v>
      </c>
      <c r="F38" s="32" t="s">
        <v>123</v>
      </c>
      <c r="G38" s="32">
        <v>40</v>
      </c>
      <c r="H38" s="32">
        <v>2</v>
      </c>
      <c r="I38" s="33">
        <f t="shared" ref="I38:I44" si="3">G38/H38</f>
        <v>20</v>
      </c>
      <c r="J38" s="34">
        <v>46129</v>
      </c>
      <c r="K38" s="34">
        <v>46129</v>
      </c>
      <c r="L38" s="34">
        <v>46129</v>
      </c>
      <c r="M38" s="35" t="s">
        <v>60</v>
      </c>
      <c r="N38" s="35" t="s">
        <v>133</v>
      </c>
      <c r="O38" s="34" t="s">
        <v>134</v>
      </c>
      <c r="P38" s="34" t="s">
        <v>61</v>
      </c>
      <c r="Q38" s="34" t="s">
        <v>110</v>
      </c>
      <c r="R38" s="31" t="s">
        <v>63</v>
      </c>
      <c r="S38" s="31" t="s">
        <v>116</v>
      </c>
      <c r="T38" s="31" t="s">
        <v>138</v>
      </c>
      <c r="U38" s="31" t="s">
        <v>145</v>
      </c>
      <c r="V38" s="31" t="s">
        <v>17</v>
      </c>
      <c r="W38" s="31" t="s">
        <v>125</v>
      </c>
      <c r="X38" s="34" t="s">
        <v>146</v>
      </c>
      <c r="Y38" s="36">
        <v>19.325</v>
      </c>
      <c r="Z38" s="37">
        <f t="shared" ref="Z38:Z48" si="4">G38*Y38</f>
        <v>773</v>
      </c>
      <c r="AA38" s="37">
        <f t="shared" ref="AA38:AA48" si="5">Z38*7.75</f>
        <v>5990.75</v>
      </c>
      <c r="AB38" s="38">
        <v>45979</v>
      </c>
      <c r="AC38" s="34" t="s">
        <v>66</v>
      </c>
    </row>
    <row r="39" s="28" customFormat="1" customHeight="1" spans="1:29">
      <c r="A39" s="29">
        <v>46029</v>
      </c>
      <c r="B39" s="30" t="s">
        <v>57</v>
      </c>
      <c r="C39" s="30" t="s">
        <v>147</v>
      </c>
      <c r="D39" s="31" t="s">
        <v>16</v>
      </c>
      <c r="E39" s="31">
        <v>2816011</v>
      </c>
      <c r="F39" s="32" t="s">
        <v>123</v>
      </c>
      <c r="G39" s="32">
        <v>26</v>
      </c>
      <c r="H39" s="32">
        <v>2</v>
      </c>
      <c r="I39" s="33">
        <f t="shared" si="3"/>
        <v>13</v>
      </c>
      <c r="J39" s="34">
        <v>46129</v>
      </c>
      <c r="K39" s="34">
        <v>46129</v>
      </c>
      <c r="L39" s="34">
        <v>46129</v>
      </c>
      <c r="M39" s="35" t="s">
        <v>60</v>
      </c>
      <c r="N39" s="35" t="s">
        <v>133</v>
      </c>
      <c r="O39" s="34" t="s">
        <v>134</v>
      </c>
      <c r="P39" s="34" t="s">
        <v>61</v>
      </c>
      <c r="Q39" s="34" t="s">
        <v>110</v>
      </c>
      <c r="R39" s="31" t="s">
        <v>63</v>
      </c>
      <c r="S39" s="31" t="s">
        <v>116</v>
      </c>
      <c r="T39" s="31" t="s">
        <v>138</v>
      </c>
      <c r="U39" s="31" t="s">
        <v>148</v>
      </c>
      <c r="V39" s="31" t="s">
        <v>17</v>
      </c>
      <c r="W39" s="31" t="s">
        <v>125</v>
      </c>
      <c r="X39" s="34" t="s">
        <v>149</v>
      </c>
      <c r="Y39" s="36">
        <v>19.325</v>
      </c>
      <c r="Z39" s="37">
        <f t="shared" si="4"/>
        <v>502.45</v>
      </c>
      <c r="AA39" s="37">
        <f t="shared" si="5"/>
        <v>3893.99</v>
      </c>
      <c r="AB39" s="38">
        <v>45979</v>
      </c>
      <c r="AC39" s="34" t="s">
        <v>66</v>
      </c>
    </row>
    <row r="40" s="28" customFormat="1" customHeight="1" spans="1:29">
      <c r="A40" s="29">
        <v>46029</v>
      </c>
      <c r="B40" s="30" t="s">
        <v>57</v>
      </c>
      <c r="C40" s="30" t="s">
        <v>150</v>
      </c>
      <c r="D40" s="31" t="s">
        <v>16</v>
      </c>
      <c r="E40" s="31">
        <v>2816011</v>
      </c>
      <c r="F40" s="32" t="s">
        <v>123</v>
      </c>
      <c r="G40" s="32">
        <v>30</v>
      </c>
      <c r="H40" s="32">
        <v>2</v>
      </c>
      <c r="I40" s="33">
        <f t="shared" si="3"/>
        <v>15</v>
      </c>
      <c r="J40" s="34">
        <v>46129</v>
      </c>
      <c r="K40" s="34">
        <v>46129</v>
      </c>
      <c r="L40" s="34">
        <v>46129</v>
      </c>
      <c r="M40" s="35" t="s">
        <v>60</v>
      </c>
      <c r="N40" s="35" t="s">
        <v>133</v>
      </c>
      <c r="O40" s="34" t="s">
        <v>134</v>
      </c>
      <c r="P40" s="34" t="s">
        <v>61</v>
      </c>
      <c r="Q40" s="34" t="s">
        <v>110</v>
      </c>
      <c r="R40" s="31" t="s">
        <v>63</v>
      </c>
      <c r="S40" s="31" t="s">
        <v>116</v>
      </c>
      <c r="T40" s="31" t="s">
        <v>138</v>
      </c>
      <c r="U40" s="31" t="s">
        <v>151</v>
      </c>
      <c r="V40" s="31" t="s">
        <v>17</v>
      </c>
      <c r="W40" s="31" t="s">
        <v>125</v>
      </c>
      <c r="X40" s="34" t="s">
        <v>65</v>
      </c>
      <c r="Y40" s="36">
        <v>19.325</v>
      </c>
      <c r="Z40" s="37">
        <f t="shared" si="4"/>
        <v>579.75</v>
      </c>
      <c r="AA40" s="37">
        <f t="shared" si="5"/>
        <v>4493.06</v>
      </c>
      <c r="AB40" s="38">
        <v>45979</v>
      </c>
      <c r="AC40" s="34" t="s">
        <v>66</v>
      </c>
    </row>
    <row r="41" s="28" customFormat="1" customHeight="1" spans="1:29">
      <c r="A41" s="29">
        <v>46029</v>
      </c>
      <c r="B41" s="30" t="s">
        <v>57</v>
      </c>
      <c r="C41" s="30" t="s">
        <v>152</v>
      </c>
      <c r="D41" s="31" t="s">
        <v>16</v>
      </c>
      <c r="E41" s="31">
        <v>2816011</v>
      </c>
      <c r="F41" s="32" t="s">
        <v>123</v>
      </c>
      <c r="G41" s="32">
        <v>50</v>
      </c>
      <c r="H41" s="32">
        <v>2</v>
      </c>
      <c r="I41" s="33">
        <f t="shared" si="3"/>
        <v>25</v>
      </c>
      <c r="J41" s="34">
        <v>46129</v>
      </c>
      <c r="K41" s="34">
        <v>46129</v>
      </c>
      <c r="L41" s="34">
        <v>46129</v>
      </c>
      <c r="M41" s="35" t="s">
        <v>60</v>
      </c>
      <c r="N41" s="35" t="s">
        <v>133</v>
      </c>
      <c r="O41" s="34" t="s">
        <v>134</v>
      </c>
      <c r="P41" s="34" t="s">
        <v>61</v>
      </c>
      <c r="Q41" s="34" t="s">
        <v>110</v>
      </c>
      <c r="R41" s="31" t="s">
        <v>63</v>
      </c>
      <c r="S41" s="31" t="s">
        <v>116</v>
      </c>
      <c r="T41" s="31" t="s">
        <v>138</v>
      </c>
      <c r="U41" s="31" t="s">
        <v>153</v>
      </c>
      <c r="V41" s="31" t="s">
        <v>17</v>
      </c>
      <c r="W41" s="31" t="s">
        <v>125</v>
      </c>
      <c r="X41" s="34" t="s">
        <v>65</v>
      </c>
      <c r="Y41" s="36">
        <v>19.325</v>
      </c>
      <c r="Z41" s="37">
        <f t="shared" si="4"/>
        <v>966.25</v>
      </c>
      <c r="AA41" s="37">
        <f t="shared" si="5"/>
        <v>7488.44</v>
      </c>
      <c r="AB41" s="38">
        <v>45979</v>
      </c>
      <c r="AC41" s="34" t="s">
        <v>66</v>
      </c>
    </row>
    <row r="42" s="28" customFormat="1" customHeight="1" spans="1:29">
      <c r="A42" s="29">
        <v>46029</v>
      </c>
      <c r="B42" s="30" t="s">
        <v>57</v>
      </c>
      <c r="C42" s="30" t="s">
        <v>95</v>
      </c>
      <c r="D42" s="31" t="s">
        <v>16</v>
      </c>
      <c r="E42" s="31">
        <v>2816011</v>
      </c>
      <c r="F42" s="32" t="s">
        <v>154</v>
      </c>
      <c r="G42" s="32">
        <v>992</v>
      </c>
      <c r="H42" s="32">
        <v>2</v>
      </c>
      <c r="I42" s="33">
        <f t="shared" si="3"/>
        <v>496</v>
      </c>
      <c r="J42" s="34">
        <v>46141</v>
      </c>
      <c r="K42" s="34">
        <v>46141</v>
      </c>
      <c r="L42" s="34">
        <v>46141</v>
      </c>
      <c r="M42" s="35" t="s">
        <v>60</v>
      </c>
      <c r="N42" s="35"/>
      <c r="O42" s="34">
        <v>46148</v>
      </c>
      <c r="P42" s="34" t="s">
        <v>61</v>
      </c>
      <c r="Q42" s="34" t="s">
        <v>69</v>
      </c>
      <c r="R42" s="31" t="s">
        <v>63</v>
      </c>
      <c r="S42" s="31" t="s">
        <v>116</v>
      </c>
      <c r="T42" s="31" t="s">
        <v>135</v>
      </c>
      <c r="U42" s="31" t="s">
        <v>155</v>
      </c>
      <c r="V42" s="31" t="s">
        <v>18</v>
      </c>
      <c r="W42" s="31" t="s">
        <v>156</v>
      </c>
      <c r="X42" s="34" t="s">
        <v>65</v>
      </c>
      <c r="Y42" s="36">
        <v>19.325</v>
      </c>
      <c r="Z42" s="37">
        <f t="shared" si="4"/>
        <v>19170.4</v>
      </c>
      <c r="AA42" s="37">
        <f t="shared" si="5"/>
        <v>148570.6</v>
      </c>
      <c r="AB42" s="38">
        <v>45980</v>
      </c>
      <c r="AC42" s="34" t="s">
        <v>66</v>
      </c>
    </row>
    <row r="43" s="28" customFormat="1" customHeight="1" spans="1:29">
      <c r="A43" s="29">
        <v>46029</v>
      </c>
      <c r="B43" s="30" t="s">
        <v>57</v>
      </c>
      <c r="C43" s="30" t="s">
        <v>101</v>
      </c>
      <c r="D43" s="31" t="s">
        <v>16</v>
      </c>
      <c r="E43" s="31">
        <v>2816011</v>
      </c>
      <c r="F43" s="32" t="s">
        <v>154</v>
      </c>
      <c r="G43" s="32">
        <v>2800</v>
      </c>
      <c r="H43" s="32">
        <v>2</v>
      </c>
      <c r="I43" s="33">
        <f t="shared" si="3"/>
        <v>1400</v>
      </c>
      <c r="J43" s="34">
        <v>46141</v>
      </c>
      <c r="K43" s="34">
        <v>46141</v>
      </c>
      <c r="L43" s="34">
        <v>46141</v>
      </c>
      <c r="M43" s="35" t="s">
        <v>60</v>
      </c>
      <c r="N43" s="35"/>
      <c r="O43" s="34">
        <v>46148</v>
      </c>
      <c r="P43" s="34" t="s">
        <v>61</v>
      </c>
      <c r="Q43" s="34" t="s">
        <v>102</v>
      </c>
      <c r="R43" s="31" t="s">
        <v>63</v>
      </c>
      <c r="S43" s="31" t="s">
        <v>116</v>
      </c>
      <c r="T43" s="31" t="s">
        <v>138</v>
      </c>
      <c r="U43" s="31" t="s">
        <v>157</v>
      </c>
      <c r="V43" s="31" t="s">
        <v>18</v>
      </c>
      <c r="W43" s="31" t="s">
        <v>156</v>
      </c>
      <c r="X43" s="34" t="s">
        <v>65</v>
      </c>
      <c r="Y43" s="36">
        <v>19.325</v>
      </c>
      <c r="Z43" s="37">
        <f t="shared" si="4"/>
        <v>54110</v>
      </c>
      <c r="AA43" s="37">
        <f t="shared" si="5"/>
        <v>419352.5</v>
      </c>
      <c r="AB43" s="38">
        <v>45980</v>
      </c>
      <c r="AC43" s="34" t="s">
        <v>66</v>
      </c>
    </row>
    <row r="44" s="28" customFormat="1" customHeight="1" spans="1:29">
      <c r="A44" s="29">
        <v>46029</v>
      </c>
      <c r="B44" s="30" t="s">
        <v>57</v>
      </c>
      <c r="C44" s="30" t="s">
        <v>103</v>
      </c>
      <c r="D44" s="31" t="s">
        <v>16</v>
      </c>
      <c r="E44" s="31">
        <v>2816011</v>
      </c>
      <c r="F44" s="32" t="s">
        <v>154</v>
      </c>
      <c r="G44" s="32">
        <v>3200</v>
      </c>
      <c r="H44" s="32">
        <v>2</v>
      </c>
      <c r="I44" s="33">
        <f t="shared" si="3"/>
        <v>1600</v>
      </c>
      <c r="J44" s="34">
        <v>46141</v>
      </c>
      <c r="K44" s="34">
        <v>46141</v>
      </c>
      <c r="L44" s="34">
        <v>46141</v>
      </c>
      <c r="M44" s="35" t="s">
        <v>60</v>
      </c>
      <c r="N44" s="35"/>
      <c r="O44" s="34">
        <v>46148</v>
      </c>
      <c r="P44" s="34" t="s">
        <v>61</v>
      </c>
      <c r="Q44" s="34" t="s">
        <v>102</v>
      </c>
      <c r="R44" s="31" t="s">
        <v>63</v>
      </c>
      <c r="S44" s="31" t="s">
        <v>116</v>
      </c>
      <c r="T44" s="31" t="s">
        <v>138</v>
      </c>
      <c r="U44" s="31" t="s">
        <v>157</v>
      </c>
      <c r="V44" s="31" t="s">
        <v>18</v>
      </c>
      <c r="W44" s="31" t="s">
        <v>156</v>
      </c>
      <c r="X44" s="34" t="s">
        <v>65</v>
      </c>
      <c r="Y44" s="36">
        <v>19.325</v>
      </c>
      <c r="Z44" s="37">
        <f t="shared" si="4"/>
        <v>61840</v>
      </c>
      <c r="AA44" s="37">
        <f t="shared" si="5"/>
        <v>479260</v>
      </c>
      <c r="AB44" s="38">
        <v>45980</v>
      </c>
      <c r="AC44" s="34" t="s">
        <v>66</v>
      </c>
    </row>
    <row r="45" s="28" customFormat="1" customHeight="1" spans="1:29">
      <c r="A45" s="29">
        <v>46029</v>
      </c>
      <c r="B45" s="30" t="s">
        <v>57</v>
      </c>
      <c r="C45" s="30" t="s">
        <v>158</v>
      </c>
      <c r="D45" s="31" t="s">
        <v>16</v>
      </c>
      <c r="E45" s="31">
        <v>2816011</v>
      </c>
      <c r="F45" s="32" t="s">
        <v>154</v>
      </c>
      <c r="G45" s="32">
        <v>8</v>
      </c>
      <c r="H45" s="32">
        <v>2</v>
      </c>
      <c r="I45" s="33">
        <f t="shared" ref="I45:I55" si="6">G45/H45</f>
        <v>4</v>
      </c>
      <c r="J45" s="34">
        <v>46141</v>
      </c>
      <c r="K45" s="34">
        <v>46141</v>
      </c>
      <c r="L45" s="34">
        <v>46141</v>
      </c>
      <c r="M45" s="35" t="s">
        <v>60</v>
      </c>
      <c r="N45" s="35"/>
      <c r="O45" s="34">
        <v>46148</v>
      </c>
      <c r="P45" s="34" t="s">
        <v>61</v>
      </c>
      <c r="Q45" s="34" t="s">
        <v>110</v>
      </c>
      <c r="R45" s="31" t="s">
        <v>63</v>
      </c>
      <c r="S45" s="31" t="s">
        <v>116</v>
      </c>
      <c r="T45" s="31" t="s">
        <v>138</v>
      </c>
      <c r="U45" s="31" t="s">
        <v>155</v>
      </c>
      <c r="V45" s="31" t="s">
        <v>18</v>
      </c>
      <c r="W45" s="31" t="s">
        <v>156</v>
      </c>
      <c r="X45" s="34" t="s">
        <v>65</v>
      </c>
      <c r="Y45" s="36">
        <v>19.325</v>
      </c>
      <c r="Z45" s="37">
        <f t="shared" si="4"/>
        <v>154.6</v>
      </c>
      <c r="AA45" s="37">
        <f t="shared" si="5"/>
        <v>1198.15</v>
      </c>
      <c r="AB45" s="38">
        <v>45980</v>
      </c>
      <c r="AC45" s="34" t="s">
        <v>66</v>
      </c>
    </row>
    <row r="46" s="28" customFormat="1" customHeight="1" spans="1:29">
      <c r="A46" s="29">
        <v>46029</v>
      </c>
      <c r="B46" s="30" t="s">
        <v>57</v>
      </c>
      <c r="C46" s="30" t="s">
        <v>98</v>
      </c>
      <c r="D46" s="31" t="s">
        <v>16</v>
      </c>
      <c r="E46" s="31">
        <v>2816011</v>
      </c>
      <c r="F46" s="32" t="s">
        <v>154</v>
      </c>
      <c r="G46" s="32">
        <v>48</v>
      </c>
      <c r="H46" s="32">
        <v>2</v>
      </c>
      <c r="I46" s="33">
        <f t="shared" si="6"/>
        <v>24</v>
      </c>
      <c r="J46" s="34">
        <v>46141</v>
      </c>
      <c r="K46" s="34">
        <v>46141</v>
      </c>
      <c r="L46" s="34">
        <v>46141</v>
      </c>
      <c r="M46" s="35" t="s">
        <v>60</v>
      </c>
      <c r="N46" s="35"/>
      <c r="O46" s="34">
        <v>46148</v>
      </c>
      <c r="P46" s="34" t="s">
        <v>61</v>
      </c>
      <c r="Q46" s="34" t="s">
        <v>69</v>
      </c>
      <c r="R46" s="31" t="s">
        <v>63</v>
      </c>
      <c r="S46" s="31" t="s">
        <v>116</v>
      </c>
      <c r="T46" s="31" t="s">
        <v>135</v>
      </c>
      <c r="U46" s="31" t="s">
        <v>159</v>
      </c>
      <c r="V46" s="31" t="s">
        <v>18</v>
      </c>
      <c r="W46" s="31" t="s">
        <v>156</v>
      </c>
      <c r="X46" s="34" t="s">
        <v>65</v>
      </c>
      <c r="Y46" s="36">
        <v>19.325</v>
      </c>
      <c r="Z46" s="37">
        <f t="shared" si="4"/>
        <v>927.6</v>
      </c>
      <c r="AA46" s="37">
        <f t="shared" si="5"/>
        <v>7188.9</v>
      </c>
      <c r="AB46" s="38">
        <v>45980</v>
      </c>
      <c r="AC46" s="34" t="s">
        <v>66</v>
      </c>
    </row>
    <row r="47" s="28" customFormat="1" customHeight="1" spans="1:29">
      <c r="A47" s="29">
        <v>46029</v>
      </c>
      <c r="B47" s="30" t="s">
        <v>57</v>
      </c>
      <c r="C47" s="30" t="s">
        <v>99</v>
      </c>
      <c r="D47" s="31" t="s">
        <v>16</v>
      </c>
      <c r="E47" s="31">
        <v>2816011</v>
      </c>
      <c r="F47" s="32" t="s">
        <v>154</v>
      </c>
      <c r="G47" s="32">
        <v>4</v>
      </c>
      <c r="H47" s="32">
        <v>2</v>
      </c>
      <c r="I47" s="33">
        <f t="shared" si="6"/>
        <v>2</v>
      </c>
      <c r="J47" s="34">
        <v>46141</v>
      </c>
      <c r="K47" s="34">
        <v>46141</v>
      </c>
      <c r="L47" s="34">
        <v>46141</v>
      </c>
      <c r="M47" s="35" t="s">
        <v>60</v>
      </c>
      <c r="N47" s="35"/>
      <c r="O47" s="34">
        <v>46148</v>
      </c>
      <c r="P47" s="34" t="s">
        <v>61</v>
      </c>
      <c r="Q47" s="34" t="s">
        <v>100</v>
      </c>
      <c r="R47" s="31" t="s">
        <v>63</v>
      </c>
      <c r="S47" s="31" t="s">
        <v>116</v>
      </c>
      <c r="T47" s="31" t="s">
        <v>135</v>
      </c>
      <c r="U47" s="31" t="s">
        <v>160</v>
      </c>
      <c r="V47" s="31" t="s">
        <v>18</v>
      </c>
      <c r="W47" s="31" t="s">
        <v>156</v>
      </c>
      <c r="X47" s="34" t="s">
        <v>65</v>
      </c>
      <c r="Y47" s="36">
        <v>19.325</v>
      </c>
      <c r="Z47" s="37">
        <f t="shared" si="4"/>
        <v>77.3</v>
      </c>
      <c r="AA47" s="37">
        <f t="shared" si="5"/>
        <v>599.08</v>
      </c>
      <c r="AB47" s="38">
        <v>45980</v>
      </c>
      <c r="AC47" s="34" t="s">
        <v>66</v>
      </c>
    </row>
    <row r="48" s="28" customFormat="1" customHeight="1" spans="1:29">
      <c r="A48" s="29">
        <v>46029</v>
      </c>
      <c r="B48" s="30" t="s">
        <v>57</v>
      </c>
      <c r="C48" s="30" t="s">
        <v>105</v>
      </c>
      <c r="D48" s="31" t="s">
        <v>16</v>
      </c>
      <c r="E48" s="31">
        <v>2816011</v>
      </c>
      <c r="F48" s="32" t="s">
        <v>154</v>
      </c>
      <c r="G48" s="32">
        <v>332</v>
      </c>
      <c r="H48" s="32">
        <v>2</v>
      </c>
      <c r="I48" s="33">
        <f t="shared" si="6"/>
        <v>166</v>
      </c>
      <c r="J48" s="34">
        <v>46141</v>
      </c>
      <c r="K48" s="34">
        <v>46141</v>
      </c>
      <c r="L48" s="34">
        <v>46141</v>
      </c>
      <c r="M48" s="35" t="s">
        <v>60</v>
      </c>
      <c r="N48" s="35"/>
      <c r="O48" s="34">
        <v>46148</v>
      </c>
      <c r="P48" s="34" t="s">
        <v>61</v>
      </c>
      <c r="Q48" s="34" t="s">
        <v>102</v>
      </c>
      <c r="R48" s="31" t="s">
        <v>63</v>
      </c>
      <c r="S48" s="31" t="s">
        <v>116</v>
      </c>
      <c r="T48" s="31" t="s">
        <v>138</v>
      </c>
      <c r="U48" s="31" t="s">
        <v>161</v>
      </c>
      <c r="V48" s="31" t="s">
        <v>18</v>
      </c>
      <c r="W48" s="31" t="s">
        <v>156</v>
      </c>
      <c r="X48" s="34" t="s">
        <v>65</v>
      </c>
      <c r="Y48" s="36">
        <v>19.325</v>
      </c>
      <c r="Z48" s="37">
        <f t="shared" si="4"/>
        <v>6415.9</v>
      </c>
      <c r="AA48" s="37">
        <f t="shared" si="5"/>
        <v>49723.23</v>
      </c>
      <c r="AB48" s="38">
        <v>45980</v>
      </c>
      <c r="AC48" s="34" t="s">
        <v>66</v>
      </c>
    </row>
    <row r="49" s="28" customFormat="1" customHeight="1" spans="1:29">
      <c r="A49" s="29">
        <v>46029</v>
      </c>
      <c r="B49" s="30" t="s">
        <v>57</v>
      </c>
      <c r="C49" s="30" t="s">
        <v>162</v>
      </c>
      <c r="D49" s="31" t="s">
        <v>16</v>
      </c>
      <c r="E49" s="31">
        <v>2816011</v>
      </c>
      <c r="F49" s="32" t="s">
        <v>154</v>
      </c>
      <c r="G49" s="32">
        <v>96</v>
      </c>
      <c r="H49" s="32">
        <v>2</v>
      </c>
      <c r="I49" s="33">
        <f t="shared" si="6"/>
        <v>48</v>
      </c>
      <c r="J49" s="34">
        <v>46141</v>
      </c>
      <c r="K49" s="34">
        <v>46141</v>
      </c>
      <c r="L49" s="34">
        <v>46141</v>
      </c>
      <c r="M49" s="35" t="s">
        <v>60</v>
      </c>
      <c r="N49" s="35"/>
      <c r="O49" s="34">
        <v>46148</v>
      </c>
      <c r="P49" s="34" t="s">
        <v>61</v>
      </c>
      <c r="Q49" s="34" t="s">
        <v>163</v>
      </c>
      <c r="R49" s="31" t="s">
        <v>63</v>
      </c>
      <c r="S49" s="31" t="s">
        <v>116</v>
      </c>
      <c r="T49" s="31" t="s">
        <v>135</v>
      </c>
      <c r="U49" s="31" t="s">
        <v>164</v>
      </c>
      <c r="V49" s="31" t="s">
        <v>18</v>
      </c>
      <c r="W49" s="31" t="s">
        <v>156</v>
      </c>
      <c r="X49" s="34" t="s">
        <v>65</v>
      </c>
      <c r="Y49" s="36">
        <v>19.325</v>
      </c>
      <c r="Z49" s="37">
        <f t="shared" ref="Z49:Z61" si="7">G49*Y49</f>
        <v>1855.2</v>
      </c>
      <c r="AA49" s="37">
        <f t="shared" ref="AA49:AA61" si="8">Z49*7.75</f>
        <v>14377.8</v>
      </c>
      <c r="AB49" s="38">
        <v>45980</v>
      </c>
      <c r="AC49" s="34" t="s">
        <v>66</v>
      </c>
    </row>
    <row r="50" s="28" customFormat="1" customHeight="1" spans="1:29">
      <c r="A50" s="29">
        <v>46029</v>
      </c>
      <c r="B50" s="30" t="s">
        <v>57</v>
      </c>
      <c r="C50" s="30" t="s">
        <v>165</v>
      </c>
      <c r="D50" s="31" t="s">
        <v>16</v>
      </c>
      <c r="E50" s="31">
        <v>2816011</v>
      </c>
      <c r="F50" s="32" t="s">
        <v>154</v>
      </c>
      <c r="G50" s="32">
        <v>14</v>
      </c>
      <c r="H50" s="32">
        <v>2</v>
      </c>
      <c r="I50" s="33">
        <f t="shared" si="6"/>
        <v>7</v>
      </c>
      <c r="J50" s="34">
        <v>46141</v>
      </c>
      <c r="K50" s="34">
        <v>46141</v>
      </c>
      <c r="L50" s="34">
        <v>46141</v>
      </c>
      <c r="M50" s="35" t="s">
        <v>60</v>
      </c>
      <c r="N50" s="35"/>
      <c r="O50" s="34">
        <v>46148</v>
      </c>
      <c r="P50" s="34" t="s">
        <v>61</v>
      </c>
      <c r="Q50" s="34" t="s">
        <v>69</v>
      </c>
      <c r="R50" s="31" t="s">
        <v>63</v>
      </c>
      <c r="S50" s="31" t="s">
        <v>116</v>
      </c>
      <c r="T50" s="31" t="s">
        <v>135</v>
      </c>
      <c r="U50" s="31" t="s">
        <v>166</v>
      </c>
      <c r="V50" s="31" t="s">
        <v>18</v>
      </c>
      <c r="W50" s="31" t="s">
        <v>156</v>
      </c>
      <c r="X50" s="34" t="s">
        <v>65</v>
      </c>
      <c r="Y50" s="36">
        <v>19.325</v>
      </c>
      <c r="Z50" s="37">
        <f t="shared" si="7"/>
        <v>270.55</v>
      </c>
      <c r="AA50" s="37">
        <f t="shared" si="8"/>
        <v>2096.76</v>
      </c>
      <c r="AB50" s="38">
        <v>45980</v>
      </c>
      <c r="AC50" s="34" t="s">
        <v>66</v>
      </c>
    </row>
    <row r="51" s="28" customFormat="1" customHeight="1" spans="1:29">
      <c r="A51" s="29">
        <v>46029</v>
      </c>
      <c r="B51" s="30" t="s">
        <v>57</v>
      </c>
      <c r="C51" s="30" t="s">
        <v>106</v>
      </c>
      <c r="D51" s="31" t="s">
        <v>16</v>
      </c>
      <c r="E51" s="31">
        <v>2816011</v>
      </c>
      <c r="F51" s="32" t="s">
        <v>154</v>
      </c>
      <c r="G51" s="32">
        <v>48</v>
      </c>
      <c r="H51" s="32">
        <v>2</v>
      </c>
      <c r="I51" s="33">
        <f t="shared" si="6"/>
        <v>24</v>
      </c>
      <c r="J51" s="34">
        <v>46141</v>
      </c>
      <c r="K51" s="34">
        <v>46141</v>
      </c>
      <c r="L51" s="34">
        <v>46141</v>
      </c>
      <c r="M51" s="35" t="s">
        <v>60</v>
      </c>
      <c r="N51" s="35"/>
      <c r="O51" s="34">
        <v>46148</v>
      </c>
      <c r="P51" s="34" t="s">
        <v>61</v>
      </c>
      <c r="Q51" s="34" t="s">
        <v>69</v>
      </c>
      <c r="R51" s="31" t="s">
        <v>63</v>
      </c>
      <c r="S51" s="31" t="s">
        <v>116</v>
      </c>
      <c r="T51" s="31" t="s">
        <v>135</v>
      </c>
      <c r="U51" s="31" t="s">
        <v>167</v>
      </c>
      <c r="V51" s="31" t="s">
        <v>18</v>
      </c>
      <c r="W51" s="31" t="s">
        <v>156</v>
      </c>
      <c r="X51" s="34" t="s">
        <v>65</v>
      </c>
      <c r="Y51" s="36">
        <v>19.325</v>
      </c>
      <c r="Z51" s="37">
        <f t="shared" si="7"/>
        <v>927.6</v>
      </c>
      <c r="AA51" s="37">
        <f t="shared" si="8"/>
        <v>7188.9</v>
      </c>
      <c r="AB51" s="38">
        <v>45980</v>
      </c>
      <c r="AC51" s="34" t="s">
        <v>66</v>
      </c>
    </row>
    <row r="52" s="28" customFormat="1" customHeight="1" spans="1:29">
      <c r="A52" s="29">
        <v>46029</v>
      </c>
      <c r="B52" s="30" t="s">
        <v>57</v>
      </c>
      <c r="C52" s="30" t="s">
        <v>107</v>
      </c>
      <c r="D52" s="31" t="s">
        <v>16</v>
      </c>
      <c r="E52" s="31">
        <v>2816011</v>
      </c>
      <c r="F52" s="32" t="s">
        <v>154</v>
      </c>
      <c r="G52" s="32">
        <v>150</v>
      </c>
      <c r="H52" s="32">
        <v>2</v>
      </c>
      <c r="I52" s="33">
        <f t="shared" si="6"/>
        <v>75</v>
      </c>
      <c r="J52" s="34">
        <v>46141</v>
      </c>
      <c r="K52" s="34">
        <v>46141</v>
      </c>
      <c r="L52" s="34">
        <v>46141</v>
      </c>
      <c r="M52" s="35" t="s">
        <v>60</v>
      </c>
      <c r="N52" s="35"/>
      <c r="O52" s="34">
        <v>46148</v>
      </c>
      <c r="P52" s="34" t="s">
        <v>61</v>
      </c>
      <c r="Q52" s="34" t="s">
        <v>69</v>
      </c>
      <c r="R52" s="31" t="s">
        <v>63</v>
      </c>
      <c r="S52" s="31" t="s">
        <v>116</v>
      </c>
      <c r="T52" s="31" t="s">
        <v>138</v>
      </c>
      <c r="U52" s="31" t="s">
        <v>168</v>
      </c>
      <c r="V52" s="31" t="s">
        <v>18</v>
      </c>
      <c r="W52" s="31" t="s">
        <v>156</v>
      </c>
      <c r="X52" s="34" t="s">
        <v>65</v>
      </c>
      <c r="Y52" s="36">
        <v>19.325</v>
      </c>
      <c r="Z52" s="37">
        <f t="shared" si="7"/>
        <v>2898.75</v>
      </c>
      <c r="AA52" s="37">
        <f t="shared" si="8"/>
        <v>22465.31</v>
      </c>
      <c r="AB52" s="38">
        <v>45980</v>
      </c>
      <c r="AC52" s="34" t="s">
        <v>66</v>
      </c>
    </row>
    <row r="53" s="28" customFormat="1" customHeight="1" spans="1:29">
      <c r="A53" s="29">
        <v>46029</v>
      </c>
      <c r="B53" s="30" t="s">
        <v>57</v>
      </c>
      <c r="C53" s="30" t="s">
        <v>108</v>
      </c>
      <c r="D53" s="31" t="s">
        <v>16</v>
      </c>
      <c r="E53" s="31">
        <v>2816011</v>
      </c>
      <c r="F53" s="32" t="s">
        <v>123</v>
      </c>
      <c r="G53" s="32">
        <f>1316-716</f>
        <v>600</v>
      </c>
      <c r="H53" s="32">
        <v>2</v>
      </c>
      <c r="I53" s="33">
        <f t="shared" si="6"/>
        <v>300</v>
      </c>
      <c r="J53" s="34">
        <v>46129</v>
      </c>
      <c r="K53" s="34">
        <v>46129</v>
      </c>
      <c r="L53" s="34">
        <v>46129</v>
      </c>
      <c r="M53" s="35" t="s">
        <v>60</v>
      </c>
      <c r="N53" s="35" t="s">
        <v>133</v>
      </c>
      <c r="O53" s="34" t="s">
        <v>134</v>
      </c>
      <c r="P53" s="34" t="s">
        <v>61</v>
      </c>
      <c r="Q53" s="34" t="s">
        <v>110</v>
      </c>
      <c r="R53" s="31" t="s">
        <v>63</v>
      </c>
      <c r="S53" s="31" t="s">
        <v>116</v>
      </c>
      <c r="T53" s="31" t="s">
        <v>135</v>
      </c>
      <c r="U53" s="31" t="s">
        <v>136</v>
      </c>
      <c r="V53" s="31" t="s">
        <v>17</v>
      </c>
      <c r="W53" s="31" t="s">
        <v>125</v>
      </c>
      <c r="X53" s="34" t="s">
        <v>65</v>
      </c>
      <c r="Y53" s="36">
        <v>19.325</v>
      </c>
      <c r="Z53" s="37">
        <f t="shared" si="7"/>
        <v>11595</v>
      </c>
      <c r="AA53" s="37">
        <f t="shared" si="8"/>
        <v>89861.25</v>
      </c>
      <c r="AB53" s="38">
        <v>45981</v>
      </c>
      <c r="AC53" s="34" t="s">
        <v>66</v>
      </c>
    </row>
    <row r="54" s="28" customFormat="1" customHeight="1" spans="1:29">
      <c r="A54" s="29">
        <v>46029</v>
      </c>
      <c r="B54" s="30" t="s">
        <v>57</v>
      </c>
      <c r="C54" s="30" t="s">
        <v>169</v>
      </c>
      <c r="D54" s="31" t="s">
        <v>16</v>
      </c>
      <c r="E54" s="31">
        <v>2816011</v>
      </c>
      <c r="F54" s="32" t="s">
        <v>72</v>
      </c>
      <c r="G54" s="32">
        <v>18</v>
      </c>
      <c r="H54" s="32">
        <v>2</v>
      </c>
      <c r="I54" s="33">
        <f t="shared" si="6"/>
        <v>9</v>
      </c>
      <c r="J54" s="34">
        <v>46120</v>
      </c>
      <c r="K54" s="34">
        <v>46120</v>
      </c>
      <c r="L54" s="34">
        <v>45686</v>
      </c>
      <c r="M54" s="35" t="s">
        <v>60</v>
      </c>
      <c r="N54" s="35"/>
      <c r="O54" s="34" t="s">
        <v>61</v>
      </c>
      <c r="P54" s="34" t="s">
        <v>61</v>
      </c>
      <c r="Q54" s="34" t="s">
        <v>69</v>
      </c>
      <c r="R54" s="31" t="s">
        <v>63</v>
      </c>
      <c r="S54" s="31" t="s">
        <v>63</v>
      </c>
      <c r="T54" s="31" t="s">
        <v>63</v>
      </c>
      <c r="U54" s="31" t="s">
        <v>63</v>
      </c>
      <c r="V54" s="31" t="s">
        <v>12</v>
      </c>
      <c r="W54" s="31" t="s">
        <v>75</v>
      </c>
      <c r="X54" s="34" t="s">
        <v>170</v>
      </c>
      <c r="Y54" s="36">
        <v>19.325</v>
      </c>
      <c r="Z54" s="37">
        <f t="shared" si="7"/>
        <v>347.85</v>
      </c>
      <c r="AA54" s="37">
        <f t="shared" si="8"/>
        <v>2695.84</v>
      </c>
      <c r="AB54" s="38">
        <v>45984</v>
      </c>
      <c r="AC54" s="34" t="s">
        <v>66</v>
      </c>
    </row>
    <row r="55" s="28" customFormat="1" customHeight="1" spans="1:29">
      <c r="A55" s="29">
        <v>46029</v>
      </c>
      <c r="B55" s="30" t="s">
        <v>57</v>
      </c>
      <c r="C55" s="30" t="s">
        <v>171</v>
      </c>
      <c r="D55" s="31" t="s">
        <v>16</v>
      </c>
      <c r="E55" s="31">
        <v>2816011</v>
      </c>
      <c r="F55" s="32" t="s">
        <v>72</v>
      </c>
      <c r="G55" s="32">
        <v>14</v>
      </c>
      <c r="H55" s="32">
        <v>2</v>
      </c>
      <c r="I55" s="33">
        <f t="shared" si="6"/>
        <v>7</v>
      </c>
      <c r="J55" s="34">
        <v>46120</v>
      </c>
      <c r="K55" s="34">
        <v>46120</v>
      </c>
      <c r="L55" s="34">
        <v>46091</v>
      </c>
      <c r="M55" s="35" t="s">
        <v>60</v>
      </c>
      <c r="N55" s="35"/>
      <c r="O55" s="34" t="s">
        <v>61</v>
      </c>
      <c r="P55" s="34" t="s">
        <v>61</v>
      </c>
      <c r="Q55" s="34" t="s">
        <v>69</v>
      </c>
      <c r="R55" s="31" t="s">
        <v>63</v>
      </c>
      <c r="S55" s="31" t="s">
        <v>63</v>
      </c>
      <c r="T55" s="31" t="s">
        <v>63</v>
      </c>
      <c r="U55" s="31" t="s">
        <v>63</v>
      </c>
      <c r="V55" s="31" t="s">
        <v>12</v>
      </c>
      <c r="W55" s="31" t="s">
        <v>75</v>
      </c>
      <c r="X55" s="34" t="s">
        <v>170</v>
      </c>
      <c r="Y55" s="36">
        <v>19.325</v>
      </c>
      <c r="Z55" s="37">
        <f t="shared" si="7"/>
        <v>270.55</v>
      </c>
      <c r="AA55" s="37">
        <f t="shared" si="8"/>
        <v>2096.76</v>
      </c>
      <c r="AB55" s="38">
        <v>45984</v>
      </c>
      <c r="AC55" s="34" t="s">
        <v>66</v>
      </c>
    </row>
    <row r="56" s="4" customFormat="1" customHeight="1" spans="1:29">
      <c r="A56" s="13"/>
      <c r="B56" s="23"/>
      <c r="C56" s="23"/>
      <c r="D56" s="15"/>
      <c r="E56" s="15"/>
      <c r="F56" s="24"/>
      <c r="G56" s="24"/>
      <c r="H56" s="24"/>
      <c r="I56" s="16"/>
      <c r="J56" s="17"/>
      <c r="K56" s="17"/>
      <c r="L56" s="17"/>
      <c r="M56" s="14"/>
      <c r="N56" s="14"/>
      <c r="O56" s="17"/>
      <c r="P56" s="17"/>
      <c r="Q56" s="15"/>
      <c r="R56" s="15"/>
      <c r="S56" s="15"/>
      <c r="T56" s="15"/>
      <c r="U56" s="15"/>
      <c r="V56" s="15"/>
      <c r="W56" s="15"/>
      <c r="X56" s="17"/>
      <c r="Y56" s="20"/>
      <c r="Z56" s="25">
        <f t="shared" si="7"/>
        <v>0</v>
      </c>
      <c r="AA56" s="25">
        <f t="shared" si="8"/>
        <v>0</v>
      </c>
      <c r="AB56" s="26"/>
      <c r="AC56" s="17"/>
    </row>
    <row r="57" s="4" customFormat="1" customHeight="1" spans="1:29">
      <c r="A57" s="13"/>
      <c r="B57" s="23"/>
      <c r="C57" s="23"/>
      <c r="D57" s="15"/>
      <c r="E57" s="15"/>
      <c r="F57" s="24"/>
      <c r="G57" s="24"/>
      <c r="H57" s="24"/>
      <c r="I57" s="16"/>
      <c r="J57" s="17"/>
      <c r="K57" s="17"/>
      <c r="L57" s="17"/>
      <c r="M57" s="14"/>
      <c r="N57" s="14"/>
      <c r="O57" s="17"/>
      <c r="P57" s="17"/>
      <c r="Q57" s="15"/>
      <c r="R57" s="15"/>
      <c r="S57" s="15"/>
      <c r="T57" s="15"/>
      <c r="U57" s="15"/>
      <c r="V57" s="15"/>
      <c r="W57" s="15"/>
      <c r="X57" s="17"/>
      <c r="Y57" s="20"/>
      <c r="Z57" s="25">
        <f t="shared" si="7"/>
        <v>0</v>
      </c>
      <c r="AA57" s="25">
        <f t="shared" si="8"/>
        <v>0</v>
      </c>
      <c r="AB57" s="26"/>
      <c r="AC57" s="17"/>
    </row>
    <row r="58" s="4" customFormat="1" customHeight="1" spans="1:29">
      <c r="A58" s="13"/>
      <c r="B58" s="23"/>
      <c r="C58" s="23"/>
      <c r="D58" s="15"/>
      <c r="E58" s="15"/>
      <c r="F58" s="24"/>
      <c r="G58" s="24"/>
      <c r="H58" s="24"/>
      <c r="I58" s="16"/>
      <c r="J58" s="17"/>
      <c r="K58" s="17"/>
      <c r="L58" s="17"/>
      <c r="M58" s="14"/>
      <c r="N58" s="14"/>
      <c r="O58" s="17"/>
      <c r="P58" s="17"/>
      <c r="Q58" s="15"/>
      <c r="R58" s="15"/>
      <c r="S58" s="15"/>
      <c r="T58" s="15"/>
      <c r="U58" s="15"/>
      <c r="V58" s="15"/>
      <c r="W58" s="15"/>
      <c r="X58" s="17"/>
      <c r="Y58" s="20"/>
      <c r="Z58" s="25">
        <f t="shared" si="7"/>
        <v>0</v>
      </c>
      <c r="AA58" s="25">
        <f t="shared" si="8"/>
        <v>0</v>
      </c>
      <c r="AB58" s="26"/>
      <c r="AC58" s="17"/>
    </row>
    <row r="59" s="4" customFormat="1" customHeight="1" spans="1:29">
      <c r="A59" s="13"/>
      <c r="B59" s="23"/>
      <c r="C59" s="23"/>
      <c r="D59" s="15"/>
      <c r="E59" s="15"/>
      <c r="F59" s="24"/>
      <c r="G59" s="24"/>
      <c r="H59" s="24"/>
      <c r="I59" s="16"/>
      <c r="J59" s="17"/>
      <c r="K59" s="17"/>
      <c r="L59" s="17"/>
      <c r="M59" s="14"/>
      <c r="N59" s="14"/>
      <c r="O59" s="17"/>
      <c r="P59" s="17"/>
      <c r="Q59" s="15"/>
      <c r="R59" s="15"/>
      <c r="S59" s="15"/>
      <c r="T59" s="15"/>
      <c r="U59" s="15"/>
      <c r="V59" s="15"/>
      <c r="W59" s="15"/>
      <c r="X59" s="17"/>
      <c r="Y59" s="20"/>
      <c r="Z59" s="25">
        <f t="shared" si="7"/>
        <v>0</v>
      </c>
      <c r="AA59" s="25">
        <f t="shared" si="8"/>
        <v>0</v>
      </c>
      <c r="AB59" s="26"/>
      <c r="AC59" s="17"/>
    </row>
    <row r="60" s="4" customFormat="1" customHeight="1" spans="1:29">
      <c r="A60" s="13"/>
      <c r="B60" s="23"/>
      <c r="C60" s="23"/>
      <c r="D60" s="15"/>
      <c r="E60" s="15"/>
      <c r="F60" s="24"/>
      <c r="G60" s="24"/>
      <c r="H60" s="24"/>
      <c r="I60" s="16"/>
      <c r="J60" s="17"/>
      <c r="K60" s="17"/>
      <c r="L60" s="17"/>
      <c r="M60" s="14"/>
      <c r="N60" s="14"/>
      <c r="O60" s="17"/>
      <c r="P60" s="17"/>
      <c r="Q60" s="15"/>
      <c r="R60" s="15"/>
      <c r="S60" s="15"/>
      <c r="T60" s="15"/>
      <c r="U60" s="15"/>
      <c r="V60" s="15"/>
      <c r="W60" s="15"/>
      <c r="X60" s="17"/>
      <c r="Y60" s="20"/>
      <c r="Z60" s="25">
        <f t="shared" si="7"/>
        <v>0</v>
      </c>
      <c r="AA60" s="25">
        <f t="shared" si="8"/>
        <v>0</v>
      </c>
      <c r="AB60" s="26"/>
      <c r="AC60" s="17"/>
    </row>
    <row r="61" s="4" customFormat="1" customHeight="1" spans="1:29">
      <c r="A61" s="13"/>
      <c r="B61" s="23"/>
      <c r="C61" s="23"/>
      <c r="D61" s="15"/>
      <c r="E61" s="15"/>
      <c r="F61" s="24"/>
      <c r="G61" s="24"/>
      <c r="H61" s="24"/>
      <c r="I61" s="16"/>
      <c r="J61" s="17"/>
      <c r="K61" s="17"/>
      <c r="L61" s="17"/>
      <c r="M61" s="14"/>
      <c r="N61" s="14"/>
      <c r="O61" s="17"/>
      <c r="P61" s="17"/>
      <c r="Q61" s="15"/>
      <c r="R61" s="15"/>
      <c r="S61" s="15"/>
      <c r="T61" s="15"/>
      <c r="U61" s="15"/>
      <c r="V61" s="15"/>
      <c r="W61" s="15"/>
      <c r="X61" s="17"/>
      <c r="Y61" s="20"/>
      <c r="Z61" s="25">
        <f t="shared" si="7"/>
        <v>0</v>
      </c>
      <c r="AA61" s="25">
        <f t="shared" si="8"/>
        <v>0</v>
      </c>
      <c r="AB61" s="26"/>
      <c r="AC61" s="17"/>
    </row>
    <row r="62" s="5" customFormat="1" customHeight="1" spans="1:29">
      <c r="A62" s="13"/>
      <c r="B62" s="15"/>
      <c r="C62" s="15"/>
      <c r="D62" s="15"/>
      <c r="E62" s="15"/>
      <c r="F62" s="15" t="s">
        <v>79</v>
      </c>
      <c r="G62" s="15">
        <f>SUM(G1:G61)</f>
        <v>17898</v>
      </c>
      <c r="H62" s="15"/>
      <c r="I62" s="16"/>
      <c r="J62" s="27"/>
      <c r="K62" s="27"/>
      <c r="L62" s="27"/>
      <c r="M62" s="19"/>
      <c r="N62" s="19"/>
      <c r="O62" s="27"/>
      <c r="P62" s="27"/>
      <c r="Q62" s="15"/>
      <c r="R62" s="15"/>
      <c r="S62" s="15"/>
      <c r="T62" s="15"/>
      <c r="U62" s="15"/>
      <c r="V62" s="15"/>
      <c r="W62" s="15"/>
      <c r="X62" s="27"/>
      <c r="Y62" s="20"/>
      <c r="Z62" s="21">
        <f>SUM(Z1:Z61)</f>
        <v>344675.33</v>
      </c>
      <c r="AA62" s="21">
        <f>SUM(AA1:AA61)</f>
        <v>2671233.85</v>
      </c>
      <c r="AB62" s="22"/>
      <c r="AC62" s="27"/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autoFilter xmlns:etc="http://www.wps.cn/officeDocument/2017/etCustomData" ref="A1:AC62" etc:filterBottomFollowUsedRange="0">
    <extLst/>
  </autoFilter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Y7"/>
  <sheetViews>
    <sheetView workbookViewId="0">
      <pane xSplit="7" ySplit="1" topLeftCell="H2" activePane="bottomRight" state="frozen"/>
      <selection/>
      <selection pane="topRight"/>
      <selection pane="bottomLeft"/>
      <selection pane="bottomRight" activeCell="C24" sqref="C24"/>
    </sheetView>
  </sheetViews>
  <sheetFormatPr defaultColWidth="9" defaultRowHeight="25" customHeight="1" outlineLevelRow="6"/>
  <cols>
    <col min="1" max="1" width="12.6" style="6" customWidth="1"/>
    <col min="2" max="2" width="12.625" style="7" customWidth="1"/>
    <col min="3" max="3" width="10.625" style="7" customWidth="1"/>
    <col min="4" max="5" width="12.625" style="7" customWidth="1"/>
    <col min="6" max="6" width="15.625" style="7" customWidth="1"/>
    <col min="7" max="7" width="6.625" style="7" customWidth="1"/>
    <col min="8" max="8" width="5.625" style="7" customWidth="1"/>
    <col min="9" max="9" width="5.625" style="8" customWidth="1"/>
    <col min="10" max="10" width="12.625" style="9" hidden="1" customWidth="1"/>
    <col min="11" max="11" width="12.625" style="9" customWidth="1"/>
    <col min="12" max="12" width="12.625" style="9" hidden="1" customWidth="1"/>
    <col min="13" max="14" width="8.625" style="4" hidden="1" customWidth="1"/>
    <col min="15" max="15" width="12.625" style="9" customWidth="1"/>
    <col min="16" max="16" width="12.625" style="9" hidden="1" customWidth="1"/>
    <col min="17" max="17" width="10.625" style="7" hidden="1" customWidth="1"/>
    <col min="18" max="18" width="10.625" style="7" customWidth="1"/>
    <col min="19" max="19" width="10.625" style="7" hidden="1" customWidth="1"/>
    <col min="20" max="20" width="20.625" style="9" customWidth="1"/>
    <col min="21" max="21" width="8.625" style="10" customWidth="1"/>
    <col min="22" max="23" width="12.625" style="11" customWidth="1"/>
    <col min="24" max="24" width="8.625" style="12" customWidth="1"/>
    <col min="25" max="25" width="8.625" style="9" customWidth="1"/>
    <col min="26" max="16383" width="9" style="4"/>
  </cols>
  <sheetData>
    <row r="1" s="4" customFormat="1" customHeight="1" spans="1:25">
      <c r="A1" s="13" t="s">
        <v>1</v>
      </c>
      <c r="B1" s="14" t="s">
        <v>37</v>
      </c>
      <c r="C1" s="14" t="s">
        <v>38</v>
      </c>
      <c r="D1" s="14" t="s">
        <v>3</v>
      </c>
      <c r="E1" s="14" t="s">
        <v>4</v>
      </c>
      <c r="F1" s="15" t="s">
        <v>0</v>
      </c>
      <c r="G1" s="15" t="s">
        <v>5</v>
      </c>
      <c r="H1" s="15" t="s">
        <v>39</v>
      </c>
      <c r="I1" s="16" t="s">
        <v>40</v>
      </c>
      <c r="J1" s="17" t="s">
        <v>41</v>
      </c>
      <c r="K1" s="18" t="s">
        <v>2</v>
      </c>
      <c r="L1" s="18" t="s">
        <v>42</v>
      </c>
      <c r="M1" s="14" t="s">
        <v>43</v>
      </c>
      <c r="N1" s="14" t="s">
        <v>44</v>
      </c>
      <c r="O1" s="14" t="s">
        <v>45</v>
      </c>
      <c r="P1" s="17" t="s">
        <v>46</v>
      </c>
      <c r="Q1" s="14" t="s">
        <v>80</v>
      </c>
      <c r="R1" s="14" t="s">
        <v>6</v>
      </c>
      <c r="S1" s="14" t="s">
        <v>52</v>
      </c>
      <c r="T1" s="19" t="s">
        <v>53</v>
      </c>
      <c r="U1" s="20" t="s">
        <v>54</v>
      </c>
      <c r="V1" s="21" t="s">
        <v>9</v>
      </c>
      <c r="W1" s="21" t="s">
        <v>10</v>
      </c>
      <c r="X1" s="22" t="s">
        <v>55</v>
      </c>
      <c r="Y1" s="19" t="s">
        <v>56</v>
      </c>
    </row>
    <row r="2" s="4" customFormat="1" customHeight="1" spans="1:25">
      <c r="A2" s="13"/>
      <c r="B2" s="23"/>
      <c r="C2" s="23"/>
      <c r="D2" s="15"/>
      <c r="E2" s="15"/>
      <c r="F2" s="24"/>
      <c r="G2" s="24"/>
      <c r="H2" s="24"/>
      <c r="I2" s="16"/>
      <c r="J2" s="17"/>
      <c r="K2" s="17"/>
      <c r="L2" s="17"/>
      <c r="M2" s="14"/>
      <c r="N2" s="14"/>
      <c r="O2" s="17"/>
      <c r="P2" s="17"/>
      <c r="Q2" s="15"/>
      <c r="R2" s="15"/>
      <c r="S2" s="15"/>
      <c r="T2" s="17"/>
      <c r="U2" s="20"/>
      <c r="V2" s="25">
        <f>G2*U2</f>
        <v>0</v>
      </c>
      <c r="W2" s="25">
        <f>V2*7.75</f>
        <v>0</v>
      </c>
      <c r="X2" s="26"/>
      <c r="Y2" s="17"/>
    </row>
    <row r="3" s="4" customFormat="1" customHeight="1" spans="1:25">
      <c r="A3" s="13"/>
      <c r="B3" s="23"/>
      <c r="C3" s="23"/>
      <c r="D3" s="15"/>
      <c r="E3" s="15"/>
      <c r="F3" s="24"/>
      <c r="G3" s="24"/>
      <c r="H3" s="24"/>
      <c r="I3" s="16"/>
      <c r="J3" s="17"/>
      <c r="K3" s="17"/>
      <c r="L3" s="17"/>
      <c r="M3" s="14"/>
      <c r="N3" s="14"/>
      <c r="O3" s="17"/>
      <c r="P3" s="17"/>
      <c r="Q3" s="15"/>
      <c r="R3" s="15"/>
      <c r="S3" s="15"/>
      <c r="T3" s="17"/>
      <c r="U3" s="20"/>
      <c r="V3" s="25">
        <f>G3*U3</f>
        <v>0</v>
      </c>
      <c r="W3" s="25">
        <f>V3*7.75</f>
        <v>0</v>
      </c>
      <c r="X3" s="26"/>
      <c r="Y3" s="17"/>
    </row>
    <row r="4" s="4" customFormat="1" customHeight="1" spans="1:25">
      <c r="A4" s="13"/>
      <c r="B4" s="23"/>
      <c r="C4" s="23"/>
      <c r="D4" s="15"/>
      <c r="E4" s="15"/>
      <c r="F4" s="24"/>
      <c r="G4" s="24"/>
      <c r="H4" s="24"/>
      <c r="I4" s="16"/>
      <c r="J4" s="17"/>
      <c r="K4" s="17"/>
      <c r="L4" s="17"/>
      <c r="M4" s="14"/>
      <c r="N4" s="14"/>
      <c r="O4" s="17"/>
      <c r="P4" s="17"/>
      <c r="Q4" s="15"/>
      <c r="R4" s="15"/>
      <c r="S4" s="15"/>
      <c r="T4" s="17"/>
      <c r="U4" s="20"/>
      <c r="V4" s="25">
        <f>G4*U4</f>
        <v>0</v>
      </c>
      <c r="W4" s="25">
        <f>V4*7.75</f>
        <v>0</v>
      </c>
      <c r="X4" s="26"/>
      <c r="Y4" s="17"/>
    </row>
    <row r="5" s="4" customFormat="1" customHeight="1" spans="1:25">
      <c r="A5" s="13"/>
      <c r="B5" s="23"/>
      <c r="C5" s="23"/>
      <c r="D5" s="15"/>
      <c r="E5" s="15"/>
      <c r="F5" s="24"/>
      <c r="G5" s="24"/>
      <c r="H5" s="24"/>
      <c r="I5" s="16"/>
      <c r="J5" s="17"/>
      <c r="K5" s="17"/>
      <c r="L5" s="17"/>
      <c r="M5" s="14"/>
      <c r="N5" s="14"/>
      <c r="O5" s="17"/>
      <c r="P5" s="17"/>
      <c r="Q5" s="15"/>
      <c r="R5" s="15"/>
      <c r="S5" s="15"/>
      <c r="T5" s="17"/>
      <c r="U5" s="20"/>
      <c r="V5" s="25">
        <f>G5*U5</f>
        <v>0</v>
      </c>
      <c r="W5" s="25">
        <f>V5*7.75</f>
        <v>0</v>
      </c>
      <c r="X5" s="26"/>
      <c r="Y5" s="17"/>
    </row>
    <row r="6" s="4" customFormat="1" customHeight="1" spans="1:25">
      <c r="A6" s="13"/>
      <c r="B6" s="23"/>
      <c r="C6" s="23"/>
      <c r="D6" s="15"/>
      <c r="E6" s="15"/>
      <c r="F6" s="24"/>
      <c r="G6" s="24"/>
      <c r="H6" s="24"/>
      <c r="I6" s="16"/>
      <c r="J6" s="17"/>
      <c r="K6" s="17"/>
      <c r="L6" s="17"/>
      <c r="M6" s="14"/>
      <c r="N6" s="14"/>
      <c r="O6" s="17"/>
      <c r="P6" s="17"/>
      <c r="Q6" s="15"/>
      <c r="R6" s="15"/>
      <c r="S6" s="15"/>
      <c r="T6" s="17"/>
      <c r="U6" s="20"/>
      <c r="V6" s="25">
        <f>G6*U6</f>
        <v>0</v>
      </c>
      <c r="W6" s="25">
        <f>V6*7.75</f>
        <v>0</v>
      </c>
      <c r="X6" s="26"/>
      <c r="Y6" s="17"/>
    </row>
    <row r="7" s="5" customFormat="1" customHeight="1" spans="1:25">
      <c r="A7" s="13"/>
      <c r="B7" s="15"/>
      <c r="C7" s="15"/>
      <c r="D7" s="15"/>
      <c r="E7" s="15"/>
      <c r="F7" s="15" t="s">
        <v>79</v>
      </c>
      <c r="G7" s="15">
        <f>SUM(G1:G6)</f>
        <v>0</v>
      </c>
      <c r="H7" s="15"/>
      <c r="I7" s="16"/>
      <c r="J7" s="27"/>
      <c r="K7" s="27"/>
      <c r="L7" s="27"/>
      <c r="M7" s="19"/>
      <c r="N7" s="19"/>
      <c r="O7" s="27"/>
      <c r="P7" s="27"/>
      <c r="Q7" s="15"/>
      <c r="R7" s="15"/>
      <c r="S7" s="15"/>
      <c r="T7" s="27"/>
      <c r="U7" s="20"/>
      <c r="V7" s="21">
        <f>SUM(V1:V6)</f>
        <v>0</v>
      </c>
      <c r="W7" s="21">
        <f>SUM(W1:W6)</f>
        <v>0</v>
      </c>
      <c r="X7" s="22"/>
      <c r="Y7" s="27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Y7" etc:filterBottomFollowUsedRange="0">
    <extLst/>
  </autoFilter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2"/>
  <sheetViews>
    <sheetView workbookViewId="0">
      <pane ySplit="1" topLeftCell="A88" activePane="bottomLeft" state="frozen"/>
      <selection/>
      <selection pane="bottomLeft" activeCell="G32" sqref="G32"/>
    </sheetView>
  </sheetViews>
  <sheetFormatPr defaultColWidth="9" defaultRowHeight="20.1" customHeight="1" outlineLevelCol="2"/>
  <cols>
    <col min="1" max="1" width="21" style="1" customWidth="1"/>
    <col min="2" max="2" width="25.6" style="1" customWidth="1"/>
    <col min="3" max="3" width="5.6" style="1" customWidth="1"/>
    <col min="4" max="16384" width="9" style="1"/>
  </cols>
  <sheetData>
    <row r="1" customHeight="1" spans="1:3">
      <c r="A1" s="1" t="s">
        <v>172</v>
      </c>
      <c r="B1" s="1" t="s">
        <v>173</v>
      </c>
      <c r="C1" s="1" t="s">
        <v>174</v>
      </c>
    </row>
    <row r="2" customHeight="1" spans="1:3">
      <c r="A2" s="1">
        <v>10727</v>
      </c>
      <c r="B2" s="1" t="s">
        <v>175</v>
      </c>
      <c r="C2" s="1" t="s">
        <v>176</v>
      </c>
    </row>
    <row r="3" customHeight="1" spans="1:3">
      <c r="A3" s="1">
        <v>10730</v>
      </c>
      <c r="B3" s="1" t="s">
        <v>177</v>
      </c>
      <c r="C3" s="1" t="s">
        <v>176</v>
      </c>
    </row>
    <row r="4" customHeight="1" spans="1:3">
      <c r="A4" s="1">
        <v>10740</v>
      </c>
      <c r="B4" s="1" t="s">
        <v>175</v>
      </c>
      <c r="C4" s="1" t="s">
        <v>176</v>
      </c>
    </row>
    <row r="5" customHeight="1" spans="1:3">
      <c r="A5" s="1">
        <v>10761</v>
      </c>
      <c r="B5" s="1" t="s">
        <v>178</v>
      </c>
      <c r="C5" s="1" t="s">
        <v>176</v>
      </c>
    </row>
    <row r="6" customHeight="1" spans="1:3">
      <c r="A6" s="1">
        <v>11588</v>
      </c>
      <c r="B6" s="1" t="s">
        <v>179</v>
      </c>
      <c r="C6" s="1" t="s">
        <v>180</v>
      </c>
    </row>
    <row r="7" customHeight="1" spans="1:3">
      <c r="A7" s="1">
        <v>19852</v>
      </c>
      <c r="C7" s="1" t="s">
        <v>176</v>
      </c>
    </row>
    <row r="8" customHeight="1" spans="1:3">
      <c r="A8" s="1">
        <v>97759</v>
      </c>
      <c r="B8" s="1" t="s">
        <v>181</v>
      </c>
      <c r="C8" s="1" t="s">
        <v>182</v>
      </c>
    </row>
    <row r="9" customHeight="1" spans="1:3">
      <c r="A9" s="1" t="s">
        <v>183</v>
      </c>
      <c r="B9" s="1" t="s">
        <v>184</v>
      </c>
      <c r="C9" s="1" t="s">
        <v>176</v>
      </c>
    </row>
    <row r="10" customHeight="1" spans="1:3">
      <c r="A10" s="1" t="s">
        <v>185</v>
      </c>
      <c r="B10" s="1" t="s">
        <v>186</v>
      </c>
      <c r="C10" s="1" t="s">
        <v>187</v>
      </c>
    </row>
    <row r="11" customHeight="1" spans="1:3">
      <c r="A11" s="1" t="s">
        <v>188</v>
      </c>
      <c r="B11" s="1" t="s">
        <v>189</v>
      </c>
      <c r="C11" s="1" t="s">
        <v>187</v>
      </c>
    </row>
    <row r="12" customHeight="1" spans="1:3">
      <c r="A12" s="1" t="s">
        <v>190</v>
      </c>
      <c r="B12" s="1" t="s">
        <v>191</v>
      </c>
      <c r="C12" s="1" t="s">
        <v>187</v>
      </c>
    </row>
    <row r="13" customHeight="1" spans="1:3">
      <c r="A13" s="1" t="s">
        <v>192</v>
      </c>
      <c r="B13" s="1" t="s">
        <v>193</v>
      </c>
      <c r="C13" s="1" t="s">
        <v>187</v>
      </c>
    </row>
    <row r="14" customHeight="1" spans="1:3">
      <c r="A14" s="1" t="s">
        <v>194</v>
      </c>
      <c r="B14" s="1" t="s">
        <v>195</v>
      </c>
      <c r="C14" s="1" t="s">
        <v>187</v>
      </c>
    </row>
    <row r="15" customHeight="1" spans="1:3">
      <c r="A15" s="1" t="s">
        <v>196</v>
      </c>
      <c r="B15" s="1" t="s">
        <v>197</v>
      </c>
      <c r="C15" s="1" t="s">
        <v>187</v>
      </c>
    </row>
    <row r="16" customHeight="1" spans="1:3">
      <c r="A16" s="1" t="s">
        <v>198</v>
      </c>
      <c r="B16" s="1" t="s">
        <v>199</v>
      </c>
      <c r="C16" s="1" t="s">
        <v>187</v>
      </c>
    </row>
    <row r="17" customHeight="1" spans="1:3">
      <c r="A17" s="1" t="s">
        <v>200</v>
      </c>
      <c r="B17" s="1" t="s">
        <v>201</v>
      </c>
      <c r="C17" s="1" t="s">
        <v>187</v>
      </c>
    </row>
    <row r="18" customHeight="1" spans="1:3">
      <c r="A18" s="1" t="s">
        <v>202</v>
      </c>
      <c r="B18" s="1" t="s">
        <v>197</v>
      </c>
      <c r="C18" s="1" t="s">
        <v>187</v>
      </c>
    </row>
    <row r="19" customHeight="1" spans="1:3">
      <c r="A19" s="1" t="s">
        <v>203</v>
      </c>
      <c r="B19" s="1" t="s">
        <v>204</v>
      </c>
      <c r="C19" s="1" t="s">
        <v>187</v>
      </c>
    </row>
    <row r="20" customHeight="1" spans="1:3">
      <c r="A20" s="1" t="s">
        <v>205</v>
      </c>
      <c r="B20" s="1" t="s">
        <v>206</v>
      </c>
      <c r="C20" s="1" t="s">
        <v>187</v>
      </c>
    </row>
    <row r="21" customHeight="1" spans="1:3">
      <c r="A21" s="1" t="s">
        <v>207</v>
      </c>
      <c r="B21" s="1" t="s">
        <v>206</v>
      </c>
      <c r="C21" s="1" t="s">
        <v>187</v>
      </c>
    </row>
    <row r="22" customHeight="1" spans="1:3">
      <c r="A22" s="1" t="s">
        <v>208</v>
      </c>
      <c r="B22" s="1" t="s">
        <v>209</v>
      </c>
      <c r="C22" s="1" t="s">
        <v>187</v>
      </c>
    </row>
    <row r="23" customHeight="1" spans="1:3">
      <c r="A23" s="1" t="s">
        <v>210</v>
      </c>
      <c r="B23" s="1" t="s">
        <v>211</v>
      </c>
      <c r="C23" s="1" t="s">
        <v>187</v>
      </c>
    </row>
    <row r="24" customHeight="1" spans="1:3">
      <c r="A24" s="1" t="s">
        <v>212</v>
      </c>
      <c r="B24" s="1" t="s">
        <v>213</v>
      </c>
      <c r="C24" s="1" t="s">
        <v>187</v>
      </c>
    </row>
    <row r="25" customHeight="1" spans="1:3">
      <c r="A25" s="1" t="s">
        <v>214</v>
      </c>
      <c r="B25" s="1" t="s">
        <v>215</v>
      </c>
      <c r="C25" s="1" t="s">
        <v>187</v>
      </c>
    </row>
    <row r="26" customHeight="1" spans="1:3">
      <c r="A26" s="1" t="s">
        <v>216</v>
      </c>
      <c r="B26" s="1" t="s">
        <v>204</v>
      </c>
      <c r="C26" s="1" t="s">
        <v>187</v>
      </c>
    </row>
    <row r="27" customHeight="1" spans="1:3">
      <c r="A27" s="1" t="s">
        <v>217</v>
      </c>
      <c r="B27" s="1" t="s">
        <v>177</v>
      </c>
      <c r="C27" s="1" t="s">
        <v>187</v>
      </c>
    </row>
    <row r="28" customHeight="1" spans="1:3">
      <c r="A28" s="1" t="s">
        <v>218</v>
      </c>
      <c r="B28" s="1" t="s">
        <v>219</v>
      </c>
      <c r="C28" s="1" t="s">
        <v>187</v>
      </c>
    </row>
    <row r="29" customHeight="1" spans="1:3">
      <c r="A29" s="1" t="s">
        <v>220</v>
      </c>
      <c r="B29" s="1" t="s">
        <v>221</v>
      </c>
      <c r="C29" s="1" t="s">
        <v>187</v>
      </c>
    </row>
    <row r="30" customHeight="1" spans="1:3">
      <c r="A30" s="1" t="s">
        <v>222</v>
      </c>
      <c r="B30" s="1" t="s">
        <v>223</v>
      </c>
      <c r="C30" s="1" t="s">
        <v>187</v>
      </c>
    </row>
    <row r="31" customHeight="1" spans="1:3">
      <c r="A31" s="1" t="s">
        <v>224</v>
      </c>
      <c r="B31" s="1" t="s">
        <v>225</v>
      </c>
      <c r="C31" s="1" t="s">
        <v>187</v>
      </c>
    </row>
    <row r="32" customHeight="1" spans="1:3">
      <c r="A32" s="1" t="s">
        <v>226</v>
      </c>
      <c r="B32" s="1" t="s">
        <v>227</v>
      </c>
      <c r="C32" s="1" t="s">
        <v>187</v>
      </c>
    </row>
    <row r="33" customHeight="1" spans="1:3">
      <c r="A33" s="1" t="s">
        <v>228</v>
      </c>
      <c r="B33" s="1" t="s">
        <v>204</v>
      </c>
      <c r="C33" s="1" t="s">
        <v>187</v>
      </c>
    </row>
    <row r="34" customHeight="1" spans="1:3">
      <c r="A34" s="1" t="s">
        <v>229</v>
      </c>
      <c r="B34" s="1" t="s">
        <v>230</v>
      </c>
      <c r="C34" s="1" t="s">
        <v>187</v>
      </c>
    </row>
    <row r="35" customHeight="1" spans="1:3">
      <c r="A35" s="1" t="s">
        <v>231</v>
      </c>
      <c r="B35" s="1" t="s">
        <v>221</v>
      </c>
      <c r="C35" s="1" t="s">
        <v>187</v>
      </c>
    </row>
    <row r="36" customHeight="1" spans="1:3">
      <c r="A36" s="1" t="s">
        <v>232</v>
      </c>
      <c r="B36" s="2" t="s">
        <v>233</v>
      </c>
      <c r="C36" s="1" t="s">
        <v>187</v>
      </c>
    </row>
    <row r="37" customHeight="1" spans="1:3">
      <c r="A37" s="1" t="s">
        <v>234</v>
      </c>
      <c r="B37" s="1" t="s">
        <v>235</v>
      </c>
      <c r="C37" s="1" t="s">
        <v>187</v>
      </c>
    </row>
    <row r="38" customHeight="1" spans="1:3">
      <c r="A38" s="1" t="s">
        <v>236</v>
      </c>
      <c r="B38" s="1" t="s">
        <v>235</v>
      </c>
      <c r="C38" s="1" t="s">
        <v>187</v>
      </c>
    </row>
    <row r="39" customHeight="1" spans="1:3">
      <c r="A39" s="1" t="s">
        <v>237</v>
      </c>
      <c r="B39" s="2" t="s">
        <v>238</v>
      </c>
      <c r="C39" s="1" t="s">
        <v>187</v>
      </c>
    </row>
    <row r="40" customHeight="1" spans="1:3">
      <c r="A40" s="1" t="s">
        <v>239</v>
      </c>
      <c r="B40" s="1" t="s">
        <v>199</v>
      </c>
      <c r="C40" s="1" t="s">
        <v>187</v>
      </c>
    </row>
    <row r="41" customHeight="1" spans="1:3">
      <c r="A41" s="1" t="s">
        <v>240</v>
      </c>
      <c r="B41" s="1" t="s">
        <v>241</v>
      </c>
      <c r="C41" s="1" t="s">
        <v>187</v>
      </c>
    </row>
    <row r="42" customHeight="1" spans="1:3">
      <c r="A42" s="1" t="s">
        <v>242</v>
      </c>
      <c r="B42" s="1" t="s">
        <v>243</v>
      </c>
      <c r="C42" s="1" t="s">
        <v>187</v>
      </c>
    </row>
    <row r="43" customHeight="1" spans="1:3">
      <c r="A43" s="1" t="s">
        <v>244</v>
      </c>
      <c r="B43" s="1" t="s">
        <v>245</v>
      </c>
      <c r="C43" s="1" t="s">
        <v>187</v>
      </c>
    </row>
    <row r="44" customHeight="1" spans="1:3">
      <c r="A44" s="1" t="s">
        <v>246</v>
      </c>
      <c r="B44" s="1" t="s">
        <v>247</v>
      </c>
      <c r="C44" s="1" t="s">
        <v>248</v>
      </c>
    </row>
    <row r="45" customHeight="1" spans="1:3">
      <c r="A45" s="1" t="s">
        <v>249</v>
      </c>
      <c r="B45" s="1" t="s">
        <v>250</v>
      </c>
      <c r="C45" s="1" t="s">
        <v>248</v>
      </c>
    </row>
    <row r="46" customHeight="1" spans="1:3">
      <c r="A46" s="1" t="s">
        <v>251</v>
      </c>
      <c r="B46" s="1" t="s">
        <v>250</v>
      </c>
      <c r="C46" s="1" t="s">
        <v>248</v>
      </c>
    </row>
    <row r="47" customHeight="1" spans="1:3">
      <c r="A47" s="1" t="s">
        <v>252</v>
      </c>
      <c r="B47" s="1" t="s">
        <v>247</v>
      </c>
      <c r="C47" s="1" t="s">
        <v>248</v>
      </c>
    </row>
    <row r="48" customHeight="1" spans="1:3">
      <c r="A48" s="1" t="s">
        <v>253</v>
      </c>
      <c r="B48" s="1" t="s">
        <v>247</v>
      </c>
      <c r="C48" s="1" t="s">
        <v>248</v>
      </c>
    </row>
    <row r="49" customHeight="1" spans="1:3">
      <c r="A49" s="1" t="s">
        <v>254</v>
      </c>
      <c r="B49" s="1" t="s">
        <v>255</v>
      </c>
      <c r="C49" s="1" t="s">
        <v>248</v>
      </c>
    </row>
    <row r="50" customHeight="1" spans="1:3">
      <c r="A50" s="1" t="s">
        <v>256</v>
      </c>
      <c r="B50" s="1" t="s">
        <v>247</v>
      </c>
      <c r="C50" s="1" t="s">
        <v>248</v>
      </c>
    </row>
    <row r="51" customHeight="1" spans="1:3">
      <c r="A51" s="1" t="s">
        <v>257</v>
      </c>
      <c r="B51" s="1" t="s">
        <v>247</v>
      </c>
      <c r="C51" s="1" t="s">
        <v>248</v>
      </c>
    </row>
    <row r="52" customHeight="1" spans="1:3">
      <c r="A52" s="1" t="s">
        <v>258</v>
      </c>
      <c r="B52" s="1" t="s">
        <v>247</v>
      </c>
      <c r="C52" s="1" t="s">
        <v>248</v>
      </c>
    </row>
    <row r="53" customHeight="1" spans="1:3">
      <c r="A53" s="1" t="s">
        <v>259</v>
      </c>
      <c r="B53" s="1" t="s">
        <v>260</v>
      </c>
      <c r="C53" s="1" t="s">
        <v>248</v>
      </c>
    </row>
    <row r="54" customHeight="1" spans="1:3">
      <c r="A54" s="1" t="s">
        <v>261</v>
      </c>
      <c r="B54" s="1" t="s">
        <v>262</v>
      </c>
      <c r="C54" s="1" t="s">
        <v>180</v>
      </c>
    </row>
    <row r="55" customHeight="1" spans="1:3">
      <c r="A55" s="1" t="s">
        <v>263</v>
      </c>
      <c r="B55" s="1" t="s">
        <v>179</v>
      </c>
      <c r="C55" s="1" t="s">
        <v>180</v>
      </c>
    </row>
    <row r="56" customHeight="1" spans="1:3">
      <c r="A56" s="1" t="s">
        <v>264</v>
      </c>
      <c r="B56" s="1" t="s">
        <v>265</v>
      </c>
      <c r="C56" s="1" t="s">
        <v>180</v>
      </c>
    </row>
    <row r="57" customHeight="1" spans="1:3">
      <c r="A57" s="1" t="s">
        <v>266</v>
      </c>
      <c r="B57" s="1" t="s">
        <v>265</v>
      </c>
      <c r="C57" s="1" t="s">
        <v>180</v>
      </c>
    </row>
    <row r="58" customHeight="1" spans="1:3">
      <c r="A58" s="1" t="s">
        <v>267</v>
      </c>
      <c r="B58" s="1" t="s">
        <v>268</v>
      </c>
      <c r="C58" s="1" t="s">
        <v>180</v>
      </c>
    </row>
    <row r="59" customHeight="1" spans="1:3">
      <c r="A59" s="1" t="s">
        <v>269</v>
      </c>
      <c r="B59" s="1" t="s">
        <v>270</v>
      </c>
      <c r="C59" s="1" t="s">
        <v>180</v>
      </c>
    </row>
    <row r="60" customHeight="1" spans="1:3">
      <c r="A60" s="1" t="s">
        <v>271</v>
      </c>
      <c r="B60" s="1" t="s">
        <v>272</v>
      </c>
      <c r="C60" s="1" t="s">
        <v>180</v>
      </c>
    </row>
    <row r="61" customHeight="1" spans="1:3">
      <c r="A61" s="1" t="s">
        <v>273</v>
      </c>
      <c r="B61" s="1" t="s">
        <v>274</v>
      </c>
      <c r="C61" s="1" t="s">
        <v>180</v>
      </c>
    </row>
    <row r="62" customHeight="1" spans="1:3">
      <c r="A62" s="1" t="s">
        <v>275</v>
      </c>
      <c r="B62" s="1" t="s">
        <v>276</v>
      </c>
      <c r="C62" s="1" t="s">
        <v>180</v>
      </c>
    </row>
    <row r="63" customHeight="1" spans="1:3">
      <c r="A63" s="1" t="s">
        <v>277</v>
      </c>
      <c r="B63" s="1" t="s">
        <v>278</v>
      </c>
      <c r="C63" s="1" t="s">
        <v>180</v>
      </c>
    </row>
    <row r="64" customHeight="1" spans="1:3">
      <c r="A64" s="1" t="s">
        <v>279</v>
      </c>
      <c r="B64" s="1" t="s">
        <v>280</v>
      </c>
      <c r="C64" s="1" t="s">
        <v>180</v>
      </c>
    </row>
    <row r="65" customHeight="1" spans="1:3">
      <c r="A65" s="1" t="s">
        <v>281</v>
      </c>
      <c r="B65" s="1" t="s">
        <v>282</v>
      </c>
      <c r="C65" s="1" t="s">
        <v>180</v>
      </c>
    </row>
    <row r="66" customHeight="1" spans="1:3">
      <c r="A66" s="1" t="s">
        <v>283</v>
      </c>
      <c r="B66" s="1" t="s">
        <v>284</v>
      </c>
      <c r="C66" s="1" t="s">
        <v>182</v>
      </c>
    </row>
    <row r="67" customHeight="1" spans="1:3">
      <c r="A67" s="1" t="s">
        <v>285</v>
      </c>
      <c r="B67" s="1" t="s">
        <v>181</v>
      </c>
      <c r="C67" s="1" t="s">
        <v>182</v>
      </c>
    </row>
    <row r="68" customHeight="1" spans="1:3">
      <c r="A68" s="1" t="s">
        <v>286</v>
      </c>
      <c r="B68" s="1" t="s">
        <v>287</v>
      </c>
      <c r="C68" s="1" t="s">
        <v>182</v>
      </c>
    </row>
    <row r="69" customHeight="1" spans="1:3">
      <c r="A69" s="1" t="s">
        <v>288</v>
      </c>
      <c r="B69" s="1" t="s">
        <v>177</v>
      </c>
      <c r="C69" s="1" t="s">
        <v>176</v>
      </c>
    </row>
    <row r="70" customHeight="1" spans="1:3">
      <c r="A70" s="1" t="s">
        <v>289</v>
      </c>
      <c r="B70" s="1" t="s">
        <v>290</v>
      </c>
      <c r="C70" s="1" t="s">
        <v>176</v>
      </c>
    </row>
    <row r="71" customHeight="1" spans="1:3">
      <c r="A71" s="1" t="s">
        <v>291</v>
      </c>
      <c r="B71" s="1" t="s">
        <v>292</v>
      </c>
      <c r="C71" s="1" t="s">
        <v>176</v>
      </c>
    </row>
    <row r="72" customHeight="1" spans="1:3">
      <c r="A72" s="1" t="s">
        <v>293</v>
      </c>
      <c r="B72" s="1" t="s">
        <v>177</v>
      </c>
      <c r="C72" s="1" t="s">
        <v>176</v>
      </c>
    </row>
    <row r="73" customHeight="1" spans="1:3">
      <c r="A73" s="1" t="s">
        <v>294</v>
      </c>
      <c r="B73" s="1" t="s">
        <v>295</v>
      </c>
      <c r="C73" s="1" t="s">
        <v>296</v>
      </c>
    </row>
    <row r="74" customHeight="1" spans="1:3">
      <c r="A74" s="1" t="s">
        <v>297</v>
      </c>
      <c r="B74" s="1" t="s">
        <v>298</v>
      </c>
      <c r="C74" s="1" t="s">
        <v>296</v>
      </c>
    </row>
    <row r="75" customHeight="1" spans="1:3">
      <c r="A75" s="1" t="s">
        <v>299</v>
      </c>
      <c r="B75" s="1" t="s">
        <v>300</v>
      </c>
      <c r="C75" s="1" t="s">
        <v>296</v>
      </c>
    </row>
    <row r="76" customHeight="1" spans="1:3">
      <c r="A76" s="1" t="s">
        <v>301</v>
      </c>
      <c r="B76" s="1" t="s">
        <v>295</v>
      </c>
      <c r="C76" s="1" t="s">
        <v>296</v>
      </c>
    </row>
    <row r="77" customHeight="1" spans="1:3">
      <c r="A77" s="1" t="s">
        <v>302</v>
      </c>
      <c r="B77" s="1" t="s">
        <v>298</v>
      </c>
      <c r="C77" s="1" t="s">
        <v>296</v>
      </c>
    </row>
    <row r="78" customHeight="1" spans="1:3">
      <c r="A78" s="1" t="s">
        <v>303</v>
      </c>
      <c r="B78" s="1" t="s">
        <v>304</v>
      </c>
      <c r="C78" s="1" t="s">
        <v>296</v>
      </c>
    </row>
    <row r="79" customHeight="1" spans="1:3">
      <c r="A79" s="1" t="s">
        <v>305</v>
      </c>
      <c r="B79" s="1" t="s">
        <v>306</v>
      </c>
      <c r="C79" s="1" t="s">
        <v>296</v>
      </c>
    </row>
    <row r="80" customHeight="1" spans="1:3">
      <c r="A80" s="1" t="s">
        <v>307</v>
      </c>
      <c r="B80" s="1" t="s">
        <v>308</v>
      </c>
      <c r="C80" s="1" t="s">
        <v>296</v>
      </c>
    </row>
    <row r="81" customHeight="1" spans="1:3">
      <c r="A81" s="1" t="s">
        <v>309</v>
      </c>
      <c r="B81" s="1" t="s">
        <v>310</v>
      </c>
      <c r="C81" s="1" t="s">
        <v>296</v>
      </c>
    </row>
    <row r="82" customHeight="1" spans="1:3">
      <c r="A82" s="1" t="s">
        <v>311</v>
      </c>
      <c r="B82" s="1" t="s">
        <v>312</v>
      </c>
      <c r="C82" s="1" t="s">
        <v>296</v>
      </c>
    </row>
    <row r="83" customHeight="1" spans="1:3">
      <c r="A83" s="1" t="s">
        <v>313</v>
      </c>
      <c r="B83" s="1" t="s">
        <v>314</v>
      </c>
      <c r="C83" s="1" t="s">
        <v>296</v>
      </c>
    </row>
    <row r="84" customHeight="1" spans="1:3">
      <c r="A84" s="1" t="s">
        <v>315</v>
      </c>
      <c r="B84" s="2" t="s">
        <v>316</v>
      </c>
      <c r="C84" s="1" t="s">
        <v>296</v>
      </c>
    </row>
    <row r="85" customHeight="1" spans="1:3">
      <c r="A85" s="1" t="s">
        <v>317</v>
      </c>
      <c r="B85" s="1" t="s">
        <v>241</v>
      </c>
      <c r="C85" s="1" t="s">
        <v>187</v>
      </c>
    </row>
    <row r="86" customHeight="1" spans="1:3">
      <c r="A86" s="1" t="s">
        <v>318</v>
      </c>
      <c r="B86" s="1" t="s">
        <v>319</v>
      </c>
      <c r="C86" s="1" t="s">
        <v>187</v>
      </c>
    </row>
    <row r="87" customHeight="1" spans="1:3">
      <c r="A87" s="1" t="s">
        <v>320</v>
      </c>
      <c r="B87" s="1" t="s">
        <v>321</v>
      </c>
      <c r="C87" s="1" t="s">
        <v>187</v>
      </c>
    </row>
    <row r="88" customHeight="1" spans="1:3">
      <c r="A88" s="1" t="s">
        <v>322</v>
      </c>
      <c r="B88" s="3" t="s">
        <v>323</v>
      </c>
      <c r="C88" s="1" t="s">
        <v>187</v>
      </c>
    </row>
    <row r="89" customHeight="1" spans="1:3">
      <c r="A89" s="1" t="s">
        <v>324</v>
      </c>
      <c r="B89" s="1" t="s">
        <v>325</v>
      </c>
      <c r="C89" s="1" t="s">
        <v>187</v>
      </c>
    </row>
    <row r="90" customHeight="1" spans="1:3">
      <c r="A90" s="1" t="s">
        <v>326</v>
      </c>
      <c r="B90" s="1" t="s">
        <v>327</v>
      </c>
      <c r="C90" s="1" t="s">
        <v>187</v>
      </c>
    </row>
    <row r="91" customHeight="1" spans="1:3">
      <c r="A91" s="1" t="s">
        <v>328</v>
      </c>
      <c r="B91" s="1" t="s">
        <v>329</v>
      </c>
      <c r="C91" s="1" t="s">
        <v>187</v>
      </c>
    </row>
    <row r="92" customHeight="1" spans="1:3">
      <c r="A92" s="1" t="s">
        <v>330</v>
      </c>
      <c r="B92" s="1" t="s">
        <v>331</v>
      </c>
      <c r="C92" s="1" t="s">
        <v>187</v>
      </c>
    </row>
    <row r="93" customHeight="1" spans="1:3">
      <c r="A93" s="1" t="s">
        <v>332</v>
      </c>
      <c r="B93" s="1" t="s">
        <v>206</v>
      </c>
      <c r="C93" s="1" t="s">
        <v>187</v>
      </c>
    </row>
    <row r="94" customHeight="1" spans="1:3">
      <c r="A94" s="1" t="s">
        <v>333</v>
      </c>
      <c r="B94" s="1" t="s">
        <v>334</v>
      </c>
      <c r="C94" s="1" t="s">
        <v>187</v>
      </c>
    </row>
    <row r="95" customHeight="1" spans="1:3">
      <c r="A95" s="1" t="s">
        <v>335</v>
      </c>
      <c r="B95" s="1" t="s">
        <v>336</v>
      </c>
      <c r="C95" s="1" t="s">
        <v>187</v>
      </c>
    </row>
    <row r="96" customHeight="1" spans="1:3">
      <c r="A96" s="1" t="s">
        <v>337</v>
      </c>
      <c r="B96" s="1" t="s">
        <v>338</v>
      </c>
      <c r="C96" s="1" t="s">
        <v>187</v>
      </c>
    </row>
    <row r="97" customHeight="1" spans="1:3">
      <c r="A97" s="1" t="s">
        <v>339</v>
      </c>
      <c r="B97" s="1" t="s">
        <v>340</v>
      </c>
      <c r="C97" s="1" t="s">
        <v>187</v>
      </c>
    </row>
    <row r="98" customHeight="1" spans="1:3">
      <c r="A98" s="1" t="s">
        <v>341</v>
      </c>
      <c r="B98" s="1" t="s">
        <v>223</v>
      </c>
      <c r="C98" s="1" t="s">
        <v>187</v>
      </c>
    </row>
    <row r="99" customHeight="1" spans="1:3">
      <c r="A99" s="1" t="s">
        <v>342</v>
      </c>
      <c r="B99" s="1" t="s">
        <v>343</v>
      </c>
      <c r="C99" s="1" t="s">
        <v>187</v>
      </c>
    </row>
    <row r="100" customHeight="1" spans="1:3">
      <c r="A100" s="1" t="s">
        <v>344</v>
      </c>
      <c r="B100" s="1" t="s">
        <v>345</v>
      </c>
      <c r="C100" s="1" t="s">
        <v>182</v>
      </c>
    </row>
    <row r="101" customHeight="1" spans="1:3">
      <c r="A101" s="1" t="s">
        <v>346</v>
      </c>
      <c r="B101" s="1" t="s">
        <v>347</v>
      </c>
      <c r="C101" s="1" t="s">
        <v>296</v>
      </c>
    </row>
    <row r="102" customHeight="1" spans="1:3">
      <c r="A102" s="1" t="s">
        <v>348</v>
      </c>
      <c r="B102" s="1" t="s">
        <v>349</v>
      </c>
      <c r="C102" s="1" t="s">
        <v>296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102" etc:filterBottomFollowUsedRange="0">
    <extLst/>
  </autoFilter>
  <conditionalFormatting sqref="A$1:A$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47" master="1475153551" otherUserPermission="visible">
    <arrUserId title="Range1" rangeCreator="" othersAccessPermission="visible">
      <userID accessPermission="edit">1475153551</userID>
      <userID accessPermission="edit">1475426452</userID>
      <userID accessPermission="edit">1475812750</userID>
      <userID accessPermission="edit">1475148402</userID>
    </arrUserId>
  </rangeList>
  <rangeList sheetStid="45" master="1475153551" otherUserPermission="visible">
    <arrUserId title="Range1" rangeCreator="" othersAccessPermission="visible">
      <userID accessPermission="edit">1475153551</userID>
      <userID accessPermission="edit">1475426452</userID>
      <userID accessPermission="edit">1475148402</userID>
      <userID accessPermission="edit">1475812750</userID>
    </arrUserId>
  </rangeList>
  <rangeList sheetStid="51" master="1475153551" otherUserPermission="visible">
    <arrUserId title="Range1" rangeCreator="" othersAccessPermission="visible">
      <userID accessPermission="edit">1475153551</userID>
      <userID accessPermission="edit">1475426452</userID>
      <userID accessPermission="edit">1475148402</userID>
      <userID accessPermission="edit">1475812750</userID>
    </arrUserId>
  </rangeList>
  <rangeList sheetStid="52" master="" otherUserPermission="edit"/>
  <rangeList sheetStid="48" master="" otherUserPermission="edit"/>
</allowEditUser>
</file>

<file path=customXml/item2.xml><?xml version="1.0" encoding="utf-8"?>
<woProps xmlns="https://web.wps.cn/et/2018/main" xmlns:s="http://schemas.openxmlformats.org/spreadsheetml/2006/main">
  <woSheetsProps>
    <woSheetProps sheetStid="47" interlineOnOff="0" interlineColor="0" isDbSheet="0" isDashBoardSheet="0" isDbDashBoardSheet="0" isFlexPaperSheet="0"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  <woSheetProps sheetStid="51" interlineOnOff="0" interlineColor="0" isDbSheet="0" isDashBoardSheet="0" isDbDashBoardSheet="0" isFlexPaperSheet="0">
      <cellprotection/>
      <appEtDbRelations/>
    </woSheetProps>
    <woSheetProps sheetStid="52" interlineOnOff="0" interlineColor="0" isDbSheet="0" isDashBoardSheet="0" isDbDashBoardSheet="0" isFlexPaperSheet="0">
      <cellprotection/>
      <appEtDbRelations/>
    </woSheetProps>
    <woSheetProps sheetStid="48" interlineOnOff="0" interlineColor="0" isDbSheet="0" isDashBoardSheet="0" isDbDashBoardSheet="0" isFlexPaperSheet="0">
      <cellprotection/>
      <appEtDbRelations/>
    </woSheetProps>
  </woSheetsProps>
  <woBookProps>
    <bookSettings fileId="531722432526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47"/>
  <pixelatorList sheetStid="45"/>
  <pixelatorList sheetStid="51"/>
  <pixelatorList sheetStid="52"/>
  <pixelatorList sheetStid="48"/>
  <pixelatorList sheetStid="53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总接单</vt:lpstr>
      <vt:lpstr>总排期</vt:lpstr>
      <vt:lpstr>已出货</vt:lpstr>
      <vt:lpstr>取消单</vt:lpstr>
      <vt:lpstr>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张宇婕</cp:lastModifiedBy>
  <dcterms:created xsi:type="dcterms:W3CDTF">1996-12-17T09:32:00Z</dcterms:created>
  <cp:lastPrinted>2018-12-13T17:58:00Z</cp:lastPrinted>
  <dcterms:modified xsi:type="dcterms:W3CDTF">2026-06-10T09:16:00Z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2052-12.9.0.26953</vt:lpwstr>
  </property>
  <property fmtid="{D5CDD505-2E9C-101B-9397-08002B2CF9AE}" pid="3" name="ICV">
    <vt:lpwstr>3B3A2AC3DD744DE58CACD202E25E762A_13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