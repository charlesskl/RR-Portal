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fileSharing userName="Unknown User" reservationPassword="CF1D"/>
  <workbookPr codeName="ThisWorkbook"/>
  <bookViews>
    <workbookView windowWidth="28125" windowHeight="12015" tabRatio="923" firstSheet="1" activeTab="2"/>
  </bookViews>
  <sheets>
    <sheet name="名称" sheetId="48" state="hidden" r:id="rId1"/>
    <sheet name="总接单" sheetId="47" r:id="rId2"/>
    <sheet name="总排期" sheetId="45" r:id="rId3"/>
    <sheet name="已走货" sheetId="55" r:id="rId4"/>
    <sheet name="取消单" sheetId="56" r:id="rId5"/>
    <sheet name="Sheet1" sheetId="57" r:id="rId6"/>
  </sheets>
  <externalReferences>
    <externalReference r:id="rId7"/>
  </externalReferences>
  <definedNames>
    <definedName name="_xlnm._FilterDatabase" localSheetId="0" hidden="1">名称!$A$1:$D$86</definedName>
    <definedName name="_xlnm._FilterDatabase" localSheetId="1" hidden="1">总接单!$A$2:$CH$21</definedName>
    <definedName name="_xlnm._FilterDatabase" localSheetId="2" hidden="1">总排期!$A$1:$AS$4</definedName>
    <definedName name="_xlnm._FilterDatabase" localSheetId="3" hidden="1">已走货!$A$1:$AP$4</definedName>
    <definedName name="_xlnm._FilterDatabase" localSheetId="4" hidden="1">取消单!$A$1:$AP$62</definedName>
    <definedName name="_xlnm._FilterDatabase" localSheetId="5" hidden="1">Sheet1!$A$1:$A$52</definedName>
    <definedName name="_xlnm.Print_Area" localSheetId="2">总排期!$A$1:$AP$1</definedName>
    <definedName name="_xlnm.Print_Area" localSheetId="3">已走货!#REF!</definedName>
    <definedName name="_xlnm.Print_Area" localSheetId="4">取消单!#REF!</definedName>
    <definedName name="_xlnm.Print_Titles" localSheetId="2">总排期!$1:$1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J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转10000PCS到PO10094685</t>
        </r>
      </text>
    </comment>
    <comment ref="J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转7800PCS到PO10094685
</t>
        </r>
      </text>
    </comment>
    <comment ref="J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转2000PCS到PO10094685
</t>
        </r>
      </text>
    </comment>
    <comment ref="J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转10000PCS到PO10094708</t>
        </r>
      </text>
    </comment>
    <comment ref="J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转7800PCS到PO10094685
</t>
        </r>
      </text>
    </comment>
    <comment ref="J8" authorId="0">
      <text>
        <r>
          <rPr>
            <sz val="9"/>
            <rFont val="宋体"/>
            <charset val="134"/>
          </rPr>
          <t>转5000PCS到PO10094708</t>
        </r>
      </text>
    </comment>
    <comment ref="J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转7800PCS到PO10094685
</t>
        </r>
      </text>
    </comment>
    <comment ref="J10" authorId="0">
      <text>
        <r>
          <rPr>
            <sz val="9"/>
            <rFont val="宋体"/>
            <charset val="134"/>
          </rPr>
          <t>转1212PCS到 PO10097923</t>
        </r>
      </text>
    </comment>
    <comment ref="J11" authorId="0">
      <text>
        <r>
          <rPr>
            <sz val="9"/>
            <rFont val="宋体"/>
            <charset val="134"/>
          </rPr>
          <t>转24500PCS到PO10096644</t>
        </r>
      </text>
    </comment>
    <comment ref="J12" authorId="0">
      <text>
        <r>
          <rPr>
            <sz val="9"/>
            <rFont val="宋体"/>
            <charset val="134"/>
          </rPr>
          <t>转11696PCS到PO10096644</t>
        </r>
      </text>
    </comment>
    <comment ref="J13" authorId="0">
      <text>
        <r>
          <rPr>
            <sz val="9"/>
            <rFont val="宋体"/>
            <charset val="134"/>
          </rPr>
          <t xml:space="preserve">转26824PCS到 MPO20256370042
转1000PCS到MPO202506370041
转762PCS到MPO202506370042
转782PCS到MPO202506370043
</t>
        </r>
      </text>
    </comment>
    <comment ref="AI13" authorId="0">
      <text>
        <r>
          <rPr>
            <b/>
            <sz val="12"/>
            <rFont val="宋体"/>
            <charset val="134"/>
          </rPr>
          <t>Administrator:</t>
        </r>
        <r>
          <rPr>
            <sz val="12"/>
            <rFont val="宋体"/>
            <charset val="134"/>
          </rPr>
          <t xml:space="preserve">
2/27 欠彩盒未上
3/7 已上齐</t>
        </r>
      </text>
    </comment>
    <comment ref="J14" authorId="0">
      <text>
        <r>
          <rPr>
            <sz val="9"/>
            <rFont val="宋体"/>
            <charset val="134"/>
          </rPr>
          <t xml:space="preserve">转2040PCS到 PO10097288
转1716PCS到 PO10097284
转1804PCS到 PO10097287
转1672PCS到 PO10097261
转1604PCS到 PO10097394
转2384PCS到 PO10097396
转1728PCS到 PO10097297
转2864PCS到 PO10097299
转1268PCS到 PO10097301
</t>
        </r>
      </text>
    </comment>
    <comment ref="J15" authorId="0">
      <text>
        <r>
          <rPr>
            <sz val="9"/>
            <rFont val="宋体"/>
            <charset val="134"/>
          </rPr>
          <t xml:space="preserve">转1346PCS到 PO10097288
转1042PCS到 PO10097284
转1092PCS到 PO10097287
转1006PCS到 PO10097398
转874PCS到 PO10097291
转388PCS到 PO10097394
转1636PCS到 PO10097296
转772PCS到 PO10097297
转1644PCS到 PO10097299
转242PCS到 PO10097301
</t>
        </r>
      </text>
    </comment>
    <comment ref="J16" authorId="0">
      <text>
        <r>
          <rPr>
            <sz val="9"/>
            <rFont val="宋体"/>
            <charset val="134"/>
          </rPr>
          <t>转129PCS到PO10098301
转492PCS到PO10098300
转38PCS到PO10098316
转43PCS到PO10098303
转51PCS到PO10098304
转67PCS到PO10098305
转24PCS到PO10098308
转200PCS到PO10098423
转35PCS到PO10098425
转12PCS到PO10098426
转30PCS到PO10098428
转184PCS到PO10098429
转240PCS到PO10098430
转24PCS到PO10098435</t>
        </r>
      </text>
    </comment>
    <comment ref="J17" authorId="0">
      <text>
        <r>
          <rPr>
            <sz val="9"/>
            <rFont val="宋体"/>
            <charset val="134"/>
          </rPr>
          <t xml:space="preserve">转126PCS到PO10098301
转16PCS到PO10098316
转60PCS到PO10098303
转58PCS到PO10098304
转92PCS到PO10098305
转20PCS到PO10098307
转20PCS到PO10098423
转20PCS到PO10098425
转20PCS到PO10098426
转60PCS到PO10098428
转120PCS到PO10098432
转4PCS到PO10098435
转64PCS到PO10098436
</t>
        </r>
      </text>
    </comment>
    <comment ref="J18" authorId="0">
      <text>
        <r>
          <rPr>
            <sz val="9"/>
            <rFont val="宋体"/>
            <charset val="134"/>
          </rPr>
          <t>转108PCS到PO10098301
转126PCS到PO10098300
转32PCS到PO10098316
转50PCS到PO10098303
转58PCS到PO10098304
转48PCS到PO10098305
转22PCS到PO10098307
转6PCS到PO10098308
转44PCS到PO10098310
转150PCS到PO10098423
转52PCS到PO10098425
转20PCS到PO10098428
转10PCS到PO10098446
转60PCS到PO1009832
转18PCS到PO10098435</t>
        </r>
      </text>
    </comment>
    <comment ref="J19" authorId="0">
      <text>
        <r>
          <rPr>
            <sz val="9"/>
            <rFont val="宋体"/>
            <charset val="134"/>
          </rPr>
          <t>转32PCS到PO10098316
转20PCS到PO10098307
转64PCS到PO10098310
转32PCS到PO10098316
转20PCS到PO10098307
转64PCS到PO10098310
转80PCS到PO10098423
转24PCS到PO10098425
转40PCS到PO10098426
转272PCS到PO10098427
转40PCS到PO10098428
转80PCS到PO10098432
转8PCS到PO10098435</t>
        </r>
      </text>
    </comment>
    <comment ref="J20" authorId="0">
      <text>
        <r>
          <rPr>
            <sz val="9"/>
            <rFont val="宋体"/>
            <charset val="134"/>
          </rPr>
          <t>转942PCS到PO10098301
转2240PCS到PO10098300
转576PCS到PO10098316
转412PCS到PO10098303
转370PCS到PO10098304
转676PCS到PO10098305
转72PCS到PO10098307
转160PCS到PO10098308
转360PCS到PO10098310
转2000PCS到PO10098423
转840PCS到PO10098425
转160PCS到PO10098426
转1000PCS到PO10098427
转800PCS到PO10098428
转4000PCS到PO10098429
转4400PCS到PO10098430
转300PCS到PO10098432
转7092PCS到PO10098433
转324PCS到PO10098435
转100PCS到PO10098436</t>
        </r>
      </text>
    </comment>
    <comment ref="J21" authorId="0">
      <text>
        <r>
          <rPr>
            <sz val="9"/>
            <rFont val="宋体"/>
            <charset val="134"/>
          </rPr>
          <t xml:space="preserve">转24PCS到PO10098308
再转36pcs到10098428
</t>
        </r>
      </text>
    </comment>
    <comment ref="J22" authorId="0">
      <text>
        <r>
          <rPr>
            <sz val="9"/>
            <rFont val="宋体"/>
            <charset val="134"/>
          </rPr>
          <t>转112PCS到PO10098301
转50PCS到PO10098316
转54PCS到PO10098303
转58PCS到PO10098304
转48PCS到PO10098305
转32PCS到PO10098308
转106PCS到PO10098310
转120PCS到PO10098423
转98PCS到PO10098425
转48PCS到PO10098426
转30PCS到PO10098428
转44PCS到PO10098435
转30PCS到PO10098436</t>
        </r>
      </text>
    </comment>
    <comment ref="J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扣250PC到PO:10099256</t>
        </r>
      </text>
    </comment>
    <comment ref="J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扣360PCS到PO:10099256</t>
        </r>
      </text>
    </comment>
    <comment ref="J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扣200PCS到10099257</t>
        </r>
      </text>
    </comment>
    <comment ref="J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扣580PCS到10099257</t>
        </r>
      </text>
    </comment>
    <comment ref="J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扣120PCS到10099257</t>
        </r>
      </text>
    </comment>
    <comment ref="J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5/23转846PCS到10102395</t>
        </r>
      </text>
    </comment>
    <comment ref="AJ31" authorId="0">
      <text>
        <r>
          <rPr>
            <b/>
            <sz val="12"/>
            <rFont val="宋体"/>
            <charset val="134"/>
          </rPr>
          <t>Administrator:</t>
        </r>
        <r>
          <rPr>
            <sz val="12"/>
            <rFont val="宋体"/>
            <charset val="134"/>
          </rPr>
          <t xml:space="preserve">
MO单备料 2500pcs</t>
        </r>
      </text>
    </comment>
    <comment ref="AJ32" authorId="0">
      <text>
        <r>
          <rPr>
            <b/>
            <sz val="12"/>
            <rFont val="宋体"/>
            <charset val="134"/>
          </rPr>
          <t>Administrator:</t>
        </r>
        <r>
          <rPr>
            <sz val="12"/>
            <rFont val="宋体"/>
            <charset val="134"/>
          </rPr>
          <t xml:space="preserve">
MO单备料 2500pcs</t>
        </r>
      </text>
    </comment>
    <comment ref="AJ33" authorId="0">
      <text>
        <r>
          <rPr>
            <b/>
            <sz val="12"/>
            <rFont val="宋体"/>
            <charset val="134"/>
          </rPr>
          <t>Administrator:</t>
        </r>
        <r>
          <rPr>
            <sz val="12"/>
            <rFont val="宋体"/>
            <charset val="134"/>
          </rPr>
          <t xml:space="preserve">
MO单备料2500pcs</t>
        </r>
      </text>
    </comment>
    <comment ref="AI34" authorId="0">
      <text>
        <r>
          <rPr>
            <b/>
            <sz val="12"/>
            <rFont val="宋体"/>
            <charset val="134"/>
          </rPr>
          <t>Administrator:</t>
        </r>
        <r>
          <rPr>
            <sz val="12"/>
            <rFont val="宋体"/>
            <charset val="134"/>
          </rPr>
          <t xml:space="preserve">
2024 已上
3/27 上补数物料</t>
        </r>
      </text>
    </comment>
    <comment ref="J3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5/21转4440PCS到10102080
5/21转3304PCS到10102077
5/29转4704PCS到10102864
5/29转6596PCS到10102873</t>
        </r>
      </text>
    </comment>
    <comment ref="J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转2505PCS到10102874</t>
        </r>
      </text>
    </comment>
    <comment ref="AK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此单开始中国下单
</t>
        </r>
      </text>
    </comment>
    <comment ref="J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转2505PCS到10102874</t>
        </r>
      </text>
    </comment>
    <comment ref="AK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此单开始中国下单
</t>
        </r>
      </text>
    </comment>
    <comment ref="J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从PO10097437转入16PCS
5/28转5008PCS到10102876
转3576PCS到10102879
转4016PCS到10102878
转4500PCS到10102871
转6256PCS到10102869</t>
        </r>
      </text>
    </comment>
    <comment ref="J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转748PCS到10103582
转52PCS到10103418</t>
        </r>
      </text>
    </comment>
    <comment ref="J4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转736PCS到10103582
转46PCS到10103418</t>
        </r>
      </text>
    </comment>
    <comment ref="J4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转368PCS到10103582
转23PCS到10103418</t>
        </r>
      </text>
    </comment>
    <comment ref="AJ41" authorId="0">
      <text>
        <r>
          <rPr>
            <b/>
            <sz val="12"/>
            <rFont val="宋体"/>
            <charset val="134"/>
          </rPr>
          <t>Administrator:</t>
        </r>
        <r>
          <rPr>
            <sz val="12"/>
            <rFont val="宋体"/>
            <charset val="134"/>
          </rPr>
          <t xml:space="preserve">
MO单备料 2500pcs</t>
        </r>
      </text>
    </comment>
    <comment ref="J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转1124PCS到10104666
转1236PCS到10104649
转1180PCS到10104647
转1372PCS到10104653
转2176PCS到10104659
转936PCS到10104644
转964PCS到10104646
转1284PCS到10104648
转1488PCS到10104651
转1040PCS到10104656
</t>
        </r>
      </text>
    </comment>
    <comment ref="J4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转564PCS到10104666
转528PCS到10104649
转504PCS到10104647
转684PCS到10104653
转1086PCS到10104659
转408PCS到10104644
转414PCS到10104646
转546PCS到10104648
转744PCS到10104651
转522PCS到10104656</t>
        </r>
      </text>
    </comment>
  </commentList>
</comments>
</file>

<file path=xl/sharedStrings.xml><?xml version="1.0" encoding="utf-8"?>
<sst xmlns="http://schemas.openxmlformats.org/spreadsheetml/2006/main" count="931" uniqueCount="306">
  <si>
    <r>
      <rPr>
        <sz val="10"/>
        <color theme="1"/>
        <rFont val="宋体"/>
        <charset val="134"/>
      </rPr>
      <t>货号</t>
    </r>
  </si>
  <si>
    <r>
      <rPr>
        <sz val="10"/>
        <color theme="1"/>
        <rFont val="宋体"/>
        <charset val="134"/>
      </rPr>
      <t>产品名称</t>
    </r>
  </si>
  <si>
    <t>外箱</t>
  </si>
  <si>
    <t>车间</t>
  </si>
  <si>
    <t>收割车</t>
  </si>
  <si>
    <t>A</t>
  </si>
  <si>
    <t>洒水车</t>
  </si>
  <si>
    <t>B</t>
  </si>
  <si>
    <t>回力车</t>
  </si>
  <si>
    <t>跳舞的玉米</t>
  </si>
  <si>
    <t>半挂车</t>
  </si>
  <si>
    <r>
      <rPr>
        <sz val="10"/>
        <color theme="1"/>
        <rFont val="宋体"/>
        <charset val="134"/>
      </rPr>
      <t>动物车</t>
    </r>
  </si>
  <si>
    <t>印尼</t>
  </si>
  <si>
    <r>
      <rPr>
        <sz val="10"/>
        <color theme="1"/>
        <rFont val="Times New Roman"/>
        <charset val="134"/>
      </rPr>
      <t>JD LNS</t>
    </r>
    <r>
      <rPr>
        <sz val="10"/>
        <color theme="1"/>
        <rFont val="宋体"/>
        <charset val="134"/>
      </rPr>
      <t>圆轮拖拉机</t>
    </r>
  </si>
  <si>
    <t>35189AZ</t>
  </si>
  <si>
    <t>吹气车</t>
  </si>
  <si>
    <t>35189B</t>
  </si>
  <si>
    <t>35189C</t>
  </si>
  <si>
    <t>35206B</t>
  </si>
  <si>
    <t>猪马牛羊车（单支装）</t>
  </si>
  <si>
    <t>35802J</t>
  </si>
  <si>
    <r>
      <rPr>
        <sz val="10"/>
        <color theme="1"/>
        <rFont val="宋体"/>
        <charset val="134"/>
      </rPr>
      <t>挖土机</t>
    </r>
  </si>
  <si>
    <t>46644B</t>
  </si>
  <si>
    <t>发光车</t>
  </si>
  <si>
    <t>46656EU1</t>
  </si>
  <si>
    <t>6"拖拉机</t>
  </si>
  <si>
    <t>46670C</t>
  </si>
  <si>
    <t>46656/46748
混装</t>
  </si>
  <si>
    <t>46670TSC</t>
  </si>
  <si>
    <t>46720J</t>
  </si>
  <si>
    <t>木材运输车</t>
  </si>
  <si>
    <t>47101J</t>
  </si>
  <si>
    <r>
      <rPr>
        <sz val="10"/>
        <color theme="1"/>
        <rFont val="Times New Roman"/>
        <charset val="134"/>
      </rPr>
      <t>1:16</t>
    </r>
    <r>
      <rPr>
        <sz val="10"/>
        <color theme="1"/>
        <rFont val="宋体"/>
        <charset val="134"/>
      </rPr>
      <t>收割机</t>
    </r>
  </si>
  <si>
    <t>47280A</t>
  </si>
  <si>
    <t>童车</t>
  </si>
  <si>
    <t>47367J</t>
  </si>
  <si>
    <r>
      <rPr>
        <sz val="10"/>
        <color theme="1"/>
        <rFont val="Times New Roman"/>
        <charset val="134"/>
      </rPr>
      <t>1:16</t>
    </r>
    <r>
      <rPr>
        <sz val="10"/>
        <color theme="1"/>
        <rFont val="宋体"/>
        <charset val="134"/>
      </rPr>
      <t>拖车厢</t>
    </r>
  </si>
  <si>
    <t>47465J1</t>
  </si>
  <si>
    <r>
      <rPr>
        <sz val="10"/>
        <color theme="1"/>
        <rFont val="宋体"/>
        <charset val="134"/>
      </rPr>
      <t>牵引车</t>
    </r>
  </si>
  <si>
    <t>47600J</t>
  </si>
  <si>
    <r>
      <rPr>
        <sz val="10"/>
        <color theme="1"/>
        <rFont val="Times New Roman"/>
        <charset val="134"/>
      </rPr>
      <t>1:16</t>
    </r>
    <r>
      <rPr>
        <sz val="10"/>
        <color theme="1"/>
        <rFont val="宋体"/>
        <charset val="134"/>
      </rPr>
      <t>货柜车</t>
    </r>
  </si>
  <si>
    <t>47602J</t>
  </si>
  <si>
    <r>
      <rPr>
        <sz val="10"/>
        <color theme="1"/>
        <rFont val="Times New Roman"/>
        <charset val="134"/>
      </rPr>
      <t>1:16</t>
    </r>
    <r>
      <rPr>
        <sz val="10"/>
        <color theme="1"/>
        <rFont val="宋体"/>
        <charset val="134"/>
      </rPr>
      <t>翻斗车</t>
    </r>
  </si>
  <si>
    <t>47669TSC</t>
  </si>
  <si>
    <t>47674DG</t>
  </si>
  <si>
    <t>47674TSC</t>
  </si>
  <si>
    <t>E73254</t>
  </si>
  <si>
    <t>恐龙推车（开窗盒）</t>
  </si>
  <si>
    <t>E73622A</t>
  </si>
  <si>
    <r>
      <rPr>
        <sz val="10"/>
        <color theme="1"/>
        <rFont val="宋体"/>
        <charset val="134"/>
      </rPr>
      <t>布鲁伊家族杯子套装</t>
    </r>
  </si>
  <si>
    <t>E73622AWM</t>
  </si>
  <si>
    <r>
      <rPr>
        <sz val="10"/>
        <color theme="1"/>
        <rFont val="宋体"/>
        <charset val="134"/>
      </rPr>
      <t>布鲁伊家族沐浴玩具</t>
    </r>
  </si>
  <si>
    <t>E73622AZ</t>
  </si>
  <si>
    <t>E73623A1</t>
  </si>
  <si>
    <r>
      <rPr>
        <sz val="10"/>
        <color theme="1"/>
        <rFont val="宋体"/>
        <charset val="134"/>
      </rPr>
      <t>布鲁伊</t>
    </r>
    <r>
      <rPr>
        <sz val="10"/>
        <color theme="1"/>
        <rFont val="Times New Roman"/>
        <charset val="134"/>
      </rPr>
      <t>+</t>
    </r>
    <r>
      <rPr>
        <sz val="10"/>
        <color theme="1"/>
        <rFont val="宋体"/>
        <charset val="134"/>
      </rPr>
      <t>宾果沐浴玩具混装</t>
    </r>
  </si>
  <si>
    <t>E73635A</t>
  </si>
  <si>
    <r>
      <rPr>
        <sz val="10"/>
        <color theme="1"/>
        <rFont val="宋体"/>
        <charset val="134"/>
      </rPr>
      <t>布鲁伊沐浴玩具</t>
    </r>
  </si>
  <si>
    <t>E73636A</t>
  </si>
  <si>
    <r>
      <rPr>
        <sz val="10"/>
        <color theme="1"/>
        <rFont val="宋体"/>
        <charset val="134"/>
      </rPr>
      <t>宾果沐浴玩具</t>
    </r>
  </si>
  <si>
    <t>E73697</t>
  </si>
  <si>
    <t>EVA拼图</t>
  </si>
  <si>
    <t>E73697WM</t>
  </si>
  <si>
    <t>E73814C</t>
  </si>
  <si>
    <r>
      <rPr>
        <sz val="10"/>
        <color theme="1"/>
        <rFont val="宋体"/>
        <charset val="134"/>
      </rPr>
      <t>泡泡壶</t>
    </r>
  </si>
  <si>
    <t>E73860C</t>
  </si>
  <si>
    <r>
      <rPr>
        <sz val="10"/>
        <color theme="1"/>
        <rFont val="宋体"/>
        <charset val="134"/>
      </rPr>
      <t>泡泡壶密封盒</t>
    </r>
  </si>
  <si>
    <t>L27870TG</t>
  </si>
  <si>
    <t>杯子</t>
  </si>
  <si>
    <t>T72465EN6</t>
  </si>
  <si>
    <t>贪婪的老奶奶</t>
  </si>
  <si>
    <t>T72465IT3</t>
  </si>
  <si>
    <t>T72465SPT</t>
  </si>
  <si>
    <t>T73785EN</t>
  </si>
  <si>
    <r>
      <rPr>
        <sz val="10"/>
        <color theme="1"/>
        <rFont val="宋体"/>
        <charset val="134"/>
      </rPr>
      <t>游戏转盘</t>
    </r>
  </si>
  <si>
    <t>Y2049L</t>
  </si>
  <si>
    <t>锁匙</t>
  </si>
  <si>
    <t>Y2341G</t>
  </si>
  <si>
    <t>Y2049G1</t>
  </si>
  <si>
    <t>吹气三轮车</t>
  </si>
  <si>
    <t>E73647BZR</t>
  </si>
  <si>
    <t>手镯和球</t>
  </si>
  <si>
    <t>T72465ML3</t>
  </si>
  <si>
    <t>T72465ADR2</t>
  </si>
  <si>
    <t>L27870B</t>
  </si>
  <si>
    <t>T72465ASC1</t>
  </si>
  <si>
    <t>T72465RO</t>
  </si>
  <si>
    <t>T72465BZR2</t>
  </si>
  <si>
    <t>47391J</t>
  </si>
  <si>
    <t>Y2341C</t>
  </si>
  <si>
    <t>E73855A1</t>
  </si>
  <si>
    <t>马里奥能量蘑菇吸塑混装</t>
  </si>
  <si>
    <t>E73906</t>
  </si>
  <si>
    <t>马里奥和他的蘑菇</t>
  </si>
  <si>
    <t>E73907</t>
  </si>
  <si>
    <t>能量蘑菇</t>
  </si>
  <si>
    <t>E73856</t>
  </si>
  <si>
    <t>宝箱马里奥</t>
  </si>
  <si>
    <t>E73857</t>
  </si>
  <si>
    <t>管道马里奥</t>
  </si>
  <si>
    <t>E73956</t>
  </si>
  <si>
    <t>马里奥能量蘑菇密封盒混装</t>
  </si>
  <si>
    <t>T73955</t>
  </si>
  <si>
    <t>L27870C</t>
  </si>
  <si>
    <t>Y2049G2</t>
  </si>
  <si>
    <t>E73860PL</t>
  </si>
  <si>
    <t>泡泡壶</t>
  </si>
  <si>
    <t>47722A</t>
  </si>
  <si>
    <t>农场男孩套装</t>
  </si>
  <si>
    <t>47723A</t>
  </si>
  <si>
    <t>农场女孩套装</t>
  </si>
  <si>
    <t>47711A</t>
  </si>
  <si>
    <t>红色铲车</t>
  </si>
  <si>
    <t>47713A</t>
  </si>
  <si>
    <t>黄色铲车</t>
  </si>
  <si>
    <t>47714A</t>
  </si>
  <si>
    <t>绿色铲车</t>
  </si>
  <si>
    <t>E73705A</t>
  </si>
  <si>
    <t>布鲁伊混装</t>
  </si>
  <si>
    <t>E73907A</t>
  </si>
  <si>
    <t>47716A</t>
  </si>
  <si>
    <t>滑板拖车</t>
  </si>
  <si>
    <t>47712A</t>
  </si>
  <si>
    <t>绿色拖拉机</t>
  </si>
  <si>
    <t>E73906US</t>
  </si>
  <si>
    <t>E73907US</t>
  </si>
  <si>
    <t>E73855US</t>
  </si>
  <si>
    <t>E73956US</t>
  </si>
  <si>
    <t>47274J</t>
  </si>
  <si>
    <r>
      <rPr>
        <sz val="10"/>
        <color theme="1"/>
        <rFont val="Times New Roman"/>
        <charset val="134"/>
      </rPr>
      <t>1#</t>
    </r>
    <r>
      <rPr>
        <sz val="10"/>
        <color theme="1"/>
        <rFont val="宋体"/>
        <charset val="134"/>
      </rPr>
      <t>农场朋友混合</t>
    </r>
  </si>
  <si>
    <t>Y2049L1</t>
  </si>
  <si>
    <t>995135(E73857)</t>
  </si>
  <si>
    <t>995142(E73856)</t>
  </si>
  <si>
    <t>995159(E73906)</t>
  </si>
  <si>
    <t>096283(E73907)</t>
  </si>
  <si>
    <t>产品名称</t>
  </si>
  <si>
    <t>E73956/E73956US/E73855A1/E73855US</t>
  </si>
  <si>
    <t>接单日期</t>
  </si>
  <si>
    <t>国家</t>
  </si>
  <si>
    <t>TOMY PO</t>
  </si>
  <si>
    <t>CUSTOMER PO</t>
  </si>
  <si>
    <t>货号</t>
  </si>
  <si>
    <t>数量</t>
  </si>
  <si>
    <t>PO走货期</t>
  </si>
  <si>
    <t>35189AZ/B</t>
  </si>
  <si>
    <t>47280
47280A</t>
  </si>
  <si>
    <t>L27870TG/B/L27870C</t>
  </si>
  <si>
    <t>Y2049L/Y2049G1//Y2049G2/Y2049L1</t>
  </si>
  <si>
    <t>47329/TSC1</t>
  </si>
  <si>
    <t>E73251</t>
  </si>
  <si>
    <t>E73252</t>
  </si>
  <si>
    <t>E73253</t>
  </si>
  <si>
    <t>E73254/C</t>
  </si>
  <si>
    <t>46656A</t>
  </si>
  <si>
    <t>37651F</t>
  </si>
  <si>
    <t>T20121/FR</t>
  </si>
  <si>
    <t>47399/TSC</t>
  </si>
  <si>
    <t>E73410</t>
  </si>
  <si>
    <t>P4608805</t>
  </si>
  <si>
    <t>P4608815</t>
  </si>
  <si>
    <t>P4608814</t>
  </si>
  <si>
    <t>P4608813</t>
  </si>
  <si>
    <t>L61157</t>
  </si>
  <si>
    <t>POB23-00600 
配件</t>
  </si>
  <si>
    <t>L18207</t>
  </si>
  <si>
    <t>E73647/43379</t>
  </si>
  <si>
    <t>P4608802</t>
  </si>
  <si>
    <t>47640/TSC</t>
  </si>
  <si>
    <t>E73622A/E73622AZ</t>
  </si>
  <si>
    <t>47669/47669TSC</t>
  </si>
  <si>
    <t>47674DG/47674TSC</t>
  </si>
  <si>
    <t>E73860C/E73860PL</t>
  </si>
  <si>
    <t>E73906/E73906US</t>
  </si>
  <si>
    <t>E73907/E73907A/E73907US</t>
  </si>
  <si>
    <t>E74041BULK</t>
  </si>
  <si>
    <t>单价USD</t>
  </si>
  <si>
    <t>金额USD</t>
  </si>
  <si>
    <t>金额HKD</t>
  </si>
  <si>
    <t>MA</t>
  </si>
  <si>
    <r>
      <rPr>
        <b/>
        <sz val="9"/>
        <color rgb="FFFF0000"/>
        <rFont val="宋体"/>
        <charset val="134"/>
      </rPr>
      <t>美国</t>
    </r>
  </si>
  <si>
    <r>
      <rPr>
        <b/>
        <sz val="9"/>
        <color rgb="FFFF0000"/>
        <rFont val="宋体"/>
        <charset val="134"/>
      </rPr>
      <t>总接单：</t>
    </r>
  </si>
  <si>
    <r>
      <rPr>
        <b/>
        <sz val="9"/>
        <color rgb="FFFF0000"/>
        <rFont val="宋体"/>
        <charset val="134"/>
      </rPr>
      <t>总排期：</t>
    </r>
  </si>
  <si>
    <r>
      <rPr>
        <b/>
        <sz val="9"/>
        <color rgb="FFFF0000"/>
        <rFont val="宋体"/>
        <charset val="134"/>
      </rPr>
      <t>已走货：</t>
    </r>
  </si>
  <si>
    <t>以下标注内容区分识别备注：</t>
  </si>
  <si>
    <t>类型</t>
  </si>
  <si>
    <t>内容</t>
  </si>
  <si>
    <t>黄色填充</t>
  </si>
  <si>
    <t>新加单或更改</t>
  </si>
  <si>
    <t>粉色填充</t>
  </si>
  <si>
    <t>扣单/转单</t>
  </si>
  <si>
    <t>蓝色字体</t>
  </si>
  <si>
    <t>已经完成订单</t>
  </si>
  <si>
    <t>粉色字体</t>
  </si>
  <si>
    <t>已经出货</t>
  </si>
  <si>
    <t>红色字体</t>
  </si>
  <si>
    <t>取消单</t>
  </si>
  <si>
    <t>接单期</t>
  </si>
  <si>
    <t>提交化学测试</t>
  </si>
  <si>
    <t>第三客户名称</t>
  </si>
  <si>
    <t>客跟单</t>
  </si>
  <si>
    <t>PO</t>
  </si>
  <si>
    <t>总箱数</t>
  </si>
  <si>
    <t>验货期</t>
  </si>
  <si>
    <t>实际验货期</t>
  </si>
  <si>
    <t>日期码</t>
  </si>
  <si>
    <t>箱唛资料</t>
  </si>
  <si>
    <t>Spot check</t>
  </si>
  <si>
    <t>年报测试</t>
  </si>
  <si>
    <t>客贴纸</t>
  </si>
  <si>
    <t>印尼回复上拉时间</t>
  </si>
  <si>
    <t>印尼回复完成时间</t>
  </si>
  <si>
    <t>箱唛状态</t>
  </si>
  <si>
    <t>备注</t>
  </si>
  <si>
    <t>发票号</t>
  </si>
  <si>
    <t>船期</t>
  </si>
  <si>
    <t>是否入系统</t>
  </si>
  <si>
    <t>混装比例</t>
  </si>
  <si>
    <t>预计物料上印尼时间</t>
  </si>
  <si>
    <t>物料到印尼时间</t>
  </si>
  <si>
    <t>包材上料时间</t>
  </si>
  <si>
    <t>塑胶件上料时间</t>
  </si>
  <si>
    <t>纸吉</t>
  </si>
  <si>
    <t>五金上料时间</t>
  </si>
  <si>
    <t>贴纸</t>
  </si>
  <si>
    <t>仓库复来料时间</t>
  </si>
  <si>
    <t>接单周期</t>
  </si>
  <si>
    <t>印尼周期</t>
  </si>
  <si>
    <t>L0225RR02</t>
  </si>
  <si>
    <t>印尼龙昌下单</t>
  </si>
  <si>
    <t>合计</t>
  </si>
  <si>
    <t>客名</t>
  </si>
  <si>
    <r>
      <rPr>
        <b/>
        <sz val="9"/>
        <color rgb="FFFF0000"/>
        <rFont val="宋体"/>
        <charset val="134"/>
      </rPr>
      <t>发票号</t>
    </r>
  </si>
  <si>
    <t>出货日期</t>
  </si>
  <si>
    <t>美国</t>
  </si>
  <si>
    <t>Nancy</t>
  </si>
  <si>
    <t>JD LNS 履带拖拉机</t>
  </si>
  <si>
    <t>Olivia</t>
  </si>
  <si>
    <t>布鲁伊家族沐浴玩具</t>
  </si>
  <si>
    <t>2-11 OK</t>
  </si>
  <si>
    <t>A0325RR02</t>
  </si>
  <si>
    <t>标准唛+TTT</t>
  </si>
  <si>
    <t>转10000PCS到PO10094685</t>
  </si>
  <si>
    <t>印尼备料</t>
  </si>
  <si>
    <t>布鲁伊沐浴玩具</t>
  </si>
  <si>
    <t>转7800PCS到PO10094685</t>
  </si>
  <si>
    <t>转2000PCS到PO10094685</t>
  </si>
  <si>
    <t>转10000PCS到PO10094708</t>
  </si>
  <si>
    <t>B1025RR02</t>
  </si>
  <si>
    <t>转5000PCS到PO10094708</t>
  </si>
  <si>
    <t>Janice</t>
  </si>
  <si>
    <t>3-5 OK</t>
  </si>
  <si>
    <t>从PO10089531转入7800PCS</t>
  </si>
  <si>
    <t>MPO</t>
  </si>
  <si>
    <t>JD LNS圆轮拖拉机</t>
  </si>
  <si>
    <t>需要JD贴纸</t>
  </si>
  <si>
    <t>C1325RR02</t>
  </si>
  <si>
    <t>待定</t>
  </si>
  <si>
    <t>未收到JD贴纸</t>
  </si>
  <si>
    <t>D1525RR02</t>
  </si>
  <si>
    <t>有Try me贴纸
有说明书
无价格贴纸</t>
  </si>
  <si>
    <t>动物车</t>
  </si>
  <si>
    <t>需要改双坑纸箱</t>
  </si>
  <si>
    <t>1：16收割机</t>
  </si>
  <si>
    <t>E1325RR02</t>
  </si>
  <si>
    <t>转129PCS到PO10098301
转492PCS到PO10098300
转38PCS到PO10098316
转43PCS到PO10098303
转51PCS到PO10098304
转67PCS到PO10098305
转24PCS到PO10098308
转200PCS到PO10098423
转35PCS到PO10098425
转12PCS到PO10098426
转30PCS到PO10098428
转184PCS到PO10098429
转240PCS到PO10098430
转24PCS到PO10098435</t>
  </si>
  <si>
    <t>挖土机</t>
  </si>
  <si>
    <t>转126PCS到PO10098301
转16PCS到PO10098316
转60PCS到PO10098303
转58PCS到PO10098304
转92PCS到PO10098305
转20PCS到PO10098307
转20PCS到PO10098423
转20PCS到PO10098425
转20PCS到PO10098426
转60PCS到PO10098428
转120PCS到PO10098432
转4PCS到PO10098435
转64PCS到PO10098436</t>
  </si>
  <si>
    <t>1：16货柜车</t>
  </si>
  <si>
    <t>转108PCS到PO10098301
转126PCS到PO10098300
转32PCS到PO10098316
转50PCS到PO10098303
转58PCS到PO10098304
转48PCS到PO10098305
转22PCS到PO10098307
转6PCS到PO10098308
转44PCS到PO10098310
转150PCS到PO10098423
转52PCS到PO10098425
转20PCS到PO10098428
转10PCS到PO10098446
转60PCS到PO1009832
转18PCS到PO10098435</t>
  </si>
  <si>
    <t>转32PCS到PO10098316
转20PCS到PO10098307
转64PCS到PO10098310
转80PCS到PO10098423
转24PCS到PO10098425
转40PCS到PO10098426
转272PCS到PO10098427
转40PCS到PO10098428
转80PCS到PO10098432
转8PCS到PO10098435</t>
  </si>
  <si>
    <t>转942PCS到PO10098301
转2240PCS到PO10098300
转576PCS到PO10098316
转412PCS到PO10098303
转370PCS到PO10098304
转676PCS到PO10098305
转72PCS到PO10098307
转160PCS到PO10098308
转360PCS到PO10098310
转2000PCS到PO10098423
转840PCS到PO10098425
转160PCS到PO10098426
转1000PCS到PO10098427
转800PCS到PO10098428
转4000PCS到PO10098429
转4400PCS到PO10098430
转300PCS到PO10098432
转7092PCS到PO10098433
转324PCS到PO10098435
转100PCS到PO10098436</t>
  </si>
  <si>
    <t>1：16翻斗车</t>
  </si>
  <si>
    <t>转24PCS到PO10098308
再转36pcs到10098428</t>
  </si>
  <si>
    <t>1:16拖车厢</t>
  </si>
  <si>
    <t>转112PCS到PO10098301
转50PCS到PO10098316
转54PCS到PO10098303
转58PCS到PO10098304
转48PCS到PO10098305
转32PCS到PO10098308
转106PCS到PO10098310
转120PCS到PO10098423
转98PCS到PO10098425
转48PCS到PO10098426
转30PCS到PO10098428
转44PCS到PO10098435
转30PCS到PO10098436</t>
  </si>
  <si>
    <t>TOMY COMPANY, LTD. (TKY-US)</t>
  </si>
  <si>
    <t>TOMY INTERNATIONAL INC.</t>
  </si>
  <si>
    <t>Cici</t>
  </si>
  <si>
    <t>OK</t>
  </si>
  <si>
    <t>已上</t>
  </si>
  <si>
    <t>4/23寄出</t>
  </si>
  <si>
    <t>比利时</t>
  </si>
  <si>
    <t>TOMY UK CO LTD</t>
  </si>
  <si>
    <t>Gary</t>
  </si>
  <si>
    <t>G1525RR02</t>
  </si>
  <si>
    <t>4/24收到JD贴纸</t>
  </si>
  <si>
    <t>5/5寄出</t>
  </si>
  <si>
    <t>布鲁伊家族杯子套装</t>
  </si>
  <si>
    <t>业务通知不备料</t>
  </si>
  <si>
    <t>澳大利亚</t>
  </si>
  <si>
    <t>TOMY AUSTRALIA PTY, LTD.</t>
  </si>
  <si>
    <t>Doreen</t>
  </si>
  <si>
    <t>I1525RR02</t>
  </si>
  <si>
    <t>J1525RR02</t>
  </si>
  <si>
    <t>H1325RR02</t>
  </si>
  <si>
    <t>仓库跟业务确认不用备料</t>
  </si>
  <si>
    <t>B1426RR02</t>
  </si>
  <si>
    <t>内部释放MA</t>
  </si>
  <si>
    <t>未</t>
  </si>
  <si>
    <t>已来实单扣除</t>
  </si>
  <si>
    <t>B1525RR02</t>
  </si>
  <si>
    <r>
      <rPr>
        <sz val="12"/>
        <rFont val="宋体"/>
        <charset val="134"/>
      </rPr>
      <t>货号</t>
    </r>
  </si>
  <si>
    <r>
      <rPr>
        <sz val="12"/>
        <rFont val="宋体"/>
        <charset val="134"/>
      </rPr>
      <t>接单</t>
    </r>
  </si>
  <si>
    <r>
      <rPr>
        <sz val="12"/>
        <rFont val="宋体"/>
        <charset val="134"/>
      </rPr>
      <t>排期</t>
    </r>
  </si>
  <si>
    <r>
      <rPr>
        <sz val="12"/>
        <rFont val="宋体"/>
        <charset val="134"/>
      </rPr>
      <t>走货</t>
    </r>
  </si>
  <si>
    <r>
      <rPr>
        <b/>
        <sz val="12"/>
        <color rgb="FF1B1BFB"/>
        <rFont val="宋体"/>
        <charset val="134"/>
      </rPr>
      <t>相差</t>
    </r>
  </si>
  <si>
    <r>
      <rPr>
        <sz val="12"/>
        <rFont val="宋体"/>
        <charset val="134"/>
      </rPr>
      <t>马里奥身子搪胶件</t>
    </r>
    <r>
      <rPr>
        <sz val="12"/>
        <rFont val="Times New Roman"/>
        <charset val="134"/>
      </rPr>
      <t>+</t>
    </r>
    <r>
      <rPr>
        <sz val="12"/>
        <rFont val="宋体"/>
        <charset val="134"/>
      </rPr>
      <t>帽子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</si>
</sst>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/yy;@"/>
    <numFmt numFmtId="177" formatCode="0.00_ ;[Red]\-0.00\ "/>
    <numFmt numFmtId="178" formatCode="yyyy/m/d&quot;周&quot;aaa"/>
    <numFmt numFmtId="179" formatCode="0_ "/>
    <numFmt numFmtId="180" formatCode="0.000_ ;[Red]\-0.000\ "/>
    <numFmt numFmtId="181" formatCode="m&quot;月&quot;d&quot;日&quot;;@"/>
    <numFmt numFmtId="182" formatCode="m&quot;月&quot;d&quot;日&quot;\(aaa\)"/>
    <numFmt numFmtId="183" formatCode="yyyy/m/d;@"/>
    <numFmt numFmtId="184" formatCode="0.000_ "/>
    <numFmt numFmtId="185" formatCode="0_ ;[Red]\-0\ "/>
    <numFmt numFmtId="186" formatCode="yyyy&quot;年&quot;m&quot;月&quot;d&quot;日&quot;;@"/>
  </numFmts>
  <fonts count="50">
    <font>
      <sz val="12"/>
      <name val="宋体"/>
      <charset val="134"/>
    </font>
    <font>
      <sz val="12"/>
      <name val="Times New Roman"/>
      <charset val="134"/>
    </font>
    <font>
      <b/>
      <sz val="12"/>
      <color rgb="FF1B1BFB"/>
      <name val="Times New Roman"/>
      <charset val="134"/>
    </font>
    <font>
      <sz val="9"/>
      <name val="宋体"/>
      <charset val="134"/>
      <scheme val="major"/>
    </font>
    <font>
      <strike/>
      <sz val="9"/>
      <color rgb="FFFF0000"/>
      <name val="宋体"/>
      <charset val="134"/>
      <scheme val="major"/>
    </font>
    <font>
      <b/>
      <sz val="9"/>
      <color rgb="FFFF0000"/>
      <name val="Times New Roman"/>
      <charset val="134"/>
    </font>
    <font>
      <sz val="9"/>
      <name val="宋体"/>
      <charset val="134"/>
    </font>
    <font>
      <sz val="9"/>
      <color rgb="FFFF0000"/>
      <name val="宋体"/>
      <charset val="134"/>
    </font>
    <font>
      <b/>
      <sz val="9"/>
      <color rgb="FFFF0000"/>
      <name val="宋体"/>
      <charset val="134"/>
      <scheme val="major"/>
    </font>
    <font>
      <b/>
      <strike/>
      <sz val="9"/>
      <color rgb="FFFF0000"/>
      <name val="宋体"/>
      <charset val="134"/>
      <scheme val="major"/>
    </font>
    <font>
      <b/>
      <strike/>
      <sz val="10"/>
      <color rgb="FFFF0000"/>
      <name val="Times New Roman"/>
      <charset val="134"/>
    </font>
    <font>
      <sz val="9"/>
      <color rgb="FFFF00FF"/>
      <name val="宋体"/>
      <charset val="134"/>
      <scheme val="major"/>
    </font>
    <font>
      <b/>
      <sz val="9"/>
      <name val="Times New Roman"/>
      <charset val="134"/>
    </font>
    <font>
      <sz val="9"/>
      <color rgb="FFFF0000"/>
      <name val="宋体"/>
      <charset val="134"/>
      <scheme val="major"/>
    </font>
    <font>
      <b/>
      <sz val="9"/>
      <color rgb="FFFF0000"/>
      <name val="宋体"/>
      <charset val="134"/>
    </font>
    <font>
      <sz val="12"/>
      <name val="黑体"/>
      <charset val="134"/>
    </font>
    <font>
      <b/>
      <sz val="18"/>
      <name val="黑体"/>
      <charset val="134"/>
    </font>
    <font>
      <sz val="9"/>
      <color rgb="FF0000FF"/>
      <name val="宋体"/>
      <charset val="134"/>
      <scheme val="major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0"/>
      <name val="Helv"/>
      <charset val="134"/>
    </font>
    <font>
      <sz val="10"/>
      <name val="Helv"/>
      <charset val="0"/>
    </font>
    <font>
      <sz val="10"/>
      <color indexed="8"/>
      <name val="Arial"/>
      <charset val="134"/>
    </font>
    <font>
      <sz val="10"/>
      <name val="Arial"/>
      <charset val="0"/>
    </font>
    <font>
      <b/>
      <sz val="12"/>
      <color rgb="FF1B1BFB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CA7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0">
    <xf numFmtId="0" fontId="0" fillId="0" borderId="0"/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4" borderId="4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" borderId="7" applyNumberFormat="0" applyAlignment="0" applyProtection="0">
      <alignment vertical="center"/>
    </xf>
    <xf numFmtId="0" fontId="30" fillId="6" borderId="8" applyNumberFormat="0" applyAlignment="0" applyProtection="0">
      <alignment vertical="center"/>
    </xf>
    <xf numFmtId="0" fontId="31" fillId="6" borderId="7" applyNumberFormat="0" applyAlignment="0" applyProtection="0">
      <alignment vertical="center"/>
    </xf>
    <xf numFmtId="0" fontId="32" fillId="7" borderId="9" applyNumberFormat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176" fontId="0" fillId="0" borderId="0"/>
    <xf numFmtId="0" fontId="0" fillId="0" borderId="0" applyProtection="0"/>
    <xf numFmtId="0" fontId="20" fillId="0" borderId="0">
      <alignment vertical="center"/>
    </xf>
    <xf numFmtId="0" fontId="40" fillId="0" borderId="0"/>
    <xf numFmtId="0" fontId="20" fillId="0" borderId="0">
      <alignment vertical="center"/>
    </xf>
    <xf numFmtId="0" fontId="41" fillId="0" borderId="0"/>
    <xf numFmtId="0" fontId="0" fillId="0" borderId="0" applyProtection="0"/>
    <xf numFmtId="0" fontId="0" fillId="0" borderId="0"/>
    <xf numFmtId="176" fontId="0" fillId="0" borderId="0"/>
    <xf numFmtId="176" fontId="0" fillId="0" borderId="0"/>
    <xf numFmtId="0" fontId="0" fillId="0" borderId="0"/>
    <xf numFmtId="0" fontId="1" fillId="0" borderId="0"/>
    <xf numFmtId="0" fontId="0" fillId="0" borderId="0"/>
    <xf numFmtId="176" fontId="0" fillId="0" borderId="0"/>
    <xf numFmtId="0" fontId="0" fillId="0" borderId="0" applyProtection="0"/>
    <xf numFmtId="0" fontId="0" fillId="0" borderId="0" applyProtection="0"/>
    <xf numFmtId="176" fontId="0" fillId="0" borderId="0"/>
    <xf numFmtId="0" fontId="0" fillId="0" borderId="0" applyProtection="0"/>
    <xf numFmtId="0" fontId="0" fillId="0" borderId="0" applyProtection="0"/>
    <xf numFmtId="0" fontId="0" fillId="0" borderId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42" fillId="0" borderId="0"/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3" fillId="0" borderId="0">
      <alignment vertical="top"/>
    </xf>
    <xf numFmtId="0" fontId="0" fillId="0" borderId="0"/>
    <xf numFmtId="0" fontId="44" fillId="0" borderId="0"/>
    <xf numFmtId="0" fontId="44" fillId="0" borderId="0"/>
  </cellStyleXfs>
  <cellXfs count="14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8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 applyProtection="1">
      <alignment horizontal="center" vertical="center" wrapText="1"/>
    </xf>
    <xf numFmtId="179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 applyProtection="1">
      <alignment horizontal="center" vertical="center"/>
    </xf>
    <xf numFmtId="180" fontId="3" fillId="0" borderId="0" xfId="0" applyNumberFormat="1" applyFont="1" applyFill="1" applyBorder="1" applyAlignment="1" applyProtection="1">
      <alignment horizontal="center" vertical="center" wrapText="1"/>
    </xf>
    <xf numFmtId="177" fontId="3" fillId="0" borderId="0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 vertical="center" wrapText="1" shrinkToFit="1"/>
    </xf>
    <xf numFmtId="181" fontId="3" fillId="0" borderId="0" xfId="0" applyNumberFormat="1" applyFont="1" applyFill="1" applyBorder="1" applyAlignment="1" applyProtection="1">
      <alignment horizontal="center" vertical="center" wrapText="1"/>
    </xf>
    <xf numFmtId="178" fontId="6" fillId="0" borderId="1" xfId="0" applyNumberFormat="1" applyFont="1" applyFill="1" applyBorder="1" applyAlignment="1" applyProtection="1">
      <alignment horizontal="center" vertical="center" wrapText="1" shrinkToFit="1"/>
    </xf>
    <xf numFmtId="178" fontId="7" fillId="0" borderId="1" xfId="0" applyNumberFormat="1" applyFont="1" applyFill="1" applyBorder="1" applyAlignment="1" applyProtection="1">
      <alignment horizontal="center" vertical="center" wrapText="1" shrinkToFit="1"/>
    </xf>
    <xf numFmtId="178" fontId="3" fillId="0" borderId="1" xfId="0" applyNumberFormat="1" applyFont="1" applyFill="1" applyBorder="1" applyAlignment="1" applyProtection="1">
      <alignment horizontal="center" vertical="center" wrapText="1" shrinkToFit="1"/>
    </xf>
    <xf numFmtId="178" fontId="3" fillId="0" borderId="1" xfId="0" applyNumberFormat="1" applyFont="1" applyFill="1" applyBorder="1" applyAlignment="1">
      <alignment horizontal="center" vertical="center" wrapText="1" shrinkToFit="1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 shrinkToFit="1"/>
    </xf>
    <xf numFmtId="0" fontId="3" fillId="0" borderId="1" xfId="0" applyFont="1" applyFill="1" applyBorder="1" applyAlignment="1" applyProtection="1">
      <alignment horizontal="center" vertical="center" wrapText="1" shrinkToFi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/>
    </xf>
    <xf numFmtId="177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 shrinkToFit="1"/>
    </xf>
    <xf numFmtId="0" fontId="3" fillId="0" borderId="1" xfId="0" applyFont="1" applyFill="1" applyBorder="1" applyAlignment="1" applyProtection="1">
      <alignment horizontal="center" vertical="center"/>
    </xf>
    <xf numFmtId="181" fontId="6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8" fontId="6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8" fontId="7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4" fillId="0" borderId="1" xfId="0" applyNumberFormat="1" applyFont="1" applyFill="1" applyBorder="1" applyAlignment="1" applyProtection="1">
      <alignment horizontal="center" vertical="center" wrapText="1"/>
    </xf>
    <xf numFmtId="182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</xf>
    <xf numFmtId="179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 shrinkToFit="1"/>
    </xf>
    <xf numFmtId="0" fontId="4" fillId="0" borderId="1" xfId="0" applyNumberFormat="1" applyFont="1" applyFill="1" applyBorder="1" applyAlignment="1" applyProtection="1">
      <alignment horizontal="center" vertical="center" wrapText="1" shrinkToFi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178" fontId="4" fillId="0" borderId="1" xfId="0" applyNumberFormat="1" applyFont="1" applyFill="1" applyBorder="1" applyAlignment="1" applyProtection="1">
      <alignment horizontal="center" vertical="center" wrapText="1" shrinkToFit="1"/>
    </xf>
    <xf numFmtId="177" fontId="4" fillId="0" borderId="1" xfId="0" applyNumberFormat="1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 applyProtection="1">
      <alignment horizontal="center" vertical="center"/>
    </xf>
    <xf numFmtId="181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183" fontId="4" fillId="0" borderId="1" xfId="0" applyNumberFormat="1" applyFont="1" applyFill="1" applyBorder="1" applyAlignment="1" applyProtection="1">
      <alignment horizontal="center" vertical="center" wrapText="1"/>
    </xf>
    <xf numFmtId="58" fontId="9" fillId="0" borderId="1" xfId="0" applyNumberFormat="1" applyFont="1" applyFill="1" applyBorder="1" applyAlignment="1" applyProtection="1">
      <alignment horizontal="center" vertical="center"/>
    </xf>
    <xf numFmtId="178" fontId="3" fillId="0" borderId="1" xfId="0" applyNumberFormat="1" applyFont="1" applyFill="1" applyBorder="1" applyAlignment="1" applyProtection="1">
      <alignment horizontal="center" vertical="center" wrapText="1"/>
    </xf>
    <xf numFmtId="182" fontId="3" fillId="0" borderId="1" xfId="0" applyNumberFormat="1" applyFont="1" applyFill="1" applyBorder="1" applyAlignment="1" applyProtection="1">
      <alignment horizontal="center" vertical="center" wrapText="1"/>
    </xf>
    <xf numFmtId="179" fontId="3" fillId="0" borderId="1" xfId="0" applyNumberFormat="1" applyFont="1" applyFill="1" applyBorder="1" applyAlignment="1" applyProtection="1">
      <alignment horizontal="center" vertical="center" wrapText="1"/>
    </xf>
    <xf numFmtId="177" fontId="3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/>
    </xf>
    <xf numFmtId="181" fontId="3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 applyProtection="1">
      <alignment horizontal="center" vertical="center"/>
    </xf>
    <xf numFmtId="0" fontId="0" fillId="0" borderId="1" xfId="0" applyBorder="1"/>
    <xf numFmtId="0" fontId="5" fillId="0" borderId="1" xfId="0" applyNumberFormat="1" applyFont="1" applyFill="1" applyBorder="1" applyAlignment="1" applyProtection="1">
      <alignment horizontal="center" vertical="center" wrapText="1" shrinkToFit="1"/>
    </xf>
    <xf numFmtId="181" fontId="3" fillId="0" borderId="1" xfId="0" applyNumberFormat="1" applyFont="1" applyFill="1" applyBorder="1" applyAlignment="1" applyProtection="1">
      <alignment horizontal="center" vertical="center"/>
    </xf>
    <xf numFmtId="180" fontId="3" fillId="0" borderId="1" xfId="0" applyNumberFormat="1" applyFont="1" applyFill="1" applyBorder="1" applyAlignment="1" applyProtection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/>
    <xf numFmtId="0" fontId="12" fillId="0" borderId="1" xfId="0" applyNumberFormat="1" applyFont="1" applyFill="1" applyBorder="1" applyAlignment="1" applyProtection="1">
      <alignment horizontal="center" vertical="center" wrapText="1" shrinkToFit="1"/>
    </xf>
    <xf numFmtId="178" fontId="13" fillId="0" borderId="0" xfId="0" applyNumberFormat="1" applyFont="1" applyFill="1" applyBorder="1" applyAlignment="1" applyProtection="1">
      <alignment horizontal="center" vertical="center" wrapText="1"/>
    </xf>
    <xf numFmtId="184" fontId="3" fillId="0" borderId="0" xfId="0" applyNumberFormat="1" applyFont="1" applyFill="1" applyBorder="1" applyAlignment="1" applyProtection="1">
      <alignment horizontal="center" vertical="center" wrapText="1"/>
    </xf>
    <xf numFmtId="0" fontId="8" fillId="0" borderId="0" xfId="0" applyNumberFormat="1" applyFont="1" applyFill="1" applyBorder="1" applyAlignment="1" applyProtection="1">
      <alignment horizontal="center" vertical="center" wrapText="1" shrinkToFit="1"/>
    </xf>
    <xf numFmtId="178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Protection="1">
      <protection locked="0"/>
    </xf>
    <xf numFmtId="0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184" fontId="3" fillId="0" borderId="1" xfId="0" applyNumberFormat="1" applyFont="1" applyFill="1" applyBorder="1" applyAlignment="1" applyProtection="1">
      <alignment horizontal="center" vertical="center" wrapText="1"/>
    </xf>
    <xf numFmtId="178" fontId="13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/>
    </xf>
    <xf numFmtId="178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Border="1"/>
    <xf numFmtId="178" fontId="13" fillId="0" borderId="1" xfId="0" applyNumberFormat="1" applyFont="1" applyFill="1" applyBorder="1" applyAlignment="1" applyProtection="1">
      <alignment horizontal="center" vertical="center"/>
    </xf>
    <xf numFmtId="0" fontId="0" fillId="0" borderId="1" xfId="0" applyFill="1" applyBorder="1" applyProtection="1"/>
    <xf numFmtId="178" fontId="3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14" fillId="0" borderId="0" xfId="0" applyFont="1" applyFill="1" applyAlignment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 wrapText="1"/>
    </xf>
    <xf numFmtId="179" fontId="6" fillId="0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/>
    </xf>
    <xf numFmtId="180" fontId="6" fillId="0" borderId="0" xfId="0" applyNumberFormat="1" applyFont="1" applyFill="1" applyAlignment="1">
      <alignment horizontal="center" vertical="center" wrapText="1"/>
    </xf>
    <xf numFmtId="177" fontId="6" fillId="0" borderId="0" xfId="0" applyNumberFormat="1" applyFont="1" applyFill="1" applyAlignment="1">
      <alignment horizontal="center" vertical="center" wrapText="1"/>
    </xf>
    <xf numFmtId="178" fontId="6" fillId="0" borderId="1" xfId="0" applyNumberFormat="1" applyFont="1" applyFill="1" applyBorder="1" applyAlignment="1">
      <alignment horizontal="center" vertical="center" wrapText="1"/>
    </xf>
    <xf numFmtId="179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79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80" fontId="6" fillId="0" borderId="1" xfId="0" applyNumberFormat="1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shrinkToFit="1"/>
    </xf>
    <xf numFmtId="178" fontId="6" fillId="0" borderId="1" xfId="0" applyNumberFormat="1" applyFont="1" applyFill="1" applyBorder="1" applyAlignment="1">
      <alignment horizontal="center" vertical="center" wrapText="1" shrinkToFit="1"/>
    </xf>
    <xf numFmtId="3" fontId="3" fillId="0" borderId="1" xfId="0" applyNumberFormat="1" applyFont="1" applyFill="1" applyBorder="1" applyAlignment="1">
      <alignment horizontal="center" vertical="center" wrapText="1"/>
    </xf>
    <xf numFmtId="180" fontId="3" fillId="0" borderId="1" xfId="0" applyNumberFormat="1" applyFont="1" applyFill="1" applyBorder="1" applyAlignment="1">
      <alignment horizontal="center" vertical="center" wrapText="1"/>
    </xf>
    <xf numFmtId="178" fontId="8" fillId="0" borderId="1" xfId="0" applyNumberFormat="1" applyFont="1" applyFill="1" applyBorder="1" applyAlignment="1" applyProtection="1">
      <alignment horizontal="center" vertical="center" wrapText="1"/>
    </xf>
    <xf numFmtId="182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 wrapText="1"/>
    </xf>
    <xf numFmtId="179" fontId="8" fillId="0" borderId="1" xfId="0" applyNumberFormat="1" applyFont="1" applyFill="1" applyBorder="1" applyAlignment="1" applyProtection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177" fontId="14" fillId="0" borderId="1" xfId="0" applyNumberFormat="1" applyFont="1" applyFill="1" applyBorder="1" applyAlignment="1">
      <alignment horizontal="center" vertical="center" wrapText="1"/>
    </xf>
    <xf numFmtId="178" fontId="8" fillId="0" borderId="0" xfId="0" applyNumberFormat="1" applyFont="1" applyFill="1" applyBorder="1" applyAlignment="1" applyProtection="1">
      <alignment horizontal="center" vertical="center" wrapText="1"/>
    </xf>
    <xf numFmtId="182" fontId="8" fillId="0" borderId="0" xfId="0" applyNumberFormat="1" applyFont="1" applyFill="1" applyBorder="1" applyAlignment="1" applyProtection="1">
      <alignment horizontal="center" vertical="center" wrapText="1"/>
    </xf>
    <xf numFmtId="0" fontId="8" fillId="0" borderId="0" xfId="0" applyFont="1" applyFill="1" applyAlignment="1" applyProtection="1">
      <alignment horizontal="center" vertical="center" wrapText="1"/>
    </xf>
    <xf numFmtId="179" fontId="8" fillId="0" borderId="0" xfId="0" applyNumberFormat="1" applyFont="1" applyFill="1" applyAlignment="1" applyProtection="1">
      <alignment horizontal="center" vertical="center" wrapText="1"/>
    </xf>
    <xf numFmtId="0" fontId="8" fillId="0" borderId="0" xfId="0" applyNumberFormat="1" applyFont="1" applyFill="1" applyAlignment="1" applyProtection="1">
      <alignment horizontal="center" vertical="center" wrapText="1" shrinkToFit="1"/>
    </xf>
    <xf numFmtId="177" fontId="14" fillId="0" borderId="0" xfId="0" applyNumberFormat="1" applyFont="1" applyFill="1" applyAlignment="1">
      <alignment horizontal="center" vertical="center" wrapText="1"/>
    </xf>
    <xf numFmtId="182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Alignment="1" applyProtection="1">
      <alignment horizontal="center" vertical="center" wrapText="1"/>
    </xf>
    <xf numFmtId="179" fontId="3" fillId="0" borderId="0" xfId="0" applyNumberFormat="1" applyFont="1" applyFill="1" applyAlignment="1" applyProtection="1">
      <alignment horizontal="center" vertical="center" wrapText="1"/>
    </xf>
    <xf numFmtId="0" fontId="3" fillId="0" borderId="0" xfId="0" applyNumberFormat="1" applyFont="1" applyFill="1" applyAlignment="1" applyProtection="1">
      <alignment horizontal="center" vertical="center" wrapText="1" shrinkToFit="1"/>
    </xf>
    <xf numFmtId="178" fontId="3" fillId="0" borderId="0" xfId="0" applyNumberFormat="1" applyFont="1" applyFill="1" applyAlignment="1" applyProtection="1">
      <alignment horizontal="center" vertical="center" wrapText="1"/>
    </xf>
    <xf numFmtId="178" fontId="5" fillId="0" borderId="0" xfId="0" applyNumberFormat="1" applyFont="1" applyFill="1" applyBorder="1" applyAlignment="1">
      <alignment horizontal="center" vertical="center" wrapText="1"/>
    </xf>
    <xf numFmtId="178" fontId="5" fillId="0" borderId="0" xfId="0" applyNumberFormat="1" applyFont="1" applyFill="1" applyBorder="1" applyAlignment="1">
      <alignment horizontal="right" vertical="center" wrapText="1"/>
    </xf>
    <xf numFmtId="177" fontId="5" fillId="0" borderId="0" xfId="0" applyNumberFormat="1" applyFont="1" applyFill="1" applyBorder="1" applyAlignment="1">
      <alignment horizontal="center" vertical="center" wrapText="1"/>
    </xf>
    <xf numFmtId="185" fontId="5" fillId="0" borderId="0" xfId="0" applyNumberFormat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vertical="center"/>
    </xf>
    <xf numFmtId="186" fontId="16" fillId="0" borderId="0" xfId="0" applyNumberFormat="1" applyFont="1" applyFill="1" applyBorder="1" applyAlignment="1">
      <alignment vertical="center"/>
    </xf>
    <xf numFmtId="178" fontId="3" fillId="0" borderId="0" xfId="0" applyNumberFormat="1" applyFont="1" applyFill="1" applyAlignment="1">
      <alignment horizontal="left" vertical="center"/>
    </xf>
    <xf numFmtId="178" fontId="3" fillId="0" borderId="0" xfId="0" applyNumberFormat="1" applyFont="1" applyFill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/>
    </xf>
    <xf numFmtId="178" fontId="17" fillId="0" borderId="1" xfId="0" applyNumberFormat="1" applyFont="1" applyFill="1" applyBorder="1" applyAlignment="1">
      <alignment horizontal="center" vertical="center" wrapText="1"/>
    </xf>
    <xf numFmtId="178" fontId="11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178" fontId="13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18" fillId="0" borderId="0" xfId="0" applyFont="1" applyFill="1" applyAlignment="1" quotePrefix="1">
      <alignment horizontal="center" vertical="center"/>
    </xf>
    <xf numFmtId="0" fontId="1" fillId="0" borderId="0" xfId="0" applyFont="1" applyAlignment="1" quotePrefix="1">
      <alignment horizontal="center" vertical="center" wrapText="1"/>
    </xf>
  </cellXfs>
  <cellStyles count="10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" xfId="49"/>
    <cellStyle name="常规 2 3 3" xfId="50"/>
    <cellStyle name="常规 6" xfId="51"/>
    <cellStyle name="Normal_Book1_INVOICE (Tray 2+ 3) 2003070091&amp;031212" xfId="52"/>
    <cellStyle name="常规 5 2" xfId="53"/>
    <cellStyle name="_ET_STYLE_NoName_00_" xfId="54"/>
    <cellStyle name="常规 2 5" xfId="55"/>
    <cellStyle name="样式 1 2 2" xfId="56"/>
    <cellStyle name="常规 2 2 2" xfId="57"/>
    <cellStyle name="常规 2 2 3" xfId="58"/>
    <cellStyle name="样式 1 2 3" xfId="59"/>
    <cellStyle name="Normal 2" xfId="60"/>
    <cellStyle name="常规_评审表" xfId="61"/>
    <cellStyle name="常规 2 2" xfId="62"/>
    <cellStyle name="常规 2 3" xfId="63"/>
    <cellStyle name="常规 2 3 2" xfId="64"/>
    <cellStyle name="常规 2" xfId="65"/>
    <cellStyle name="常规 2 3 2 2" xfId="66"/>
    <cellStyle name="常规 2 4" xfId="67"/>
    <cellStyle name="常规 2 4 2" xfId="68"/>
    <cellStyle name="常规 3" xfId="69"/>
    <cellStyle name="常规 3 2" xfId="70"/>
    <cellStyle name="常规 3 2 2" xfId="71"/>
    <cellStyle name="常规 3 3" xfId="72"/>
    <cellStyle name="常规 4" xfId="73"/>
    <cellStyle name="常规 4 2" xfId="74"/>
    <cellStyle name="常规 4 2 2" xfId="75"/>
    <cellStyle name="常规 4 3" xfId="76"/>
    <cellStyle name="常规 5" xfId="77"/>
    <cellStyle name="常规_2014年Basic Concepts合同评审表(3)" xfId="78"/>
    <cellStyle name="常规_Sheet3" xfId="79"/>
    <cellStyle name="常规_排期" xfId="80"/>
    <cellStyle name="千位分隔 2" xfId="81"/>
    <cellStyle name="千位分隔 2 2" xfId="82"/>
    <cellStyle name="千位分隔 2 2 2" xfId="83"/>
    <cellStyle name="千位分隔 2 4" xfId="84"/>
    <cellStyle name="千位分隔 2 2 2 2" xfId="85"/>
    <cellStyle name="千位分隔 2 2 3" xfId="86"/>
    <cellStyle name="千位分隔 2 3" xfId="87"/>
    <cellStyle name="常规_华登制品" xfId="88"/>
    <cellStyle name="千位分隔 2 3 2" xfId="89"/>
    <cellStyle name="样式 1" xfId="90"/>
    <cellStyle name="样式 1 2" xfId="91"/>
    <cellStyle name="样式 1 2 2 2" xfId="92"/>
    <cellStyle name="样式 1 3" xfId="93"/>
    <cellStyle name="样式 1 3 2" xfId="94"/>
    <cellStyle name="样式 1 4" xfId="95"/>
    <cellStyle name="常规_内部明细" xfId="96"/>
    <cellStyle name="常规_成品库存总表_成品库存表1" xfId="97"/>
    <cellStyle name="Normal_RCI CON_ERTL EUROPE - Oct 2002 (1A)_RCIL - JAN 2004  (CPD)1_RCIL - MAR 2004  (CPD)" xfId="98"/>
    <cellStyle name="Normal_RCI CON_ERTL EUROPE - Oct 2002 (1A)_RCIL - JAN 2004  (CPD)1_RCIL - MAR 2004  (CPD) 2" xfId="9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colors>
    <mruColors>
      <color rgb="00FAE5F8"/>
      <color rgb="000000FF"/>
      <color rgb="001552D1"/>
      <color rgb="00E82EE6"/>
      <color rgb="001B1BFB"/>
      <color rgb="00FF0000"/>
      <color rgb="00ECA7E6"/>
      <color rgb="00000000"/>
      <color rgb="00FF00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530" dbFileVersion="0" changeLogVersion="0">
    <open main="117" threadCnt="1"/>
    <sheetInfos>
      <sheetInfo cellCmpFml="0" sheetStid="48">
        <open main="1" threadCnt="1"/>
      </sheetInfo>
      <sheetInfo cellCmpFml="22" sheetStid="47">
        <open main="1" threadCnt="1"/>
      </sheetInfo>
      <sheetInfo cellCmpFml="18" sheetStid="45">
        <open main="1" threadCnt="1"/>
      </sheetInfo>
      <sheetInfo cellCmpFml="7" sheetStid="55">
        <open threadCnt="1"/>
      </sheetInfo>
      <sheetInfo cellCmpFml="170" sheetStid="56">
        <open main="28" threadCnt="1"/>
      </sheetInfo>
      <sheetInfo cellCmpFml="313" sheetStid="57">
        <open main="5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www.wps.cn/officeDocument/2023/relationships/woinfos" Target="woinfos.xml"/><Relationship Id="rId13" Type="http://schemas.openxmlformats.org/officeDocument/2006/relationships/styles" Target="styles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:/&#29579;&#24605;&#29738;/2025&#24180;/2025&#24180;&#21508;&#23458;&#25490;&#26399;/2025&#24180;TOMY&#21360;&#23612;&#25490;&#26399;6-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名称"/>
      <sheetName val="总接单"/>
      <sheetName val="总排期"/>
      <sheetName val="已走货"/>
      <sheetName val="取消单"/>
    </sheetNames>
    <sheetDataSet>
      <sheetData sheetId="0">
        <row r="1">
          <cell r="A1" t="str">
            <v>货号</v>
          </cell>
          <cell r="B1" t="str">
            <v>产品名称</v>
          </cell>
          <cell r="C1" t="str">
            <v>外箱</v>
          </cell>
          <cell r="D1" t="str">
            <v>车间</v>
          </cell>
        </row>
        <row r="2">
          <cell r="A2">
            <v>47329</v>
          </cell>
          <cell r="B2" t="str">
            <v>收割车</v>
          </cell>
          <cell r="C2">
            <v>2</v>
          </cell>
          <cell r="D2" t="str">
            <v>A</v>
          </cell>
        </row>
        <row r="3">
          <cell r="A3">
            <v>47399</v>
          </cell>
          <cell r="B3" t="str">
            <v>洒水车</v>
          </cell>
          <cell r="C3">
            <v>4</v>
          </cell>
          <cell r="D3" t="str">
            <v>B</v>
          </cell>
        </row>
        <row r="4">
          <cell r="A4">
            <v>47550</v>
          </cell>
          <cell r="B4" t="str">
            <v>回力车</v>
          </cell>
          <cell r="C4">
            <v>4</v>
          </cell>
          <cell r="D4" t="str">
            <v>B</v>
          </cell>
        </row>
        <row r="5">
          <cell r="A5">
            <v>47615</v>
          </cell>
          <cell r="B5" t="str">
            <v>跳舞的玉米</v>
          </cell>
          <cell r="C5">
            <v>6</v>
          </cell>
          <cell r="D5" t="str">
            <v>B</v>
          </cell>
        </row>
        <row r="6">
          <cell r="A6">
            <v>47640</v>
          </cell>
          <cell r="B6" t="str">
            <v>半挂车</v>
          </cell>
          <cell r="C6">
            <v>2</v>
          </cell>
          <cell r="D6" t="str">
            <v>B</v>
          </cell>
        </row>
        <row r="7">
          <cell r="A7">
            <v>47669</v>
          </cell>
          <cell r="B7" t="str">
            <v>动物车</v>
          </cell>
          <cell r="C7">
            <v>4</v>
          </cell>
          <cell r="D7" t="str">
            <v>印尼</v>
          </cell>
        </row>
        <row r="8">
          <cell r="A8">
            <v>47674</v>
          </cell>
          <cell r="B8" t="str">
            <v>JD LNS圆轮拖拉机</v>
          </cell>
          <cell r="C8">
            <v>2</v>
          </cell>
          <cell r="D8" t="str">
            <v>印尼</v>
          </cell>
        </row>
        <row r="9">
          <cell r="A9" t="str">
            <v>35189AZ</v>
          </cell>
          <cell r="B9" t="str">
            <v>吹气车</v>
          </cell>
          <cell r="C9">
            <v>2</v>
          </cell>
          <cell r="D9" t="str">
            <v>A</v>
          </cell>
        </row>
        <row r="10">
          <cell r="A10" t="str">
            <v>35189B</v>
          </cell>
          <cell r="B10" t="str">
            <v>吹气车</v>
          </cell>
          <cell r="C10">
            <v>2</v>
          </cell>
          <cell r="D10" t="str">
            <v>A</v>
          </cell>
        </row>
        <row r="11">
          <cell r="A11" t="str">
            <v>35189C</v>
          </cell>
          <cell r="B11" t="str">
            <v>吹气车</v>
          </cell>
          <cell r="C11">
            <v>2</v>
          </cell>
          <cell r="D11" t="str">
            <v>A</v>
          </cell>
        </row>
        <row r="12">
          <cell r="A12" t="str">
            <v>35206B</v>
          </cell>
          <cell r="B12" t="str">
            <v>猪马牛羊车（单支装）</v>
          </cell>
          <cell r="C12">
            <v>2</v>
          </cell>
          <cell r="D12" t="str">
            <v>A</v>
          </cell>
        </row>
        <row r="13">
          <cell r="A13" t="str">
            <v>35802J</v>
          </cell>
          <cell r="B13" t="str">
            <v>挖土机</v>
          </cell>
          <cell r="C13">
            <v>2</v>
          </cell>
          <cell r="D13" t="str">
            <v>印尼</v>
          </cell>
        </row>
        <row r="14">
          <cell r="A14" t="str">
            <v>46644B</v>
          </cell>
          <cell r="B14" t="str">
            <v>发光车</v>
          </cell>
          <cell r="C14">
            <v>2</v>
          </cell>
          <cell r="D14" t="str">
            <v>A</v>
          </cell>
        </row>
        <row r="15">
          <cell r="A15" t="str">
            <v>46656EU1</v>
          </cell>
          <cell r="B15" t="str">
            <v>6"拖拉机</v>
          </cell>
          <cell r="C15">
            <v>4</v>
          </cell>
          <cell r="D15" t="str">
            <v>B</v>
          </cell>
        </row>
        <row r="16">
          <cell r="A16" t="str">
            <v>46670C</v>
          </cell>
          <cell r="B16" t="str">
            <v>46656/46748
混装</v>
          </cell>
          <cell r="C16">
            <v>4</v>
          </cell>
          <cell r="D16" t="str">
            <v>B</v>
          </cell>
        </row>
        <row r="17">
          <cell r="A17" t="str">
            <v>46670TSC</v>
          </cell>
          <cell r="B17" t="str">
            <v>46656/46748
混装</v>
          </cell>
          <cell r="C17">
            <v>4</v>
          </cell>
          <cell r="D17" t="str">
            <v>B</v>
          </cell>
        </row>
        <row r="18">
          <cell r="A18" t="str">
            <v>46720J</v>
          </cell>
          <cell r="B18" t="str">
            <v>木材运输车</v>
          </cell>
          <cell r="C18">
            <v>4</v>
          </cell>
          <cell r="D18" t="str">
            <v>印尼</v>
          </cell>
        </row>
        <row r="19">
          <cell r="A19" t="str">
            <v>47101J</v>
          </cell>
          <cell r="B19" t="str">
            <v>1:16收割机</v>
          </cell>
          <cell r="C19">
            <v>1</v>
          </cell>
          <cell r="D19" t="str">
            <v>印尼</v>
          </cell>
        </row>
        <row r="20">
          <cell r="A20" t="str">
            <v>47280A</v>
          </cell>
          <cell r="B20" t="str">
            <v>童车</v>
          </cell>
          <cell r="C20">
            <v>1</v>
          </cell>
          <cell r="D20" t="str">
            <v>B</v>
          </cell>
        </row>
        <row r="21">
          <cell r="A21" t="str">
            <v>47367J</v>
          </cell>
          <cell r="B21" t="str">
            <v>1:16拖车厢</v>
          </cell>
          <cell r="C21">
            <v>2</v>
          </cell>
          <cell r="D21" t="str">
            <v>印尼</v>
          </cell>
        </row>
        <row r="22">
          <cell r="A22" t="str">
            <v>47465J1</v>
          </cell>
          <cell r="B22" t="str">
            <v>牵引车</v>
          </cell>
          <cell r="C22">
            <v>2</v>
          </cell>
          <cell r="D22" t="str">
            <v>印尼</v>
          </cell>
        </row>
        <row r="23">
          <cell r="A23" t="str">
            <v>47600J</v>
          </cell>
          <cell r="B23" t="str">
            <v>1:16货柜车</v>
          </cell>
          <cell r="C23">
            <v>2</v>
          </cell>
          <cell r="D23" t="str">
            <v>印尼</v>
          </cell>
        </row>
        <row r="24">
          <cell r="A24" t="str">
            <v>47602J</v>
          </cell>
          <cell r="B24" t="str">
            <v>1:16翻斗车</v>
          </cell>
          <cell r="C24">
            <v>4</v>
          </cell>
          <cell r="D24" t="str">
            <v>印尼</v>
          </cell>
        </row>
        <row r="25">
          <cell r="A25" t="str">
            <v>47669TSC</v>
          </cell>
          <cell r="B25" t="str">
            <v>动物车</v>
          </cell>
          <cell r="C25">
            <v>4</v>
          </cell>
          <cell r="D25" t="str">
            <v>印尼</v>
          </cell>
        </row>
        <row r="26">
          <cell r="A26" t="str">
            <v>47674DG</v>
          </cell>
          <cell r="B26" t="str">
            <v>JD LNS圆轮拖拉机</v>
          </cell>
          <cell r="C26">
            <v>2</v>
          </cell>
          <cell r="D26" t="str">
            <v>印尼</v>
          </cell>
        </row>
        <row r="27">
          <cell r="A27" t="str">
            <v>47674TSC</v>
          </cell>
          <cell r="B27" t="str">
            <v>JD LNS圆轮拖拉机</v>
          </cell>
          <cell r="C27">
            <v>2</v>
          </cell>
          <cell r="D27" t="str">
            <v>印尼</v>
          </cell>
        </row>
        <row r="28">
          <cell r="A28" t="str">
            <v>E73254</v>
          </cell>
          <cell r="B28" t="str">
            <v>恐龙推车（开窗盒）</v>
          </cell>
          <cell r="C28">
            <v>2</v>
          </cell>
          <cell r="D28" t="str">
            <v>B</v>
          </cell>
        </row>
        <row r="29">
          <cell r="A29" t="str">
            <v>E73622A</v>
          </cell>
          <cell r="B29" t="str">
            <v>布鲁伊家族杯子套装</v>
          </cell>
          <cell r="C29">
            <v>4</v>
          </cell>
          <cell r="D29" t="str">
            <v>印尼</v>
          </cell>
        </row>
        <row r="30">
          <cell r="A30" t="str">
            <v>E73622AWM</v>
          </cell>
          <cell r="B30" t="str">
            <v>布鲁伊家族沐浴玩具</v>
          </cell>
          <cell r="C30">
            <v>2</v>
          </cell>
          <cell r="D30" t="str">
            <v>印尼</v>
          </cell>
        </row>
        <row r="31">
          <cell r="A31" t="str">
            <v>E73622AZ</v>
          </cell>
          <cell r="B31" t="str">
            <v>布鲁伊家族沐浴玩具</v>
          </cell>
          <cell r="C31">
            <v>6</v>
          </cell>
          <cell r="D31" t="str">
            <v>印尼</v>
          </cell>
        </row>
        <row r="32">
          <cell r="A32" t="str">
            <v>E73623A1</v>
          </cell>
          <cell r="B32" t="str">
            <v>布鲁伊+宾果沐浴玩具混装</v>
          </cell>
          <cell r="C32">
            <v>6</v>
          </cell>
          <cell r="D32" t="str">
            <v>印尼</v>
          </cell>
        </row>
        <row r="33">
          <cell r="A33" t="str">
            <v>E73635A</v>
          </cell>
          <cell r="B33" t="str">
            <v>布鲁伊沐浴玩具</v>
          </cell>
          <cell r="C33">
            <v>6</v>
          </cell>
          <cell r="D33" t="str">
            <v>印尼</v>
          </cell>
        </row>
        <row r="34">
          <cell r="A34" t="str">
            <v>E73636A</v>
          </cell>
          <cell r="B34" t="str">
            <v>宾果沐浴玩具</v>
          </cell>
          <cell r="C34">
            <v>6</v>
          </cell>
          <cell r="D34" t="str">
            <v>印尼</v>
          </cell>
        </row>
        <row r="35">
          <cell r="A35" t="str">
            <v>E73697</v>
          </cell>
          <cell r="B35" t="str">
            <v>EVA拼图</v>
          </cell>
          <cell r="C35">
            <v>6</v>
          </cell>
          <cell r="D35" t="str">
            <v>B</v>
          </cell>
        </row>
        <row r="36">
          <cell r="A36" t="str">
            <v>E73697WM</v>
          </cell>
          <cell r="B36" t="str">
            <v>EVA拼图</v>
          </cell>
          <cell r="C36">
            <v>4</v>
          </cell>
          <cell r="D36" t="str">
            <v>B</v>
          </cell>
        </row>
        <row r="37">
          <cell r="A37" t="str">
            <v>E73814C</v>
          </cell>
          <cell r="B37" t="str">
            <v>泡泡壶</v>
          </cell>
          <cell r="C37">
            <v>4</v>
          </cell>
          <cell r="D37" t="str">
            <v>印尼</v>
          </cell>
        </row>
        <row r="38">
          <cell r="A38" t="str">
            <v>E73860C</v>
          </cell>
          <cell r="B38" t="str">
            <v>泡泡壶密封盒</v>
          </cell>
          <cell r="C38">
            <v>4</v>
          </cell>
          <cell r="D38" t="str">
            <v>印尼</v>
          </cell>
        </row>
        <row r="39">
          <cell r="A39" t="str">
            <v>L27870TG</v>
          </cell>
          <cell r="B39" t="str">
            <v>杯子</v>
          </cell>
          <cell r="C39">
            <v>18</v>
          </cell>
          <cell r="D39" t="str">
            <v>B</v>
          </cell>
        </row>
        <row r="40">
          <cell r="A40" t="str">
            <v>T72465EN6</v>
          </cell>
          <cell r="B40" t="str">
            <v>贪婪的奶奶</v>
          </cell>
          <cell r="C40">
            <v>6</v>
          </cell>
          <cell r="D40" t="str">
            <v>B</v>
          </cell>
        </row>
        <row r="41">
          <cell r="A41" t="str">
            <v>T72465IT3</v>
          </cell>
          <cell r="B41" t="str">
            <v>贪婪的奶奶</v>
          </cell>
          <cell r="C41">
            <v>6</v>
          </cell>
          <cell r="D41" t="str">
            <v>B</v>
          </cell>
        </row>
        <row r="42">
          <cell r="A42" t="str">
            <v>T72465SPT</v>
          </cell>
          <cell r="B42" t="str">
            <v>贪婪的奶奶</v>
          </cell>
          <cell r="C42">
            <v>6</v>
          </cell>
          <cell r="D42" t="str">
            <v>B</v>
          </cell>
        </row>
        <row r="43">
          <cell r="A43" t="str">
            <v>T73785EN</v>
          </cell>
          <cell r="B43" t="str">
            <v>游戏转盘</v>
          </cell>
          <cell r="C43">
            <v>6</v>
          </cell>
          <cell r="D43" t="str">
            <v>印尼</v>
          </cell>
        </row>
        <row r="44">
          <cell r="A44" t="str">
            <v>Y2049L</v>
          </cell>
          <cell r="B44" t="str">
            <v>锁匙</v>
          </cell>
          <cell r="C44">
            <v>36</v>
          </cell>
          <cell r="D44" t="str">
            <v>B</v>
          </cell>
        </row>
        <row r="45">
          <cell r="A45" t="str">
            <v>Y2341G</v>
          </cell>
          <cell r="B45" t="str">
            <v>杯子</v>
          </cell>
          <cell r="C45">
            <v>18</v>
          </cell>
          <cell r="D45" t="str">
            <v>B</v>
          </cell>
        </row>
        <row r="46">
          <cell r="A46" t="str">
            <v>Y2049G1</v>
          </cell>
          <cell r="B46" t="str">
            <v>锁匙</v>
          </cell>
          <cell r="C46">
            <v>36</v>
          </cell>
          <cell r="D46" t="str">
            <v>B</v>
          </cell>
        </row>
        <row r="47">
          <cell r="A47">
            <v>46088</v>
          </cell>
          <cell r="B47" t="str">
            <v>吹气三轮车</v>
          </cell>
          <cell r="C47">
            <v>1</v>
          </cell>
          <cell r="D47" t="str">
            <v>A</v>
          </cell>
        </row>
        <row r="48">
          <cell r="A48" t="str">
            <v>E73647BZR</v>
          </cell>
          <cell r="B48" t="str">
            <v>手镯和球</v>
          </cell>
          <cell r="C48">
            <v>12</v>
          </cell>
          <cell r="D48" t="str">
            <v>B</v>
          </cell>
        </row>
        <row r="49">
          <cell r="A49">
            <v>43379</v>
          </cell>
          <cell r="B49" t="str">
            <v>手镯和球</v>
          </cell>
          <cell r="C49">
            <v>12</v>
          </cell>
          <cell r="D49" t="str">
            <v>B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6"/>
  <sheetViews>
    <sheetView workbookViewId="0">
      <pane ySplit="1" topLeftCell="A65" activePane="bottomLeft" state="frozen"/>
      <selection/>
      <selection pane="bottomLeft" activeCell="C91" sqref="C91"/>
    </sheetView>
  </sheetViews>
  <sheetFormatPr defaultColWidth="9" defaultRowHeight="20.1" customHeight="1" outlineLevelCol="5"/>
  <cols>
    <col min="1" max="1" width="15.625" style="138" customWidth="1"/>
    <col min="2" max="2" width="21.25" style="138" customWidth="1"/>
    <col min="3" max="3" width="5.625" style="138" customWidth="1"/>
    <col min="4" max="4" width="8.625" style="138" customWidth="1"/>
    <col min="5" max="6" width="9" style="3"/>
    <col min="7" max="16384" width="9" style="138"/>
  </cols>
  <sheetData>
    <row r="1" s="138" customFormat="1" customHeight="1" spans="1:6">
      <c r="A1" s="138" t="s">
        <v>0</v>
      </c>
      <c r="B1" s="138" t="s">
        <v>1</v>
      </c>
      <c r="C1" s="138" t="s">
        <v>2</v>
      </c>
      <c r="D1" s="138" t="s">
        <v>3</v>
      </c>
    </row>
    <row r="2" s="138" customFormat="1" customHeight="1" spans="1:6">
      <c r="A2" s="138">
        <v>47329</v>
      </c>
      <c r="B2" s="139" t="s">
        <v>4</v>
      </c>
      <c r="C2" s="139">
        <v>2</v>
      </c>
      <c r="D2" s="139" t="s">
        <v>5</v>
      </c>
      <c r="E2" s="3"/>
      <c r="F2" s="3"/>
    </row>
    <row r="3" s="138" customFormat="1" customHeight="1" spans="1:6">
      <c r="A3" s="138">
        <v>47399</v>
      </c>
      <c r="B3" s="139" t="s">
        <v>6</v>
      </c>
      <c r="C3" s="139">
        <v>4</v>
      </c>
      <c r="D3" s="139" t="s">
        <v>7</v>
      </c>
      <c r="E3" s="3"/>
      <c r="F3" s="3"/>
    </row>
    <row r="4" s="138" customFormat="1" customHeight="1" spans="1:6">
      <c r="A4" s="139">
        <v>47550</v>
      </c>
      <c r="B4" s="139" t="s">
        <v>8</v>
      </c>
      <c r="C4" s="139">
        <v>4</v>
      </c>
      <c r="D4" s="139" t="s">
        <v>7</v>
      </c>
      <c r="E4" s="3"/>
      <c r="F4" s="3"/>
    </row>
    <row r="5" s="138" customFormat="1" customHeight="1" spans="1:6">
      <c r="A5" s="138">
        <v>47615</v>
      </c>
      <c r="B5" s="139" t="s">
        <v>9</v>
      </c>
      <c r="C5" s="139">
        <v>6</v>
      </c>
      <c r="D5" s="139" t="s">
        <v>7</v>
      </c>
      <c r="E5" s="3"/>
      <c r="F5" s="3"/>
    </row>
    <row r="6" s="138" customFormat="1" customHeight="1" spans="1:6">
      <c r="A6" s="138">
        <v>47640</v>
      </c>
      <c r="B6" s="139" t="s">
        <v>10</v>
      </c>
      <c r="C6" s="139">
        <v>2</v>
      </c>
      <c r="D6" s="139" t="s">
        <v>7</v>
      </c>
      <c r="E6" s="3"/>
      <c r="F6" s="3"/>
    </row>
    <row r="7" s="138" customFormat="1" customHeight="1" spans="1:6">
      <c r="A7" s="139">
        <v>47669</v>
      </c>
      <c r="B7" s="139" t="s">
        <v>11</v>
      </c>
      <c r="C7" s="139">
        <v>4</v>
      </c>
      <c r="D7" s="139" t="s">
        <v>12</v>
      </c>
      <c r="E7" s="3"/>
      <c r="F7" s="3"/>
    </row>
    <row r="8" s="138" customFormat="1" customHeight="1" spans="1:6">
      <c r="A8" s="139">
        <v>47674</v>
      </c>
      <c r="B8" s="139" t="s">
        <v>13</v>
      </c>
      <c r="C8" s="139">
        <v>2</v>
      </c>
      <c r="D8" s="139" t="s">
        <v>12</v>
      </c>
      <c r="E8" s="3"/>
      <c r="F8" s="3"/>
    </row>
    <row r="9" s="138" customFormat="1" customHeight="1" spans="1:6">
      <c r="A9" s="139" t="s">
        <v>14</v>
      </c>
      <c r="B9" s="139" t="s">
        <v>15</v>
      </c>
      <c r="C9" s="139">
        <v>2</v>
      </c>
      <c r="D9" s="139" t="s">
        <v>5</v>
      </c>
      <c r="E9" s="3"/>
      <c r="F9" s="3"/>
    </row>
    <row r="10" s="138" customFormat="1" customHeight="1" spans="1:6">
      <c r="A10" s="139" t="s">
        <v>16</v>
      </c>
      <c r="B10" s="139" t="s">
        <v>15</v>
      </c>
      <c r="C10" s="139">
        <v>2</v>
      </c>
      <c r="D10" s="139" t="s">
        <v>5</v>
      </c>
      <c r="E10" s="3"/>
      <c r="F10" s="3"/>
    </row>
    <row r="11" s="138" customFormat="1" customHeight="1" spans="1:6">
      <c r="A11" s="139" t="s">
        <v>17</v>
      </c>
      <c r="B11" s="139" t="s">
        <v>15</v>
      </c>
      <c r="C11" s="139">
        <v>2</v>
      </c>
      <c r="D11" s="139" t="s">
        <v>5</v>
      </c>
      <c r="E11" s="3"/>
      <c r="F11" s="3"/>
    </row>
    <row r="12" s="138" customFormat="1" customHeight="1" spans="1:6">
      <c r="A12" s="139" t="s">
        <v>18</v>
      </c>
      <c r="B12" s="139" t="s">
        <v>19</v>
      </c>
      <c r="C12" s="139">
        <v>2</v>
      </c>
      <c r="D12" s="139" t="s">
        <v>5</v>
      </c>
      <c r="E12" s="3"/>
      <c r="F12" s="3"/>
    </row>
    <row r="13" s="138" customFormat="1" customHeight="1" spans="1:6">
      <c r="A13" s="139" t="s">
        <v>20</v>
      </c>
      <c r="B13" s="139" t="s">
        <v>21</v>
      </c>
      <c r="C13" s="139">
        <v>2</v>
      </c>
      <c r="D13" s="139" t="s">
        <v>12</v>
      </c>
      <c r="E13" s="3"/>
      <c r="F13" s="3"/>
    </row>
    <row r="14" s="138" customFormat="1" customHeight="1" spans="1:6">
      <c r="A14" s="139" t="s">
        <v>22</v>
      </c>
      <c r="B14" s="139" t="s">
        <v>23</v>
      </c>
      <c r="C14" s="139">
        <v>2</v>
      </c>
      <c r="D14" s="139" t="s">
        <v>5</v>
      </c>
      <c r="E14" s="3"/>
      <c r="F14" s="3"/>
    </row>
    <row r="15" s="138" customFormat="1" customHeight="1" spans="1:6">
      <c r="A15" s="138" t="s">
        <v>24</v>
      </c>
      <c r="B15" s="139" t="s">
        <v>25</v>
      </c>
      <c r="C15" s="139">
        <v>4</v>
      </c>
      <c r="D15" s="139" t="s">
        <v>7</v>
      </c>
      <c r="E15" s="3"/>
      <c r="F15" s="3"/>
    </row>
    <row r="16" s="138" customFormat="1" customHeight="1" spans="1:6">
      <c r="A16" s="138" t="s">
        <v>26</v>
      </c>
      <c r="B16" s="139" t="s">
        <v>27</v>
      </c>
      <c r="C16" s="139">
        <v>4</v>
      </c>
      <c r="D16" s="139" t="s">
        <v>7</v>
      </c>
      <c r="E16" s="3"/>
      <c r="F16" s="3"/>
    </row>
    <row r="17" s="138" customFormat="1" customHeight="1" spans="1:6">
      <c r="A17" s="138" t="s">
        <v>28</v>
      </c>
      <c r="B17" s="139" t="s">
        <v>27</v>
      </c>
      <c r="C17" s="139">
        <v>4</v>
      </c>
      <c r="D17" s="139" t="s">
        <v>7</v>
      </c>
      <c r="E17" s="3"/>
      <c r="F17" s="3"/>
    </row>
    <row r="18" s="138" customFormat="1" customHeight="1" spans="1:6">
      <c r="A18" s="139" t="s">
        <v>29</v>
      </c>
      <c r="B18" s="139" t="s">
        <v>30</v>
      </c>
      <c r="C18" s="138">
        <v>4</v>
      </c>
      <c r="D18" s="139" t="s">
        <v>12</v>
      </c>
      <c r="E18" s="3"/>
      <c r="F18" s="3"/>
    </row>
    <row r="19" s="138" customFormat="1" customHeight="1" spans="1:6">
      <c r="A19" s="139" t="s">
        <v>31</v>
      </c>
      <c r="B19" s="139" t="s">
        <v>32</v>
      </c>
      <c r="C19" s="138">
        <v>1</v>
      </c>
      <c r="D19" s="139" t="s">
        <v>12</v>
      </c>
      <c r="E19" s="3"/>
      <c r="F19" s="3"/>
    </row>
    <row r="20" s="138" customFormat="1" customHeight="1" spans="1:6">
      <c r="A20" s="138" t="s">
        <v>33</v>
      </c>
      <c r="B20" s="139" t="s">
        <v>34</v>
      </c>
      <c r="C20" s="139">
        <v>1</v>
      </c>
      <c r="D20" s="139" t="s">
        <v>7</v>
      </c>
      <c r="E20" s="3"/>
      <c r="F20" s="3"/>
    </row>
    <row r="21" s="138" customFormat="1" customHeight="1" spans="1:6">
      <c r="A21" s="139" t="s">
        <v>35</v>
      </c>
      <c r="B21" s="139" t="s">
        <v>36</v>
      </c>
      <c r="C21" s="138">
        <v>2</v>
      </c>
      <c r="D21" s="139" t="s">
        <v>12</v>
      </c>
      <c r="E21" s="3"/>
      <c r="F21" s="3"/>
    </row>
    <row r="22" s="138" customFormat="1" customHeight="1" spans="1:6">
      <c r="A22" s="139" t="s">
        <v>37</v>
      </c>
      <c r="B22" s="139" t="s">
        <v>38</v>
      </c>
      <c r="C22" s="138">
        <v>4</v>
      </c>
      <c r="D22" s="139" t="s">
        <v>12</v>
      </c>
      <c r="E22" s="3"/>
      <c r="F22" s="3"/>
    </row>
    <row r="23" s="138" customFormat="1" customHeight="1" spans="1:6">
      <c r="A23" s="139" t="s">
        <v>39</v>
      </c>
      <c r="B23" s="139" t="s">
        <v>40</v>
      </c>
      <c r="C23" s="138">
        <v>2</v>
      </c>
      <c r="D23" s="139" t="s">
        <v>12</v>
      </c>
      <c r="E23" s="3"/>
      <c r="F23" s="3"/>
    </row>
    <row r="24" s="138" customFormat="1" customHeight="1" spans="1:6">
      <c r="A24" s="139" t="s">
        <v>41</v>
      </c>
      <c r="B24" s="139" t="s">
        <v>42</v>
      </c>
      <c r="C24" s="138">
        <v>4</v>
      </c>
      <c r="D24" s="139" t="s">
        <v>12</v>
      </c>
      <c r="E24" s="3"/>
      <c r="F24" s="3"/>
    </row>
    <row r="25" s="138" customFormat="1" customHeight="1" spans="1:6">
      <c r="A25" s="139" t="s">
        <v>43</v>
      </c>
      <c r="B25" s="139" t="s">
        <v>11</v>
      </c>
      <c r="C25" s="138">
        <v>4</v>
      </c>
      <c r="D25" s="139" t="s">
        <v>12</v>
      </c>
      <c r="E25" s="3"/>
      <c r="F25" s="3"/>
    </row>
    <row r="26" s="138" customFormat="1" customHeight="1" spans="1:6">
      <c r="A26" s="139" t="s">
        <v>44</v>
      </c>
      <c r="B26" s="139" t="s">
        <v>13</v>
      </c>
      <c r="C26" s="138">
        <v>2</v>
      </c>
      <c r="D26" s="139" t="s">
        <v>12</v>
      </c>
      <c r="E26" s="3"/>
      <c r="F26" s="3"/>
    </row>
    <row r="27" s="138" customFormat="1" customHeight="1" spans="1:6">
      <c r="A27" s="139" t="s">
        <v>45</v>
      </c>
      <c r="B27" s="139" t="s">
        <v>13</v>
      </c>
      <c r="C27" s="138">
        <v>2</v>
      </c>
      <c r="D27" s="139" t="s">
        <v>12</v>
      </c>
      <c r="E27" s="3"/>
      <c r="F27" s="3"/>
    </row>
    <row r="28" s="138" customFormat="1" customHeight="1" spans="1:6">
      <c r="A28" s="139" t="s">
        <v>46</v>
      </c>
      <c r="B28" s="139" t="s">
        <v>47</v>
      </c>
      <c r="C28" s="139">
        <v>2</v>
      </c>
      <c r="D28" s="139" t="s">
        <v>7</v>
      </c>
      <c r="E28" s="3"/>
      <c r="F28" s="3"/>
    </row>
    <row r="29" s="138" customFormat="1" customHeight="1" spans="1:6">
      <c r="A29" s="139" t="s">
        <v>48</v>
      </c>
      <c r="B29" s="139" t="s">
        <v>49</v>
      </c>
      <c r="C29" s="138">
        <v>4</v>
      </c>
      <c r="D29" s="139" t="s">
        <v>12</v>
      </c>
      <c r="E29" s="3"/>
      <c r="F29" s="3"/>
    </row>
    <row r="30" s="138" customFormat="1" customHeight="1" spans="1:6">
      <c r="A30" s="139" t="s">
        <v>50</v>
      </c>
      <c r="B30" s="139" t="s">
        <v>51</v>
      </c>
      <c r="C30" s="138">
        <v>2</v>
      </c>
      <c r="D30" s="139" t="s">
        <v>12</v>
      </c>
      <c r="E30" s="3"/>
      <c r="F30" s="3"/>
    </row>
    <row r="31" s="138" customFormat="1" customHeight="1" spans="1:6">
      <c r="A31" s="139" t="s">
        <v>52</v>
      </c>
      <c r="B31" s="139" t="s">
        <v>51</v>
      </c>
      <c r="C31" s="138">
        <v>6</v>
      </c>
      <c r="D31" s="139" t="s">
        <v>12</v>
      </c>
      <c r="E31" s="3"/>
      <c r="F31" s="3"/>
    </row>
    <row r="32" s="138" customFormat="1" customHeight="1" spans="1:6">
      <c r="A32" s="139" t="s">
        <v>53</v>
      </c>
      <c r="B32" s="139" t="s">
        <v>54</v>
      </c>
      <c r="C32" s="138">
        <v>6</v>
      </c>
      <c r="D32" s="139" t="s">
        <v>12</v>
      </c>
      <c r="E32" s="3"/>
      <c r="F32" s="3"/>
    </row>
    <row r="33" s="138" customFormat="1" customHeight="1" spans="1:6">
      <c r="A33" s="139" t="s">
        <v>55</v>
      </c>
      <c r="B33" s="139" t="s">
        <v>56</v>
      </c>
      <c r="C33" s="138">
        <v>6</v>
      </c>
      <c r="D33" s="139" t="s">
        <v>12</v>
      </c>
      <c r="E33" s="3"/>
      <c r="F33" s="3"/>
    </row>
    <row r="34" s="138" customFormat="1" customHeight="1" spans="1:6">
      <c r="A34" s="139" t="s">
        <v>57</v>
      </c>
      <c r="B34" s="139" t="s">
        <v>58</v>
      </c>
      <c r="C34" s="138">
        <v>6</v>
      </c>
      <c r="D34" s="139" t="s">
        <v>12</v>
      </c>
      <c r="E34" s="3"/>
      <c r="F34" s="3"/>
    </row>
    <row r="35" s="138" customFormat="1" customHeight="1" spans="1:6">
      <c r="A35" s="138" t="s">
        <v>59</v>
      </c>
      <c r="B35" s="139" t="s">
        <v>60</v>
      </c>
      <c r="C35" s="139">
        <v>6</v>
      </c>
      <c r="D35" s="139" t="s">
        <v>7</v>
      </c>
      <c r="E35" s="3"/>
      <c r="F35" s="3"/>
    </row>
    <row r="36" s="138" customFormat="1" customHeight="1" spans="1:6">
      <c r="A36" s="138" t="s">
        <v>61</v>
      </c>
      <c r="B36" s="139" t="s">
        <v>60</v>
      </c>
      <c r="C36" s="139">
        <v>4</v>
      </c>
      <c r="D36" s="139" t="s">
        <v>7</v>
      </c>
      <c r="E36" s="3"/>
      <c r="F36" s="3"/>
    </row>
    <row r="37" s="138" customFormat="1" customHeight="1" spans="1:6">
      <c r="A37" s="139" t="s">
        <v>62</v>
      </c>
      <c r="B37" s="139" t="s">
        <v>63</v>
      </c>
      <c r="C37" s="139">
        <v>4</v>
      </c>
      <c r="D37" s="139" t="s">
        <v>12</v>
      </c>
      <c r="E37" s="3"/>
      <c r="F37" s="3"/>
    </row>
    <row r="38" s="138" customFormat="1" customHeight="1" spans="1:6">
      <c r="A38" s="139" t="s">
        <v>64</v>
      </c>
      <c r="B38" s="139" t="s">
        <v>65</v>
      </c>
      <c r="C38" s="138">
        <v>4</v>
      </c>
      <c r="D38" s="139" t="s">
        <v>12</v>
      </c>
      <c r="E38" s="3"/>
      <c r="F38" s="3"/>
    </row>
    <row r="39" s="138" customFormat="1" customHeight="1" spans="1:6">
      <c r="A39" s="138" t="s">
        <v>66</v>
      </c>
      <c r="B39" s="139" t="s">
        <v>67</v>
      </c>
      <c r="C39" s="139">
        <v>18</v>
      </c>
      <c r="D39" s="139" t="s">
        <v>7</v>
      </c>
      <c r="E39" s="3"/>
      <c r="F39" s="3"/>
    </row>
    <row r="40" s="138" customFormat="1" customHeight="1" spans="1:6">
      <c r="A40" s="138" t="s">
        <v>68</v>
      </c>
      <c r="B40" s="140" t="s">
        <v>69</v>
      </c>
      <c r="C40" s="139">
        <v>6</v>
      </c>
      <c r="D40" s="139" t="s">
        <v>7</v>
      </c>
      <c r="E40" s="3"/>
      <c r="F40" s="3"/>
    </row>
    <row r="41" s="138" customFormat="1" customHeight="1" spans="1:6">
      <c r="A41" s="138" t="s">
        <v>70</v>
      </c>
      <c r="B41" s="140" t="s">
        <v>69</v>
      </c>
      <c r="C41" s="139">
        <v>6</v>
      </c>
      <c r="D41" s="138" t="s">
        <v>7</v>
      </c>
      <c r="E41" s="3"/>
      <c r="F41" s="3"/>
    </row>
    <row r="42" s="138" customFormat="1" customHeight="1" spans="1:6">
      <c r="A42" s="139" t="s">
        <v>71</v>
      </c>
      <c r="B42" s="140" t="s">
        <v>69</v>
      </c>
      <c r="C42" s="139">
        <v>6</v>
      </c>
      <c r="D42" s="139" t="s">
        <v>7</v>
      </c>
      <c r="E42" s="3"/>
      <c r="F42" s="3"/>
    </row>
    <row r="43" s="138" customFormat="1" customHeight="1" spans="1:6">
      <c r="A43" s="139" t="s">
        <v>72</v>
      </c>
      <c r="B43" s="139" t="s">
        <v>73</v>
      </c>
      <c r="C43" s="138">
        <v>6</v>
      </c>
      <c r="D43" s="139" t="s">
        <v>12</v>
      </c>
      <c r="E43" s="3"/>
      <c r="F43" s="3"/>
    </row>
    <row r="44" s="138" customFormat="1" customHeight="1" spans="1:6">
      <c r="A44" s="138" t="s">
        <v>74</v>
      </c>
      <c r="B44" s="139" t="s">
        <v>75</v>
      </c>
      <c r="C44" s="139">
        <v>36</v>
      </c>
      <c r="D44" s="139" t="s">
        <v>7</v>
      </c>
      <c r="E44" s="3"/>
      <c r="F44" s="3"/>
    </row>
    <row r="45" s="138" customFormat="1" customHeight="1" spans="1:6">
      <c r="A45" s="138" t="s">
        <v>76</v>
      </c>
      <c r="B45" s="139" t="s">
        <v>67</v>
      </c>
      <c r="C45" s="139">
        <v>18</v>
      </c>
      <c r="D45" s="139" t="s">
        <v>7</v>
      </c>
      <c r="E45" s="3"/>
      <c r="F45" s="3"/>
    </row>
    <row r="46" s="138" customFormat="1" customHeight="1" spans="1:6">
      <c r="A46" s="138" t="s">
        <v>77</v>
      </c>
      <c r="B46" s="138" t="s">
        <v>75</v>
      </c>
      <c r="C46" s="138">
        <v>36</v>
      </c>
      <c r="D46" s="138" t="s">
        <v>7</v>
      </c>
      <c r="E46" s="3"/>
      <c r="F46" s="3"/>
    </row>
    <row r="47" s="138" customFormat="1" customHeight="1" spans="1:6">
      <c r="A47" s="138">
        <v>46088</v>
      </c>
      <c r="B47" s="138" t="s">
        <v>78</v>
      </c>
      <c r="C47" s="138">
        <v>1</v>
      </c>
      <c r="D47" s="138" t="s">
        <v>5</v>
      </c>
      <c r="E47" s="3"/>
      <c r="F47" s="3"/>
    </row>
    <row r="48" s="138" customFormat="1" customHeight="1" spans="1:6">
      <c r="A48" s="138" t="s">
        <v>79</v>
      </c>
      <c r="B48" s="138" t="s">
        <v>80</v>
      </c>
      <c r="C48" s="138">
        <v>12</v>
      </c>
      <c r="D48" s="138" t="s">
        <v>7</v>
      </c>
      <c r="E48" s="3"/>
      <c r="F48" s="3"/>
    </row>
    <row r="49" s="138" customFormat="1" customHeight="1" spans="1:6">
      <c r="A49" s="138">
        <v>43379</v>
      </c>
      <c r="B49" s="138" t="s">
        <v>80</v>
      </c>
      <c r="C49" s="138">
        <v>12</v>
      </c>
      <c r="D49" s="138" t="s">
        <v>7</v>
      </c>
      <c r="E49" s="3"/>
      <c r="F49" s="3"/>
    </row>
    <row r="50" s="138" customFormat="1" customHeight="1" spans="1:6">
      <c r="A50" s="138" t="s">
        <v>81</v>
      </c>
      <c r="B50" s="140" t="s">
        <v>69</v>
      </c>
      <c r="C50" s="139">
        <v>6</v>
      </c>
      <c r="D50" s="139" t="s">
        <v>7</v>
      </c>
      <c r="E50" s="3"/>
      <c r="F50" s="3"/>
    </row>
    <row r="51" s="138" customFormat="1" customHeight="1" spans="1:6">
      <c r="A51" s="138" t="s">
        <v>82</v>
      </c>
      <c r="B51" s="140" t="s">
        <v>69</v>
      </c>
      <c r="C51" s="139">
        <v>6</v>
      </c>
      <c r="D51" s="139" t="s">
        <v>7</v>
      </c>
      <c r="E51" s="3"/>
      <c r="F51" s="3"/>
    </row>
    <row r="52" s="138" customFormat="1" customHeight="1" spans="1:6">
      <c r="A52" s="138" t="s">
        <v>83</v>
      </c>
      <c r="B52" s="139" t="s">
        <v>67</v>
      </c>
      <c r="C52" s="139">
        <v>18</v>
      </c>
      <c r="D52" s="139" t="s">
        <v>7</v>
      </c>
      <c r="E52" s="3"/>
      <c r="F52" s="3"/>
    </row>
    <row r="53" s="138" customFormat="1" customHeight="1" spans="1:6">
      <c r="A53" s="138" t="s">
        <v>84</v>
      </c>
      <c r="B53" s="140" t="s">
        <v>69</v>
      </c>
      <c r="C53" s="139">
        <v>6</v>
      </c>
      <c r="D53" s="139" t="s">
        <v>7</v>
      </c>
      <c r="E53" s="3"/>
      <c r="F53" s="3"/>
    </row>
    <row r="54" s="138" customFormat="1" customHeight="1" spans="1:6">
      <c r="A54" s="138" t="s">
        <v>85</v>
      </c>
      <c r="B54" s="140" t="s">
        <v>69</v>
      </c>
      <c r="C54" s="139">
        <v>6</v>
      </c>
      <c r="D54" s="139" t="s">
        <v>7</v>
      </c>
      <c r="E54" s="3"/>
      <c r="F54" s="3"/>
    </row>
    <row r="55" s="138" customFormat="1" customHeight="1" spans="1:6">
      <c r="A55" s="138" t="s">
        <v>86</v>
      </c>
      <c r="B55" s="140" t="s">
        <v>69</v>
      </c>
      <c r="C55" s="139">
        <v>6</v>
      </c>
      <c r="D55" s="139" t="s">
        <v>7</v>
      </c>
      <c r="E55" s="3"/>
      <c r="F55" s="3"/>
    </row>
    <row r="56" customHeight="1" spans="1:6">
      <c r="A56" s="138" t="s">
        <v>87</v>
      </c>
      <c r="B56" s="139" t="s">
        <v>32</v>
      </c>
      <c r="C56" s="138">
        <v>1</v>
      </c>
      <c r="D56" s="139" t="s">
        <v>12</v>
      </c>
    </row>
    <row r="57" customHeight="1" spans="1:6">
      <c r="A57" s="138" t="s">
        <v>88</v>
      </c>
      <c r="B57" s="141" t="s">
        <v>67</v>
      </c>
      <c r="C57" s="138">
        <v>18</v>
      </c>
      <c r="D57" s="139" t="s">
        <v>12</v>
      </c>
    </row>
    <row r="58" customHeight="1" spans="1:6">
      <c r="A58" s="138" t="s">
        <v>89</v>
      </c>
      <c r="B58" s="141" t="s">
        <v>90</v>
      </c>
      <c r="C58" s="138">
        <v>6</v>
      </c>
      <c r="D58" s="139" t="s">
        <v>12</v>
      </c>
    </row>
    <row r="59" customHeight="1" spans="1:6">
      <c r="A59" s="138" t="s">
        <v>91</v>
      </c>
      <c r="B59" s="141" t="s">
        <v>92</v>
      </c>
      <c r="C59" s="138">
        <v>6</v>
      </c>
      <c r="D59" s="139" t="s">
        <v>12</v>
      </c>
    </row>
    <row r="60" customHeight="1" spans="1:6">
      <c r="A60" s="138" t="s">
        <v>93</v>
      </c>
      <c r="B60" s="141" t="s">
        <v>94</v>
      </c>
      <c r="C60" s="138">
        <v>6</v>
      </c>
      <c r="D60" s="139" t="s">
        <v>12</v>
      </c>
    </row>
    <row r="61" customHeight="1" spans="1:6">
      <c r="A61" s="138" t="s">
        <v>95</v>
      </c>
      <c r="B61" s="141" t="s">
        <v>96</v>
      </c>
      <c r="C61" s="138">
        <v>4</v>
      </c>
      <c r="D61" s="139" t="s">
        <v>12</v>
      </c>
    </row>
    <row r="62" customHeight="1" spans="1:6">
      <c r="A62" s="138" t="s">
        <v>97</v>
      </c>
      <c r="B62" s="141" t="s">
        <v>98</v>
      </c>
      <c r="C62" s="138">
        <v>4</v>
      </c>
      <c r="D62" s="139" t="s">
        <v>12</v>
      </c>
    </row>
    <row r="63" customHeight="1" spans="1:6">
      <c r="A63" s="138" t="s">
        <v>99</v>
      </c>
      <c r="B63" s="141" t="s">
        <v>100</v>
      </c>
      <c r="C63" s="138">
        <v>6</v>
      </c>
      <c r="D63" s="139" t="s">
        <v>12</v>
      </c>
    </row>
    <row r="64" customHeight="1" spans="1:6">
      <c r="A64" s="138" t="s">
        <v>101</v>
      </c>
      <c r="B64" s="139" t="s">
        <v>23</v>
      </c>
      <c r="C64" s="139">
        <v>2</v>
      </c>
      <c r="D64" s="138" t="s">
        <v>5</v>
      </c>
    </row>
    <row r="65" customHeight="1" spans="1:4">
      <c r="A65" s="138" t="s">
        <v>102</v>
      </c>
      <c r="B65" s="138" t="s">
        <v>67</v>
      </c>
      <c r="C65" s="138">
        <v>18</v>
      </c>
      <c r="D65" s="139" t="s">
        <v>12</v>
      </c>
    </row>
    <row r="66" customHeight="1" spans="1:4">
      <c r="A66" s="138" t="s">
        <v>103</v>
      </c>
      <c r="B66" s="138" t="s">
        <v>75</v>
      </c>
      <c r="C66" s="138">
        <v>36</v>
      </c>
      <c r="D66" s="139" t="s">
        <v>12</v>
      </c>
    </row>
    <row r="67" customHeight="1" spans="1:4">
      <c r="A67" s="138" t="s">
        <v>104</v>
      </c>
      <c r="B67" s="138" t="s">
        <v>105</v>
      </c>
      <c r="C67" s="138">
        <v>4</v>
      </c>
      <c r="D67" s="139" t="s">
        <v>12</v>
      </c>
    </row>
    <row r="68" customHeight="1" spans="1:4">
      <c r="A68" s="138" t="s">
        <v>106</v>
      </c>
      <c r="B68" s="141" t="s">
        <v>107</v>
      </c>
      <c r="C68" s="138">
        <v>4</v>
      </c>
      <c r="D68" s="139" t="s">
        <v>12</v>
      </c>
    </row>
    <row r="69" customHeight="1" spans="1:4">
      <c r="A69" s="138" t="s">
        <v>108</v>
      </c>
      <c r="B69" s="141" t="s">
        <v>109</v>
      </c>
      <c r="C69" s="138">
        <v>4</v>
      </c>
      <c r="D69" s="139" t="s">
        <v>12</v>
      </c>
    </row>
    <row r="70" customHeight="1" spans="1:4">
      <c r="A70" s="138" t="s">
        <v>110</v>
      </c>
      <c r="B70" s="141" t="s">
        <v>111</v>
      </c>
      <c r="C70" s="138">
        <v>4</v>
      </c>
      <c r="D70" s="139" t="s">
        <v>12</v>
      </c>
    </row>
    <row r="71" customHeight="1" spans="1:4">
      <c r="A71" s="138" t="s">
        <v>112</v>
      </c>
      <c r="B71" s="141" t="s">
        <v>113</v>
      </c>
      <c r="C71" s="138">
        <v>4</v>
      </c>
      <c r="D71" s="139" t="s">
        <v>12</v>
      </c>
    </row>
    <row r="72" customHeight="1" spans="1:4">
      <c r="A72" s="138" t="s">
        <v>114</v>
      </c>
      <c r="B72" s="141" t="s">
        <v>115</v>
      </c>
      <c r="C72" s="138">
        <v>2</v>
      </c>
      <c r="D72" s="139" t="s">
        <v>12</v>
      </c>
    </row>
    <row r="73" customHeight="1" spans="1:4">
      <c r="A73" s="138" t="s">
        <v>116</v>
      </c>
      <c r="B73" s="141" t="s">
        <v>117</v>
      </c>
      <c r="C73" s="138">
        <v>4</v>
      </c>
      <c r="D73" s="139" t="s">
        <v>12</v>
      </c>
    </row>
    <row r="74" customHeight="1" spans="1:4">
      <c r="A74" s="138" t="s">
        <v>118</v>
      </c>
      <c r="B74" s="141" t="s">
        <v>94</v>
      </c>
      <c r="C74" s="138">
        <v>6</v>
      </c>
      <c r="D74" s="139" t="s">
        <v>12</v>
      </c>
    </row>
    <row r="75" customHeight="1" spans="1:4">
      <c r="A75" s="138" t="s">
        <v>119</v>
      </c>
      <c r="B75" s="141" t="s">
        <v>120</v>
      </c>
      <c r="C75" s="138">
        <v>4</v>
      </c>
      <c r="D75" s="139" t="s">
        <v>12</v>
      </c>
    </row>
    <row r="76" customHeight="1" spans="1:4">
      <c r="A76" s="138" t="s">
        <v>121</v>
      </c>
      <c r="B76" s="141" t="s">
        <v>122</v>
      </c>
      <c r="C76" s="138">
        <v>2</v>
      </c>
      <c r="D76" s="139" t="s">
        <v>12</v>
      </c>
    </row>
    <row r="77" customHeight="1" spans="1:4">
      <c r="A77" s="138" t="s">
        <v>123</v>
      </c>
      <c r="B77" s="141" t="s">
        <v>92</v>
      </c>
      <c r="C77" s="138">
        <v>6</v>
      </c>
      <c r="D77" s="139" t="s">
        <v>12</v>
      </c>
    </row>
    <row r="78" customHeight="1" spans="1:4">
      <c r="A78" s="138" t="s">
        <v>124</v>
      </c>
      <c r="B78" s="141" t="s">
        <v>94</v>
      </c>
      <c r="C78" s="138">
        <v>6</v>
      </c>
      <c r="D78" s="139" t="s">
        <v>12</v>
      </c>
    </row>
    <row r="79" customHeight="1" spans="1:4">
      <c r="A79" s="138" t="s">
        <v>125</v>
      </c>
      <c r="B79" s="141" t="s">
        <v>90</v>
      </c>
      <c r="C79" s="138">
        <v>6</v>
      </c>
      <c r="D79" s="139" t="s">
        <v>12</v>
      </c>
    </row>
    <row r="80" customHeight="1" spans="1:4">
      <c r="A80" s="138" t="s">
        <v>126</v>
      </c>
      <c r="B80" s="141" t="s">
        <v>100</v>
      </c>
      <c r="C80" s="138">
        <v>6</v>
      </c>
      <c r="D80" s="139" t="s">
        <v>12</v>
      </c>
    </row>
    <row r="81" customHeight="1" spans="1:4">
      <c r="A81" s="138" t="s">
        <v>127</v>
      </c>
      <c r="B81" s="138" t="s">
        <v>128</v>
      </c>
      <c r="C81" s="138">
        <v>4</v>
      </c>
      <c r="D81" s="139" t="s">
        <v>12</v>
      </c>
    </row>
    <row r="82" customHeight="1" spans="1:4">
      <c r="A82" s="138" t="s">
        <v>129</v>
      </c>
      <c r="B82" s="138" t="s">
        <v>75</v>
      </c>
      <c r="C82" s="138">
        <v>36</v>
      </c>
      <c r="D82" s="139" t="s">
        <v>12</v>
      </c>
    </row>
    <row r="83" customHeight="1" spans="1:4">
      <c r="A83" s="138" t="s">
        <v>130</v>
      </c>
      <c r="B83" s="141" t="s">
        <v>98</v>
      </c>
      <c r="C83" s="138">
        <v>4</v>
      </c>
      <c r="D83" s="139" t="s">
        <v>12</v>
      </c>
    </row>
    <row r="84" customHeight="1" spans="1:4">
      <c r="A84" s="138" t="s">
        <v>131</v>
      </c>
      <c r="B84" s="141" t="s">
        <v>96</v>
      </c>
      <c r="C84" s="138">
        <v>4</v>
      </c>
      <c r="D84" s="139" t="s">
        <v>12</v>
      </c>
    </row>
    <row r="85" customHeight="1" spans="1:4">
      <c r="A85" s="138" t="s">
        <v>132</v>
      </c>
      <c r="B85" s="141" t="s">
        <v>92</v>
      </c>
      <c r="C85" s="138">
        <v>6</v>
      </c>
      <c r="D85" s="139" t="s">
        <v>12</v>
      </c>
    </row>
    <row r="86" customHeight="1" spans="1:4">
      <c r="A86" s="142" t="s">
        <v>133</v>
      </c>
      <c r="B86" s="141" t="s">
        <v>94</v>
      </c>
      <c r="C86" s="138">
        <v>6</v>
      </c>
      <c r="D86" s="139" t="s">
        <v>12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D86" etc:filterBottomFollowUsedRange="0">
    <extLst/>
  </autoFilter>
  <conditionalFormatting sqref="A55">
    <cfRule type="duplicateValues" dxfId="0" priority="6"/>
  </conditionalFormatting>
  <conditionalFormatting sqref="A65">
    <cfRule type="duplicateValues" dxfId="0" priority="5"/>
  </conditionalFormatting>
  <conditionalFormatting sqref="A74">
    <cfRule type="duplicateValues" dxfId="0" priority="4"/>
  </conditionalFormatting>
  <conditionalFormatting sqref="A79">
    <cfRule type="duplicateValues" dxfId="0" priority="3"/>
  </conditionalFormatting>
  <conditionalFormatting sqref="A80">
    <cfRule type="duplicateValues" dxfId="0" priority="2"/>
  </conditionalFormatting>
  <conditionalFormatting sqref="A85">
    <cfRule type="duplicateValues" dxfId="0" priority="1"/>
  </conditionalFormatting>
  <conditionalFormatting sqref="A1:A54 A56:A64 A66:A73 A75:A78 A81:A84 A86:A1048576">
    <cfRule type="duplicateValues" dxfId="0" priority="7"/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H24"/>
  <sheetViews>
    <sheetView workbookViewId="0">
      <pane xSplit="7" ySplit="2" topLeftCell="AZ3" activePane="bottomRight" state="frozen"/>
      <selection/>
      <selection pane="topRight"/>
      <selection pane="bottomLeft"/>
      <selection pane="bottomRight" activeCell="BA11" sqref="BA11"/>
    </sheetView>
  </sheetViews>
  <sheetFormatPr defaultColWidth="9" defaultRowHeight="25" customHeight="1"/>
  <cols>
    <col min="1" max="1" width="12.6" style="81" customWidth="1"/>
    <col min="2" max="2" width="11.125" style="84" customWidth="1"/>
    <col min="3" max="3" width="12.6" style="82" customWidth="1"/>
    <col min="4" max="4" width="12.625" style="85" customWidth="1"/>
    <col min="5" max="5" width="10.6" style="82" customWidth="1"/>
    <col min="6" max="6" width="6.625" style="86" customWidth="1"/>
    <col min="7" max="7" width="12.625" style="81" customWidth="1"/>
    <col min="8" max="47" width="8.6" style="81" customWidth="1"/>
    <col min="48" max="55" width="8.6" customWidth="1"/>
    <col min="56" max="56" width="8.6" style="81" customWidth="1"/>
    <col min="57" max="82" width="8.6" customWidth="1"/>
    <col min="83" max="83" width="8.6" style="87" customWidth="1"/>
    <col min="84" max="85" width="12.6" style="88" customWidth="1"/>
    <col min="86" max="86" width="6.625" style="81" customWidth="1"/>
    <col min="87" max="16384" width="9" style="81"/>
  </cols>
  <sheetData>
    <row r="1" s="81" customFormat="1" customHeight="1" spans="1:86">
      <c r="A1" s="89" t="s">
        <v>134</v>
      </c>
      <c r="B1" s="89"/>
      <c r="C1" s="89"/>
      <c r="D1" s="90"/>
      <c r="E1" s="89"/>
      <c r="F1" s="58"/>
      <c r="G1" s="89"/>
      <c r="H1" s="91"/>
      <c r="I1" s="91"/>
      <c r="J1" s="92"/>
      <c r="K1" s="91"/>
      <c r="L1" s="93"/>
      <c r="M1" s="93"/>
      <c r="N1" s="91"/>
      <c r="O1" s="93"/>
      <c r="P1" s="94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  <c r="BM1" s="91"/>
      <c r="BN1" s="91"/>
      <c r="BO1" s="91"/>
      <c r="BP1" s="91"/>
      <c r="BQ1" s="95" t="s">
        <v>135</v>
      </c>
      <c r="BR1" s="96"/>
      <c r="BS1" s="91"/>
      <c r="BT1" s="91"/>
      <c r="BU1" s="91"/>
      <c r="BV1" s="91"/>
      <c r="BW1" s="91"/>
      <c r="BX1" s="91"/>
      <c r="BY1" s="91"/>
      <c r="BZ1" s="91"/>
      <c r="CA1" s="91"/>
      <c r="CB1" s="91"/>
      <c r="CC1" s="91"/>
      <c r="CD1" s="91"/>
      <c r="CE1" s="97"/>
      <c r="CF1" s="98"/>
      <c r="CG1" s="98"/>
      <c r="CH1" s="91"/>
    </row>
    <row r="2" s="82" customFormat="1" customHeight="1" spans="1:86">
      <c r="A2" s="99" t="s">
        <v>136</v>
      </c>
      <c r="B2" s="23" t="s">
        <v>137</v>
      </c>
      <c r="C2" s="22" t="s">
        <v>138</v>
      </c>
      <c r="D2" s="23" t="s">
        <v>139</v>
      </c>
      <c r="E2" s="23" t="s">
        <v>140</v>
      </c>
      <c r="F2" s="25" t="s">
        <v>141</v>
      </c>
      <c r="G2" s="100" t="s">
        <v>142</v>
      </c>
      <c r="H2" s="92" t="s">
        <v>143</v>
      </c>
      <c r="I2" s="92" t="s">
        <v>144</v>
      </c>
      <c r="J2" s="92" t="s">
        <v>145</v>
      </c>
      <c r="K2" s="101" t="s">
        <v>76</v>
      </c>
      <c r="L2" s="92" t="s">
        <v>146</v>
      </c>
      <c r="M2" s="93" t="s">
        <v>147</v>
      </c>
      <c r="N2" s="93" t="s">
        <v>148</v>
      </c>
      <c r="O2" s="93" t="s">
        <v>149</v>
      </c>
      <c r="P2" s="92" t="s">
        <v>150</v>
      </c>
      <c r="Q2" s="92" t="s">
        <v>151</v>
      </c>
      <c r="R2" s="92" t="s">
        <v>152</v>
      </c>
      <c r="S2" s="92">
        <v>46670</v>
      </c>
      <c r="T2" s="92" t="s">
        <v>153</v>
      </c>
      <c r="U2" s="92" t="s">
        <v>22</v>
      </c>
      <c r="V2" s="92">
        <v>46088</v>
      </c>
      <c r="W2" s="93" t="s">
        <v>18</v>
      </c>
      <c r="X2" s="24" t="s">
        <v>154</v>
      </c>
      <c r="Y2" s="24" t="s">
        <v>155</v>
      </c>
      <c r="Z2" s="24" t="s">
        <v>156</v>
      </c>
      <c r="AA2" s="93">
        <v>46696</v>
      </c>
      <c r="AB2" s="93">
        <v>47464</v>
      </c>
      <c r="AC2" s="93">
        <v>47424</v>
      </c>
      <c r="AD2" s="93">
        <v>47425</v>
      </c>
      <c r="AE2" s="93" t="s">
        <v>157</v>
      </c>
      <c r="AF2" s="93" t="s">
        <v>158</v>
      </c>
      <c r="AG2" s="93" t="s">
        <v>159</v>
      </c>
      <c r="AH2" s="93" t="s">
        <v>160</v>
      </c>
      <c r="AI2" s="93" t="s">
        <v>161</v>
      </c>
      <c r="AJ2" s="24">
        <v>47465</v>
      </c>
      <c r="AK2" s="24" t="s">
        <v>162</v>
      </c>
      <c r="AL2" s="24" t="s">
        <v>163</v>
      </c>
      <c r="AM2" s="24" t="s">
        <v>164</v>
      </c>
      <c r="AN2" s="93" t="s">
        <v>165</v>
      </c>
      <c r="AO2" s="93">
        <v>37964</v>
      </c>
      <c r="AP2" s="24">
        <v>47615</v>
      </c>
      <c r="AQ2" s="24" t="s">
        <v>166</v>
      </c>
      <c r="AR2" s="24">
        <v>47550</v>
      </c>
      <c r="AS2" s="24">
        <v>47639</v>
      </c>
      <c r="AT2" s="24">
        <v>47600</v>
      </c>
      <c r="AU2" s="24" t="s">
        <v>59</v>
      </c>
      <c r="AV2" s="24" t="s">
        <v>29</v>
      </c>
      <c r="AW2" s="24" t="s">
        <v>167</v>
      </c>
      <c r="AX2" s="24" t="s">
        <v>50</v>
      </c>
      <c r="AY2" s="24" t="s">
        <v>55</v>
      </c>
      <c r="AZ2" s="24" t="s">
        <v>53</v>
      </c>
      <c r="BA2" s="24" t="s">
        <v>57</v>
      </c>
      <c r="BB2" s="24" t="s">
        <v>168</v>
      </c>
      <c r="BC2" s="24" t="s">
        <v>169</v>
      </c>
      <c r="BD2" s="24">
        <v>47674</v>
      </c>
      <c r="BE2" s="24">
        <v>47682</v>
      </c>
      <c r="BF2" s="24" t="s">
        <v>72</v>
      </c>
      <c r="BG2" s="24" t="s">
        <v>62</v>
      </c>
      <c r="BH2" s="24" t="s">
        <v>39</v>
      </c>
      <c r="BI2" s="24" t="s">
        <v>41</v>
      </c>
      <c r="BJ2" s="24" t="s">
        <v>35</v>
      </c>
      <c r="BK2" s="24" t="s">
        <v>31</v>
      </c>
      <c r="BL2" s="24" t="s">
        <v>20</v>
      </c>
      <c r="BM2" s="24" t="s">
        <v>170</v>
      </c>
      <c r="BN2" s="24" t="s">
        <v>37</v>
      </c>
      <c r="BO2" s="24" t="s">
        <v>87</v>
      </c>
      <c r="BP2" s="24" t="s">
        <v>88</v>
      </c>
      <c r="BQ2" s="24" t="s">
        <v>171</v>
      </c>
      <c r="BR2" s="24" t="s">
        <v>172</v>
      </c>
      <c r="BS2" s="24" t="s">
        <v>95</v>
      </c>
      <c r="BT2" s="24" t="s">
        <v>97</v>
      </c>
      <c r="BU2" s="24" t="s">
        <v>106</v>
      </c>
      <c r="BV2" s="24" t="s">
        <v>108</v>
      </c>
      <c r="BW2" s="24" t="s">
        <v>110</v>
      </c>
      <c r="BX2" s="24" t="s">
        <v>112</v>
      </c>
      <c r="BY2" s="24" t="s">
        <v>114</v>
      </c>
      <c r="BZ2" s="24" t="s">
        <v>116</v>
      </c>
      <c r="CA2" s="24" t="s">
        <v>119</v>
      </c>
      <c r="CB2" s="24" t="s">
        <v>121</v>
      </c>
      <c r="CC2" s="24" t="s">
        <v>173</v>
      </c>
      <c r="CD2" s="24"/>
      <c r="CE2" s="102" t="s">
        <v>174</v>
      </c>
      <c r="CF2" s="98" t="s">
        <v>175</v>
      </c>
      <c r="CG2" s="98" t="s">
        <v>176</v>
      </c>
      <c r="CH2" s="93" t="s">
        <v>3</v>
      </c>
    </row>
    <row r="3" s="81" customFormat="1" customHeight="1" spans="1:86">
      <c r="A3" s="52">
        <v>45950</v>
      </c>
      <c r="B3" s="53"/>
      <c r="C3" s="24" t="s">
        <v>177</v>
      </c>
      <c r="D3" s="54"/>
      <c r="E3" s="24" t="s">
        <v>104</v>
      </c>
      <c r="F3" s="25">
        <v>8100</v>
      </c>
      <c r="G3" s="52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1"/>
      <c r="BF3" s="91"/>
      <c r="BG3" s="91"/>
      <c r="BH3" s="91"/>
      <c r="BI3" s="91"/>
      <c r="BJ3" s="91"/>
      <c r="BK3" s="91"/>
      <c r="BL3" s="91"/>
      <c r="BM3" s="91"/>
      <c r="BN3" s="91"/>
      <c r="BO3" s="91"/>
      <c r="BP3" s="91"/>
      <c r="BQ3" s="91"/>
      <c r="BR3" s="91"/>
      <c r="BS3" s="91"/>
      <c r="BT3" s="91"/>
      <c r="BU3" s="91"/>
      <c r="BV3" s="91"/>
      <c r="BW3" s="91"/>
      <c r="BX3" s="91"/>
      <c r="BY3" s="91"/>
      <c r="BZ3" s="91"/>
      <c r="CA3" s="91"/>
      <c r="CB3" s="91"/>
      <c r="CC3" s="91"/>
      <c r="CD3" s="91"/>
      <c r="CE3" s="73"/>
      <c r="CF3" s="98">
        <f>SUM(H3:CD3)*CE3</f>
        <v>0</v>
      </c>
      <c r="CG3" s="98">
        <f>CF3*7.75</f>
        <v>0</v>
      </c>
      <c r="CH3" s="91" t="s">
        <v>12</v>
      </c>
    </row>
    <row r="4" s="81" customFormat="1" customHeight="1" spans="1:86">
      <c r="A4" s="52"/>
      <c r="B4" s="53"/>
      <c r="C4" s="24"/>
      <c r="D4" s="54"/>
      <c r="E4" s="24"/>
      <c r="F4" s="25"/>
      <c r="G4" s="52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1"/>
      <c r="BL4" s="91"/>
      <c r="BM4" s="91"/>
      <c r="BN4" s="91"/>
      <c r="BO4" s="91"/>
      <c r="BP4" s="91"/>
      <c r="BQ4" s="91"/>
      <c r="BR4" s="91"/>
      <c r="BS4" s="91"/>
      <c r="BT4" s="91"/>
      <c r="BU4" s="91"/>
      <c r="BV4" s="91"/>
      <c r="BW4" s="91"/>
      <c r="BX4" s="91"/>
      <c r="BY4" s="91"/>
      <c r="BZ4" s="91"/>
      <c r="CA4" s="91"/>
      <c r="CB4" s="91"/>
      <c r="CC4" s="91"/>
      <c r="CD4" s="91"/>
      <c r="CE4" s="63"/>
      <c r="CF4" s="98">
        <f>SUM(H4:CD4)*CE4</f>
        <v>0</v>
      </c>
      <c r="CG4" s="98">
        <f>CF4*7.75</f>
        <v>0</v>
      </c>
      <c r="CH4" s="91" t="s">
        <v>12</v>
      </c>
    </row>
    <row r="5" s="83" customFormat="1" customHeight="1" spans="1:86">
      <c r="A5" s="103"/>
      <c r="B5" s="104"/>
      <c r="C5" s="105"/>
      <c r="D5" s="106"/>
      <c r="E5" s="105"/>
      <c r="F5" s="30">
        <f>SUM(F3:F4)</f>
        <v>8100</v>
      </c>
      <c r="G5" s="30" t="e">
        <f>F5-CE5-#REF!</f>
        <v>#REF!</v>
      </c>
      <c r="H5" s="107">
        <f t="shared" ref="F5:BS5" si="0">SUM(H3:H4)</f>
        <v>0</v>
      </c>
      <c r="I5" s="107">
        <f t="shared" si="0"/>
        <v>0</v>
      </c>
      <c r="J5" s="107">
        <f t="shared" si="0"/>
        <v>0</v>
      </c>
      <c r="K5" s="107">
        <f t="shared" si="0"/>
        <v>0</v>
      </c>
      <c r="L5" s="107">
        <f t="shared" si="0"/>
        <v>0</v>
      </c>
      <c r="M5" s="107">
        <f t="shared" si="0"/>
        <v>0</v>
      </c>
      <c r="N5" s="107">
        <f t="shared" si="0"/>
        <v>0</v>
      </c>
      <c r="O5" s="107">
        <f t="shared" si="0"/>
        <v>0</v>
      </c>
      <c r="P5" s="107">
        <f t="shared" si="0"/>
        <v>0</v>
      </c>
      <c r="Q5" s="107">
        <f t="shared" si="0"/>
        <v>0</v>
      </c>
      <c r="R5" s="107">
        <f t="shared" si="0"/>
        <v>0</v>
      </c>
      <c r="S5" s="107">
        <f t="shared" si="0"/>
        <v>0</v>
      </c>
      <c r="T5" s="107">
        <f t="shared" si="0"/>
        <v>0</v>
      </c>
      <c r="U5" s="107">
        <f t="shared" si="0"/>
        <v>0</v>
      </c>
      <c r="V5" s="107">
        <f t="shared" si="0"/>
        <v>0</v>
      </c>
      <c r="W5" s="107">
        <f t="shared" si="0"/>
        <v>0</v>
      </c>
      <c r="X5" s="107">
        <f t="shared" si="0"/>
        <v>0</v>
      </c>
      <c r="Y5" s="107">
        <f t="shared" si="0"/>
        <v>0</v>
      </c>
      <c r="Z5" s="107">
        <f t="shared" si="0"/>
        <v>0</v>
      </c>
      <c r="AA5" s="107">
        <f t="shared" si="0"/>
        <v>0</v>
      </c>
      <c r="AB5" s="107">
        <f t="shared" si="0"/>
        <v>0</v>
      </c>
      <c r="AC5" s="107">
        <f t="shared" si="0"/>
        <v>0</v>
      </c>
      <c r="AD5" s="107">
        <f t="shared" si="0"/>
        <v>0</v>
      </c>
      <c r="AE5" s="107">
        <f t="shared" si="0"/>
        <v>0</v>
      </c>
      <c r="AF5" s="107">
        <f t="shared" si="0"/>
        <v>0</v>
      </c>
      <c r="AG5" s="107">
        <f t="shared" si="0"/>
        <v>0</v>
      </c>
      <c r="AH5" s="107">
        <f t="shared" si="0"/>
        <v>0</v>
      </c>
      <c r="AI5" s="107">
        <f t="shared" si="0"/>
        <v>0</v>
      </c>
      <c r="AJ5" s="107">
        <f t="shared" si="0"/>
        <v>0</v>
      </c>
      <c r="AK5" s="107">
        <f t="shared" si="0"/>
        <v>0</v>
      </c>
      <c r="AL5" s="107">
        <f t="shared" si="0"/>
        <v>0</v>
      </c>
      <c r="AM5" s="107">
        <f t="shared" si="0"/>
        <v>0</v>
      </c>
      <c r="AN5" s="107">
        <f t="shared" si="0"/>
        <v>0</v>
      </c>
      <c r="AO5" s="107">
        <f t="shared" si="0"/>
        <v>0</v>
      </c>
      <c r="AP5" s="107">
        <f t="shared" si="0"/>
        <v>0</v>
      </c>
      <c r="AQ5" s="107">
        <f t="shared" si="0"/>
        <v>0</v>
      </c>
      <c r="AR5" s="107">
        <f t="shared" si="0"/>
        <v>0</v>
      </c>
      <c r="AS5" s="107">
        <f t="shared" si="0"/>
        <v>0</v>
      </c>
      <c r="AT5" s="107">
        <f t="shared" si="0"/>
        <v>0</v>
      </c>
      <c r="AU5" s="107">
        <f t="shared" si="0"/>
        <v>0</v>
      </c>
      <c r="AV5" s="107">
        <f t="shared" si="0"/>
        <v>0</v>
      </c>
      <c r="AW5" s="107">
        <f t="shared" si="0"/>
        <v>0</v>
      </c>
      <c r="AX5" s="107">
        <f t="shared" si="0"/>
        <v>0</v>
      </c>
      <c r="AY5" s="107">
        <f t="shared" si="0"/>
        <v>0</v>
      </c>
      <c r="AZ5" s="107">
        <f t="shared" si="0"/>
        <v>0</v>
      </c>
      <c r="BA5" s="107">
        <f t="shared" si="0"/>
        <v>0</v>
      </c>
      <c r="BB5" s="107">
        <f t="shared" si="0"/>
        <v>0</v>
      </c>
      <c r="BC5" s="107">
        <f t="shared" si="0"/>
        <v>0</v>
      </c>
      <c r="BD5" s="107">
        <f t="shared" si="0"/>
        <v>0</v>
      </c>
      <c r="BE5" s="107">
        <f t="shared" si="0"/>
        <v>0</v>
      </c>
      <c r="BF5" s="107">
        <f t="shared" si="0"/>
        <v>0</v>
      </c>
      <c r="BG5" s="107">
        <f t="shared" si="0"/>
        <v>0</v>
      </c>
      <c r="BH5" s="107">
        <f t="shared" si="0"/>
        <v>0</v>
      </c>
      <c r="BI5" s="107">
        <f t="shared" si="0"/>
        <v>0</v>
      </c>
      <c r="BJ5" s="107">
        <f t="shared" si="0"/>
        <v>0</v>
      </c>
      <c r="BK5" s="107">
        <f t="shared" si="0"/>
        <v>0</v>
      </c>
      <c r="BL5" s="107">
        <f t="shared" si="0"/>
        <v>0</v>
      </c>
      <c r="BM5" s="107">
        <f t="shared" si="0"/>
        <v>0</v>
      </c>
      <c r="BN5" s="107">
        <f t="shared" si="0"/>
        <v>0</v>
      </c>
      <c r="BO5" s="107">
        <f t="shared" si="0"/>
        <v>0</v>
      </c>
      <c r="BP5" s="107">
        <f t="shared" si="0"/>
        <v>0</v>
      </c>
      <c r="BQ5" s="107">
        <f t="shared" si="0"/>
        <v>0</v>
      </c>
      <c r="BR5" s="107">
        <f t="shared" si="0"/>
        <v>0</v>
      </c>
      <c r="BS5" s="107">
        <f t="shared" si="0"/>
        <v>0</v>
      </c>
      <c r="BT5" s="107">
        <f>SUM(BT3:BT4)</f>
        <v>0</v>
      </c>
      <c r="BU5" s="107">
        <f t="shared" ref="BU5:CD5" si="1">SUM(BU3:BU4)</f>
        <v>0</v>
      </c>
      <c r="BV5" s="107">
        <f t="shared" si="1"/>
        <v>0</v>
      </c>
      <c r="BW5" s="107">
        <f t="shared" si="1"/>
        <v>0</v>
      </c>
      <c r="BX5" s="107">
        <f t="shared" si="1"/>
        <v>0</v>
      </c>
      <c r="BY5" s="107">
        <f t="shared" si="1"/>
        <v>0</v>
      </c>
      <c r="BZ5" s="107">
        <f t="shared" si="1"/>
        <v>0</v>
      </c>
      <c r="CA5" s="107">
        <f t="shared" si="1"/>
        <v>0</v>
      </c>
      <c r="CB5" s="107">
        <f t="shared" si="1"/>
        <v>0</v>
      </c>
      <c r="CC5" s="107">
        <f t="shared" si="1"/>
        <v>0</v>
      </c>
      <c r="CD5" s="107">
        <f t="shared" si="1"/>
        <v>0</v>
      </c>
      <c r="CE5" s="107">
        <f>SUM(H5:CD5)</f>
        <v>0</v>
      </c>
      <c r="CF5" s="108">
        <f>SUM(CF3:CF4)</f>
        <v>0</v>
      </c>
      <c r="CG5" s="108">
        <f>SUM(CG3:CG4)</f>
        <v>0</v>
      </c>
      <c r="CH5" s="107"/>
    </row>
    <row r="6" s="83" customFormat="1" customHeight="1" spans="1:86">
      <c r="A6" s="109"/>
      <c r="B6" s="110"/>
      <c r="C6" s="111"/>
      <c r="D6" s="112"/>
      <c r="E6" s="111"/>
      <c r="F6" s="113">
        <f>F5-总排期!J4-已走货!J3</f>
        <v>0</v>
      </c>
      <c r="G6" s="113" t="e">
        <f>#REF!+#REF!+#REF!+#REF!+F3+#REF!-G5</f>
        <v>#REF!</v>
      </c>
      <c r="CF6" s="114"/>
      <c r="CG6" s="114"/>
    </row>
    <row r="7" s="81" customFormat="1" customHeight="1" spans="1:86">
      <c r="A7" s="11"/>
      <c r="B7" s="115"/>
      <c r="C7" s="116"/>
      <c r="D7" s="117"/>
      <c r="E7" s="116"/>
      <c r="F7" s="118"/>
      <c r="G7" s="119"/>
      <c r="CF7" s="88"/>
      <c r="CG7" s="88"/>
    </row>
    <row r="8" s="81" customFormat="1" customHeight="1" spans="1:86">
      <c r="A8" s="11"/>
      <c r="B8" s="115"/>
      <c r="C8" s="116"/>
      <c r="D8" s="120" t="s">
        <v>178</v>
      </c>
      <c r="E8" s="116"/>
      <c r="F8" s="118"/>
      <c r="G8" s="119"/>
      <c r="CF8" s="88"/>
      <c r="CG8" s="88"/>
    </row>
    <row r="9" customFormat="1" customHeight="1" spans="1:86">
      <c r="A9" s="121" t="s">
        <v>179</v>
      </c>
      <c r="B9" s="122">
        <f>CG5</f>
        <v>0</v>
      </c>
      <c r="C9" s="121" t="s">
        <v>179</v>
      </c>
      <c r="D9" s="122">
        <f>SUMIF(B:B,D8,CG:CG)</f>
        <v>0</v>
      </c>
      <c r="E9" s="82"/>
      <c r="F9" s="86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1"/>
      <c r="BZ9" s="81"/>
      <c r="CA9" s="81"/>
      <c r="CB9" s="81"/>
      <c r="CC9" s="81"/>
      <c r="CD9" s="81"/>
      <c r="CE9" s="87"/>
      <c r="CF9" s="88"/>
      <c r="CG9" s="88"/>
    </row>
    <row r="10" customFormat="1" customHeight="1" spans="1:86">
      <c r="A10" s="121" t="s">
        <v>180</v>
      </c>
      <c r="B10" s="122">
        <f>总排期!AA4</f>
        <v>0</v>
      </c>
      <c r="C10" s="121" t="s">
        <v>180</v>
      </c>
      <c r="D10" s="122">
        <f>SUMIF(总排期!C:C,D8,总排期!AA:AA)</f>
        <v>0</v>
      </c>
      <c r="E10" s="82"/>
      <c r="F10" s="86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7"/>
      <c r="CF10" s="88"/>
      <c r="CG10" s="88"/>
    </row>
    <row r="11" customFormat="1" customHeight="1" spans="1:86">
      <c r="A11" s="121" t="s">
        <v>181</v>
      </c>
      <c r="B11" s="122">
        <f>已走货!AA3</f>
        <v>0</v>
      </c>
      <c r="C11" s="121" t="s">
        <v>181</v>
      </c>
      <c r="D11" s="122">
        <f>SUMIF(已走货!C:C,D8,已走货!AA:AA)</f>
        <v>0</v>
      </c>
      <c r="E11" s="82"/>
      <c r="F11" s="86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7"/>
      <c r="CF11" s="88"/>
      <c r="CG11" s="88"/>
    </row>
    <row r="12" customFormat="1" customHeight="1" spans="1:86">
      <c r="A12" s="121"/>
      <c r="B12" s="123">
        <f>B9-B10-B11</f>
        <v>0</v>
      </c>
      <c r="C12" s="82"/>
      <c r="D12" s="123">
        <f>D9-D10-D11</f>
        <v>0</v>
      </c>
      <c r="E12" s="82"/>
      <c r="F12" s="86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7"/>
      <c r="CF12" s="88"/>
      <c r="CG12" s="88"/>
    </row>
    <row r="13" customFormat="1" customHeight="1" spans="1:86">
      <c r="C13" s="124"/>
      <c r="D13" s="124"/>
      <c r="E13" s="82"/>
      <c r="F13" s="86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7"/>
      <c r="CF13" s="88"/>
      <c r="CG13" s="88"/>
    </row>
    <row r="14" customFormat="1" customHeight="1" spans="1:86">
      <c r="A14" s="125"/>
      <c r="B14" s="125"/>
      <c r="C14" s="124"/>
      <c r="D14" s="124"/>
      <c r="E14" s="82"/>
      <c r="F14" s="86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7"/>
      <c r="CF14" s="88"/>
      <c r="CG14" s="88"/>
    </row>
    <row r="15" customFormat="1" customHeight="1" spans="1:86">
      <c r="A15" s="126" t="s">
        <v>182</v>
      </c>
      <c r="B15" s="127"/>
      <c r="C15" s="82"/>
      <c r="D15" s="85"/>
      <c r="E15" s="82"/>
      <c r="F15" s="86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7"/>
      <c r="CF15" s="88"/>
      <c r="CG15" s="88"/>
    </row>
    <row r="16" customFormat="1" customHeight="1" spans="1:86">
      <c r="A16" s="128" t="s">
        <v>183</v>
      </c>
      <c r="B16" s="92" t="s">
        <v>184</v>
      </c>
      <c r="C16" s="82"/>
      <c r="D16" s="85"/>
      <c r="E16" s="82"/>
      <c r="F16" s="86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7"/>
      <c r="CF16" s="88"/>
      <c r="CG16" s="88"/>
    </row>
    <row r="17" customFormat="1" customHeight="1" spans="1:86">
      <c r="A17" s="129" t="s">
        <v>185</v>
      </c>
      <c r="B17" s="130" t="s">
        <v>186</v>
      </c>
      <c r="C17" s="82"/>
      <c r="D17" s="85"/>
      <c r="E17" s="82"/>
      <c r="F17" s="86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7"/>
      <c r="CF17" s="88"/>
      <c r="CG17" s="88"/>
    </row>
    <row r="18" customFormat="1" customHeight="1" spans="1:86">
      <c r="A18" s="131" t="s">
        <v>187</v>
      </c>
      <c r="B18" s="132" t="s">
        <v>188</v>
      </c>
      <c r="C18" s="82"/>
      <c r="D18" s="85"/>
      <c r="E18" s="82"/>
      <c r="F18" s="86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7"/>
      <c r="CF18" s="88"/>
      <c r="CG18" s="88"/>
    </row>
    <row r="19" customFormat="1" customHeight="1" spans="1:86">
      <c r="A19" s="133" t="s">
        <v>189</v>
      </c>
      <c r="B19" s="133" t="s">
        <v>190</v>
      </c>
      <c r="C19" s="82"/>
      <c r="D19" s="85"/>
      <c r="E19" s="82"/>
      <c r="F19" s="86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7"/>
      <c r="CF19" s="88"/>
      <c r="CG19" s="88"/>
    </row>
    <row r="20" customFormat="1" customHeight="1" spans="1:86">
      <c r="A20" s="134" t="s">
        <v>191</v>
      </c>
      <c r="B20" s="135" t="s">
        <v>192</v>
      </c>
      <c r="C20" s="82"/>
      <c r="D20" s="85"/>
      <c r="E20" s="82"/>
      <c r="F20" s="86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7"/>
      <c r="CF20" s="88"/>
      <c r="CG20" s="88"/>
    </row>
    <row r="21" customFormat="1" customHeight="1" spans="1:86">
      <c r="A21" s="136" t="s">
        <v>193</v>
      </c>
      <c r="B21" s="137" t="s">
        <v>194</v>
      </c>
      <c r="C21" s="82"/>
      <c r="D21" s="85"/>
      <c r="E21" s="82"/>
      <c r="F21" s="86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7"/>
      <c r="CF21" s="88"/>
      <c r="CG21" s="88"/>
    </row>
    <row r="22" customHeight="1" spans="1:86">
      <c r="CH22"/>
    </row>
    <row r="23" customHeight="1" spans="1:86">
      <c r="CH23"/>
    </row>
    <row r="24" customHeight="1" spans="1:86">
      <c r="CH24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CH21" etc:filterBottomFollowUsedRange="0">
    <extLst/>
  </autoFilter>
  <mergeCells count="2">
    <mergeCell ref="A1:G1"/>
    <mergeCell ref="BQ1:BR1"/>
  </mergeCells>
  <pageMargins left="0.75" right="0.75" top="1" bottom="1" header="0.5" footer="0.5"/>
  <pageSetup paperSize="9" orientation="portrait"/>
  <headerFooter/>
  <ignoredErrors>
    <ignoredError sqref="BE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S4"/>
  <sheetViews>
    <sheetView tabSelected="1" workbookViewId="0">
      <pane xSplit="14" ySplit="1" topLeftCell="O2" activePane="bottomRight" state="frozen"/>
      <selection/>
      <selection pane="topRight"/>
      <selection pane="bottomLeft"/>
      <selection pane="bottomRight" activeCell="J2" sqref="J2"/>
    </sheetView>
  </sheetViews>
  <sheetFormatPr defaultColWidth="9" defaultRowHeight="25" customHeight="1" outlineLevelRow="3"/>
  <cols>
    <col min="1" max="1" width="12.625" style="11" customWidth="1"/>
    <col min="2" max="2" width="6.625" style="67" customWidth="1"/>
    <col min="3" max="3" width="10.625" style="12" customWidth="1"/>
    <col min="4" max="4" width="10.625" style="11" customWidth="1"/>
    <col min="5" max="5" width="8.625" style="12" customWidth="1"/>
    <col min="6" max="6" width="12.625" style="12" customWidth="1"/>
    <col min="7" max="7" width="12.625" style="13" customWidth="1"/>
    <col min="8" max="9" width="10.625" style="12" customWidth="1"/>
    <col min="10" max="10" width="6.625" style="14" customWidth="1"/>
    <col min="11" max="11" width="5.625" style="12" customWidth="1"/>
    <col min="12" max="12" width="5.625" style="14" customWidth="1"/>
    <col min="13" max="16" width="12.625" style="11" customWidth="1"/>
    <col min="17" max="17" width="12.875" style="12" customWidth="1"/>
    <col min="18" max="18" width="10.625" style="12" customWidth="1"/>
    <col min="19" max="21" width="12.625" style="11" customWidth="1"/>
    <col min="22" max="22" width="12.625" customWidth="1"/>
    <col min="23" max="23" width="12.625" style="12" customWidth="1"/>
    <col min="24" max="24" width="15.625" style="14" customWidth="1"/>
    <col min="25" max="25" width="8.625" style="68" customWidth="1"/>
    <col min="26" max="27" width="12.625" style="17" customWidth="1"/>
    <col min="28" max="28" width="10.625" style="69" customWidth="1"/>
    <col min="29" max="30" width="10.625" style="11" customWidth="1"/>
    <col min="31" max="31" width="6.625" style="11" customWidth="1"/>
    <col min="32" max="32" width="10.625" style="12" customWidth="1"/>
    <col min="33" max="33" width="11.5" style="70" customWidth="1"/>
    <col min="34" max="36" width="11.5" style="71" customWidth="1"/>
    <col min="37" max="37" width="8" style="71" customWidth="1"/>
    <col min="38" max="40" width="11.5" style="71" customWidth="1"/>
    <col min="41" max="42" width="6.625" style="72" customWidth="1"/>
    <col min="43" max="16384" width="9" style="8"/>
  </cols>
  <sheetData>
    <row r="1" s="8" customFormat="1" customHeight="1" spans="1:45">
      <c r="A1" s="20" t="s">
        <v>195</v>
      </c>
      <c r="B1" s="21" t="s">
        <v>196</v>
      </c>
      <c r="C1" s="22" t="s">
        <v>137</v>
      </c>
      <c r="D1" s="20" t="s">
        <v>197</v>
      </c>
      <c r="E1" s="22" t="s">
        <v>198</v>
      </c>
      <c r="F1" s="22" t="s">
        <v>199</v>
      </c>
      <c r="G1" s="23" t="s">
        <v>139</v>
      </c>
      <c r="H1" s="22" t="s">
        <v>140</v>
      </c>
      <c r="I1" s="24" t="s">
        <v>134</v>
      </c>
      <c r="J1" s="25" t="s">
        <v>141</v>
      </c>
      <c r="K1" s="26" t="s">
        <v>2</v>
      </c>
      <c r="L1" s="27" t="s">
        <v>200</v>
      </c>
      <c r="M1" s="20" t="s">
        <v>142</v>
      </c>
      <c r="N1" s="20" t="s">
        <v>201</v>
      </c>
      <c r="O1" s="20" t="s">
        <v>202</v>
      </c>
      <c r="P1" s="20" t="s">
        <v>203</v>
      </c>
      <c r="Q1" s="22" t="s">
        <v>204</v>
      </c>
      <c r="R1" s="22" t="s">
        <v>205</v>
      </c>
      <c r="S1" s="20" t="s">
        <v>206</v>
      </c>
      <c r="T1" s="20" t="s">
        <v>207</v>
      </c>
      <c r="U1" s="20" t="s">
        <v>208</v>
      </c>
      <c r="V1" s="20" t="s">
        <v>209</v>
      </c>
      <c r="W1" s="22" t="s">
        <v>210</v>
      </c>
      <c r="X1" s="28" t="s">
        <v>211</v>
      </c>
      <c r="Y1" s="73" t="s">
        <v>174</v>
      </c>
      <c r="Z1" s="29" t="s">
        <v>175</v>
      </c>
      <c r="AA1" s="29" t="s">
        <v>176</v>
      </c>
      <c r="AB1" s="30" t="s">
        <v>212</v>
      </c>
      <c r="AC1" s="27" t="s">
        <v>213</v>
      </c>
      <c r="AD1" s="31" t="s">
        <v>214</v>
      </c>
      <c r="AE1" s="31" t="s">
        <v>3</v>
      </c>
      <c r="AF1" s="24" t="s">
        <v>215</v>
      </c>
      <c r="AG1" s="33" t="s">
        <v>216</v>
      </c>
      <c r="AH1" s="33" t="s">
        <v>217</v>
      </c>
      <c r="AI1" s="33" t="s">
        <v>218</v>
      </c>
      <c r="AJ1" s="33" t="s">
        <v>219</v>
      </c>
      <c r="AK1" s="34" t="s">
        <v>220</v>
      </c>
      <c r="AL1" s="33" t="s">
        <v>221</v>
      </c>
      <c r="AM1" s="33" t="s">
        <v>222</v>
      </c>
      <c r="AN1" s="33" t="s">
        <v>223</v>
      </c>
      <c r="AO1" s="35" t="s">
        <v>224</v>
      </c>
      <c r="AP1" s="35" t="s">
        <v>225</v>
      </c>
    </row>
    <row r="2" s="8" customFormat="1" customHeight="1" spans="1:45">
      <c r="A2" s="52">
        <v>45950</v>
      </c>
      <c r="B2" s="74" t="str">
        <f ca="1">IF(TODAY()&gt;=A2,IF(R2="","未",""),"")</f>
        <v>未</v>
      </c>
      <c r="C2" s="53"/>
      <c r="D2" s="52"/>
      <c r="E2" s="53"/>
      <c r="F2" s="54">
        <v>4500142654</v>
      </c>
      <c r="G2" s="54"/>
      <c r="H2" s="24" t="s">
        <v>104</v>
      </c>
      <c r="I2" s="26" t="str">
        <f>VLOOKUP(H2,名称!A:C,2,0)</f>
        <v>泡泡壶</v>
      </c>
      <c r="J2" s="25">
        <v>8100</v>
      </c>
      <c r="K2" s="26">
        <f>VLOOKUP(H2,名称!A:D,3,0)</f>
        <v>4</v>
      </c>
      <c r="L2" s="27">
        <f>J2/K2</f>
        <v>2025</v>
      </c>
      <c r="M2" s="52">
        <v>46021</v>
      </c>
      <c r="N2" s="52">
        <f>M2-2</f>
        <v>46019</v>
      </c>
      <c r="O2" s="52"/>
      <c r="P2" s="52" t="s">
        <v>226</v>
      </c>
      <c r="Q2" s="24"/>
      <c r="R2" s="24"/>
      <c r="S2" s="52"/>
      <c r="T2" s="52"/>
      <c r="U2" s="52"/>
      <c r="V2" s="52"/>
      <c r="W2" s="24"/>
      <c r="X2" s="27" t="s">
        <v>227</v>
      </c>
      <c r="Y2" s="73"/>
      <c r="Z2" s="55">
        <f>J2*Y2</f>
        <v>0</v>
      </c>
      <c r="AA2" s="55">
        <f>Z2*7.75</f>
        <v>0</v>
      </c>
      <c r="AB2" s="75"/>
      <c r="AC2" s="52"/>
      <c r="AD2" s="52"/>
      <c r="AE2" s="52" t="str">
        <f>VLOOKUP(H2,名称!A:D,4,0)</f>
        <v>印尼</v>
      </c>
      <c r="AF2" s="26"/>
      <c r="AG2" s="76"/>
      <c r="AH2" s="76">
        <v>46000</v>
      </c>
      <c r="AI2" s="76">
        <v>45974</v>
      </c>
      <c r="AJ2" s="76"/>
      <c r="AK2" s="76"/>
      <c r="AL2" s="76">
        <v>45967</v>
      </c>
      <c r="AM2" s="76"/>
      <c r="AN2" s="76">
        <v>45973</v>
      </c>
      <c r="AO2" s="35">
        <f>M2-A2</f>
        <v>71</v>
      </c>
      <c r="AP2" s="35">
        <f>M2-AI2</f>
        <v>47</v>
      </c>
      <c r="AQ2" s="77"/>
      <c r="AR2" s="77"/>
      <c r="AS2" s="77"/>
    </row>
    <row r="3" s="8" customFormat="1" customHeight="1" spans="1:45">
      <c r="A3" s="52"/>
      <c r="B3" s="74"/>
      <c r="C3" s="53"/>
      <c r="D3" s="52"/>
      <c r="E3" s="53"/>
      <c r="F3" s="24"/>
      <c r="G3" s="54"/>
      <c r="H3" s="24"/>
      <c r="I3" s="26"/>
      <c r="J3" s="25"/>
      <c r="K3" s="26"/>
      <c r="L3" s="27"/>
      <c r="M3" s="52"/>
      <c r="N3" s="52"/>
      <c r="O3" s="52"/>
      <c r="P3" s="52"/>
      <c r="Q3" s="24"/>
      <c r="R3" s="24"/>
      <c r="S3" s="52"/>
      <c r="T3" s="52"/>
      <c r="U3" s="52"/>
      <c r="V3" s="52"/>
      <c r="W3" s="24"/>
      <c r="X3" s="27"/>
      <c r="Y3" s="73"/>
      <c r="Z3" s="55">
        <f>J3*Y3</f>
        <v>0</v>
      </c>
      <c r="AA3" s="55">
        <f>Z3*7.75</f>
        <v>0</v>
      </c>
      <c r="AB3" s="75"/>
      <c r="AC3" s="52"/>
      <c r="AD3" s="52"/>
      <c r="AE3" s="52" t="e">
        <f>VLOOKUP(H3,名称!A:D,4,0)</f>
        <v>#N/A</v>
      </c>
      <c r="AF3" s="26"/>
      <c r="AG3" s="76"/>
      <c r="AH3" s="76"/>
      <c r="AI3" s="76"/>
      <c r="AJ3" s="76"/>
      <c r="AK3" s="76"/>
      <c r="AL3" s="76"/>
      <c r="AM3" s="76"/>
      <c r="AN3" s="76"/>
      <c r="AO3" s="35">
        <f>M3-A3</f>
        <v>0</v>
      </c>
      <c r="AP3" s="35">
        <f>M3-AI3</f>
        <v>0</v>
      </c>
    </row>
    <row r="4" s="10" customFormat="1" customHeight="1" spans="1:45">
      <c r="A4" s="59"/>
      <c r="B4" s="78"/>
      <c r="C4" s="24"/>
      <c r="D4" s="59"/>
      <c r="E4" s="24"/>
      <c r="F4" s="24"/>
      <c r="G4" s="54"/>
      <c r="H4" s="24"/>
      <c r="I4" s="24" t="s">
        <v>228</v>
      </c>
      <c r="J4" s="27">
        <f>SUM(J2:J3)</f>
        <v>8100</v>
      </c>
      <c r="K4" s="79"/>
      <c r="L4" s="79"/>
      <c r="M4" s="59"/>
      <c r="N4" s="59"/>
      <c r="O4" s="59"/>
      <c r="P4" s="59"/>
      <c r="Q4" s="24"/>
      <c r="R4" s="24"/>
      <c r="S4" s="59"/>
      <c r="T4" s="59"/>
      <c r="U4" s="59"/>
      <c r="V4" s="59"/>
      <c r="W4" s="24"/>
      <c r="X4" s="28"/>
      <c r="Y4" s="73"/>
      <c r="Z4" s="29">
        <f>SUM(Z2:Z3)</f>
        <v>0</v>
      </c>
      <c r="AA4" s="29">
        <f>SUM(AA2:AA3)</f>
        <v>0</v>
      </c>
      <c r="AB4" s="75"/>
      <c r="AC4" s="59"/>
      <c r="AD4" s="59"/>
      <c r="AE4" s="59"/>
      <c r="AF4" s="24"/>
      <c r="AG4" s="80"/>
      <c r="AH4" s="80"/>
      <c r="AI4" s="80"/>
      <c r="AJ4" s="80"/>
      <c r="AK4" s="80"/>
      <c r="AL4" s="80"/>
      <c r="AM4" s="80"/>
      <c r="AN4" s="80"/>
      <c r="AO4" s="35"/>
      <c r="AP4" s="35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S4" etc:filterBottomFollowUsedRange="0">
    <sortState ref="A1:AS4">
      <sortCondition ref="A1"/>
    </sortState>
    <extLst/>
  </autoFilter>
  <conditionalFormatting sqref="AO2">
    <cfRule type="cellIs" dxfId="1" priority="130" operator="lessThan">
      <formula>90</formula>
    </cfRule>
  </conditionalFormatting>
  <conditionalFormatting sqref="AP2">
    <cfRule type="cellIs" dxfId="0" priority="129" operator="lessThan">
      <formula>55</formula>
    </cfRule>
  </conditionalFormatting>
  <conditionalFormatting sqref="AO3:AO4">
    <cfRule type="cellIs" dxfId="1" priority="374" operator="lessThan">
      <formula>90</formula>
    </cfRule>
  </conditionalFormatting>
  <conditionalFormatting sqref="AP3:AP4">
    <cfRule type="cellIs" dxfId="0" priority="373" operator="lessThan">
      <formula>55</formula>
    </cfRule>
  </conditionalFormatting>
  <pageMargins left="0.196527777777778" right="0.161111111111111" top="0.0152777777777778" bottom="0.354166666666667" header="0.156944444444444" footer="0.118055555555556"/>
  <pageSetup paperSize="9" scale="40" fitToHeight="0" orientation="landscape" horizontalDpi="600"/>
  <headerFooter>
    <oddFooter>&amp;C第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FF"/>
    <pageSetUpPr fitToPage="1"/>
  </sheetPr>
  <dimension ref="A1:AP7"/>
  <sheetViews>
    <sheetView workbookViewId="0">
      <pane xSplit="12" ySplit="1" topLeftCell="M2" activePane="bottomRight" state="frozen"/>
      <selection/>
      <selection pane="topRight"/>
      <selection pane="bottomLeft"/>
      <selection pane="bottomRight" activeCell="D15" sqref="D15"/>
    </sheetView>
  </sheetViews>
  <sheetFormatPr defaultColWidth="9" defaultRowHeight="25" customHeight="1" outlineLevelRow="6"/>
  <cols>
    <col min="1" max="1" width="11.5" style="11" customWidth="1"/>
    <col min="2" max="2" width="6.625" style="11" hidden="1" customWidth="1"/>
    <col min="3" max="4" width="10.625" style="12" customWidth="1"/>
    <col min="5" max="5" width="8.625" style="12" customWidth="1"/>
    <col min="6" max="6" width="12.625" style="12" customWidth="1"/>
    <col min="7" max="7" width="12.625" style="13" customWidth="1"/>
    <col min="8" max="9" width="10.625" style="12" customWidth="1"/>
    <col min="10" max="10" width="6.625" style="14" customWidth="1"/>
    <col min="11" max="11" width="5.625" style="12" customWidth="1"/>
    <col min="12" max="12" width="6.625" style="14" customWidth="1"/>
    <col min="13" max="13" width="12.625" style="11" customWidth="1"/>
    <col min="14" max="14" width="13.9" style="11" hidden="1" customWidth="1"/>
    <col min="15" max="17" width="12.625" style="11" hidden="1" customWidth="1"/>
    <col min="18" max="19" width="10.625" style="12" hidden="1" customWidth="1"/>
    <col min="20" max="20" width="12.625" style="15" hidden="1" customWidth="1"/>
    <col min="21" max="21" width="12.625" style="11" hidden="1" customWidth="1"/>
    <col min="22" max="22" width="12.625" style="12" customWidth="1"/>
    <col min="23" max="23" width="12.625" style="12" hidden="1" customWidth="1"/>
    <col min="24" max="24" width="15.625" style="14" customWidth="1"/>
    <col min="25" max="25" width="8.625" style="16" customWidth="1"/>
    <col min="26" max="27" width="12.625" style="17" customWidth="1"/>
    <col min="28" max="28" width="10.625" style="18" customWidth="1"/>
    <col min="29" max="30" width="10.625" style="11" customWidth="1"/>
    <col min="31" max="31" width="8.625" style="11" customWidth="1"/>
    <col min="32" max="32" width="10.625" style="11" customWidth="1"/>
    <col min="33" max="33" width="11.5" style="11" customWidth="1"/>
    <col min="34" max="40" width="11.5" customWidth="1"/>
    <col min="41" max="41" width="6.625" style="14" customWidth="1"/>
    <col min="42" max="16384" width="9" style="8"/>
  </cols>
  <sheetData>
    <row r="1" s="8" customFormat="1" customHeight="1" spans="1:42">
      <c r="A1" s="20" t="s">
        <v>195</v>
      </c>
      <c r="B1" s="21" t="s">
        <v>196</v>
      </c>
      <c r="C1" s="22" t="s">
        <v>137</v>
      </c>
      <c r="D1" s="20" t="s">
        <v>229</v>
      </c>
      <c r="E1" s="22" t="s">
        <v>198</v>
      </c>
      <c r="F1" s="22" t="s">
        <v>138</v>
      </c>
      <c r="G1" s="23" t="s">
        <v>139</v>
      </c>
      <c r="H1" s="22" t="s">
        <v>140</v>
      </c>
      <c r="I1" s="24" t="s">
        <v>134</v>
      </c>
      <c r="J1" s="25" t="s">
        <v>141</v>
      </c>
      <c r="K1" s="26" t="s">
        <v>2</v>
      </c>
      <c r="L1" s="27" t="s">
        <v>200</v>
      </c>
      <c r="M1" s="20" t="s">
        <v>142</v>
      </c>
      <c r="N1" s="20" t="s">
        <v>201</v>
      </c>
      <c r="O1" s="20" t="s">
        <v>202</v>
      </c>
      <c r="P1" s="20" t="s">
        <v>208</v>
      </c>
      <c r="Q1" s="20" t="s">
        <v>209</v>
      </c>
      <c r="R1" s="22" t="s">
        <v>205</v>
      </c>
      <c r="S1" s="22" t="s">
        <v>206</v>
      </c>
      <c r="T1" s="22" t="s">
        <v>207</v>
      </c>
      <c r="U1" s="20" t="s">
        <v>203</v>
      </c>
      <c r="V1" s="22" t="s">
        <v>204</v>
      </c>
      <c r="W1" s="22" t="s">
        <v>210</v>
      </c>
      <c r="X1" s="28" t="s">
        <v>211</v>
      </c>
      <c r="Y1" s="63" t="s">
        <v>174</v>
      </c>
      <c r="Z1" s="29" t="s">
        <v>175</v>
      </c>
      <c r="AA1" s="29" t="s">
        <v>176</v>
      </c>
      <c r="AB1" s="61" t="s">
        <v>230</v>
      </c>
      <c r="AC1" s="27" t="s">
        <v>231</v>
      </c>
      <c r="AD1" s="31" t="s">
        <v>214</v>
      </c>
      <c r="AE1" s="31" t="s">
        <v>3</v>
      </c>
      <c r="AF1" s="24" t="s">
        <v>215</v>
      </c>
      <c r="AG1" s="33" t="s">
        <v>216</v>
      </c>
      <c r="AH1" s="33" t="s">
        <v>217</v>
      </c>
      <c r="AI1" s="33" t="s">
        <v>218</v>
      </c>
      <c r="AJ1" s="33" t="s">
        <v>219</v>
      </c>
      <c r="AK1" s="33" t="s">
        <v>220</v>
      </c>
      <c r="AL1" s="33" t="s">
        <v>221</v>
      </c>
      <c r="AM1" s="33" t="s">
        <v>222</v>
      </c>
      <c r="AN1" s="33" t="s">
        <v>223</v>
      </c>
      <c r="AO1" s="35" t="s">
        <v>224</v>
      </c>
      <c r="AP1" s="35" t="s">
        <v>225</v>
      </c>
    </row>
    <row r="2" s="8" customFormat="1" customHeight="1" spans="1:42">
      <c r="A2" s="52"/>
      <c r="B2" s="52"/>
      <c r="C2" s="53"/>
      <c r="D2" s="53"/>
      <c r="E2" s="53"/>
      <c r="F2" s="24"/>
      <c r="G2" s="54"/>
      <c r="H2" s="24"/>
      <c r="I2" s="26"/>
      <c r="J2" s="25"/>
      <c r="K2" s="26"/>
      <c r="L2" s="27"/>
      <c r="M2" s="52"/>
      <c r="N2" s="52"/>
      <c r="O2" s="52"/>
      <c r="P2" s="52"/>
      <c r="Q2" s="52"/>
      <c r="R2" s="24"/>
      <c r="S2" s="24"/>
      <c r="T2" s="22"/>
      <c r="U2" s="52"/>
      <c r="V2" s="24"/>
      <c r="W2" s="24"/>
      <c r="X2" s="27"/>
      <c r="Y2" s="63"/>
      <c r="Z2" s="55">
        <f>J2*Y2</f>
        <v>0</v>
      </c>
      <c r="AA2" s="55">
        <f>Z2*7.75</f>
        <v>0</v>
      </c>
      <c r="AB2" s="56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64">
        <f>M2-A2</f>
        <v>0</v>
      </c>
      <c r="AP2" s="64">
        <f>M2-AI2</f>
        <v>0</v>
      </c>
    </row>
    <row r="3" s="10" customFormat="1" customHeight="1" spans="1:42">
      <c r="A3" s="59"/>
      <c r="B3" s="59"/>
      <c r="C3" s="24"/>
      <c r="D3" s="24"/>
      <c r="E3" s="24"/>
      <c r="F3" s="24"/>
      <c r="G3" s="54"/>
      <c r="H3" s="24"/>
      <c r="I3" s="24" t="s">
        <v>228</v>
      </c>
      <c r="J3" s="27">
        <f>SUM(J2:J2)</f>
        <v>0</v>
      </c>
      <c r="K3" s="65"/>
      <c r="L3" s="65"/>
      <c r="M3" s="59"/>
      <c r="N3" s="59"/>
      <c r="O3" s="59"/>
      <c r="P3" s="59"/>
      <c r="Q3" s="59"/>
      <c r="R3" s="24"/>
      <c r="S3" s="24"/>
      <c r="T3" s="31"/>
      <c r="U3" s="59"/>
      <c r="V3" s="24"/>
      <c r="W3" s="24"/>
      <c r="X3" s="28"/>
      <c r="Y3" s="63"/>
      <c r="Z3" s="55">
        <f>SUM(Z2:Z2)</f>
        <v>0</v>
      </c>
      <c r="AA3" s="55">
        <f>SUM(AA2:AA2)</f>
        <v>0</v>
      </c>
      <c r="AB3" s="66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27"/>
      <c r="AP3" s="58"/>
    </row>
    <row r="7" customHeight="1" spans="1:42">
      <c r="G7" s="12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P4" etc:filterBottomFollowUsedRange="0">
    <sortState ref="A1:AP4">
      <sortCondition ref="AB1"/>
    </sortState>
    <extLst/>
  </autoFilter>
  <pageMargins left="0.196527777777778" right="0.161111111111111" top="0.0152777777777778" bottom="0.2125" header="0.5" footer="0.5"/>
  <pageSetup paperSize="9" scale="43" fitToHeight="0" orientation="landscape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AP62"/>
  <sheetViews>
    <sheetView workbookViewId="0">
      <pane xSplit="11" ySplit="1" topLeftCell="L51" activePane="bottomRight" state="frozen"/>
      <selection/>
      <selection pane="topRight"/>
      <selection pane="bottomLeft"/>
      <selection pane="bottomRight" activeCell="C72" sqref="C72"/>
    </sheetView>
  </sheetViews>
  <sheetFormatPr defaultColWidth="9" defaultRowHeight="25" customHeight="1"/>
  <cols>
    <col min="1" max="1" width="11.5" style="11" customWidth="1"/>
    <col min="2" max="2" width="6.625" style="11" hidden="1" customWidth="1"/>
    <col min="3" max="5" width="8.625" style="12" customWidth="1"/>
    <col min="6" max="6" width="12.625" style="13" customWidth="1"/>
    <col min="7" max="8" width="10.625" style="12" customWidth="1"/>
    <col min="9" max="9" width="10.625" style="14" customWidth="1"/>
    <col min="10" max="10" width="6.625" style="12" customWidth="1"/>
    <col min="11" max="11" width="5.625" style="14" customWidth="1"/>
    <col min="12" max="12" width="5.625" style="11" customWidth="1"/>
    <col min="13" max="13" width="12.625" style="11" customWidth="1"/>
    <col min="14" max="14" width="12.625" style="11" hidden="1" customWidth="1"/>
    <col min="15" max="16" width="12.625" style="12" hidden="1" customWidth="1"/>
    <col min="17" max="17" width="12.625" style="15" hidden="1" customWidth="1"/>
    <col min="18" max="18" width="12.625" style="11" hidden="1" customWidth="1"/>
    <col min="19" max="19" width="12.625" style="12" hidden="1" customWidth="1"/>
    <col min="20" max="20" width="12.625" style="14" hidden="1" customWidth="1"/>
    <col min="21" max="21" width="10.625" style="16" hidden="1" customWidth="1"/>
    <col min="22" max="23" width="12.625" style="17" customWidth="1"/>
    <col min="24" max="24" width="10.625" style="18" customWidth="1"/>
    <col min="25" max="25" width="8.625" style="11" customWidth="1"/>
    <col min="26" max="27" width="11.5" style="11" customWidth="1"/>
    <col min="28" max="30" width="11.5" customWidth="1"/>
    <col min="31" max="31" width="8.625" customWidth="1"/>
    <col min="32" max="32" width="11.5" customWidth="1"/>
    <col min="33" max="34" width="6.625" style="19" customWidth="1"/>
    <col min="35" max="35" width="12.125" style="8"/>
    <col min="36" max="40" width="11.25" style="8"/>
    <col min="41" max="16384" width="9" style="8"/>
  </cols>
  <sheetData>
    <row r="1" s="8" customFormat="1" customHeight="1" spans="1:42">
      <c r="A1" s="20" t="s">
        <v>195</v>
      </c>
      <c r="B1" s="21" t="s">
        <v>196</v>
      </c>
      <c r="C1" s="22" t="s">
        <v>137</v>
      </c>
      <c r="D1" s="20" t="s">
        <v>229</v>
      </c>
      <c r="E1" s="22" t="s">
        <v>198</v>
      </c>
      <c r="F1" s="22" t="s">
        <v>138</v>
      </c>
      <c r="G1" s="23" t="s">
        <v>139</v>
      </c>
      <c r="H1" s="22" t="s">
        <v>140</v>
      </c>
      <c r="I1" s="24" t="s">
        <v>134</v>
      </c>
      <c r="J1" s="25" t="s">
        <v>141</v>
      </c>
      <c r="K1" s="26" t="s">
        <v>2</v>
      </c>
      <c r="L1" s="27" t="s">
        <v>200</v>
      </c>
      <c r="M1" s="20" t="s">
        <v>142</v>
      </c>
      <c r="N1" s="20" t="s">
        <v>201</v>
      </c>
      <c r="O1" s="20" t="s">
        <v>202</v>
      </c>
      <c r="P1" s="20" t="s">
        <v>208</v>
      </c>
      <c r="Q1" s="20" t="s">
        <v>209</v>
      </c>
      <c r="R1" s="22" t="s">
        <v>205</v>
      </c>
      <c r="S1" s="22" t="s">
        <v>206</v>
      </c>
      <c r="T1" s="22" t="s">
        <v>207</v>
      </c>
      <c r="U1" s="20" t="s">
        <v>203</v>
      </c>
      <c r="V1" s="22" t="s">
        <v>204</v>
      </c>
      <c r="W1" s="22" t="s">
        <v>210</v>
      </c>
      <c r="X1" s="28" t="s">
        <v>211</v>
      </c>
      <c r="Y1" s="29" t="s">
        <v>174</v>
      </c>
      <c r="Z1" s="29" t="s">
        <v>175</v>
      </c>
      <c r="AA1" s="29" t="s">
        <v>176</v>
      </c>
      <c r="AB1" s="30" t="s">
        <v>212</v>
      </c>
      <c r="AC1" s="27" t="s">
        <v>231</v>
      </c>
      <c r="AD1" s="31" t="s">
        <v>214</v>
      </c>
      <c r="AE1" s="31" t="s">
        <v>3</v>
      </c>
      <c r="AF1" s="24" t="s">
        <v>215</v>
      </c>
      <c r="AG1" s="32" t="s">
        <v>216</v>
      </c>
      <c r="AH1" s="32" t="s">
        <v>217</v>
      </c>
      <c r="AI1" s="33" t="s">
        <v>218</v>
      </c>
      <c r="AJ1" s="33" t="s">
        <v>219</v>
      </c>
      <c r="AK1" s="34" t="s">
        <v>220</v>
      </c>
      <c r="AL1" s="33" t="s">
        <v>221</v>
      </c>
      <c r="AM1" s="33" t="s">
        <v>222</v>
      </c>
      <c r="AN1" s="33" t="s">
        <v>223</v>
      </c>
      <c r="AO1" s="35" t="s">
        <v>224</v>
      </c>
      <c r="AP1" s="35" t="s">
        <v>225</v>
      </c>
    </row>
    <row r="2" s="9" customFormat="1" customHeight="1" spans="1:42">
      <c r="A2" s="36">
        <v>45679</v>
      </c>
      <c r="B2" s="36"/>
      <c r="C2" s="37" t="s">
        <v>232</v>
      </c>
      <c r="D2" s="37"/>
      <c r="E2" s="37" t="s">
        <v>233</v>
      </c>
      <c r="F2" s="38">
        <v>10094612</v>
      </c>
      <c r="G2" s="39">
        <v>202502170028</v>
      </c>
      <c r="H2" s="38">
        <v>47682</v>
      </c>
      <c r="I2" s="40" t="s">
        <v>234</v>
      </c>
      <c r="J2" s="41">
        <v>0</v>
      </c>
      <c r="K2" s="40">
        <v>2</v>
      </c>
      <c r="L2" s="42">
        <f t="shared" ref="L2:L33" si="0">J2/K2</f>
        <v>0</v>
      </c>
      <c r="M2" s="36">
        <v>45756</v>
      </c>
      <c r="N2" s="36">
        <f t="shared" ref="N2:N22" si="1">M2-7</f>
        <v>45749</v>
      </c>
      <c r="O2" s="36"/>
      <c r="P2" s="36"/>
      <c r="Q2" s="36"/>
      <c r="R2" s="38"/>
      <c r="S2" s="38"/>
      <c r="T2" s="43"/>
      <c r="U2" s="36"/>
      <c r="V2" s="38"/>
      <c r="W2" s="38"/>
      <c r="X2" s="38" t="s">
        <v>194</v>
      </c>
      <c r="Y2" s="44">
        <v>5.49</v>
      </c>
      <c r="Z2" s="44">
        <f t="shared" ref="Z2:Z49" si="2">J2*Y2</f>
        <v>0</v>
      </c>
      <c r="AA2" s="44">
        <f t="shared" ref="AA2:AA49" si="3">Z2*7.75</f>
        <v>0</v>
      </c>
      <c r="AB2" s="45"/>
      <c r="AC2" s="45"/>
      <c r="AD2" s="36"/>
      <c r="AE2" s="36" t="s">
        <v>12</v>
      </c>
      <c r="AF2" s="36"/>
      <c r="AG2" s="46"/>
      <c r="AH2" s="46"/>
      <c r="AI2" s="36"/>
      <c r="AJ2" s="36"/>
      <c r="AK2" s="36"/>
      <c r="AL2" s="36"/>
      <c r="AM2" s="36"/>
      <c r="AN2" s="36"/>
      <c r="AO2" s="47">
        <f t="shared" ref="AO2:AO49" si="4">M2-A2</f>
        <v>77</v>
      </c>
      <c r="AP2" s="47">
        <f t="shared" ref="AP2:AP49" si="5">M2-AI2</f>
        <v>45756</v>
      </c>
    </row>
    <row r="3" s="9" customFormat="1" customHeight="1" spans="1:42">
      <c r="A3" s="36">
        <v>45595</v>
      </c>
      <c r="B3" s="36"/>
      <c r="C3" s="37" t="s">
        <v>232</v>
      </c>
      <c r="D3" s="37"/>
      <c r="E3" s="37" t="s">
        <v>235</v>
      </c>
      <c r="F3" s="38">
        <v>10089531</v>
      </c>
      <c r="G3" s="39">
        <v>202430270058</v>
      </c>
      <c r="H3" s="38" t="s">
        <v>48</v>
      </c>
      <c r="I3" s="40" t="s">
        <v>236</v>
      </c>
      <c r="J3" s="41">
        <f>10000-10000</f>
        <v>0</v>
      </c>
      <c r="K3" s="40">
        <v>4</v>
      </c>
      <c r="L3" s="47">
        <f t="shared" si="0"/>
        <v>0</v>
      </c>
      <c r="M3" s="36">
        <v>45700</v>
      </c>
      <c r="N3" s="36">
        <f t="shared" si="1"/>
        <v>45693</v>
      </c>
      <c r="O3" s="36"/>
      <c r="P3" s="36"/>
      <c r="Q3" s="36"/>
      <c r="R3" s="38" t="s">
        <v>237</v>
      </c>
      <c r="S3" s="38"/>
      <c r="T3" s="36"/>
      <c r="U3" s="36" t="s">
        <v>238</v>
      </c>
      <c r="V3" s="48" t="s">
        <v>239</v>
      </c>
      <c r="W3" s="48"/>
      <c r="X3" s="42" t="s">
        <v>240</v>
      </c>
      <c r="Y3" s="44">
        <v>2.17</v>
      </c>
      <c r="Z3" s="44">
        <f t="shared" si="2"/>
        <v>0</v>
      </c>
      <c r="AA3" s="44">
        <f t="shared" si="3"/>
        <v>0</v>
      </c>
      <c r="AB3" s="45"/>
      <c r="AC3" s="45"/>
      <c r="AD3" s="36"/>
      <c r="AE3" s="36" t="s">
        <v>12</v>
      </c>
      <c r="AF3" s="36"/>
      <c r="AG3" s="46"/>
      <c r="AH3" s="46"/>
      <c r="AI3" s="36">
        <v>45639</v>
      </c>
      <c r="AJ3" s="36" t="s">
        <v>241</v>
      </c>
      <c r="AK3" s="36"/>
      <c r="AL3" s="36"/>
      <c r="AM3" s="36"/>
      <c r="AN3" s="36"/>
      <c r="AO3" s="47">
        <f t="shared" si="4"/>
        <v>105</v>
      </c>
      <c r="AP3" s="47">
        <f t="shared" si="5"/>
        <v>61</v>
      </c>
    </row>
    <row r="4" s="9" customFormat="1" customHeight="1" spans="1:42">
      <c r="A4" s="36">
        <v>45595</v>
      </c>
      <c r="B4" s="36"/>
      <c r="C4" s="37" t="s">
        <v>232</v>
      </c>
      <c r="D4" s="37"/>
      <c r="E4" s="37" t="s">
        <v>235</v>
      </c>
      <c r="F4" s="38">
        <v>10089531</v>
      </c>
      <c r="G4" s="39">
        <v>202430270058</v>
      </c>
      <c r="H4" s="38" t="s">
        <v>55</v>
      </c>
      <c r="I4" s="40" t="s">
        <v>242</v>
      </c>
      <c r="J4" s="41">
        <f t="shared" ref="J4:J9" si="6">7800-7800</f>
        <v>0</v>
      </c>
      <c r="K4" s="40">
        <v>6</v>
      </c>
      <c r="L4" s="47">
        <f t="shared" si="0"/>
        <v>0</v>
      </c>
      <c r="M4" s="36">
        <v>45700</v>
      </c>
      <c r="N4" s="36">
        <f t="shared" si="1"/>
        <v>45693</v>
      </c>
      <c r="O4" s="36"/>
      <c r="P4" s="36"/>
      <c r="Q4" s="36"/>
      <c r="R4" s="38" t="s">
        <v>237</v>
      </c>
      <c r="S4" s="38"/>
      <c r="T4" s="36"/>
      <c r="U4" s="36" t="s">
        <v>238</v>
      </c>
      <c r="V4" s="38" t="s">
        <v>239</v>
      </c>
      <c r="W4" s="38"/>
      <c r="X4" s="42" t="s">
        <v>243</v>
      </c>
      <c r="Y4" s="44">
        <v>1.36</v>
      </c>
      <c r="Z4" s="44">
        <f t="shared" si="2"/>
        <v>0</v>
      </c>
      <c r="AA4" s="44">
        <f t="shared" si="3"/>
        <v>0</v>
      </c>
      <c r="AB4" s="45"/>
      <c r="AC4" s="45"/>
      <c r="AD4" s="36"/>
      <c r="AE4" s="36" t="s">
        <v>12</v>
      </c>
      <c r="AF4" s="36"/>
      <c r="AG4" s="46"/>
      <c r="AH4" s="46"/>
      <c r="AI4" s="36">
        <v>45639</v>
      </c>
      <c r="AJ4" s="36" t="s">
        <v>241</v>
      </c>
      <c r="AK4" s="36"/>
      <c r="AL4" s="36"/>
      <c r="AM4" s="36"/>
      <c r="AN4" s="36"/>
      <c r="AO4" s="47">
        <f t="shared" si="4"/>
        <v>105</v>
      </c>
      <c r="AP4" s="47">
        <f t="shared" si="5"/>
        <v>61</v>
      </c>
    </row>
    <row r="5" s="9" customFormat="1" customHeight="1" spans="1:42">
      <c r="A5" s="36">
        <v>45595</v>
      </c>
      <c r="B5" s="36"/>
      <c r="C5" s="37" t="s">
        <v>232</v>
      </c>
      <c r="D5" s="37"/>
      <c r="E5" s="37" t="s">
        <v>235</v>
      </c>
      <c r="F5" s="38">
        <v>10089531</v>
      </c>
      <c r="G5" s="39">
        <v>202430270058</v>
      </c>
      <c r="H5" s="38" t="s">
        <v>50</v>
      </c>
      <c r="I5" s="40" t="s">
        <v>236</v>
      </c>
      <c r="J5" s="41">
        <f>2000-2000</f>
        <v>0</v>
      </c>
      <c r="K5" s="40">
        <v>2</v>
      </c>
      <c r="L5" s="47">
        <f t="shared" si="0"/>
        <v>0</v>
      </c>
      <c r="M5" s="36">
        <v>45700</v>
      </c>
      <c r="N5" s="36">
        <f t="shared" si="1"/>
        <v>45693</v>
      </c>
      <c r="O5" s="36"/>
      <c r="P5" s="36"/>
      <c r="Q5" s="36"/>
      <c r="R5" s="38" t="s">
        <v>237</v>
      </c>
      <c r="S5" s="38"/>
      <c r="T5" s="36"/>
      <c r="U5" s="36" t="s">
        <v>238</v>
      </c>
      <c r="V5" s="48" t="s">
        <v>239</v>
      </c>
      <c r="W5" s="48"/>
      <c r="X5" s="42" t="s">
        <v>244</v>
      </c>
      <c r="Y5" s="44">
        <v>2.23</v>
      </c>
      <c r="Z5" s="44">
        <f t="shared" si="2"/>
        <v>0</v>
      </c>
      <c r="AA5" s="44">
        <f t="shared" si="3"/>
        <v>0</v>
      </c>
      <c r="AB5" s="45"/>
      <c r="AC5" s="45"/>
      <c r="AD5" s="36"/>
      <c r="AE5" s="36" t="s">
        <v>12</v>
      </c>
      <c r="AF5" s="36"/>
      <c r="AG5" s="46"/>
      <c r="AH5" s="46"/>
      <c r="AI5" s="36">
        <v>45646</v>
      </c>
      <c r="AJ5" s="36" t="s">
        <v>241</v>
      </c>
      <c r="AK5" s="36"/>
      <c r="AL5" s="36"/>
      <c r="AM5" s="36"/>
      <c r="AN5" s="36"/>
      <c r="AO5" s="47">
        <f t="shared" si="4"/>
        <v>105</v>
      </c>
      <c r="AP5" s="47">
        <f t="shared" si="5"/>
        <v>54</v>
      </c>
    </row>
    <row r="6" s="9" customFormat="1" customHeight="1" spans="1:42">
      <c r="A6" s="36">
        <v>45609</v>
      </c>
      <c r="B6" s="36"/>
      <c r="C6" s="37" t="s">
        <v>232</v>
      </c>
      <c r="D6" s="37"/>
      <c r="E6" s="37" t="s">
        <v>235</v>
      </c>
      <c r="F6" s="38">
        <v>10090269</v>
      </c>
      <c r="G6" s="39">
        <v>202431770039</v>
      </c>
      <c r="H6" s="38" t="s">
        <v>48</v>
      </c>
      <c r="I6" s="40" t="s">
        <v>236</v>
      </c>
      <c r="J6" s="41">
        <f>10000-10000</f>
        <v>0</v>
      </c>
      <c r="K6" s="40">
        <v>4</v>
      </c>
      <c r="L6" s="47">
        <f t="shared" si="0"/>
        <v>0</v>
      </c>
      <c r="M6" s="36">
        <v>45707</v>
      </c>
      <c r="N6" s="36">
        <f t="shared" si="1"/>
        <v>45700</v>
      </c>
      <c r="O6" s="36"/>
      <c r="P6" s="36"/>
      <c r="Q6" s="36"/>
      <c r="R6" s="38" t="s">
        <v>237</v>
      </c>
      <c r="S6" s="38"/>
      <c r="T6" s="36"/>
      <c r="U6" s="36" t="s">
        <v>238</v>
      </c>
      <c r="V6" s="38" t="s">
        <v>239</v>
      </c>
      <c r="W6" s="38"/>
      <c r="X6" s="42" t="s">
        <v>245</v>
      </c>
      <c r="Y6" s="44">
        <v>2.17</v>
      </c>
      <c r="Z6" s="44">
        <f t="shared" si="2"/>
        <v>0</v>
      </c>
      <c r="AA6" s="44">
        <f t="shared" si="3"/>
        <v>0</v>
      </c>
      <c r="AB6" s="45"/>
      <c r="AC6" s="45"/>
      <c r="AD6" s="36"/>
      <c r="AE6" s="36" t="s">
        <v>12</v>
      </c>
      <c r="AF6" s="36"/>
      <c r="AG6" s="46"/>
      <c r="AH6" s="46"/>
      <c r="AI6" s="36">
        <v>45646</v>
      </c>
      <c r="AJ6" s="36" t="s">
        <v>241</v>
      </c>
      <c r="AK6" s="36"/>
      <c r="AL6" s="36"/>
      <c r="AM6" s="36"/>
      <c r="AN6" s="36"/>
      <c r="AO6" s="47">
        <f t="shared" si="4"/>
        <v>98</v>
      </c>
      <c r="AP6" s="47">
        <f t="shared" si="5"/>
        <v>61</v>
      </c>
    </row>
    <row r="7" s="9" customFormat="1" customHeight="1" spans="1:42">
      <c r="A7" s="36">
        <v>45595</v>
      </c>
      <c r="B7" s="36"/>
      <c r="C7" s="37" t="s">
        <v>232</v>
      </c>
      <c r="D7" s="37"/>
      <c r="E7" s="37" t="s">
        <v>235</v>
      </c>
      <c r="F7" s="38">
        <v>10089531</v>
      </c>
      <c r="G7" s="39">
        <v>202430270058</v>
      </c>
      <c r="H7" s="38" t="s">
        <v>55</v>
      </c>
      <c r="I7" s="40" t="s">
        <v>242</v>
      </c>
      <c r="J7" s="41">
        <f t="shared" si="6"/>
        <v>0</v>
      </c>
      <c r="K7" s="40">
        <v>6</v>
      </c>
      <c r="L7" s="47">
        <f t="shared" si="0"/>
        <v>0</v>
      </c>
      <c r="M7" s="36">
        <v>45707</v>
      </c>
      <c r="N7" s="36">
        <f t="shared" si="1"/>
        <v>45700</v>
      </c>
      <c r="O7" s="36"/>
      <c r="P7" s="36"/>
      <c r="Q7" s="36"/>
      <c r="R7" s="38" t="s">
        <v>237</v>
      </c>
      <c r="S7" s="38"/>
      <c r="T7" s="36"/>
      <c r="U7" s="36" t="s">
        <v>238</v>
      </c>
      <c r="V7" s="48" t="s">
        <v>239</v>
      </c>
      <c r="W7" s="48"/>
      <c r="X7" s="42" t="s">
        <v>243</v>
      </c>
      <c r="Y7" s="44">
        <v>1.36</v>
      </c>
      <c r="Z7" s="44">
        <f t="shared" si="2"/>
        <v>0</v>
      </c>
      <c r="AA7" s="44">
        <f t="shared" si="3"/>
        <v>0</v>
      </c>
      <c r="AB7" s="45"/>
      <c r="AC7" s="45"/>
      <c r="AD7" s="36"/>
      <c r="AE7" s="36" t="s">
        <v>12</v>
      </c>
      <c r="AF7" s="36"/>
      <c r="AG7" s="46"/>
      <c r="AH7" s="46"/>
      <c r="AI7" s="36">
        <v>45639</v>
      </c>
      <c r="AJ7" s="36" t="s">
        <v>241</v>
      </c>
      <c r="AK7" s="36"/>
      <c r="AL7" s="36"/>
      <c r="AM7" s="36"/>
      <c r="AN7" s="36"/>
      <c r="AO7" s="47">
        <f t="shared" si="4"/>
        <v>112</v>
      </c>
      <c r="AP7" s="47">
        <f t="shared" si="5"/>
        <v>68</v>
      </c>
    </row>
    <row r="8" s="9" customFormat="1" customHeight="1" spans="1:42">
      <c r="A8" s="36">
        <v>45609</v>
      </c>
      <c r="B8" s="36"/>
      <c r="C8" s="37" t="s">
        <v>232</v>
      </c>
      <c r="D8" s="37"/>
      <c r="E8" s="37" t="s">
        <v>235</v>
      </c>
      <c r="F8" s="38">
        <v>10090269</v>
      </c>
      <c r="G8" s="39">
        <v>202431770039</v>
      </c>
      <c r="H8" s="38" t="s">
        <v>50</v>
      </c>
      <c r="I8" s="48" t="s">
        <v>236</v>
      </c>
      <c r="J8" s="41">
        <f>5000-5000</f>
        <v>0</v>
      </c>
      <c r="K8" s="40">
        <v>2</v>
      </c>
      <c r="L8" s="47">
        <f t="shared" si="0"/>
        <v>0</v>
      </c>
      <c r="M8" s="36">
        <v>45707</v>
      </c>
      <c r="N8" s="36">
        <f t="shared" si="1"/>
        <v>45700</v>
      </c>
      <c r="O8" s="36"/>
      <c r="P8" s="36"/>
      <c r="Q8" s="36"/>
      <c r="R8" s="38" t="s">
        <v>237</v>
      </c>
      <c r="S8" s="38"/>
      <c r="T8" s="36"/>
      <c r="U8" s="36" t="s">
        <v>246</v>
      </c>
      <c r="V8" s="38" t="s">
        <v>239</v>
      </c>
      <c r="W8" s="38"/>
      <c r="X8" s="42" t="s">
        <v>247</v>
      </c>
      <c r="Y8" s="44">
        <v>2.23</v>
      </c>
      <c r="Z8" s="44">
        <f t="shared" si="2"/>
        <v>0</v>
      </c>
      <c r="AA8" s="44">
        <f t="shared" si="3"/>
        <v>0</v>
      </c>
      <c r="AB8" s="45"/>
      <c r="AC8" s="45"/>
      <c r="AD8" s="36"/>
      <c r="AE8" s="36" t="s">
        <v>12</v>
      </c>
      <c r="AF8" s="36"/>
      <c r="AG8" s="46"/>
      <c r="AH8" s="46"/>
      <c r="AI8" s="36">
        <v>45646</v>
      </c>
      <c r="AJ8" s="36" t="s">
        <v>241</v>
      </c>
      <c r="AK8" s="36"/>
      <c r="AL8" s="36"/>
      <c r="AM8" s="36"/>
      <c r="AN8" s="36"/>
      <c r="AO8" s="47">
        <f t="shared" si="4"/>
        <v>98</v>
      </c>
      <c r="AP8" s="47">
        <f t="shared" si="5"/>
        <v>61</v>
      </c>
    </row>
    <row r="9" s="9" customFormat="1" customHeight="1" spans="1:42">
      <c r="A9" s="36">
        <v>45595</v>
      </c>
      <c r="B9" s="36"/>
      <c r="C9" s="37" t="s">
        <v>232</v>
      </c>
      <c r="D9" s="37"/>
      <c r="E9" s="37" t="s">
        <v>235</v>
      </c>
      <c r="F9" s="38">
        <v>10089531</v>
      </c>
      <c r="G9" s="39">
        <v>202430270058</v>
      </c>
      <c r="H9" s="38" t="s">
        <v>55</v>
      </c>
      <c r="I9" s="40" t="s">
        <v>242</v>
      </c>
      <c r="J9" s="41">
        <f t="shared" si="6"/>
        <v>0</v>
      </c>
      <c r="K9" s="40">
        <v>6</v>
      </c>
      <c r="L9" s="47">
        <f t="shared" si="0"/>
        <v>0</v>
      </c>
      <c r="M9" s="36">
        <v>45707</v>
      </c>
      <c r="N9" s="36">
        <f t="shared" si="1"/>
        <v>45700</v>
      </c>
      <c r="O9" s="36"/>
      <c r="P9" s="36"/>
      <c r="Q9" s="36"/>
      <c r="R9" s="38" t="s">
        <v>237</v>
      </c>
      <c r="S9" s="38"/>
      <c r="T9" s="36"/>
      <c r="U9" s="36" t="s">
        <v>246</v>
      </c>
      <c r="V9" s="48" t="s">
        <v>239</v>
      </c>
      <c r="W9" s="48"/>
      <c r="X9" s="38" t="s">
        <v>243</v>
      </c>
      <c r="Y9" s="44">
        <v>1.36</v>
      </c>
      <c r="Z9" s="44">
        <f t="shared" si="2"/>
        <v>0</v>
      </c>
      <c r="AA9" s="44">
        <f t="shared" si="3"/>
        <v>0</v>
      </c>
      <c r="AB9" s="45"/>
      <c r="AC9" s="45"/>
      <c r="AD9" s="36"/>
      <c r="AE9" s="36" t="s">
        <v>12</v>
      </c>
      <c r="AF9" s="36"/>
      <c r="AG9" s="46"/>
      <c r="AH9" s="46"/>
      <c r="AI9" s="36">
        <v>45646</v>
      </c>
      <c r="AJ9" s="36" t="s">
        <v>241</v>
      </c>
      <c r="AK9" s="36"/>
      <c r="AL9" s="36"/>
      <c r="AM9" s="36"/>
      <c r="AN9" s="36"/>
      <c r="AO9" s="47">
        <f t="shared" si="4"/>
        <v>112</v>
      </c>
      <c r="AP9" s="47">
        <f t="shared" si="5"/>
        <v>61</v>
      </c>
    </row>
    <row r="10" s="9" customFormat="1" customHeight="1" spans="1:42">
      <c r="A10" s="36">
        <v>45681</v>
      </c>
      <c r="B10" s="36"/>
      <c r="C10" s="37" t="s">
        <v>232</v>
      </c>
      <c r="D10" s="37"/>
      <c r="E10" s="37" t="s">
        <v>248</v>
      </c>
      <c r="F10" s="38">
        <v>10094685</v>
      </c>
      <c r="G10" s="39">
        <v>202502370242</v>
      </c>
      <c r="H10" s="48" t="s">
        <v>55</v>
      </c>
      <c r="I10" s="40" t="s">
        <v>242</v>
      </c>
      <c r="J10" s="41">
        <f>1212-1212</f>
        <v>0</v>
      </c>
      <c r="K10" s="40">
        <v>6</v>
      </c>
      <c r="L10" s="47">
        <f t="shared" si="0"/>
        <v>0</v>
      </c>
      <c r="M10" s="36">
        <v>45714</v>
      </c>
      <c r="N10" s="36">
        <f t="shared" si="1"/>
        <v>45707</v>
      </c>
      <c r="O10" s="36" t="s">
        <v>249</v>
      </c>
      <c r="P10" s="36"/>
      <c r="Q10" s="36"/>
      <c r="R10" s="38" t="s">
        <v>237</v>
      </c>
      <c r="S10" s="38"/>
      <c r="T10" s="36"/>
      <c r="U10" s="36" t="s">
        <v>246</v>
      </c>
      <c r="V10" s="38" t="s">
        <v>239</v>
      </c>
      <c r="W10" s="38"/>
      <c r="X10" s="38" t="s">
        <v>250</v>
      </c>
      <c r="Y10" s="44">
        <v>1.36</v>
      </c>
      <c r="Z10" s="44">
        <f t="shared" si="2"/>
        <v>0</v>
      </c>
      <c r="AA10" s="44">
        <f t="shared" si="3"/>
        <v>0</v>
      </c>
      <c r="AB10" s="45"/>
      <c r="AC10" s="45"/>
      <c r="AD10" s="36"/>
      <c r="AE10" s="36" t="s">
        <v>12</v>
      </c>
      <c r="AF10" s="36"/>
      <c r="AG10" s="46"/>
      <c r="AH10" s="46"/>
      <c r="AI10" s="36">
        <v>45646</v>
      </c>
      <c r="AJ10" s="36" t="s">
        <v>241</v>
      </c>
      <c r="AK10" s="36"/>
      <c r="AL10" s="36"/>
      <c r="AM10" s="36"/>
      <c r="AN10" s="36"/>
      <c r="AO10" s="47">
        <f t="shared" si="4"/>
        <v>33</v>
      </c>
      <c r="AP10" s="47">
        <f t="shared" si="5"/>
        <v>68</v>
      </c>
    </row>
    <row r="11" s="9" customFormat="1" customHeight="1" spans="1:42">
      <c r="A11" s="36">
        <v>45661</v>
      </c>
      <c r="B11" s="36"/>
      <c r="C11" s="37"/>
      <c r="D11" s="37"/>
      <c r="E11" s="37"/>
      <c r="F11" s="38" t="s">
        <v>251</v>
      </c>
      <c r="G11" s="39">
        <v>202500370011</v>
      </c>
      <c r="H11" s="38" t="s">
        <v>44</v>
      </c>
      <c r="I11" s="40" t="s">
        <v>252</v>
      </c>
      <c r="J11" s="41">
        <f>24500-24500</f>
        <v>0</v>
      </c>
      <c r="K11" s="40">
        <v>2</v>
      </c>
      <c r="L11" s="47">
        <f t="shared" si="0"/>
        <v>0</v>
      </c>
      <c r="M11" s="36">
        <v>45742</v>
      </c>
      <c r="N11" s="36">
        <f t="shared" si="1"/>
        <v>45735</v>
      </c>
      <c r="O11" s="36"/>
      <c r="P11" s="36"/>
      <c r="Q11" s="36"/>
      <c r="R11" s="38"/>
      <c r="S11" s="36"/>
      <c r="T11" s="43" t="s">
        <v>253</v>
      </c>
      <c r="U11" s="36" t="s">
        <v>254</v>
      </c>
      <c r="V11" s="38" t="s">
        <v>255</v>
      </c>
      <c r="W11" s="38"/>
      <c r="X11" s="42"/>
      <c r="Y11" s="44">
        <v>5.28</v>
      </c>
      <c r="Z11" s="44">
        <f t="shared" si="2"/>
        <v>0</v>
      </c>
      <c r="AA11" s="44">
        <f t="shared" si="3"/>
        <v>0</v>
      </c>
      <c r="AB11" s="45"/>
      <c r="AC11" s="45"/>
      <c r="AD11" s="36"/>
      <c r="AE11" s="36" t="s">
        <v>12</v>
      </c>
      <c r="AF11" s="36"/>
      <c r="AG11" s="46"/>
      <c r="AH11" s="46"/>
      <c r="AI11" s="36">
        <v>45679</v>
      </c>
      <c r="AJ11" s="36"/>
      <c r="AK11" s="36"/>
      <c r="AL11" s="36"/>
      <c r="AM11" s="36"/>
      <c r="AN11" s="36"/>
      <c r="AO11" s="47">
        <f t="shared" si="4"/>
        <v>81</v>
      </c>
      <c r="AP11" s="47">
        <f t="shared" si="5"/>
        <v>63</v>
      </c>
    </row>
    <row r="12" s="9" customFormat="1" customHeight="1" spans="1:42">
      <c r="A12" s="36">
        <v>45661</v>
      </c>
      <c r="B12" s="36"/>
      <c r="C12" s="37"/>
      <c r="D12" s="37"/>
      <c r="E12" s="37"/>
      <c r="F12" s="38" t="s">
        <v>251</v>
      </c>
      <c r="G12" s="39">
        <v>202500370011</v>
      </c>
      <c r="H12" s="38" t="s">
        <v>44</v>
      </c>
      <c r="I12" s="40" t="s">
        <v>252</v>
      </c>
      <c r="J12" s="41">
        <f>11696-11696</f>
        <v>0</v>
      </c>
      <c r="K12" s="40">
        <v>2</v>
      </c>
      <c r="L12" s="42">
        <f t="shared" si="0"/>
        <v>0</v>
      </c>
      <c r="M12" s="36">
        <v>45763</v>
      </c>
      <c r="N12" s="36">
        <f t="shared" si="1"/>
        <v>45756</v>
      </c>
      <c r="O12" s="36"/>
      <c r="P12" s="36"/>
      <c r="Q12" s="36"/>
      <c r="R12" s="38"/>
      <c r="S12" s="38"/>
      <c r="T12" s="43" t="s">
        <v>253</v>
      </c>
      <c r="U12" s="36" t="s">
        <v>254</v>
      </c>
      <c r="V12" s="38" t="s">
        <v>255</v>
      </c>
      <c r="W12" s="38"/>
      <c r="X12" s="42"/>
      <c r="Y12" s="44">
        <v>5.28</v>
      </c>
      <c r="Z12" s="44">
        <f t="shared" si="2"/>
        <v>0</v>
      </c>
      <c r="AA12" s="44">
        <f t="shared" si="3"/>
        <v>0</v>
      </c>
      <c r="AB12" s="45"/>
      <c r="AC12" s="45"/>
      <c r="AD12" s="36"/>
      <c r="AE12" s="36" t="s">
        <v>12</v>
      </c>
      <c r="AF12" s="36"/>
      <c r="AG12" s="46"/>
      <c r="AH12" s="46"/>
      <c r="AI12" s="36"/>
      <c r="AJ12" s="36"/>
      <c r="AK12" s="36"/>
      <c r="AL12" s="36"/>
      <c r="AM12" s="36"/>
      <c r="AN12" s="36"/>
      <c r="AO12" s="47">
        <f t="shared" si="4"/>
        <v>102</v>
      </c>
      <c r="AP12" s="47">
        <f t="shared" si="5"/>
        <v>45763</v>
      </c>
    </row>
    <row r="13" s="9" customFormat="1" customHeight="1" spans="1:42">
      <c r="A13" s="36">
        <v>45674</v>
      </c>
      <c r="B13" s="36"/>
      <c r="C13" s="37"/>
      <c r="D13" s="37"/>
      <c r="E13" s="37"/>
      <c r="F13" s="38" t="s">
        <v>251</v>
      </c>
      <c r="G13" s="39">
        <v>202501670214</v>
      </c>
      <c r="H13" s="38">
        <v>47674</v>
      </c>
      <c r="I13" s="40" t="s">
        <v>252</v>
      </c>
      <c r="J13" s="41">
        <f>29348+20-26824-1000-762-782</f>
        <v>0</v>
      </c>
      <c r="K13" s="40">
        <v>2</v>
      </c>
      <c r="L13" s="42">
        <f t="shared" si="0"/>
        <v>0</v>
      </c>
      <c r="M13" s="38">
        <v>45791</v>
      </c>
      <c r="N13" s="36">
        <f t="shared" si="1"/>
        <v>45784</v>
      </c>
      <c r="O13" s="36"/>
      <c r="P13" s="36"/>
      <c r="Q13" s="36"/>
      <c r="R13" s="38"/>
      <c r="S13" s="38"/>
      <c r="T13" s="43" t="s">
        <v>256</v>
      </c>
      <c r="U13" s="36" t="s">
        <v>257</v>
      </c>
      <c r="V13" s="38" t="s">
        <v>255</v>
      </c>
      <c r="W13" s="38"/>
      <c r="X13" s="42" t="s">
        <v>258</v>
      </c>
      <c r="Y13" s="44">
        <v>4.79</v>
      </c>
      <c r="Z13" s="44">
        <f t="shared" si="2"/>
        <v>0</v>
      </c>
      <c r="AA13" s="44">
        <f t="shared" si="3"/>
        <v>0</v>
      </c>
      <c r="AB13" s="45"/>
      <c r="AC13" s="45"/>
      <c r="AD13" s="36"/>
      <c r="AE13" s="36" t="s">
        <v>12</v>
      </c>
      <c r="AF13" s="36"/>
      <c r="AG13" s="46"/>
      <c r="AH13" s="46"/>
      <c r="AI13" s="36">
        <v>45715</v>
      </c>
      <c r="AJ13" s="36" t="s">
        <v>241</v>
      </c>
      <c r="AK13" s="36"/>
      <c r="AL13" s="36"/>
      <c r="AM13" s="36"/>
      <c r="AN13" s="36"/>
      <c r="AO13" s="47">
        <f t="shared" si="4"/>
        <v>117</v>
      </c>
      <c r="AP13" s="47">
        <f t="shared" si="5"/>
        <v>76</v>
      </c>
    </row>
    <row r="14" s="9" customFormat="1" customHeight="1" spans="1:42">
      <c r="A14" s="36">
        <v>45706</v>
      </c>
      <c r="B14" s="36"/>
      <c r="C14" s="37"/>
      <c r="D14" s="37"/>
      <c r="E14" s="37"/>
      <c r="F14" s="38" t="s">
        <v>251</v>
      </c>
      <c r="G14" s="39">
        <v>202504871145</v>
      </c>
      <c r="H14" s="38" t="s">
        <v>43</v>
      </c>
      <c r="I14" s="40" t="s">
        <v>259</v>
      </c>
      <c r="J14" s="41">
        <f>18708+28-2040-1716-1804-1836-1672-1604-2384-1728-2684-1268</f>
        <v>0</v>
      </c>
      <c r="K14" s="40">
        <v>4</v>
      </c>
      <c r="L14" s="47">
        <f t="shared" si="0"/>
        <v>0</v>
      </c>
      <c r="M14" s="36">
        <v>45791</v>
      </c>
      <c r="N14" s="36">
        <f t="shared" si="1"/>
        <v>45784</v>
      </c>
      <c r="O14" s="36"/>
      <c r="P14" s="36"/>
      <c r="Q14" s="36"/>
      <c r="R14" s="38"/>
      <c r="S14" s="38"/>
      <c r="T14" s="43"/>
      <c r="U14" s="36" t="s">
        <v>257</v>
      </c>
      <c r="V14" s="38" t="s">
        <v>255</v>
      </c>
      <c r="W14" s="38"/>
      <c r="X14" s="42" t="s">
        <v>260</v>
      </c>
      <c r="Y14" s="44">
        <v>4.91</v>
      </c>
      <c r="Z14" s="44">
        <f t="shared" si="2"/>
        <v>0</v>
      </c>
      <c r="AA14" s="44">
        <f t="shared" si="3"/>
        <v>0</v>
      </c>
      <c r="AB14" s="45"/>
      <c r="AC14" s="45"/>
      <c r="AD14" s="36"/>
      <c r="AE14" s="36" t="s">
        <v>12</v>
      </c>
      <c r="AF14" s="36"/>
      <c r="AG14" s="46"/>
      <c r="AH14" s="46"/>
      <c r="AI14" s="36"/>
      <c r="AJ14" s="36"/>
      <c r="AK14" s="36"/>
      <c r="AL14" s="36"/>
      <c r="AM14" s="36"/>
      <c r="AN14" s="36"/>
      <c r="AO14" s="47">
        <f t="shared" si="4"/>
        <v>85</v>
      </c>
      <c r="AP14" s="47">
        <f t="shared" si="5"/>
        <v>45791</v>
      </c>
    </row>
    <row r="15" s="9" customFormat="1" customHeight="1" spans="1:42">
      <c r="A15" s="36">
        <v>45706</v>
      </c>
      <c r="B15" s="36"/>
      <c r="C15" s="37"/>
      <c r="D15" s="37"/>
      <c r="E15" s="37"/>
      <c r="F15" s="38" t="s">
        <v>251</v>
      </c>
      <c r="G15" s="39">
        <v>202504871145</v>
      </c>
      <c r="H15" s="38" t="s">
        <v>45</v>
      </c>
      <c r="I15" s="40" t="s">
        <v>252</v>
      </c>
      <c r="J15" s="41">
        <f>10000+42-1346-1042-1092-1006-874-388-1636-772-1644-242</f>
        <v>0</v>
      </c>
      <c r="K15" s="40">
        <v>2</v>
      </c>
      <c r="L15" s="47">
        <f t="shared" si="0"/>
        <v>0</v>
      </c>
      <c r="M15" s="36">
        <v>45798</v>
      </c>
      <c r="N15" s="36">
        <f t="shared" si="1"/>
        <v>45791</v>
      </c>
      <c r="O15" s="36"/>
      <c r="P15" s="36"/>
      <c r="Q15" s="36"/>
      <c r="R15" s="38"/>
      <c r="S15" s="38"/>
      <c r="T15" s="43" t="s">
        <v>256</v>
      </c>
      <c r="U15" s="36" t="s">
        <v>257</v>
      </c>
      <c r="V15" s="38" t="s">
        <v>255</v>
      </c>
      <c r="W15" s="38"/>
      <c r="X15" s="42" t="s">
        <v>260</v>
      </c>
      <c r="Y15" s="44">
        <v>5.28</v>
      </c>
      <c r="Z15" s="44">
        <f t="shared" si="2"/>
        <v>0</v>
      </c>
      <c r="AA15" s="44">
        <f t="shared" si="3"/>
        <v>0</v>
      </c>
      <c r="AB15" s="45"/>
      <c r="AC15" s="45"/>
      <c r="AD15" s="36"/>
      <c r="AE15" s="36" t="s">
        <v>12</v>
      </c>
      <c r="AF15" s="36"/>
      <c r="AG15" s="46"/>
      <c r="AH15" s="46"/>
      <c r="AI15" s="36"/>
      <c r="AJ15" s="36" t="s">
        <v>241</v>
      </c>
      <c r="AK15" s="36"/>
      <c r="AL15" s="36"/>
      <c r="AM15" s="36"/>
      <c r="AN15" s="36"/>
      <c r="AO15" s="47">
        <f t="shared" si="4"/>
        <v>92</v>
      </c>
      <c r="AP15" s="47">
        <f t="shared" si="5"/>
        <v>45798</v>
      </c>
    </row>
    <row r="16" s="9" customFormat="1" customHeight="1" spans="1:42">
      <c r="A16" s="36">
        <v>45721</v>
      </c>
      <c r="B16" s="36"/>
      <c r="C16" s="37"/>
      <c r="D16" s="37"/>
      <c r="E16" s="37"/>
      <c r="F16" s="38" t="s">
        <v>251</v>
      </c>
      <c r="G16" s="39">
        <v>202506370040</v>
      </c>
      <c r="H16" s="38" t="s">
        <v>31</v>
      </c>
      <c r="I16" s="40" t="s">
        <v>261</v>
      </c>
      <c r="J16" s="41">
        <f>1569-129-492-38-43-51-67-24-200-35-12-30-184-240-24</f>
        <v>0</v>
      </c>
      <c r="K16" s="40">
        <v>1</v>
      </c>
      <c r="L16" s="42">
        <f t="shared" si="0"/>
        <v>0</v>
      </c>
      <c r="M16" s="36">
        <v>45805</v>
      </c>
      <c r="N16" s="36">
        <f t="shared" si="1"/>
        <v>45798</v>
      </c>
      <c r="O16" s="36"/>
      <c r="P16" s="36"/>
      <c r="Q16" s="36"/>
      <c r="R16" s="38"/>
      <c r="S16" s="38"/>
      <c r="T16" s="43"/>
      <c r="U16" s="36" t="s">
        <v>262</v>
      </c>
      <c r="V16" s="38" t="s">
        <v>255</v>
      </c>
      <c r="W16" s="38"/>
      <c r="X16" s="42" t="s">
        <v>263</v>
      </c>
      <c r="Y16" s="44">
        <v>29.8</v>
      </c>
      <c r="Z16" s="44">
        <f t="shared" si="2"/>
        <v>0</v>
      </c>
      <c r="AA16" s="44">
        <f t="shared" si="3"/>
        <v>0</v>
      </c>
      <c r="AB16" s="49"/>
      <c r="AC16" s="49"/>
      <c r="AD16" s="36"/>
      <c r="AE16" s="36" t="s">
        <v>12</v>
      </c>
      <c r="AF16" s="36"/>
      <c r="AG16" s="46"/>
      <c r="AH16" s="46"/>
      <c r="AI16" s="36"/>
      <c r="AJ16" s="36">
        <v>45722</v>
      </c>
      <c r="AK16" s="36"/>
      <c r="AL16" s="36"/>
      <c r="AM16" s="36"/>
      <c r="AN16" s="36"/>
      <c r="AO16" s="47">
        <f t="shared" si="4"/>
        <v>84</v>
      </c>
      <c r="AP16" s="47">
        <f t="shared" si="5"/>
        <v>45805</v>
      </c>
    </row>
    <row r="17" s="9" customFormat="1" customHeight="1" spans="1:42">
      <c r="A17" s="36">
        <v>45721</v>
      </c>
      <c r="B17" s="36"/>
      <c r="C17" s="37"/>
      <c r="D17" s="37"/>
      <c r="E17" s="37"/>
      <c r="F17" s="38" t="s">
        <v>251</v>
      </c>
      <c r="G17" s="39">
        <v>202506370040</v>
      </c>
      <c r="H17" s="38" t="s">
        <v>20</v>
      </c>
      <c r="I17" s="40" t="s">
        <v>264</v>
      </c>
      <c r="J17" s="41">
        <f>704-24-126-16-60-58-92-20-20-20-20-60-120-4-64</f>
        <v>0</v>
      </c>
      <c r="K17" s="40">
        <v>2</v>
      </c>
      <c r="L17" s="42">
        <f t="shared" si="0"/>
        <v>0</v>
      </c>
      <c r="M17" s="36">
        <v>45805</v>
      </c>
      <c r="N17" s="36">
        <f t="shared" si="1"/>
        <v>45798</v>
      </c>
      <c r="O17" s="36"/>
      <c r="P17" s="36"/>
      <c r="Q17" s="36"/>
      <c r="R17" s="38"/>
      <c r="S17" s="38"/>
      <c r="T17" s="43"/>
      <c r="U17" s="36" t="s">
        <v>262</v>
      </c>
      <c r="V17" s="38" t="s">
        <v>255</v>
      </c>
      <c r="W17" s="38"/>
      <c r="X17" s="42" t="s">
        <v>265</v>
      </c>
      <c r="Y17" s="44">
        <v>11.9</v>
      </c>
      <c r="Z17" s="44">
        <f t="shared" si="2"/>
        <v>0</v>
      </c>
      <c r="AA17" s="44">
        <f t="shared" si="3"/>
        <v>0</v>
      </c>
      <c r="AB17" s="49"/>
      <c r="AC17" s="49"/>
      <c r="AD17" s="36"/>
      <c r="AE17" s="36" t="s">
        <v>12</v>
      </c>
      <c r="AF17" s="36"/>
      <c r="AG17" s="46"/>
      <c r="AH17" s="46"/>
      <c r="AI17" s="36">
        <v>45743</v>
      </c>
      <c r="AJ17" s="36" t="s">
        <v>241</v>
      </c>
      <c r="AK17" s="36"/>
      <c r="AL17" s="36"/>
      <c r="AM17" s="36"/>
      <c r="AN17" s="36"/>
      <c r="AO17" s="47">
        <f t="shared" si="4"/>
        <v>84</v>
      </c>
      <c r="AP17" s="47">
        <f t="shared" si="5"/>
        <v>62</v>
      </c>
    </row>
    <row r="18" s="9" customFormat="1" customHeight="1" spans="1:42">
      <c r="A18" s="36">
        <v>45721</v>
      </c>
      <c r="B18" s="36"/>
      <c r="C18" s="37"/>
      <c r="D18" s="37"/>
      <c r="E18" s="37"/>
      <c r="F18" s="38" t="s">
        <v>251</v>
      </c>
      <c r="G18" s="39">
        <v>202506370040</v>
      </c>
      <c r="H18" s="38" t="s">
        <v>39</v>
      </c>
      <c r="I18" s="40" t="s">
        <v>266</v>
      </c>
      <c r="J18" s="41">
        <f>804-108-126-32-50-58-48-22-6-44-150-52-20-10-60-18</f>
        <v>0</v>
      </c>
      <c r="K18" s="40">
        <v>2</v>
      </c>
      <c r="L18" s="47">
        <f t="shared" si="0"/>
        <v>0</v>
      </c>
      <c r="M18" s="36">
        <v>45805</v>
      </c>
      <c r="N18" s="36">
        <f t="shared" si="1"/>
        <v>45798</v>
      </c>
      <c r="O18" s="36"/>
      <c r="P18" s="36"/>
      <c r="Q18" s="36"/>
      <c r="R18" s="38"/>
      <c r="S18" s="38"/>
      <c r="T18" s="43"/>
      <c r="U18" s="36" t="s">
        <v>262</v>
      </c>
      <c r="V18" s="38" t="s">
        <v>255</v>
      </c>
      <c r="W18" s="38"/>
      <c r="X18" s="42" t="s">
        <v>267</v>
      </c>
      <c r="Y18" s="44">
        <v>30.54</v>
      </c>
      <c r="Z18" s="44">
        <f t="shared" si="2"/>
        <v>0</v>
      </c>
      <c r="AA18" s="44">
        <f t="shared" si="3"/>
        <v>0</v>
      </c>
      <c r="AB18" s="45"/>
      <c r="AC18" s="45"/>
      <c r="AD18" s="36"/>
      <c r="AE18" s="36" t="s">
        <v>12</v>
      </c>
      <c r="AF18" s="36"/>
      <c r="AG18" s="46"/>
      <c r="AH18" s="46"/>
      <c r="AI18" s="36"/>
      <c r="AJ18" s="36">
        <v>45736</v>
      </c>
      <c r="AK18" s="36"/>
      <c r="AL18" s="36"/>
      <c r="AM18" s="36"/>
      <c r="AN18" s="36"/>
      <c r="AO18" s="47">
        <f t="shared" si="4"/>
        <v>84</v>
      </c>
      <c r="AP18" s="47">
        <f t="shared" si="5"/>
        <v>45805</v>
      </c>
    </row>
    <row r="19" s="9" customFormat="1" customHeight="1" spans="1:42">
      <c r="A19" s="36">
        <v>45721</v>
      </c>
      <c r="B19" s="36"/>
      <c r="C19" s="37"/>
      <c r="D19" s="37"/>
      <c r="E19" s="37"/>
      <c r="F19" s="38" t="s">
        <v>251</v>
      </c>
      <c r="G19" s="39">
        <v>202506370040</v>
      </c>
      <c r="H19" s="38">
        <v>47669</v>
      </c>
      <c r="I19" s="40" t="s">
        <v>259</v>
      </c>
      <c r="J19" s="41">
        <f>660-32-20-64-80-24-40-272-40-80-8</f>
        <v>0</v>
      </c>
      <c r="K19" s="40">
        <v>4</v>
      </c>
      <c r="L19" s="47">
        <f t="shared" si="0"/>
        <v>0</v>
      </c>
      <c r="M19" s="36">
        <v>45805</v>
      </c>
      <c r="N19" s="36">
        <f t="shared" si="1"/>
        <v>45798</v>
      </c>
      <c r="O19" s="36"/>
      <c r="P19" s="36"/>
      <c r="Q19" s="36"/>
      <c r="R19" s="38"/>
      <c r="S19" s="38"/>
      <c r="T19" s="43"/>
      <c r="U19" s="36" t="s">
        <v>262</v>
      </c>
      <c r="V19" s="38" t="s">
        <v>255</v>
      </c>
      <c r="W19" s="38"/>
      <c r="X19" s="42" t="s">
        <v>268</v>
      </c>
      <c r="Y19" s="44">
        <v>4.81</v>
      </c>
      <c r="Z19" s="44">
        <f t="shared" si="2"/>
        <v>0</v>
      </c>
      <c r="AA19" s="44">
        <f t="shared" si="3"/>
        <v>0</v>
      </c>
      <c r="AB19" s="45"/>
      <c r="AC19" s="45"/>
      <c r="AD19" s="36"/>
      <c r="AE19" s="36" t="s">
        <v>12</v>
      </c>
      <c r="AF19" s="36"/>
      <c r="AG19" s="46"/>
      <c r="AH19" s="46"/>
      <c r="AI19" s="36"/>
      <c r="AJ19" s="36"/>
      <c r="AK19" s="36"/>
      <c r="AL19" s="36"/>
      <c r="AM19" s="36"/>
      <c r="AN19" s="36"/>
      <c r="AO19" s="47">
        <f t="shared" si="4"/>
        <v>84</v>
      </c>
      <c r="AP19" s="47">
        <f t="shared" si="5"/>
        <v>45805</v>
      </c>
    </row>
    <row r="20" s="9" customFormat="1" customHeight="1" spans="1:42">
      <c r="A20" s="36">
        <v>45721</v>
      </c>
      <c r="B20" s="36"/>
      <c r="C20" s="37"/>
      <c r="D20" s="37"/>
      <c r="E20" s="37"/>
      <c r="F20" s="38" t="s">
        <v>251</v>
      </c>
      <c r="G20" s="39">
        <v>202506370040</v>
      </c>
      <c r="H20" s="38">
        <v>47674</v>
      </c>
      <c r="I20" s="40" t="s">
        <v>252</v>
      </c>
      <c r="J20" s="41">
        <f>26824-942-2240-576-412-370-676-72-160-360-2000-840-160-1000-800-4000-4400-300-7092-324-100</f>
        <v>0</v>
      </c>
      <c r="K20" s="40">
        <v>2</v>
      </c>
      <c r="L20" s="42">
        <f t="shared" si="0"/>
        <v>0</v>
      </c>
      <c r="M20" s="36">
        <v>45805</v>
      </c>
      <c r="N20" s="36">
        <f t="shared" si="1"/>
        <v>45798</v>
      </c>
      <c r="O20" s="36"/>
      <c r="P20" s="36"/>
      <c r="Q20" s="36"/>
      <c r="R20" s="38"/>
      <c r="S20" s="38"/>
      <c r="T20" s="43"/>
      <c r="U20" s="36" t="s">
        <v>262</v>
      </c>
      <c r="V20" s="48" t="s">
        <v>255</v>
      </c>
      <c r="W20" s="48"/>
      <c r="X20" s="42" t="s">
        <v>269</v>
      </c>
      <c r="Y20" s="44">
        <v>4.79</v>
      </c>
      <c r="Z20" s="44">
        <f t="shared" si="2"/>
        <v>0</v>
      </c>
      <c r="AA20" s="44">
        <f t="shared" si="3"/>
        <v>0</v>
      </c>
      <c r="AB20" s="45"/>
      <c r="AC20" s="45"/>
      <c r="AD20" s="36"/>
      <c r="AE20" s="36" t="s">
        <v>12</v>
      </c>
      <c r="AF20" s="36"/>
      <c r="AG20" s="46"/>
      <c r="AH20" s="46"/>
      <c r="AI20" s="36"/>
      <c r="AJ20" s="36" t="s">
        <v>241</v>
      </c>
      <c r="AK20" s="36"/>
      <c r="AL20" s="36"/>
      <c r="AM20" s="36"/>
      <c r="AN20" s="36"/>
      <c r="AO20" s="47">
        <f t="shared" si="4"/>
        <v>84</v>
      </c>
      <c r="AP20" s="47">
        <f t="shared" si="5"/>
        <v>45805</v>
      </c>
    </row>
    <row r="21" s="9" customFormat="1" customHeight="1" spans="1:42">
      <c r="A21" s="36">
        <v>45721</v>
      </c>
      <c r="B21" s="36"/>
      <c r="C21" s="37"/>
      <c r="D21" s="37"/>
      <c r="E21" s="37"/>
      <c r="F21" s="38" t="s">
        <v>251</v>
      </c>
      <c r="G21" s="39">
        <v>202506370040</v>
      </c>
      <c r="H21" s="38" t="s">
        <v>41</v>
      </c>
      <c r="I21" s="40" t="s">
        <v>270</v>
      </c>
      <c r="J21" s="41">
        <f>60-24-36</f>
        <v>0</v>
      </c>
      <c r="K21" s="40">
        <v>4</v>
      </c>
      <c r="L21" s="47">
        <f t="shared" si="0"/>
        <v>0</v>
      </c>
      <c r="M21" s="36">
        <v>45812</v>
      </c>
      <c r="N21" s="36">
        <f t="shared" si="1"/>
        <v>45805</v>
      </c>
      <c r="O21" s="36"/>
      <c r="P21" s="36"/>
      <c r="Q21" s="36"/>
      <c r="R21" s="38"/>
      <c r="S21" s="38"/>
      <c r="T21" s="43"/>
      <c r="U21" s="36" t="s">
        <v>262</v>
      </c>
      <c r="V21" s="38" t="s">
        <v>255</v>
      </c>
      <c r="W21" s="38"/>
      <c r="X21" s="42" t="s">
        <v>271</v>
      </c>
      <c r="Y21" s="44">
        <v>14</v>
      </c>
      <c r="Z21" s="44">
        <f t="shared" si="2"/>
        <v>0</v>
      </c>
      <c r="AA21" s="44">
        <f t="shared" si="3"/>
        <v>0</v>
      </c>
      <c r="AB21" s="45"/>
      <c r="AC21" s="45"/>
      <c r="AD21" s="36"/>
      <c r="AE21" s="36" t="s">
        <v>12</v>
      </c>
      <c r="AF21" s="36"/>
      <c r="AG21" s="46"/>
      <c r="AH21" s="46"/>
      <c r="AI21" s="36"/>
      <c r="AJ21" s="36">
        <v>45736</v>
      </c>
      <c r="AK21" s="36"/>
      <c r="AL21" s="36"/>
      <c r="AM21" s="36"/>
      <c r="AN21" s="36"/>
      <c r="AO21" s="47">
        <f t="shared" si="4"/>
        <v>91</v>
      </c>
      <c r="AP21" s="47">
        <f t="shared" si="5"/>
        <v>45812</v>
      </c>
    </row>
    <row r="22" s="9" customFormat="1" customHeight="1" spans="1:42">
      <c r="A22" s="36">
        <v>45721</v>
      </c>
      <c r="B22" s="36"/>
      <c r="C22" s="37"/>
      <c r="D22" s="37"/>
      <c r="E22" s="37"/>
      <c r="F22" s="38" t="s">
        <v>251</v>
      </c>
      <c r="G22" s="39">
        <v>202506370040</v>
      </c>
      <c r="H22" s="38" t="s">
        <v>35</v>
      </c>
      <c r="I22" s="40" t="s">
        <v>272</v>
      </c>
      <c r="J22" s="41">
        <f>830-112-50-54-58-48-32-106-120-98-48-30-44-30</f>
        <v>0</v>
      </c>
      <c r="K22" s="40">
        <v>2</v>
      </c>
      <c r="L22" s="47">
        <f t="shared" si="0"/>
        <v>0</v>
      </c>
      <c r="M22" s="36">
        <v>45812</v>
      </c>
      <c r="N22" s="36">
        <f t="shared" si="1"/>
        <v>45805</v>
      </c>
      <c r="O22" s="36"/>
      <c r="P22" s="36"/>
      <c r="Q22" s="36"/>
      <c r="R22" s="38"/>
      <c r="S22" s="38"/>
      <c r="T22" s="43"/>
      <c r="U22" s="36" t="s">
        <v>262</v>
      </c>
      <c r="V22" s="38" t="s">
        <v>255</v>
      </c>
      <c r="W22" s="38"/>
      <c r="X22" s="42" t="s">
        <v>273</v>
      </c>
      <c r="Y22" s="44">
        <v>22.9</v>
      </c>
      <c r="Z22" s="44">
        <f t="shared" si="2"/>
        <v>0</v>
      </c>
      <c r="AA22" s="44">
        <f t="shared" si="3"/>
        <v>0</v>
      </c>
      <c r="AB22" s="45"/>
      <c r="AC22" s="45"/>
      <c r="AD22" s="36"/>
      <c r="AE22" s="36" t="s">
        <v>12</v>
      </c>
      <c r="AF22" s="36"/>
      <c r="AG22" s="46"/>
      <c r="AH22" s="46"/>
      <c r="AI22" s="36"/>
      <c r="AJ22" s="36">
        <v>45736</v>
      </c>
      <c r="AK22" s="36"/>
      <c r="AL22" s="36"/>
      <c r="AM22" s="36"/>
      <c r="AN22" s="36"/>
      <c r="AO22" s="47">
        <f t="shared" si="4"/>
        <v>91</v>
      </c>
      <c r="AP22" s="47">
        <f t="shared" si="5"/>
        <v>45812</v>
      </c>
    </row>
    <row r="23" s="9" customFormat="1" customHeight="1" spans="1:42">
      <c r="A23" s="36">
        <v>45721</v>
      </c>
      <c r="B23" s="36"/>
      <c r="C23" s="37"/>
      <c r="D23" s="37"/>
      <c r="E23" s="37"/>
      <c r="F23" s="38" t="s">
        <v>251</v>
      </c>
      <c r="G23" s="39">
        <v>202506370041</v>
      </c>
      <c r="H23" s="38" t="s">
        <v>31</v>
      </c>
      <c r="I23" s="40" t="str">
        <f>VLOOKUP(H23,名称!A:C,2,0)</f>
        <v>1:16收割机</v>
      </c>
      <c r="J23" s="41">
        <f>250-250</f>
        <v>0</v>
      </c>
      <c r="K23" s="40">
        <f>VLOOKUP(H23,名称!A:D,3,0)</f>
        <v>1</v>
      </c>
      <c r="L23" s="42">
        <f t="shared" si="0"/>
        <v>0</v>
      </c>
      <c r="M23" s="36">
        <v>45805</v>
      </c>
      <c r="N23" s="36">
        <v>45818</v>
      </c>
      <c r="O23" s="36">
        <v>45798</v>
      </c>
      <c r="P23" s="36"/>
      <c r="Q23" s="36"/>
      <c r="R23" s="50">
        <v>45798</v>
      </c>
      <c r="S23" s="38"/>
      <c r="T23" s="43"/>
      <c r="U23" s="36" t="s">
        <v>262</v>
      </c>
      <c r="V23" s="48" t="s">
        <v>255</v>
      </c>
      <c r="W23" s="48"/>
      <c r="X23" s="42"/>
      <c r="Y23" s="44">
        <v>29.8</v>
      </c>
      <c r="Z23" s="44">
        <f t="shared" si="2"/>
        <v>0</v>
      </c>
      <c r="AA23" s="44">
        <f t="shared" si="3"/>
        <v>0</v>
      </c>
      <c r="AB23" s="45"/>
      <c r="AC23" s="45"/>
      <c r="AD23" s="36"/>
      <c r="AE23" s="36" t="s">
        <v>12</v>
      </c>
      <c r="AF23" s="36"/>
      <c r="AG23" s="46"/>
      <c r="AH23" s="46"/>
      <c r="AI23" s="36"/>
      <c r="AJ23" s="36">
        <v>45756</v>
      </c>
      <c r="AK23" s="36"/>
      <c r="AL23" s="36"/>
      <c r="AM23" s="36">
        <v>45722</v>
      </c>
      <c r="AN23" s="36"/>
      <c r="AO23" s="47">
        <f t="shared" si="4"/>
        <v>84</v>
      </c>
      <c r="AP23" s="47">
        <f t="shared" si="5"/>
        <v>45805</v>
      </c>
    </row>
    <row r="24" s="9" customFormat="1" customHeight="1" spans="1:42">
      <c r="A24" s="36">
        <v>45721</v>
      </c>
      <c r="B24" s="36"/>
      <c r="C24" s="37"/>
      <c r="D24" s="37"/>
      <c r="E24" s="37"/>
      <c r="F24" s="38" t="s">
        <v>251</v>
      </c>
      <c r="G24" s="39">
        <v>202506370041</v>
      </c>
      <c r="H24" s="38" t="s">
        <v>39</v>
      </c>
      <c r="I24" s="40" t="str">
        <f>VLOOKUP(H24,名称!A:C,2,0)</f>
        <v>1:16货柜车</v>
      </c>
      <c r="J24" s="41">
        <f>360-360</f>
        <v>0</v>
      </c>
      <c r="K24" s="40">
        <f>VLOOKUP(H24,名称!A:D,3,0)</f>
        <v>2</v>
      </c>
      <c r="L24" s="42">
        <f t="shared" si="0"/>
        <v>0</v>
      </c>
      <c r="M24" s="36">
        <v>45805</v>
      </c>
      <c r="N24" s="36">
        <v>45818</v>
      </c>
      <c r="O24" s="36">
        <v>45773</v>
      </c>
      <c r="P24" s="36"/>
      <c r="Q24" s="36"/>
      <c r="R24" s="38">
        <v>45775</v>
      </c>
      <c r="S24" s="38"/>
      <c r="T24" s="43"/>
      <c r="U24" s="36" t="s">
        <v>262</v>
      </c>
      <c r="V24" s="48" t="s">
        <v>255</v>
      </c>
      <c r="W24" s="48"/>
      <c r="X24" s="42"/>
      <c r="Y24" s="44">
        <v>30.54</v>
      </c>
      <c r="Z24" s="44">
        <f t="shared" si="2"/>
        <v>0</v>
      </c>
      <c r="AA24" s="44">
        <f t="shared" si="3"/>
        <v>0</v>
      </c>
      <c r="AB24" s="45"/>
      <c r="AC24" s="45"/>
      <c r="AD24" s="36"/>
      <c r="AE24" s="36" t="s">
        <v>12</v>
      </c>
      <c r="AF24" s="36"/>
      <c r="AG24" s="46"/>
      <c r="AH24" s="46"/>
      <c r="AI24" s="36"/>
      <c r="AJ24" s="36">
        <v>45750</v>
      </c>
      <c r="AK24" s="36"/>
      <c r="AL24" s="36"/>
      <c r="AM24" s="36">
        <v>45736</v>
      </c>
      <c r="AN24" s="36"/>
      <c r="AO24" s="47">
        <f t="shared" si="4"/>
        <v>84</v>
      </c>
      <c r="AP24" s="47">
        <f t="shared" si="5"/>
        <v>45805</v>
      </c>
    </row>
    <row r="25" s="9" customFormat="1" customHeight="1" spans="1:42">
      <c r="A25" s="36">
        <v>45721</v>
      </c>
      <c r="B25" s="36"/>
      <c r="C25" s="37"/>
      <c r="D25" s="37"/>
      <c r="E25" s="37"/>
      <c r="F25" s="38" t="s">
        <v>251</v>
      </c>
      <c r="G25" s="39">
        <v>202506370041</v>
      </c>
      <c r="H25" s="38" t="s">
        <v>20</v>
      </c>
      <c r="I25" s="40" t="str">
        <f>VLOOKUP(H25,名称!A:C,2,0)</f>
        <v>挖土机</v>
      </c>
      <c r="J25" s="41">
        <f>200-200</f>
        <v>0</v>
      </c>
      <c r="K25" s="40">
        <f>VLOOKUP(H25,名称!A:D,3,0)</f>
        <v>2</v>
      </c>
      <c r="L25" s="42">
        <f t="shared" si="0"/>
        <v>0</v>
      </c>
      <c r="M25" s="36">
        <v>45805</v>
      </c>
      <c r="N25" s="36">
        <v>45818</v>
      </c>
      <c r="O25" s="36"/>
      <c r="P25" s="36">
        <v>45807</v>
      </c>
      <c r="Q25" s="36">
        <v>45807</v>
      </c>
      <c r="R25" s="38"/>
      <c r="S25" s="38"/>
      <c r="T25" s="43"/>
      <c r="U25" s="36" t="s">
        <v>262</v>
      </c>
      <c r="V25" s="48" t="s">
        <v>255</v>
      </c>
      <c r="W25" s="48"/>
      <c r="X25" s="42"/>
      <c r="Y25" s="44">
        <v>11.9</v>
      </c>
      <c r="Z25" s="44">
        <f t="shared" si="2"/>
        <v>0</v>
      </c>
      <c r="AA25" s="44">
        <f t="shared" si="3"/>
        <v>0</v>
      </c>
      <c r="AB25" s="45"/>
      <c r="AC25" s="45"/>
      <c r="AD25" s="36"/>
      <c r="AE25" s="36" t="s">
        <v>12</v>
      </c>
      <c r="AF25" s="36"/>
      <c r="AG25" s="46"/>
      <c r="AH25" s="46"/>
      <c r="AI25" s="36"/>
      <c r="AJ25" s="36">
        <v>45743</v>
      </c>
      <c r="AK25" s="36"/>
      <c r="AL25" s="36"/>
      <c r="AM25" s="36" t="s">
        <v>241</v>
      </c>
      <c r="AN25" s="36"/>
      <c r="AO25" s="47">
        <f t="shared" si="4"/>
        <v>84</v>
      </c>
      <c r="AP25" s="47">
        <f t="shared" si="5"/>
        <v>45805</v>
      </c>
    </row>
    <row r="26" s="9" customFormat="1" customHeight="1" spans="1:42">
      <c r="A26" s="36">
        <v>45721</v>
      </c>
      <c r="B26" s="36"/>
      <c r="C26" s="37"/>
      <c r="D26" s="37"/>
      <c r="E26" s="37"/>
      <c r="F26" s="38" t="s">
        <v>251</v>
      </c>
      <c r="G26" s="39">
        <v>202506370041</v>
      </c>
      <c r="H26" s="38" t="s">
        <v>35</v>
      </c>
      <c r="I26" s="40" t="str">
        <f>VLOOKUP(H26,名称!A:C,2,0)</f>
        <v>1:16拖车厢</v>
      </c>
      <c r="J26" s="41">
        <f>580-580</f>
        <v>0</v>
      </c>
      <c r="K26" s="40">
        <f>VLOOKUP(H26,名称!A:D,3,0)</f>
        <v>2</v>
      </c>
      <c r="L26" s="42">
        <f t="shared" si="0"/>
        <v>0</v>
      </c>
      <c r="M26" s="36">
        <v>45812</v>
      </c>
      <c r="N26" s="36">
        <v>45818</v>
      </c>
      <c r="O26" s="36"/>
      <c r="P26" s="36">
        <v>45786</v>
      </c>
      <c r="Q26" s="36">
        <v>45787</v>
      </c>
      <c r="R26" s="38"/>
      <c r="S26" s="38"/>
      <c r="T26" s="43"/>
      <c r="U26" s="36" t="s">
        <v>262</v>
      </c>
      <c r="V26" s="48" t="s">
        <v>255</v>
      </c>
      <c r="W26" s="48"/>
      <c r="X26" s="42"/>
      <c r="Y26" s="44">
        <v>22.9</v>
      </c>
      <c r="Z26" s="44">
        <f t="shared" si="2"/>
        <v>0</v>
      </c>
      <c r="AA26" s="44">
        <f t="shared" si="3"/>
        <v>0</v>
      </c>
      <c r="AB26" s="45"/>
      <c r="AC26" s="45"/>
      <c r="AD26" s="36"/>
      <c r="AE26" s="36" t="s">
        <v>12</v>
      </c>
      <c r="AF26" s="36"/>
      <c r="AG26" s="46"/>
      <c r="AH26" s="46"/>
      <c r="AI26" s="36"/>
      <c r="AJ26" s="36">
        <v>45757</v>
      </c>
      <c r="AK26" s="36"/>
      <c r="AL26" s="36"/>
      <c r="AM26" s="36">
        <v>45736</v>
      </c>
      <c r="AN26" s="36"/>
      <c r="AO26" s="47">
        <f t="shared" si="4"/>
        <v>91</v>
      </c>
      <c r="AP26" s="47">
        <f t="shared" si="5"/>
        <v>45812</v>
      </c>
    </row>
    <row r="27" s="9" customFormat="1" customHeight="1" spans="1:42">
      <c r="A27" s="36">
        <v>45721</v>
      </c>
      <c r="B27" s="36"/>
      <c r="C27" s="37"/>
      <c r="D27" s="37"/>
      <c r="E27" s="37"/>
      <c r="F27" s="38" t="s">
        <v>251</v>
      </c>
      <c r="G27" s="39">
        <v>202506370041</v>
      </c>
      <c r="H27" s="38" t="s">
        <v>41</v>
      </c>
      <c r="I27" s="40" t="str">
        <f>VLOOKUP(H27,名称!A:C,2,0)</f>
        <v>1:16翻斗车</v>
      </c>
      <c r="J27" s="41">
        <f>120-120</f>
        <v>0</v>
      </c>
      <c r="K27" s="40">
        <f>VLOOKUP(H27,名称!A:D,3,0)</f>
        <v>4</v>
      </c>
      <c r="L27" s="42">
        <f t="shared" si="0"/>
        <v>0</v>
      </c>
      <c r="M27" s="36">
        <v>45812</v>
      </c>
      <c r="N27" s="36">
        <v>45818</v>
      </c>
      <c r="O27" s="36"/>
      <c r="P27" s="36">
        <v>45756</v>
      </c>
      <c r="Q27" s="36">
        <v>45756</v>
      </c>
      <c r="R27" s="38"/>
      <c r="S27" s="38"/>
      <c r="T27" s="43"/>
      <c r="U27" s="36" t="s">
        <v>262</v>
      </c>
      <c r="V27" s="48" t="s">
        <v>255</v>
      </c>
      <c r="W27" s="48"/>
      <c r="X27" s="42"/>
      <c r="Y27" s="44">
        <v>14</v>
      </c>
      <c r="Z27" s="44">
        <f t="shared" si="2"/>
        <v>0</v>
      </c>
      <c r="AA27" s="44">
        <f t="shared" si="3"/>
        <v>0</v>
      </c>
      <c r="AB27" s="45"/>
      <c r="AC27" s="45"/>
      <c r="AD27" s="36"/>
      <c r="AE27" s="36" t="s">
        <v>12</v>
      </c>
      <c r="AF27" s="36"/>
      <c r="AG27" s="46"/>
      <c r="AH27" s="46"/>
      <c r="AI27" s="36"/>
      <c r="AJ27" s="36">
        <v>45750</v>
      </c>
      <c r="AK27" s="36"/>
      <c r="AL27" s="36"/>
      <c r="AM27" s="36">
        <v>45736</v>
      </c>
      <c r="AN27" s="36"/>
      <c r="AO27" s="47">
        <f t="shared" si="4"/>
        <v>91</v>
      </c>
      <c r="AP27" s="47">
        <f t="shared" si="5"/>
        <v>45812</v>
      </c>
    </row>
    <row r="28" s="9" customFormat="1" customHeight="1" spans="1:42">
      <c r="A28" s="36">
        <v>45721</v>
      </c>
      <c r="B28" s="36"/>
      <c r="C28" s="37"/>
      <c r="D28" s="37"/>
      <c r="E28" s="37"/>
      <c r="F28" s="38" t="s">
        <v>251</v>
      </c>
      <c r="G28" s="39">
        <v>202506370042</v>
      </c>
      <c r="H28" s="38">
        <v>47674</v>
      </c>
      <c r="I28" s="40" t="str">
        <f>VLOOKUP(H28,名称!A:C,2,0)</f>
        <v>JD LNS圆轮拖拉机</v>
      </c>
      <c r="J28" s="41">
        <v>762</v>
      </c>
      <c r="K28" s="40">
        <f>VLOOKUP(H28,名称!A:D,3,0)</f>
        <v>2</v>
      </c>
      <c r="L28" s="42">
        <f t="shared" si="0"/>
        <v>381</v>
      </c>
      <c r="M28" s="36">
        <v>45805</v>
      </c>
      <c r="N28" s="36">
        <f t="shared" ref="N28:N30" si="7">M28-7</f>
        <v>45798</v>
      </c>
      <c r="O28" s="36"/>
      <c r="P28" s="36">
        <v>45758</v>
      </c>
      <c r="Q28" s="36">
        <v>45758</v>
      </c>
      <c r="R28" s="38"/>
      <c r="S28" s="38"/>
      <c r="T28" s="43"/>
      <c r="U28" s="36" t="s">
        <v>262</v>
      </c>
      <c r="V28" s="48" t="s">
        <v>255</v>
      </c>
      <c r="W28" s="48"/>
      <c r="X28" s="42"/>
      <c r="Y28" s="44">
        <v>4.79</v>
      </c>
      <c r="Z28" s="44">
        <f t="shared" si="2"/>
        <v>3649.98</v>
      </c>
      <c r="AA28" s="44">
        <f t="shared" si="3"/>
        <v>28287.35</v>
      </c>
      <c r="AB28" s="45"/>
      <c r="AC28" s="45"/>
      <c r="AD28" s="36"/>
      <c r="AE28" s="36" t="s">
        <v>12</v>
      </c>
      <c r="AF28" s="36"/>
      <c r="AG28" s="46"/>
      <c r="AH28" s="46"/>
      <c r="AI28" s="36"/>
      <c r="AJ28" s="36">
        <v>45743</v>
      </c>
      <c r="AK28" s="36"/>
      <c r="AL28" s="36"/>
      <c r="AM28" s="36" t="s">
        <v>241</v>
      </c>
      <c r="AN28" s="36"/>
      <c r="AO28" s="47">
        <f t="shared" si="4"/>
        <v>84</v>
      </c>
      <c r="AP28" s="47">
        <f t="shared" si="5"/>
        <v>45805</v>
      </c>
    </row>
    <row r="29" s="9" customFormat="1" customHeight="1" spans="1:42">
      <c r="A29" s="36">
        <v>45721</v>
      </c>
      <c r="B29" s="36"/>
      <c r="C29" s="37"/>
      <c r="D29" s="37"/>
      <c r="E29" s="37"/>
      <c r="F29" s="38" t="s">
        <v>251</v>
      </c>
      <c r="G29" s="39">
        <v>202506370041</v>
      </c>
      <c r="H29" s="38">
        <v>47669</v>
      </c>
      <c r="I29" s="40" t="str">
        <f>VLOOKUP(H29,名称!A:C,2,0)</f>
        <v>动物车</v>
      </c>
      <c r="J29" s="41">
        <f>600-600</f>
        <v>0</v>
      </c>
      <c r="K29" s="40">
        <f>VLOOKUP(H29,名称!A:D,3,0)</f>
        <v>4</v>
      </c>
      <c r="L29" s="42">
        <f t="shared" si="0"/>
        <v>0</v>
      </c>
      <c r="M29" s="36">
        <v>45805</v>
      </c>
      <c r="N29" s="36">
        <f t="shared" si="7"/>
        <v>45798</v>
      </c>
      <c r="O29" s="36"/>
      <c r="P29" s="36">
        <v>45792</v>
      </c>
      <c r="Q29" s="36">
        <v>45792</v>
      </c>
      <c r="R29" s="38"/>
      <c r="S29" s="38"/>
      <c r="T29" s="43"/>
      <c r="U29" s="36" t="s">
        <v>262</v>
      </c>
      <c r="V29" s="48" t="s">
        <v>255</v>
      </c>
      <c r="W29" s="48"/>
      <c r="X29" s="42"/>
      <c r="Y29" s="44">
        <v>4.81</v>
      </c>
      <c r="Z29" s="44">
        <f t="shared" si="2"/>
        <v>0</v>
      </c>
      <c r="AA29" s="44">
        <f t="shared" si="3"/>
        <v>0</v>
      </c>
      <c r="AB29" s="45"/>
      <c r="AC29" s="45"/>
      <c r="AD29" s="36"/>
      <c r="AE29" s="36" t="s">
        <v>12</v>
      </c>
      <c r="AF29" s="36"/>
      <c r="AG29" s="46"/>
      <c r="AH29" s="46"/>
      <c r="AI29" s="36"/>
      <c r="AJ29" s="36">
        <v>45749</v>
      </c>
      <c r="AK29" s="36"/>
      <c r="AL29" s="36"/>
      <c r="AM29" s="36">
        <v>45750</v>
      </c>
      <c r="AN29" s="36"/>
      <c r="AO29" s="47">
        <f t="shared" si="4"/>
        <v>84</v>
      </c>
      <c r="AP29" s="47">
        <f t="shared" si="5"/>
        <v>45805</v>
      </c>
    </row>
    <row r="30" s="9" customFormat="1" customHeight="1" spans="1:42">
      <c r="A30" s="36">
        <v>45721</v>
      </c>
      <c r="B30" s="36"/>
      <c r="C30" s="37"/>
      <c r="D30" s="37"/>
      <c r="E30" s="37"/>
      <c r="F30" s="38" t="s">
        <v>251</v>
      </c>
      <c r="G30" s="39">
        <v>202506370041</v>
      </c>
      <c r="H30" s="38">
        <v>47674</v>
      </c>
      <c r="I30" s="40" t="str">
        <f>VLOOKUP(H30,名称!A:C,2,0)</f>
        <v>JD LNS圆轮拖拉机</v>
      </c>
      <c r="J30" s="41">
        <f>1000-1000</f>
        <v>0</v>
      </c>
      <c r="K30" s="40">
        <f>VLOOKUP(H30,名称!A:D,3,0)</f>
        <v>2</v>
      </c>
      <c r="L30" s="42">
        <f t="shared" si="0"/>
        <v>0</v>
      </c>
      <c r="M30" s="36">
        <v>45805</v>
      </c>
      <c r="N30" s="36">
        <f t="shared" si="7"/>
        <v>45798</v>
      </c>
      <c r="O30" s="36"/>
      <c r="P30" s="36">
        <v>45782</v>
      </c>
      <c r="Q30" s="36">
        <v>45782</v>
      </c>
      <c r="R30" s="38"/>
      <c r="S30" s="38"/>
      <c r="T30" s="43"/>
      <c r="U30" s="36" t="s">
        <v>262</v>
      </c>
      <c r="V30" s="48" t="s">
        <v>255</v>
      </c>
      <c r="W30" s="48"/>
      <c r="X30" s="42"/>
      <c r="Y30" s="44">
        <v>4.79</v>
      </c>
      <c r="Z30" s="44">
        <f t="shared" si="2"/>
        <v>0</v>
      </c>
      <c r="AA30" s="44">
        <f t="shared" si="3"/>
        <v>0</v>
      </c>
      <c r="AB30" s="45"/>
      <c r="AC30" s="45"/>
      <c r="AD30" s="36"/>
      <c r="AE30" s="36" t="s">
        <v>12</v>
      </c>
      <c r="AF30" s="36"/>
      <c r="AG30" s="46"/>
      <c r="AH30" s="46"/>
      <c r="AI30" s="36"/>
      <c r="AJ30" s="36">
        <v>45743</v>
      </c>
      <c r="AK30" s="36"/>
      <c r="AL30" s="36"/>
      <c r="AM30" s="36" t="s">
        <v>241</v>
      </c>
      <c r="AN30" s="36"/>
      <c r="AO30" s="47">
        <f t="shared" si="4"/>
        <v>84</v>
      </c>
      <c r="AP30" s="47">
        <f t="shared" si="5"/>
        <v>45805</v>
      </c>
    </row>
    <row r="31" s="9" customFormat="1" customHeight="1" spans="1:42">
      <c r="A31" s="36">
        <v>45721</v>
      </c>
      <c r="B31" s="36"/>
      <c r="C31" s="37" t="s">
        <v>232</v>
      </c>
      <c r="D31" s="37" t="s">
        <v>274</v>
      </c>
      <c r="E31" s="37" t="s">
        <v>235</v>
      </c>
      <c r="F31" s="38" t="s">
        <v>251</v>
      </c>
      <c r="G31" s="39">
        <v>202506370042</v>
      </c>
      <c r="H31" s="38" t="s">
        <v>39</v>
      </c>
      <c r="I31" s="40" t="str">
        <f>VLOOKUP(H31,名称!A:C,2,0)</f>
        <v>1:16货柜车</v>
      </c>
      <c r="J31" s="41">
        <f>846-846</f>
        <v>0</v>
      </c>
      <c r="K31" s="40">
        <f>VLOOKUP(H31,名称!A:D,3,0)</f>
        <v>2</v>
      </c>
      <c r="L31" s="42">
        <f t="shared" si="0"/>
        <v>0</v>
      </c>
      <c r="M31" s="36">
        <v>45805</v>
      </c>
      <c r="N31" s="36">
        <v>45818</v>
      </c>
      <c r="O31" s="36"/>
      <c r="P31" s="36">
        <v>45769</v>
      </c>
      <c r="Q31" s="36">
        <v>45771</v>
      </c>
      <c r="R31" s="38"/>
      <c r="S31" s="38"/>
      <c r="T31" s="43"/>
      <c r="U31" s="36" t="s">
        <v>262</v>
      </c>
      <c r="V31" s="48" t="s">
        <v>255</v>
      </c>
      <c r="W31" s="48"/>
      <c r="X31" s="42"/>
      <c r="Y31" s="44">
        <v>30.54</v>
      </c>
      <c r="Z31" s="44">
        <f t="shared" si="2"/>
        <v>0</v>
      </c>
      <c r="AA31" s="44">
        <f t="shared" si="3"/>
        <v>0</v>
      </c>
      <c r="AB31" s="45"/>
      <c r="AC31" s="45"/>
      <c r="AD31" s="36"/>
      <c r="AE31" s="36" t="s">
        <v>12</v>
      </c>
      <c r="AF31" s="36"/>
      <c r="AG31" s="46"/>
      <c r="AH31" s="46"/>
      <c r="AI31" s="36">
        <v>45749</v>
      </c>
      <c r="AJ31" s="36">
        <v>45736</v>
      </c>
      <c r="AK31" s="36"/>
      <c r="AL31" s="36">
        <v>45702</v>
      </c>
      <c r="AM31" s="36"/>
      <c r="AN31" s="36"/>
      <c r="AO31" s="47">
        <f t="shared" si="4"/>
        <v>84</v>
      </c>
      <c r="AP31" s="47">
        <f t="shared" si="5"/>
        <v>56</v>
      </c>
    </row>
    <row r="32" s="9" customFormat="1" customHeight="1" spans="1:42">
      <c r="A32" s="36">
        <v>45721</v>
      </c>
      <c r="B32" s="36"/>
      <c r="C32" s="37" t="s">
        <v>232</v>
      </c>
      <c r="D32" s="37" t="s">
        <v>274</v>
      </c>
      <c r="E32" s="37" t="s">
        <v>235</v>
      </c>
      <c r="F32" s="38" t="s">
        <v>251</v>
      </c>
      <c r="G32" s="39">
        <v>202506370042</v>
      </c>
      <c r="H32" s="38" t="s">
        <v>41</v>
      </c>
      <c r="I32" s="40" t="str">
        <f>VLOOKUP(H32,名称!A:C,2,0)</f>
        <v>1:16翻斗车</v>
      </c>
      <c r="J32" s="41">
        <f>44-44</f>
        <v>0</v>
      </c>
      <c r="K32" s="40">
        <f>VLOOKUP(H32,名称!A:D,3,0)</f>
        <v>4</v>
      </c>
      <c r="L32" s="42">
        <f t="shared" si="0"/>
        <v>0</v>
      </c>
      <c r="M32" s="36">
        <v>45812</v>
      </c>
      <c r="N32" s="36">
        <f>M32-2</f>
        <v>45810</v>
      </c>
      <c r="O32" s="36"/>
      <c r="P32" s="36">
        <v>45756</v>
      </c>
      <c r="Q32" s="36">
        <v>45756</v>
      </c>
      <c r="R32" s="38"/>
      <c r="S32" s="38"/>
      <c r="T32" s="43"/>
      <c r="U32" s="36" t="s">
        <v>262</v>
      </c>
      <c r="V32" s="48" t="s">
        <v>255</v>
      </c>
      <c r="W32" s="48"/>
      <c r="X32" s="42"/>
      <c r="Y32" s="44">
        <v>14</v>
      </c>
      <c r="Z32" s="44">
        <f t="shared" si="2"/>
        <v>0</v>
      </c>
      <c r="AA32" s="44">
        <f t="shared" si="3"/>
        <v>0</v>
      </c>
      <c r="AB32" s="45"/>
      <c r="AC32" s="45"/>
      <c r="AD32" s="36"/>
      <c r="AE32" s="36" t="s">
        <v>12</v>
      </c>
      <c r="AF32" s="36"/>
      <c r="AG32" s="46"/>
      <c r="AH32" s="46"/>
      <c r="AI32" s="36">
        <v>45749</v>
      </c>
      <c r="AJ32" s="36">
        <v>45736</v>
      </c>
      <c r="AK32" s="36"/>
      <c r="AL32" s="36">
        <v>45702</v>
      </c>
      <c r="AM32" s="36"/>
      <c r="AN32" s="36"/>
      <c r="AO32" s="47">
        <f t="shared" si="4"/>
        <v>91</v>
      </c>
      <c r="AP32" s="47">
        <f t="shared" si="5"/>
        <v>63</v>
      </c>
    </row>
    <row r="33" s="9" customFormat="1" customHeight="1" spans="1:42">
      <c r="A33" s="36">
        <v>45721</v>
      </c>
      <c r="B33" s="36"/>
      <c r="C33" s="37" t="s">
        <v>232</v>
      </c>
      <c r="D33" s="37" t="s">
        <v>274</v>
      </c>
      <c r="E33" s="37" t="s">
        <v>235</v>
      </c>
      <c r="F33" s="38" t="s">
        <v>251</v>
      </c>
      <c r="G33" s="39">
        <v>202506370042</v>
      </c>
      <c r="H33" s="38" t="s">
        <v>35</v>
      </c>
      <c r="I33" s="40" t="str">
        <f>VLOOKUP(H33,名称!A:C,2,0)</f>
        <v>1:16拖车厢</v>
      </c>
      <c r="J33" s="41">
        <f>802-802</f>
        <v>0</v>
      </c>
      <c r="K33" s="40">
        <f>VLOOKUP(H33,名称!A:D,3,0)</f>
        <v>2</v>
      </c>
      <c r="L33" s="42">
        <f t="shared" si="0"/>
        <v>0</v>
      </c>
      <c r="M33" s="36">
        <v>45812</v>
      </c>
      <c r="N33" s="36">
        <f>M33-2</f>
        <v>45810</v>
      </c>
      <c r="O33" s="36"/>
      <c r="P33" s="36">
        <v>45782</v>
      </c>
      <c r="Q33" s="36">
        <v>45784</v>
      </c>
      <c r="R33" s="38"/>
      <c r="S33" s="38"/>
      <c r="T33" s="43"/>
      <c r="U33" s="36" t="s">
        <v>262</v>
      </c>
      <c r="V33" s="48" t="s">
        <v>255</v>
      </c>
      <c r="W33" s="48"/>
      <c r="X33" s="42"/>
      <c r="Y33" s="44">
        <v>22.9</v>
      </c>
      <c r="Z33" s="44">
        <f t="shared" si="2"/>
        <v>0</v>
      </c>
      <c r="AA33" s="44">
        <f t="shared" si="3"/>
        <v>0</v>
      </c>
      <c r="AB33" s="45"/>
      <c r="AC33" s="45"/>
      <c r="AD33" s="36"/>
      <c r="AE33" s="36" t="s">
        <v>12</v>
      </c>
      <c r="AF33" s="36"/>
      <c r="AG33" s="46"/>
      <c r="AH33" s="46"/>
      <c r="AI33" s="36">
        <v>45756</v>
      </c>
      <c r="AJ33" s="36">
        <v>45736</v>
      </c>
      <c r="AK33" s="36"/>
      <c r="AL33" s="36">
        <v>45702</v>
      </c>
      <c r="AM33" s="36"/>
      <c r="AN33" s="36"/>
      <c r="AO33" s="47">
        <f t="shared" si="4"/>
        <v>91</v>
      </c>
      <c r="AP33" s="47">
        <f t="shared" si="5"/>
        <v>56</v>
      </c>
    </row>
    <row r="34" s="9" customFormat="1" customHeight="1" spans="1:42">
      <c r="A34" s="36">
        <v>45484</v>
      </c>
      <c r="B34" s="36"/>
      <c r="C34" s="37" t="s">
        <v>232</v>
      </c>
      <c r="D34" s="37" t="s">
        <v>275</v>
      </c>
      <c r="E34" s="37" t="s">
        <v>276</v>
      </c>
      <c r="F34" s="38">
        <v>10082921</v>
      </c>
      <c r="G34" s="39">
        <v>202419170139</v>
      </c>
      <c r="H34" s="38" t="s">
        <v>37</v>
      </c>
      <c r="I34" s="40" t="str">
        <f>VLOOKUP(H34,名称!A:C,2,0)</f>
        <v>牵引车</v>
      </c>
      <c r="J34" s="41">
        <v>500</v>
      </c>
      <c r="K34" s="40">
        <v>4</v>
      </c>
      <c r="L34" s="42">
        <f t="shared" ref="L34:L55" si="8">J34/K34</f>
        <v>125</v>
      </c>
      <c r="M34" s="36">
        <v>45812</v>
      </c>
      <c r="N34" s="36">
        <f t="shared" ref="N34:N41" si="9">M34-2</f>
        <v>45810</v>
      </c>
      <c r="O34" s="36"/>
      <c r="P34" s="36">
        <v>45769</v>
      </c>
      <c r="Q34" s="36">
        <v>45772</v>
      </c>
      <c r="R34" s="38"/>
      <c r="S34" s="38"/>
      <c r="T34" s="43"/>
      <c r="U34" s="36" t="s">
        <v>262</v>
      </c>
      <c r="V34" s="48" t="s">
        <v>239</v>
      </c>
      <c r="W34" s="48" t="s">
        <v>277</v>
      </c>
      <c r="X34" s="42"/>
      <c r="Y34" s="44">
        <v>10.22</v>
      </c>
      <c r="Z34" s="44">
        <f t="shared" si="2"/>
        <v>5110</v>
      </c>
      <c r="AA34" s="44">
        <f t="shared" si="3"/>
        <v>39602.5</v>
      </c>
      <c r="AB34" s="45"/>
      <c r="AC34" s="45"/>
      <c r="AD34" s="36"/>
      <c r="AE34" s="36" t="s">
        <v>12</v>
      </c>
      <c r="AF34" s="36"/>
      <c r="AG34" s="46">
        <v>45576</v>
      </c>
      <c r="AH34" s="46">
        <v>45593</v>
      </c>
      <c r="AI34" s="36">
        <v>45743</v>
      </c>
      <c r="AJ34" s="36" t="s">
        <v>278</v>
      </c>
      <c r="AK34" s="36"/>
      <c r="AL34" s="36"/>
      <c r="AM34" s="36"/>
      <c r="AN34" s="36"/>
      <c r="AO34" s="47">
        <f t="shared" si="4"/>
        <v>328</v>
      </c>
      <c r="AP34" s="47">
        <f t="shared" si="5"/>
        <v>69</v>
      </c>
    </row>
    <row r="35" s="9" customFormat="1" customHeight="1" spans="1:42">
      <c r="A35" s="36">
        <v>45743</v>
      </c>
      <c r="B35" s="36"/>
      <c r="C35" s="37" t="s">
        <v>232</v>
      </c>
      <c r="D35" s="37" t="s">
        <v>274</v>
      </c>
      <c r="E35" s="37" t="s">
        <v>235</v>
      </c>
      <c r="F35" s="38" t="s">
        <v>251</v>
      </c>
      <c r="G35" s="39">
        <v>202508070032</v>
      </c>
      <c r="H35" s="38" t="s">
        <v>48</v>
      </c>
      <c r="I35" s="40" t="str">
        <f>VLOOKUP(H35,名称!A:C,2,0)</f>
        <v>布鲁伊家族杯子套装</v>
      </c>
      <c r="J35" s="41">
        <f>21192-4440-3304-4704-6596-2148</f>
        <v>0</v>
      </c>
      <c r="K35" s="40">
        <f>VLOOKUP(H35,名称!A:D,3,0)</f>
        <v>4</v>
      </c>
      <c r="L35" s="42">
        <f t="shared" si="8"/>
        <v>0</v>
      </c>
      <c r="M35" s="36">
        <v>45798</v>
      </c>
      <c r="N35" s="36">
        <f t="shared" si="9"/>
        <v>45796</v>
      </c>
      <c r="O35" s="36"/>
      <c r="P35" s="36">
        <v>45783</v>
      </c>
      <c r="Q35" s="36">
        <v>45813</v>
      </c>
      <c r="R35" s="38" t="s">
        <v>279</v>
      </c>
      <c r="S35" s="38"/>
      <c r="T35" s="43"/>
      <c r="U35" s="36" t="s">
        <v>257</v>
      </c>
      <c r="V35" s="48" t="s">
        <v>255</v>
      </c>
      <c r="W35" s="48"/>
      <c r="X35" s="42"/>
      <c r="Y35" s="44">
        <v>2.17</v>
      </c>
      <c r="Z35" s="44">
        <f t="shared" si="2"/>
        <v>0</v>
      </c>
      <c r="AA35" s="44">
        <f t="shared" si="3"/>
        <v>0</v>
      </c>
      <c r="AB35" s="45"/>
      <c r="AC35" s="45"/>
      <c r="AD35" s="36"/>
      <c r="AE35" s="36" t="s">
        <v>12</v>
      </c>
      <c r="AF35" s="36"/>
      <c r="AG35" s="46"/>
      <c r="AH35" s="46"/>
      <c r="AI35" s="36">
        <v>45756</v>
      </c>
      <c r="AJ35" s="36" t="s">
        <v>241</v>
      </c>
      <c r="AK35" s="36"/>
      <c r="AL35" s="36"/>
      <c r="AM35" s="36"/>
      <c r="AN35" s="36"/>
      <c r="AO35" s="47">
        <f t="shared" si="4"/>
        <v>55</v>
      </c>
      <c r="AP35" s="47">
        <f t="shared" si="5"/>
        <v>42</v>
      </c>
    </row>
    <row r="36" s="9" customFormat="1" customHeight="1" spans="1:42">
      <c r="A36" s="36">
        <v>45782</v>
      </c>
      <c r="B36" s="36"/>
      <c r="C36" s="37" t="s">
        <v>280</v>
      </c>
      <c r="D36" s="37" t="s">
        <v>281</v>
      </c>
      <c r="E36" s="37" t="s">
        <v>282</v>
      </c>
      <c r="F36" s="38">
        <v>10100962</v>
      </c>
      <c r="G36" s="39">
        <v>4500031036</v>
      </c>
      <c r="H36" s="38" t="s">
        <v>72</v>
      </c>
      <c r="I36" s="40" t="str">
        <f>VLOOKUP(H36,名称!A:C,2,0)</f>
        <v>游戏转盘</v>
      </c>
      <c r="J36" s="41">
        <f>2502-2502</f>
        <v>0</v>
      </c>
      <c r="K36" s="40">
        <f>VLOOKUP(H36,名称!A:D,3,0)</f>
        <v>6</v>
      </c>
      <c r="L36" s="42">
        <f t="shared" si="8"/>
        <v>0</v>
      </c>
      <c r="M36" s="36">
        <v>45882</v>
      </c>
      <c r="N36" s="36">
        <f t="shared" si="9"/>
        <v>45880</v>
      </c>
      <c r="O36" s="36"/>
      <c r="P36" s="36"/>
      <c r="Q36" s="36"/>
      <c r="R36" s="38"/>
      <c r="S36" s="38"/>
      <c r="T36" s="43"/>
      <c r="U36" s="36" t="s">
        <v>283</v>
      </c>
      <c r="V36" s="48" t="s">
        <v>239</v>
      </c>
      <c r="W36" s="48" t="s">
        <v>277</v>
      </c>
      <c r="X36" s="42"/>
      <c r="Y36" s="44">
        <v>4.58</v>
      </c>
      <c r="Z36" s="44">
        <f t="shared" si="2"/>
        <v>0</v>
      </c>
      <c r="AA36" s="44">
        <f t="shared" si="3"/>
        <v>0</v>
      </c>
      <c r="AB36" s="45"/>
      <c r="AC36" s="45"/>
      <c r="AD36" s="36"/>
      <c r="AE36" s="36" t="s">
        <v>12</v>
      </c>
      <c r="AF36" s="36"/>
      <c r="AG36" s="46"/>
      <c r="AH36" s="46"/>
      <c r="AI36" s="36"/>
      <c r="AJ36" s="36"/>
      <c r="AK36" s="36"/>
      <c r="AL36" s="36"/>
      <c r="AM36" s="36"/>
      <c r="AN36" s="36">
        <v>45813</v>
      </c>
      <c r="AO36" s="47">
        <f t="shared" si="4"/>
        <v>100</v>
      </c>
      <c r="AP36" s="47">
        <f t="shared" si="5"/>
        <v>45882</v>
      </c>
    </row>
    <row r="37" s="9" customFormat="1" customHeight="1" spans="1:42">
      <c r="A37" s="36">
        <v>45782</v>
      </c>
      <c r="B37" s="36"/>
      <c r="C37" s="37" t="s">
        <v>280</v>
      </c>
      <c r="D37" s="37" t="s">
        <v>281</v>
      </c>
      <c r="E37" s="37" t="s">
        <v>282</v>
      </c>
      <c r="F37" s="38">
        <v>10100962</v>
      </c>
      <c r="G37" s="39">
        <v>4500031036</v>
      </c>
      <c r="H37" s="38" t="s">
        <v>72</v>
      </c>
      <c r="I37" s="40" t="str">
        <f>VLOOKUP(H37,名称!A:C,2,0)</f>
        <v>游戏转盘</v>
      </c>
      <c r="J37" s="41">
        <f>2502-2502</f>
        <v>0</v>
      </c>
      <c r="K37" s="40">
        <f>VLOOKUP(H37,名称!A:D,3,0)</f>
        <v>6</v>
      </c>
      <c r="L37" s="42">
        <f t="shared" si="8"/>
        <v>0</v>
      </c>
      <c r="M37" s="36">
        <v>45896</v>
      </c>
      <c r="N37" s="36">
        <f t="shared" si="9"/>
        <v>45894</v>
      </c>
      <c r="O37" s="36"/>
      <c r="P37" s="36"/>
      <c r="Q37" s="36"/>
      <c r="R37" s="38"/>
      <c r="S37" s="38"/>
      <c r="T37" s="43"/>
      <c r="U37" s="36" t="s">
        <v>283</v>
      </c>
      <c r="V37" s="48" t="s">
        <v>239</v>
      </c>
      <c r="W37" s="48" t="s">
        <v>277</v>
      </c>
      <c r="X37" s="42"/>
      <c r="Y37" s="44">
        <v>4.58</v>
      </c>
      <c r="Z37" s="44">
        <f t="shared" si="2"/>
        <v>0</v>
      </c>
      <c r="AA37" s="44">
        <f t="shared" si="3"/>
        <v>0</v>
      </c>
      <c r="AB37" s="45"/>
      <c r="AC37" s="45"/>
      <c r="AD37" s="36"/>
      <c r="AE37" s="36" t="s">
        <v>12</v>
      </c>
      <c r="AF37" s="36"/>
      <c r="AG37" s="46"/>
      <c r="AH37" s="46"/>
      <c r="AI37" s="36"/>
      <c r="AJ37" s="36"/>
      <c r="AK37" s="36"/>
      <c r="AL37" s="36"/>
      <c r="AM37" s="36"/>
      <c r="AN37" s="36">
        <v>45813</v>
      </c>
      <c r="AO37" s="47">
        <f t="shared" si="4"/>
        <v>114</v>
      </c>
      <c r="AP37" s="47">
        <f t="shared" si="5"/>
        <v>45896</v>
      </c>
    </row>
    <row r="38" s="9" customFormat="1" customHeight="1" spans="1:42">
      <c r="A38" s="36">
        <v>45743</v>
      </c>
      <c r="B38" s="36"/>
      <c r="C38" s="37" t="s">
        <v>232</v>
      </c>
      <c r="D38" s="37" t="s">
        <v>274</v>
      </c>
      <c r="E38" s="37" t="s">
        <v>235</v>
      </c>
      <c r="F38" s="38" t="s">
        <v>251</v>
      </c>
      <c r="G38" s="39">
        <v>202508070032</v>
      </c>
      <c r="H38" s="38" t="s">
        <v>48</v>
      </c>
      <c r="I38" s="40" t="str">
        <f>VLOOKUP(H38,名称!A:C,2,0)</f>
        <v>布鲁伊家族杯子套装</v>
      </c>
      <c r="J38" s="41">
        <f>6200+2148+14992+16-5008-3576-4016-4500-6256</f>
        <v>0</v>
      </c>
      <c r="K38" s="40">
        <f>VLOOKUP(H38,名称!A:D,3,0)</f>
        <v>4</v>
      </c>
      <c r="L38" s="42">
        <f t="shared" si="8"/>
        <v>0</v>
      </c>
      <c r="M38" s="36">
        <v>45812</v>
      </c>
      <c r="N38" s="36">
        <f t="shared" si="9"/>
        <v>45810</v>
      </c>
      <c r="O38" s="36"/>
      <c r="P38" s="36">
        <v>45783</v>
      </c>
      <c r="Q38" s="36">
        <v>45813</v>
      </c>
      <c r="R38" s="38" t="s">
        <v>279</v>
      </c>
      <c r="S38" s="38"/>
      <c r="T38" s="43" t="s">
        <v>284</v>
      </c>
      <c r="U38" s="36" t="s">
        <v>257</v>
      </c>
      <c r="V38" s="48" t="s">
        <v>255</v>
      </c>
      <c r="W38" s="48"/>
      <c r="X38" s="42"/>
      <c r="Y38" s="44">
        <v>2.17</v>
      </c>
      <c r="Z38" s="44">
        <f t="shared" si="2"/>
        <v>0</v>
      </c>
      <c r="AA38" s="44">
        <f t="shared" si="3"/>
        <v>0</v>
      </c>
      <c r="AB38" s="45"/>
      <c r="AC38" s="45"/>
      <c r="AD38" s="36"/>
      <c r="AE38" s="36" t="s">
        <v>12</v>
      </c>
      <c r="AF38" s="36"/>
      <c r="AG38" s="46"/>
      <c r="AH38" s="46"/>
      <c r="AI38" s="36">
        <v>45764</v>
      </c>
      <c r="AJ38" s="36" t="s">
        <v>241</v>
      </c>
      <c r="AK38" s="36"/>
      <c r="AL38" s="36"/>
      <c r="AM38" s="36"/>
      <c r="AN38" s="36">
        <v>45759</v>
      </c>
      <c r="AO38" s="47">
        <f t="shared" si="4"/>
        <v>69</v>
      </c>
      <c r="AP38" s="47">
        <f t="shared" si="5"/>
        <v>48</v>
      </c>
    </row>
    <row r="39" s="9" customFormat="1" customHeight="1" spans="1:42">
      <c r="A39" s="36">
        <v>45721</v>
      </c>
      <c r="B39" s="36"/>
      <c r="C39" s="37" t="s">
        <v>232</v>
      </c>
      <c r="D39" s="37" t="s">
        <v>274</v>
      </c>
      <c r="E39" s="37" t="s">
        <v>235</v>
      </c>
      <c r="F39" s="38" t="s">
        <v>251</v>
      </c>
      <c r="G39" s="39">
        <v>202506370043</v>
      </c>
      <c r="H39" s="38">
        <v>47669</v>
      </c>
      <c r="I39" s="40" t="str">
        <f>VLOOKUP(H39,[1]名称!A:C,2,0)</f>
        <v>动物车</v>
      </c>
      <c r="J39" s="41">
        <f>800-748-52</f>
        <v>0</v>
      </c>
      <c r="K39" s="40">
        <f>VLOOKUP(H39,[1]名称!A:D,3,0)</f>
        <v>4</v>
      </c>
      <c r="L39" s="42">
        <f t="shared" si="8"/>
        <v>0</v>
      </c>
      <c r="M39" s="36">
        <v>45805</v>
      </c>
      <c r="N39" s="36">
        <f t="shared" si="9"/>
        <v>45803</v>
      </c>
      <c r="O39" s="36"/>
      <c r="P39" s="36">
        <v>45791</v>
      </c>
      <c r="Q39" s="36">
        <v>45791</v>
      </c>
      <c r="R39" s="38" t="s">
        <v>285</v>
      </c>
      <c r="S39" s="38"/>
      <c r="T39" s="43"/>
      <c r="U39" s="36" t="s">
        <v>262</v>
      </c>
      <c r="V39" s="48" t="s">
        <v>255</v>
      </c>
      <c r="W39" s="48"/>
      <c r="X39" s="42"/>
      <c r="Y39" s="44">
        <v>4.81</v>
      </c>
      <c r="Z39" s="44">
        <f t="shared" si="2"/>
        <v>0</v>
      </c>
      <c r="AA39" s="44">
        <f t="shared" si="3"/>
        <v>0</v>
      </c>
      <c r="AB39" s="45"/>
      <c r="AC39" s="45"/>
      <c r="AD39" s="36"/>
      <c r="AE39" s="36" t="s">
        <v>12</v>
      </c>
      <c r="AF39" s="36"/>
      <c r="AG39" s="46"/>
      <c r="AH39" s="46"/>
      <c r="AI39" s="36">
        <v>45749</v>
      </c>
      <c r="AJ39" s="36">
        <v>45750</v>
      </c>
      <c r="AK39" s="36"/>
      <c r="AL39" s="36"/>
      <c r="AM39" s="36"/>
      <c r="AN39" s="36"/>
      <c r="AO39" s="47">
        <f t="shared" si="4"/>
        <v>84</v>
      </c>
      <c r="AP39" s="47">
        <f t="shared" si="5"/>
        <v>56</v>
      </c>
    </row>
    <row r="40" s="9" customFormat="1" customHeight="1" spans="1:42">
      <c r="A40" s="36">
        <v>45721</v>
      </c>
      <c r="B40" s="36"/>
      <c r="C40" s="37" t="s">
        <v>232</v>
      </c>
      <c r="D40" s="37" t="s">
        <v>274</v>
      </c>
      <c r="E40" s="37" t="s">
        <v>235</v>
      </c>
      <c r="F40" s="38" t="s">
        <v>251</v>
      </c>
      <c r="G40" s="39">
        <v>202506370043</v>
      </c>
      <c r="H40" s="38">
        <v>47674</v>
      </c>
      <c r="I40" s="40" t="str">
        <f>VLOOKUP(H40,[1]名称!A:C,2,0)</f>
        <v>JD LNS圆轮拖拉机</v>
      </c>
      <c r="J40" s="41">
        <f>782-736-46</f>
        <v>0</v>
      </c>
      <c r="K40" s="40">
        <f>VLOOKUP(H40,[1]名称!A:D,3,0)</f>
        <v>2</v>
      </c>
      <c r="L40" s="42">
        <f t="shared" si="8"/>
        <v>0</v>
      </c>
      <c r="M40" s="36">
        <v>45805</v>
      </c>
      <c r="N40" s="36">
        <f t="shared" si="9"/>
        <v>45803</v>
      </c>
      <c r="O40" s="36"/>
      <c r="P40" s="36">
        <v>45758</v>
      </c>
      <c r="Q40" s="36">
        <v>45758</v>
      </c>
      <c r="R40" s="38" t="s">
        <v>279</v>
      </c>
      <c r="S40" s="38"/>
      <c r="T40" s="43"/>
      <c r="U40" s="36" t="s">
        <v>262</v>
      </c>
      <c r="V40" s="48" t="s">
        <v>255</v>
      </c>
      <c r="W40" s="48"/>
      <c r="X40" s="42"/>
      <c r="Y40" s="44">
        <v>4.79</v>
      </c>
      <c r="Z40" s="44">
        <f t="shared" si="2"/>
        <v>0</v>
      </c>
      <c r="AA40" s="44">
        <f t="shared" si="3"/>
        <v>0</v>
      </c>
      <c r="AB40" s="45"/>
      <c r="AC40" s="45"/>
      <c r="AD40" s="36"/>
      <c r="AE40" s="36" t="s">
        <v>12</v>
      </c>
      <c r="AF40" s="36"/>
      <c r="AG40" s="46"/>
      <c r="AH40" s="46"/>
      <c r="AI40" s="36">
        <v>45743</v>
      </c>
      <c r="AJ40" s="36" t="s">
        <v>241</v>
      </c>
      <c r="AK40" s="36"/>
      <c r="AL40" s="36">
        <v>45715</v>
      </c>
      <c r="AM40" s="36"/>
      <c r="AN40" s="36"/>
      <c r="AO40" s="47">
        <f t="shared" si="4"/>
        <v>84</v>
      </c>
      <c r="AP40" s="47">
        <f t="shared" si="5"/>
        <v>62</v>
      </c>
    </row>
    <row r="41" s="9" customFormat="1" customHeight="1" spans="1:42">
      <c r="A41" s="36">
        <v>45721</v>
      </c>
      <c r="B41" s="36"/>
      <c r="C41" s="37" t="s">
        <v>232</v>
      </c>
      <c r="D41" s="37" t="s">
        <v>274</v>
      </c>
      <c r="E41" s="37" t="s">
        <v>235</v>
      </c>
      <c r="F41" s="38" t="s">
        <v>251</v>
      </c>
      <c r="G41" s="39">
        <v>202506370043</v>
      </c>
      <c r="H41" s="38" t="s">
        <v>31</v>
      </c>
      <c r="I41" s="40" t="str">
        <f>VLOOKUP(H41,[1]名称!A:C,2,0)</f>
        <v>1:16收割机</v>
      </c>
      <c r="J41" s="41">
        <f>391-368-23</f>
        <v>0</v>
      </c>
      <c r="K41" s="40">
        <f>VLOOKUP(H41,[1]名称!A:D,3,0)</f>
        <v>1</v>
      </c>
      <c r="L41" s="42">
        <f t="shared" si="8"/>
        <v>0</v>
      </c>
      <c r="M41" s="36">
        <v>45805</v>
      </c>
      <c r="N41" s="36">
        <f t="shared" si="9"/>
        <v>45803</v>
      </c>
      <c r="O41" s="36"/>
      <c r="P41" s="36">
        <v>45793</v>
      </c>
      <c r="Q41" s="36">
        <v>45794</v>
      </c>
      <c r="R41" s="38"/>
      <c r="S41" s="38"/>
      <c r="T41" s="43"/>
      <c r="U41" s="36" t="s">
        <v>262</v>
      </c>
      <c r="V41" s="48" t="s">
        <v>255</v>
      </c>
      <c r="W41" s="48"/>
      <c r="X41" s="42"/>
      <c r="Y41" s="44">
        <v>29.8</v>
      </c>
      <c r="Z41" s="44">
        <f t="shared" si="2"/>
        <v>0</v>
      </c>
      <c r="AA41" s="44">
        <f t="shared" si="3"/>
        <v>0</v>
      </c>
      <c r="AB41" s="45"/>
      <c r="AC41" s="45"/>
      <c r="AD41" s="36"/>
      <c r="AE41" s="36" t="s">
        <v>12</v>
      </c>
      <c r="AF41" s="36"/>
      <c r="AG41" s="46"/>
      <c r="AH41" s="46"/>
      <c r="AI41" s="36">
        <v>45756</v>
      </c>
      <c r="AJ41" s="36">
        <v>45722</v>
      </c>
      <c r="AK41" s="36"/>
      <c r="AL41" s="36">
        <v>45702</v>
      </c>
      <c r="AM41" s="36"/>
      <c r="AN41" s="36"/>
      <c r="AO41" s="47">
        <f t="shared" si="4"/>
        <v>84</v>
      </c>
      <c r="AP41" s="47">
        <f t="shared" si="5"/>
        <v>49</v>
      </c>
    </row>
    <row r="42" s="9" customFormat="1" customHeight="1" spans="1:42">
      <c r="A42" s="36">
        <v>45824</v>
      </c>
      <c r="B42" s="36"/>
      <c r="C42" s="37" t="s">
        <v>232</v>
      </c>
      <c r="D42" s="37" t="s">
        <v>274</v>
      </c>
      <c r="E42" s="37"/>
      <c r="F42" s="38" t="s">
        <v>251</v>
      </c>
      <c r="G42" s="39">
        <v>202516370048</v>
      </c>
      <c r="H42" s="38" t="s">
        <v>48</v>
      </c>
      <c r="I42" s="40" t="s">
        <v>286</v>
      </c>
      <c r="J42" s="41">
        <f>936+964+1180+1284+1236+1488+1372+1040+2176+1124-1124-1236-1180-1372-2176-936-964-1284-1488-1040</f>
        <v>0</v>
      </c>
      <c r="K42" s="40">
        <f>VLOOKUP(H42,名称!A:D,3,0)</f>
        <v>4</v>
      </c>
      <c r="L42" s="42">
        <f t="shared" si="8"/>
        <v>0</v>
      </c>
      <c r="M42" s="36">
        <v>45889</v>
      </c>
      <c r="N42" s="36">
        <v>45889</v>
      </c>
      <c r="O42" s="36"/>
      <c r="P42" s="36"/>
      <c r="Q42" s="36"/>
      <c r="R42" s="38"/>
      <c r="S42" s="38"/>
      <c r="T42" s="43"/>
      <c r="U42" s="36"/>
      <c r="V42" s="48"/>
      <c r="W42" s="48"/>
      <c r="X42" s="42"/>
      <c r="Y42" s="44">
        <v>2.2</v>
      </c>
      <c r="Z42" s="44">
        <f t="shared" si="2"/>
        <v>0</v>
      </c>
      <c r="AA42" s="44">
        <f t="shared" si="3"/>
        <v>0</v>
      </c>
      <c r="AB42" s="45"/>
      <c r="AC42" s="45"/>
      <c r="AD42" s="36"/>
      <c r="AE42" s="36" t="s">
        <v>12</v>
      </c>
      <c r="AF42" s="36"/>
      <c r="AG42" s="46"/>
      <c r="AH42" s="46"/>
      <c r="AI42" s="36"/>
      <c r="AJ42" s="36"/>
      <c r="AK42" s="36"/>
      <c r="AL42" s="36"/>
      <c r="AM42" s="36"/>
      <c r="AN42" s="36"/>
      <c r="AO42" s="47">
        <f t="shared" si="4"/>
        <v>65</v>
      </c>
      <c r="AP42" s="47">
        <f t="shared" si="5"/>
        <v>45889</v>
      </c>
    </row>
    <row r="43" s="9" customFormat="1" customHeight="1" spans="1:42">
      <c r="A43" s="36">
        <v>45824</v>
      </c>
      <c r="B43" s="36"/>
      <c r="C43" s="37" t="s">
        <v>232</v>
      </c>
      <c r="D43" s="37" t="s">
        <v>274</v>
      </c>
      <c r="E43" s="37"/>
      <c r="F43" s="38" t="s">
        <v>251</v>
      </c>
      <c r="G43" s="39">
        <v>202516370048</v>
      </c>
      <c r="H43" s="38" t="s">
        <v>55</v>
      </c>
      <c r="I43" s="40" t="s">
        <v>242</v>
      </c>
      <c r="J43" s="41">
        <f>408+414+504+546+528+744+684+522+1086+564-564-528-504-684-1086-408-414-546-744-522</f>
        <v>0</v>
      </c>
      <c r="K43" s="40">
        <f>VLOOKUP(H43,名称!A:D,3,0)</f>
        <v>6</v>
      </c>
      <c r="L43" s="42">
        <f t="shared" si="8"/>
        <v>0</v>
      </c>
      <c r="M43" s="36">
        <v>45889</v>
      </c>
      <c r="N43" s="36">
        <v>45889</v>
      </c>
      <c r="O43" s="36"/>
      <c r="P43" s="36"/>
      <c r="Q43" s="36"/>
      <c r="R43" s="38"/>
      <c r="S43" s="38"/>
      <c r="T43" s="43"/>
      <c r="U43" s="36"/>
      <c r="V43" s="48"/>
      <c r="W43" s="48"/>
      <c r="X43" s="42"/>
      <c r="Y43" s="44">
        <v>1.41</v>
      </c>
      <c r="Z43" s="44">
        <f t="shared" si="2"/>
        <v>0</v>
      </c>
      <c r="AA43" s="44">
        <f t="shared" si="3"/>
        <v>0</v>
      </c>
      <c r="AB43" s="45"/>
      <c r="AC43" s="45"/>
      <c r="AD43" s="36"/>
      <c r="AE43" s="36" t="s">
        <v>12</v>
      </c>
      <c r="AF43" s="36"/>
      <c r="AG43" s="46"/>
      <c r="AH43" s="46"/>
      <c r="AI43" s="36"/>
      <c r="AJ43" s="36"/>
      <c r="AK43" s="36"/>
      <c r="AL43" s="36"/>
      <c r="AM43" s="36"/>
      <c r="AN43" s="36"/>
      <c r="AO43" s="47">
        <f t="shared" si="4"/>
        <v>65</v>
      </c>
      <c r="AP43" s="47">
        <f t="shared" si="5"/>
        <v>45889</v>
      </c>
    </row>
    <row r="44" s="9" customFormat="1" customHeight="1" spans="1:42">
      <c r="A44" s="36">
        <v>45785</v>
      </c>
      <c r="B44" s="36"/>
      <c r="C44" s="37"/>
      <c r="D44" s="37"/>
      <c r="E44" s="37"/>
      <c r="F44" s="38" t="s">
        <v>251</v>
      </c>
      <c r="G44" s="39"/>
      <c r="H44" s="38" t="s">
        <v>48</v>
      </c>
      <c r="I44" s="40" t="str">
        <f>VLOOKUP(H44,名称!A:C,2,0)</f>
        <v>布鲁伊家族杯子套装</v>
      </c>
      <c r="J44" s="41">
        <f>30000-10008-5000-1124-1236-1180-1372-2176-936-964-1284-1488-1040-2192</f>
        <v>0</v>
      </c>
      <c r="K44" s="40">
        <f>VLOOKUP(H44,名称!A:D,3,0)</f>
        <v>4</v>
      </c>
      <c r="L44" s="42">
        <f t="shared" si="8"/>
        <v>0</v>
      </c>
      <c r="M44" s="36">
        <v>45875</v>
      </c>
      <c r="N44" s="36">
        <f t="shared" ref="N44:N49" si="10">M44-2</f>
        <v>45873</v>
      </c>
      <c r="O44" s="36"/>
      <c r="P44" s="36"/>
      <c r="Q44" s="36"/>
      <c r="R44" s="38"/>
      <c r="S44" s="38"/>
      <c r="T44" s="43"/>
      <c r="U44" s="36" t="s">
        <v>283</v>
      </c>
      <c r="V44" s="48"/>
      <c r="W44" s="48"/>
      <c r="X44" s="42"/>
      <c r="Y44" s="44">
        <v>2.17</v>
      </c>
      <c r="Z44" s="44">
        <f t="shared" si="2"/>
        <v>0</v>
      </c>
      <c r="AA44" s="44">
        <f t="shared" si="3"/>
        <v>0</v>
      </c>
      <c r="AB44" s="45"/>
      <c r="AC44" s="45"/>
      <c r="AD44" s="36"/>
      <c r="AE44" s="36" t="str">
        <f>VLOOKUP(H44,名称!A:D,4,0)</f>
        <v>印尼</v>
      </c>
      <c r="AF44" s="36"/>
      <c r="AG44" s="46"/>
      <c r="AH44" s="46"/>
      <c r="AI44" s="36"/>
      <c r="AJ44" s="36"/>
      <c r="AK44" s="36"/>
      <c r="AL44" s="36"/>
      <c r="AM44" s="36"/>
      <c r="AN44" s="36" t="s">
        <v>287</v>
      </c>
      <c r="AO44" s="47">
        <f t="shared" si="4"/>
        <v>90</v>
      </c>
      <c r="AP44" s="47">
        <f t="shared" si="5"/>
        <v>45875</v>
      </c>
    </row>
    <row r="45" s="9" customFormat="1" customHeight="1" spans="1:42">
      <c r="A45" s="36">
        <v>45868</v>
      </c>
      <c r="B45" s="36"/>
      <c r="C45" s="37" t="s">
        <v>288</v>
      </c>
      <c r="D45" s="37" t="s">
        <v>289</v>
      </c>
      <c r="E45" s="37" t="s">
        <v>290</v>
      </c>
      <c r="F45" s="38">
        <v>10108153</v>
      </c>
      <c r="G45" s="39">
        <v>20218527</v>
      </c>
      <c r="H45" s="38" t="s">
        <v>89</v>
      </c>
      <c r="I45" s="40" t="str">
        <f>VLOOKUP(H45,名称!A:C,2,0)</f>
        <v>马里奥能量蘑菇吸塑混装</v>
      </c>
      <c r="J45" s="41">
        <v>5004</v>
      </c>
      <c r="K45" s="40">
        <f>VLOOKUP(H45,名称!A:D,3,0)</f>
        <v>6</v>
      </c>
      <c r="L45" s="42">
        <f t="shared" si="8"/>
        <v>834</v>
      </c>
      <c r="M45" s="36">
        <v>45952</v>
      </c>
      <c r="N45" s="36">
        <f t="shared" si="10"/>
        <v>45950</v>
      </c>
      <c r="O45" s="36"/>
      <c r="P45" s="36"/>
      <c r="Q45" s="36"/>
      <c r="R45" s="38"/>
      <c r="S45" s="38"/>
      <c r="T45" s="43"/>
      <c r="U45" s="36" t="s">
        <v>291</v>
      </c>
      <c r="V45" s="48" t="s">
        <v>239</v>
      </c>
      <c r="W45" s="48"/>
      <c r="X45" s="42"/>
      <c r="Y45" s="44">
        <v>1.38</v>
      </c>
      <c r="Z45" s="44">
        <f t="shared" si="2"/>
        <v>6905.52</v>
      </c>
      <c r="AA45" s="44">
        <f t="shared" si="3"/>
        <v>53517.78</v>
      </c>
      <c r="AB45" s="51">
        <v>45874</v>
      </c>
      <c r="AC45" s="45"/>
      <c r="AD45" s="36"/>
      <c r="AE45" s="36" t="str">
        <f>VLOOKUP(H45,名称!A:D,4,0)</f>
        <v>印尼</v>
      </c>
      <c r="AF45" s="36"/>
      <c r="AG45" s="46"/>
      <c r="AH45" s="46"/>
      <c r="AI45" s="36"/>
      <c r="AJ45" s="36"/>
      <c r="AK45" s="36"/>
      <c r="AL45" s="36"/>
      <c r="AM45" s="36"/>
      <c r="AN45" s="36"/>
      <c r="AO45" s="47">
        <f t="shared" si="4"/>
        <v>84</v>
      </c>
      <c r="AP45" s="47">
        <f t="shared" si="5"/>
        <v>45952</v>
      </c>
    </row>
    <row r="46" s="9" customFormat="1" customHeight="1" spans="1:42">
      <c r="A46" s="36">
        <v>45868</v>
      </c>
      <c r="B46" s="36"/>
      <c r="C46" s="37" t="s">
        <v>288</v>
      </c>
      <c r="D46" s="37" t="s">
        <v>289</v>
      </c>
      <c r="E46" s="37" t="s">
        <v>290</v>
      </c>
      <c r="F46" s="38">
        <v>10108153</v>
      </c>
      <c r="G46" s="39">
        <v>20218527</v>
      </c>
      <c r="H46" s="38" t="s">
        <v>99</v>
      </c>
      <c r="I46" s="40" t="str">
        <f>VLOOKUP(H46,名称!A:C,2,0)</f>
        <v>马里奥能量蘑菇密封盒混装</v>
      </c>
      <c r="J46" s="41">
        <v>1002</v>
      </c>
      <c r="K46" s="40">
        <f>VLOOKUP(H46,名称!A:D,3,0)</f>
        <v>6</v>
      </c>
      <c r="L46" s="42">
        <f t="shared" si="8"/>
        <v>167</v>
      </c>
      <c r="M46" s="36">
        <v>45959</v>
      </c>
      <c r="N46" s="36">
        <f t="shared" si="10"/>
        <v>45957</v>
      </c>
      <c r="O46" s="36"/>
      <c r="P46" s="36"/>
      <c r="Q46" s="36"/>
      <c r="R46" s="38"/>
      <c r="S46" s="38"/>
      <c r="T46" s="43"/>
      <c r="U46" s="36" t="s">
        <v>291</v>
      </c>
      <c r="V46" s="48" t="s">
        <v>239</v>
      </c>
      <c r="W46" s="48"/>
      <c r="X46" s="42"/>
      <c r="Y46" s="44">
        <v>3.36</v>
      </c>
      <c r="Z46" s="44">
        <f t="shared" si="2"/>
        <v>3366.72</v>
      </c>
      <c r="AA46" s="44">
        <f t="shared" si="3"/>
        <v>26092.08</v>
      </c>
      <c r="AB46" s="51">
        <v>45874</v>
      </c>
      <c r="AC46" s="45"/>
      <c r="AD46" s="36"/>
      <c r="AE46" s="36" t="str">
        <f>VLOOKUP(H46,名称!A:D,4,0)</f>
        <v>印尼</v>
      </c>
      <c r="AF46" s="36"/>
      <c r="AG46" s="46"/>
      <c r="AH46" s="46"/>
      <c r="AI46" s="36"/>
      <c r="AJ46" s="36"/>
      <c r="AK46" s="36"/>
      <c r="AL46" s="36"/>
      <c r="AM46" s="36"/>
      <c r="AN46" s="36"/>
      <c r="AO46" s="47">
        <f t="shared" si="4"/>
        <v>91</v>
      </c>
      <c r="AP46" s="47">
        <f t="shared" si="5"/>
        <v>45959</v>
      </c>
    </row>
    <row r="47" s="9" customFormat="1" customHeight="1" spans="1:42">
      <c r="A47" s="36">
        <v>45868</v>
      </c>
      <c r="B47" s="36"/>
      <c r="C47" s="37" t="s">
        <v>288</v>
      </c>
      <c r="D47" s="37" t="s">
        <v>289</v>
      </c>
      <c r="E47" s="37" t="s">
        <v>290</v>
      </c>
      <c r="F47" s="38">
        <v>10108153</v>
      </c>
      <c r="G47" s="39">
        <v>20218527</v>
      </c>
      <c r="H47" s="38" t="s">
        <v>95</v>
      </c>
      <c r="I47" s="40" t="str">
        <f>VLOOKUP(H47,名称!A:C,2,0)</f>
        <v>宝箱马里奥</v>
      </c>
      <c r="J47" s="41">
        <v>4500</v>
      </c>
      <c r="K47" s="40">
        <f>VLOOKUP(H47,名称!A:D,3,0)</f>
        <v>4</v>
      </c>
      <c r="L47" s="42">
        <f t="shared" si="8"/>
        <v>1125</v>
      </c>
      <c r="M47" s="36">
        <v>45959</v>
      </c>
      <c r="N47" s="36">
        <f t="shared" si="10"/>
        <v>45957</v>
      </c>
      <c r="O47" s="36"/>
      <c r="P47" s="36"/>
      <c r="Q47" s="36"/>
      <c r="R47" s="38"/>
      <c r="S47" s="38"/>
      <c r="T47" s="43"/>
      <c r="U47" s="36" t="s">
        <v>291</v>
      </c>
      <c r="V47" s="48" t="s">
        <v>239</v>
      </c>
      <c r="W47" s="48"/>
      <c r="X47" s="42"/>
      <c r="Y47" s="44">
        <v>2.21</v>
      </c>
      <c r="Z47" s="44">
        <f t="shared" si="2"/>
        <v>9945</v>
      </c>
      <c r="AA47" s="44">
        <f t="shared" si="3"/>
        <v>77073.75</v>
      </c>
      <c r="AB47" s="51">
        <v>45874</v>
      </c>
      <c r="AC47" s="45"/>
      <c r="AD47" s="36"/>
      <c r="AE47" s="36" t="str">
        <f>VLOOKUP(H47,名称!A:D,4,0)</f>
        <v>印尼</v>
      </c>
      <c r="AF47" s="36"/>
      <c r="AG47" s="46"/>
      <c r="AH47" s="46"/>
      <c r="AI47" s="36"/>
      <c r="AJ47" s="36"/>
      <c r="AK47" s="36"/>
      <c r="AL47" s="36"/>
      <c r="AM47" s="36"/>
      <c r="AN47" s="36"/>
      <c r="AO47" s="47">
        <f t="shared" si="4"/>
        <v>91</v>
      </c>
      <c r="AP47" s="47">
        <f t="shared" si="5"/>
        <v>45959</v>
      </c>
    </row>
    <row r="48" s="9" customFormat="1" customHeight="1" spans="1:42">
      <c r="A48" s="36">
        <v>45868</v>
      </c>
      <c r="B48" s="36"/>
      <c r="C48" s="37" t="s">
        <v>288</v>
      </c>
      <c r="D48" s="37" t="s">
        <v>289</v>
      </c>
      <c r="E48" s="37" t="s">
        <v>290</v>
      </c>
      <c r="F48" s="38">
        <v>10108153</v>
      </c>
      <c r="G48" s="39">
        <v>20218527</v>
      </c>
      <c r="H48" s="38" t="s">
        <v>97</v>
      </c>
      <c r="I48" s="40" t="str">
        <f>VLOOKUP(H48,名称!A:C,2,0)</f>
        <v>管道马里奥</v>
      </c>
      <c r="J48" s="41">
        <v>4000</v>
      </c>
      <c r="K48" s="40">
        <f>VLOOKUP(H48,名称!A:D,3,0)</f>
        <v>4</v>
      </c>
      <c r="L48" s="42">
        <f t="shared" si="8"/>
        <v>1000</v>
      </c>
      <c r="M48" s="36">
        <v>45987</v>
      </c>
      <c r="N48" s="36">
        <f t="shared" si="10"/>
        <v>45985</v>
      </c>
      <c r="O48" s="36"/>
      <c r="P48" s="36"/>
      <c r="Q48" s="36"/>
      <c r="R48" s="38"/>
      <c r="S48" s="38"/>
      <c r="T48" s="43"/>
      <c r="U48" s="36" t="s">
        <v>292</v>
      </c>
      <c r="V48" s="48" t="s">
        <v>239</v>
      </c>
      <c r="W48" s="48"/>
      <c r="X48" s="42"/>
      <c r="Y48" s="44">
        <v>3.36</v>
      </c>
      <c r="Z48" s="44">
        <f t="shared" si="2"/>
        <v>13440</v>
      </c>
      <c r="AA48" s="44">
        <f t="shared" si="3"/>
        <v>104160</v>
      </c>
      <c r="AB48" s="51">
        <v>45874</v>
      </c>
      <c r="AC48" s="45"/>
      <c r="AD48" s="36"/>
      <c r="AE48" s="36" t="str">
        <f>VLOOKUP(H48,名称!A:D,4,0)</f>
        <v>印尼</v>
      </c>
      <c r="AF48" s="36"/>
      <c r="AG48" s="46"/>
      <c r="AH48" s="46"/>
      <c r="AI48" s="36"/>
      <c r="AJ48" s="36"/>
      <c r="AK48" s="36"/>
      <c r="AL48" s="36"/>
      <c r="AM48" s="36"/>
      <c r="AN48" s="36"/>
      <c r="AO48" s="47">
        <f t="shared" si="4"/>
        <v>119</v>
      </c>
      <c r="AP48" s="47">
        <f t="shared" si="5"/>
        <v>45987</v>
      </c>
    </row>
    <row r="49" s="9" customFormat="1" customHeight="1" spans="1:42">
      <c r="A49" s="36">
        <v>45850</v>
      </c>
      <c r="B49" s="36"/>
      <c r="C49" s="37"/>
      <c r="D49" s="37"/>
      <c r="E49" s="37"/>
      <c r="F49" s="38" t="s">
        <v>251</v>
      </c>
      <c r="G49" s="39"/>
      <c r="H49" s="38" t="s">
        <v>48</v>
      </c>
      <c r="I49" s="40" t="str">
        <f>VLOOKUP(H49,名称!A:C,2,0)</f>
        <v>布鲁伊家族杯子套装</v>
      </c>
      <c r="J49" s="41">
        <f>30000-1808-5000-6204-15000-1988</f>
        <v>0</v>
      </c>
      <c r="K49" s="40">
        <f>VLOOKUP(H49,名称!A:D,3,0)</f>
        <v>4</v>
      </c>
      <c r="L49" s="42">
        <f t="shared" si="8"/>
        <v>0</v>
      </c>
      <c r="M49" s="36">
        <v>45917</v>
      </c>
      <c r="N49" s="36">
        <f t="shared" si="10"/>
        <v>45915</v>
      </c>
      <c r="O49" s="36"/>
      <c r="P49" s="36"/>
      <c r="Q49" s="36"/>
      <c r="R49" s="38"/>
      <c r="S49" s="38"/>
      <c r="T49" s="43"/>
      <c r="U49" s="36" t="s">
        <v>293</v>
      </c>
      <c r="V49" s="48"/>
      <c r="W49" s="48"/>
      <c r="X49" s="42"/>
      <c r="Y49" s="44">
        <v>2.2</v>
      </c>
      <c r="Z49" s="44">
        <f t="shared" si="2"/>
        <v>0</v>
      </c>
      <c r="AA49" s="44">
        <f t="shared" si="3"/>
        <v>0</v>
      </c>
      <c r="AB49" s="51"/>
      <c r="AC49" s="45"/>
      <c r="AD49" s="36"/>
      <c r="AE49" s="36" t="str">
        <f>VLOOKUP(H49,名称!A:D,4,0)</f>
        <v>印尼</v>
      </c>
      <c r="AF49" s="36"/>
      <c r="AG49" s="46"/>
      <c r="AH49" s="46"/>
      <c r="AI49" s="36"/>
      <c r="AJ49" s="36"/>
      <c r="AK49" s="36"/>
      <c r="AL49" s="36"/>
      <c r="AM49" s="36"/>
      <c r="AN49" s="36" t="s">
        <v>294</v>
      </c>
      <c r="AO49" s="47">
        <f t="shared" si="4"/>
        <v>67</v>
      </c>
      <c r="AP49" s="47">
        <f t="shared" si="5"/>
        <v>45917</v>
      </c>
    </row>
    <row r="50" s="9" customFormat="1" customHeight="1" spans="1:42">
      <c r="A50" s="36">
        <v>45852</v>
      </c>
      <c r="B50" s="36"/>
      <c r="C50" s="37" t="s">
        <v>232</v>
      </c>
      <c r="D50" s="37" t="s">
        <v>275</v>
      </c>
      <c r="E50" s="37" t="s">
        <v>235</v>
      </c>
      <c r="F50" s="38">
        <v>10107005</v>
      </c>
      <c r="G50" s="39">
        <v>202518871747</v>
      </c>
      <c r="H50" s="38" t="s">
        <v>88</v>
      </c>
      <c r="I50" s="40" t="str">
        <f>VLOOKUP(H50,名称!A:C,2,0)</f>
        <v>杯子</v>
      </c>
      <c r="J50" s="41">
        <v>10008</v>
      </c>
      <c r="K50" s="40">
        <f>VLOOKUP(H50,名称!A:D,3,0)</f>
        <v>18</v>
      </c>
      <c r="L50" s="42">
        <f t="shared" si="8"/>
        <v>556</v>
      </c>
      <c r="M50" s="36">
        <v>45966</v>
      </c>
      <c r="N50" s="36"/>
      <c r="O50" s="36"/>
      <c r="P50" s="36"/>
      <c r="Q50" s="36"/>
      <c r="R50" s="38"/>
      <c r="S50" s="38"/>
      <c r="T50" s="43"/>
      <c r="U50" s="36" t="s">
        <v>292</v>
      </c>
      <c r="V50" s="48" t="s">
        <v>239</v>
      </c>
      <c r="W50" s="48" t="s">
        <v>277</v>
      </c>
      <c r="X50" s="42"/>
      <c r="Y50" s="44">
        <v>0.96</v>
      </c>
      <c r="Z50" s="44">
        <f t="shared" ref="Z50:Z60" si="11">J50*Y50</f>
        <v>9607.68</v>
      </c>
      <c r="AA50" s="44">
        <f t="shared" ref="AA50:AA60" si="12">Z50*7.75</f>
        <v>74459.52</v>
      </c>
      <c r="AB50" s="51">
        <v>45888</v>
      </c>
      <c r="AC50" s="45"/>
      <c r="AD50" s="36"/>
      <c r="AE50" s="36" t="str">
        <f>VLOOKUP(H50,名称!A:D,4,0)</f>
        <v>印尼</v>
      </c>
      <c r="AF50" s="36"/>
      <c r="AG50" s="46"/>
      <c r="AH50" s="46"/>
      <c r="AI50" s="36"/>
      <c r="AJ50" s="36"/>
      <c r="AK50" s="36"/>
      <c r="AL50" s="36"/>
      <c r="AM50" s="36"/>
      <c r="AN50" s="36"/>
      <c r="AO50" s="47">
        <f t="shared" ref="AO50:AO60" si="13">M50-A50</f>
        <v>114</v>
      </c>
      <c r="AP50" s="47">
        <f t="shared" ref="AP50:AP60" si="14">M50-AI50</f>
        <v>45966</v>
      </c>
    </row>
    <row r="51" s="9" customFormat="1" customHeight="1" spans="1:42">
      <c r="A51" s="36">
        <v>45876</v>
      </c>
      <c r="B51" s="36"/>
      <c r="C51" s="37" t="s">
        <v>232</v>
      </c>
      <c r="D51" s="37" t="s">
        <v>275</v>
      </c>
      <c r="E51" s="37" t="s">
        <v>235</v>
      </c>
      <c r="F51" s="38">
        <v>10108832</v>
      </c>
      <c r="G51" s="39">
        <v>202521770050</v>
      </c>
      <c r="H51" s="38" t="s">
        <v>88</v>
      </c>
      <c r="I51" s="40" t="str">
        <f>VLOOKUP(H51,名称!A:C,2,0)</f>
        <v>杯子</v>
      </c>
      <c r="J51" s="41">
        <v>10008</v>
      </c>
      <c r="K51" s="40">
        <f>VLOOKUP(H51,名称!A:D,3,0)</f>
        <v>18</v>
      </c>
      <c r="L51" s="42">
        <f t="shared" si="8"/>
        <v>556</v>
      </c>
      <c r="M51" s="36">
        <v>45973</v>
      </c>
      <c r="N51" s="36">
        <f t="shared" ref="N51:N53" si="15">M51-2</f>
        <v>45971</v>
      </c>
      <c r="O51" s="36"/>
      <c r="P51" s="36"/>
      <c r="Q51" s="36"/>
      <c r="R51" s="38"/>
      <c r="S51" s="38"/>
      <c r="T51" s="43"/>
      <c r="U51" s="36"/>
      <c r="V51" s="48"/>
      <c r="W51" s="48"/>
      <c r="X51" s="42"/>
      <c r="Y51" s="44">
        <v>0.96</v>
      </c>
      <c r="Z51" s="44">
        <f t="shared" si="11"/>
        <v>9607.68</v>
      </c>
      <c r="AA51" s="44">
        <f t="shared" si="12"/>
        <v>74459.52</v>
      </c>
      <c r="AB51" s="51">
        <v>45888</v>
      </c>
      <c r="AC51" s="45"/>
      <c r="AD51" s="36"/>
      <c r="AE51" s="36" t="str">
        <f>VLOOKUP(H51,名称!A:D,4,0)</f>
        <v>印尼</v>
      </c>
      <c r="AF51" s="36"/>
      <c r="AG51" s="46"/>
      <c r="AH51" s="46"/>
      <c r="AI51" s="36"/>
      <c r="AJ51" s="36"/>
      <c r="AK51" s="36"/>
      <c r="AL51" s="36"/>
      <c r="AM51" s="36"/>
      <c r="AN51" s="36"/>
      <c r="AO51" s="47">
        <f t="shared" si="13"/>
        <v>97</v>
      </c>
      <c r="AP51" s="47">
        <f t="shared" si="14"/>
        <v>45973</v>
      </c>
    </row>
    <row r="52" s="9" customFormat="1" customHeight="1" spans="1:42">
      <c r="A52" s="36">
        <v>45941</v>
      </c>
      <c r="B52" s="36" t="str">
        <f ca="1">IF(TODAY()&gt;=A52,IF(P52="","未",""),"")</f>
        <v>未</v>
      </c>
      <c r="C52" s="37" t="s">
        <v>232</v>
      </c>
      <c r="D52" s="37" t="s">
        <v>275</v>
      </c>
      <c r="E52" s="37" t="s">
        <v>233</v>
      </c>
      <c r="F52" s="38">
        <v>10112827</v>
      </c>
      <c r="G52" s="39">
        <v>202528270053</v>
      </c>
      <c r="H52" s="38" t="s">
        <v>31</v>
      </c>
      <c r="I52" s="40" t="str">
        <f>VLOOKUP(H52,名称!A:C,2,0)</f>
        <v>1:16收割机</v>
      </c>
      <c r="J52" s="41">
        <v>300</v>
      </c>
      <c r="K52" s="40">
        <f>VLOOKUP(H52,名称!A:D,3,0)</f>
        <v>1</v>
      </c>
      <c r="L52" s="42">
        <f t="shared" si="8"/>
        <v>300</v>
      </c>
      <c r="M52" s="36">
        <v>46085</v>
      </c>
      <c r="N52" s="36">
        <f t="shared" si="15"/>
        <v>46083</v>
      </c>
      <c r="O52" s="36"/>
      <c r="P52" s="36"/>
      <c r="Q52" s="36"/>
      <c r="R52" s="38"/>
      <c r="S52" s="38"/>
      <c r="T52" s="43"/>
      <c r="U52" s="36" t="s">
        <v>295</v>
      </c>
      <c r="V52" s="48" t="s">
        <v>239</v>
      </c>
      <c r="W52" s="48"/>
      <c r="X52" s="42"/>
      <c r="Y52" s="44">
        <v>29.8</v>
      </c>
      <c r="Z52" s="44">
        <f t="shared" si="11"/>
        <v>8940</v>
      </c>
      <c r="AA52" s="44">
        <f t="shared" si="12"/>
        <v>69285</v>
      </c>
      <c r="AB52" s="51">
        <v>45944</v>
      </c>
      <c r="AC52" s="45"/>
      <c r="AD52" s="36"/>
      <c r="AE52" s="36" t="str">
        <f>VLOOKUP(H52,名称!A:D,4,0)</f>
        <v>印尼</v>
      </c>
      <c r="AF52" s="36"/>
      <c r="AG52" s="46"/>
      <c r="AH52" s="46"/>
      <c r="AI52" s="36"/>
      <c r="AJ52" s="36"/>
      <c r="AK52" s="36"/>
      <c r="AL52" s="36"/>
      <c r="AM52" s="36"/>
      <c r="AN52" s="36"/>
      <c r="AO52" s="47">
        <f t="shared" si="13"/>
        <v>144</v>
      </c>
      <c r="AP52" s="47">
        <f t="shared" si="14"/>
        <v>46085</v>
      </c>
    </row>
    <row r="53" s="9" customFormat="1" customHeight="1" spans="1:42">
      <c r="A53" s="36">
        <v>45861</v>
      </c>
      <c r="B53" s="36" t="str">
        <f ca="1" t="shared" ref="B53:B55" si="16">IF(TODAY()&gt;=A53,IF(R53="","未",""),"")</f>
        <v>未</v>
      </c>
      <c r="C53" s="37"/>
      <c r="D53" s="37"/>
      <c r="E53" s="37"/>
      <c r="F53" s="38" t="s">
        <v>251</v>
      </c>
      <c r="G53" s="39"/>
      <c r="H53" s="38" t="s">
        <v>48</v>
      </c>
      <c r="I53" s="40" t="str">
        <f>VLOOKUP(H53,名称!A:C,2,0)</f>
        <v>布鲁伊家族杯子套装</v>
      </c>
      <c r="J53" s="41">
        <f>30000-3012-10000-3000-13988</f>
        <v>0</v>
      </c>
      <c r="K53" s="40">
        <f>VLOOKUP(H53,名称!A:D,3,0)</f>
        <v>4</v>
      </c>
      <c r="L53" s="42">
        <f t="shared" si="8"/>
        <v>0</v>
      </c>
      <c r="M53" s="36">
        <v>45930</v>
      </c>
      <c r="N53" s="36">
        <f t="shared" si="15"/>
        <v>45928</v>
      </c>
      <c r="O53" s="36"/>
      <c r="P53" s="36" t="s">
        <v>291</v>
      </c>
      <c r="Q53" s="36"/>
      <c r="R53" s="38"/>
      <c r="S53" s="38"/>
      <c r="T53" s="43"/>
      <c r="U53" s="36"/>
      <c r="V53" s="48"/>
      <c r="W53" s="48"/>
      <c r="X53" s="42"/>
      <c r="Y53" s="44">
        <v>0</v>
      </c>
      <c r="Z53" s="44">
        <f t="shared" si="11"/>
        <v>0</v>
      </c>
      <c r="AA53" s="44">
        <f t="shared" si="12"/>
        <v>0</v>
      </c>
      <c r="AB53" s="51">
        <v>45947</v>
      </c>
      <c r="AC53" s="45"/>
      <c r="AD53" s="36"/>
      <c r="AE53" s="36" t="str">
        <f>VLOOKUP(H53,名称!A:D,4,0)</f>
        <v>印尼</v>
      </c>
      <c r="AF53" s="36"/>
      <c r="AG53" s="46"/>
      <c r="AH53" s="46"/>
      <c r="AI53" s="36"/>
      <c r="AJ53" s="36"/>
      <c r="AK53" s="36"/>
      <c r="AL53" s="36"/>
      <c r="AM53" s="36"/>
      <c r="AN53" s="36" t="s">
        <v>294</v>
      </c>
      <c r="AO53" s="47">
        <f t="shared" si="13"/>
        <v>69</v>
      </c>
      <c r="AP53" s="47">
        <f t="shared" si="14"/>
        <v>45930</v>
      </c>
    </row>
    <row r="54" s="9" customFormat="1" customHeight="1" spans="1:42">
      <c r="A54" s="36">
        <v>45895</v>
      </c>
      <c r="B54" s="36" t="str">
        <f ca="1" t="shared" si="16"/>
        <v>未</v>
      </c>
      <c r="C54" s="37"/>
      <c r="D54" s="37"/>
      <c r="E54" s="37"/>
      <c r="F54" s="38" t="s">
        <v>251</v>
      </c>
      <c r="G54" s="39"/>
      <c r="H54" s="38" t="s">
        <v>48</v>
      </c>
      <c r="I54" s="40" t="str">
        <f>VLOOKUP(H54,名称!A:C,2,0)</f>
        <v>布鲁伊家族杯子套装</v>
      </c>
      <c r="J54" s="41">
        <f>30000-6012-20000-3988</f>
        <v>0</v>
      </c>
      <c r="K54" s="40">
        <f>VLOOKUP(H54,名称!A:D,3,0)</f>
        <v>4</v>
      </c>
      <c r="L54" s="42">
        <f t="shared" si="8"/>
        <v>0</v>
      </c>
      <c r="M54" s="36">
        <v>45950</v>
      </c>
      <c r="N54" s="36">
        <v>45947</v>
      </c>
      <c r="O54" s="36"/>
      <c r="P54" s="36"/>
      <c r="Q54" s="36"/>
      <c r="R54" s="38"/>
      <c r="S54" s="38"/>
      <c r="T54" s="43"/>
      <c r="U54" s="36"/>
      <c r="V54" s="48"/>
      <c r="W54" s="48"/>
      <c r="X54" s="42"/>
      <c r="Y54" s="44">
        <v>0</v>
      </c>
      <c r="Z54" s="44">
        <f t="shared" si="11"/>
        <v>0</v>
      </c>
      <c r="AA54" s="44">
        <f t="shared" si="12"/>
        <v>0</v>
      </c>
      <c r="AB54" s="51">
        <v>45947</v>
      </c>
      <c r="AC54" s="45"/>
      <c r="AD54" s="36"/>
      <c r="AE54" s="36" t="str">
        <f>VLOOKUP(H54,名称!A:D,4,0)</f>
        <v>印尼</v>
      </c>
      <c r="AF54" s="36"/>
      <c r="AG54" s="46"/>
      <c r="AH54" s="46"/>
      <c r="AI54" s="36"/>
      <c r="AJ54" s="36"/>
      <c r="AK54" s="36"/>
      <c r="AL54" s="36"/>
      <c r="AM54" s="36"/>
      <c r="AN54" s="36" t="s">
        <v>294</v>
      </c>
      <c r="AO54" s="47">
        <f t="shared" si="13"/>
        <v>55</v>
      </c>
      <c r="AP54" s="47">
        <f t="shared" si="14"/>
        <v>45950</v>
      </c>
    </row>
    <row r="55" s="9" customFormat="1" customHeight="1" spans="1:42">
      <c r="A55" s="36">
        <v>45947</v>
      </c>
      <c r="B55" s="36" t="str">
        <f ca="1" t="shared" si="16"/>
        <v>未</v>
      </c>
      <c r="C55" s="37"/>
      <c r="D55" s="37"/>
      <c r="E55" s="37"/>
      <c r="F55" s="38" t="s">
        <v>177</v>
      </c>
      <c r="G55" s="39"/>
      <c r="H55" s="38" t="s">
        <v>20</v>
      </c>
      <c r="I55" s="40" t="str">
        <f>VLOOKUP(H55,名称!A:C,2,0)</f>
        <v>挖土机</v>
      </c>
      <c r="J55" s="41">
        <v>0</v>
      </c>
      <c r="K55" s="40">
        <f>VLOOKUP(H55,名称!A:D,3,0)</f>
        <v>2</v>
      </c>
      <c r="L55" s="42">
        <f t="shared" si="8"/>
        <v>0</v>
      </c>
      <c r="M55" s="36"/>
      <c r="N55" s="36"/>
      <c r="O55" s="36"/>
      <c r="P55" s="36"/>
      <c r="Q55" s="36"/>
      <c r="R55" s="38"/>
      <c r="S55" s="38"/>
      <c r="T55" s="43"/>
      <c r="U55" s="36"/>
      <c r="V55" s="48"/>
      <c r="W55" s="48"/>
      <c r="X55" s="42" t="s">
        <v>296</v>
      </c>
      <c r="Y55" s="44"/>
      <c r="Z55" s="44">
        <f t="shared" si="11"/>
        <v>0</v>
      </c>
      <c r="AA55" s="44">
        <f t="shared" si="12"/>
        <v>0</v>
      </c>
      <c r="AB55" s="51"/>
      <c r="AC55" s="45"/>
      <c r="AD55" s="36"/>
      <c r="AE55" s="36" t="str">
        <f>VLOOKUP(H55,名称!A:D,4,0)</f>
        <v>印尼</v>
      </c>
      <c r="AF55" s="36"/>
      <c r="AG55" s="46"/>
      <c r="AH55" s="46"/>
      <c r="AI55" s="36"/>
      <c r="AJ55" s="36"/>
      <c r="AK55" s="36"/>
      <c r="AL55" s="36"/>
      <c r="AM55" s="36"/>
      <c r="AN55" s="36"/>
      <c r="AO55" s="47">
        <f t="shared" si="13"/>
        <v>-45947</v>
      </c>
      <c r="AP55" s="47">
        <f t="shared" si="14"/>
        <v>0</v>
      </c>
    </row>
    <row r="56" s="9" customFormat="1" customHeight="1" spans="1:42">
      <c r="A56" s="36">
        <v>45937</v>
      </c>
      <c r="B56" s="36" t="s">
        <v>297</v>
      </c>
      <c r="C56" s="37"/>
      <c r="D56" s="37"/>
      <c r="E56" s="37"/>
      <c r="F56" s="38" t="s">
        <v>251</v>
      </c>
      <c r="G56" s="39"/>
      <c r="H56" s="38" t="s">
        <v>48</v>
      </c>
      <c r="I56" s="40" t="s">
        <v>286</v>
      </c>
      <c r="J56" s="41">
        <v>0</v>
      </c>
      <c r="K56" s="40">
        <f>VLOOKUP(H56,名称!A:D,3,0)</f>
        <v>4</v>
      </c>
      <c r="L56" s="42">
        <v>997</v>
      </c>
      <c r="M56" s="36">
        <v>45981</v>
      </c>
      <c r="N56" s="36">
        <v>45979</v>
      </c>
      <c r="O56" s="36"/>
      <c r="P56" s="36"/>
      <c r="Q56" s="36"/>
      <c r="R56" s="38"/>
      <c r="S56" s="38"/>
      <c r="T56" s="43"/>
      <c r="U56" s="36"/>
      <c r="V56" s="48"/>
      <c r="W56" s="48"/>
      <c r="X56" s="42"/>
      <c r="Y56" s="44"/>
      <c r="Z56" s="44">
        <v>0</v>
      </c>
      <c r="AA56" s="44">
        <v>0</v>
      </c>
      <c r="AB56" s="51"/>
      <c r="AC56" s="45"/>
      <c r="AD56" s="36"/>
      <c r="AE56" s="36" t="s">
        <v>12</v>
      </c>
      <c r="AF56" s="36"/>
      <c r="AG56" s="46"/>
      <c r="AH56" s="46"/>
      <c r="AI56" s="36"/>
      <c r="AJ56" s="36"/>
      <c r="AK56" s="36"/>
      <c r="AL56" s="36"/>
      <c r="AM56" s="36"/>
      <c r="AN56" s="36"/>
      <c r="AO56" s="47">
        <v>42</v>
      </c>
      <c r="AP56" s="47">
        <v>45979</v>
      </c>
    </row>
    <row r="57" s="9" customFormat="1" customHeight="1" spans="1:42">
      <c r="A57" s="36">
        <v>45947</v>
      </c>
      <c r="B57" s="36" t="str">
        <f ca="1">IF(TODAY()&gt;=A57,IF(R57="","未",""),"")</f>
        <v>未</v>
      </c>
      <c r="C57" s="37"/>
      <c r="D57" s="37"/>
      <c r="E57" s="37"/>
      <c r="F57" s="38" t="s">
        <v>177</v>
      </c>
      <c r="G57" s="39"/>
      <c r="H57" s="38" t="s">
        <v>39</v>
      </c>
      <c r="I57" s="40" t="str">
        <f>VLOOKUP(H57,名称!A:C,2,0)</f>
        <v>1:16货柜车</v>
      </c>
      <c r="J57" s="41">
        <v>2500</v>
      </c>
      <c r="K57" s="40">
        <f>VLOOKUP(H57,名称!A:D,3,0)</f>
        <v>2</v>
      </c>
      <c r="L57" s="42">
        <f>J57/K57</f>
        <v>1250</v>
      </c>
      <c r="M57" s="36"/>
      <c r="N57" s="36"/>
      <c r="O57" s="36"/>
      <c r="P57" s="36"/>
      <c r="Q57" s="36"/>
      <c r="R57" s="38"/>
      <c r="S57" s="38"/>
      <c r="T57" s="43"/>
      <c r="U57" s="36"/>
      <c r="V57" s="48"/>
      <c r="W57" s="48" t="s">
        <v>298</v>
      </c>
      <c r="X57" s="42" t="s">
        <v>296</v>
      </c>
      <c r="Y57" s="44"/>
      <c r="Z57" s="44">
        <f>J57*Y57</f>
        <v>0</v>
      </c>
      <c r="AA57" s="44">
        <f>Z57*7.75</f>
        <v>0</v>
      </c>
      <c r="AB57" s="51"/>
      <c r="AC57" s="45"/>
      <c r="AD57" s="36"/>
      <c r="AE57" s="36" t="str">
        <f>VLOOKUP(H57,名称!A:D,4,0)</f>
        <v>印尼</v>
      </c>
      <c r="AF57" s="36"/>
      <c r="AG57" s="46"/>
      <c r="AH57" s="46"/>
      <c r="AI57" s="36"/>
      <c r="AJ57" s="36"/>
      <c r="AK57" s="36"/>
      <c r="AL57" s="36"/>
      <c r="AM57" s="36"/>
      <c r="AN57" s="36">
        <v>45996</v>
      </c>
      <c r="AO57" s="47">
        <f>M57-A57</f>
        <v>-45947</v>
      </c>
      <c r="AP57" s="47">
        <f>M57-AI57</f>
        <v>0</v>
      </c>
    </row>
    <row r="58" s="9" customFormat="1" customHeight="1" spans="1:42">
      <c r="A58" s="36">
        <v>45975</v>
      </c>
      <c r="B58" s="36" t="str">
        <f ca="1">IF(TODAY()&gt;=A58,IF(R58="","未",""),"")</f>
        <v>未</v>
      </c>
      <c r="C58" s="37" t="s">
        <v>232</v>
      </c>
      <c r="D58" s="37" t="s">
        <v>275</v>
      </c>
      <c r="E58" s="37" t="s">
        <v>233</v>
      </c>
      <c r="F58" s="38">
        <v>10114976</v>
      </c>
      <c r="G58" s="39">
        <v>202531670068</v>
      </c>
      <c r="H58" s="38" t="s">
        <v>108</v>
      </c>
      <c r="I58" s="40" t="str">
        <f>VLOOKUP(H58,名称!A:C,2,0)</f>
        <v>农场女孩套装</v>
      </c>
      <c r="J58" s="41">
        <v>2000</v>
      </c>
      <c r="K58" s="40">
        <f>VLOOKUP(H58,名称!A:D,3,0)</f>
        <v>4</v>
      </c>
      <c r="L58" s="42">
        <f>J58/K58</f>
        <v>500</v>
      </c>
      <c r="M58" s="36">
        <v>46099</v>
      </c>
      <c r="N58" s="36">
        <f>M58-2</f>
        <v>46097</v>
      </c>
      <c r="O58" s="36"/>
      <c r="P58" s="36" t="s">
        <v>299</v>
      </c>
      <c r="Q58" s="36" t="s">
        <v>239</v>
      </c>
      <c r="R58" s="38"/>
      <c r="S58" s="38"/>
      <c r="T58" s="43"/>
      <c r="U58" s="36"/>
      <c r="V58" s="48"/>
      <c r="W58" s="48"/>
      <c r="X58" s="42"/>
      <c r="Y58" s="44">
        <v>4.96</v>
      </c>
      <c r="Z58" s="44">
        <f>J58*Y58</f>
        <v>9920</v>
      </c>
      <c r="AA58" s="44">
        <f>Z58*7.75</f>
        <v>76880</v>
      </c>
      <c r="AB58" s="51">
        <v>46010</v>
      </c>
      <c r="AC58" s="45"/>
      <c r="AD58" s="36"/>
      <c r="AE58" s="36" t="str">
        <f>VLOOKUP(H58,名称!A:D,4,0)</f>
        <v>印尼</v>
      </c>
      <c r="AF58" s="36"/>
      <c r="AG58" s="46"/>
      <c r="AH58" s="46"/>
      <c r="AI58" s="36"/>
      <c r="AJ58" s="36"/>
      <c r="AK58" s="36"/>
      <c r="AL58" s="36"/>
      <c r="AM58" s="36"/>
      <c r="AN58" s="36"/>
      <c r="AO58" s="47">
        <f>M58-A58</f>
        <v>124</v>
      </c>
      <c r="AP58" s="47">
        <f>M58-AI58</f>
        <v>46099</v>
      </c>
    </row>
    <row r="59" s="8" customFormat="1" customHeight="1" spans="1:42">
      <c r="A59" s="52"/>
      <c r="B59" s="52"/>
      <c r="C59" s="53"/>
      <c r="D59" s="53"/>
      <c r="E59" s="53"/>
      <c r="F59" s="24"/>
      <c r="G59" s="54"/>
      <c r="H59" s="24"/>
      <c r="I59" s="26"/>
      <c r="J59" s="25"/>
      <c r="K59" s="26"/>
      <c r="L59" s="27"/>
      <c r="M59" s="52"/>
      <c r="N59" s="52"/>
      <c r="O59" s="52"/>
      <c r="P59" s="52"/>
      <c r="Q59" s="52"/>
      <c r="R59" s="24"/>
      <c r="S59" s="24"/>
      <c r="T59" s="22"/>
      <c r="U59" s="52"/>
      <c r="V59" s="24"/>
      <c r="W59" s="24"/>
      <c r="X59" s="27"/>
      <c r="Y59" s="55"/>
      <c r="Z59" s="55">
        <f>J59*Y59</f>
        <v>0</v>
      </c>
      <c r="AA59" s="55">
        <f>Z59*7.75</f>
        <v>0</v>
      </c>
      <c r="AB59" s="56"/>
      <c r="AC59" s="56"/>
      <c r="AD59" s="52"/>
      <c r="AE59" s="52"/>
      <c r="AF59" s="52"/>
      <c r="AG59" s="57"/>
      <c r="AH59" s="57"/>
      <c r="AI59" s="52"/>
      <c r="AJ59" s="52"/>
      <c r="AK59" s="52"/>
      <c r="AL59" s="52"/>
      <c r="AM59" s="52"/>
      <c r="AN59" s="52"/>
      <c r="AO59" s="58">
        <f>M59-A59</f>
        <v>0</v>
      </c>
      <c r="AP59" s="58">
        <f>M59-AI59</f>
        <v>0</v>
      </c>
    </row>
    <row r="60" s="8" customFormat="1" customHeight="1" spans="1:42">
      <c r="A60" s="52"/>
      <c r="B60" s="52"/>
      <c r="C60" s="53"/>
      <c r="D60" s="53"/>
      <c r="E60" s="53"/>
      <c r="F60" s="24"/>
      <c r="G60" s="54"/>
      <c r="H60" s="24"/>
      <c r="I60" s="26"/>
      <c r="J60" s="25"/>
      <c r="K60" s="26"/>
      <c r="L60" s="27"/>
      <c r="M60" s="52"/>
      <c r="N60" s="52"/>
      <c r="O60" s="52"/>
      <c r="P60" s="52"/>
      <c r="Q60" s="52"/>
      <c r="R60" s="24"/>
      <c r="S60" s="24"/>
      <c r="T60" s="22"/>
      <c r="U60" s="52"/>
      <c r="V60" s="24"/>
      <c r="W60" s="24"/>
      <c r="X60" s="27"/>
      <c r="Y60" s="55"/>
      <c r="Z60" s="55">
        <f>J60*Y60</f>
        <v>0</v>
      </c>
      <c r="AA60" s="55">
        <f>Z60*7.75</f>
        <v>0</v>
      </c>
      <c r="AB60" s="56"/>
      <c r="AC60" s="56"/>
      <c r="AD60" s="52"/>
      <c r="AE60" s="52"/>
      <c r="AF60" s="52"/>
      <c r="AG60" s="57"/>
      <c r="AH60" s="57"/>
      <c r="AI60" s="52"/>
      <c r="AJ60" s="52"/>
      <c r="AK60" s="52"/>
      <c r="AL60" s="52"/>
      <c r="AM60" s="52"/>
      <c r="AN60" s="52"/>
      <c r="AO60" s="58">
        <f>M60-A60</f>
        <v>0</v>
      </c>
      <c r="AP60" s="58">
        <f>M60-AI60</f>
        <v>0</v>
      </c>
    </row>
    <row r="61" s="8" customFormat="1" customHeight="1" spans="1:42">
      <c r="A61" s="52"/>
      <c r="B61" s="52"/>
      <c r="C61" s="53"/>
      <c r="D61" s="53"/>
      <c r="E61" s="53"/>
      <c r="F61" s="24"/>
      <c r="G61" s="54"/>
      <c r="H61" s="24"/>
      <c r="I61" s="26"/>
      <c r="J61" s="25"/>
      <c r="K61" s="26"/>
      <c r="L61" s="27"/>
      <c r="M61" s="52"/>
      <c r="N61" s="52"/>
      <c r="O61" s="52"/>
      <c r="P61" s="52"/>
      <c r="Q61" s="52"/>
      <c r="R61" s="24"/>
      <c r="S61" s="24"/>
      <c r="T61" s="22"/>
      <c r="U61" s="52"/>
      <c r="V61" s="24"/>
      <c r="W61" s="24"/>
      <c r="X61" s="27"/>
      <c r="Y61" s="55"/>
      <c r="Z61" s="55">
        <f>J61*Y61</f>
        <v>0</v>
      </c>
      <c r="AA61" s="55">
        <f>Z61*7.75</f>
        <v>0</v>
      </c>
      <c r="AB61" s="56"/>
      <c r="AC61" s="56"/>
      <c r="AD61" s="52"/>
      <c r="AE61" s="52"/>
      <c r="AF61" s="52"/>
      <c r="AG61" s="57"/>
      <c r="AH61" s="57"/>
      <c r="AI61" s="52"/>
      <c r="AJ61" s="52"/>
      <c r="AK61" s="52"/>
      <c r="AL61" s="52"/>
      <c r="AM61" s="52"/>
      <c r="AN61" s="52"/>
      <c r="AO61" s="58">
        <f>M61-A61</f>
        <v>0</v>
      </c>
      <c r="AP61" s="58">
        <f>M61-AI61</f>
        <v>0</v>
      </c>
    </row>
    <row r="62" s="10" customFormat="1" customHeight="1" spans="1:42">
      <c r="A62" s="59"/>
      <c r="B62" s="59"/>
      <c r="C62" s="24"/>
      <c r="D62" s="24"/>
      <c r="E62" s="24"/>
      <c r="F62" s="24"/>
      <c r="G62" s="54"/>
      <c r="H62" s="24"/>
      <c r="I62" s="24" t="s">
        <v>228</v>
      </c>
      <c r="J62" s="27">
        <f>SUM(J2:J61)</f>
        <v>40584</v>
      </c>
      <c r="K62" s="60"/>
      <c r="L62" s="60"/>
      <c r="M62" s="59"/>
      <c r="N62" s="59"/>
      <c r="O62" s="59"/>
      <c r="P62" s="59"/>
      <c r="Q62" s="59"/>
      <c r="R62" s="24"/>
      <c r="S62" s="24"/>
      <c r="T62" s="31"/>
      <c r="U62" s="59"/>
      <c r="V62" s="24"/>
      <c r="W62" s="24"/>
      <c r="X62" s="28"/>
      <c r="Y62" s="29"/>
      <c r="Z62" s="29">
        <f>SUM(Z2:Z61)</f>
        <v>80492.58</v>
      </c>
      <c r="AA62" s="29">
        <f>SUM(AA2:AA61)</f>
        <v>623817.5</v>
      </c>
      <c r="AB62" s="61"/>
      <c r="AC62" s="61"/>
      <c r="AD62" s="59"/>
      <c r="AE62" s="59"/>
      <c r="AF62" s="59"/>
      <c r="AG62" s="62"/>
      <c r="AH62" s="62"/>
      <c r="AI62" s="59"/>
      <c r="AJ62" s="59"/>
      <c r="AK62" s="59"/>
      <c r="AL62" s="59"/>
      <c r="AM62" s="59"/>
      <c r="AN62" s="59"/>
      <c r="AO62" s="27"/>
      <c r="AP62" s="58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P62" etc:filterBottomFollowUsedRange="0">
    <extLst/>
  </autoFilter>
  <pageMargins left="0.196527777777778" right="0.161111111111111" top="0.0152777777777778" bottom="0.2125" header="0.5" footer="0.5"/>
  <pageSetup paperSize="9" scale="36" fitToHeight="0" orientation="landscape" horizontalDpi="600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topLeftCell="A34" workbookViewId="0">
      <selection activeCell="F41" sqref="F41"/>
    </sheetView>
  </sheetViews>
  <sheetFormatPr defaultColWidth="9" defaultRowHeight="15.75"/>
  <cols>
    <col min="1" max="1" width="9" style="1"/>
    <col min="2" max="5" width="9" style="2"/>
    <col min="6" max="6" width="11.5" style="2"/>
    <col min="7" max="7" width="10.375" style="2"/>
    <col min="8" max="8" width="11.5" style="2"/>
    <col min="9" max="9" width="11.125" style="2"/>
    <col min="10" max="16384" width="9" style="2"/>
  </cols>
  <sheetData>
    <row r="1" spans="1:9">
      <c r="A1" s="1" t="s">
        <v>300</v>
      </c>
      <c r="B1" s="3" t="s">
        <v>301</v>
      </c>
      <c r="C1" s="3" t="s">
        <v>302</v>
      </c>
      <c r="D1" s="3" t="s">
        <v>303</v>
      </c>
      <c r="E1" s="4" t="s">
        <v>304</v>
      </c>
      <c r="F1" s="5" t="s">
        <v>301</v>
      </c>
      <c r="G1" s="5" t="s">
        <v>302</v>
      </c>
      <c r="H1" s="5" t="s">
        <v>303</v>
      </c>
      <c r="I1" s="6" t="s">
        <v>304</v>
      </c>
    </row>
    <row r="2" spans="1:9">
      <c r="A2" s="1">
        <v>47669</v>
      </c>
      <c r="B2" s="3">
        <f ca="1">SUMIF(总接单!E:EF,A2,总接单!F:F)</f>
        <v>0</v>
      </c>
      <c r="C2" s="3">
        <f>SUMIF(总排期!H:H,A2,总排期!J:J)</f>
        <v>0</v>
      </c>
      <c r="D2" s="3">
        <f>SUMIF(已走货!H:H,A2,已走货!J:J)</f>
        <v>0</v>
      </c>
      <c r="E2" s="4">
        <f ca="1">B2-C2-D2</f>
        <v>0</v>
      </c>
      <c r="F2" s="5">
        <f>SUMIF(总接单!E:E,A2,总接单!CG:CG)</f>
        <v>0</v>
      </c>
      <c r="G2" s="5">
        <f>SUMIF(总排期!H:H,A2,总排期!AA:AA)</f>
        <v>0</v>
      </c>
      <c r="H2" s="5">
        <f>SUMIF(已走货!H:H,A2,已走货!AA:AA)</f>
        <v>0</v>
      </c>
      <c r="I2" s="6">
        <f>F2-G2-H2</f>
        <v>0</v>
      </c>
    </row>
    <row r="3" spans="1:9">
      <c r="A3" s="1">
        <v>47674</v>
      </c>
      <c r="B3" s="3">
        <f ca="1">SUMIF(总接单!E:EF,A3,总接单!F:F)</f>
        <v>47682</v>
      </c>
      <c r="C3" s="3">
        <f>SUMIF(总排期!H:H,A3,总排期!J:J)</f>
        <v>0</v>
      </c>
      <c r="D3" s="3">
        <f>SUMIF(已走货!H:H,A3,已走货!J:J)</f>
        <v>0</v>
      </c>
      <c r="E3" s="4">
        <f ca="1">B3-C3-D3</f>
        <v>47682</v>
      </c>
      <c r="F3" s="5">
        <f>SUMIF(总接单!E:E,A3,总接单!CG:CG)</f>
        <v>0</v>
      </c>
      <c r="G3" s="5">
        <f>SUMIF(总排期!H:H,A3,总排期!AA:AA)</f>
        <v>0</v>
      </c>
      <c r="H3" s="5">
        <f>SUMIF(已走货!H:H,A3,已走货!AA:AA)</f>
        <v>0</v>
      </c>
      <c r="I3" s="6">
        <f t="shared" ref="I3:I34" si="0">F3-G3-H3</f>
        <v>0</v>
      </c>
    </row>
    <row r="4" ht="31.5" spans="1:9">
      <c r="A4" s="143" t="s">
        <v>133</v>
      </c>
      <c r="B4" s="3">
        <f ca="1">SUMIF(总接单!E:EF,A4,总接单!F:F)</f>
        <v>0</v>
      </c>
      <c r="C4" s="3">
        <f>SUMIF(总排期!H:H,A4,总排期!J:J)</f>
        <v>0</v>
      </c>
      <c r="D4" s="3">
        <f>SUMIF(已走货!H:H,A4,已走货!J:J)</f>
        <v>0</v>
      </c>
      <c r="E4" s="4">
        <f ca="1" t="shared" ref="E3:E34" si="1">B4-C4-D4</f>
        <v>0</v>
      </c>
      <c r="F4" s="5">
        <f>SUMIF(总接单!E:E,A4,总接单!CG:CG)</f>
        <v>0</v>
      </c>
      <c r="G4" s="5">
        <f>SUMIF(总排期!H:H,A4,总排期!AA:AA)</f>
        <v>0</v>
      </c>
      <c r="H4" s="5">
        <f>SUMIF(已走货!H:H,A4,已走货!AA:AA)</f>
        <v>0</v>
      </c>
      <c r="I4" s="6">
        <f t="shared" si="0"/>
        <v>0</v>
      </c>
    </row>
    <row r="5" spans="1:9">
      <c r="A5" s="1" t="s">
        <v>20</v>
      </c>
      <c r="B5" s="3">
        <f ca="1">SUMIF(总接单!E:EF,A5,总接单!F:F)</f>
        <v>0</v>
      </c>
      <c r="C5" s="3">
        <f>SUMIF(总排期!H:H,A5,总排期!J:J)</f>
        <v>0</v>
      </c>
      <c r="D5" s="3">
        <f>SUMIF(已走货!H:H,A5,已走货!J:J)</f>
        <v>0</v>
      </c>
      <c r="E5" s="4">
        <f ca="1" t="shared" si="1"/>
        <v>0</v>
      </c>
      <c r="F5" s="5">
        <f>SUMIF(总接单!E:E,A5,总接单!CG:CG)</f>
        <v>0</v>
      </c>
      <c r="G5" s="5">
        <f>SUMIF(总排期!H:H,A5,总排期!AA:AA)</f>
        <v>0</v>
      </c>
      <c r="H5" s="5">
        <f>SUMIF(已走货!H:H,A5,已走货!AA:AA)</f>
        <v>0</v>
      </c>
      <c r="I5" s="6">
        <f t="shared" si="0"/>
        <v>0</v>
      </c>
    </row>
    <row r="6" spans="1:9">
      <c r="A6" s="1" t="s">
        <v>29</v>
      </c>
      <c r="B6" s="3">
        <f ca="1">SUMIF(总接单!E:EF,A6,总接单!F:F)</f>
        <v>0</v>
      </c>
      <c r="C6" s="3">
        <f>SUMIF(总排期!H:H,A6,总排期!J:J)</f>
        <v>0</v>
      </c>
      <c r="D6" s="3">
        <f>SUMIF(已走货!H:H,A6,已走货!J:J)</f>
        <v>0</v>
      </c>
      <c r="E6" s="4">
        <f ca="1" t="shared" si="1"/>
        <v>0</v>
      </c>
      <c r="F6" s="5">
        <f>SUMIF(总接单!E:E,A6,总接单!CG:CG)</f>
        <v>0</v>
      </c>
      <c r="G6" s="5">
        <f>SUMIF(总排期!H:H,A6,总排期!AA:AA)</f>
        <v>0</v>
      </c>
      <c r="H6" s="5">
        <f>SUMIF(已走货!H:H,A6,已走货!AA:AA)</f>
        <v>0</v>
      </c>
      <c r="I6" s="6">
        <f t="shared" si="0"/>
        <v>0</v>
      </c>
    </row>
    <row r="7" spans="1:9">
      <c r="A7" s="1" t="s">
        <v>31</v>
      </c>
      <c r="B7" s="3">
        <f ca="1">SUMIF(总接单!E:EF,A7,总接单!F:F)</f>
        <v>0</v>
      </c>
      <c r="C7" s="3">
        <f>SUMIF(总排期!H:H,A7,总排期!J:J)</f>
        <v>0</v>
      </c>
      <c r="D7" s="3">
        <f>SUMIF(已走货!H:H,A7,已走货!J:J)</f>
        <v>0</v>
      </c>
      <c r="E7" s="4">
        <f ca="1" t="shared" si="1"/>
        <v>0</v>
      </c>
      <c r="F7" s="5">
        <f>SUMIF(总接单!E:E,A7,总接单!CG:CG)</f>
        <v>0</v>
      </c>
      <c r="G7" s="5">
        <f>SUMIF(总排期!H:H,A7,总排期!AA:AA)</f>
        <v>0</v>
      </c>
      <c r="H7" s="5">
        <f>SUMIF(已走货!H:H,A7,已走货!AA:AA)</f>
        <v>0</v>
      </c>
      <c r="I7" s="6">
        <f t="shared" si="0"/>
        <v>0</v>
      </c>
    </row>
    <row r="8" spans="1:9">
      <c r="A8" s="7" t="s">
        <v>127</v>
      </c>
      <c r="B8" s="3">
        <f ca="1">SUMIF(总接单!E:EF,A8,总接单!F:F)</f>
        <v>0</v>
      </c>
      <c r="C8" s="3">
        <f>SUMIF(总排期!H:H,A8,总排期!J:J)</f>
        <v>0</v>
      </c>
      <c r="D8" s="3">
        <f>SUMIF(已走货!H:H,A8,已走货!J:J)</f>
        <v>0</v>
      </c>
      <c r="E8" s="4">
        <f ca="1" t="shared" si="1"/>
        <v>0</v>
      </c>
      <c r="F8" s="5">
        <f>SUMIF(总接单!E:E,A8,总接单!CG:CG)</f>
        <v>0</v>
      </c>
      <c r="G8" s="5">
        <f>SUMIF(总排期!H:H,A8,总排期!AA:AA)</f>
        <v>0</v>
      </c>
      <c r="H8" s="5">
        <f>SUMIF(已走货!H:H,A8,已走货!AA:AA)</f>
        <v>0</v>
      </c>
      <c r="I8" s="6">
        <f t="shared" si="0"/>
        <v>0</v>
      </c>
    </row>
    <row r="9" spans="1:9">
      <c r="A9" s="1" t="s">
        <v>35</v>
      </c>
      <c r="B9" s="3">
        <f ca="1">SUMIF(总接单!E:EF,A9,总接单!F:F)</f>
        <v>0</v>
      </c>
      <c r="C9" s="3">
        <f>SUMIF(总排期!H:H,A9,总排期!J:J)</f>
        <v>0</v>
      </c>
      <c r="D9" s="3">
        <f>SUMIF(已走货!H:H,A9,已走货!J:J)</f>
        <v>0</v>
      </c>
      <c r="E9" s="4">
        <f ca="1" t="shared" si="1"/>
        <v>0</v>
      </c>
      <c r="F9" s="5">
        <f>SUMIF(总接单!E:E,A9,总接单!CG:CG)</f>
        <v>0</v>
      </c>
      <c r="G9" s="5">
        <f>SUMIF(总排期!H:H,A9,总排期!AA:AA)</f>
        <v>0</v>
      </c>
      <c r="H9" s="5">
        <f>SUMIF(已走货!H:H,A9,已走货!AA:AA)</f>
        <v>0</v>
      </c>
      <c r="I9" s="6">
        <f t="shared" si="0"/>
        <v>0</v>
      </c>
    </row>
    <row r="10" spans="1:9">
      <c r="A10" s="1" t="s">
        <v>87</v>
      </c>
      <c r="B10" s="3">
        <f ca="1">SUMIF(总接单!E:EF,A10,总接单!F:F)</f>
        <v>0</v>
      </c>
      <c r="C10" s="3">
        <f>SUMIF(总排期!H:H,A10,总排期!J:J)</f>
        <v>0</v>
      </c>
      <c r="D10" s="3">
        <f>SUMIF(已走货!H:H,A10,已走货!J:J)</f>
        <v>0</v>
      </c>
      <c r="E10" s="4">
        <f ca="1" t="shared" si="1"/>
        <v>0</v>
      </c>
      <c r="F10" s="5">
        <f>SUMIF(总接单!E:E,A10,总接单!CG:CG)</f>
        <v>0</v>
      </c>
      <c r="G10" s="5">
        <f>SUMIF(总排期!H:H,A10,总排期!AA:AA)</f>
        <v>0</v>
      </c>
      <c r="H10" s="5">
        <f>SUMIF(已走货!H:H,A10,已走货!AA:AA)</f>
        <v>0</v>
      </c>
      <c r="I10" s="6">
        <f t="shared" si="0"/>
        <v>0</v>
      </c>
    </row>
    <row r="11" spans="1:9">
      <c r="A11" s="1" t="s">
        <v>37</v>
      </c>
      <c r="B11" s="3">
        <f ca="1">SUMIF(总接单!E:EF,A11,总接单!F:F)</f>
        <v>0</v>
      </c>
      <c r="C11" s="3">
        <f>SUMIF(总排期!H:H,A11,总排期!J:J)</f>
        <v>0</v>
      </c>
      <c r="D11" s="3">
        <f>SUMIF(已走货!H:H,A11,已走货!J:J)</f>
        <v>0</v>
      </c>
      <c r="E11" s="4">
        <f ca="1" t="shared" si="1"/>
        <v>0</v>
      </c>
      <c r="F11" s="5">
        <f>SUMIF(总接单!E:E,A11,总接单!CG:CG)</f>
        <v>0</v>
      </c>
      <c r="G11" s="5">
        <f>SUMIF(总排期!H:H,A11,总排期!AA:AA)</f>
        <v>0</v>
      </c>
      <c r="H11" s="5">
        <f>SUMIF(已走货!H:H,A11,已走货!AA:AA)</f>
        <v>0</v>
      </c>
      <c r="I11" s="6">
        <f t="shared" si="0"/>
        <v>0</v>
      </c>
    </row>
    <row r="12" spans="1:9">
      <c r="A12" s="1" t="s">
        <v>39</v>
      </c>
      <c r="B12" s="3">
        <f ca="1">SUMIF(总接单!E:EF,A12,总接单!F:F)</f>
        <v>0</v>
      </c>
      <c r="C12" s="3">
        <f>SUMIF(总排期!H:H,A12,总排期!J:J)</f>
        <v>0</v>
      </c>
      <c r="D12" s="3">
        <f>SUMIF(已走货!H:H,A12,已走货!J:J)</f>
        <v>0</v>
      </c>
      <c r="E12" s="4">
        <f ca="1" t="shared" si="1"/>
        <v>0</v>
      </c>
      <c r="F12" s="5">
        <f>SUMIF(总接单!E:E,A12,总接单!CG:CG)</f>
        <v>0</v>
      </c>
      <c r="G12" s="5">
        <f>SUMIF(总排期!H:H,A12,总排期!AA:AA)</f>
        <v>0</v>
      </c>
      <c r="H12" s="5">
        <f>SUMIF(已走货!H:H,A12,已走货!AA:AA)</f>
        <v>0</v>
      </c>
      <c r="I12" s="6">
        <f t="shared" si="0"/>
        <v>0</v>
      </c>
    </row>
    <row r="13" spans="1:9">
      <c r="A13" s="1" t="s">
        <v>41</v>
      </c>
      <c r="B13" s="3">
        <f ca="1">SUMIF(总接单!E:EF,A13,总接单!F:F)</f>
        <v>0</v>
      </c>
      <c r="C13" s="3">
        <f>SUMIF(总排期!H:H,A13,总排期!J:J)</f>
        <v>0</v>
      </c>
      <c r="D13" s="3">
        <f>SUMIF(已走货!H:H,A13,已走货!J:J)</f>
        <v>0</v>
      </c>
      <c r="E13" s="4">
        <f ca="1" t="shared" si="1"/>
        <v>0</v>
      </c>
      <c r="F13" s="5">
        <f>SUMIF(总接单!E:E,A13,总接单!CG:CG)</f>
        <v>0</v>
      </c>
      <c r="G13" s="5">
        <f>SUMIF(总排期!H:H,A13,总排期!AA:AA)</f>
        <v>0</v>
      </c>
      <c r="H13" s="5">
        <f>SUMIF(已走货!H:H,A13,已走货!AA:AA)</f>
        <v>0</v>
      </c>
      <c r="I13" s="6">
        <f t="shared" si="0"/>
        <v>0</v>
      </c>
    </row>
    <row r="14" ht="31.5" spans="1:9">
      <c r="A14" s="1" t="s">
        <v>43</v>
      </c>
      <c r="B14" s="3">
        <f ca="1">SUMIF(总接单!E:EF,A14,总接单!F:F)</f>
        <v>0</v>
      </c>
      <c r="C14" s="3">
        <f>SUMIF(总排期!H:H,A14,总排期!J:J)</f>
        <v>0</v>
      </c>
      <c r="D14" s="3">
        <f>SUMIF(已走货!H:H,A14,已走货!J:J)</f>
        <v>0</v>
      </c>
      <c r="E14" s="4">
        <f ca="1" t="shared" si="1"/>
        <v>0</v>
      </c>
      <c r="F14" s="5">
        <f>SUMIF(总接单!E:E,A14,总接单!CG:CG)</f>
        <v>0</v>
      </c>
      <c r="G14" s="5">
        <f>SUMIF(总排期!H:H,A14,总排期!AA:AA)</f>
        <v>0</v>
      </c>
      <c r="H14" s="5">
        <f>SUMIF(已走货!H:H,A14,已走货!AA:AA)</f>
        <v>0</v>
      </c>
      <c r="I14" s="6">
        <f t="shared" si="0"/>
        <v>0</v>
      </c>
    </row>
    <row r="15" spans="1:9">
      <c r="A15" s="1" t="s">
        <v>44</v>
      </c>
      <c r="B15" s="3">
        <f ca="1">SUMIF(总接单!E:EF,A15,总接单!F:F)</f>
        <v>0</v>
      </c>
      <c r="C15" s="3">
        <f>SUMIF(总排期!H:H,A15,总排期!J:J)</f>
        <v>0</v>
      </c>
      <c r="D15" s="3">
        <f>SUMIF(已走货!H:H,A15,已走货!J:J)</f>
        <v>0</v>
      </c>
      <c r="E15" s="4">
        <f ca="1" t="shared" si="1"/>
        <v>0</v>
      </c>
      <c r="F15" s="5">
        <f>SUMIF(总接单!E:E,A15,总接单!CG:CG)</f>
        <v>0</v>
      </c>
      <c r="G15" s="5">
        <f>SUMIF(总排期!H:H,A15,总排期!AA:AA)</f>
        <v>0</v>
      </c>
      <c r="H15" s="5">
        <f>SUMIF(已走货!H:H,A15,已走货!AA:AA)</f>
        <v>0</v>
      </c>
      <c r="I15" s="6">
        <f t="shared" si="0"/>
        <v>0</v>
      </c>
    </row>
    <row r="16" ht="31.5" spans="1:9">
      <c r="A16" s="1" t="s">
        <v>45</v>
      </c>
      <c r="B16" s="3">
        <f ca="1">SUMIF(总接单!E:EF,A16,总接单!F:F)</f>
        <v>0</v>
      </c>
      <c r="C16" s="3">
        <f>SUMIF(总排期!H:H,A16,总排期!J:J)</f>
        <v>0</v>
      </c>
      <c r="D16" s="3">
        <f>SUMIF(已走货!H:H,A16,已走货!J:J)</f>
        <v>0</v>
      </c>
      <c r="E16" s="4">
        <f ca="1" t="shared" si="1"/>
        <v>0</v>
      </c>
      <c r="F16" s="5">
        <f>SUMIF(总接单!E:E,A16,总接单!CG:CG)</f>
        <v>0</v>
      </c>
      <c r="G16" s="5">
        <f>SUMIF(总排期!H:H,A16,总排期!AA:AA)</f>
        <v>0</v>
      </c>
      <c r="H16" s="5">
        <f>SUMIF(已走货!H:H,A16,已走货!AA:AA)</f>
        <v>0</v>
      </c>
      <c r="I16" s="6">
        <f t="shared" si="0"/>
        <v>0</v>
      </c>
    </row>
    <row r="17" spans="1:9">
      <c r="A17" s="1" t="s">
        <v>110</v>
      </c>
      <c r="B17" s="3">
        <f ca="1">SUMIF(总接单!E:EF,A17,总接单!F:F)</f>
        <v>0</v>
      </c>
      <c r="C17" s="3">
        <f>SUMIF(总排期!H:H,A17,总排期!J:J)</f>
        <v>0</v>
      </c>
      <c r="D17" s="3">
        <f>SUMIF(已走货!H:H,A17,已走货!J:J)</f>
        <v>0</v>
      </c>
      <c r="E17" s="4">
        <f ca="1" t="shared" si="1"/>
        <v>0</v>
      </c>
      <c r="F17" s="5">
        <f>SUMIF(总接单!E:E,A17,总接单!CG:CG)</f>
        <v>0</v>
      </c>
      <c r="G17" s="5">
        <f>SUMIF(总排期!H:H,A17,总排期!AA:AA)</f>
        <v>0</v>
      </c>
      <c r="H17" s="5">
        <f>SUMIF(已走货!H:H,A17,已走货!AA:AA)</f>
        <v>0</v>
      </c>
      <c r="I17" s="6">
        <f t="shared" si="0"/>
        <v>0</v>
      </c>
    </row>
    <row r="18" spans="1:9">
      <c r="A18" s="1" t="s">
        <v>121</v>
      </c>
      <c r="B18" s="3">
        <f ca="1">SUMIF(总接单!E:EF,A18,总接单!F:F)</f>
        <v>0</v>
      </c>
      <c r="C18" s="3">
        <f>SUMIF(总排期!H:H,A18,总排期!J:J)</f>
        <v>0</v>
      </c>
      <c r="D18" s="3">
        <f>SUMIF(已走货!H:H,A18,已走货!J:J)</f>
        <v>0</v>
      </c>
      <c r="E18" s="4">
        <f ca="1" t="shared" si="1"/>
        <v>0</v>
      </c>
      <c r="F18" s="5">
        <f>SUMIF(总接单!E:E,A18,总接单!CG:CG)</f>
        <v>0</v>
      </c>
      <c r="G18" s="5">
        <f>SUMIF(总排期!H:H,A18,总排期!AA:AA)</f>
        <v>0</v>
      </c>
      <c r="H18" s="5">
        <f>SUMIF(已走货!H:H,A18,已走货!AA:AA)</f>
        <v>0</v>
      </c>
      <c r="I18" s="6">
        <f t="shared" si="0"/>
        <v>0</v>
      </c>
    </row>
    <row r="19" spans="1:9">
      <c r="A19" s="1" t="s">
        <v>112</v>
      </c>
      <c r="B19" s="3">
        <f ca="1">SUMIF(总接单!E:EF,A19,总接单!F:F)</f>
        <v>0</v>
      </c>
      <c r="C19" s="3">
        <f>SUMIF(总排期!H:H,A19,总排期!J:J)</f>
        <v>0</v>
      </c>
      <c r="D19" s="3">
        <f>SUMIF(已走货!H:H,A19,已走货!J:J)</f>
        <v>0</v>
      </c>
      <c r="E19" s="4">
        <f ca="1" t="shared" si="1"/>
        <v>0</v>
      </c>
      <c r="F19" s="5">
        <f>SUMIF(总接单!E:E,A19,总接单!CG:CG)</f>
        <v>0</v>
      </c>
      <c r="G19" s="5">
        <f>SUMIF(总排期!H:H,A19,总排期!AA:AA)</f>
        <v>0</v>
      </c>
      <c r="H19" s="5">
        <f>SUMIF(已走货!H:H,A19,已走货!AA:AA)</f>
        <v>0</v>
      </c>
      <c r="I19" s="6">
        <f t="shared" si="0"/>
        <v>0</v>
      </c>
    </row>
    <row r="20" spans="1:9">
      <c r="A20" s="1" t="s">
        <v>114</v>
      </c>
      <c r="B20" s="3">
        <f ca="1">SUMIF(总接单!E:EF,A20,总接单!F:F)</f>
        <v>0</v>
      </c>
      <c r="C20" s="3">
        <f>SUMIF(总排期!H:H,A20,总排期!J:J)</f>
        <v>0</v>
      </c>
      <c r="D20" s="3">
        <f>SUMIF(已走货!H:H,A20,已走货!J:J)</f>
        <v>0</v>
      </c>
      <c r="E20" s="4">
        <f ca="1" t="shared" si="1"/>
        <v>0</v>
      </c>
      <c r="F20" s="5">
        <f>SUMIF(总接单!E:E,A20,总接单!CG:CG)</f>
        <v>0</v>
      </c>
      <c r="G20" s="5">
        <f>SUMIF(总排期!H:H,A20,总排期!AA:AA)</f>
        <v>0</v>
      </c>
      <c r="H20" s="5">
        <f>SUMIF(已走货!H:H,A20,已走货!AA:AA)</f>
        <v>0</v>
      </c>
      <c r="I20" s="6">
        <f t="shared" si="0"/>
        <v>0</v>
      </c>
    </row>
    <row r="21" spans="1:9">
      <c r="A21" s="1" t="s">
        <v>119</v>
      </c>
      <c r="B21" s="3">
        <f ca="1">SUMIF(总接单!E:EF,A21,总接单!F:F)</f>
        <v>0</v>
      </c>
      <c r="C21" s="3">
        <f>SUMIF(总排期!H:H,A21,总排期!J:J)</f>
        <v>0</v>
      </c>
      <c r="D21" s="3">
        <f>SUMIF(已走货!H:H,A21,已走货!J:J)</f>
        <v>0</v>
      </c>
      <c r="E21" s="4">
        <f ca="1" t="shared" si="1"/>
        <v>0</v>
      </c>
      <c r="F21" s="5">
        <f>SUMIF(总接单!E:E,A21,总接单!CG:CG)</f>
        <v>0</v>
      </c>
      <c r="G21" s="5">
        <f>SUMIF(总排期!H:H,A21,总排期!AA:AA)</f>
        <v>0</v>
      </c>
      <c r="H21" s="5">
        <f>SUMIF(已走货!H:H,A21,已走货!AA:AA)</f>
        <v>0</v>
      </c>
      <c r="I21" s="6">
        <f t="shared" si="0"/>
        <v>0</v>
      </c>
    </row>
    <row r="22" spans="1:9">
      <c r="A22" s="1" t="s">
        <v>106</v>
      </c>
      <c r="B22" s="3">
        <f ca="1">SUMIF(总接单!E:EF,A22,总接单!F:F)</f>
        <v>0</v>
      </c>
      <c r="C22" s="3">
        <f>SUMIF(总排期!H:H,A22,总排期!J:J)</f>
        <v>0</v>
      </c>
      <c r="D22" s="3">
        <f>SUMIF(已走货!H:H,A22,已走货!J:J)</f>
        <v>0</v>
      </c>
      <c r="E22" s="4">
        <f ca="1" t="shared" si="1"/>
        <v>0</v>
      </c>
      <c r="F22" s="5">
        <f>SUMIF(总接单!E:E,A22,总接单!CG:CG)</f>
        <v>0</v>
      </c>
      <c r="G22" s="5">
        <f>SUMIF(总排期!H:H,A22,总排期!AA:AA)</f>
        <v>0</v>
      </c>
      <c r="H22" s="5">
        <f>SUMIF(已走货!H:H,A22,已走货!AA:AA)</f>
        <v>0</v>
      </c>
      <c r="I22" s="6">
        <f t="shared" si="0"/>
        <v>0</v>
      </c>
    </row>
    <row r="23" spans="1:9">
      <c r="A23" s="1" t="s">
        <v>108</v>
      </c>
      <c r="B23" s="3">
        <f ca="1">SUMIF(总接单!E:EF,A23,总接单!F:F)</f>
        <v>0</v>
      </c>
      <c r="C23" s="3">
        <f>SUMIF(总排期!H:H,A23,总排期!J:J)</f>
        <v>0</v>
      </c>
      <c r="D23" s="3">
        <f>SUMIF(已走货!H:H,A23,已走货!J:J)</f>
        <v>0</v>
      </c>
      <c r="E23" s="4">
        <f ca="1" t="shared" si="1"/>
        <v>0</v>
      </c>
      <c r="F23" s="5">
        <f>SUMIF(总接单!E:E,A23,总接单!CG:CG)</f>
        <v>0</v>
      </c>
      <c r="G23" s="5">
        <f>SUMIF(总排期!H:H,A23,总排期!AA:AA)</f>
        <v>0</v>
      </c>
      <c r="H23" s="5">
        <f>SUMIF(已走货!H:H,A23,已走货!AA:AA)</f>
        <v>0</v>
      </c>
      <c r="I23" s="6">
        <f t="shared" si="0"/>
        <v>0</v>
      </c>
    </row>
    <row r="24" ht="31.5" spans="1:9">
      <c r="A24" s="1" t="s">
        <v>130</v>
      </c>
      <c r="B24" s="3">
        <f ca="1">SUMIF(总接单!E:EF,A24,总接单!F:F)</f>
        <v>0</v>
      </c>
      <c r="C24" s="3">
        <f>SUMIF(总排期!H:H,A24,总排期!J:J)</f>
        <v>0</v>
      </c>
      <c r="D24" s="3">
        <f>SUMIF(已走货!H:H,A24,已走货!J:J)</f>
        <v>0</v>
      </c>
      <c r="E24" s="4">
        <f ca="1" t="shared" si="1"/>
        <v>0</v>
      </c>
      <c r="F24" s="5">
        <f>SUMIF(总接单!E:E,A24,总接单!CG:CG)</f>
        <v>0</v>
      </c>
      <c r="G24" s="5">
        <f>SUMIF(总排期!H:H,A24,总排期!AA:AA)</f>
        <v>0</v>
      </c>
      <c r="H24" s="5">
        <f>SUMIF(已走货!H:H,A24,已走货!AA:AA)</f>
        <v>0</v>
      </c>
      <c r="I24" s="6">
        <f t="shared" si="0"/>
        <v>0</v>
      </c>
    </row>
    <row r="25" ht="31.5" spans="1:9">
      <c r="A25" s="1" t="s">
        <v>131</v>
      </c>
      <c r="B25" s="3">
        <f ca="1">SUMIF(总接单!E:EF,A25,总接单!F:F)</f>
        <v>0</v>
      </c>
      <c r="C25" s="3">
        <f>SUMIF(总排期!H:H,A25,总排期!J:J)</f>
        <v>0</v>
      </c>
      <c r="D25" s="3">
        <f>SUMIF(已走货!H:H,A25,已走货!J:J)</f>
        <v>0</v>
      </c>
      <c r="E25" s="4">
        <f ca="1" t="shared" si="1"/>
        <v>0</v>
      </c>
      <c r="F25" s="5">
        <f>SUMIF(总接单!E:E,A25,总接单!CG:CG)</f>
        <v>0</v>
      </c>
      <c r="G25" s="5">
        <f>SUMIF(总排期!H:H,A25,总排期!AA:AA)</f>
        <v>0</v>
      </c>
      <c r="H25" s="5">
        <f>SUMIF(已走货!H:H,A25,已走货!AA:AA)</f>
        <v>0</v>
      </c>
      <c r="I25" s="6">
        <f t="shared" si="0"/>
        <v>0</v>
      </c>
    </row>
    <row r="26" ht="31.5" spans="1:9">
      <c r="A26" s="1" t="s">
        <v>132</v>
      </c>
      <c r="B26" s="3">
        <f ca="1">SUMIF(总接单!E:EF,A26,总接单!F:F)</f>
        <v>0</v>
      </c>
      <c r="C26" s="3">
        <f>SUMIF(总排期!H:H,A26,总排期!J:J)</f>
        <v>0</v>
      </c>
      <c r="D26" s="3">
        <f>SUMIF(已走货!H:H,A26,已走货!J:J)</f>
        <v>0</v>
      </c>
      <c r="E26" s="4">
        <f ca="1" t="shared" si="1"/>
        <v>0</v>
      </c>
      <c r="F26" s="5">
        <f>SUMIF(总接单!E:E,A26,总接单!CG:CG)</f>
        <v>0</v>
      </c>
      <c r="G26" s="5">
        <f>SUMIF(总排期!H:H,A26,总排期!AA:AA)</f>
        <v>0</v>
      </c>
      <c r="H26" s="5">
        <f>SUMIF(已走货!H:H,A26,已走货!AA:AA)</f>
        <v>0</v>
      </c>
      <c r="I26" s="6">
        <f t="shared" si="0"/>
        <v>0</v>
      </c>
    </row>
    <row r="27" spans="1:9">
      <c r="A27" s="1" t="s">
        <v>48</v>
      </c>
      <c r="B27" s="3">
        <f ca="1">SUMIF(总接单!E:EF,A27,总接单!F:F)</f>
        <v>0</v>
      </c>
      <c r="C27" s="3">
        <f>SUMIF(总排期!H:H,A27,总排期!J:J)</f>
        <v>0</v>
      </c>
      <c r="D27" s="3">
        <f>SUMIF(已走货!H:H,A27,已走货!J:J)</f>
        <v>0</v>
      </c>
      <c r="E27" s="4">
        <f ca="1" t="shared" si="1"/>
        <v>0</v>
      </c>
      <c r="F27" s="5">
        <f>SUMIF(总接单!E:E,A27,总接单!CG:CG)</f>
        <v>0</v>
      </c>
      <c r="G27" s="5">
        <f>SUMIF(总排期!H:H,A27,总排期!AA:AA)</f>
        <v>0</v>
      </c>
      <c r="H27" s="5">
        <f>SUMIF(已走货!H:H,A27,已走货!AA:AA)</f>
        <v>0</v>
      </c>
      <c r="I27" s="6">
        <f t="shared" si="0"/>
        <v>0</v>
      </c>
    </row>
    <row r="28" ht="31.5" spans="1:9">
      <c r="A28" s="1" t="s">
        <v>50</v>
      </c>
      <c r="B28" s="3">
        <f ca="1">SUMIF(总接单!E:EF,A28,总接单!F:F)</f>
        <v>0</v>
      </c>
      <c r="C28" s="3">
        <f>SUMIF(总排期!H:H,A28,总排期!J:J)</f>
        <v>0</v>
      </c>
      <c r="D28" s="3">
        <f>SUMIF(已走货!H:H,A28,已走货!J:J)</f>
        <v>0</v>
      </c>
      <c r="E28" s="4">
        <f ca="1" t="shared" si="1"/>
        <v>0</v>
      </c>
      <c r="F28" s="5">
        <f>SUMIF(总接单!E:E,A28,总接单!CG:CG)</f>
        <v>0</v>
      </c>
      <c r="G28" s="5">
        <f>SUMIF(总排期!H:H,A28,总排期!AA:AA)</f>
        <v>0</v>
      </c>
      <c r="H28" s="5">
        <f>SUMIF(已走货!H:H,A28,已走货!AA:AA)</f>
        <v>0</v>
      </c>
      <c r="I28" s="6">
        <f t="shared" si="0"/>
        <v>0</v>
      </c>
    </row>
    <row r="29" ht="31.5" spans="1:9">
      <c r="A29" s="1" t="s">
        <v>52</v>
      </c>
      <c r="B29" s="3">
        <f ca="1">SUMIF(总接单!E:EF,A29,总接单!F:F)</f>
        <v>0</v>
      </c>
      <c r="C29" s="3">
        <f>SUMIF(总排期!H:H,A29,总排期!J:J)</f>
        <v>0</v>
      </c>
      <c r="D29" s="3">
        <f>SUMIF(已走货!H:H,A29,已走货!J:J)</f>
        <v>0</v>
      </c>
      <c r="E29" s="4">
        <f ca="1" t="shared" si="1"/>
        <v>0</v>
      </c>
      <c r="F29" s="5">
        <f>SUMIF(总接单!E:E,A29,总接单!CG:CG)</f>
        <v>0</v>
      </c>
      <c r="G29" s="5">
        <f>SUMIF(总排期!H:H,A29,总排期!AA:AA)</f>
        <v>0</v>
      </c>
      <c r="H29" s="5">
        <f>SUMIF(已走货!H:H,A29,已走货!AA:AA)</f>
        <v>0</v>
      </c>
      <c r="I29" s="6">
        <f t="shared" si="0"/>
        <v>0</v>
      </c>
    </row>
    <row r="30" ht="31.5" spans="1:9">
      <c r="A30" s="1" t="s">
        <v>53</v>
      </c>
      <c r="B30" s="3">
        <f ca="1">SUMIF(总接单!E:EF,A30,总接单!F:F)</f>
        <v>0</v>
      </c>
      <c r="C30" s="3">
        <f>SUMIF(总排期!H:H,A30,总排期!J:J)</f>
        <v>0</v>
      </c>
      <c r="D30" s="3">
        <f>SUMIF(已走货!H:H,A30,已走货!J:J)</f>
        <v>0</v>
      </c>
      <c r="E30" s="4">
        <f ca="1" t="shared" si="1"/>
        <v>0</v>
      </c>
      <c r="F30" s="5">
        <f>SUMIF(总接单!E:E,A30,总接单!CG:CG)</f>
        <v>0</v>
      </c>
      <c r="G30" s="5">
        <f>SUMIF(总排期!H:H,A30,总排期!AA:AA)</f>
        <v>0</v>
      </c>
      <c r="H30" s="5">
        <f>SUMIF(已走货!H:H,A30,已走货!AA:AA)</f>
        <v>0</v>
      </c>
      <c r="I30" s="6">
        <f t="shared" si="0"/>
        <v>0</v>
      </c>
    </row>
    <row r="31" spans="1:9">
      <c r="A31" s="1" t="s">
        <v>55</v>
      </c>
      <c r="B31" s="3">
        <f ca="1">SUMIF(总接单!E:EF,A31,总接单!F:F)</f>
        <v>0</v>
      </c>
      <c r="C31" s="3">
        <f>SUMIF(总排期!H:H,A31,总排期!J:J)</f>
        <v>0</v>
      </c>
      <c r="D31" s="3">
        <f>SUMIF(已走货!H:H,A31,已走货!J:J)</f>
        <v>0</v>
      </c>
      <c r="E31" s="4">
        <f ca="1" t="shared" si="1"/>
        <v>0</v>
      </c>
      <c r="F31" s="5">
        <f>SUMIF(总接单!E:E,A31,总接单!CG:CG)</f>
        <v>0</v>
      </c>
      <c r="G31" s="5">
        <f>SUMIF(总排期!H:H,A31,总排期!AA:AA)</f>
        <v>0</v>
      </c>
      <c r="H31" s="5">
        <f>SUMIF(已走货!H:H,A31,已走货!AA:AA)</f>
        <v>0</v>
      </c>
      <c r="I31" s="6">
        <f t="shared" si="0"/>
        <v>0</v>
      </c>
    </row>
    <row r="32" spans="1:9">
      <c r="A32" s="1" t="s">
        <v>57</v>
      </c>
      <c r="B32" s="3">
        <f ca="1">SUMIF(总接单!E:EF,A32,总接单!F:F)</f>
        <v>0</v>
      </c>
      <c r="C32" s="3">
        <f>SUMIF(总排期!H:H,A32,总排期!J:J)</f>
        <v>0</v>
      </c>
      <c r="D32" s="3">
        <f>SUMIF(已走货!H:H,A32,已走货!J:J)</f>
        <v>0</v>
      </c>
      <c r="E32" s="4">
        <f ca="1" t="shared" si="1"/>
        <v>0</v>
      </c>
      <c r="F32" s="5">
        <f>SUMIF(总接单!E:E,A32,总接单!CG:CG)</f>
        <v>0</v>
      </c>
      <c r="G32" s="5">
        <f>SUMIF(总排期!H:H,A32,总排期!AA:AA)</f>
        <v>0</v>
      </c>
      <c r="H32" s="5">
        <f>SUMIF(已走货!H:H,A32,已走货!AA:AA)</f>
        <v>0</v>
      </c>
      <c r="I32" s="6">
        <f t="shared" si="0"/>
        <v>0</v>
      </c>
    </row>
    <row r="33" spans="1:9">
      <c r="A33" s="1" t="s">
        <v>116</v>
      </c>
      <c r="B33" s="3">
        <f ca="1">SUMIF(总接单!E:EF,A33,总接单!F:F)</f>
        <v>0</v>
      </c>
      <c r="C33" s="3">
        <f>SUMIF(总排期!H:H,A33,总排期!J:J)</f>
        <v>0</v>
      </c>
      <c r="D33" s="3">
        <f>SUMIF(已走货!H:H,A33,已走货!J:J)</f>
        <v>0</v>
      </c>
      <c r="E33" s="4">
        <f ca="1" t="shared" si="1"/>
        <v>0</v>
      </c>
      <c r="F33" s="5">
        <f>SUMIF(总接单!E:E,A33,总接单!CG:CG)</f>
        <v>0</v>
      </c>
      <c r="G33" s="5">
        <f>SUMIF(总排期!H:H,A33,总排期!AA:AA)</f>
        <v>0</v>
      </c>
      <c r="H33" s="5">
        <f>SUMIF(已走货!H:H,A33,已走货!AA:AA)</f>
        <v>0</v>
      </c>
      <c r="I33" s="6">
        <f t="shared" si="0"/>
        <v>0</v>
      </c>
    </row>
    <row r="34" spans="1:9">
      <c r="A34" s="1" t="s">
        <v>62</v>
      </c>
      <c r="B34" s="3">
        <f ca="1">SUMIF(总接单!E:EF,A34,总接单!F:F)</f>
        <v>0</v>
      </c>
      <c r="C34" s="3">
        <f>SUMIF(总排期!H:H,A34,总排期!J:J)</f>
        <v>0</v>
      </c>
      <c r="D34" s="3">
        <f>SUMIF(已走货!H:H,A34,已走货!J:J)</f>
        <v>0</v>
      </c>
      <c r="E34" s="4">
        <f ca="1" t="shared" si="1"/>
        <v>0</v>
      </c>
      <c r="F34" s="5">
        <f>SUMIF(总接单!E:E,A34,总接单!CG:CG)</f>
        <v>0</v>
      </c>
      <c r="G34" s="5">
        <f>SUMIF(总排期!H:H,A34,总排期!AA:AA)</f>
        <v>0</v>
      </c>
      <c r="H34" s="5">
        <f>SUMIF(已走货!H:H,A34,已走货!AA:AA)</f>
        <v>0</v>
      </c>
      <c r="I34" s="6">
        <f t="shared" si="0"/>
        <v>0</v>
      </c>
    </row>
    <row r="35" ht="31.5" spans="1:9">
      <c r="A35" s="1" t="s">
        <v>89</v>
      </c>
      <c r="B35" s="3">
        <f ca="1">SUMIF(总接单!E:EF,A35,总接单!F:F)</f>
        <v>0</v>
      </c>
      <c r="C35" s="3">
        <f>SUMIF(总排期!H:H,A35,总排期!J:J)</f>
        <v>0</v>
      </c>
      <c r="D35" s="3">
        <f>SUMIF(已走货!H:H,A35,已走货!J:J)</f>
        <v>0</v>
      </c>
      <c r="E35" s="4">
        <f ca="1" t="shared" ref="E35:E52" si="2">B35-C35-D35</f>
        <v>0</v>
      </c>
      <c r="F35" s="5">
        <f>SUMIF(总接单!E:E,A35,总接单!CG:CG)</f>
        <v>0</v>
      </c>
      <c r="G35" s="5">
        <f>SUMIF(总排期!H:H,A35,总排期!AA:AA)</f>
        <v>0</v>
      </c>
      <c r="H35" s="5">
        <f>SUMIF(已走货!H:H,A35,已走货!AA:AA)</f>
        <v>0</v>
      </c>
      <c r="I35" s="6">
        <f t="shared" ref="I35:I52" si="3">F35-G35-H35</f>
        <v>0</v>
      </c>
    </row>
    <row r="36" ht="31.5" spans="1:9">
      <c r="A36" s="1" t="s">
        <v>125</v>
      </c>
      <c r="B36" s="3">
        <f ca="1">SUMIF(总接单!E:EF,A36,总接单!F:F)</f>
        <v>0</v>
      </c>
      <c r="C36" s="3">
        <f>SUMIF(总排期!H:H,A36,总排期!J:J)</f>
        <v>0</v>
      </c>
      <c r="D36" s="3">
        <f>SUMIF(已走货!H:H,A36,已走货!J:J)</f>
        <v>0</v>
      </c>
      <c r="E36" s="4">
        <f ca="1" t="shared" si="2"/>
        <v>0</v>
      </c>
      <c r="F36" s="5">
        <f>SUMIF(总接单!E:E,A36,总接单!CG:CG)</f>
        <v>0</v>
      </c>
      <c r="G36" s="5">
        <f>SUMIF(总排期!H:H,A36,总排期!AA:AA)</f>
        <v>0</v>
      </c>
      <c r="H36" s="5">
        <f>SUMIF(已走货!H:H,A36,已走货!AA:AA)</f>
        <v>0</v>
      </c>
      <c r="I36" s="6">
        <f t="shared" si="3"/>
        <v>0</v>
      </c>
    </row>
    <row r="37" spans="1:9">
      <c r="A37" s="1" t="s">
        <v>95</v>
      </c>
      <c r="B37" s="3">
        <f ca="1">SUMIF(总接单!E:EF,A37,总接单!F:F)</f>
        <v>0</v>
      </c>
      <c r="C37" s="3">
        <f>SUMIF(总排期!H:H,A37,总排期!J:J)</f>
        <v>0</v>
      </c>
      <c r="D37" s="3">
        <f>SUMIF(已走货!H:H,A37,已走货!J:J)</f>
        <v>0</v>
      </c>
      <c r="E37" s="4">
        <f ca="1" t="shared" si="2"/>
        <v>0</v>
      </c>
      <c r="F37" s="5">
        <f>SUMIF(总接单!E:E,A37,总接单!CG:CG)</f>
        <v>0</v>
      </c>
      <c r="G37" s="5">
        <f>SUMIF(总排期!H:H,A37,总排期!AA:AA)</f>
        <v>0</v>
      </c>
      <c r="H37" s="5">
        <f>SUMIF(已走货!H:H,A37,已走货!AA:AA)</f>
        <v>0</v>
      </c>
      <c r="I37" s="6">
        <f t="shared" si="3"/>
        <v>0</v>
      </c>
    </row>
    <row r="38" spans="1:9">
      <c r="A38" s="1" t="s">
        <v>97</v>
      </c>
      <c r="B38" s="3">
        <f ca="1">SUMIF(总接单!E:EF,A38,总接单!F:F)</f>
        <v>0</v>
      </c>
      <c r="C38" s="3">
        <f>SUMIF(总排期!H:H,A38,总排期!J:J)</f>
        <v>0</v>
      </c>
      <c r="D38" s="3">
        <f>SUMIF(已走货!H:H,A38,已走货!J:J)</f>
        <v>0</v>
      </c>
      <c r="E38" s="4">
        <f ca="1" t="shared" si="2"/>
        <v>0</v>
      </c>
      <c r="F38" s="5">
        <f>SUMIF(总接单!E:E,A38,总接单!CG:CG)</f>
        <v>0</v>
      </c>
      <c r="G38" s="5">
        <f>SUMIF(总排期!H:H,A38,总排期!AA:AA)</f>
        <v>0</v>
      </c>
      <c r="H38" s="5">
        <f>SUMIF(已走货!H:H,A38,已走货!AA:AA)</f>
        <v>0</v>
      </c>
      <c r="I38" s="6">
        <f t="shared" si="3"/>
        <v>0</v>
      </c>
    </row>
    <row r="39" spans="1:9">
      <c r="A39" s="1" t="s">
        <v>64</v>
      </c>
      <c r="B39" s="3">
        <f ca="1">SUMIF(总接单!E:EF,A39,总接单!F:F)</f>
        <v>0</v>
      </c>
      <c r="C39" s="3">
        <f>SUMIF(总排期!H:H,A39,总排期!J:J)</f>
        <v>0</v>
      </c>
      <c r="D39" s="3">
        <f>SUMIF(已走货!H:H,A39,已走货!J:J)</f>
        <v>0</v>
      </c>
      <c r="E39" s="4">
        <f ca="1" t="shared" si="2"/>
        <v>0</v>
      </c>
      <c r="F39" s="5">
        <f>SUMIF(总接单!E:E,A39,总接单!CG:CG)</f>
        <v>0</v>
      </c>
      <c r="G39" s="5">
        <f>SUMIF(总排期!H:H,A39,总排期!AA:AA)</f>
        <v>0</v>
      </c>
      <c r="H39" s="5">
        <f>SUMIF(已走货!H:H,A39,已走货!AA:AA)</f>
        <v>0</v>
      </c>
      <c r="I39" s="6">
        <f t="shared" si="3"/>
        <v>0</v>
      </c>
    </row>
    <row r="40" spans="1:9">
      <c r="A40" s="7" t="s">
        <v>104</v>
      </c>
      <c r="B40" s="3">
        <f ca="1">SUMIF(总接单!E:EF,A40,总接单!F:F)</f>
        <v>8100</v>
      </c>
      <c r="C40" s="3">
        <f>SUMIF(总排期!H:H,A40,总排期!J:J)</f>
        <v>8100</v>
      </c>
      <c r="D40" s="3">
        <f>SUMIF(已走货!H:H,A40,已走货!J:J)</f>
        <v>0</v>
      </c>
      <c r="E40" s="4">
        <f ca="1" t="shared" si="2"/>
        <v>0</v>
      </c>
      <c r="F40" s="5">
        <f>SUMIF(总接单!E:E,A40,总接单!CG:CG)</f>
        <v>0</v>
      </c>
      <c r="G40" s="5">
        <f>SUMIF(总排期!H:H,A40,总排期!AA:AA)</f>
        <v>0</v>
      </c>
      <c r="H40" s="5">
        <f>SUMIF(已走货!H:H,A40,已走货!AA:AA)</f>
        <v>0</v>
      </c>
      <c r="I40" s="6">
        <f t="shared" si="3"/>
        <v>0</v>
      </c>
    </row>
    <row r="41" spans="1:9">
      <c r="A41" s="1" t="s">
        <v>91</v>
      </c>
      <c r="B41" s="3">
        <f ca="1">SUMIF(总接单!E:EF,A41,总接单!F:F)</f>
        <v>0</v>
      </c>
      <c r="C41" s="3">
        <f>SUMIF(总排期!H:H,A41,总排期!J:J)</f>
        <v>0</v>
      </c>
      <c r="D41" s="3">
        <f>SUMIF(已走货!H:H,A41,已走货!J:J)</f>
        <v>0</v>
      </c>
      <c r="E41" s="4">
        <f ca="1" t="shared" si="2"/>
        <v>0</v>
      </c>
      <c r="F41" s="5">
        <f>SUMIF(总接单!E:E,A41,总接单!CG:CG)</f>
        <v>0</v>
      </c>
      <c r="G41" s="5">
        <f>SUMIF(总排期!H:H,A41,总排期!AA:AA)</f>
        <v>0</v>
      </c>
      <c r="H41" s="5">
        <f>SUMIF(已走货!H:H,A41,已走货!AA:AA)</f>
        <v>0</v>
      </c>
      <c r="I41" s="6">
        <f t="shared" si="3"/>
        <v>0</v>
      </c>
    </row>
    <row r="42" ht="31.5" spans="1:9">
      <c r="A42" s="1" t="s">
        <v>123</v>
      </c>
      <c r="B42" s="3">
        <f ca="1">SUMIF(总接单!E:EF,A42,总接单!F:F)</f>
        <v>0</v>
      </c>
      <c r="C42" s="3">
        <f>SUMIF(总排期!H:H,A42,总排期!J:J)</f>
        <v>0</v>
      </c>
      <c r="D42" s="3">
        <f>SUMIF(已走货!H:H,A42,已走货!J:J)</f>
        <v>0</v>
      </c>
      <c r="E42" s="4">
        <f ca="1" t="shared" si="2"/>
        <v>0</v>
      </c>
      <c r="F42" s="5">
        <f>SUMIF(总接单!E:E,A42,总接单!CG:CG)</f>
        <v>0</v>
      </c>
      <c r="G42" s="5">
        <f>SUMIF(总排期!H:H,A42,总排期!AA:AA)</f>
        <v>0</v>
      </c>
      <c r="H42" s="5">
        <f>SUMIF(已走货!H:H,A42,已走货!AA:AA)</f>
        <v>0</v>
      </c>
      <c r="I42" s="6">
        <f t="shared" si="3"/>
        <v>0</v>
      </c>
    </row>
    <row r="43" spans="1:9">
      <c r="A43" s="1" t="s">
        <v>93</v>
      </c>
      <c r="B43" s="3">
        <f ca="1">SUMIF(总接单!E:EF,A43,总接单!F:F)</f>
        <v>0</v>
      </c>
      <c r="C43" s="3">
        <f>SUMIF(总排期!H:H,A43,总排期!J:J)</f>
        <v>0</v>
      </c>
      <c r="D43" s="3">
        <f>SUMIF(已走货!H:H,A43,已走货!J:J)</f>
        <v>0</v>
      </c>
      <c r="E43" s="4">
        <f ca="1" t="shared" si="2"/>
        <v>0</v>
      </c>
      <c r="F43" s="5">
        <f>SUMIF(总接单!E:E,A43,总接单!CG:CG)</f>
        <v>0</v>
      </c>
      <c r="G43" s="5">
        <f>SUMIF(总排期!H:H,A43,总排期!AA:AA)</f>
        <v>0</v>
      </c>
      <c r="H43" s="5">
        <f>SUMIF(已走货!H:H,A43,已走货!AA:AA)</f>
        <v>0</v>
      </c>
      <c r="I43" s="6">
        <f t="shared" si="3"/>
        <v>0</v>
      </c>
    </row>
    <row r="44" ht="31.5" spans="1:9">
      <c r="A44" s="1" t="s">
        <v>124</v>
      </c>
      <c r="B44" s="3">
        <f ca="1">SUMIF(总接单!E:EF,A44,总接单!F:F)</f>
        <v>0</v>
      </c>
      <c r="C44" s="3">
        <f>SUMIF(总排期!H:H,A44,总排期!J:J)</f>
        <v>0</v>
      </c>
      <c r="D44" s="3">
        <f>SUMIF(已走货!H:H,A44,已走货!J:J)</f>
        <v>0</v>
      </c>
      <c r="E44" s="4">
        <f ca="1" t="shared" si="2"/>
        <v>0</v>
      </c>
      <c r="F44" s="5">
        <f>SUMIF(总接单!E:E,A44,总接单!CG:CG)</f>
        <v>0</v>
      </c>
      <c r="G44" s="5">
        <f>SUMIF(总排期!H:H,A44,总排期!AA:AA)</f>
        <v>0</v>
      </c>
      <c r="H44" s="5">
        <f>SUMIF(已走货!H:H,A44,已走货!AA:AA)</f>
        <v>0</v>
      </c>
      <c r="I44" s="6">
        <f t="shared" si="3"/>
        <v>0</v>
      </c>
    </row>
    <row r="45" spans="1:9">
      <c r="A45" s="1" t="s">
        <v>99</v>
      </c>
      <c r="B45" s="3">
        <f ca="1">SUMIF(总接单!E:EF,A45,总接单!F:F)</f>
        <v>0</v>
      </c>
      <c r="C45" s="3">
        <f>SUMIF(总排期!H:H,A45,总排期!J:J)</f>
        <v>0</v>
      </c>
      <c r="D45" s="3">
        <f>SUMIF(已走货!H:H,A45,已走货!J:J)</f>
        <v>0</v>
      </c>
      <c r="E45" s="4">
        <f ca="1" t="shared" si="2"/>
        <v>0</v>
      </c>
      <c r="F45" s="5">
        <f>SUMIF(总接单!E:E,A45,总接单!CG:CG)</f>
        <v>0</v>
      </c>
      <c r="G45" s="5">
        <f>SUMIF(总排期!H:H,A45,总排期!AA:AA)</f>
        <v>0</v>
      </c>
      <c r="H45" s="5">
        <f>SUMIF(已走货!H:H,A45,已走货!AA:AA)</f>
        <v>0</v>
      </c>
      <c r="I45" s="6">
        <f t="shared" si="3"/>
        <v>0</v>
      </c>
    </row>
    <row r="46" ht="31.5" spans="1:9">
      <c r="A46" s="1" t="s">
        <v>126</v>
      </c>
      <c r="B46" s="3">
        <f ca="1">SUMIF(总接单!E:EF,A46,总接单!F:F)</f>
        <v>0</v>
      </c>
      <c r="C46" s="3">
        <f>SUMIF(总排期!H:H,A46,总排期!J:J)</f>
        <v>0</v>
      </c>
      <c r="D46" s="3">
        <f>SUMIF(已走货!H:H,A46,已走货!J:J)</f>
        <v>0</v>
      </c>
      <c r="E46" s="4">
        <f ca="1" t="shared" si="2"/>
        <v>0</v>
      </c>
      <c r="F46" s="5">
        <f>SUMIF(总接单!E:E,A46,总接单!CG:CG)</f>
        <v>0</v>
      </c>
      <c r="G46" s="5">
        <f>SUMIF(总排期!H:H,A46,总排期!AA:AA)</f>
        <v>0</v>
      </c>
      <c r="H46" s="5">
        <f>SUMIF(已走货!H:H,A46,已走货!AA:AA)</f>
        <v>0</v>
      </c>
      <c r="I46" s="6">
        <f t="shared" si="3"/>
        <v>0</v>
      </c>
    </row>
    <row r="47" spans="1:9">
      <c r="A47" s="1" t="s">
        <v>102</v>
      </c>
      <c r="B47" s="3">
        <f ca="1">SUMIF(总接单!E:EF,A47,总接单!F:F)</f>
        <v>0</v>
      </c>
      <c r="C47" s="3">
        <f>SUMIF(总排期!H:H,A47,总排期!J:J)</f>
        <v>0</v>
      </c>
      <c r="D47" s="3">
        <f>SUMIF(已走货!H:H,A47,已走货!J:J)</f>
        <v>0</v>
      </c>
      <c r="E47" s="4">
        <f ca="1" t="shared" si="2"/>
        <v>0</v>
      </c>
      <c r="F47" s="5">
        <f>SUMIF(总接单!E:E,A47,总接单!CG:CG)</f>
        <v>0</v>
      </c>
      <c r="G47" s="5">
        <f>SUMIF(总排期!H:H,A47,总排期!AA:AA)</f>
        <v>0</v>
      </c>
      <c r="H47" s="5">
        <f>SUMIF(已走货!H:H,A47,已走货!AA:AA)</f>
        <v>0</v>
      </c>
      <c r="I47" s="6">
        <f t="shared" si="3"/>
        <v>0</v>
      </c>
    </row>
    <row r="48" ht="31.5" spans="1:9">
      <c r="A48" s="1" t="s">
        <v>72</v>
      </c>
      <c r="B48" s="3">
        <f ca="1">SUMIF(总接单!E:EF,A48,总接单!F:F)</f>
        <v>0</v>
      </c>
      <c r="C48" s="3">
        <f>SUMIF(总排期!H:H,A48,总排期!J:J)</f>
        <v>0</v>
      </c>
      <c r="D48" s="3">
        <f>SUMIF(已走货!H:H,A48,已走货!J:J)</f>
        <v>0</v>
      </c>
      <c r="E48" s="4">
        <f ca="1" t="shared" si="2"/>
        <v>0</v>
      </c>
      <c r="F48" s="5">
        <f>SUMIF(总接单!E:E,A48,总接单!CG:CG)</f>
        <v>0</v>
      </c>
      <c r="G48" s="5">
        <f>SUMIF(总排期!H:H,A48,总排期!AA:AA)</f>
        <v>0</v>
      </c>
      <c r="H48" s="5">
        <f>SUMIF(已走货!H:H,A48,已走货!AA:AA)</f>
        <v>0</v>
      </c>
      <c r="I48" s="6">
        <f t="shared" si="3"/>
        <v>0</v>
      </c>
    </row>
    <row r="49" spans="1:9">
      <c r="A49" s="7" t="s">
        <v>103</v>
      </c>
      <c r="B49" s="3">
        <f ca="1">SUMIF(总接单!E:EF,A49,总接单!F:F)</f>
        <v>0</v>
      </c>
      <c r="C49" s="3">
        <f>SUMIF(总排期!H:H,A49,总排期!J:J)</f>
        <v>0</v>
      </c>
      <c r="D49" s="3">
        <f>SUMIF(已走货!H:H,A49,已走货!J:J)</f>
        <v>0</v>
      </c>
      <c r="E49" s="4">
        <f ca="1" t="shared" si="2"/>
        <v>0</v>
      </c>
      <c r="F49" s="5">
        <f>SUMIF(总接单!E:E,A49,总接单!CG:CG)</f>
        <v>0</v>
      </c>
      <c r="G49" s="5">
        <f>SUMIF(总排期!H:H,A49,总排期!AA:AA)</f>
        <v>0</v>
      </c>
      <c r="H49" s="5">
        <f>SUMIF(已走货!H:H,A49,已走货!AA:AA)</f>
        <v>0</v>
      </c>
      <c r="I49" s="6">
        <f t="shared" si="3"/>
        <v>0</v>
      </c>
    </row>
    <row r="50" spans="1:9">
      <c r="A50" s="7" t="s">
        <v>129</v>
      </c>
      <c r="B50" s="3">
        <f ca="1">SUMIF(总接单!E:EF,A50,总接单!F:F)</f>
        <v>0</v>
      </c>
      <c r="C50" s="3">
        <f>SUMIF(总排期!H:H,A50,总排期!J:J)</f>
        <v>0</v>
      </c>
      <c r="D50" s="3">
        <f>SUMIF(已走货!H:H,A50,已走货!J:J)</f>
        <v>0</v>
      </c>
      <c r="E50" s="4">
        <f ca="1" t="shared" si="2"/>
        <v>0</v>
      </c>
      <c r="F50" s="5">
        <f>SUMIF(总接单!E:E,A50,总接单!CG:CG)</f>
        <v>0</v>
      </c>
      <c r="G50" s="5">
        <f>SUMIF(总排期!H:H,A50,总排期!AA:AA)</f>
        <v>0</v>
      </c>
      <c r="H50" s="5">
        <f>SUMIF(已走货!H:H,A50,已走货!AA:AA)</f>
        <v>0</v>
      </c>
      <c r="I50" s="6">
        <f t="shared" si="3"/>
        <v>0</v>
      </c>
    </row>
    <row r="51" spans="1:9">
      <c r="A51" s="1" t="s">
        <v>88</v>
      </c>
      <c r="B51" s="3">
        <f ca="1">SUMIF(总接单!E:EF,A51,总接单!F:F)</f>
        <v>0</v>
      </c>
      <c r="C51" s="3">
        <f>SUMIF(总排期!H:H,A51,总排期!J:J)</f>
        <v>0</v>
      </c>
      <c r="D51" s="3">
        <f>SUMIF(已走货!H:H,A51,已走货!J:J)</f>
        <v>0</v>
      </c>
      <c r="E51" s="4">
        <f ca="1" t="shared" si="2"/>
        <v>0</v>
      </c>
      <c r="F51" s="5">
        <f>SUMIF(总接单!E:E,A51,总接单!CG:CG)</f>
        <v>0</v>
      </c>
      <c r="G51" s="5">
        <f>SUMIF(总排期!H:H,A51,总排期!AA:AA)</f>
        <v>0</v>
      </c>
      <c r="H51" s="5">
        <f>SUMIF(已走货!H:H,A51,已走货!AA:AA)</f>
        <v>0</v>
      </c>
      <c r="I51" s="6">
        <f t="shared" si="3"/>
        <v>0</v>
      </c>
    </row>
    <row r="52" ht="44.25" spans="1:9">
      <c r="A52" s="7" t="s">
        <v>305</v>
      </c>
      <c r="B52" s="3">
        <f ca="1">SUMIF(总接单!E:EF,A52,总接单!F:F)</f>
        <v>0</v>
      </c>
      <c r="C52" s="3">
        <f>SUMIF(总排期!H:H,A52,总排期!J:J)</f>
        <v>0</v>
      </c>
      <c r="D52" s="3">
        <f>SUMIF(已走货!H:H,A52,已走货!J:J)</f>
        <v>0</v>
      </c>
      <c r="E52" s="4">
        <f ca="1" t="shared" si="2"/>
        <v>0</v>
      </c>
      <c r="F52" s="5">
        <f>SUMIF(总接单!E:E,A52,总接单!CG:CG)</f>
        <v>0</v>
      </c>
      <c r="G52" s="5">
        <f>SUMIF(总排期!H:H,A52,总排期!AA:AA)</f>
        <v>0</v>
      </c>
      <c r="H52" s="5">
        <f>SUMIF(已走货!H:H,A52,已走货!AA:AA)</f>
        <v>0</v>
      </c>
      <c r="I52" s="6">
        <f t="shared" si="3"/>
        <v>0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52" etc:filterBottomFollowUsedRange="0">
    <sortState ref="A1:A52">
      <sortCondition ref="A1"/>
    </sortState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 xmlns:r="http://schemas.openxmlformats.org/officeDocument/2006/relationships">
  <commentList sheetStid="56">
    <commentChains s:ref="J3" rgbClr="FF0000">
      <unresolved>
        <commentChain chainId="2305759676d94aa4f912a7ebeb1fff3c226c7831">
          <item id="3e1fbff7fc69e47eff45febb117711c4a6fb4af7" isNormal="1">
            <s:text>
              <s:r>
                <s:t xml:space="preserve">Administrator:
转10000PCS到PO10094685</s:t>
              </s:r>
            </s:text>
          </item>
        </commentChain>
      </unresolved>
      <resolved/>
    </commentChains>
    <commentChains s:ref="J4" rgbClr="FF0000">
      <unresolved>
        <commentChain chainId="55d79f2e8379330ce31e641bb6ad37d5847c73af">
          <item id="e2995d86c5f78c010cb7cb83abd0cd5cc245be2a" isNormal="1">
            <s:text>
              <s:r>
                <s:t xml:space="preserve">Administrator:
转7800PCS到PO10094685
</s:t>
              </s:r>
            </s:text>
          </item>
        </commentChain>
      </unresolved>
      <resolved/>
    </commentChains>
    <commentChains s:ref="J5" rgbClr="FF0000">
      <unresolved>
        <commentChain chainId="3517b87296d2fcf8cfb056d7e876ff928ca2d53b">
          <item id="43768c69a312739fabe11e3a47e65383dbdd1433" isNormal="1">
            <s:text>
              <s:r>
                <s:t xml:space="preserve">Administrator:
转2000PCS到PO10094685
</s:t>
              </s:r>
            </s:text>
          </item>
        </commentChain>
      </unresolved>
      <resolved/>
    </commentChains>
    <commentChains s:ref="J6" rgbClr="FF0000">
      <unresolved>
        <commentChain chainId="3d567484d0d954a9927c526d46260ddfcc2a6f2a">
          <item id="b6f073ae8104b093e3b0983916f1c806a9897382" isNormal="1">
            <s:text>
              <s:r>
                <s:t xml:space="preserve">Administrator:
转10000PCS到PO10094708</s:t>
              </s:r>
            </s:text>
          </item>
        </commentChain>
      </unresolved>
      <resolved/>
    </commentChains>
    <commentChains s:ref="J7" rgbClr="FF0000">
      <unresolved>
        <commentChain chainId="dfb759957e05ce6b55f522f77e5656052383e7bf">
          <item id="0ce374922c5b1154d6552bd9c2980f9dd196b07c" isNormal="1">
            <s:text>
              <s:r>
                <s:t xml:space="preserve">Administrator:
转7800PCS到PO10094685
</s:t>
              </s:r>
            </s:text>
          </item>
        </commentChain>
      </unresolved>
      <resolved/>
    </commentChains>
    <commentChains s:ref="J8" rgbClr="FF0000">
      <unresolved>
        <commentChain chainId="9d4adfc868f36cb221ee5ea6f848aa07ff09c90a">
          <item id="ce337dd3ad0faa6e81c0cfbc6cb27c6d19983a30" isNormal="1">
            <s:text>
              <s:r>
                <s:t xml:space="preserve">转5000PCS到PO10094708</s:t>
              </s:r>
            </s:text>
          </item>
        </commentChain>
      </unresolved>
      <resolved/>
    </commentChains>
    <commentChains s:ref="J9" rgbClr="FF0000">
      <unresolved>
        <commentChain chainId="b3e14d45b9dda83a08603e5d3b19193793d4028e">
          <item id="b89fa897b92cf2ae29d9948e738ebd9a39c7f5af" isNormal="1">
            <s:text>
              <s:r>
                <s:t xml:space="preserve">Administrator:
转7800PCS到PO10094685
</s:t>
              </s:r>
            </s:text>
          </item>
        </commentChain>
      </unresolved>
      <resolved/>
    </commentChains>
    <commentChains s:ref="J10" rgbClr="FF0000">
      <unresolved>
        <commentChain chainId="d60aad5872a808b2fae666b49c08d22ec38464b0">
          <item id="8b017bf3ebe545b3b0a13615a302970045d0aa74" isNormal="1">
            <s:text>
              <s:r>
                <s:t xml:space="preserve">转1212PCS到 PO10097923</s:t>
              </s:r>
            </s:text>
          </item>
        </commentChain>
      </unresolved>
      <resolved/>
    </commentChains>
    <commentChains s:ref="J11" rgbClr="FF0000">
      <unresolved>
        <commentChain chainId="e8a838fbe61fb7b1b97513bb487a722f8df75096">
          <item id="f306680bb43e2f93f481ee82c08d9bc291f1d38a" isNormal="1">
            <s:text>
              <s:r>
                <s:t xml:space="preserve">转24500PCS到PO10096644</s:t>
              </s:r>
            </s:text>
          </item>
        </commentChain>
      </unresolved>
      <resolved/>
    </commentChains>
    <commentChains s:ref="J12" rgbClr="FF0000">
      <unresolved>
        <commentChain chainId="bf8e7a259295cf0deaf1a48be34fae90a4fd85f6">
          <item id="cb77abd7eb3ff59967096daf418d726f79807c32" isNormal="1">
            <s:text>
              <s:r>
                <s:t xml:space="preserve">转11696PCS到PO10096644</s:t>
              </s:r>
            </s:text>
          </item>
        </commentChain>
      </unresolved>
      <resolved/>
    </commentChains>
    <commentChains s:ref="J13" rgbClr="FF0000">
      <unresolved>
        <commentChain chainId="f7b2e23bbcf418d356d5d3ff2cdda0498e6d2380">
          <item id="69fadaa984d14ea812af283c87b3a6243def30f8" isNormal="1">
            <s:text>
              <s:r>
                <s:t xml:space="preserve">转26824PCS到 MPO20256370042
转1000PCS到MPO202506370041
转762PCS到MPO202506370042
转782PCS到MPO202506370043
</s:t>
              </s:r>
            </s:text>
          </item>
        </commentChain>
      </unresolved>
      <resolved/>
    </commentChains>
    <commentChains s:ref="AI13" rgbClr="FF0000">
      <unresolved>
        <commentChain chainId="32b7469f1f60f844e5b6250fb02dd17cc928c13a">
          <item id="418ab791981c14342be959dd4990a59835b89ee4" isNormal="1">
            <s:text>
              <s:r>
                <s:t xml:space="preserve">Administrator:
2/27 欠彩盒未上
3/7 已上齐</s:t>
              </s:r>
            </s:text>
          </item>
        </commentChain>
      </unresolved>
      <resolved/>
    </commentChains>
    <commentChains s:ref="J14" rgbClr="FF0000">
      <unresolved>
        <commentChain chainId="07289748f2cc20c9675bfa806f00d47f00a22f34">
          <item id="4b97944c9f34786d213249ed12df39c60109421a" isNormal="1">
            <s:text>
              <s:r>
                <s:t xml:space="preserve">转2040PCS到 PO10097288
转1716PCS到 PO10097284
转1804PCS到 PO10097287
转1672PCS到 PO10097261
转1604PCS到 PO10097394
转2384PCS到 PO10097396
转1728PCS到 PO10097297
转2864PCS到 PO10097299
转1268PCS到 PO10097301
</s:t>
              </s:r>
            </s:text>
          </item>
        </commentChain>
      </unresolved>
      <resolved/>
    </commentChains>
    <commentChains s:ref="J15" rgbClr="FF0000">
      <unresolved>
        <commentChain chainId="8f44362fef2e6b0d96a06a0afe562b4253ac8e9e">
          <item id="98aa6cbd98c050c938ef17f8cc14431551126ef3" isNormal="1">
            <s:text>
              <s:r>
                <s:t xml:space="preserve">转1346PCS到 PO10097288
转1042PCS到 PO10097284
转1092PCS到 PO10097287
转1006PCS到 PO10097398
转874PCS到 PO10097291
转388PCS到 PO10097394
转1636PCS到 PO10097296
转772PCS到 PO10097297
转1644PCS到 PO10097299
转242PCS到 PO10097301
</s:t>
              </s:r>
            </s:text>
          </item>
        </commentChain>
      </unresolved>
      <resolved/>
    </commentChains>
    <commentChains s:ref="J16" rgbClr="FF0000">
      <unresolved>
        <commentChain chainId="dc171ad8ce41718628e7debe3f77aeb0e12727db">
          <item id="f31c234fd05349bba2f6ebcafdd46be188257eeb" isNormal="1">
            <s:text>
              <s:r>
                <s:t xml:space="preserve">转129PCS到PO10098301
转492PCS到PO10098300
转38PCS到PO10098316
转43PCS到PO10098303
转51PCS到PO10098304
转67PCS到PO10098305
转24PCS到PO10098308
转200PCS到PO10098423
转35PCS到PO10098425
转12PCS到PO10098426
转30PCS到PO10098428
转184PCS到PO10098429
转240PCS到PO10098430
转24PCS到PO10098435</s:t>
              </s:r>
            </s:text>
          </item>
        </commentChain>
      </unresolved>
      <resolved/>
    </commentChains>
    <commentChains s:ref="J17" rgbClr="FF0000">
      <unresolved>
        <commentChain chainId="fa4fa5f0ddf5366299cb24f3a76ccbb8ba2c67df">
          <item id="d4e1456c8e33af966d5f0e9d83c828a028b45d7d" isNormal="1">
            <s:text>
              <s:r>
                <s:t xml:space="preserve">转126PCS到PO10098301
转16PCS到PO10098316
转60PCS到PO10098303
转58PCS到PO10098304
转92PCS到PO10098305
转20PCS到PO10098307
转20PCS到PO10098423
转20PCS到PO10098425
转20PCS到PO10098426
转60PCS到PO10098428
转120PCS到PO10098432
转4PCS到PO10098435
转64PCS到PO10098436
</s:t>
              </s:r>
            </s:text>
          </item>
        </commentChain>
      </unresolved>
      <resolved/>
    </commentChains>
    <commentChains s:ref="J18" rgbClr="FF0000">
      <unresolved>
        <commentChain chainId="6e0c9a84704bea4f6c37447aed52a45cb62906a3">
          <item id="e3de92d71d5f395bf5eaabf4e35c12aba76f039d" isNormal="1">
            <s:text>
              <s:r>
                <s:t xml:space="preserve">转108PCS到PO10098301
转126PCS到PO10098300
转32PCS到PO10098316
转50PCS到PO10098303
转58PCS到PO10098304
转48PCS到PO10098305
转22PCS到PO10098307
转6PCS到PO10098308
转44PCS到PO10098310
转150PCS到PO10098423
转52PCS到PO10098425
转20PCS到PO10098428
转10PCS到PO10098446
转60PCS到PO1009832
转18PCS到PO10098435</s:t>
              </s:r>
            </s:text>
          </item>
        </commentChain>
      </unresolved>
      <resolved/>
    </commentChains>
    <commentChains s:ref="J19" rgbClr="FF0000">
      <unresolved>
        <commentChain chainId="09211276c252e2227326c69fe865fa860226a748">
          <item id="51b6f68f9a7f0dddc10794093251404ee3ff986f" isNormal="1">
            <s:text>
              <s:r>
                <s:t xml:space="preserve">转32PCS到PO10098316
转20PCS到PO10098307
转64PCS到PO10098310
转32PCS到PO10098316
转20PCS到PO10098307
转64PCS到PO10098310
转80PCS到PO10098423
转24PCS到PO10098425
转40PCS到PO10098426
转272PCS到PO10098427
转40PCS到PO10098428
转80PCS到PO10098432
转8PCS到PO10098435</s:t>
              </s:r>
            </s:text>
          </item>
        </commentChain>
      </unresolved>
      <resolved/>
    </commentChains>
    <commentChains s:ref="J20" rgbClr="FF0000">
      <unresolved>
        <commentChain chainId="089d1f58e117d6adf5b15eadafbd0a9e775414b9">
          <item id="265f898b0fa77b3ff4486bf9a058c3c58ef791ca" isNormal="1">
            <s:text>
              <s:r>
                <s:t xml:space="preserve">转942PCS到PO10098301
转2240PCS到PO10098300
转576PCS到PO10098316
转412PCS到PO10098303
转370PCS到PO10098304
转676PCS到PO10098305
转72PCS到PO10098307
转160PCS到PO10098308
转360PCS到PO10098310
转2000PCS到PO10098423
转840PCS到PO10098425
转160PCS到PO10098426
转1000PCS到PO10098427
转800PCS到PO10098428
转4000PCS到PO10098429
转4400PCS到PO10098430
转300PCS到PO10098432
转7092PCS到PO10098433
转324PCS到PO10098435
转100PCS到PO10098436</s:t>
              </s:r>
            </s:text>
          </item>
        </commentChain>
      </unresolved>
      <resolved/>
    </commentChains>
    <commentChains s:ref="J21" rgbClr="FF0000">
      <unresolved>
        <commentChain chainId="4ed3ce5f1c6b7ed9cddebdbd014fdcd59115ffd7">
          <item id="141d0538ec233212abc3ebc712fc4946b88de690" isNormal="1">
            <s:text>
              <s:r>
                <s:t xml:space="preserve">转24PCS到PO10098308
再转36pcs到10098428
</s:t>
              </s:r>
            </s:text>
          </item>
        </commentChain>
      </unresolved>
      <resolved/>
    </commentChains>
    <commentChains s:ref="J22" rgbClr="FF0000">
      <unresolved>
        <commentChain chainId="5c4e915d7213fa214a85a29cba309dbe83439fe3">
          <item id="34c6a1bac634bdb3045260603e5e5b87053f7e36" isNormal="1">
            <s:text>
              <s:r>
                <s:t xml:space="preserve">转112PCS到PO10098301
转50PCS到PO10098316
转54PCS到PO10098303
转58PCS到PO10098304
转48PCS到PO10098305
转32PCS到PO10098308
转106PCS到PO10098310
转120PCS到PO10098423
转98PCS到PO10098425
转48PCS到PO10098426
转30PCS到PO10098428
转44PCS到PO10098435
转30PCS到PO10098436</s:t>
              </s:r>
            </s:text>
          </item>
        </commentChain>
      </unresolved>
      <resolved/>
    </commentChains>
    <commentChains s:ref="J23" rgbClr="FF0000">
      <unresolved>
        <commentChain chainId="7903cc7780a8d1aaaaa7dd4e41d27800408ebe11">
          <item id="ce282082b7378a69b491e4cc1687d2c8187eff02" isNormal="1">
            <s:text>
              <s:r>
                <s:t xml:space="preserve">Administrator:
扣250PC到PO:10099256</s:t>
              </s:r>
            </s:text>
          </item>
        </commentChain>
      </unresolved>
      <resolved/>
    </commentChains>
    <commentChains s:ref="J24" rgbClr="FF0000">
      <unresolved>
        <commentChain chainId="ea0d27279655e147b5f69a988f27cdec477d2d73">
          <item id="558c11d17dc50e05b1701736d8b2c811daeb4993" isNormal="1">
            <s:text>
              <s:r>
                <s:t xml:space="preserve">Administrator:
扣360PCS到PO:10099256</s:t>
              </s:r>
            </s:text>
          </item>
        </commentChain>
      </unresolved>
      <resolved/>
    </commentChains>
    <commentChains s:ref="J25" rgbClr="FF0000">
      <unresolved>
        <commentChain chainId="8d4dfb0998c5699e8ca74adbc92de1ffd21cf9b2">
          <item id="ae1bbadfac6612387ed832e6541e353f7209c8ac" isNormal="1">
            <s:text>
              <s:r>
                <s:t xml:space="preserve">Administrator:
扣200PCS到10099257</s:t>
              </s:r>
            </s:text>
          </item>
        </commentChain>
      </unresolved>
      <resolved/>
    </commentChains>
    <commentChains s:ref="J26" rgbClr="FF0000">
      <unresolved>
        <commentChain chainId="a9332853c649298682324759d4185e87be1ff83f">
          <item id="5884f1c1985749dcff9ac554ae9a5c284ea1976e" isNormal="1">
            <s:text>
              <s:r>
                <s:t xml:space="preserve">Administrator:
扣580PCS到10099257</s:t>
              </s:r>
            </s:text>
          </item>
        </commentChain>
      </unresolved>
      <resolved/>
    </commentChains>
    <commentChains s:ref="J27" rgbClr="FF0000">
      <unresolved>
        <commentChain chainId="50473dcfa7780d5a2663cd80d2923f63d2356035">
          <item id="21289529368db79aaa1f2ab39cf2269a6bfdb861" isNormal="1">
            <s:text>
              <s:r>
                <s:t xml:space="preserve">Administrator:
扣120PCS到10099257</s:t>
              </s:r>
            </s:text>
          </item>
        </commentChain>
      </unresolved>
      <resolved/>
    </commentChains>
    <commentChains s:ref="J31" rgbClr="FF0000">
      <unresolved>
        <commentChain chainId="6277fd9512c41addc00054c0f5a5f549350546f8">
          <item id="338f94401af62a5148da04efdcb1d05c0bc0fadf" isNormal="1">
            <s:text>
              <s:r>
                <s:t xml:space="preserve">Administrator:
5/23转846PCS到10102395</s:t>
              </s:r>
            </s:text>
          </item>
        </commentChain>
      </unresolved>
      <resolved/>
    </commentChains>
    <commentChains s:ref="AJ31" rgbClr="FF0000">
      <unresolved>
        <commentChain chainId="4a00295e9db5f2e173c554b5ccc74ee4744657dd">
          <item id="3fa31481eb23e6f996336ce6535b3cf24ed56572" isNormal="1">
            <s:text>
              <s:r>
                <s:t xml:space="preserve">Administrator:
MO单备料 2500pcs</s:t>
              </s:r>
            </s:text>
          </item>
        </commentChain>
      </unresolved>
      <resolved/>
    </commentChains>
    <commentChains s:ref="AJ32" rgbClr="FF0000">
      <unresolved>
        <commentChain chainId="915e1dac89b35ce050b447a791a969a6765d93b0">
          <item id="b8dae665beb1b5d28e0370f878b8938ca3064d79" isNormal="1">
            <s:text>
              <s:r>
                <s:t xml:space="preserve">Administrator:
MO单备料 2500pcs</s:t>
              </s:r>
            </s:text>
          </item>
        </commentChain>
      </unresolved>
      <resolved/>
    </commentChains>
    <commentChains s:ref="AJ33" rgbClr="FF0000">
      <unresolved>
        <commentChain chainId="2f87a54a3cdc76e049b7083ba8d74f799ec4f50a">
          <item id="ac3c5e848458db3b04a62f9b06427b1caa23f481" isNormal="1">
            <s:text>
              <s:r>
                <s:t xml:space="preserve">Administrator:
MO单备料2500pcs</s:t>
              </s:r>
            </s:text>
          </item>
        </commentChain>
      </unresolved>
      <resolved/>
    </commentChains>
    <commentChains s:ref="AI34" rgbClr="FF0000">
      <unresolved>
        <commentChain chainId="257f183112819f19e354c1d85f1aa02d3380653a">
          <item id="1434aa4e14b79634f1ef0171b4cf1bc3ec2804e5" isNormal="1">
            <s:text>
              <s:r>
                <s:t xml:space="preserve">Administrator:
2024 已上
3/27 上补数物料</s:t>
              </s:r>
            </s:text>
          </item>
        </commentChain>
      </unresolved>
      <resolved/>
    </commentChains>
    <commentChains s:ref="J35" rgbClr="FF0000">
      <unresolved>
        <commentChain chainId="e3023ecb7394b63760b1f75285a4d746a093d2b2">
          <item id="bb5c432568b3830acc8168d25e50dda4b9524084" isNormal="1">
            <s:text>
              <s:r>
                <s:t xml:space="preserve">Administrator:
5/21转4440PCS到10102080
5/21转3304PCS到10102077
5/29转4704PCS到10102864
5/29转6596PCS到10102873</s:t>
              </s:r>
            </s:text>
          </item>
        </commentChain>
      </unresolved>
      <resolved/>
    </commentChains>
    <commentChains s:ref="J36" rgbClr="FF0000">
      <unresolved>
        <commentChain chainId="a436d547909e128c35622ddeeb33634671d1ae5d">
          <item id="b4553e7828cf964aab04a0e572ba5fe5ce93a811" isNormal="1">
            <s:text>
              <s:r>
                <s:t xml:space="preserve">Administrator:
转2505PCS到10102874</s:t>
              </s:r>
            </s:text>
          </item>
        </commentChain>
      </unresolved>
      <resolved/>
    </commentChains>
    <commentChains s:ref="AK36" rgbClr="FF0000">
      <unresolved>
        <commentChain chainId="d51db53b5da9c8962e70edce558945749fc083b0">
          <item id="1e7b2e00dd57c441ad6aaf31ce4d03c7e614cc81" isNormal="1">
            <s:text>
              <s:r>
                <s:t xml:space="preserve">Administrator:
此单开始中国下单
</s:t>
              </s:r>
            </s:text>
          </item>
        </commentChain>
      </unresolved>
      <resolved/>
    </commentChains>
    <commentChains s:ref="J37" rgbClr="FF0000">
      <unresolved>
        <commentChain chainId="195dd418c673451b6a983fe42db6bf873f017a0c">
          <item id="e3651c1f28def31e0cde2aca86b16af6ac9cf3ad" isNormal="1">
            <s:text>
              <s:r>
                <s:t xml:space="preserve">Administrator:
转2505PCS到10102874</s:t>
              </s:r>
            </s:text>
          </item>
        </commentChain>
      </unresolved>
      <resolved/>
    </commentChains>
    <commentChains s:ref="AK37" rgbClr="FF0000">
      <unresolved>
        <commentChain chainId="892a51f0ac055cf38a4a624b6451584f5defddf8">
          <item id="2428111f946cd6cde6967b29c9934dbb2ac6282f" isNormal="1">
            <s:text>
              <s:r>
                <s:t xml:space="preserve">Administrator:
此单开始中国下单
</s:t>
              </s:r>
            </s:text>
          </item>
        </commentChain>
      </unresolved>
      <resolved/>
    </commentChains>
    <commentChains s:ref="J38" rgbClr="FF0000">
      <unresolved>
        <commentChain chainId="95be985c4344e38445c3fcd901d92a237d5c4356">
          <item id="e78947f7ffd0d951d3b665f18f84536c4022c623" isNormal="1">
            <s:text>
              <s:r>
                <s:t xml:space="preserve">Administrator:
从PO10097437转入16PCS
5/28转5008PCS到10102876
转3576PCS到10102879
转4016PCS到10102878
转4500PCS到10102871
转6256PCS到10102869</s:t>
              </s:r>
            </s:text>
          </item>
        </commentChain>
      </unresolved>
      <resolved/>
    </commentChains>
    <commentChains s:ref="J39" rgbClr="FF0000">
      <unresolved>
        <commentChain chainId="7f62f362428f803104bdc6d5bca00bc1f8817a68">
          <item id="2d397a9a62c3faf41c76a9e33c895bd262bc2502" isNormal="1">
            <s:text>
              <s:r>
                <s:t xml:space="preserve">Administrator:
转748PCS到10103582
转52PCS到10103418</s:t>
              </s:r>
            </s:text>
          </item>
        </commentChain>
      </unresolved>
      <resolved/>
    </commentChains>
    <commentChains s:ref="J40" rgbClr="FF0000">
      <unresolved>
        <commentChain chainId="6338248e487a1ee6d5d651f23ff88072d78a83ee">
          <item id="8288210ddf6a6bc4a6db198d86f006f1f49108d9" isNormal="1">
            <s:text>
              <s:r>
                <s:t xml:space="preserve">Administrator:
转736PCS到10103582
转46PCS到10103418</s:t>
              </s:r>
            </s:text>
          </item>
        </commentChain>
      </unresolved>
      <resolved/>
    </commentChains>
    <commentChains s:ref="J41" rgbClr="FF0000">
      <unresolved>
        <commentChain chainId="fe4c35e7611fe386deaffd88aea616cc4047d87f">
          <item id="4395ec27024e4a5eceb34a8ede92c9c479835997" isNormal="1">
            <s:text>
              <s:r>
                <s:t xml:space="preserve">Administrator:
转368PCS到10103582
转23PCS到10103418</s:t>
              </s:r>
            </s:text>
          </item>
        </commentChain>
      </unresolved>
      <resolved/>
    </commentChains>
    <commentChains s:ref="AJ41" rgbClr="FF0000">
      <unresolved>
        <commentChain chainId="ba900a986ea5138966e9599674051de653fe4cef">
          <item id="acd40829b06dee7523a631d38d59e03e834960f5" isNormal="1">
            <s:text>
              <s:r>
                <s:t xml:space="preserve">Administrator:
MO单备料 2500pcs</s:t>
              </s:r>
            </s:text>
          </item>
        </commentChain>
      </unresolved>
      <resolved/>
    </commentChains>
    <commentChains s:ref="J42" rgbClr="FF0000">
      <unresolved>
        <commentChain chainId="293462c742aaeb11a7c6c0215460f0793ddecd07">
          <item id="55e207354d7ac5d473b09f82bbe13be635fa4c5b" isNormal="1">
            <s:text>
              <s:r>
                <s:t xml:space="preserve">Administrator:
转1124PCS到10104666
转1236PCS到10104649
转1180PCS到10104647
转1372PCS到10104653
转2176PCS到10104659
转936PCS到10104644
转964PCS到10104646
转1284PCS到10104648
转1488PCS到10104651
转1040PCS到10104656
</s:t>
              </s:r>
            </s:text>
          </item>
        </commentChain>
      </unresolved>
      <resolved/>
    </commentChains>
    <commentChains s:ref="J43" rgbClr="FF0000">
      <unresolved>
        <commentChain chainId="fcbca2d601550b819cf7f098e9c087115c6e52f8">
          <item id="6ffe2f9ace839a0409ff292d765859e522fa5fc4" isNormal="1">
            <s:text>
              <s:r>
                <s:t xml:space="preserve">Administrator:
转564PCS到10104666
转528PCS到10104649
转504PCS到10104647
转684PCS到10104653
转1086PCS到10104659
转408PCS到10104644
转414PCS到10104646
转546PCS到10104648
转744PCS到10104651
转522PCS到10104656</s:t>
              </s:r>
            </s:text>
          </item>
        </commentChain>
      </unresolved>
      <resolved/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48" interlineOnOff="0" interlineColor="0" isDbSheet="0" isDashBoardSheet="0" isDbDashBoardSheet="0" isFlexPaperSheet="0">
      <cellprotection/>
      <appEtDbRelations/>
    </woSheetProps>
    <woSheetProps sheetStid="47" interlineOnOff="0" interlineColor="0" isDbSheet="0" isDashBoardSheet="0" isDbDashBoardSheet="0" isFlexPaperSheet="0">
      <cellprotection/>
      <appEtDbRelations/>
    </woSheetProps>
    <woSheetProps sheetStid="45" interlineOnOff="0" interlineColor="0" isDbSheet="0" isDashBoardSheet="0" isDbDashBoardSheet="0" isFlexPaperSheet="0">
      <cellprotection/>
      <appEtDbRelations/>
    </woSheetProps>
    <woSheetProps sheetStid="55" interlineOnOff="0" interlineColor="0" isDbSheet="0" isDashBoardSheet="0" isDbDashBoardSheet="0" isFlexPaperSheet="0">
      <cellprotection/>
      <appEtDbRelations/>
    </woSheetProps>
    <woSheetProps sheetStid="56" interlineOnOff="0" interlineColor="0" isDbSheet="0" isDashBoardSheet="0" isDbDashBoardSheet="0" isFlexPaperSheet="0">
      <cellprotection/>
      <appEtDbRelations/>
    </woSheetProps>
    <woSheetProps sheetStid="57" interlineOnOff="0" interlineColor="0" isDbSheet="0" isDashBoardSheet="0" isDbDashBoardSheet="0" isFlexPaperSheet="0">
      <cellprotection/>
      <appEtDbRelations/>
    </woSheetProps>
  </woSheetsProps>
  <woBookProps>
    <bookSettings fileId="532327617042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48"/>
  <pixelatorList sheetStid="47"/>
  <pixelatorList sheetStid="45"/>
  <pixelatorList sheetStid="55"/>
  <pixelatorList sheetStid="56"/>
  <pixelatorList sheetStid="57"/>
  <pixelatorList sheetStid="58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WWO_wpscloud_20260603020957-b230a22616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名称</vt:lpstr>
      <vt:lpstr>总接单</vt:lpstr>
      <vt:lpstr>总排期</vt:lpstr>
      <vt:lpstr>已走货</vt:lpstr>
      <vt:lpstr>取消单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Misaya</cp:lastModifiedBy>
  <dcterms:created xsi:type="dcterms:W3CDTF">1996-12-17T09:32:00Z</dcterms:created>
  <cp:lastPrinted>2018-12-13T17:58:00Z</cp:lastPrinted>
  <dcterms:modified xsi:type="dcterms:W3CDTF">2026-06-15T09:50:00Z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2052-12.9.0.26953</vt:lpwstr>
  </property>
  <property fmtid="{D5CDD505-2E9C-101B-9397-08002B2CF9AE}" pid="3" name="ICV">
    <vt:lpwstr>264102A41AFD4D1AB8388DE21E77F31D_13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