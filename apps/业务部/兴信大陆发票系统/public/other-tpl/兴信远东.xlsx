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igerhead (2)" sheetId="1" state="visible" r:id="rId1"/>
    <sheet name="Cepia" sheetId="2" state="visible" r:id="rId2"/>
    <sheet name="Moose" sheetId="3" state="visible" r:id="rId3"/>
    <sheet name="Lung Cheong" sheetId="4" state="visible" r:id="rId4"/>
    <sheet name="Tokidos" sheetId="5" state="visible" r:id="rId5"/>
    <sheet name="Tokidos (2)" sheetId="6" state="visible" r:id="rId6"/>
    <sheet name="Exceenis" sheetId="7" state="visible" r:id="rId7"/>
  </sheets>
  <definedNames>
    <definedName name="_xlnm.Print_Area" localSheetId="0">'Tigerhead (2)'!$A$8:$I$46</definedName>
    <definedName name="_xlnm.Print_Area" localSheetId="1">Cepia!$A$8:$I$46</definedName>
    <definedName name="_xlnm.Print_Area" localSheetId="2">Moose!$A$8:$I$46</definedName>
    <definedName name="_xlnm.Print_Area" localSheetId="3">'Lung Cheong'!$A$8:$I$46</definedName>
    <definedName name="_xlnm.Print_Area" localSheetId="4">Tokidos!$A$8:$I$46</definedName>
    <definedName name="_xlnm.Print_Area" localSheetId="5">'Tokidos (2)'!$A$8:$I$46</definedName>
    <definedName name="_xlnm.Print_Area" localSheetId="6">Exceenis!$A$8:$I$46</definedName>
  </definedNames>
  <calcPr calcMode="auto" fullCalcOnLoad="1"/>
</workbook>
</file>

<file path=xl/styles.xml><?xml version="1.0" encoding="utf-8"?>
<styleSheet xmlns="http://schemas.openxmlformats.org/spreadsheetml/2006/main">
  <numFmts count="12">
    <numFmt numFmtId="164" formatCode="0.0000_);[RED]\(0.0000\)"/>
    <numFmt numFmtId="165" formatCode="0.00_);[RED]\(0.00\)"/>
    <numFmt numFmtId="166" formatCode="0.000_);[RED]\(0.000\)"/>
    <numFmt numFmtId="167" formatCode="[$-804]d\-mmm\-yy"/>
    <numFmt numFmtId="168" formatCode="_ * #,##0.00_ ;_ * \-#,##0.00_ ;_ * \-??_ ;_ @_ "/>
    <numFmt numFmtId="169" formatCode="0.000"/>
    <numFmt numFmtId="170" formatCode="0.0000_ "/>
    <numFmt numFmtId="171" formatCode="#,##0.00_);[RED]\(#,##0.00\)"/>
    <numFmt numFmtId="172" formatCode="0.0000_ ;[RED]\-0.0000\ "/>
    <numFmt numFmtId="173" formatCode="#,##0.00_ "/>
    <numFmt numFmtId="174" formatCode="0.00_ "/>
    <numFmt numFmtId="175" formatCode="0.00_ ;[RED]\-0.00\ "/>
  </numFmts>
  <fonts count="28">
    <font>
      <name val="宋体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sz val="9"/>
    </font>
    <font>
      <name val="宋体"/>
      <charset val="134"/>
      <family val="0"/>
      <sz val="10"/>
    </font>
    <font>
      <name val="宋体"/>
      <charset val="134"/>
      <family val="0"/>
      <sz val="11"/>
    </font>
    <font>
      <name val="宋体"/>
      <family val="0"/>
      <b val="1"/>
      <sz val="12"/>
    </font>
    <font>
      <name val="宋体"/>
      <charset val="134"/>
      <family val="0"/>
      <b val="1"/>
      <sz val="10"/>
    </font>
    <font>
      <name val="宋体"/>
      <charset val="134"/>
      <family val="0"/>
      <b val="1"/>
      <sz val="12"/>
    </font>
    <font>
      <name val="Times New Roman"/>
      <family val="1"/>
      <b val="1"/>
      <sz val="16"/>
    </font>
    <font>
      <name val="Times New Roman"/>
      <family val="1"/>
      <sz val="12"/>
    </font>
    <font>
      <name val="宋体"/>
      <charset val="134"/>
      <family val="0"/>
      <sz val="14"/>
    </font>
    <font>
      <name val="宋体"/>
      <charset val="134"/>
      <family val="0"/>
      <b val="1"/>
      <color rgb="FF000000"/>
      <sz val="10"/>
    </font>
    <font>
      <name val="幼圆"/>
      <charset val="134"/>
      <family val="3"/>
      <sz val="11"/>
    </font>
    <font>
      <name val="Times New Roman"/>
      <family val="1"/>
      <sz val="11"/>
    </font>
    <font>
      <name val="宋体"/>
      <charset val="134"/>
      <family val="0"/>
      <sz val="10.5"/>
    </font>
    <font>
      <name val="Times New Roman"/>
      <family val="1"/>
      <color rgb="FF000000"/>
      <sz val="11"/>
    </font>
    <font>
      <name val="Times New Roman"/>
      <family val="1"/>
      <sz val="10"/>
    </font>
    <font>
      <name val="Times New Roman"/>
      <family val="1"/>
      <b val="1"/>
      <color rgb="FF000000"/>
      <sz val="10"/>
    </font>
    <font>
      <name val="宋体"/>
      <family val="0"/>
      <sz val="10"/>
    </font>
    <font>
      <name val="宋体"/>
      <charset val="134"/>
      <family val="0"/>
      <sz val="9"/>
    </font>
    <font>
      <name val="Times New Roman"/>
      <family val="1"/>
      <sz val="10"/>
      <u val="single"/>
    </font>
    <font>
      <name val="宋体"/>
      <charset val="134"/>
      <family val="0"/>
      <sz val="10"/>
      <u val="single"/>
    </font>
    <font>
      <name val="宋体"/>
      <family val="0"/>
      <sz val="9"/>
    </font>
    <font>
      <name val="Times New Roman"/>
      <family val="1"/>
      <sz val="9"/>
    </font>
    <font>
      <name val="Times New Roman"/>
      <family val="1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9">
    <xf numFmtId="0" fontId="0" fillId="0" borderId="0" applyAlignment="1">
      <alignment horizontal="general" vertical="bottom"/>
    </xf>
    <xf numFmtId="168" fontId="0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1" fontId="5" fillId="0" borderId="0" applyAlignment="1" applyProtection="1">
      <alignment horizontal="general" vertical="bottom"/>
      <protection locked="0" hidden="0"/>
    </xf>
    <xf numFmtId="0" fontId="0" fillId="0" borderId="0"/>
    <xf numFmtId="0" fontId="0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168">
    <xf numFmtId="0" fontId="0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49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49" fontId="8" fillId="0" borderId="0" applyAlignment="1" pivotButton="0" quotePrefix="0" xfId="0">
      <alignment horizontal="left" vertical="bottom"/>
    </xf>
    <xf numFmtId="49" fontId="9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49" fontId="11" fillId="0" borderId="0" applyAlignment="1" pivotButton="0" quotePrefix="0" xfId="0">
      <alignment horizontal="center" vertical="center"/>
    </xf>
    <xf numFmtId="0" fontId="7" fillId="0" borderId="0" applyAlignment="1" pivotButton="0" quotePrefix="0" xfId="29">
      <alignment horizontal="left" vertical="bottom"/>
    </xf>
    <xf numFmtId="167" fontId="12" fillId="0" borderId="0" applyAlignment="1" pivotButton="0" quotePrefix="0" xfId="0">
      <alignment horizontal="left" vertical="bottom"/>
    </xf>
    <xf numFmtId="49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right" vertical="bottom"/>
    </xf>
    <xf numFmtId="164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right" vertical="bottom"/>
    </xf>
    <xf numFmtId="0" fontId="13" fillId="0" borderId="0" applyAlignment="1" pivotButton="0" quotePrefix="0" xfId="27">
      <alignment horizontal="general" vertical="bottom"/>
    </xf>
    <xf numFmtId="0" fontId="14" fillId="0" borderId="0" applyAlignment="1" pivotButton="0" quotePrefix="0" xfId="0">
      <alignment horizontal="center" vertical="center"/>
    </xf>
    <xf numFmtId="168" fontId="6" fillId="0" borderId="0" applyAlignment="1" pivotButton="0" quotePrefix="0" xfId="15">
      <alignment horizontal="right" vertical="bottom"/>
    </xf>
    <xf numFmtId="49" fontId="6" fillId="0" borderId="0" applyAlignment="1" pivotButton="0" quotePrefix="0" xfId="0">
      <alignment horizontal="left" vertical="bottom"/>
    </xf>
    <xf numFmtId="0" fontId="0" fillId="0" borderId="0" applyAlignment="1" pivotButton="0" quotePrefix="0" xfId="27">
      <alignment horizontal="general" vertical="bottom"/>
    </xf>
    <xf numFmtId="0" fontId="6" fillId="0" borderId="0" applyAlignment="1" pivotButton="0" quotePrefix="0" xfId="31">
      <alignment horizontal="center" vertical="top"/>
    </xf>
    <xf numFmtId="166" fontId="15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right" vertical="bottom"/>
    </xf>
    <xf numFmtId="0" fontId="12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27">
      <alignment horizontal="general" vertical="bottom"/>
    </xf>
    <xf numFmtId="0" fontId="17" fillId="0" borderId="0" applyAlignment="1" pivotButton="0" quotePrefix="0" xfId="27">
      <alignment horizontal="general" vertical="bottom"/>
    </xf>
    <xf numFmtId="0" fontId="6" fillId="0" borderId="0" applyAlignment="1" pivotButton="0" quotePrefix="0" xfId="25">
      <alignment horizontal="center" vertical="bottom"/>
    </xf>
    <xf numFmtId="0" fontId="18" fillId="0" borderId="0" applyAlignment="1" pivotButton="0" quotePrefix="0" xfId="0">
      <alignment horizontal="center" vertical="center"/>
    </xf>
    <xf numFmtId="0" fontId="6" fillId="0" borderId="0" applyAlignment="1" pivotButton="0" quotePrefix="0" xfId="27">
      <alignment horizontal="general" vertical="bottom" wrapText="1"/>
    </xf>
    <xf numFmtId="0" fontId="19" fillId="0" borderId="0" applyAlignment="1" pivotButton="0" quotePrefix="0" xfId="27">
      <alignment horizontal="general" vertical="bottom" wrapText="1"/>
    </xf>
    <xf numFmtId="0" fontId="18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27">
      <alignment horizontal="center" vertical="center"/>
    </xf>
    <xf numFmtId="0" fontId="16" fillId="0" borderId="0" applyAlignment="1" pivotButton="0" quotePrefix="0" xfId="27">
      <alignment horizontal="general" vertical="center"/>
    </xf>
    <xf numFmtId="170" fontId="18" fillId="0" borderId="0" applyAlignment="1" pivotButton="0" quotePrefix="0" xfId="0">
      <alignment horizontal="center" vertical="center" wrapText="1"/>
    </xf>
    <xf numFmtId="171" fontId="16" fillId="0" borderId="0" applyAlignment="1" pivotButton="0" quotePrefix="0" xfId="29">
      <alignment horizontal="general" vertical="bottom"/>
    </xf>
    <xf numFmtId="49" fontId="16" fillId="0" borderId="0" applyAlignment="1" pivotButton="0" quotePrefix="0" xfId="0">
      <alignment horizontal="right" vertical="bottom"/>
    </xf>
    <xf numFmtId="172" fontId="20" fillId="0" borderId="1" applyAlignment="1" pivotButton="0" quotePrefix="0" xfId="0">
      <alignment horizontal="center" vertical="center"/>
    </xf>
    <xf numFmtId="173" fontId="12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right" vertical="bottom"/>
    </xf>
    <xf numFmtId="0" fontId="19" fillId="0" borderId="0" applyAlignment="1" pivotButton="0" quotePrefix="0" xfId="27">
      <alignment horizontal="general" vertical="bottom"/>
    </xf>
    <xf numFmtId="49" fontId="19" fillId="0" borderId="0" applyAlignment="1" pivotButton="0" quotePrefix="0" xfId="0">
      <alignment horizontal="general" vertical="bottom"/>
    </xf>
    <xf numFmtId="49" fontId="2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49" fontId="6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74" fontId="12" fillId="0" borderId="0" applyAlignment="1" pivotButton="0" quotePrefix="0" xfId="0">
      <alignment horizontal="general" vertical="bottom"/>
    </xf>
    <xf numFmtId="0" fontId="17" fillId="0" borderId="0" applyAlignment="1" pivotButton="0" quotePrefix="0" xfId="27">
      <alignment horizontal="center" vertical="center"/>
    </xf>
    <xf numFmtId="49" fontId="6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0" fontId="6" fillId="0" borderId="0" applyAlignment="1" pivotButton="0" quotePrefix="0" xfId="27">
      <alignment horizontal="left" vertical="top" wrapText="1"/>
    </xf>
    <xf numFmtId="0" fontId="7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center" vertical="bottom"/>
    </xf>
    <xf numFmtId="168" fontId="0" fillId="0" borderId="0" applyAlignment="1" pivotButton="0" quotePrefix="0" xfId="0">
      <alignment horizontal="general" vertical="bottom"/>
    </xf>
    <xf numFmtId="173" fontId="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right" vertical="bottom"/>
    </xf>
    <xf numFmtId="165" fontId="6" fillId="0" borderId="0" applyAlignment="1" pivotButton="0" quotePrefix="0" xfId="0">
      <alignment horizontal="left" vertical="bottom"/>
    </xf>
    <xf numFmtId="0" fontId="19" fillId="0" borderId="0" applyAlignment="1" pivotButton="0" quotePrefix="0" xfId="27">
      <alignment horizontal="center" vertical="center"/>
    </xf>
    <xf numFmtId="173" fontId="19" fillId="0" borderId="0" applyAlignment="1" pivotButton="0" quotePrefix="0" xfId="15">
      <alignment horizontal="right" vertical="bottom"/>
    </xf>
    <xf numFmtId="0" fontId="22" fillId="0" borderId="0" applyAlignment="1" pivotButton="0" quotePrefix="0" xfId="0">
      <alignment horizontal="right" vertical="bottom"/>
    </xf>
    <xf numFmtId="0" fontId="26" fillId="0" borderId="0" applyAlignment="1" pivotButton="0" quotePrefix="0" xfId="27">
      <alignment horizontal="center" vertical="bottom" wrapText="1"/>
    </xf>
    <xf numFmtId="0" fontId="26" fillId="0" borderId="0" applyAlignment="1" pivotButton="0" quotePrefix="0" xfId="27">
      <alignment horizontal="center" vertical="bottom"/>
    </xf>
    <xf numFmtId="0" fontId="19" fillId="0" borderId="0" applyAlignment="1" pivotButton="0" quotePrefix="0" xfId="27">
      <alignment horizontal="center" vertical="bottom"/>
    </xf>
    <xf numFmtId="0" fontId="23" fillId="0" borderId="0" applyAlignment="1" pivotButton="0" quotePrefix="0" xfId="0">
      <alignment horizontal="center" vertical="bottom"/>
    </xf>
    <xf numFmtId="0" fontId="16" fillId="0" borderId="0" applyAlignment="1" pivotButton="0" quotePrefix="0" xfId="27">
      <alignment horizontal="left" vertical="center"/>
    </xf>
    <xf numFmtId="174" fontId="7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16" fillId="0" borderId="0" applyAlignment="1" pivotButton="0" quotePrefix="0" xfId="27">
      <alignment horizontal="general" vertical="bottom"/>
    </xf>
    <xf numFmtId="0" fontId="19" fillId="0" borderId="0" applyAlignment="1" pivotButton="0" quotePrefix="0" xfId="27">
      <alignment horizontal="left" vertical="bottom" wrapText="1"/>
    </xf>
    <xf numFmtId="171" fontId="16" fillId="0" borderId="0" applyAlignment="1" pivotButton="0" quotePrefix="0" xfId="29">
      <alignment horizontal="general" vertical="bottom" wrapText="1"/>
    </xf>
    <xf numFmtId="0" fontId="7" fillId="0" borderId="0" applyAlignment="1" pivotButton="0" quotePrefix="0" xfId="27">
      <alignment horizontal="left" vertical="center"/>
    </xf>
    <xf numFmtId="175" fontId="20" fillId="0" borderId="1" applyAlignment="1" pivotButton="0" quotePrefix="0" xfId="0">
      <alignment horizontal="center" vertical="center"/>
    </xf>
    <xf numFmtId="0" fontId="7" fillId="0" borderId="0" applyAlignment="1" pivotButton="0" quotePrefix="0" xfId="27">
      <alignment horizontal="general" vertical="bottom"/>
    </xf>
    <xf numFmtId="175" fontId="20" fillId="0" borderId="1" applyAlignment="1" pivotButton="0" quotePrefix="0" xfId="0">
      <alignment horizontal="center" vertical="center" wrapText="1"/>
    </xf>
    <xf numFmtId="0" fontId="16" fillId="0" borderId="0" applyAlignment="1" pivotButton="0" quotePrefix="0" xfId="27">
      <alignment horizontal="left" vertical="bottom"/>
    </xf>
    <xf numFmtId="174" fontId="18" fillId="0" borderId="0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49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8" fillId="0" borderId="0" applyAlignment="1" pivotButton="0" quotePrefix="0" xfId="0">
      <alignment horizontal="left" vertical="bottom"/>
    </xf>
    <xf numFmtId="49" fontId="9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49" fontId="11" fillId="0" borderId="0" applyAlignment="1" pivotButton="0" quotePrefix="0" xfId="0">
      <alignment horizontal="center" vertical="center"/>
    </xf>
    <xf numFmtId="0" fontId="7" fillId="0" borderId="0" applyAlignment="1" pivotButton="0" quotePrefix="0" xfId="29">
      <alignment horizontal="left" vertical="bottom"/>
    </xf>
    <xf numFmtId="167" fontId="12" fillId="0" borderId="0" applyAlignment="1" pivotButton="0" quotePrefix="0" xfId="0">
      <alignment horizontal="left" vertical="bottom"/>
    </xf>
    <xf numFmtId="49" fontId="13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right" vertical="bottom"/>
    </xf>
    <xf numFmtId="164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right" vertical="bottom"/>
    </xf>
    <xf numFmtId="0" fontId="13" fillId="0" borderId="0" applyAlignment="1" pivotButton="0" quotePrefix="0" xfId="27">
      <alignment horizontal="general" vertical="bottom"/>
    </xf>
    <xf numFmtId="0" fontId="14" fillId="0" borderId="0" applyAlignment="1" pivotButton="0" quotePrefix="0" xfId="0">
      <alignment horizontal="center" vertical="center"/>
    </xf>
    <xf numFmtId="168" fontId="6" fillId="0" borderId="0" applyAlignment="1" pivotButton="0" quotePrefix="0" xfId="15">
      <alignment horizontal="right" vertical="bottom"/>
    </xf>
    <xf numFmtId="49" fontId="6" fillId="0" borderId="0" applyAlignment="1" pivotButton="0" quotePrefix="0" xfId="0">
      <alignment horizontal="left" vertical="bottom"/>
    </xf>
    <xf numFmtId="0" fontId="0" fillId="0" borderId="0" applyAlignment="1" pivotButton="0" quotePrefix="0" xfId="27">
      <alignment horizontal="general" vertical="bottom"/>
    </xf>
    <xf numFmtId="0" fontId="6" fillId="0" borderId="0" applyAlignment="1" pivotButton="0" quotePrefix="0" xfId="31">
      <alignment horizontal="center" vertical="top"/>
    </xf>
    <xf numFmtId="166" fontId="15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right" vertical="bottom"/>
    </xf>
    <xf numFmtId="0" fontId="12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0" applyAlignment="1" pivotButton="0" quotePrefix="0" xfId="27">
      <alignment horizontal="general" vertical="bottom"/>
    </xf>
    <xf numFmtId="0" fontId="17" fillId="0" borderId="0" applyAlignment="1" pivotButton="0" quotePrefix="0" xfId="27">
      <alignment horizontal="general" vertical="bottom"/>
    </xf>
    <xf numFmtId="0" fontId="6" fillId="0" borderId="0" applyAlignment="1" pivotButton="0" quotePrefix="0" xfId="25">
      <alignment horizontal="center" vertical="bottom"/>
    </xf>
    <xf numFmtId="0" fontId="26" fillId="0" borderId="0" applyAlignment="1" pivotButton="0" quotePrefix="0" xfId="27">
      <alignment horizontal="center" vertical="bottom" wrapText="1"/>
    </xf>
    <xf numFmtId="0" fontId="18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27">
      <alignment horizontal="center" vertical="center"/>
    </xf>
    <xf numFmtId="0" fontId="16" fillId="0" borderId="0" applyAlignment="1" pivotButton="0" quotePrefix="0" xfId="27">
      <alignment horizontal="general" vertical="center"/>
    </xf>
    <xf numFmtId="171" fontId="16" fillId="0" borderId="0" applyAlignment="1" pivotButton="0" quotePrefix="0" xfId="29">
      <alignment horizontal="general" vertical="bottom"/>
    </xf>
    <xf numFmtId="49" fontId="16" fillId="0" borderId="0" applyAlignment="1" pivotButton="0" quotePrefix="0" xfId="0">
      <alignment horizontal="right" vertical="bottom"/>
    </xf>
    <xf numFmtId="172" fontId="20" fillId="0" borderId="1" applyAlignment="1" pivotButton="0" quotePrefix="0" xfId="0">
      <alignment horizontal="center" vertical="center"/>
    </xf>
    <xf numFmtId="173" fontId="12" fillId="0" borderId="0" applyAlignment="1" pivotButton="0" quotePrefix="0" xfId="0">
      <alignment horizontal="general" vertical="bottom"/>
    </xf>
    <xf numFmtId="0" fontId="26" fillId="0" borderId="0" applyAlignment="1" pivotButton="0" quotePrefix="0" xfId="27">
      <alignment horizontal="center" vertical="bottom"/>
    </xf>
    <xf numFmtId="0" fontId="19" fillId="0" borderId="0" applyAlignment="1" pivotButton="0" quotePrefix="0" xfId="27">
      <alignment horizontal="center" vertical="bottom"/>
    </xf>
    <xf numFmtId="0" fontId="18" fillId="0" borderId="0" applyAlignment="1" pivotButton="0" quotePrefix="0" xfId="0">
      <alignment horizontal="center" vertical="center"/>
    </xf>
    <xf numFmtId="170" fontId="18" fillId="0" borderId="0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general" vertical="bottom"/>
    </xf>
    <xf numFmtId="49" fontId="21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74" fontId="12" fillId="0" borderId="0" applyAlignment="1" pivotButton="0" quotePrefix="0" xfId="0">
      <alignment horizontal="general" vertical="bottom"/>
    </xf>
    <xf numFmtId="0" fontId="17" fillId="0" borderId="0" applyAlignment="1" pivotButton="0" quotePrefix="0" xfId="27">
      <alignment horizontal="center" vertical="center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right" vertical="bottom"/>
    </xf>
    <xf numFmtId="0" fontId="6" fillId="0" borderId="0" applyAlignment="1" pivotButton="0" quotePrefix="0" xfId="27">
      <alignment horizontal="left" vertical="top" wrapText="1"/>
    </xf>
    <xf numFmtId="0" fontId="23" fillId="0" borderId="0" applyAlignment="1" pivotButton="0" quotePrefix="0" xfId="0">
      <alignment horizontal="center" vertical="bottom"/>
    </xf>
    <xf numFmtId="168" fontId="0" fillId="0" borderId="0" applyAlignment="1" pivotButton="0" quotePrefix="0" xfId="0">
      <alignment horizontal="general" vertical="bottom"/>
    </xf>
    <xf numFmtId="173" fontId="0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left" vertical="bottom"/>
    </xf>
    <xf numFmtId="0" fontId="19" fillId="0" borderId="0" applyAlignment="1" pivotButton="0" quotePrefix="0" xfId="27">
      <alignment horizontal="center" vertical="center"/>
    </xf>
    <xf numFmtId="173" fontId="19" fillId="0" borderId="0" applyAlignment="1" pivotButton="0" quotePrefix="0" xfId="15">
      <alignment horizontal="right" vertical="bottom"/>
    </xf>
    <xf numFmtId="0" fontId="22" fillId="0" borderId="0" applyAlignment="1" pivotButton="0" quotePrefix="0" xfId="0">
      <alignment horizontal="right" vertical="bottom"/>
    </xf>
    <xf numFmtId="0" fontId="16" fillId="0" borderId="0" applyAlignment="1" pivotButton="0" quotePrefix="0" xfId="27">
      <alignment horizontal="left" vertical="center"/>
    </xf>
    <xf numFmtId="0" fontId="16" fillId="0" borderId="0" applyAlignment="1" pivotButton="0" quotePrefix="0" xfId="27">
      <alignment horizontal="general" vertical="bottom"/>
    </xf>
    <xf numFmtId="0" fontId="19" fillId="0" borderId="0" applyAlignment="1" pivotButton="0" quotePrefix="0" xfId="27">
      <alignment horizontal="left" vertical="bottom" wrapText="1"/>
    </xf>
    <xf numFmtId="171" fontId="16" fillId="0" borderId="0" applyAlignment="1" pivotButton="0" quotePrefix="0" xfId="29">
      <alignment horizontal="general" vertical="bottom" wrapText="1"/>
    </xf>
    <xf numFmtId="174" fontId="7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applyAlignment="1" pivotButton="0" quotePrefix="0" xfId="27">
      <alignment horizontal="left" vertical="center"/>
    </xf>
    <xf numFmtId="175" fontId="20" fillId="0" borderId="1" applyAlignment="1" pivotButton="0" quotePrefix="0" xfId="0">
      <alignment horizontal="center" vertical="center"/>
    </xf>
    <xf numFmtId="0" fontId="7" fillId="0" borderId="0" applyAlignment="1" pivotButton="0" quotePrefix="0" xfId="27">
      <alignment horizontal="general" vertical="bottom"/>
    </xf>
    <xf numFmtId="175" fontId="20" fillId="0" borderId="1" applyAlignment="1" pivotButton="0" quotePrefix="0" xfId="0">
      <alignment horizontal="center" vertical="center" wrapText="1"/>
    </xf>
    <xf numFmtId="0" fontId="16" fillId="0" borderId="0" applyAlignment="1" pivotButton="0" quotePrefix="0" xfId="27">
      <alignment horizontal="left" vertical="bottom"/>
    </xf>
  </cellXfs>
  <cellStyles count="1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_ET_STYLE_NoName_00_" xfId="6"/>
    <cellStyle name="_ET_STYLE_NoName_00_ 2" xfId="7"/>
    <cellStyle name="Normal_TOOLPLAN" xfId="8"/>
    <cellStyle name="常规 2" xfId="9"/>
    <cellStyle name="常规 2 2" xfId="10"/>
    <cellStyle name="常规_11926BLU" xfId="11"/>
    <cellStyle name="常规_2011年华登制品HK应收未收" xfId="12"/>
    <cellStyle name="常规_KB" xfId="13"/>
    <cellStyle name="常规_KB 2" xfId="14"/>
    <cellStyle name="常规_华登制品" xfId="15"/>
    <cellStyle name="常规_永恒货款" xfId="16"/>
    <cellStyle name="常规_远东新客" xfId="17"/>
    <cellStyle name="样式 1" xfId="1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5:R49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pane xSplit="0" ySplit="10" topLeftCell="A22" activePane="bottomLeft" state="frozen"/>
      <selection pane="topLeft" activeCell="A8" activeCellId="0" sqref="A8"/>
      <selection pane="bottomLeft" activeCell="H42" activeCellId="0" sqref="H42:I44"/>
    </sheetView>
  </sheetViews>
  <sheetFormatPr baseColWidth="8" defaultColWidth="8.99609375" defaultRowHeight="15.75" customHeight="0" zeroHeight="0" outlineLevelRow="0"/>
  <cols>
    <col width="16.74" customWidth="1" style="92" min="1" max="1"/>
    <col width="10.75" customWidth="1" style="93" min="2" max="2"/>
    <col width="24.37" customWidth="1" style="94" min="3" max="3"/>
    <col width="6.62" customWidth="1" style="95" min="4" max="4"/>
    <col width="4.74" customWidth="1" style="96" min="5" max="5"/>
    <col width="4.37" customWidth="1" style="96" min="6" max="6"/>
    <col width="7.62" customWidth="1" style="97" min="7" max="7"/>
    <col width="4.37" customWidth="1" style="96" min="8" max="8"/>
    <col width="8.869999999999999" customWidth="1" style="98" min="9" max="9"/>
    <col width="2.62" customWidth="1" style="99" min="10" max="10"/>
    <col width="12.5" customWidth="1" style="100" min="11" max="11"/>
    <col width="12.62" customWidth="1" style="99" min="12" max="12"/>
    <col width="9.859999999999999" customWidth="1" style="99" min="13" max="13"/>
    <col width="9.369999999999999" customWidth="1" style="99" min="14" max="14"/>
    <col width="8.99" customWidth="1" style="99" min="15" max="15"/>
    <col width="10.49" customWidth="1" style="99" min="16" max="16"/>
    <col width="8.99" customWidth="1" style="99" min="17" max="18"/>
  </cols>
  <sheetData>
    <row r="3" ht="7.5" customHeight="1" s="101"/>
    <row r="4" ht="8.25" customHeight="1" s="101"/>
    <row r="5" ht="15.75" customHeight="1" s="101">
      <c r="H5" s="102" t="inlineStr">
        <is>
          <t xml:space="preserve"> 330783</t>
        </is>
      </c>
    </row>
    <row r="6" ht="15.75" customHeight="1" s="101">
      <c r="G6" s="103"/>
    </row>
    <row r="7" ht="24.75" customHeight="1" s="101">
      <c r="H7" s="104"/>
    </row>
    <row r="8" ht="19.5" customHeight="1" s="101">
      <c r="H8" s="105"/>
    </row>
    <row r="9" ht="11.25" customHeight="1" s="101">
      <c r="H9" s="106"/>
      <c r="I9" s="106"/>
    </row>
    <row r="10" ht="6.75" customHeight="1" s="101">
      <c r="H10" s="107"/>
    </row>
    <row r="11" ht="15.75" customHeight="1" s="101"/>
    <row r="12" ht="12.75" customHeight="1" s="101"/>
    <row r="13" hidden="1" ht="11.25" customHeight="1" s="101">
      <c r="A13"/>
    </row>
    <row r="14" ht="12" customHeight="1" s="101">
      <c r="G14" s="108"/>
    </row>
    <row r="15" ht="13.5" customHeight="1" s="101">
      <c r="A15" s="96"/>
      <c r="H15" s="109"/>
      <c r="J15" s="96"/>
      <c r="L15" s="96"/>
      <c r="M15" s="96"/>
      <c r="N15" s="96"/>
      <c r="O15" s="96"/>
      <c r="P15" s="96"/>
      <c r="Q15" s="96"/>
      <c r="R15" s="96"/>
    </row>
    <row r="16" ht="14.25" customHeight="1" s="101">
      <c r="A16" s="110"/>
      <c r="J16" s="96"/>
      <c r="L16" s="96"/>
      <c r="M16" s="96"/>
      <c r="N16" s="96"/>
      <c r="O16" s="96"/>
      <c r="P16" s="96"/>
      <c r="Q16" s="96"/>
      <c r="R16" s="96"/>
    </row>
    <row r="17" ht="15.75" customHeight="1" s="101">
      <c r="A17" s="99"/>
      <c r="P17" s="99"/>
    </row>
    <row r="18" ht="15.75" customHeight="1" s="101">
      <c r="I18" s="111"/>
    </row>
    <row r="19" ht="14.25" customHeight="1" s="101">
      <c r="I19" s="111"/>
    </row>
    <row r="20" ht="15" customHeight="1" s="101">
      <c r="G20" s="112"/>
      <c r="H20" s="113"/>
      <c r="I20" s="114"/>
      <c r="J20" s="113"/>
      <c r="L20" s="113"/>
      <c r="M20" s="113"/>
      <c r="N20" s="113"/>
      <c r="O20" s="113"/>
      <c r="P20" s="113"/>
      <c r="Q20" s="113"/>
      <c r="R20" s="113"/>
    </row>
    <row r="21" ht="18.75" customHeight="1" s="101">
      <c r="B21" s="115"/>
      <c r="C21" s="116"/>
      <c r="H21" s="93"/>
      <c r="I21" s="117"/>
    </row>
    <row r="22" ht="15.75" customHeight="1" s="101">
      <c r="A22" s="118"/>
      <c r="B22" s="119"/>
      <c r="C22" s="119"/>
      <c r="E22" s="120"/>
      <c r="F22" s="120"/>
      <c r="G22" s="120"/>
      <c r="I22" s="117"/>
      <c r="K22" s="121" t="inlineStr">
        <is>
          <t xml:space="preserve">原单价:</t>
        </is>
      </c>
      <c r="M22" s="122"/>
      <c r="O22" s="123"/>
      <c r="P22" s="124"/>
    </row>
    <row r="23" ht="15.75" customHeight="1" s="101">
      <c r="A23" s="94"/>
      <c r="B23" s="125"/>
      <c r="C23" s="126"/>
      <c r="F23" s="97"/>
      <c r="G23" s="96"/>
      <c r="H23" s="127"/>
      <c r="I23" s="117"/>
      <c r="M23" s="122"/>
      <c r="O23" s="123"/>
      <c r="P23" s="124"/>
    </row>
    <row r="24" ht="15" customHeight="1" s="101">
      <c r="A24" s="128"/>
      <c r="D24" s="129"/>
      <c r="E24" s="130" t="inlineStr">
        <is>
          <t xml:space="preserve">PCS</t>
        </is>
      </c>
      <c r="F24" s="97"/>
      <c r="G24" s="96"/>
      <c r="H24" s="131" t="inlineStr">
        <is>
          <t xml:space="preserve">USD</t>
        </is>
      </c>
      <c r="I24" s="132"/>
      <c r="J24" s="133"/>
      <c r="K24" s="134"/>
      <c r="L24" s="135"/>
      <c r="M24" s="122"/>
    </row>
    <row r="25" ht="15" customHeight="1" s="101">
      <c r="A25" s="136"/>
      <c r="D25" s="129"/>
      <c r="E25" s="130" t="inlineStr">
        <is>
          <t xml:space="preserve">PCS</t>
        </is>
      </c>
      <c r="F25" s="97"/>
      <c r="G25" s="96"/>
      <c r="H25" s="131" t="inlineStr">
        <is>
          <t xml:space="preserve">USD</t>
        </is>
      </c>
      <c r="I25" s="132"/>
      <c r="J25" s="133"/>
      <c r="K25" s="134"/>
      <c r="L25" s="135"/>
      <c r="M25" s="122"/>
    </row>
    <row r="26" ht="15" customHeight="1" s="101">
      <c r="A26" s="137"/>
      <c r="D26" s="129"/>
      <c r="E26" s="130" t="inlineStr">
        <is>
          <t xml:space="preserve">PCS</t>
        </is>
      </c>
      <c r="F26" s="97"/>
      <c r="G26" s="96"/>
      <c r="H26" s="131" t="inlineStr">
        <is>
          <t xml:space="preserve">USD</t>
        </is>
      </c>
      <c r="I26" s="132"/>
      <c r="J26" s="133"/>
      <c r="K26" s="134"/>
      <c r="L26" s="135"/>
      <c r="M26" s="122"/>
    </row>
    <row r="27" ht="15.75" customHeight="1" s="101">
      <c r="A27" s="137"/>
      <c r="D27" s="129"/>
      <c r="E27" s="130" t="inlineStr">
        <is>
          <t xml:space="preserve">PCS</t>
        </is>
      </c>
      <c r="F27" s="97"/>
      <c r="G27" s="96"/>
      <c r="H27" s="131" t="inlineStr">
        <is>
          <t xml:space="preserve">USD</t>
        </is>
      </c>
      <c r="I27" s="132"/>
      <c r="J27" s="133"/>
      <c r="K27" s="134"/>
      <c r="L27" s="135"/>
      <c r="M27" s="122"/>
    </row>
    <row r="28" ht="15.75" customHeight="1" s="101">
      <c r="A28" s="138"/>
      <c r="B28" s="125"/>
      <c r="C28" s="125"/>
      <c r="D28" s="129"/>
      <c r="E28" s="130"/>
      <c r="F28" s="130"/>
      <c r="G28" s="139"/>
      <c r="H28" s="131"/>
      <c r="I28" s="132"/>
      <c r="J28" s="133"/>
      <c r="K28" s="134"/>
      <c r="L28" s="135"/>
      <c r="M28" s="122"/>
    </row>
    <row r="29" ht="15.75" customHeight="1" s="101">
      <c r="A29" s="138"/>
      <c r="B29" s="125"/>
      <c r="C29" s="125"/>
      <c r="D29" s="129"/>
      <c r="E29" s="130"/>
      <c r="F29" s="130"/>
      <c r="G29" s="139"/>
      <c r="H29" s="131"/>
      <c r="I29" s="132"/>
      <c r="J29" s="133"/>
      <c r="K29" s="134"/>
      <c r="L29" s="135"/>
      <c r="M29" s="122"/>
      <c r="Q29" s="140"/>
    </row>
    <row r="30" ht="15.75" customHeight="1" s="101">
      <c r="A30" s="138"/>
      <c r="B30" s="125"/>
      <c r="C30" s="125"/>
      <c r="D30" s="129"/>
      <c r="E30" s="130"/>
      <c r="F30" s="130"/>
      <c r="G30" s="139"/>
      <c r="H30" s="131"/>
      <c r="I30" s="132"/>
      <c r="J30" s="133"/>
      <c r="K30" s="134"/>
      <c r="L30" s="135"/>
      <c r="M30" s="122"/>
      <c r="Q30" s="140"/>
    </row>
    <row r="31" ht="15.75" customHeight="1" s="101">
      <c r="A31" s="138"/>
      <c r="B31" s="125"/>
      <c r="C31" s="125"/>
      <c r="D31" s="129"/>
      <c r="E31" s="130"/>
      <c r="F31" s="130"/>
      <c r="G31" s="139"/>
      <c r="H31" s="131"/>
      <c r="I31" s="132"/>
      <c r="J31" s="133"/>
      <c r="K31" s="134"/>
      <c r="L31" s="135"/>
      <c r="Q31" s="141"/>
    </row>
    <row r="32" ht="15.75" customHeight="1" s="101">
      <c r="A32" s="138"/>
      <c r="B32" s="125"/>
      <c r="C32" s="125"/>
      <c r="D32" s="129"/>
      <c r="E32" s="130"/>
      <c r="F32" s="130"/>
      <c r="G32" s="139"/>
      <c r="H32" s="131"/>
      <c r="I32" s="132"/>
      <c r="J32" s="133"/>
      <c r="K32" s="134"/>
      <c r="L32" s="135"/>
      <c r="M32" s="135"/>
      <c r="N32" s="99"/>
      <c r="O32" s="99"/>
      <c r="P32" s="99"/>
      <c r="Q32" s="118"/>
    </row>
    <row r="33" ht="13.5" customHeight="1" s="101">
      <c r="A33" s="138"/>
      <c r="B33" s="125"/>
      <c r="C33" s="125"/>
      <c r="D33" s="129"/>
      <c r="E33" s="130"/>
      <c r="F33" s="130"/>
      <c r="G33" s="139"/>
      <c r="H33" s="131"/>
      <c r="I33" s="132"/>
      <c r="J33" s="133"/>
      <c r="K33" s="134"/>
      <c r="L33" s="135"/>
      <c r="M33" s="99"/>
      <c r="N33" s="99"/>
      <c r="O33" s="99"/>
      <c r="P33" s="99"/>
    </row>
    <row r="34" ht="15" customHeight="1" s="101">
      <c r="A34" s="138"/>
      <c r="B34" s="125"/>
      <c r="C34" s="125"/>
      <c r="D34" s="129"/>
      <c r="E34" s="130"/>
      <c r="F34" s="130"/>
      <c r="G34" s="139"/>
      <c r="H34" s="131"/>
      <c r="I34" s="132"/>
      <c r="J34" s="133"/>
      <c r="K34" s="134"/>
      <c r="L34" s="135"/>
      <c r="M34" s="112"/>
      <c r="N34" s="96"/>
      <c r="O34" s="99"/>
      <c r="P34" s="99"/>
      <c r="Q34" s="142"/>
      <c r="R34" s="96"/>
    </row>
    <row r="35" ht="15" customHeight="1" s="101">
      <c r="A35" s="138"/>
      <c r="B35" s="125"/>
      <c r="C35" s="125"/>
      <c r="D35" s="129"/>
      <c r="E35" s="130"/>
      <c r="F35" s="130"/>
      <c r="G35" s="139"/>
      <c r="H35" s="131"/>
      <c r="I35" s="132"/>
      <c r="J35" s="133"/>
      <c r="K35" s="134"/>
      <c r="L35" s="135"/>
      <c r="M35" s="112"/>
      <c r="N35" s="96"/>
      <c r="O35" s="95"/>
      <c r="P35" s="92"/>
      <c r="Q35" s="143"/>
      <c r="R35" s="99"/>
    </row>
    <row r="36" ht="15.75" customHeight="1" s="101">
      <c r="A36" s="138"/>
      <c r="B36" s="125"/>
      <c r="C36" s="125"/>
      <c r="D36" s="129"/>
      <c r="E36" s="130"/>
      <c r="F36" s="130"/>
      <c r="G36" s="139"/>
      <c r="H36" s="131"/>
      <c r="I36" s="132"/>
      <c r="J36" s="133"/>
      <c r="K36" s="134"/>
      <c r="L36" s="135"/>
      <c r="M36" s="112"/>
      <c r="N36" s="96"/>
      <c r="O36" s="95"/>
      <c r="P36" s="92"/>
    </row>
    <row r="37" ht="15.75" customHeight="1" s="101">
      <c r="A37" s="138"/>
      <c r="B37" s="125"/>
      <c r="C37" s="125"/>
      <c r="D37" s="129"/>
      <c r="E37" s="130"/>
      <c r="F37" s="130"/>
      <c r="G37" s="139"/>
      <c r="H37" s="131"/>
      <c r="I37" s="132"/>
      <c r="J37" s="133"/>
      <c r="K37" s="134"/>
      <c r="L37" s="135"/>
      <c r="M37" s="112"/>
      <c r="N37" s="96"/>
      <c r="O37" s="95"/>
      <c r="P37" s="92"/>
      <c r="Q37" s="143"/>
      <c r="R37" s="144"/>
    </row>
    <row r="38" ht="15.75" customHeight="1" s="101">
      <c r="A38" s="138"/>
      <c r="B38" s="96"/>
      <c r="C38" s="145"/>
      <c r="D38" s="129"/>
      <c r="E38" s="130"/>
      <c r="F38" s="130"/>
      <c r="G38" s="139"/>
      <c r="H38" s="131"/>
      <c r="I38" s="132"/>
      <c r="J38" s="133"/>
      <c r="K38" s="134"/>
      <c r="L38" s="135"/>
      <c r="M38" s="112"/>
      <c r="N38" s="94"/>
      <c r="O38" s="95"/>
      <c r="P38" s="92"/>
      <c r="Q38" s="146"/>
      <c r="R38" s="147"/>
    </row>
    <row r="39" ht="15.75" customHeight="1" s="101">
      <c r="A39" s="138"/>
      <c r="B39" s="125"/>
      <c r="C39" s="145"/>
      <c r="D39" s="129"/>
      <c r="E39" s="130"/>
      <c r="F39" s="130"/>
      <c r="G39" s="139"/>
      <c r="H39" s="131"/>
      <c r="I39" s="132"/>
      <c r="J39" s="133"/>
      <c r="K39" s="134"/>
      <c r="L39" s="135"/>
      <c r="M39" s="148"/>
      <c r="N39" s="99"/>
      <c r="O39" s="99"/>
      <c r="P39" s="99"/>
      <c r="Q39" s="143"/>
      <c r="R39" s="144"/>
    </row>
    <row r="40" ht="15.75" customHeight="1" s="101">
      <c r="A40" s="138"/>
      <c r="B40" s="125"/>
      <c r="C40" s="95"/>
      <c r="D40" s="129"/>
      <c r="E40" s="130"/>
      <c r="F40" s="130"/>
      <c r="G40" s="139"/>
      <c r="H40" s="131"/>
      <c r="I40" s="132"/>
      <c r="J40" s="133"/>
      <c r="K40" s="134"/>
      <c r="L40" s="135"/>
      <c r="M40" s="148"/>
      <c r="N40" s="99"/>
      <c r="O40" s="99"/>
      <c r="P40" s="99"/>
    </row>
    <row r="41" ht="15.75" customHeight="1" s="101">
      <c r="A41" s="138"/>
      <c r="B41" s="149"/>
      <c r="D41" s="129"/>
      <c r="E41" s="130"/>
      <c r="F41" s="130"/>
      <c r="G41" s="139"/>
      <c r="H41" s="131"/>
      <c r="I41" s="132"/>
      <c r="J41" s="133"/>
      <c r="K41" s="134"/>
      <c r="L41" s="135"/>
      <c r="M41" s="148"/>
      <c r="N41" s="99"/>
      <c r="O41" s="99"/>
      <c r="P41" s="99"/>
    </row>
    <row r="42" ht="15.75" customHeight="1" s="101">
      <c r="A42" s="113"/>
      <c r="D42" s="113"/>
      <c r="E42" s="113"/>
      <c r="G42" s="139"/>
      <c r="H42" s="143" t="inlineStr">
        <is>
          <t xml:space="preserve">USD</t>
        </is>
      </c>
      <c r="I42" s="144">
        <f>SUM(I24:I41)</f>
        <v>0</v>
      </c>
      <c r="J42" s="133"/>
      <c r="K42" s="134"/>
      <c r="L42" s="135"/>
      <c r="M42" s="148"/>
      <c r="N42" s="113"/>
      <c r="O42" s="113"/>
      <c r="P42" s="113"/>
      <c r="Q42" s="113"/>
      <c r="R42" s="113"/>
    </row>
    <row r="43" ht="15.75" customHeight="1" s="101">
      <c r="A43" s="138"/>
      <c r="B43" s="149"/>
      <c r="D43" s="129"/>
      <c r="E43" s="130"/>
      <c r="F43" s="130"/>
      <c r="G43" s="139"/>
      <c r="H43" s="150" t="inlineStr">
        <is>
          <t xml:space="preserve">Deposit  100%</t>
        </is>
      </c>
      <c r="J43" s="133"/>
      <c r="K43" s="134"/>
      <c r="L43" s="151"/>
      <c r="M43" s="148"/>
      <c r="N43" s="113"/>
      <c r="O43" s="113"/>
      <c r="P43" s="113"/>
      <c r="Q43" s="113"/>
      <c r="R43" s="113"/>
    </row>
    <row r="44" ht="27" customHeight="1" s="101">
      <c r="A44" s="118"/>
      <c r="F44" s="93"/>
      <c r="G44" s="112"/>
      <c r="H44" s="143" t="inlineStr">
        <is>
          <t xml:space="preserve">USD</t>
        </is>
      </c>
      <c r="I44" s="144">
        <f>I42*100%</f>
        <v>0</v>
      </c>
      <c r="L44" s="152"/>
      <c r="M44" s="148"/>
    </row>
    <row r="45" ht="39" customHeight="1" s="101">
      <c r="G45" s="97"/>
      <c r="H45" s="93"/>
      <c r="I45" s="153"/>
      <c r="L45" s="152"/>
    </row>
    <row r="46" ht="15.75" customHeight="1" s="101">
      <c r="H46" s="154" t="inlineStr">
        <is>
          <t xml:space="preserve">USD</t>
        </is>
      </c>
      <c r="I46" s="155">
        <f>I44</f>
        <v>0</v>
      </c>
      <c r="K46" s="99"/>
      <c r="L46" s="135">
        <f>SUM(L24:L38)</f>
        <v>0</v>
      </c>
    </row>
    <row r="47" hidden="1" ht="10.5" customHeight="1" s="101">
      <c r="I47" s="153"/>
      <c r="L47" s="152"/>
    </row>
    <row r="48" ht="27" customHeight="1" s="101">
      <c r="H48" s="99"/>
      <c r="I48" s="99"/>
    </row>
    <row r="49" ht="15.75" customHeight="1" s="101">
      <c r="H49" s="156"/>
      <c r="I49" s="111"/>
      <c r="L49" s="152"/>
    </row>
  </sheetData>
  <mergeCells count="13">
    <mergeCell ref="B43:C44"/>
    <mergeCell ref="A25:C25"/>
    <mergeCell ref="H10:I12"/>
    <mergeCell ref="H7:I7"/>
    <mergeCell ref="B41:C42"/>
    <mergeCell ref="H43:I43"/>
    <mergeCell ref="H15:I16"/>
    <mergeCell ref="A27:C27"/>
    <mergeCell ref="H5:I6"/>
    <mergeCell ref="H8:I8"/>
    <mergeCell ref="A26:C26"/>
    <mergeCell ref="A24:C24"/>
    <mergeCell ref="G14:J14"/>
  </mergeCells>
  <printOptions horizontalCentered="0" verticalCentered="0" headings="0" gridLines="0" gridLinesSet="1"/>
  <pageMargins left="0.390277777777778" right="0.129861111111111" top="2.32013888888889" bottom="0.329861111111111" header="0.511811023622047" footer="0.170138888888889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R49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pane xSplit="0" ySplit="10" topLeftCell="A19" activePane="bottomLeft" state="frozen"/>
      <selection pane="topLeft" activeCell="A8" activeCellId="0" sqref="A8"/>
      <selection pane="bottomLeft" activeCell="I28" activeCellId="0" sqref="I28"/>
    </sheetView>
  </sheetViews>
  <sheetFormatPr baseColWidth="8" defaultColWidth="8.99609375" defaultRowHeight="15.75" customHeight="0" zeroHeight="0" outlineLevelRow="0"/>
  <cols>
    <col width="16.74" customWidth="1" style="92" min="1" max="1"/>
    <col width="10.75" customWidth="1" style="93" min="2" max="2"/>
    <col width="24.37" customWidth="1" style="94" min="3" max="3"/>
    <col width="6.62" customWidth="1" style="95" min="4" max="4"/>
    <col width="4.74" customWidth="1" style="96" min="5" max="5"/>
    <col width="4.37" customWidth="1" style="96" min="6" max="6"/>
    <col width="7.62" customWidth="1" style="97" min="7" max="7"/>
    <col width="4.37" customWidth="1" style="96" min="8" max="8"/>
    <col width="9.119999999999999" customWidth="1" style="98" min="9" max="9"/>
    <col width="2.62" customWidth="1" style="99" min="10" max="10"/>
    <col width="12.5" customWidth="1" style="100" min="11" max="11"/>
    <col width="12.62" customWidth="1" style="99" min="12" max="12"/>
    <col width="9.859999999999999" customWidth="1" style="99" min="13" max="13"/>
    <col width="9.369999999999999" customWidth="1" style="99" min="14" max="14"/>
    <col width="8.99" customWidth="1" style="99" min="15" max="15"/>
    <col width="10.49" customWidth="1" style="99" min="16" max="16"/>
    <col width="8.99" customWidth="1" style="99" min="17" max="18"/>
  </cols>
  <sheetData>
    <row r="3" ht="7.5" customHeight="1" s="101"/>
    <row r="4" ht="8.25" customHeight="1" s="101"/>
    <row r="5" ht="15.75" customHeight="1" s="101">
      <c r="H5" s="102" t="inlineStr">
        <is>
          <t xml:space="preserve"> 330783</t>
        </is>
      </c>
    </row>
    <row r="6" ht="15.75" customHeight="1" s="101">
      <c r="G6" s="103"/>
    </row>
    <row r="7" ht="24.75" customHeight="1" s="101">
      <c r="H7" s="104"/>
    </row>
    <row r="8" ht="19.5" customHeight="1" s="101">
      <c r="H8" s="105"/>
    </row>
    <row r="9" ht="11.25" customHeight="1" s="101">
      <c r="H9" s="106"/>
      <c r="I9" s="106"/>
    </row>
    <row r="10" ht="6.75" customHeight="1" s="101">
      <c r="H10" s="107"/>
    </row>
    <row r="11" ht="15.75" customHeight="1" s="101"/>
    <row r="12" ht="12.75" customHeight="1" s="101"/>
    <row r="13" hidden="1" ht="11.25" customHeight="1" s="101">
      <c r="A13"/>
    </row>
    <row r="14" ht="12" customHeight="1" s="101">
      <c r="G14" s="108"/>
    </row>
    <row r="15" ht="13.5" customHeight="1" s="101">
      <c r="A15" s="96"/>
      <c r="H15" s="109"/>
      <c r="J15" s="96"/>
      <c r="L15" s="96"/>
      <c r="M15" s="96"/>
      <c r="N15" s="96"/>
      <c r="O15" s="96"/>
      <c r="P15" s="96"/>
      <c r="Q15" s="96"/>
      <c r="R15" s="96"/>
    </row>
    <row r="16" ht="14.25" customHeight="1" s="101">
      <c r="A16" s="110"/>
      <c r="J16" s="96"/>
      <c r="L16" s="96"/>
      <c r="M16" s="96"/>
      <c r="N16" s="96"/>
      <c r="O16" s="96"/>
      <c r="P16" s="96"/>
      <c r="Q16" s="96"/>
      <c r="R16" s="96"/>
    </row>
    <row r="17" ht="15.75" customHeight="1" s="101">
      <c r="A17" s="99"/>
      <c r="P17" s="99"/>
    </row>
    <row r="18" ht="15.75" customHeight="1" s="101">
      <c r="I18" s="111"/>
    </row>
    <row r="19" ht="14.25" customHeight="1" s="101">
      <c r="I19" s="111"/>
    </row>
    <row r="20" ht="15" customHeight="1" s="101">
      <c r="G20" s="112"/>
      <c r="H20" s="113"/>
      <c r="I20" s="114"/>
      <c r="J20" s="113"/>
      <c r="L20" s="113"/>
      <c r="M20" s="113"/>
      <c r="N20" s="113"/>
      <c r="O20" s="113"/>
      <c r="P20" s="113"/>
      <c r="Q20" s="113"/>
      <c r="R20" s="113"/>
    </row>
    <row r="21" ht="18.75" customHeight="1" s="101">
      <c r="B21" s="115"/>
      <c r="C21" s="116"/>
      <c r="H21" s="93"/>
      <c r="I21" s="117"/>
    </row>
    <row r="22" ht="15.75" customHeight="1" s="101">
      <c r="A22" s="118"/>
      <c r="B22" s="119"/>
      <c r="C22" s="119"/>
      <c r="E22" s="120"/>
      <c r="F22" s="120"/>
      <c r="G22" s="120"/>
      <c r="I22" s="117"/>
      <c r="K22" s="121" t="inlineStr">
        <is>
          <t xml:space="preserve">原单价:</t>
        </is>
      </c>
      <c r="M22" s="122"/>
      <c r="O22" s="123"/>
      <c r="P22" s="124"/>
    </row>
    <row r="23" ht="15.75" customHeight="1" s="101">
      <c r="A23" s="94"/>
      <c r="B23" s="125"/>
      <c r="C23" s="126"/>
      <c r="F23" s="97"/>
      <c r="G23" s="96"/>
      <c r="H23" s="127"/>
      <c r="I23" s="117"/>
      <c r="M23" s="122"/>
      <c r="O23" s="123"/>
      <c r="P23" s="124"/>
    </row>
    <row r="24" ht="15" customHeight="1" s="101">
      <c r="A24" s="138"/>
      <c r="B24" s="125"/>
      <c r="C24" s="157"/>
      <c r="D24" s="129"/>
      <c r="E24" s="130" t="inlineStr">
        <is>
          <t xml:space="preserve">PCS</t>
        </is>
      </c>
      <c r="F24" s="131" t="inlineStr">
        <is>
          <t xml:space="preserve">USD</t>
        </is>
      </c>
      <c r="G24" s="139"/>
      <c r="H24" s="131" t="inlineStr">
        <is>
          <t xml:space="preserve">USD</t>
        </is>
      </c>
      <c r="I24" s="132"/>
      <c r="J24" s="133"/>
      <c r="K24" s="134"/>
      <c r="L24" s="135"/>
      <c r="M24" s="122"/>
    </row>
    <row r="25" ht="15" customHeight="1" s="101">
      <c r="A25" s="138"/>
      <c r="B25" s="125"/>
      <c r="C25" s="158"/>
      <c r="D25" s="129"/>
      <c r="E25" s="130" t="inlineStr">
        <is>
          <t xml:space="preserve">PCS</t>
        </is>
      </c>
      <c r="F25" s="131" t="inlineStr">
        <is>
          <t xml:space="preserve">USD</t>
        </is>
      </c>
      <c r="G25" s="139"/>
      <c r="H25" s="131" t="inlineStr">
        <is>
          <t xml:space="preserve">USD</t>
        </is>
      </c>
      <c r="I25" s="132"/>
      <c r="J25" s="133"/>
      <c r="K25" s="134"/>
      <c r="L25" s="135"/>
      <c r="M25" s="122"/>
    </row>
    <row r="26" ht="15" customHeight="1" s="101">
      <c r="A26" s="138"/>
      <c r="B26" s="125"/>
      <c r="C26" s="159"/>
      <c r="D26" s="129"/>
      <c r="E26" s="130"/>
      <c r="F26" s="131"/>
      <c r="G26" s="139"/>
      <c r="H26" s="131" t="inlineStr">
        <is>
          <t xml:space="preserve">USD</t>
        </is>
      </c>
      <c r="I26" s="160"/>
      <c r="J26" s="133"/>
      <c r="K26" s="134"/>
      <c r="L26" s="135"/>
      <c r="M26" s="122"/>
    </row>
    <row r="27" ht="15.75" customHeight="1" s="101">
      <c r="A27" s="138"/>
      <c r="B27" s="125"/>
      <c r="D27" s="129"/>
      <c r="E27" s="130"/>
      <c r="F27" s="131"/>
      <c r="G27" s="139"/>
      <c r="H27" s="131"/>
      <c r="I27" s="132"/>
      <c r="J27" s="133"/>
      <c r="K27" s="134"/>
      <c r="L27" s="135"/>
      <c r="M27" s="122"/>
    </row>
    <row r="28" ht="15.75" customHeight="1" s="101">
      <c r="A28" s="138"/>
      <c r="B28" s="125"/>
      <c r="C28" s="125"/>
      <c r="D28" s="129"/>
      <c r="E28" s="130"/>
      <c r="F28" s="131"/>
      <c r="G28" s="139"/>
      <c r="H28" s="131"/>
      <c r="I28" s="132"/>
      <c r="J28" s="133"/>
      <c r="K28" s="134"/>
      <c r="L28" s="135"/>
      <c r="M28" s="122"/>
    </row>
    <row r="29" ht="15.75" customHeight="1" s="101">
      <c r="A29" s="138"/>
      <c r="B29" s="125"/>
      <c r="C29" s="125"/>
      <c r="D29" s="129"/>
      <c r="E29" s="130"/>
      <c r="F29" s="131"/>
      <c r="G29" s="139"/>
      <c r="H29" s="131"/>
      <c r="I29" s="132"/>
      <c r="J29" s="133"/>
      <c r="K29" s="134"/>
      <c r="L29" s="135"/>
      <c r="M29" s="122"/>
      <c r="Q29" s="140"/>
    </row>
    <row r="30" ht="15.75" customHeight="1" s="101">
      <c r="A30" s="138"/>
      <c r="B30" s="125"/>
      <c r="C30" s="125"/>
      <c r="D30" s="129"/>
      <c r="E30" s="130"/>
      <c r="F30" s="131"/>
      <c r="G30" s="139"/>
      <c r="H30" s="131"/>
      <c r="I30" s="132"/>
      <c r="J30" s="133"/>
      <c r="K30" s="134"/>
      <c r="L30" s="135"/>
      <c r="M30" s="122"/>
      <c r="Q30" s="140"/>
    </row>
    <row r="31" ht="15.75" customHeight="1" s="101">
      <c r="A31" s="138"/>
      <c r="B31" s="125"/>
      <c r="C31" s="125"/>
      <c r="D31" s="129"/>
      <c r="E31" s="130"/>
      <c r="F31" s="130"/>
      <c r="G31" s="139"/>
      <c r="H31" s="131"/>
      <c r="I31" s="132"/>
      <c r="J31" s="133"/>
      <c r="K31" s="134"/>
      <c r="L31" s="135"/>
      <c r="Q31" s="141"/>
    </row>
    <row r="32" ht="15.75" customHeight="1" s="101">
      <c r="A32" s="138"/>
      <c r="B32" s="125"/>
      <c r="C32" s="125"/>
      <c r="D32" s="129"/>
      <c r="E32" s="130"/>
      <c r="F32" s="130"/>
      <c r="G32" s="139"/>
      <c r="H32" s="131"/>
      <c r="I32" s="132"/>
      <c r="J32" s="133"/>
      <c r="K32" s="134"/>
      <c r="L32" s="135"/>
      <c r="M32" s="135"/>
      <c r="N32" s="99"/>
      <c r="O32" s="99"/>
      <c r="P32" s="99"/>
      <c r="Q32" s="118"/>
    </row>
    <row r="33" ht="13.5" customHeight="1" s="101">
      <c r="A33" s="138"/>
      <c r="B33" s="125"/>
      <c r="C33" s="125"/>
      <c r="D33" s="129"/>
      <c r="E33" s="130"/>
      <c r="F33" s="130"/>
      <c r="G33" s="139"/>
      <c r="H33" s="131"/>
      <c r="I33" s="132"/>
      <c r="J33" s="133"/>
      <c r="K33" s="134"/>
      <c r="L33" s="135"/>
      <c r="M33" s="99"/>
      <c r="N33" s="99"/>
      <c r="O33" s="99"/>
      <c r="P33" s="99"/>
    </row>
    <row r="34" ht="15" customHeight="1" s="101">
      <c r="A34" s="138"/>
      <c r="B34" s="125"/>
      <c r="C34" s="125"/>
      <c r="D34" s="129"/>
      <c r="E34" s="130"/>
      <c r="F34" s="130"/>
      <c r="G34" s="139"/>
      <c r="H34" s="131"/>
      <c r="I34" s="132"/>
      <c r="J34" s="133"/>
      <c r="K34" s="134"/>
      <c r="L34" s="135"/>
      <c r="M34" s="112"/>
      <c r="N34" s="96"/>
      <c r="O34" s="99"/>
      <c r="P34" s="99"/>
      <c r="Q34" s="142"/>
      <c r="R34" s="96"/>
    </row>
    <row r="35" ht="15" customHeight="1" s="101">
      <c r="A35" s="138"/>
      <c r="B35" s="125"/>
      <c r="C35" s="125"/>
      <c r="D35" s="129"/>
      <c r="E35" s="130"/>
      <c r="F35" s="130"/>
      <c r="G35" s="139"/>
      <c r="H35" s="131"/>
      <c r="I35" s="132"/>
      <c r="J35" s="133"/>
      <c r="K35" s="134"/>
      <c r="L35" s="135"/>
      <c r="M35" s="112"/>
      <c r="N35" s="96"/>
      <c r="O35" s="95"/>
      <c r="P35" s="92"/>
      <c r="Q35" s="143"/>
      <c r="R35" s="99"/>
    </row>
    <row r="36" ht="15.75" customHeight="1" s="101">
      <c r="A36" s="138"/>
      <c r="B36" s="125"/>
      <c r="C36" s="125"/>
      <c r="D36" s="129"/>
      <c r="E36" s="130"/>
      <c r="F36" s="130"/>
      <c r="G36" s="139"/>
      <c r="H36" s="131"/>
      <c r="I36" s="132"/>
      <c r="J36" s="133"/>
      <c r="K36" s="134"/>
      <c r="L36" s="135"/>
      <c r="M36" s="112"/>
      <c r="N36" s="96"/>
      <c r="O36" s="95"/>
      <c r="P36" s="92"/>
    </row>
    <row r="37" ht="15.75" customHeight="1" s="101">
      <c r="A37" s="138"/>
      <c r="B37" s="125"/>
      <c r="C37" s="125"/>
      <c r="D37" s="129"/>
      <c r="E37" s="130"/>
      <c r="F37" s="130"/>
      <c r="G37" s="139"/>
      <c r="H37" s="131"/>
      <c r="I37" s="132"/>
      <c r="J37" s="133"/>
      <c r="K37" s="134"/>
      <c r="L37" s="135"/>
      <c r="M37" s="112"/>
      <c r="N37" s="96"/>
      <c r="O37" s="95"/>
      <c r="P37" s="92"/>
      <c r="Q37" s="143"/>
      <c r="R37" s="144"/>
    </row>
    <row r="38" ht="15.75" customHeight="1" s="101">
      <c r="A38" s="138"/>
      <c r="B38" s="96"/>
      <c r="C38" s="145"/>
      <c r="D38" s="129"/>
      <c r="E38" s="130"/>
      <c r="F38" s="130"/>
      <c r="G38" s="139"/>
      <c r="H38" s="131"/>
      <c r="I38" s="132"/>
      <c r="J38" s="133"/>
      <c r="K38" s="134"/>
      <c r="L38" s="135"/>
      <c r="M38" s="112"/>
      <c r="N38" s="94"/>
      <c r="O38" s="95"/>
      <c r="P38" s="92"/>
      <c r="Q38" s="146"/>
      <c r="R38" s="147"/>
    </row>
    <row r="39" ht="15.75" customHeight="1" s="101">
      <c r="A39" s="138"/>
      <c r="B39" s="125"/>
      <c r="C39" s="145"/>
      <c r="D39" s="129"/>
      <c r="E39" s="130"/>
      <c r="F39" s="130"/>
      <c r="G39" s="139"/>
      <c r="H39" s="131"/>
      <c r="I39" s="132"/>
      <c r="J39" s="133"/>
      <c r="K39" s="134"/>
      <c r="L39" s="135"/>
      <c r="M39" s="148"/>
      <c r="N39" s="99"/>
      <c r="O39" s="99"/>
      <c r="P39" s="99"/>
      <c r="Q39" s="143"/>
      <c r="R39" s="144"/>
    </row>
    <row r="40" ht="15.75" customHeight="1" s="101">
      <c r="A40" s="138"/>
      <c r="B40" s="125"/>
      <c r="C40" s="95"/>
      <c r="D40" s="129"/>
      <c r="E40" s="130"/>
      <c r="F40" s="130"/>
      <c r="G40" s="139"/>
      <c r="H40" s="131"/>
      <c r="I40" s="132"/>
      <c r="J40" s="133"/>
      <c r="K40" s="134"/>
      <c r="L40" s="135"/>
      <c r="M40" s="148"/>
      <c r="N40" s="99"/>
      <c r="O40" s="99"/>
      <c r="P40" s="99"/>
    </row>
    <row r="41" ht="15.75" customHeight="1" s="101">
      <c r="A41" s="138"/>
      <c r="B41" s="149"/>
      <c r="D41" s="129"/>
      <c r="E41" s="130"/>
      <c r="F41" s="130"/>
      <c r="G41" s="139"/>
      <c r="H41" s="131"/>
      <c r="I41" s="132"/>
      <c r="J41" s="133"/>
      <c r="K41" s="134"/>
      <c r="L41" s="135"/>
      <c r="M41" s="148"/>
      <c r="N41" s="99"/>
      <c r="O41" s="99"/>
      <c r="P41" s="99"/>
    </row>
    <row r="42" ht="15.75" customHeight="1" s="101">
      <c r="A42" s="113"/>
      <c r="D42" s="113"/>
      <c r="E42" s="113"/>
      <c r="G42" s="139"/>
      <c r="H42" s="113"/>
      <c r="I42" s="161"/>
      <c r="J42" s="133"/>
      <c r="K42" s="134"/>
      <c r="L42" s="135"/>
      <c r="M42" s="148"/>
      <c r="N42" s="113"/>
      <c r="O42" s="113"/>
      <c r="P42" s="113"/>
      <c r="Q42" s="113"/>
      <c r="R42" s="113"/>
    </row>
    <row r="43" ht="15.75" customHeight="1" s="101">
      <c r="A43" s="138"/>
      <c r="B43" s="149"/>
      <c r="D43" s="129"/>
      <c r="E43" s="130"/>
      <c r="F43" s="130"/>
      <c r="G43" s="139"/>
      <c r="H43" s="139"/>
      <c r="I43" s="132"/>
      <c r="J43" s="133"/>
      <c r="K43" s="134"/>
      <c r="L43" s="151"/>
      <c r="M43" s="148"/>
      <c r="N43" s="113"/>
      <c r="O43" s="113"/>
      <c r="P43" s="113"/>
      <c r="Q43" s="113"/>
      <c r="R43" s="113"/>
    </row>
    <row r="44" ht="27" customHeight="1" s="101">
      <c r="A44" s="118"/>
      <c r="F44" s="93"/>
      <c r="G44" s="112"/>
      <c r="H44" s="93"/>
      <c r="I44" s="162"/>
      <c r="L44" s="152"/>
      <c r="M44" s="148"/>
    </row>
    <row r="45" ht="39" customHeight="1" s="101">
      <c r="G45" s="97"/>
      <c r="H45" s="93"/>
      <c r="I45" s="153"/>
      <c r="L45" s="152"/>
    </row>
    <row r="46" ht="15.75" customHeight="1" s="101">
      <c r="H46" s="154" t="inlineStr">
        <is>
          <t xml:space="preserve">USD</t>
        </is>
      </c>
      <c r="I46" s="155">
        <f>SUM(I24:I45)</f>
        <v>0</v>
      </c>
      <c r="K46" s="99"/>
      <c r="L46" s="135">
        <f>SUM(L24:L38)</f>
        <v>0</v>
      </c>
    </row>
    <row r="47" hidden="1" ht="10.5" customHeight="1" s="101">
      <c r="I47" s="153"/>
      <c r="L47" s="152"/>
    </row>
    <row r="48" ht="27" customHeight="1" s="101">
      <c r="H48" s="99"/>
      <c r="I48" s="99"/>
    </row>
    <row r="49" ht="15.75" customHeight="1" s="101">
      <c r="H49" s="156"/>
      <c r="I49" s="111"/>
      <c r="L49" s="152"/>
    </row>
  </sheetData>
  <mergeCells count="9">
    <mergeCell ref="B43:C44"/>
    <mergeCell ref="H10:I12"/>
    <mergeCell ref="H7:I7"/>
    <mergeCell ref="B41:C42"/>
    <mergeCell ref="H15:I16"/>
    <mergeCell ref="H5:I6"/>
    <mergeCell ref="H8:I8"/>
    <mergeCell ref="C26:C27"/>
    <mergeCell ref="G14:J14"/>
  </mergeCells>
  <printOptions horizontalCentered="0" verticalCentered="0" headings="0" gridLines="0" gridLinesSet="1"/>
  <pageMargins left="0.390277777777778" right="0.129861111111111" top="2.32013888888889" bottom="0.329861111111111" header="0.511811023622047" footer="0.170138888888889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5:R49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pane xSplit="0" ySplit="10" topLeftCell="A21" activePane="bottomLeft" state="frozen"/>
      <selection pane="topLeft" activeCell="A8" activeCellId="0" sqref="A8"/>
      <selection pane="bottomLeft" activeCell="H15" activeCellId="0" sqref="H15:I16"/>
    </sheetView>
  </sheetViews>
  <sheetFormatPr baseColWidth="8" defaultColWidth="8.99609375" defaultRowHeight="15.75" customHeight="0" zeroHeight="0" outlineLevelRow="0"/>
  <cols>
    <col width="16.74" customWidth="1" style="92" min="1" max="1"/>
    <col width="10.75" customWidth="1" style="93" min="2" max="2"/>
    <col width="24.37" customWidth="1" style="94" min="3" max="3"/>
    <col width="6.62" customWidth="1" style="95" min="4" max="4"/>
    <col width="4.74" customWidth="1" style="96" min="5" max="5"/>
    <col width="4.37" customWidth="1" style="96" min="6" max="6"/>
    <col width="7.62" customWidth="1" style="97" min="7" max="7"/>
    <col width="4.37" customWidth="1" style="96" min="8" max="8"/>
    <col width="9.119999999999999" customWidth="1" style="98" min="9" max="9"/>
    <col width="2.62" customWidth="1" style="99" min="10" max="10"/>
    <col width="12.5" customWidth="1" style="100" min="11" max="11"/>
    <col width="12.62" customWidth="1" style="99" min="12" max="12"/>
    <col width="9.859999999999999" customWidth="1" style="99" min="13" max="13"/>
    <col width="9.369999999999999" customWidth="1" style="99" min="14" max="14"/>
    <col width="8.99" customWidth="1" style="99" min="15" max="15"/>
    <col width="10.49" customWidth="1" style="99" min="16" max="16"/>
    <col width="8.99" customWidth="1" style="99" min="17" max="18"/>
  </cols>
  <sheetData>
    <row r="3" ht="7.5" customHeight="1" s="101"/>
    <row r="4" ht="8.25" customHeight="1" s="101"/>
    <row r="5" ht="15.75" customHeight="1" s="101">
      <c r="H5" s="102" t="inlineStr">
        <is>
          <t xml:space="preserve"> 330783</t>
        </is>
      </c>
    </row>
    <row r="6" ht="15.75" customHeight="1" s="101">
      <c r="G6" s="103"/>
    </row>
    <row r="7" ht="24.75" customHeight="1" s="101">
      <c r="H7" s="104"/>
    </row>
    <row r="8" ht="19.5" customHeight="1" s="101">
      <c r="H8" s="105"/>
    </row>
    <row r="9" ht="11.25" customHeight="1" s="101">
      <c r="H9" s="106"/>
      <c r="I9" s="106"/>
    </row>
    <row r="10" ht="6.75" customHeight="1" s="101">
      <c r="H10" s="107"/>
    </row>
    <row r="11" ht="15.75" customHeight="1" s="101"/>
    <row r="12" ht="12.75" customHeight="1" s="101"/>
    <row r="13" hidden="1" ht="11.25" customHeight="1" s="101">
      <c r="A13"/>
    </row>
    <row r="14" ht="12" customHeight="1" s="101">
      <c r="G14" s="108"/>
    </row>
    <row r="15" ht="13.5" customHeight="1" s="101">
      <c r="A15" s="96"/>
      <c r="H15" s="109"/>
      <c r="J15" s="96"/>
      <c r="L15" s="96"/>
      <c r="M15" s="96"/>
      <c r="N15" s="96"/>
      <c r="O15" s="96"/>
      <c r="P15" s="96"/>
      <c r="Q15" s="96"/>
      <c r="R15" s="96"/>
    </row>
    <row r="16" ht="14.25" customHeight="1" s="101">
      <c r="A16" s="110"/>
      <c r="J16" s="96"/>
      <c r="L16" s="96"/>
      <c r="M16" s="96"/>
      <c r="N16" s="96"/>
      <c r="O16" s="96"/>
      <c r="P16" s="96"/>
      <c r="Q16" s="96"/>
      <c r="R16" s="96"/>
    </row>
    <row r="17" ht="15.75" customHeight="1" s="101">
      <c r="A17" s="99"/>
      <c r="P17" s="99"/>
    </row>
    <row r="18" ht="15.75" customHeight="1" s="101">
      <c r="I18" s="111"/>
    </row>
    <row r="19" ht="14.25" customHeight="1" s="101">
      <c r="I19" s="111"/>
    </row>
    <row r="20" ht="15" customHeight="1" s="101">
      <c r="G20" s="112"/>
      <c r="H20" s="113"/>
      <c r="I20" s="114"/>
      <c r="J20" s="113"/>
      <c r="L20" s="113"/>
      <c r="M20" s="113"/>
      <c r="N20" s="113"/>
      <c r="O20" s="113"/>
      <c r="P20" s="113"/>
      <c r="Q20" s="113"/>
      <c r="R20" s="113"/>
    </row>
    <row r="21" ht="18.75" customHeight="1" s="101">
      <c r="B21" s="115"/>
      <c r="C21" s="116"/>
      <c r="H21" s="93"/>
      <c r="I21" s="117"/>
    </row>
    <row r="22" ht="15.75" customHeight="1" s="101">
      <c r="A22" s="118"/>
      <c r="B22" s="119"/>
      <c r="C22" s="119"/>
      <c r="E22" s="120"/>
      <c r="F22" s="120"/>
      <c r="G22" s="120"/>
      <c r="I22" s="117"/>
      <c r="K22" s="121" t="inlineStr">
        <is>
          <t xml:space="preserve">原单价:</t>
        </is>
      </c>
      <c r="M22" s="122"/>
      <c r="O22" s="123"/>
      <c r="P22" s="124"/>
    </row>
    <row r="23" ht="15.75" customHeight="1" s="101">
      <c r="A23" s="94"/>
      <c r="B23" s="125"/>
      <c r="C23" s="126"/>
      <c r="F23" s="97"/>
      <c r="G23" s="96"/>
      <c r="H23" s="127"/>
      <c r="I23" s="117"/>
      <c r="M23" s="122"/>
      <c r="O23" s="123"/>
      <c r="P23" s="124"/>
    </row>
    <row r="24" ht="15" customHeight="1" s="101">
      <c r="A24" s="138"/>
      <c r="B24" s="125"/>
      <c r="C24" s="157"/>
      <c r="D24" s="129"/>
      <c r="E24" s="130" t="inlineStr">
        <is>
          <t xml:space="preserve">PCS</t>
        </is>
      </c>
      <c r="F24" s="131" t="inlineStr">
        <is>
          <t xml:space="preserve">USD</t>
        </is>
      </c>
      <c r="G24" s="139"/>
      <c r="H24" s="131" t="inlineStr">
        <is>
          <t xml:space="preserve">USD</t>
        </is>
      </c>
      <c r="I24" s="132"/>
      <c r="J24" s="133"/>
      <c r="K24" s="134"/>
      <c r="L24" s="135"/>
      <c r="M24" s="122"/>
    </row>
    <row r="25" ht="15" customHeight="1" s="101">
      <c r="A25" s="138"/>
      <c r="B25" s="125"/>
      <c r="C25" s="158"/>
      <c r="D25" s="129"/>
      <c r="E25" s="130"/>
      <c r="F25" s="131"/>
      <c r="G25" s="139"/>
      <c r="H25" s="131"/>
      <c r="I25" s="132"/>
      <c r="J25" s="133"/>
      <c r="K25" s="134"/>
      <c r="L25" s="135"/>
      <c r="M25" s="122"/>
    </row>
    <row r="26" ht="15" customHeight="1" s="101">
      <c r="A26" s="138"/>
      <c r="B26" s="125"/>
      <c r="C26" s="125"/>
      <c r="D26" s="129"/>
      <c r="E26" s="130"/>
      <c r="F26" s="131"/>
      <c r="G26" s="139"/>
      <c r="H26" s="131"/>
      <c r="I26" s="132"/>
      <c r="J26" s="133"/>
      <c r="K26" s="134"/>
      <c r="L26" s="135"/>
      <c r="M26" s="122"/>
    </row>
    <row r="27" ht="15.75" customHeight="1" s="101">
      <c r="A27" s="138"/>
      <c r="B27" s="125"/>
      <c r="C27" s="125"/>
      <c r="D27" s="129"/>
      <c r="E27" s="130"/>
      <c r="F27" s="130"/>
      <c r="G27" s="139"/>
      <c r="H27" s="131"/>
      <c r="I27" s="132"/>
      <c r="J27" s="133"/>
      <c r="K27" s="134"/>
      <c r="L27" s="135"/>
      <c r="M27" s="122"/>
    </row>
    <row r="28" ht="15.75" customHeight="1" s="101">
      <c r="A28" s="138"/>
      <c r="B28" s="125"/>
      <c r="C28" s="125"/>
      <c r="D28" s="129"/>
      <c r="E28" s="130"/>
      <c r="F28" s="130"/>
      <c r="G28" s="139"/>
      <c r="H28" s="131"/>
      <c r="I28" s="132"/>
      <c r="J28" s="133"/>
      <c r="K28" s="134"/>
      <c r="L28" s="135"/>
      <c r="M28" s="122"/>
    </row>
    <row r="29" ht="15.75" customHeight="1" s="101">
      <c r="A29" s="138"/>
      <c r="B29" s="125"/>
      <c r="C29" s="125"/>
      <c r="D29" s="129"/>
      <c r="E29" s="130"/>
      <c r="F29" s="130"/>
      <c r="G29" s="139"/>
      <c r="H29" s="131"/>
      <c r="I29" s="132"/>
      <c r="J29" s="133"/>
      <c r="K29" s="134"/>
      <c r="L29" s="135"/>
      <c r="M29" s="122"/>
      <c r="Q29" s="140"/>
    </row>
    <row r="30" ht="15.75" customHeight="1" s="101">
      <c r="A30" s="138"/>
      <c r="B30" s="125"/>
      <c r="C30" s="125"/>
      <c r="D30" s="129"/>
      <c r="E30" s="130"/>
      <c r="F30" s="130"/>
      <c r="G30" s="139"/>
      <c r="H30" s="131"/>
      <c r="I30" s="132"/>
      <c r="J30" s="133"/>
      <c r="K30" s="134"/>
      <c r="L30" s="135"/>
      <c r="M30" s="122"/>
      <c r="Q30" s="140"/>
    </row>
    <row r="31" ht="15.75" customHeight="1" s="101">
      <c r="A31" s="138"/>
      <c r="B31" s="125"/>
      <c r="C31" s="125"/>
      <c r="D31" s="129"/>
      <c r="E31" s="130"/>
      <c r="F31" s="130"/>
      <c r="G31" s="139"/>
      <c r="H31" s="131"/>
      <c r="I31" s="132"/>
      <c r="J31" s="133"/>
      <c r="K31" s="134"/>
      <c r="L31" s="135"/>
      <c r="Q31" s="141"/>
    </row>
    <row r="32" ht="15.75" customHeight="1" s="101">
      <c r="A32" s="138"/>
      <c r="B32" s="125"/>
      <c r="C32" s="125"/>
      <c r="D32" s="129"/>
      <c r="E32" s="130"/>
      <c r="F32" s="130"/>
      <c r="G32" s="139"/>
      <c r="H32" s="131"/>
      <c r="I32" s="132"/>
      <c r="J32" s="133"/>
      <c r="K32" s="134"/>
      <c r="L32" s="135"/>
      <c r="M32" s="135"/>
      <c r="N32" s="99"/>
      <c r="O32" s="99"/>
      <c r="P32" s="99"/>
      <c r="Q32" s="118"/>
    </row>
    <row r="33" ht="13.5" customHeight="1" s="101">
      <c r="A33" s="138"/>
      <c r="B33" s="125"/>
      <c r="C33" s="125"/>
      <c r="D33" s="129"/>
      <c r="E33" s="130"/>
      <c r="F33" s="130"/>
      <c r="G33" s="139"/>
      <c r="H33" s="131"/>
      <c r="I33" s="132"/>
      <c r="J33" s="133"/>
      <c r="K33" s="134"/>
      <c r="L33" s="135"/>
      <c r="M33" s="99"/>
      <c r="N33" s="99"/>
      <c r="O33" s="99"/>
      <c r="P33" s="99"/>
    </row>
    <row r="34" ht="15" customHeight="1" s="101">
      <c r="A34" s="138"/>
      <c r="B34" s="125"/>
      <c r="C34" s="125"/>
      <c r="D34" s="129"/>
      <c r="E34" s="130"/>
      <c r="F34" s="130"/>
      <c r="G34" s="139"/>
      <c r="H34" s="131"/>
      <c r="I34" s="132"/>
      <c r="J34" s="133"/>
      <c r="K34" s="134"/>
      <c r="L34" s="135"/>
      <c r="M34" s="112"/>
      <c r="N34" s="96"/>
      <c r="O34" s="99"/>
      <c r="P34" s="99"/>
      <c r="Q34" s="142"/>
      <c r="R34" s="96"/>
    </row>
    <row r="35" ht="15" customHeight="1" s="101">
      <c r="A35" s="138"/>
      <c r="B35" s="125"/>
      <c r="C35" s="125"/>
      <c r="D35" s="129"/>
      <c r="E35" s="130"/>
      <c r="F35" s="130"/>
      <c r="G35" s="139"/>
      <c r="H35" s="131"/>
      <c r="I35" s="132"/>
      <c r="J35" s="133"/>
      <c r="K35" s="134"/>
      <c r="L35" s="135"/>
      <c r="M35" s="112"/>
      <c r="N35" s="96"/>
      <c r="O35" s="95"/>
      <c r="P35" s="92"/>
      <c r="Q35" s="143"/>
      <c r="R35" s="99"/>
    </row>
    <row r="36" ht="15.75" customHeight="1" s="101">
      <c r="A36" s="138"/>
      <c r="B36" s="125"/>
      <c r="C36" s="125"/>
      <c r="D36" s="129"/>
      <c r="E36" s="130"/>
      <c r="F36" s="130"/>
      <c r="G36" s="139"/>
      <c r="H36" s="131"/>
      <c r="I36" s="132"/>
      <c r="J36" s="133"/>
      <c r="K36" s="134"/>
      <c r="L36" s="135"/>
      <c r="M36" s="112"/>
      <c r="N36" s="96"/>
      <c r="O36" s="95"/>
      <c r="P36" s="92"/>
    </row>
    <row r="37" ht="15.75" customHeight="1" s="101">
      <c r="A37" s="138"/>
      <c r="B37" s="125"/>
      <c r="C37" s="125"/>
      <c r="D37" s="129"/>
      <c r="E37" s="130"/>
      <c r="F37" s="130"/>
      <c r="G37" s="139"/>
      <c r="H37" s="131"/>
      <c r="I37" s="132"/>
      <c r="J37" s="133"/>
      <c r="K37" s="134"/>
      <c r="L37" s="135"/>
      <c r="M37" s="112"/>
      <c r="N37" s="96"/>
      <c r="O37" s="95"/>
      <c r="P37" s="92"/>
      <c r="Q37" s="143"/>
      <c r="R37" s="144"/>
    </row>
    <row r="38" ht="15.75" customHeight="1" s="101">
      <c r="A38" s="138"/>
      <c r="B38" s="96"/>
      <c r="C38" s="145"/>
      <c r="D38" s="129"/>
      <c r="E38" s="130"/>
      <c r="F38" s="130"/>
      <c r="G38" s="139"/>
      <c r="H38" s="131"/>
      <c r="I38" s="132"/>
      <c r="J38" s="133"/>
      <c r="K38" s="134"/>
      <c r="L38" s="135"/>
      <c r="M38" s="112"/>
      <c r="N38" s="94"/>
      <c r="O38" s="95"/>
      <c r="P38" s="92"/>
      <c r="Q38" s="146"/>
      <c r="R38" s="147"/>
    </row>
    <row r="39" ht="15.75" customHeight="1" s="101">
      <c r="A39" s="138"/>
      <c r="B39" s="125"/>
      <c r="C39" s="145"/>
      <c r="D39" s="129"/>
      <c r="E39" s="130"/>
      <c r="F39" s="130"/>
      <c r="G39" s="139"/>
      <c r="H39" s="131"/>
      <c r="I39" s="132"/>
      <c r="J39" s="133"/>
      <c r="K39" s="134"/>
      <c r="L39" s="135"/>
      <c r="M39" s="148"/>
      <c r="N39" s="99"/>
      <c r="O39" s="99"/>
      <c r="P39" s="99"/>
      <c r="Q39" s="143"/>
      <c r="R39" s="144"/>
    </row>
    <row r="40" ht="15.75" customHeight="1" s="101">
      <c r="A40" s="138"/>
      <c r="B40" s="125"/>
      <c r="C40" s="95"/>
      <c r="D40" s="129"/>
      <c r="E40" s="130"/>
      <c r="F40" s="130"/>
      <c r="G40" s="139"/>
      <c r="H40" s="131"/>
      <c r="I40" s="132"/>
      <c r="J40" s="133"/>
      <c r="K40" s="134"/>
      <c r="L40" s="135"/>
      <c r="M40" s="148"/>
      <c r="N40" s="99"/>
      <c r="O40" s="99"/>
      <c r="P40" s="99"/>
    </row>
    <row r="41" ht="15.75" customHeight="1" s="101">
      <c r="A41" s="138"/>
      <c r="B41" s="149"/>
      <c r="D41" s="129"/>
      <c r="E41" s="130"/>
      <c r="F41" s="130"/>
      <c r="G41" s="139"/>
      <c r="H41" s="131"/>
      <c r="I41" s="132"/>
      <c r="J41" s="133"/>
      <c r="K41" s="134"/>
      <c r="L41" s="135"/>
      <c r="M41" s="148"/>
      <c r="N41" s="99"/>
      <c r="O41" s="99"/>
      <c r="P41" s="99"/>
    </row>
    <row r="42" ht="15.75" customHeight="1" s="101">
      <c r="A42" s="113"/>
      <c r="D42" s="113"/>
      <c r="E42" s="113"/>
      <c r="G42" s="139"/>
      <c r="H42" s="113"/>
      <c r="I42" s="161"/>
      <c r="J42" s="133"/>
      <c r="K42" s="134"/>
      <c r="L42" s="135"/>
      <c r="M42" s="148"/>
      <c r="N42" s="113"/>
      <c r="O42" s="113"/>
      <c r="P42" s="113"/>
      <c r="Q42" s="113"/>
      <c r="R42" s="113"/>
    </row>
    <row r="43" ht="15.75" customHeight="1" s="101">
      <c r="A43" s="138"/>
      <c r="B43" s="149"/>
      <c r="D43" s="129"/>
      <c r="E43" s="130"/>
      <c r="F43" s="130"/>
      <c r="G43" s="139"/>
      <c r="H43" s="139"/>
      <c r="I43" s="132"/>
      <c r="J43" s="133"/>
      <c r="K43" s="134"/>
      <c r="L43" s="151"/>
      <c r="M43" s="148"/>
      <c r="N43" s="113"/>
      <c r="O43" s="113"/>
      <c r="P43" s="113"/>
      <c r="Q43" s="113"/>
      <c r="R43" s="113"/>
    </row>
    <row r="44" ht="27" customHeight="1" s="101">
      <c r="A44" s="118"/>
      <c r="F44" s="93"/>
      <c r="G44" s="112"/>
      <c r="H44" s="93"/>
      <c r="I44" s="162"/>
      <c r="L44" s="152"/>
      <c r="M44" s="148"/>
    </row>
    <row r="45" ht="39" customHeight="1" s="101">
      <c r="G45" s="97"/>
      <c r="H45" s="93"/>
      <c r="I45" s="153"/>
      <c r="L45" s="152"/>
    </row>
    <row r="46" ht="15.75" customHeight="1" s="101">
      <c r="H46" s="154" t="inlineStr">
        <is>
          <t xml:space="preserve">USD</t>
        </is>
      </c>
      <c r="I46" s="155">
        <f>SUM(I24:I45)</f>
        <v>0</v>
      </c>
      <c r="K46" s="99"/>
      <c r="L46" s="135">
        <f>SUM(L24:L38)</f>
        <v>0</v>
      </c>
    </row>
    <row r="47" hidden="1" ht="10.5" customHeight="1" s="101">
      <c r="I47" s="153"/>
      <c r="L47" s="152"/>
    </row>
    <row r="48" ht="27" customHeight="1" s="101">
      <c r="H48" s="99"/>
      <c r="I48" s="99"/>
    </row>
    <row r="49" ht="15.75" customHeight="1" s="101">
      <c r="H49" s="156"/>
      <c r="I49" s="111"/>
      <c r="L49" s="152"/>
    </row>
  </sheetData>
  <mergeCells count="8">
    <mergeCell ref="B43:C44"/>
    <mergeCell ref="H10:I12"/>
    <mergeCell ref="H7:I7"/>
    <mergeCell ref="B41:C42"/>
    <mergeCell ref="H15:I16"/>
    <mergeCell ref="H5:I6"/>
    <mergeCell ref="H8:I8"/>
    <mergeCell ref="G14:J14"/>
  </mergeCells>
  <printOptions horizontalCentered="0" verticalCentered="0" headings="0" gridLines="0" gridLinesSet="1"/>
  <pageMargins left="0.390277777777778" right="0.129861111111111" top="2.32013888888889" bottom="0.329861111111111" header="0.511811023622047" footer="0.170138888888889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5:R49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pane xSplit="0" ySplit="10" topLeftCell="A21" activePane="bottomLeft" state="frozen"/>
      <selection pane="topLeft" activeCell="A8" activeCellId="0" sqref="A8"/>
      <selection pane="bottomLeft" activeCell="D24" activeCellId="0" sqref="D24:J24"/>
    </sheetView>
  </sheetViews>
  <sheetFormatPr baseColWidth="8" defaultColWidth="8.99609375" defaultRowHeight="15.75" customHeight="0" zeroHeight="0" outlineLevelRow="0"/>
  <cols>
    <col width="16.74" customWidth="1" style="92" min="1" max="1"/>
    <col width="10.75" customWidth="1" style="93" min="2" max="2"/>
    <col width="24.37" customWidth="1" style="94" min="3" max="3"/>
    <col width="6.62" customWidth="1" style="95" min="4" max="4"/>
    <col width="4.74" customWidth="1" style="96" min="5" max="5"/>
    <col width="4.37" customWidth="1" style="96" min="6" max="6"/>
    <col width="7.62" customWidth="1" style="97" min="7" max="7"/>
    <col width="4.37" customWidth="1" style="96" min="8" max="8"/>
    <col width="8.74" customWidth="1" style="98" min="9" max="9"/>
    <col width="2.62" customWidth="1" style="99" min="10" max="10"/>
    <col width="12.5" customWidth="1" style="100" min="11" max="11"/>
    <col width="12.62" customWidth="1" style="99" min="12" max="12"/>
    <col width="9.859999999999999" customWidth="1" style="99" min="13" max="13"/>
    <col width="9.369999999999999" customWidth="1" style="99" min="14" max="14"/>
    <col width="8.99" customWidth="1" style="99" min="15" max="15"/>
    <col width="10.49" customWidth="1" style="99" min="16" max="16"/>
    <col width="8.99" customWidth="1" style="99" min="17" max="18"/>
  </cols>
  <sheetData>
    <row r="3" ht="7.5" customHeight="1" s="101"/>
    <row r="4" ht="8.25" customHeight="1" s="101"/>
    <row r="5" ht="15.75" customHeight="1" s="101">
      <c r="H5" s="102" t="inlineStr">
        <is>
          <t xml:space="preserve"> 330783</t>
        </is>
      </c>
    </row>
    <row r="6" ht="15.75" customHeight="1" s="101">
      <c r="G6" s="103"/>
    </row>
    <row r="7" ht="24.75" customHeight="1" s="101">
      <c r="H7" s="104"/>
    </row>
    <row r="8" ht="19.5" customHeight="1" s="101">
      <c r="H8" s="105"/>
    </row>
    <row r="9" ht="11.25" customHeight="1" s="101">
      <c r="H9" s="106"/>
      <c r="I9" s="106"/>
    </row>
    <row r="10" ht="6.75" customHeight="1" s="101">
      <c r="H10" s="107"/>
    </row>
    <row r="11" ht="15.75" customHeight="1" s="101"/>
    <row r="12" ht="12.75" customHeight="1" s="101"/>
    <row r="13" hidden="1" ht="11.25" customHeight="1" s="101">
      <c r="A13"/>
    </row>
    <row r="14" ht="12" customHeight="1" s="101">
      <c r="G14" s="108"/>
    </row>
    <row r="15" ht="13.5" customHeight="1" s="101">
      <c r="A15" s="96"/>
      <c r="H15" s="109"/>
      <c r="J15" s="96"/>
      <c r="L15" s="96"/>
      <c r="M15" s="96"/>
      <c r="N15" s="96"/>
      <c r="O15" s="96"/>
      <c r="P15" s="96"/>
      <c r="Q15" s="96"/>
      <c r="R15" s="96"/>
    </row>
    <row r="16" ht="14.25" customHeight="1" s="101">
      <c r="A16" s="110"/>
      <c r="J16" s="96"/>
      <c r="L16" s="96"/>
      <c r="M16" s="96"/>
      <c r="N16" s="96"/>
      <c r="O16" s="96"/>
      <c r="P16" s="96"/>
      <c r="Q16" s="96"/>
      <c r="R16" s="96"/>
    </row>
    <row r="17" ht="15.75" customHeight="1" s="101">
      <c r="A17" s="99"/>
      <c r="P17" s="99"/>
    </row>
    <row r="18" ht="15.75" customHeight="1" s="101">
      <c r="I18" s="111"/>
    </row>
    <row r="19" ht="14.25" customHeight="1" s="101">
      <c r="I19" s="111"/>
    </row>
    <row r="20" ht="15" customHeight="1" s="101">
      <c r="G20" s="112"/>
      <c r="H20" s="113"/>
      <c r="I20" s="114"/>
      <c r="J20" s="113"/>
      <c r="L20" s="113"/>
      <c r="M20" s="113"/>
      <c r="N20" s="113"/>
      <c r="O20" s="113"/>
      <c r="P20" s="113"/>
      <c r="Q20" s="113"/>
      <c r="R20" s="113"/>
    </row>
    <row r="21" ht="18.75" customHeight="1" s="101">
      <c r="B21" s="115"/>
      <c r="C21" s="116"/>
      <c r="H21" s="93"/>
      <c r="I21" s="117"/>
    </row>
    <row r="22" ht="15.75" customHeight="1" s="101">
      <c r="A22" s="118"/>
      <c r="B22" s="119"/>
      <c r="C22" s="119"/>
      <c r="E22" s="120"/>
      <c r="F22" s="120"/>
      <c r="G22" s="120"/>
      <c r="I22" s="117"/>
      <c r="K22" s="121" t="inlineStr">
        <is>
          <t xml:space="preserve">原单价:</t>
        </is>
      </c>
      <c r="M22" s="122"/>
      <c r="O22" s="123"/>
      <c r="P22" s="124"/>
    </row>
    <row r="23" ht="15.75" customHeight="1" s="101">
      <c r="A23" s="94"/>
      <c r="B23" s="125"/>
      <c r="C23" s="126"/>
      <c r="F23" s="97"/>
      <c r="G23" s="96"/>
      <c r="H23" s="127"/>
      <c r="I23" s="117"/>
      <c r="M23" s="122"/>
      <c r="O23" s="123"/>
      <c r="P23" s="124"/>
    </row>
    <row r="24" ht="15" customHeight="1" s="101">
      <c r="A24" s="138"/>
      <c r="B24" s="125"/>
      <c r="C24" s="157"/>
      <c r="D24" s="129"/>
      <c r="E24" s="130" t="inlineStr">
        <is>
          <t xml:space="preserve">PCS</t>
        </is>
      </c>
      <c r="F24" s="131" t="inlineStr">
        <is>
          <t xml:space="preserve">USD</t>
        </is>
      </c>
      <c r="G24" s="139"/>
      <c r="H24" s="131" t="inlineStr">
        <is>
          <t xml:space="preserve">USD</t>
        </is>
      </c>
      <c r="I24" s="132"/>
      <c r="J24" s="133"/>
      <c r="K24" s="134"/>
      <c r="L24" s="135"/>
      <c r="M24" s="122"/>
    </row>
    <row r="25" ht="15" customHeight="1" s="101">
      <c r="A25" s="138"/>
      <c r="B25" s="125"/>
      <c r="C25" s="158"/>
      <c r="D25" s="129"/>
      <c r="E25" s="130"/>
      <c r="F25" s="131"/>
      <c r="G25" s="139"/>
      <c r="H25" s="131"/>
      <c r="I25" s="132"/>
      <c r="J25" s="133"/>
      <c r="K25" s="134"/>
      <c r="L25" s="135"/>
      <c r="M25" s="122"/>
    </row>
    <row r="26" ht="15" customHeight="1" s="101">
      <c r="A26" s="138"/>
      <c r="B26" s="125"/>
      <c r="C26" s="125"/>
      <c r="D26" s="129"/>
      <c r="E26" s="130"/>
      <c r="F26" s="131"/>
      <c r="G26" s="139"/>
      <c r="H26" s="131"/>
      <c r="I26" s="132"/>
      <c r="J26" s="133"/>
      <c r="K26" s="134"/>
      <c r="L26" s="135"/>
      <c r="M26" s="122"/>
    </row>
    <row r="27" ht="15.75" customHeight="1" s="101">
      <c r="A27" s="138"/>
      <c r="B27" s="125"/>
      <c r="C27" s="125"/>
      <c r="D27" s="129"/>
      <c r="E27" s="130"/>
      <c r="F27" s="130"/>
      <c r="G27" s="139"/>
      <c r="H27" s="131"/>
      <c r="I27" s="132"/>
      <c r="J27" s="133"/>
      <c r="K27" s="134"/>
      <c r="L27" s="135"/>
      <c r="M27" s="122"/>
    </row>
    <row r="28" ht="15.75" customHeight="1" s="101">
      <c r="A28" s="138"/>
      <c r="B28" s="125"/>
      <c r="C28" s="125"/>
      <c r="D28" s="129"/>
      <c r="E28" s="130"/>
      <c r="F28" s="130"/>
      <c r="G28" s="139"/>
      <c r="H28" s="131"/>
      <c r="I28" s="132"/>
      <c r="J28" s="133"/>
      <c r="K28" s="134"/>
      <c r="L28" s="135"/>
      <c r="M28" s="122"/>
    </row>
    <row r="29" ht="15.75" customHeight="1" s="101">
      <c r="A29" s="138"/>
      <c r="B29" s="125"/>
      <c r="C29" s="125"/>
      <c r="D29" s="129"/>
      <c r="E29" s="130"/>
      <c r="F29" s="130"/>
      <c r="G29" s="139"/>
      <c r="H29" s="131"/>
      <c r="I29" s="132"/>
      <c r="J29" s="133"/>
      <c r="K29" s="134"/>
      <c r="L29" s="135"/>
      <c r="M29" s="122"/>
      <c r="Q29" s="140"/>
    </row>
    <row r="30" ht="15.75" customHeight="1" s="101">
      <c r="A30" s="138"/>
      <c r="B30" s="125"/>
      <c r="C30" s="125"/>
      <c r="D30" s="129"/>
      <c r="E30" s="130"/>
      <c r="F30" s="130"/>
      <c r="G30" s="139"/>
      <c r="H30" s="131"/>
      <c r="I30" s="132"/>
      <c r="J30" s="133"/>
      <c r="K30" s="134"/>
      <c r="L30" s="135"/>
      <c r="M30" s="122"/>
      <c r="Q30" s="140"/>
    </row>
    <row r="31" ht="15.75" customHeight="1" s="101">
      <c r="A31" s="138"/>
      <c r="B31" s="125"/>
      <c r="C31" s="125"/>
      <c r="D31" s="129"/>
      <c r="E31" s="130"/>
      <c r="F31" s="130"/>
      <c r="G31" s="139"/>
      <c r="H31" s="131"/>
      <c r="I31" s="132"/>
      <c r="J31" s="133"/>
      <c r="K31" s="134"/>
      <c r="L31" s="135"/>
      <c r="Q31" s="141"/>
    </row>
    <row r="32" ht="15.75" customHeight="1" s="101">
      <c r="A32" s="138"/>
      <c r="B32" s="125"/>
      <c r="C32" s="125"/>
      <c r="D32" s="129"/>
      <c r="E32" s="130"/>
      <c r="F32" s="130"/>
      <c r="G32" s="139"/>
      <c r="H32" s="131"/>
      <c r="I32" s="132"/>
      <c r="J32" s="133"/>
      <c r="K32" s="134"/>
      <c r="L32" s="135"/>
      <c r="M32" s="135"/>
      <c r="N32" s="99"/>
      <c r="O32" s="99"/>
      <c r="P32" s="99"/>
      <c r="Q32" s="118"/>
    </row>
    <row r="33" ht="13.5" customHeight="1" s="101">
      <c r="A33" s="138"/>
      <c r="B33" s="125"/>
      <c r="C33" s="125"/>
      <c r="D33" s="129"/>
      <c r="E33" s="130"/>
      <c r="F33" s="130"/>
      <c r="G33" s="139"/>
      <c r="H33" s="131"/>
      <c r="I33" s="132"/>
      <c r="J33" s="133"/>
      <c r="K33" s="134"/>
      <c r="L33" s="135"/>
      <c r="M33" s="99"/>
      <c r="N33" s="99"/>
      <c r="O33" s="99"/>
      <c r="P33" s="99"/>
    </row>
    <row r="34" ht="15" customHeight="1" s="101">
      <c r="A34" s="138"/>
      <c r="B34" s="125"/>
      <c r="C34" s="125"/>
      <c r="D34" s="129"/>
      <c r="E34" s="130"/>
      <c r="F34" s="130"/>
      <c r="G34" s="139"/>
      <c r="H34" s="131"/>
      <c r="I34" s="132"/>
      <c r="J34" s="133"/>
      <c r="K34" s="134"/>
      <c r="L34" s="135"/>
      <c r="M34" s="112"/>
      <c r="N34" s="96"/>
      <c r="O34" s="99"/>
      <c r="P34" s="99"/>
      <c r="Q34" s="142"/>
      <c r="R34" s="96"/>
    </row>
    <row r="35" ht="15" customHeight="1" s="101">
      <c r="A35" s="138"/>
      <c r="B35" s="125"/>
      <c r="C35" s="125"/>
      <c r="D35" s="129"/>
      <c r="E35" s="130"/>
      <c r="F35" s="130"/>
      <c r="G35" s="139"/>
      <c r="H35" s="131"/>
      <c r="I35" s="132"/>
      <c r="J35" s="133"/>
      <c r="K35" s="134"/>
      <c r="L35" s="135"/>
      <c r="M35" s="112"/>
      <c r="N35" s="96"/>
      <c r="O35" s="95"/>
      <c r="P35" s="92"/>
      <c r="Q35" s="143"/>
      <c r="R35" s="99"/>
    </row>
    <row r="36" ht="15.75" customHeight="1" s="101">
      <c r="A36" s="138"/>
      <c r="B36" s="125"/>
      <c r="C36" s="125"/>
      <c r="D36" s="129"/>
      <c r="E36" s="130"/>
      <c r="F36" s="130"/>
      <c r="G36" s="139"/>
      <c r="H36" s="131"/>
      <c r="I36" s="132"/>
      <c r="J36" s="133"/>
      <c r="K36" s="134"/>
      <c r="L36" s="135"/>
      <c r="M36" s="112"/>
      <c r="N36" s="96"/>
      <c r="O36" s="95"/>
      <c r="P36" s="92"/>
    </row>
    <row r="37" ht="15.75" customHeight="1" s="101">
      <c r="A37" s="138"/>
      <c r="B37" s="125"/>
      <c r="C37" s="125"/>
      <c r="D37" s="129"/>
      <c r="E37" s="130"/>
      <c r="F37" s="130"/>
      <c r="G37" s="139"/>
      <c r="H37" s="131"/>
      <c r="I37" s="132"/>
      <c r="J37" s="133"/>
      <c r="K37" s="134"/>
      <c r="L37" s="135"/>
      <c r="M37" s="112"/>
      <c r="N37" s="96"/>
      <c r="O37" s="95"/>
      <c r="P37" s="92"/>
      <c r="Q37" s="143"/>
      <c r="R37" s="144"/>
    </row>
    <row r="38" ht="15.75" customHeight="1" s="101">
      <c r="A38" s="138"/>
      <c r="B38" s="96"/>
      <c r="C38" s="145"/>
      <c r="D38" s="129"/>
      <c r="E38" s="130"/>
      <c r="F38" s="130"/>
      <c r="G38" s="139"/>
      <c r="H38" s="131"/>
      <c r="I38" s="132"/>
      <c r="J38" s="133"/>
      <c r="K38" s="134"/>
      <c r="L38" s="135"/>
      <c r="M38" s="112"/>
      <c r="N38" s="94"/>
      <c r="O38" s="95"/>
      <c r="P38" s="92"/>
      <c r="Q38" s="146"/>
      <c r="R38" s="147"/>
    </row>
    <row r="39" ht="15.75" customHeight="1" s="101">
      <c r="A39" s="138"/>
      <c r="B39" s="125"/>
      <c r="C39" s="145"/>
      <c r="D39" s="129"/>
      <c r="E39" s="130"/>
      <c r="F39" s="130"/>
      <c r="G39" s="139"/>
      <c r="H39" s="131"/>
      <c r="I39" s="132"/>
      <c r="J39" s="133"/>
      <c r="K39" s="134"/>
      <c r="L39" s="135"/>
      <c r="M39" s="148"/>
      <c r="N39" s="99"/>
      <c r="O39" s="99"/>
      <c r="P39" s="99"/>
      <c r="Q39" s="143"/>
      <c r="R39" s="144"/>
    </row>
    <row r="40" ht="15.75" customHeight="1" s="101">
      <c r="A40" s="138"/>
      <c r="B40" s="125"/>
      <c r="C40" s="95"/>
      <c r="D40" s="129"/>
      <c r="E40" s="130"/>
      <c r="F40" s="130"/>
      <c r="G40" s="139"/>
      <c r="H40" s="131"/>
      <c r="I40" s="132"/>
      <c r="J40" s="133"/>
      <c r="K40" s="134"/>
      <c r="L40" s="135"/>
      <c r="M40" s="148"/>
      <c r="N40" s="99"/>
      <c r="O40" s="99"/>
      <c r="P40" s="99"/>
    </row>
    <row r="41" ht="15.75" customHeight="1" s="101">
      <c r="A41" s="138"/>
      <c r="B41" s="149"/>
      <c r="D41" s="129"/>
      <c r="E41" s="130"/>
      <c r="F41" s="130"/>
      <c r="G41" s="139"/>
      <c r="H41" s="131"/>
      <c r="I41" s="132"/>
      <c r="J41" s="133"/>
      <c r="K41" s="134"/>
      <c r="L41" s="135"/>
      <c r="M41" s="148"/>
      <c r="N41" s="99"/>
      <c r="O41" s="99"/>
      <c r="P41" s="99"/>
    </row>
    <row r="42" ht="15.75" customHeight="1" s="101">
      <c r="A42" s="113"/>
      <c r="D42" s="113"/>
      <c r="E42" s="113"/>
      <c r="G42" s="139"/>
      <c r="H42" s="113"/>
      <c r="I42" s="161"/>
      <c r="J42" s="133"/>
      <c r="K42" s="134"/>
      <c r="L42" s="135"/>
      <c r="M42" s="148"/>
      <c r="N42" s="113"/>
      <c r="O42" s="113"/>
      <c r="P42" s="113"/>
      <c r="Q42" s="113"/>
      <c r="R42" s="113"/>
    </row>
    <row r="43" ht="15.75" customHeight="1" s="101">
      <c r="A43" s="138"/>
      <c r="B43" s="149"/>
      <c r="D43" s="129"/>
      <c r="E43" s="130"/>
      <c r="F43" s="130"/>
      <c r="G43" s="139"/>
      <c r="H43" s="139"/>
      <c r="I43" s="132"/>
      <c r="J43" s="133"/>
      <c r="K43" s="134"/>
      <c r="L43" s="151"/>
      <c r="M43" s="148"/>
      <c r="N43" s="113"/>
      <c r="O43" s="113"/>
      <c r="P43" s="113"/>
      <c r="Q43" s="113"/>
      <c r="R43" s="113"/>
    </row>
    <row r="44" ht="27" customHeight="1" s="101">
      <c r="A44" s="118"/>
      <c r="F44" s="93"/>
      <c r="G44" s="112"/>
      <c r="H44" s="93"/>
      <c r="I44" s="162"/>
      <c r="L44" s="152"/>
      <c r="M44" s="148"/>
    </row>
    <row r="45" ht="39" customHeight="1" s="101">
      <c r="G45" s="97"/>
      <c r="H45" s="93"/>
      <c r="I45" s="153"/>
      <c r="L45" s="152"/>
    </row>
    <row r="46" ht="15.75" customHeight="1" s="101">
      <c r="H46" s="154" t="inlineStr">
        <is>
          <t xml:space="preserve">USD</t>
        </is>
      </c>
      <c r="I46" s="155">
        <f>SUM(I24:I45)</f>
        <v>0</v>
      </c>
      <c r="K46" s="99"/>
      <c r="L46" s="135">
        <f>SUM(L24:L38)</f>
        <v>0</v>
      </c>
    </row>
    <row r="47" hidden="1" ht="10.5" customHeight="1" s="101">
      <c r="I47" s="153"/>
      <c r="L47" s="152"/>
    </row>
    <row r="48" ht="27" customHeight="1" s="101">
      <c r="H48" s="99"/>
      <c r="I48" s="99"/>
    </row>
    <row r="49" ht="15.75" customHeight="1" s="101">
      <c r="H49" s="156"/>
      <c r="I49" s="111"/>
      <c r="L49" s="152"/>
    </row>
  </sheetData>
  <mergeCells count="8">
    <mergeCell ref="B43:C44"/>
    <mergeCell ref="H10:I12"/>
    <mergeCell ref="H7:I7"/>
    <mergeCell ref="B41:C42"/>
    <mergeCell ref="H15:I16"/>
    <mergeCell ref="H5:I6"/>
    <mergeCell ref="H8:I8"/>
    <mergeCell ref="G14:J14"/>
  </mergeCells>
  <printOptions horizontalCentered="0" verticalCentered="0" headings="0" gridLines="0" gridLinesSet="1"/>
  <pageMargins left="0.390277777777778" right="0.129861111111111" top="2.32013888888889" bottom="0.329861111111111" header="0.511811023622047" footer="0.170138888888889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5:R49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pane xSplit="0" ySplit="10" topLeftCell="A21" activePane="bottomLeft" state="frozen"/>
      <selection pane="topLeft" activeCell="A8" activeCellId="0" sqref="A8"/>
      <selection pane="bottomLeft" activeCell="K44" activeCellId="0" sqref="K44"/>
    </sheetView>
  </sheetViews>
  <sheetFormatPr baseColWidth="8" defaultColWidth="8.99609375" defaultRowHeight="15.75" customHeight="0" zeroHeight="0" outlineLevelRow="0"/>
  <cols>
    <col width="16.74" customWidth="1" style="92" min="1" max="1"/>
    <col width="10.75" customWidth="1" style="93" min="2" max="2"/>
    <col width="24.37" customWidth="1" style="94" min="3" max="3"/>
    <col width="6.62" customWidth="1" style="95" min="4" max="4"/>
    <col width="4.74" customWidth="1" style="96" min="5" max="5"/>
    <col width="4.37" customWidth="1" style="96" min="6" max="6"/>
    <col width="7.62" customWidth="1" style="97" min="7" max="7"/>
    <col width="4.37" customWidth="1" style="96" min="8" max="8"/>
    <col width="8.74" customWidth="1" style="98" min="9" max="9"/>
    <col width="2.62" customWidth="1" style="99" min="10" max="10"/>
    <col width="12.5" customWidth="1" style="100" min="11" max="11"/>
    <col width="12.62" customWidth="1" style="99" min="12" max="12"/>
    <col width="9.859999999999999" customWidth="1" style="99" min="13" max="13"/>
    <col width="9.369999999999999" customWidth="1" style="99" min="14" max="14"/>
    <col width="8.99" customWidth="1" style="99" min="15" max="15"/>
    <col width="10.49" customWidth="1" style="99" min="16" max="16"/>
    <col width="8.99" customWidth="1" style="99" min="17" max="18"/>
  </cols>
  <sheetData>
    <row r="3" ht="7.5" customHeight="1" s="101"/>
    <row r="4" ht="8.25" customHeight="1" s="101"/>
    <row r="5" ht="15.75" customHeight="1" s="101">
      <c r="H5" s="102" t="inlineStr">
        <is>
          <t xml:space="preserve"> 330783</t>
        </is>
      </c>
    </row>
    <row r="6" ht="15.75" customHeight="1" s="101">
      <c r="G6" s="103"/>
    </row>
    <row r="7" ht="24.75" customHeight="1" s="101">
      <c r="H7" s="104"/>
    </row>
    <row r="8" ht="19.5" customHeight="1" s="101">
      <c r="H8" s="105"/>
    </row>
    <row r="9" ht="11.25" customHeight="1" s="101">
      <c r="H9" s="106"/>
      <c r="I9" s="106"/>
    </row>
    <row r="10" ht="6.75" customHeight="1" s="101">
      <c r="H10" s="107"/>
    </row>
    <row r="11" ht="15.75" customHeight="1" s="101"/>
    <row r="12" ht="12.75" customHeight="1" s="101"/>
    <row r="13" hidden="1" ht="11.25" customHeight="1" s="101">
      <c r="A13"/>
    </row>
    <row r="14" ht="12" customHeight="1" s="101">
      <c r="G14" s="108"/>
    </row>
    <row r="15" ht="13.5" customHeight="1" s="101">
      <c r="A15" s="96"/>
      <c r="H15" s="109"/>
      <c r="J15" s="96"/>
      <c r="L15" s="96"/>
      <c r="M15" s="96"/>
      <c r="N15" s="96"/>
      <c r="O15" s="96"/>
      <c r="P15" s="96"/>
      <c r="Q15" s="96"/>
      <c r="R15" s="96"/>
    </row>
    <row r="16" ht="14.25" customHeight="1" s="101">
      <c r="A16" s="110"/>
      <c r="J16" s="96"/>
      <c r="L16" s="96"/>
      <c r="M16" s="96"/>
      <c r="N16" s="96"/>
      <c r="O16" s="96"/>
      <c r="P16" s="96"/>
      <c r="Q16" s="96"/>
      <c r="R16" s="96"/>
    </row>
    <row r="17" ht="15.75" customHeight="1" s="101">
      <c r="A17" s="99"/>
      <c r="P17" s="99"/>
    </row>
    <row r="18" ht="15.75" customHeight="1" s="101">
      <c r="I18" s="111"/>
    </row>
    <row r="19" ht="14.25" customHeight="1" s="101">
      <c r="I19" s="111"/>
    </row>
    <row r="20" ht="15" customHeight="1" s="101">
      <c r="G20" s="112"/>
      <c r="H20" s="113"/>
      <c r="I20" s="114"/>
      <c r="J20" s="113"/>
      <c r="L20" s="113"/>
      <c r="M20" s="113"/>
      <c r="N20" s="113"/>
      <c r="O20" s="113"/>
      <c r="P20" s="113"/>
      <c r="Q20" s="113"/>
      <c r="R20" s="113"/>
    </row>
    <row r="21" ht="18.75" customHeight="1" s="101">
      <c r="B21" s="115"/>
      <c r="C21" s="116"/>
      <c r="H21" s="93"/>
      <c r="I21" s="117"/>
    </row>
    <row r="22" ht="15.75" customHeight="1" s="101">
      <c r="A22" s="118"/>
      <c r="B22" s="119"/>
      <c r="C22" s="119"/>
      <c r="E22" s="120"/>
      <c r="F22" s="120"/>
      <c r="G22" s="120"/>
      <c r="I22" s="117"/>
      <c r="K22" s="121" t="inlineStr">
        <is>
          <t xml:space="preserve">原单价:</t>
        </is>
      </c>
      <c r="M22" s="122"/>
      <c r="O22" s="123"/>
      <c r="P22" s="124"/>
    </row>
    <row r="23" ht="15.75" customHeight="1" s="101">
      <c r="A23" s="94"/>
      <c r="B23" s="125"/>
      <c r="C23" s="126"/>
      <c r="F23" s="97"/>
      <c r="G23" s="96"/>
      <c r="H23" s="127"/>
      <c r="I23" s="117"/>
      <c r="M23" s="122"/>
      <c r="O23" s="123"/>
      <c r="P23" s="124"/>
    </row>
    <row r="24" ht="15" customHeight="1" s="101">
      <c r="A24" s="138"/>
      <c r="B24" s="125"/>
      <c r="C24" s="163"/>
      <c r="D24" s="129"/>
      <c r="E24" s="130"/>
      <c r="F24" s="131"/>
      <c r="G24" s="139"/>
      <c r="H24" s="131" t="inlineStr">
        <is>
          <t xml:space="preserve">USD</t>
        </is>
      </c>
      <c r="I24" s="132"/>
      <c r="J24" s="133"/>
      <c r="K24" s="164"/>
      <c r="L24" s="135"/>
      <c r="M24" s="122"/>
    </row>
    <row r="25" ht="15" customHeight="1" s="101">
      <c r="A25" s="138"/>
      <c r="B25" s="125"/>
      <c r="C25" s="165"/>
      <c r="D25" s="129"/>
      <c r="E25" s="130"/>
      <c r="F25" s="131"/>
      <c r="G25" s="139"/>
      <c r="H25" s="131" t="inlineStr">
        <is>
          <t xml:space="preserve">USD</t>
        </is>
      </c>
      <c r="I25" s="132"/>
      <c r="J25" s="133"/>
      <c r="K25" s="164"/>
      <c r="L25" s="135"/>
      <c r="M25" s="122"/>
    </row>
    <row r="26" ht="15" customHeight="1" s="101">
      <c r="A26" s="138"/>
      <c r="B26" s="125"/>
      <c r="C26" s="125"/>
      <c r="D26" s="129"/>
      <c r="E26" s="130"/>
      <c r="F26" s="131"/>
      <c r="G26" s="139"/>
      <c r="H26" s="131" t="inlineStr">
        <is>
          <t xml:space="preserve">USD</t>
        </is>
      </c>
      <c r="I26" s="132"/>
      <c r="J26" s="133"/>
      <c r="K26" s="164"/>
      <c r="L26" s="135"/>
      <c r="M26" s="122"/>
    </row>
    <row r="27" ht="15.75" customHeight="1" s="101">
      <c r="A27" s="138"/>
      <c r="B27" s="125"/>
      <c r="C27" s="125"/>
      <c r="D27" s="129"/>
      <c r="E27" s="130"/>
      <c r="F27" s="130"/>
      <c r="G27" s="139"/>
      <c r="H27" s="131" t="inlineStr">
        <is>
          <t xml:space="preserve">USD</t>
        </is>
      </c>
      <c r="I27" s="132"/>
      <c r="J27" s="133"/>
      <c r="K27" s="164"/>
      <c r="L27" s="135"/>
      <c r="M27" s="122"/>
    </row>
    <row r="28" ht="15.75" customHeight="1" s="101">
      <c r="A28" s="138"/>
      <c r="B28" s="125"/>
      <c r="C28" s="125"/>
      <c r="D28" s="129"/>
      <c r="E28" s="130"/>
      <c r="F28" s="130"/>
      <c r="G28" s="139"/>
      <c r="H28" s="131" t="inlineStr">
        <is>
          <t xml:space="preserve">USD</t>
        </is>
      </c>
      <c r="I28" s="132"/>
      <c r="J28" s="133"/>
      <c r="K28" s="164"/>
      <c r="L28" s="135"/>
      <c r="M28" s="122"/>
    </row>
    <row r="29" ht="15.75" customHeight="1" s="101">
      <c r="A29" s="138"/>
      <c r="B29" s="125"/>
      <c r="C29" s="125"/>
      <c r="D29" s="129"/>
      <c r="E29" s="130"/>
      <c r="F29" s="130"/>
      <c r="G29" s="139"/>
      <c r="H29" s="131" t="inlineStr">
        <is>
          <t xml:space="preserve">USD</t>
        </is>
      </c>
      <c r="I29" s="132"/>
      <c r="J29" s="133"/>
      <c r="K29" s="166"/>
      <c r="L29" s="135"/>
      <c r="M29" s="122"/>
      <c r="Q29" s="140"/>
    </row>
    <row r="30" ht="15.75" customHeight="1" s="101">
      <c r="A30" s="138"/>
      <c r="B30" s="125"/>
      <c r="C30" s="125"/>
      <c r="D30" s="129"/>
      <c r="E30" s="130"/>
      <c r="F30" s="130"/>
      <c r="G30" s="139"/>
      <c r="H30" s="131"/>
      <c r="I30" s="132"/>
      <c r="J30" s="133"/>
      <c r="K30" s="134"/>
      <c r="L30" s="135"/>
      <c r="M30" s="122"/>
      <c r="Q30" s="140"/>
    </row>
    <row r="31" ht="15.75" customHeight="1" s="101">
      <c r="A31" s="138"/>
      <c r="B31" s="125"/>
      <c r="C31" s="125"/>
      <c r="D31" s="129"/>
      <c r="E31" s="130"/>
      <c r="F31" s="130"/>
      <c r="G31" s="139"/>
      <c r="H31" s="131"/>
      <c r="I31" s="132"/>
      <c r="J31" s="133"/>
      <c r="K31" s="134"/>
      <c r="L31" s="135"/>
      <c r="Q31" s="141"/>
    </row>
    <row r="32" ht="15.75" customHeight="1" s="101">
      <c r="A32" s="138"/>
      <c r="B32" s="125"/>
      <c r="C32" s="125"/>
      <c r="D32" s="129"/>
      <c r="E32" s="130"/>
      <c r="F32" s="130"/>
      <c r="G32" s="139"/>
      <c r="H32" s="131"/>
      <c r="I32" s="132"/>
      <c r="J32" s="133"/>
      <c r="K32" s="134"/>
      <c r="L32" s="135"/>
      <c r="M32" s="135"/>
      <c r="N32" s="99"/>
      <c r="O32" s="99"/>
      <c r="P32" s="99"/>
      <c r="Q32" s="118"/>
    </row>
    <row r="33" ht="13.5" customHeight="1" s="101">
      <c r="A33" s="138"/>
      <c r="B33" s="125"/>
      <c r="C33" s="125"/>
      <c r="D33" s="129"/>
      <c r="E33" s="130"/>
      <c r="F33" s="130"/>
      <c r="G33" s="139"/>
      <c r="H33" s="131"/>
      <c r="I33" s="132"/>
      <c r="J33" s="133"/>
      <c r="K33" s="134"/>
      <c r="L33" s="135"/>
      <c r="M33" s="99"/>
      <c r="N33" s="99"/>
      <c r="O33" s="99"/>
      <c r="P33" s="99"/>
    </row>
    <row r="34" ht="15" customHeight="1" s="101">
      <c r="A34" s="138"/>
      <c r="B34" s="125"/>
      <c r="C34" s="125"/>
      <c r="D34" s="129"/>
      <c r="E34" s="130"/>
      <c r="F34" s="130"/>
      <c r="G34" s="139"/>
      <c r="H34" s="131"/>
      <c r="I34" s="132"/>
      <c r="J34" s="133"/>
      <c r="K34" s="134"/>
      <c r="L34" s="135"/>
      <c r="M34" s="112"/>
      <c r="N34" s="96"/>
      <c r="O34" s="99"/>
      <c r="P34" s="99"/>
      <c r="Q34" s="142"/>
      <c r="R34" s="96"/>
    </row>
    <row r="35" ht="15" customHeight="1" s="101">
      <c r="A35" s="138"/>
      <c r="B35" s="125"/>
      <c r="C35" s="125"/>
      <c r="D35" s="129"/>
      <c r="E35" s="130"/>
      <c r="F35" s="130"/>
      <c r="G35" s="139"/>
      <c r="H35" s="131"/>
      <c r="I35" s="132"/>
      <c r="J35" s="133"/>
      <c r="K35" s="134"/>
      <c r="L35" s="135"/>
      <c r="M35" s="112"/>
      <c r="N35" s="96"/>
      <c r="O35" s="95"/>
      <c r="P35" s="92"/>
      <c r="Q35" s="143"/>
      <c r="R35" s="99"/>
    </row>
    <row r="36" ht="15.75" customHeight="1" s="101">
      <c r="A36" s="138"/>
      <c r="B36" s="125"/>
      <c r="C36" s="125"/>
      <c r="D36" s="129"/>
      <c r="E36" s="130"/>
      <c r="F36" s="130"/>
      <c r="G36" s="139"/>
      <c r="H36" s="131"/>
      <c r="I36" s="132"/>
      <c r="J36" s="133"/>
      <c r="K36" s="134"/>
      <c r="L36" s="135"/>
      <c r="M36" s="112"/>
      <c r="N36" s="96"/>
      <c r="O36" s="95"/>
      <c r="P36" s="92"/>
    </row>
    <row r="37" ht="15.75" customHeight="1" s="101">
      <c r="A37" s="138"/>
      <c r="B37" s="125"/>
      <c r="C37" s="125"/>
      <c r="D37" s="129"/>
      <c r="E37" s="130"/>
      <c r="F37" s="130"/>
      <c r="G37" s="139"/>
      <c r="H37" s="131"/>
      <c r="I37" s="132"/>
      <c r="J37" s="133"/>
      <c r="K37" s="134"/>
      <c r="L37" s="135"/>
      <c r="M37" s="112"/>
      <c r="N37" s="96"/>
      <c r="O37" s="95"/>
      <c r="P37" s="92"/>
      <c r="Q37" s="143"/>
      <c r="R37" s="144"/>
    </row>
    <row r="38" ht="15.75" customHeight="1" s="101">
      <c r="A38" s="138"/>
      <c r="B38" s="96"/>
      <c r="C38" s="145"/>
      <c r="D38" s="129"/>
      <c r="E38" s="130"/>
      <c r="F38" s="130"/>
      <c r="G38" s="139"/>
      <c r="H38" s="131"/>
      <c r="I38" s="132"/>
      <c r="J38" s="133"/>
      <c r="K38" s="134"/>
      <c r="L38" s="135"/>
      <c r="M38" s="112"/>
      <c r="N38" s="94"/>
      <c r="O38" s="95"/>
      <c r="P38" s="92"/>
      <c r="Q38" s="146"/>
      <c r="R38" s="147"/>
    </row>
    <row r="39" ht="15.75" customHeight="1" s="101">
      <c r="A39" s="138"/>
      <c r="B39" s="125"/>
      <c r="C39" s="145"/>
      <c r="D39" s="129"/>
      <c r="E39" s="130"/>
      <c r="F39" s="130"/>
      <c r="G39" s="139"/>
      <c r="H39" s="131"/>
      <c r="I39" s="132"/>
      <c r="J39" s="133"/>
      <c r="K39" s="134"/>
      <c r="L39" s="135"/>
      <c r="M39" s="148"/>
      <c r="N39" s="99"/>
      <c r="O39" s="99"/>
      <c r="P39" s="99"/>
      <c r="Q39" s="143"/>
      <c r="R39" s="144"/>
    </row>
    <row r="40" ht="15.75" customHeight="1" s="101">
      <c r="A40" s="138"/>
      <c r="B40" s="125"/>
      <c r="C40" s="95"/>
      <c r="D40" s="129"/>
      <c r="E40" s="130"/>
      <c r="F40" s="130"/>
      <c r="G40" s="139"/>
      <c r="H40" s="131"/>
      <c r="I40" s="132"/>
      <c r="J40" s="133"/>
      <c r="K40" s="134"/>
      <c r="L40" s="135"/>
      <c r="M40" s="148"/>
      <c r="N40" s="99"/>
      <c r="O40" s="99"/>
      <c r="P40" s="99"/>
    </row>
    <row r="41" ht="15.75" customHeight="1" s="101">
      <c r="A41" s="138"/>
      <c r="B41" s="149"/>
      <c r="D41" s="129"/>
      <c r="E41" s="130"/>
      <c r="F41" s="130"/>
      <c r="G41" s="139"/>
      <c r="H41" s="131"/>
      <c r="I41" s="132"/>
      <c r="J41" s="133"/>
      <c r="K41" s="134"/>
      <c r="L41" s="135"/>
      <c r="M41" s="148"/>
      <c r="N41" s="99"/>
      <c r="O41" s="99"/>
      <c r="P41" s="99"/>
    </row>
    <row r="42" ht="15.75" customHeight="1" s="101">
      <c r="A42" s="113"/>
      <c r="D42" s="113"/>
      <c r="E42" s="113"/>
      <c r="G42" s="139"/>
      <c r="H42" s="143" t="inlineStr">
        <is>
          <t xml:space="preserve">USD</t>
        </is>
      </c>
      <c r="I42" s="144">
        <f>SUM(I24:I41)</f>
        <v>0</v>
      </c>
      <c r="J42" s="133"/>
      <c r="K42" s="134"/>
      <c r="L42" s="135"/>
      <c r="M42" s="148"/>
      <c r="N42" s="113"/>
      <c r="O42" s="113"/>
      <c r="P42" s="113"/>
      <c r="Q42" s="113"/>
      <c r="R42" s="113"/>
    </row>
    <row r="43" ht="15.75" customHeight="1" s="101">
      <c r="A43" s="138"/>
      <c r="B43" s="149"/>
      <c r="D43" s="129"/>
      <c r="E43" s="130"/>
      <c r="F43" s="130"/>
      <c r="G43" s="139"/>
      <c r="H43" s="150" t="inlineStr">
        <is>
          <t xml:space="preserve">Balance  50%</t>
        </is>
      </c>
      <c r="J43" s="133"/>
      <c r="K43" s="134"/>
      <c r="L43" s="151"/>
      <c r="M43" s="148"/>
      <c r="N43" s="113"/>
      <c r="O43" s="113"/>
      <c r="P43" s="113"/>
      <c r="Q43" s="113"/>
      <c r="R43" s="113"/>
    </row>
    <row r="44" ht="27" customHeight="1" s="101">
      <c r="A44" s="118"/>
      <c r="F44" s="93"/>
      <c r="G44" s="112"/>
      <c r="H44" s="143" t="inlineStr">
        <is>
          <t xml:space="preserve">USD</t>
        </is>
      </c>
      <c r="I44" s="144">
        <f>I42*50%</f>
        <v>0</v>
      </c>
      <c r="L44" s="152"/>
      <c r="M44" s="148"/>
    </row>
    <row r="45" ht="39" customHeight="1" s="101">
      <c r="G45" s="97"/>
      <c r="H45" s="93"/>
      <c r="I45" s="153"/>
      <c r="L45" s="152"/>
    </row>
    <row r="46" ht="15.75" customHeight="1" s="101">
      <c r="H46" s="154" t="inlineStr">
        <is>
          <t xml:space="preserve">USD</t>
        </is>
      </c>
      <c r="I46" s="155">
        <f>I44</f>
        <v>0</v>
      </c>
      <c r="K46" s="99"/>
      <c r="L46" s="135">
        <f>SUM(L24:L38)</f>
        <v>0</v>
      </c>
    </row>
    <row r="47" hidden="1" ht="10.5" customHeight="1" s="101">
      <c r="I47" s="153"/>
      <c r="L47" s="152"/>
    </row>
    <row r="48" ht="27" customHeight="1" s="101">
      <c r="H48" s="99"/>
      <c r="I48" s="99"/>
    </row>
    <row r="49" ht="15.75" customHeight="1" s="101">
      <c r="H49" s="156"/>
      <c r="I49" s="111"/>
      <c r="L49" s="152"/>
    </row>
  </sheetData>
  <mergeCells count="9">
    <mergeCell ref="B43:C44"/>
    <mergeCell ref="H10:I12"/>
    <mergeCell ref="H7:I7"/>
    <mergeCell ref="B41:C42"/>
    <mergeCell ref="H43:I43"/>
    <mergeCell ref="H15:I16"/>
    <mergeCell ref="H5:I6"/>
    <mergeCell ref="H8:I8"/>
    <mergeCell ref="G14:J14"/>
  </mergeCells>
  <printOptions horizontalCentered="0" verticalCentered="0" headings="0" gridLines="0" gridLinesSet="1"/>
  <pageMargins left="0.390277777777778" right="0.129861111111111" top="2.32013888888889" bottom="0.329861111111111" header="0.511811023622047" footer="0.170138888888889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5:R49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pane xSplit="0" ySplit="10" topLeftCell="A21" activePane="bottomLeft" state="frozen"/>
      <selection pane="topLeft" activeCell="A8" activeCellId="0" sqref="A8"/>
      <selection pane="bottomLeft" activeCell="G25" activeCellId="0" sqref="G25"/>
    </sheetView>
  </sheetViews>
  <sheetFormatPr baseColWidth="8" defaultColWidth="8.99609375" defaultRowHeight="15.75" customHeight="0" zeroHeight="0" outlineLevelRow="0"/>
  <cols>
    <col width="16.74" customWidth="1" style="92" min="1" max="1"/>
    <col width="10.75" customWidth="1" style="93" min="2" max="2"/>
    <col width="24.37" customWidth="1" style="94" min="3" max="3"/>
    <col width="6.62" customWidth="1" style="95" min="4" max="4"/>
    <col width="4.74" customWidth="1" style="96" min="5" max="5"/>
    <col width="4.37" customWidth="1" style="96" min="6" max="6"/>
    <col width="7.62" customWidth="1" style="97" min="7" max="7"/>
    <col width="4.37" customWidth="1" style="96" min="8" max="8"/>
    <col width="8.74" customWidth="1" style="98" min="9" max="9"/>
    <col width="2.62" customWidth="1" style="99" min="10" max="10"/>
    <col width="12.5" customWidth="1" style="100" min="11" max="11"/>
    <col width="12.62" customWidth="1" style="99" min="12" max="12"/>
    <col width="9.859999999999999" customWidth="1" style="99" min="13" max="13"/>
    <col width="9.369999999999999" customWidth="1" style="99" min="14" max="14"/>
    <col width="8.99" customWidth="1" style="99" min="15" max="15"/>
    <col width="10.49" customWidth="1" style="99" min="16" max="16"/>
    <col width="8.99" customWidth="1" style="99" min="17" max="18"/>
  </cols>
  <sheetData>
    <row r="3" ht="7.5" customHeight="1" s="101"/>
    <row r="4" ht="8.25" customHeight="1" s="101"/>
    <row r="5" ht="15.75" customHeight="1" s="101">
      <c r="H5" s="102" t="inlineStr">
        <is>
          <t xml:space="preserve"> 330783</t>
        </is>
      </c>
    </row>
    <row r="6" ht="15.75" customHeight="1" s="101">
      <c r="G6" s="103"/>
    </row>
    <row r="7" ht="24.75" customHeight="1" s="101">
      <c r="H7" s="104"/>
    </row>
    <row r="8" ht="19.5" customHeight="1" s="101">
      <c r="H8" s="105"/>
    </row>
    <row r="9" ht="11.25" customHeight="1" s="101">
      <c r="H9" s="106"/>
      <c r="I9" s="106"/>
    </row>
    <row r="10" ht="6.75" customHeight="1" s="101">
      <c r="H10" s="107"/>
    </row>
    <row r="11" ht="15.75" customHeight="1" s="101"/>
    <row r="12" ht="12.75" customHeight="1" s="101"/>
    <row r="13" hidden="1" ht="11.25" customHeight="1" s="101">
      <c r="A13"/>
    </row>
    <row r="14" ht="12" customHeight="1" s="101">
      <c r="G14" s="108"/>
    </row>
    <row r="15" ht="13.5" customHeight="1" s="101">
      <c r="A15" s="96"/>
      <c r="H15" s="109"/>
      <c r="J15" s="96"/>
      <c r="L15" s="96"/>
      <c r="M15" s="96"/>
      <c r="N15" s="96"/>
      <c r="O15" s="96"/>
      <c r="P15" s="96"/>
      <c r="Q15" s="96"/>
      <c r="R15" s="96"/>
    </row>
    <row r="16" ht="14.25" customHeight="1" s="101">
      <c r="A16" s="110"/>
      <c r="J16" s="96"/>
      <c r="L16" s="96"/>
      <c r="M16" s="96"/>
      <c r="N16" s="96"/>
      <c r="O16" s="96"/>
      <c r="P16" s="96"/>
      <c r="Q16" s="96"/>
      <c r="R16" s="96"/>
    </row>
    <row r="17" ht="15.75" customHeight="1" s="101">
      <c r="A17" s="99"/>
      <c r="P17" s="99"/>
    </row>
    <row r="18" ht="15.75" customHeight="1" s="101">
      <c r="I18" s="111"/>
    </row>
    <row r="19" ht="14.25" customHeight="1" s="101">
      <c r="I19" s="111"/>
    </row>
    <row r="20" ht="15" customHeight="1" s="101">
      <c r="G20" s="112"/>
      <c r="H20" s="113"/>
      <c r="I20" s="114"/>
      <c r="J20" s="113"/>
      <c r="L20" s="113"/>
      <c r="M20" s="113"/>
      <c r="N20" s="113"/>
      <c r="O20" s="113"/>
      <c r="P20" s="113"/>
      <c r="Q20" s="113"/>
      <c r="R20" s="113"/>
    </row>
    <row r="21" ht="18.75" customHeight="1" s="101">
      <c r="B21" s="115"/>
      <c r="C21" s="116"/>
      <c r="H21" s="93"/>
      <c r="I21" s="117"/>
    </row>
    <row r="22" ht="15.75" customHeight="1" s="101">
      <c r="A22" s="118"/>
      <c r="B22" s="119"/>
      <c r="C22" s="119"/>
      <c r="E22" s="120"/>
      <c r="F22" s="120"/>
      <c r="G22" s="120"/>
      <c r="I22" s="117"/>
      <c r="K22" s="121" t="inlineStr">
        <is>
          <t xml:space="preserve">原单价:</t>
        </is>
      </c>
      <c r="M22" s="122"/>
      <c r="O22" s="123"/>
      <c r="P22" s="124"/>
    </row>
    <row r="23" ht="15.75" customHeight="1" s="101">
      <c r="A23" s="94"/>
      <c r="B23" s="125"/>
      <c r="C23" s="126"/>
      <c r="F23" s="97"/>
      <c r="G23" s="96"/>
      <c r="H23" s="127"/>
      <c r="I23" s="117"/>
      <c r="M23" s="122"/>
      <c r="O23" s="123"/>
      <c r="P23" s="124"/>
    </row>
    <row r="24" ht="15" customHeight="1" s="101">
      <c r="A24" s="138"/>
      <c r="B24" s="125"/>
      <c r="C24" s="163"/>
      <c r="D24" s="129"/>
      <c r="E24" s="130" t="inlineStr">
        <is>
          <t xml:space="preserve">PCS</t>
        </is>
      </c>
      <c r="F24" s="131" t="inlineStr">
        <is>
          <t xml:space="preserve">USD</t>
        </is>
      </c>
      <c r="G24" s="139"/>
      <c r="H24" s="131" t="inlineStr">
        <is>
          <t xml:space="preserve">USD</t>
        </is>
      </c>
      <c r="I24" s="132"/>
      <c r="J24" s="133"/>
      <c r="K24" s="134"/>
      <c r="L24" s="135"/>
      <c r="M24" s="122"/>
    </row>
    <row r="25" ht="15" customHeight="1" s="101">
      <c r="A25" s="138"/>
      <c r="B25" s="125"/>
      <c r="C25" s="167"/>
      <c r="D25" s="129"/>
      <c r="E25" s="130" t="inlineStr">
        <is>
          <t xml:space="preserve">PCS</t>
        </is>
      </c>
      <c r="F25" s="131" t="inlineStr">
        <is>
          <t xml:space="preserve">USD</t>
        </is>
      </c>
      <c r="G25" s="139"/>
      <c r="H25" s="131" t="inlineStr">
        <is>
          <t xml:space="preserve">USD</t>
        </is>
      </c>
      <c r="I25" s="132"/>
      <c r="J25" s="133"/>
      <c r="K25" s="134"/>
      <c r="L25" s="135"/>
      <c r="M25" s="122"/>
    </row>
    <row r="26" ht="15" customHeight="1" s="101">
      <c r="A26" s="138"/>
      <c r="B26" s="125"/>
      <c r="C26" s="125"/>
      <c r="D26" s="129"/>
      <c r="E26" s="130"/>
      <c r="F26" s="131"/>
      <c r="G26" s="139"/>
      <c r="H26" s="131"/>
      <c r="I26" s="132"/>
      <c r="J26" s="133"/>
      <c r="K26" s="134"/>
      <c r="L26" s="135"/>
      <c r="M26" s="122"/>
    </row>
    <row r="27" ht="15.75" customHeight="1" s="101">
      <c r="A27" s="138"/>
      <c r="B27" s="125"/>
      <c r="C27" s="125"/>
      <c r="D27" s="129"/>
      <c r="E27" s="130"/>
      <c r="F27" s="130"/>
      <c r="G27" s="139"/>
      <c r="H27" s="131"/>
      <c r="I27" s="132"/>
      <c r="J27" s="133"/>
      <c r="K27" s="134"/>
      <c r="L27" s="135"/>
      <c r="M27" s="122"/>
    </row>
    <row r="28" ht="15.75" customHeight="1" s="101">
      <c r="A28" s="138"/>
      <c r="B28" s="125"/>
      <c r="C28" s="125"/>
      <c r="D28" s="129"/>
      <c r="E28" s="130"/>
      <c r="F28" s="130"/>
      <c r="G28" s="139"/>
      <c r="H28" s="131"/>
      <c r="I28" s="132"/>
      <c r="J28" s="133"/>
      <c r="K28" s="134"/>
      <c r="L28" s="135"/>
      <c r="M28" s="122"/>
    </row>
    <row r="29" ht="15.75" customHeight="1" s="101">
      <c r="A29" s="138"/>
      <c r="B29" s="125"/>
      <c r="C29" s="125"/>
      <c r="D29" s="129"/>
      <c r="E29" s="130"/>
      <c r="F29" s="130"/>
      <c r="G29" s="139"/>
      <c r="H29" s="131"/>
      <c r="I29" s="132"/>
      <c r="J29" s="133"/>
      <c r="K29" s="134"/>
      <c r="L29" s="135"/>
      <c r="M29" s="122"/>
      <c r="Q29" s="140"/>
    </row>
    <row r="30" ht="15.75" customHeight="1" s="101">
      <c r="A30" s="138"/>
      <c r="B30" s="125"/>
      <c r="C30" s="125"/>
      <c r="D30" s="129"/>
      <c r="E30" s="130"/>
      <c r="F30" s="130"/>
      <c r="G30" s="139"/>
      <c r="H30" s="131"/>
      <c r="I30" s="132"/>
      <c r="J30" s="133"/>
      <c r="K30" s="134"/>
      <c r="L30" s="135"/>
      <c r="M30" s="122"/>
      <c r="Q30" s="140"/>
    </row>
    <row r="31" ht="15.75" customHeight="1" s="101">
      <c r="A31" s="138"/>
      <c r="B31" s="125"/>
      <c r="C31" s="125"/>
      <c r="D31" s="129"/>
      <c r="E31" s="130"/>
      <c r="F31" s="130"/>
      <c r="G31" s="139"/>
      <c r="H31" s="131"/>
      <c r="I31" s="132"/>
      <c r="J31" s="133"/>
      <c r="K31" s="134"/>
      <c r="L31" s="135"/>
      <c r="Q31" s="141"/>
    </row>
    <row r="32" ht="15.75" customHeight="1" s="101">
      <c r="A32" s="138"/>
      <c r="B32" s="125"/>
      <c r="C32" s="125"/>
      <c r="D32" s="129"/>
      <c r="E32" s="130"/>
      <c r="F32" s="130"/>
      <c r="G32" s="139"/>
      <c r="H32" s="131"/>
      <c r="I32" s="132"/>
      <c r="J32" s="133"/>
      <c r="K32" s="134"/>
      <c r="L32" s="135"/>
      <c r="M32" s="135"/>
      <c r="N32" s="99"/>
      <c r="O32" s="99"/>
      <c r="P32" s="99"/>
      <c r="Q32" s="118"/>
    </row>
    <row r="33" ht="13.5" customHeight="1" s="101">
      <c r="A33" s="138"/>
      <c r="B33" s="125"/>
      <c r="C33" s="125"/>
      <c r="D33" s="129"/>
      <c r="E33" s="130"/>
      <c r="F33" s="130"/>
      <c r="G33" s="139"/>
      <c r="H33" s="131"/>
      <c r="I33" s="132"/>
      <c r="J33" s="133"/>
      <c r="K33" s="134"/>
      <c r="L33" s="135"/>
      <c r="M33" s="99"/>
      <c r="N33" s="99"/>
      <c r="O33" s="99"/>
      <c r="P33" s="99"/>
    </row>
    <row r="34" ht="15" customHeight="1" s="101">
      <c r="A34" s="138"/>
      <c r="B34" s="125"/>
      <c r="C34" s="125"/>
      <c r="D34" s="129"/>
      <c r="E34" s="130"/>
      <c r="F34" s="130"/>
      <c r="G34" s="139"/>
      <c r="H34" s="131"/>
      <c r="I34" s="132"/>
      <c r="J34" s="133"/>
      <c r="K34" s="134"/>
      <c r="L34" s="135"/>
      <c r="M34" s="112"/>
      <c r="N34" s="96"/>
      <c r="O34" s="99"/>
      <c r="P34" s="99"/>
      <c r="Q34" s="142"/>
      <c r="R34" s="96"/>
    </row>
    <row r="35" ht="15" customHeight="1" s="101">
      <c r="A35" s="138"/>
      <c r="B35" s="125"/>
      <c r="C35" s="125"/>
      <c r="D35" s="129"/>
      <c r="E35" s="130"/>
      <c r="F35" s="130"/>
      <c r="G35" s="139"/>
      <c r="H35" s="131"/>
      <c r="I35" s="132"/>
      <c r="J35" s="133"/>
      <c r="K35" s="134"/>
      <c r="L35" s="135"/>
      <c r="M35" s="112"/>
      <c r="N35" s="96"/>
      <c r="O35" s="95"/>
      <c r="P35" s="92"/>
      <c r="Q35" s="143"/>
      <c r="R35" s="99"/>
    </row>
    <row r="36" ht="15.75" customHeight="1" s="101">
      <c r="A36" s="138"/>
      <c r="B36" s="125"/>
      <c r="C36" s="125"/>
      <c r="D36" s="129"/>
      <c r="E36" s="130"/>
      <c r="F36" s="130"/>
      <c r="G36" s="139"/>
      <c r="H36" s="131"/>
      <c r="I36" s="132"/>
      <c r="J36" s="133"/>
      <c r="K36" s="134"/>
      <c r="L36" s="135"/>
      <c r="M36" s="112"/>
      <c r="N36" s="96"/>
      <c r="O36" s="95"/>
      <c r="P36" s="92"/>
    </row>
    <row r="37" ht="15.75" customHeight="1" s="101">
      <c r="A37" s="138"/>
      <c r="B37" s="125"/>
      <c r="C37" s="125"/>
      <c r="D37" s="129"/>
      <c r="E37" s="130"/>
      <c r="F37" s="130"/>
      <c r="G37" s="139"/>
      <c r="H37" s="131"/>
      <c r="I37" s="132"/>
      <c r="J37" s="133"/>
      <c r="K37" s="134"/>
      <c r="L37" s="135"/>
      <c r="M37" s="112"/>
      <c r="N37" s="96"/>
      <c r="O37" s="95"/>
      <c r="P37" s="92"/>
      <c r="Q37" s="143"/>
      <c r="R37" s="144"/>
    </row>
    <row r="38" ht="15.75" customHeight="1" s="101">
      <c r="A38" s="138"/>
      <c r="B38" s="96"/>
      <c r="C38" s="145"/>
      <c r="D38" s="129"/>
      <c r="E38" s="130"/>
      <c r="F38" s="130"/>
      <c r="G38" s="139"/>
      <c r="H38" s="131"/>
      <c r="I38" s="132"/>
      <c r="J38" s="133"/>
      <c r="K38" s="134"/>
      <c r="L38" s="135"/>
      <c r="M38" s="112"/>
      <c r="N38" s="94"/>
      <c r="O38" s="95"/>
      <c r="P38" s="92"/>
      <c r="Q38" s="146"/>
      <c r="R38" s="147"/>
    </row>
    <row r="39" ht="15.75" customHeight="1" s="101">
      <c r="A39" s="138"/>
      <c r="B39" s="125"/>
      <c r="C39" s="145"/>
      <c r="D39" s="129"/>
      <c r="E39" s="130"/>
      <c r="F39" s="130"/>
      <c r="G39" s="139"/>
      <c r="H39" s="131"/>
      <c r="I39" s="132"/>
      <c r="J39" s="133"/>
      <c r="K39" s="134"/>
      <c r="L39" s="135"/>
      <c r="M39" s="148"/>
      <c r="N39" s="99"/>
      <c r="O39" s="99"/>
      <c r="P39" s="99"/>
      <c r="Q39" s="143"/>
      <c r="R39" s="144"/>
    </row>
    <row r="40" ht="15.75" customHeight="1" s="101">
      <c r="A40" s="138"/>
      <c r="B40" s="125"/>
      <c r="C40" s="95"/>
      <c r="D40" s="129"/>
      <c r="E40" s="130"/>
      <c r="F40" s="130"/>
      <c r="G40" s="139"/>
      <c r="H40" s="131"/>
      <c r="I40" s="132"/>
      <c r="J40" s="133"/>
      <c r="K40" s="134"/>
      <c r="L40" s="135"/>
      <c r="M40" s="148"/>
      <c r="N40" s="99"/>
      <c r="O40" s="99"/>
      <c r="P40" s="99"/>
    </row>
    <row r="41" ht="15.75" customHeight="1" s="101">
      <c r="A41" s="138"/>
      <c r="B41" s="149"/>
      <c r="D41" s="129"/>
      <c r="E41" s="130"/>
      <c r="F41" s="130"/>
      <c r="G41" s="139"/>
      <c r="H41" s="131"/>
      <c r="I41" s="132"/>
      <c r="J41" s="133"/>
      <c r="K41" s="134"/>
      <c r="L41" s="135"/>
      <c r="M41" s="148"/>
      <c r="N41" s="99"/>
      <c r="O41" s="99"/>
      <c r="P41" s="99"/>
    </row>
    <row r="42" ht="15.75" customHeight="1" s="101">
      <c r="A42" s="113"/>
      <c r="D42" s="113"/>
      <c r="E42" s="113"/>
      <c r="G42" s="139"/>
      <c r="H42" s="113"/>
      <c r="I42" s="161"/>
      <c r="J42" s="133"/>
      <c r="K42" s="134"/>
      <c r="L42" s="135"/>
      <c r="M42" s="148"/>
      <c r="N42" s="113"/>
      <c r="O42" s="113"/>
      <c r="P42" s="113"/>
      <c r="Q42" s="113"/>
      <c r="R42" s="113"/>
    </row>
    <row r="43" ht="15.75" customHeight="1" s="101">
      <c r="A43" s="138"/>
      <c r="B43" s="149"/>
      <c r="D43" s="129"/>
      <c r="E43" s="130"/>
      <c r="F43" s="130"/>
      <c r="G43" s="139"/>
      <c r="H43" s="139"/>
      <c r="I43" s="132"/>
      <c r="J43" s="133"/>
      <c r="K43" s="134"/>
      <c r="L43" s="151"/>
      <c r="M43" s="148"/>
      <c r="N43" s="113"/>
      <c r="O43" s="113"/>
      <c r="P43" s="113"/>
      <c r="Q43" s="113"/>
      <c r="R43" s="113"/>
    </row>
    <row r="44" ht="27" customHeight="1" s="101">
      <c r="A44" s="118"/>
      <c r="F44" s="93"/>
      <c r="G44" s="112"/>
      <c r="H44" s="93"/>
      <c r="I44" s="162"/>
      <c r="L44" s="152"/>
      <c r="M44" s="148"/>
    </row>
    <row r="45" ht="39" customHeight="1" s="101">
      <c r="G45" s="97"/>
      <c r="H45" s="93"/>
      <c r="I45" s="153"/>
      <c r="L45" s="152"/>
    </row>
    <row r="46" ht="15.75" customHeight="1" s="101">
      <c r="H46" s="154" t="inlineStr">
        <is>
          <t xml:space="preserve">USD</t>
        </is>
      </c>
      <c r="I46" s="155">
        <f>SUM(I24:I45)</f>
        <v>0</v>
      </c>
      <c r="K46" s="99"/>
      <c r="L46" s="135">
        <f>SUM(L24:L38)</f>
        <v>0</v>
      </c>
    </row>
    <row r="47" hidden="1" ht="10.5" customHeight="1" s="101">
      <c r="I47" s="153"/>
      <c r="L47" s="152"/>
    </row>
    <row r="48" ht="27" customHeight="1" s="101">
      <c r="H48" s="99"/>
      <c r="I48" s="99"/>
    </row>
    <row r="49" ht="15.75" customHeight="1" s="101">
      <c r="H49" s="156"/>
      <c r="I49" s="111"/>
      <c r="L49" s="152"/>
    </row>
  </sheetData>
  <mergeCells count="8">
    <mergeCell ref="B43:C44"/>
    <mergeCell ref="H10:I12"/>
    <mergeCell ref="H7:I7"/>
    <mergeCell ref="B41:C42"/>
    <mergeCell ref="H15:I16"/>
    <mergeCell ref="H5:I6"/>
    <mergeCell ref="H8:I8"/>
    <mergeCell ref="G14:J14"/>
  </mergeCells>
  <printOptions horizontalCentered="0" verticalCentered="0" headings="0" gridLines="0" gridLinesSet="1"/>
  <pageMargins left="0.390277777777778" right="0.129861111111111" top="2.32013888888889" bottom="0.329861111111111" header="0.511811023622047" footer="0.170138888888889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5:R49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pane xSplit="0" ySplit="10" topLeftCell="A21" activePane="bottomLeft" state="frozen"/>
      <selection pane="topLeft" activeCell="A8" activeCellId="0" sqref="A8"/>
      <selection pane="bottomLeft" activeCell="I46" activeCellId="0" sqref="I46"/>
    </sheetView>
  </sheetViews>
  <sheetFormatPr baseColWidth="8" defaultColWidth="8.99609375" defaultRowHeight="15.75" customHeight="0" zeroHeight="0" outlineLevelRow="0"/>
  <cols>
    <col width="16.74" customWidth="1" style="92" min="1" max="1"/>
    <col width="10.75" customWidth="1" style="93" min="2" max="2"/>
    <col width="24.37" customWidth="1" style="94" min="3" max="3"/>
    <col width="6.62" customWidth="1" style="95" min="4" max="4"/>
    <col width="4.74" customWidth="1" style="96" min="5" max="5"/>
    <col width="4.37" customWidth="1" style="96" min="6" max="6"/>
    <col width="7.62" customWidth="1" style="97" min="7" max="7"/>
    <col width="4.37" customWidth="1" style="96" min="8" max="8"/>
    <col width="8.74" customWidth="1" style="98" min="9" max="9"/>
    <col width="2.62" customWidth="1" style="99" min="10" max="10"/>
    <col width="12.5" customWidth="1" style="100" min="11" max="11"/>
    <col width="12.62" customWidth="1" style="99" min="12" max="12"/>
    <col width="9.859999999999999" customWidth="1" style="99" min="13" max="13"/>
    <col width="9.369999999999999" customWidth="1" style="99" min="14" max="14"/>
    <col width="8.99" customWidth="1" style="99" min="15" max="15"/>
    <col width="10.49" customWidth="1" style="99" min="16" max="16"/>
    <col width="8.99" customWidth="1" style="99" min="17" max="18"/>
  </cols>
  <sheetData>
    <row r="3" ht="7.5" customHeight="1" s="101"/>
    <row r="4" ht="8.25" customHeight="1" s="101"/>
    <row r="5" ht="15.75" customHeight="1" s="101">
      <c r="H5" s="102" t="inlineStr">
        <is>
          <t xml:space="preserve"> 330783</t>
        </is>
      </c>
    </row>
    <row r="6" ht="15.75" customHeight="1" s="101">
      <c r="G6" s="103"/>
    </row>
    <row r="7" ht="24.75" customHeight="1" s="101">
      <c r="H7" s="104"/>
    </row>
    <row r="8" ht="19.5" customHeight="1" s="101">
      <c r="H8" s="105"/>
    </row>
    <row r="9" ht="11.25" customHeight="1" s="101">
      <c r="H9" s="106"/>
      <c r="I9" s="106"/>
    </row>
    <row r="10" ht="6.75" customHeight="1" s="101">
      <c r="H10" s="107"/>
    </row>
    <row r="11" ht="15.75" customHeight="1" s="101"/>
    <row r="12" ht="12.75" customHeight="1" s="101"/>
    <row r="13" hidden="1" ht="11.25" customHeight="1" s="101">
      <c r="A13"/>
    </row>
    <row r="14" ht="12" customHeight="1" s="101">
      <c r="G14" s="108"/>
    </row>
    <row r="15" ht="13.5" customHeight="1" s="101">
      <c r="A15" s="96"/>
      <c r="H15" s="109"/>
      <c r="J15" s="96"/>
      <c r="L15" s="96"/>
      <c r="M15" s="96"/>
      <c r="N15" s="96"/>
      <c r="O15" s="96"/>
      <c r="P15" s="96"/>
      <c r="Q15" s="96"/>
      <c r="R15" s="96"/>
    </row>
    <row r="16" ht="14.25" customHeight="1" s="101">
      <c r="A16" s="110"/>
      <c r="J16" s="96"/>
      <c r="L16" s="96"/>
      <c r="M16" s="96"/>
      <c r="N16" s="96"/>
      <c r="O16" s="96"/>
      <c r="P16" s="96"/>
      <c r="Q16" s="96"/>
      <c r="R16" s="96"/>
    </row>
    <row r="17" ht="15.75" customHeight="1" s="101">
      <c r="A17" s="99"/>
      <c r="P17" s="99"/>
    </row>
    <row r="18" ht="15.75" customHeight="1" s="101">
      <c r="I18" s="111"/>
    </row>
    <row r="19" ht="14.25" customHeight="1" s="101">
      <c r="I19" s="111"/>
    </row>
    <row r="20" ht="15" customHeight="1" s="101">
      <c r="G20" s="112"/>
      <c r="H20" s="113"/>
      <c r="I20" s="114"/>
      <c r="J20" s="113"/>
      <c r="L20" s="113"/>
      <c r="M20" s="113"/>
      <c r="N20" s="113"/>
      <c r="O20" s="113"/>
      <c r="P20" s="113"/>
      <c r="Q20" s="113"/>
      <c r="R20" s="113"/>
    </row>
    <row r="21" ht="18.75" customHeight="1" s="101">
      <c r="B21" s="115"/>
      <c r="C21" s="116"/>
      <c r="H21" s="93"/>
      <c r="I21" s="117"/>
    </row>
    <row r="22" ht="15.75" customHeight="1" s="101">
      <c r="A22" s="118"/>
      <c r="B22" s="119"/>
      <c r="C22" s="119"/>
      <c r="E22" s="120"/>
      <c r="F22" s="120"/>
      <c r="G22" s="120"/>
      <c r="I22" s="117"/>
      <c r="K22" s="121" t="inlineStr">
        <is>
          <t xml:space="preserve">原单价:</t>
        </is>
      </c>
      <c r="M22" s="122"/>
      <c r="O22" s="123"/>
      <c r="P22" s="124"/>
    </row>
    <row r="23" ht="15.75" customHeight="1" s="101">
      <c r="A23" s="94"/>
      <c r="B23" s="125"/>
      <c r="C23" s="126"/>
      <c r="F23" s="97"/>
      <c r="G23" s="96"/>
      <c r="H23" s="127"/>
      <c r="I23" s="117"/>
      <c r="M23" s="122"/>
      <c r="O23" s="123"/>
      <c r="P23" s="124"/>
    </row>
    <row r="24" ht="15" customHeight="1" s="101">
      <c r="A24" s="138"/>
      <c r="B24" s="125"/>
      <c r="C24" s="163"/>
      <c r="D24" s="129"/>
      <c r="E24" s="130" t="inlineStr">
        <is>
          <t xml:space="preserve">PCS</t>
        </is>
      </c>
      <c r="F24" s="131" t="inlineStr">
        <is>
          <t xml:space="preserve">USD</t>
        </is>
      </c>
      <c r="G24" s="139"/>
      <c r="H24" s="131" t="inlineStr">
        <is>
          <t xml:space="preserve">USD</t>
        </is>
      </c>
      <c r="I24" s="132"/>
      <c r="J24" s="133"/>
      <c r="K24" s="134"/>
      <c r="L24" s="135"/>
      <c r="M24" s="122"/>
    </row>
    <row r="25" ht="15" customHeight="1" s="101">
      <c r="A25" s="138"/>
      <c r="B25" s="125"/>
      <c r="C25" s="167"/>
      <c r="D25" s="129"/>
      <c r="E25" s="130"/>
      <c r="F25" s="131"/>
      <c r="G25" s="139"/>
      <c r="H25" s="131"/>
      <c r="I25" s="132"/>
      <c r="J25" s="133"/>
      <c r="K25" s="134"/>
      <c r="L25" s="135"/>
      <c r="M25" s="122"/>
    </row>
    <row r="26" ht="15" customHeight="1" s="101">
      <c r="A26" s="138"/>
      <c r="B26" s="125"/>
      <c r="C26" s="125"/>
      <c r="D26" s="129"/>
      <c r="E26" s="130"/>
      <c r="F26" s="131"/>
      <c r="G26" s="139"/>
      <c r="H26" s="131"/>
      <c r="I26" s="132"/>
      <c r="J26" s="133"/>
      <c r="K26" s="134"/>
      <c r="L26" s="135"/>
      <c r="M26" s="122"/>
    </row>
    <row r="27" ht="15.75" customHeight="1" s="101">
      <c r="A27" s="138"/>
      <c r="B27" s="125"/>
      <c r="C27" s="125"/>
      <c r="D27" s="129"/>
      <c r="E27" s="130"/>
      <c r="F27" s="130"/>
      <c r="G27" s="139"/>
      <c r="H27" s="131"/>
      <c r="I27" s="132"/>
      <c r="J27" s="133"/>
      <c r="K27" s="134"/>
      <c r="L27" s="135"/>
      <c r="M27" s="122"/>
    </row>
    <row r="28" ht="15.75" customHeight="1" s="101">
      <c r="A28" s="138"/>
      <c r="B28" s="125"/>
      <c r="C28" s="125"/>
      <c r="D28" s="129"/>
      <c r="E28" s="130"/>
      <c r="F28" s="130"/>
      <c r="G28" s="139"/>
      <c r="H28" s="131"/>
      <c r="I28" s="132"/>
      <c r="J28" s="133"/>
      <c r="K28" s="134"/>
      <c r="L28" s="135"/>
      <c r="M28" s="122"/>
    </row>
    <row r="29" ht="15.75" customHeight="1" s="101">
      <c r="A29" s="138"/>
      <c r="B29" s="125"/>
      <c r="C29" s="125"/>
      <c r="D29" s="129"/>
      <c r="E29" s="130"/>
      <c r="F29" s="130"/>
      <c r="G29" s="139"/>
      <c r="H29" s="131"/>
      <c r="I29" s="132"/>
      <c r="J29" s="133"/>
      <c r="K29" s="134"/>
      <c r="L29" s="135"/>
      <c r="M29" s="122"/>
      <c r="Q29" s="140"/>
    </row>
    <row r="30" ht="15.75" customHeight="1" s="101">
      <c r="A30" s="138"/>
      <c r="B30" s="125"/>
      <c r="C30" s="125"/>
      <c r="D30" s="129"/>
      <c r="E30" s="130"/>
      <c r="F30" s="130"/>
      <c r="G30" s="139"/>
      <c r="H30" s="131"/>
      <c r="I30" s="132"/>
      <c r="J30" s="133"/>
      <c r="K30" s="134"/>
      <c r="L30" s="135"/>
      <c r="M30" s="122"/>
      <c r="Q30" s="140"/>
    </row>
    <row r="31" ht="15.75" customHeight="1" s="101">
      <c r="A31" s="138"/>
      <c r="B31" s="125"/>
      <c r="C31" s="125"/>
      <c r="D31" s="129"/>
      <c r="E31" s="130"/>
      <c r="F31" s="130"/>
      <c r="G31" s="139"/>
      <c r="H31" s="131"/>
      <c r="I31" s="132"/>
      <c r="J31" s="133"/>
      <c r="K31" s="134"/>
      <c r="L31" s="135"/>
      <c r="Q31" s="141"/>
    </row>
    <row r="32" ht="15.75" customHeight="1" s="101">
      <c r="A32" s="138"/>
      <c r="B32" s="125"/>
      <c r="C32" s="125"/>
      <c r="D32" s="129"/>
      <c r="E32" s="130"/>
      <c r="F32" s="130"/>
      <c r="G32" s="139"/>
      <c r="H32" s="131"/>
      <c r="I32" s="132"/>
      <c r="J32" s="133"/>
      <c r="K32" s="134"/>
      <c r="L32" s="135"/>
      <c r="M32" s="135"/>
      <c r="N32" s="99"/>
      <c r="O32" s="99"/>
      <c r="P32" s="99"/>
      <c r="Q32" s="118"/>
    </row>
    <row r="33" ht="13.5" customHeight="1" s="101">
      <c r="A33" s="138"/>
      <c r="B33" s="125"/>
      <c r="C33" s="125"/>
      <c r="D33" s="129"/>
      <c r="E33" s="130"/>
      <c r="F33" s="130"/>
      <c r="G33" s="139"/>
      <c r="H33" s="131"/>
      <c r="I33" s="132"/>
      <c r="J33" s="133"/>
      <c r="K33" s="134"/>
      <c r="L33" s="135"/>
      <c r="M33" s="99"/>
      <c r="N33" s="99"/>
      <c r="O33" s="99"/>
      <c r="P33" s="99"/>
    </row>
    <row r="34" ht="15" customHeight="1" s="101">
      <c r="A34" s="138"/>
      <c r="B34" s="125"/>
      <c r="C34" s="125"/>
      <c r="D34" s="129"/>
      <c r="E34" s="130"/>
      <c r="F34" s="130"/>
      <c r="G34" s="139"/>
      <c r="H34" s="131"/>
      <c r="I34" s="132"/>
      <c r="J34" s="133"/>
      <c r="K34" s="134"/>
      <c r="L34" s="135"/>
      <c r="M34" s="112"/>
      <c r="N34" s="96"/>
      <c r="O34" s="99"/>
      <c r="P34" s="99"/>
      <c r="Q34" s="142"/>
      <c r="R34" s="96"/>
    </row>
    <row r="35" ht="15" customHeight="1" s="101">
      <c r="A35" s="138"/>
      <c r="B35" s="125"/>
      <c r="C35" s="125"/>
      <c r="D35" s="129"/>
      <c r="E35" s="130"/>
      <c r="F35" s="130"/>
      <c r="G35" s="139"/>
      <c r="H35" s="131"/>
      <c r="I35" s="132"/>
      <c r="J35" s="133"/>
      <c r="K35" s="134"/>
      <c r="L35" s="135"/>
      <c r="M35" s="112"/>
      <c r="N35" s="96"/>
      <c r="O35" s="95"/>
      <c r="P35" s="92"/>
      <c r="Q35" s="143"/>
      <c r="R35" s="99"/>
    </row>
    <row r="36" ht="15.75" customHeight="1" s="101">
      <c r="A36" s="138"/>
      <c r="B36" s="125"/>
      <c r="C36" s="125"/>
      <c r="D36" s="129"/>
      <c r="E36" s="130"/>
      <c r="F36" s="130"/>
      <c r="G36" s="139"/>
      <c r="H36" s="131"/>
      <c r="I36" s="132"/>
      <c r="J36" s="133"/>
      <c r="K36" s="134"/>
      <c r="L36" s="135"/>
      <c r="M36" s="112"/>
      <c r="N36" s="96"/>
      <c r="O36" s="95"/>
      <c r="P36" s="92"/>
    </row>
    <row r="37" ht="15.75" customHeight="1" s="101">
      <c r="A37" s="138"/>
      <c r="B37" s="125"/>
      <c r="C37" s="125"/>
      <c r="D37" s="129"/>
      <c r="E37" s="130"/>
      <c r="F37" s="130"/>
      <c r="G37" s="139"/>
      <c r="H37" s="131"/>
      <c r="I37" s="132"/>
      <c r="J37" s="133"/>
      <c r="K37" s="134"/>
      <c r="L37" s="135"/>
      <c r="M37" s="112"/>
      <c r="N37" s="96"/>
      <c r="O37" s="95"/>
      <c r="P37" s="92"/>
      <c r="Q37" s="143"/>
      <c r="R37" s="144"/>
    </row>
    <row r="38" ht="15.75" customHeight="1" s="101">
      <c r="A38" s="138"/>
      <c r="B38" s="96"/>
      <c r="C38" s="145"/>
      <c r="D38" s="129"/>
      <c r="E38" s="130"/>
      <c r="F38" s="130"/>
      <c r="G38" s="139"/>
      <c r="H38" s="131"/>
      <c r="I38" s="132"/>
      <c r="J38" s="133"/>
      <c r="K38" s="134"/>
      <c r="L38" s="135"/>
      <c r="M38" s="112"/>
      <c r="N38" s="94"/>
      <c r="O38" s="95"/>
      <c r="P38" s="92"/>
      <c r="Q38" s="146"/>
      <c r="R38" s="147"/>
    </row>
    <row r="39" ht="15.75" customHeight="1" s="101">
      <c r="A39" s="138"/>
      <c r="B39" s="125"/>
      <c r="C39" s="145"/>
      <c r="D39" s="129"/>
      <c r="E39" s="130"/>
      <c r="F39" s="130"/>
      <c r="G39" s="139"/>
      <c r="H39" s="131"/>
      <c r="I39" s="132"/>
      <c r="J39" s="133"/>
      <c r="K39" s="134"/>
      <c r="L39" s="135"/>
      <c r="M39" s="148"/>
      <c r="N39" s="99"/>
      <c r="O39" s="99"/>
      <c r="P39" s="99"/>
      <c r="Q39" s="143"/>
      <c r="R39" s="144"/>
    </row>
    <row r="40" ht="15.75" customHeight="1" s="101">
      <c r="A40" s="138"/>
      <c r="B40" s="125"/>
      <c r="C40" s="95"/>
      <c r="D40" s="129"/>
      <c r="E40" s="130"/>
      <c r="F40" s="130"/>
      <c r="G40" s="139"/>
      <c r="H40" s="131"/>
      <c r="I40" s="132"/>
      <c r="J40" s="133"/>
      <c r="K40" s="134"/>
      <c r="L40" s="135"/>
      <c r="M40" s="148"/>
      <c r="N40" s="99"/>
      <c r="O40" s="99"/>
      <c r="P40" s="99"/>
    </row>
    <row r="41" ht="15.75" customHeight="1" s="101">
      <c r="A41" s="138"/>
      <c r="B41" s="149"/>
      <c r="D41" s="129"/>
      <c r="E41" s="130"/>
      <c r="F41" s="130"/>
      <c r="G41" s="139"/>
      <c r="H41" s="131"/>
      <c r="I41" s="132"/>
      <c r="J41" s="133"/>
      <c r="K41" s="134"/>
      <c r="L41" s="135"/>
      <c r="M41" s="148"/>
      <c r="N41" s="99"/>
      <c r="O41" s="99"/>
      <c r="P41" s="99"/>
    </row>
    <row r="42" ht="15.75" customHeight="1" s="101">
      <c r="A42" s="113"/>
      <c r="D42" s="113"/>
      <c r="E42" s="113"/>
      <c r="G42" s="139"/>
      <c r="H42" s="113"/>
      <c r="I42" s="161"/>
      <c r="J42" s="133"/>
      <c r="K42" s="134"/>
      <c r="L42" s="135"/>
      <c r="M42" s="148"/>
      <c r="N42" s="113"/>
      <c r="O42" s="113"/>
      <c r="P42" s="113"/>
      <c r="Q42" s="113"/>
      <c r="R42" s="113"/>
    </row>
    <row r="43" ht="15.75" customHeight="1" s="101">
      <c r="A43" s="138"/>
      <c r="B43" s="149"/>
      <c r="D43" s="129"/>
      <c r="E43" s="130"/>
      <c r="F43" s="130"/>
      <c r="G43" s="139"/>
      <c r="H43" s="139"/>
      <c r="I43" s="132"/>
      <c r="J43" s="133"/>
      <c r="K43" s="134"/>
      <c r="L43" s="151"/>
      <c r="M43" s="148"/>
      <c r="N43" s="113"/>
      <c r="O43" s="113"/>
      <c r="P43" s="113"/>
      <c r="Q43" s="113"/>
      <c r="R43" s="113"/>
    </row>
    <row r="44" ht="27" customHeight="1" s="101">
      <c r="A44" s="118"/>
      <c r="F44" s="93"/>
      <c r="G44" s="112"/>
      <c r="H44" s="93"/>
      <c r="I44" s="162"/>
      <c r="L44" s="152"/>
      <c r="M44" s="148"/>
    </row>
    <row r="45" ht="39" customHeight="1" s="101">
      <c r="G45" s="97"/>
      <c r="H45" s="93"/>
      <c r="I45" s="153"/>
      <c r="L45" s="152"/>
    </row>
    <row r="46" ht="15.75" customHeight="1" s="101">
      <c r="H46" s="154" t="inlineStr">
        <is>
          <t xml:space="preserve">USD</t>
        </is>
      </c>
      <c r="I46" s="155">
        <f>SUM(I24:I45)</f>
        <v>0</v>
      </c>
      <c r="K46" s="99"/>
      <c r="L46" s="135">
        <f>SUM(L24:L38)</f>
        <v>0</v>
      </c>
    </row>
    <row r="47" hidden="1" ht="10.5" customHeight="1" s="101">
      <c r="I47" s="153"/>
      <c r="L47" s="152"/>
    </row>
    <row r="48" ht="27" customHeight="1" s="101">
      <c r="H48" s="99"/>
      <c r="I48" s="99"/>
    </row>
    <row r="49" ht="15.75" customHeight="1" s="101">
      <c r="H49" s="156"/>
      <c r="I49" s="111"/>
      <c r="L49" s="152"/>
    </row>
  </sheetData>
  <mergeCells count="8">
    <mergeCell ref="B43:C44"/>
    <mergeCell ref="H10:I12"/>
    <mergeCell ref="H7:I7"/>
    <mergeCell ref="B41:C42"/>
    <mergeCell ref="H15:I16"/>
    <mergeCell ref="H5:I6"/>
    <mergeCell ref="H8:I8"/>
    <mergeCell ref="G14:J14"/>
  </mergeCells>
  <printOptions horizontalCentered="0" verticalCentered="0" headings="0" gridLines="0" gridLinesSet="1"/>
  <pageMargins left="0.390277777777778" right="0.129861111111111" top="2.32013888888889" bottom="0.329861111111111" header="0.511811023622047" footer="0.170138888888889"/>
  <pageSetup orientation="portrait" paperSize="9" scale="100" fitToHeight="1" fitToWidth="1" pageOrder="downThenOver" blackAndWhite="0" draft="0" horizontalDpi="300" verticalDpi="300" copies="1"/>
</worksheet>
</file>