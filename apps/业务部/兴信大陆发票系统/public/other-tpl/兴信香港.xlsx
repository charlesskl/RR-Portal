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TOMY (4)" sheetId="1" state="visible" r:id="rId1"/>
    <sheet name="TOMY (9)" sheetId="2" state="visible" r:id="rId2"/>
    <sheet name="John Adams (5)" sheetId="3" state="visible" r:id="rId3"/>
    <sheet name="John Adams (2)" sheetId="4" state="visible" r:id="rId4"/>
    <sheet name="Masterkidz" sheetId="5" state="visible" r:id="rId5"/>
    <sheet name="Zanzoon" sheetId="6" state="visible" r:id="rId6"/>
    <sheet name="AZAD" sheetId="7" state="visible" r:id="rId7"/>
  </sheets>
  <definedNames>
    <definedName name="_xlnm.Print_Area" localSheetId="0">'TOMY (4)'!$A$8:$I$46</definedName>
    <definedName name="_xlnm.Print_Area" localSheetId="1">'TOMY (9)'!$A$8:$I$46</definedName>
    <definedName name="_xlnm.Print_Area" localSheetId="2">'John Adams (5)'!$A$8:$I$46</definedName>
    <definedName name="_xlnm.Print_Area" localSheetId="3">'John Adams (2)'!$A$8:$I$46</definedName>
    <definedName name="_xlnm.Print_Area" localSheetId="4">Masterkidz!$A$8:$I$46</definedName>
    <definedName name="_xlnm.Print_Area" localSheetId="5">Zanzoon!$A$8:$I$46</definedName>
  </definedNames>
  <calcPr calcMode="auto" fullCalcOnLoad="1"/>
</workbook>
</file>

<file path=xl/styles.xml><?xml version="1.0" encoding="utf-8"?>
<styleSheet xmlns="http://schemas.openxmlformats.org/spreadsheetml/2006/main">
  <numFmts count="16">
    <numFmt numFmtId="164" formatCode="0.0000_);[RED]\(0.0000\)"/>
    <numFmt numFmtId="165" formatCode="0.00_);[RED]\(0.00\)"/>
    <numFmt numFmtId="166" formatCode="0.000_);[RED]\(0.000\)"/>
    <numFmt numFmtId="167" formatCode="[$-409]d\-mmm\-yy"/>
    <numFmt numFmtId="168" formatCode="_ * #,##0.00_ ;_ * \-#,##0.00_ ;_ * \-??_ ;_ @_ "/>
    <numFmt numFmtId="169" formatCode="0.000"/>
    <numFmt numFmtId="170" formatCode="0.0000_ "/>
    <numFmt numFmtId="171" formatCode="#,##0.00_);[RED]\(#,##0.00\)"/>
    <numFmt numFmtId="172" formatCode="0.0000_ ;[RED]\-0.0000\ "/>
    <numFmt numFmtId="173" formatCode="#,##0.00_ "/>
    <numFmt numFmtId="174" formatCode="0.00_ "/>
    <numFmt numFmtId="175" formatCode="0.000_ ;[RED]\-0.000\ "/>
    <numFmt numFmtId="176" formatCode="General"/>
    <numFmt numFmtId="177" formatCode="@"/>
    <numFmt numFmtId="178" formatCode="0%"/>
    <numFmt numFmtId="179" formatCode="_ * #,##0.00_ ;_ * \-#,##0.00_ ;_ * \-??.0_ ;_ @_ "/>
  </numFmts>
  <fonts count="50">
    <font>
      <name val="宋体"/>
      <charset val="134"/>
      <family val="0"/>
      <sz val="12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sz val="10"/>
    </font>
    <font>
      <name val="Arial"/>
      <family val="2"/>
      <sz val="9"/>
    </font>
    <font>
      <name val="宋体"/>
      <charset val="134"/>
      <family val="0"/>
      <sz val="10"/>
    </font>
    <font>
      <name val="宋体"/>
      <charset val="134"/>
      <family val="0"/>
      <sz val="11"/>
    </font>
    <font>
      <name val="宋体"/>
      <family val="0"/>
      <b val="1"/>
      <sz val="12"/>
    </font>
    <font>
      <name val="宋体"/>
      <charset val="134"/>
      <family val="0"/>
      <b val="1"/>
      <sz val="10"/>
    </font>
    <font>
      <name val="宋体"/>
      <charset val="134"/>
      <family val="0"/>
      <b val="1"/>
      <sz val="12"/>
    </font>
    <font>
      <name val="Times New Roman"/>
      <family val="1"/>
      <b val="1"/>
      <sz val="14"/>
    </font>
    <font>
      <name val="Times New Roman"/>
      <family val="1"/>
      <sz val="12"/>
    </font>
    <font>
      <name val="宋体"/>
      <charset val="134"/>
      <family val="0"/>
      <sz val="14"/>
    </font>
    <font>
      <name val="宋体"/>
      <charset val="134"/>
      <family val="0"/>
      <b val="1"/>
      <color rgb="FF000000"/>
      <sz val="10"/>
    </font>
    <font>
      <name val="幼圆"/>
      <charset val="134"/>
      <family val="3"/>
      <sz val="11"/>
    </font>
    <font>
      <name val="Times New Roman"/>
      <family val="1"/>
      <sz val="11"/>
    </font>
    <font>
      <name val="宋体"/>
      <charset val="134"/>
      <family val="0"/>
      <sz val="10.5"/>
    </font>
    <font>
      <name val="Times New Roman"/>
      <family val="1"/>
      <color rgb="FF000000"/>
      <sz val="11"/>
    </font>
    <font>
      <name val="Times New Roman"/>
      <family val="1"/>
      <sz val="10"/>
    </font>
    <font>
      <name val="Times New Roman"/>
      <family val="1"/>
      <b val="1"/>
      <color rgb="FF000000"/>
      <sz val="10"/>
    </font>
    <font>
      <name val="宋体"/>
      <charset val="134"/>
      <family val="0"/>
      <sz val="9"/>
    </font>
    <font>
      <name val="宋体"/>
      <family val="0"/>
      <sz val="10"/>
    </font>
    <font>
      <name val="Times New Roman"/>
      <family val="1"/>
      <sz val="10"/>
      <u val="single"/>
    </font>
    <font>
      <name val="宋体"/>
      <charset val="134"/>
      <family val="0"/>
      <sz val="10.5"/>
      <u val="single"/>
    </font>
    <font>
      <name val="宋体"/>
      <family val="0"/>
      <sz val="9"/>
    </font>
    <font>
      <name val="Times New Roman"/>
      <family val="1"/>
      <b val="1"/>
      <sz val="12"/>
    </font>
    <font>
      <sz val="12"/>
      <name val="宋体"/>
      <family val="0"/>
      <charset val="134"/>
    </font>
    <font>
      <sz val="10"/>
      <name val="宋体"/>
      <family val="0"/>
      <charset val="134"/>
    </font>
    <font>
      <sz val="11"/>
      <name val="宋体"/>
      <family val="0"/>
      <charset val="134"/>
    </font>
    <font>
      <b val="true"/>
      <sz val="12"/>
      <name val="宋体"/>
      <family val="0"/>
    </font>
    <font>
      <b val="true"/>
      <sz val="10"/>
      <name val="宋体"/>
      <family val="0"/>
      <charset val="134"/>
    </font>
    <font>
      <b val="true"/>
      <sz val="12"/>
      <name val="宋体"/>
      <family val="0"/>
      <charset val="134"/>
    </font>
    <font>
      <b val="true"/>
      <sz val="14"/>
      <name val="Times New Roman"/>
      <family val="1"/>
    </font>
    <font>
      <sz val="12"/>
      <name val="Times New Roman"/>
      <family val="1"/>
    </font>
    <font>
      <sz val="14"/>
      <name val="宋体"/>
      <family val="0"/>
      <charset val="134"/>
    </font>
    <font>
      <b val="true"/>
      <sz val="10"/>
      <color rgb="FF000000"/>
      <name val="宋体"/>
      <family val="0"/>
      <charset val="134"/>
    </font>
    <font>
      <sz val="11"/>
      <name val="幼圆"/>
      <family val="3"/>
      <charset val="134"/>
    </font>
    <font>
      <sz val="10.5"/>
      <name val="宋体"/>
      <family val="0"/>
      <charset val="134"/>
    </font>
    <font>
      <sz val="11"/>
      <color rgb="FF000000"/>
      <name val="Times New Roman"/>
      <family val="1"/>
    </font>
    <font>
      <sz val="10.5"/>
      <name val="Times New Roman"/>
      <family val="1"/>
    </font>
    <font>
      <sz val="11"/>
      <name val="Times New Roman"/>
      <family val="1"/>
    </font>
    <font>
      <b val="true"/>
      <sz val="10"/>
      <color rgb="FF000000"/>
      <name val="Times New Roman"/>
      <family val="1"/>
    </font>
    <font>
      <sz val="11"/>
      <color rgb="FF000000"/>
      <name val="宋体"/>
      <family val="0"/>
      <charset val="134"/>
    </font>
    <font>
      <sz val="10"/>
      <name val="Times New Roman"/>
      <family val="1"/>
    </font>
    <font>
      <sz val="9"/>
      <name val="宋体"/>
      <family val="0"/>
      <charset val="134"/>
    </font>
    <font>
      <sz val="10"/>
      <name val="宋体"/>
      <family val="0"/>
    </font>
    <font>
      <u val="single"/>
      <sz val="10"/>
      <name val="Times New Roman"/>
      <family val="1"/>
    </font>
    <font>
      <u val="single"/>
      <sz val="10.5"/>
      <name val="宋体"/>
      <family val="0"/>
      <charset val="134"/>
    </font>
    <font>
      <sz val="9"/>
      <name val="Times New Roman"/>
      <family val="1"/>
    </font>
  </fonts>
  <fills count="3">
    <fill>
      <patternFill/>
    </fill>
    <fill>
      <patternFill patternType="gray125"/>
    </fill>
    <fill>
      <patternFill patternType="none"/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0" fontId="0" fillId="0" borderId="0" applyAlignment="1">
      <alignment horizontal="general" vertical="bottom"/>
    </xf>
    <xf numFmtId="168" fontId="0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0" borderId="0" applyAlignment="1">
      <alignment horizontal="general" vertical="bottom"/>
    </xf>
    <xf numFmtId="0" fontId="4" fillId="0" borderId="0" applyAlignment="1">
      <alignment horizontal="general" vertical="bottom"/>
    </xf>
    <xf numFmtId="1" fontId="5" fillId="0" borderId="0" applyAlignment="1" applyProtection="1">
      <alignment horizontal="general" vertical="bottom"/>
      <protection locked="0" hidden="0"/>
    </xf>
    <xf numFmtId="0" fontId="0" fillId="0" borderId="0"/>
    <xf numFmtId="0" fontId="0" fillId="0" borderId="0"/>
    <xf numFmtId="0" fontId="4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4" fillId="0" borderId="0" applyAlignment="1">
      <alignment horizontal="general" vertical="bottom"/>
    </xf>
  </cellStyleXfs>
  <cellXfs count="253">
    <xf numFmtId="0" fontId="0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right" vertical="bottom"/>
    </xf>
    <xf numFmtId="49" fontId="6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165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166" fontId="7" fillId="0" borderId="0" applyAlignment="1" pivotButton="0" quotePrefix="0" xfId="0">
      <alignment horizontal="general" vertical="bottom"/>
    </xf>
    <xf numFmtId="49" fontId="8" fillId="0" borderId="0" applyAlignment="1" pivotButton="0" quotePrefix="0" xfId="0">
      <alignment horizontal="left" vertical="bottom"/>
    </xf>
    <xf numFmtId="49" fontId="9" fillId="0" borderId="0" applyAlignment="1" pivotButton="0" quotePrefix="0" xfId="0">
      <alignment horizontal="general" vertical="center"/>
    </xf>
    <xf numFmtId="49" fontId="0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49" fontId="11" fillId="0" borderId="0" applyAlignment="1" pivotButton="0" quotePrefix="0" xfId="0">
      <alignment horizontal="center" vertical="center"/>
    </xf>
    <xf numFmtId="0" fontId="7" fillId="0" borderId="0" applyAlignment="1" pivotButton="0" quotePrefix="0" xfId="30">
      <alignment horizontal="left" vertical="bottom"/>
    </xf>
    <xf numFmtId="167" fontId="12" fillId="0" borderId="0" applyAlignment="1" pivotButton="0" quotePrefix="0" xfId="0">
      <alignment horizontal="left" vertical="bottom"/>
    </xf>
    <xf numFmtId="49" fontId="13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165" fontId="6" fillId="0" borderId="0" applyAlignment="1" pivotButton="0" quotePrefix="0" xfId="0">
      <alignment horizontal="right" vertical="bottom"/>
    </xf>
    <xf numFmtId="164" fontId="6" fillId="0" borderId="0" applyAlignment="1" pivotButton="0" quotePrefix="0" xfId="0">
      <alignment horizontal="right" vertical="bottom"/>
    </xf>
    <xf numFmtId="0" fontId="7" fillId="0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right" vertical="bottom"/>
    </xf>
    <xf numFmtId="0" fontId="13" fillId="0" borderId="0" applyAlignment="1" pivotButton="0" quotePrefix="0" xfId="27">
      <alignment horizontal="general" vertical="bottom"/>
    </xf>
    <xf numFmtId="0" fontId="14" fillId="0" borderId="0" applyAlignment="1" pivotButton="0" quotePrefix="0" xfId="0">
      <alignment horizontal="center" vertical="center"/>
    </xf>
    <xf numFmtId="168" fontId="6" fillId="0" borderId="0" applyAlignment="1" pivotButton="0" quotePrefix="0" xfId="15">
      <alignment horizontal="right" vertical="bottom"/>
    </xf>
    <xf numFmtId="49" fontId="6" fillId="0" borderId="0" applyAlignment="1" pivotButton="0" quotePrefix="0" xfId="0">
      <alignment horizontal="left" vertical="bottom"/>
    </xf>
    <xf numFmtId="0" fontId="0" fillId="0" borderId="0" applyAlignment="1" pivotButton="0" quotePrefix="0" xfId="27">
      <alignment horizontal="general" vertical="bottom"/>
    </xf>
    <xf numFmtId="0" fontId="6" fillId="0" borderId="0" applyAlignment="1" pivotButton="0" quotePrefix="0" xfId="33">
      <alignment horizontal="center" vertical="top"/>
    </xf>
    <xf numFmtId="166" fontId="15" fillId="0" borderId="0" applyAlignment="1" pivotButton="0" quotePrefix="0" xfId="0">
      <alignment horizontal="general" vertical="bottom"/>
    </xf>
    <xf numFmtId="169" fontId="7" fillId="0" borderId="0" applyAlignment="1" pivotButton="0" quotePrefix="0" xfId="0">
      <alignment horizontal="right" vertical="bottom"/>
    </xf>
    <xf numFmtId="0" fontId="17" fillId="0" borderId="0" applyAlignment="1" pivotButton="0" quotePrefix="0" xfId="27">
      <alignment horizontal="general" vertical="bottom"/>
    </xf>
    <xf numFmtId="0" fontId="6" fillId="0" borderId="0" applyAlignment="1" pivotButton="0" quotePrefix="0" xfId="25">
      <alignment horizontal="center" vertical="bottom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27">
      <alignment horizontal="left" vertical="bottom"/>
    </xf>
    <xf numFmtId="0" fontId="18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27">
      <alignment horizontal="center" vertical="center"/>
    </xf>
    <xf numFmtId="170" fontId="18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27">
      <alignment horizontal="general" vertical="center"/>
    </xf>
    <xf numFmtId="171" fontId="16" fillId="0" borderId="0" applyAlignment="1" pivotButton="0" quotePrefix="0" xfId="30">
      <alignment horizontal="general" vertical="bottom"/>
    </xf>
    <xf numFmtId="49" fontId="16" fillId="0" borderId="0" applyAlignment="1" pivotButton="0" quotePrefix="0" xfId="0">
      <alignment horizontal="right" vertical="bottom"/>
    </xf>
    <xf numFmtId="172" fontId="20" fillId="0" borderId="1" applyAlignment="1" pivotButton="0" quotePrefix="0" xfId="0">
      <alignment horizontal="center" vertical="center"/>
    </xf>
    <xf numFmtId="173" fontId="12" fillId="0" borderId="0" applyAlignment="1" pivotButton="0" quotePrefix="0" xfId="0">
      <alignment horizontal="general" vertical="bottom"/>
    </xf>
    <xf numFmtId="169" fontId="7" fillId="0" borderId="0" applyAlignment="1" pivotButton="0" quotePrefix="0" xfId="0">
      <alignment horizontal="right" vertical="bottom"/>
    </xf>
    <xf numFmtId="0" fontId="6" fillId="0" borderId="0" applyAlignment="1" pivotButton="0" quotePrefix="0" xfId="27">
      <alignment horizontal="general" vertical="bottom"/>
    </xf>
    <xf numFmtId="0" fontId="6" fillId="0" borderId="0" applyAlignment="1" pivotButton="0" quotePrefix="0" xfId="27">
      <alignment horizontal="general" vertical="center" wrapText="1"/>
    </xf>
    <xf numFmtId="49" fontId="19" fillId="0" borderId="0" applyAlignment="1" pivotButton="0" quotePrefix="0" xfId="0">
      <alignment horizontal="general" vertical="bottom"/>
    </xf>
    <xf numFmtId="0" fontId="21" fillId="0" borderId="0" applyAlignment="1" pivotButton="0" quotePrefix="0" xfId="27">
      <alignment horizontal="general" vertical="bottom"/>
    </xf>
    <xf numFmtId="49" fontId="22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164" fontId="6" fillId="0" borderId="0" applyAlignment="1" pivotButton="0" quotePrefix="0" xfId="0">
      <alignment horizontal="right" vertical="bottom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bottom"/>
    </xf>
    <xf numFmtId="49" fontId="6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center" vertical="bottom"/>
    </xf>
    <xf numFmtId="174" fontId="12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bottom"/>
    </xf>
    <xf numFmtId="164" fontId="7" fillId="0" borderId="0" applyAlignment="1" pivotButton="0" quotePrefix="0" xfId="0">
      <alignment horizontal="right" vertical="bottom"/>
    </xf>
    <xf numFmtId="0" fontId="23" fillId="0" borderId="0" applyAlignment="1" pivotButton="0" quotePrefix="0" xfId="0">
      <alignment horizontal="general" vertical="bottom"/>
    </xf>
    <xf numFmtId="172" fontId="7" fillId="0" borderId="0" applyAlignment="1" pivotButton="0" quotePrefix="0" xfId="0">
      <alignment horizontal="general" vertical="bottom"/>
    </xf>
    <xf numFmtId="166" fontId="7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8" fontId="24" fillId="0" borderId="0" applyAlignment="1" pivotButton="0" quotePrefix="0" xfId="15">
      <alignment horizontal="general" vertical="bottom"/>
    </xf>
    <xf numFmtId="168" fontId="0" fillId="0" borderId="0" applyAlignment="1" pivotButton="0" quotePrefix="0" xfId="0">
      <alignment horizontal="general" vertical="bottom"/>
    </xf>
    <xf numFmtId="173" fontId="0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right" vertical="bottom"/>
    </xf>
    <xf numFmtId="164" fontId="7" fillId="0" borderId="0" applyAlignment="1" pivotButton="0" quotePrefix="0" xfId="29">
      <alignment horizontal="right" vertical="bottom"/>
    </xf>
    <xf numFmtId="169" fontId="7" fillId="0" borderId="0" applyAlignment="1" pivotButton="0" quotePrefix="0" xfId="29">
      <alignment horizontal="left" vertical="bottom"/>
    </xf>
    <xf numFmtId="164" fontId="7" fillId="0" borderId="0" applyAlignment="1" pivotButton="0" quotePrefix="0" xfId="29">
      <alignment horizontal="left" vertical="bottom"/>
    </xf>
    <xf numFmtId="164" fontId="7" fillId="0" borderId="0" applyAlignment="1" pivotButton="0" quotePrefix="0" xfId="27">
      <alignment horizontal="left" vertical="bottom"/>
    </xf>
    <xf numFmtId="174" fontId="16" fillId="0" borderId="0" applyAlignment="1" pivotButton="0" quotePrefix="0" xfId="0">
      <alignment horizontal="right" vertical="center"/>
    </xf>
    <xf numFmtId="168" fontId="19" fillId="0" borderId="0" applyAlignment="1" pivotButton="0" quotePrefix="0" xfId="15">
      <alignment horizontal="general" vertical="bottom"/>
    </xf>
    <xf numFmtId="165" fontId="6" fillId="0" borderId="0" applyAlignment="1" pivotButton="0" quotePrefix="0" xfId="0">
      <alignment horizontal="left" vertical="bottom"/>
    </xf>
    <xf numFmtId="0" fontId="21" fillId="0" borderId="0" applyAlignment="1" pivotButton="0" quotePrefix="0" xfId="0">
      <alignment horizontal="right" vertical="bottom"/>
    </xf>
    <xf numFmtId="0" fontId="19" fillId="0" borderId="0" applyAlignment="1" pivotButton="0" quotePrefix="0" xfId="27">
      <alignment horizontal="general" vertical="bottom"/>
    </xf>
    <xf numFmtId="175" fontId="20" fillId="0" borderId="1" applyAlignment="1" pivotButton="0" quotePrefix="0" xfId="0">
      <alignment horizontal="center" vertical="center"/>
    </xf>
    <xf numFmtId="166" fontId="17" fillId="0" borderId="1" applyAlignment="1" pivotButton="0" quotePrefix="0" xfId="27">
      <alignment horizontal="center" vertical="center"/>
    </xf>
    <xf numFmtId="0" fontId="6" fillId="0" borderId="0" applyAlignment="1" pivotButton="0" quotePrefix="0" xfId="27">
      <alignment horizontal="left" vertical="bottom"/>
    </xf>
    <xf numFmtId="49" fontId="6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right" vertical="bottom"/>
    </xf>
    <xf numFmtId="49" fontId="6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165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166" fontId="7" fillId="0" borderId="0" applyAlignment="1" pivotButton="0" quotePrefix="0" xfId="0">
      <alignment horizontal="general" vertical="bottom"/>
    </xf>
    <xf numFmtId="0" fontId="0" fillId="0" borderId="0" pivotButton="0" quotePrefix="0" xfId="0"/>
    <xf numFmtId="49" fontId="8" fillId="0" borderId="0" applyAlignment="1" pivotButton="0" quotePrefix="0" xfId="0">
      <alignment horizontal="left" vertical="bottom"/>
    </xf>
    <xf numFmtId="49" fontId="9" fillId="0" borderId="0" applyAlignment="1" pivotButton="0" quotePrefix="0" xfId="0">
      <alignment horizontal="general" vertical="center"/>
    </xf>
    <xf numFmtId="49" fontId="0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49" fontId="11" fillId="0" borderId="0" applyAlignment="1" pivotButton="0" quotePrefix="0" xfId="0">
      <alignment horizontal="center" vertical="center"/>
    </xf>
    <xf numFmtId="0" fontId="7" fillId="0" borderId="0" applyAlignment="1" pivotButton="0" quotePrefix="0" xfId="30">
      <alignment horizontal="left" vertical="bottom"/>
    </xf>
    <xf numFmtId="167" fontId="12" fillId="0" borderId="0" applyAlignment="1" pivotButton="0" quotePrefix="0" xfId="0">
      <alignment horizontal="left" vertical="bottom"/>
    </xf>
    <xf numFmtId="49" fontId="13" fillId="0" borderId="0" applyAlignment="1" pivotButton="0" quotePrefix="0" xfId="0">
      <alignment horizontal="general" vertical="bottom"/>
    </xf>
    <xf numFmtId="165" fontId="6" fillId="0" borderId="0" applyAlignment="1" pivotButton="0" quotePrefix="0" xfId="0">
      <alignment horizontal="right" vertical="bottom"/>
    </xf>
    <xf numFmtId="164" fontId="6" fillId="0" borderId="0" applyAlignment="1" pivotButton="0" quotePrefix="0" xfId="0">
      <alignment horizontal="right" vertical="bottom"/>
    </xf>
    <xf numFmtId="0" fontId="7" fillId="0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right" vertical="bottom"/>
    </xf>
    <xf numFmtId="0" fontId="13" fillId="0" borderId="0" applyAlignment="1" pivotButton="0" quotePrefix="0" xfId="27">
      <alignment horizontal="general" vertical="bottom"/>
    </xf>
    <xf numFmtId="0" fontId="14" fillId="0" borderId="0" applyAlignment="1" pivotButton="0" quotePrefix="0" xfId="0">
      <alignment horizontal="center" vertical="center"/>
    </xf>
    <xf numFmtId="168" fontId="6" fillId="0" borderId="0" applyAlignment="1" pivotButton="0" quotePrefix="0" xfId="15">
      <alignment horizontal="right" vertical="bottom"/>
    </xf>
    <xf numFmtId="49" fontId="6" fillId="0" borderId="0" applyAlignment="1" pivotButton="0" quotePrefix="0" xfId="0">
      <alignment horizontal="left" vertical="bottom"/>
    </xf>
    <xf numFmtId="0" fontId="0" fillId="0" borderId="0" applyAlignment="1" pivotButton="0" quotePrefix="0" xfId="27">
      <alignment horizontal="general" vertical="bottom"/>
    </xf>
    <xf numFmtId="0" fontId="6" fillId="0" borderId="0" applyAlignment="1" pivotButton="0" quotePrefix="0" xfId="33">
      <alignment horizontal="center" vertical="top"/>
    </xf>
    <xf numFmtId="166" fontId="15" fillId="0" borderId="0" applyAlignment="1" pivotButton="0" quotePrefix="0" xfId="0">
      <alignment horizontal="general" vertical="bottom"/>
    </xf>
    <xf numFmtId="169" fontId="7" fillId="0" borderId="0" applyAlignment="1" pivotButton="0" quotePrefix="0" xfId="0">
      <alignment horizontal="right" vertical="bottom"/>
    </xf>
    <xf numFmtId="0" fontId="17" fillId="0" borderId="0" applyAlignment="1" pivotButton="0" quotePrefix="0" xfId="27">
      <alignment horizontal="general" vertical="bottom"/>
    </xf>
    <xf numFmtId="0" fontId="6" fillId="0" borderId="0" applyAlignment="1" pivotButton="0" quotePrefix="0" xfId="25">
      <alignment horizontal="center" vertical="bottom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27">
      <alignment horizontal="left" vertical="bottom"/>
    </xf>
    <xf numFmtId="0" fontId="18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27">
      <alignment horizontal="center" vertical="center"/>
    </xf>
    <xf numFmtId="170" fontId="18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27">
      <alignment horizontal="general" vertical="center"/>
    </xf>
    <xf numFmtId="171" fontId="16" fillId="0" borderId="0" applyAlignment="1" pivotButton="0" quotePrefix="0" xfId="30">
      <alignment horizontal="general" vertical="bottom"/>
    </xf>
    <xf numFmtId="49" fontId="16" fillId="0" borderId="0" applyAlignment="1" pivotButton="0" quotePrefix="0" xfId="0">
      <alignment horizontal="right" vertical="bottom"/>
    </xf>
    <xf numFmtId="172" fontId="20" fillId="0" borderId="1" applyAlignment="1" pivotButton="0" quotePrefix="0" xfId="0">
      <alignment horizontal="center" vertical="center"/>
    </xf>
    <xf numFmtId="173" fontId="12" fillId="0" borderId="0" applyAlignment="1" pivotButton="0" quotePrefix="0" xfId="0">
      <alignment horizontal="general" vertical="bottom"/>
    </xf>
    <xf numFmtId="0" fontId="6" fillId="0" borderId="0" applyAlignment="1" pivotButton="0" quotePrefix="0" xfId="27">
      <alignment horizontal="general" vertical="bottom"/>
    </xf>
    <xf numFmtId="0" fontId="6" fillId="0" borderId="0" applyAlignment="1" pivotButton="0" quotePrefix="0" xfId="27">
      <alignment horizontal="general" vertical="center" wrapText="1"/>
    </xf>
    <xf numFmtId="49" fontId="19" fillId="0" borderId="0" applyAlignment="1" pivotButton="0" quotePrefix="0" xfId="0">
      <alignment horizontal="general" vertical="bottom"/>
    </xf>
    <xf numFmtId="0" fontId="21" fillId="0" borderId="0" applyAlignment="1" pivotButton="0" quotePrefix="0" xfId="27">
      <alignment horizontal="general" vertical="bottom"/>
    </xf>
    <xf numFmtId="49" fontId="22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174" fontId="12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bottom"/>
    </xf>
    <xf numFmtId="164" fontId="7" fillId="0" borderId="0" applyAlignment="1" pivotButton="0" quotePrefix="0" xfId="0">
      <alignment horizontal="right" vertical="bottom"/>
    </xf>
    <xf numFmtId="0" fontId="23" fillId="0" borderId="0" applyAlignment="1" pivotButton="0" quotePrefix="0" xfId="0">
      <alignment horizontal="general" vertical="bottom"/>
    </xf>
    <xf numFmtId="172" fontId="7" fillId="0" borderId="0" applyAlignment="1" pivotButton="0" quotePrefix="0" xfId="0">
      <alignment horizontal="general" vertical="bottom"/>
    </xf>
    <xf numFmtId="168" fontId="24" fillId="0" borderId="0" applyAlignment="1" pivotButton="0" quotePrefix="0" xfId="15">
      <alignment horizontal="general" vertical="bottom"/>
    </xf>
    <xf numFmtId="168" fontId="0" fillId="0" borderId="0" applyAlignment="1" pivotButton="0" quotePrefix="0" xfId="0">
      <alignment horizontal="general" vertical="bottom"/>
    </xf>
    <xf numFmtId="173" fontId="0" fillId="0" borderId="0" applyAlignment="1" pivotButton="0" quotePrefix="0" xfId="0">
      <alignment horizontal="general" vertical="bottom"/>
    </xf>
    <xf numFmtId="164" fontId="7" fillId="0" borderId="0" applyAlignment="1" pivotButton="0" quotePrefix="0" xfId="29">
      <alignment horizontal="right" vertical="bottom"/>
    </xf>
    <xf numFmtId="169" fontId="7" fillId="0" borderId="0" applyAlignment="1" pivotButton="0" quotePrefix="0" xfId="29">
      <alignment horizontal="left" vertical="bottom"/>
    </xf>
    <xf numFmtId="164" fontId="7" fillId="0" borderId="0" applyAlignment="1" pivotButton="0" quotePrefix="0" xfId="29">
      <alignment horizontal="left" vertical="bottom"/>
    </xf>
    <xf numFmtId="164" fontId="7" fillId="0" borderId="0" applyAlignment="1" pivotButton="0" quotePrefix="0" xfId="27">
      <alignment horizontal="left" vertical="bottom"/>
    </xf>
    <xf numFmtId="174" fontId="16" fillId="0" borderId="0" applyAlignment="1" pivotButton="0" quotePrefix="0" xfId="0">
      <alignment horizontal="right" vertical="center"/>
    </xf>
    <xf numFmtId="168" fontId="19" fillId="0" borderId="0" applyAlignment="1" pivotButton="0" quotePrefix="0" xfId="15">
      <alignment horizontal="general" vertical="bottom"/>
    </xf>
    <xf numFmtId="165" fontId="6" fillId="0" borderId="0" applyAlignment="1" pivotButton="0" quotePrefix="0" xfId="0">
      <alignment horizontal="left" vertical="bottom"/>
    </xf>
    <xf numFmtId="0" fontId="21" fillId="0" borderId="0" applyAlignment="1" pivotButton="0" quotePrefix="0" xfId="0">
      <alignment horizontal="right" vertical="bottom"/>
    </xf>
    <xf numFmtId="175" fontId="20" fillId="0" borderId="1" applyAlignment="1" pivotButton="0" quotePrefix="0" xfId="0">
      <alignment horizontal="center" vertical="center"/>
    </xf>
    <xf numFmtId="166" fontId="17" fillId="0" borderId="1" applyAlignment="1" pivotButton="0" quotePrefix="0" xfId="27">
      <alignment horizontal="center" vertical="center"/>
    </xf>
    <xf numFmtId="0" fontId="6" fillId="0" borderId="0" applyAlignment="1" pivotButton="0" quotePrefix="0" xfId="27">
      <alignment horizontal="left" vertical="bottom"/>
    </xf>
    <xf numFmtId="176" fontId="27" fillId="2" borderId="2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8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28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28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28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28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8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27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9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30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7" fontId="31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7" fontId="27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32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27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3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9" fillId="2" borderId="2" xfId="3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34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7" fontId="35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8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8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29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9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35" fillId="2" borderId="2" xfId="27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3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8" fillId="2" borderId="2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7" fontId="28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27" fillId="2" borderId="2" xfId="2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28" fillId="2" borderId="2" xfId="32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37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9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28" fillId="2" borderId="2" xfId="2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38" fillId="2" borderId="2" xfId="2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28" fillId="2" borderId="2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39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40" fillId="2" borderId="2" xfId="2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3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41" fillId="2" borderId="2" xfId="2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41" fillId="2" borderId="2" xfId="27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41" fillId="2" borderId="2" xfId="3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41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42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43" fillId="2" borderId="2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6" fontId="28" fillId="2" borderId="2" xfId="27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7" fontId="44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45" fillId="2" borderId="2" xfId="27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46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28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4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3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3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45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28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47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8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27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44" fillId="2" borderId="2" xfId="2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8" fillId="2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45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4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38" fillId="2" borderId="2" xfId="2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42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9" fillId="2" borderId="2" xfId="3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27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38" fillId="2" borderId="3" xfId="2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2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28" fillId="2" borderId="2" xfId="27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28" fillId="2" borderId="2" xfId="3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6" fontId="38" fillId="2" borderId="2" xfId="27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28" fillId="2" borderId="2" xfId="3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28" fillId="2" borderId="2" xfId="2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29" fillId="2" borderId="2" xfId="27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27" fillId="2" borderId="2" xfId="27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8" fillId="2" borderId="2" xfId="2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38" fillId="2" borderId="2" xfId="19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6" fontId="28" fillId="2" borderId="2" xfId="27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7" fontId="38" fillId="2" borderId="2" xfId="27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28" fillId="2" borderId="2" xfId="3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38" fillId="2" borderId="2" xfId="27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38" fillId="2" borderId="2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38" fillId="2" borderId="2" xfId="2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29" fillId="2" borderId="2" xfId="27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9" fontId="38" fillId="2" borderId="2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27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29" fillId="2" borderId="2" xfId="27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28" fillId="2" borderId="2" xfId="2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8" fillId="2" borderId="2" xfId="25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29" fillId="2" borderId="2" xfId="25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28" fillId="2" borderId="2" xfId="2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28" fillId="2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8" fillId="2" borderId="2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4" fontId="28" fillId="2" borderId="2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48" fillId="2" borderId="2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7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9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49" fillId="2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74" fontId="3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21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_ET_STYLE_NoName_00_" xfId="6"/>
    <cellStyle name="_ET_STYLE_NoName_00_ 2" xfId="7"/>
    <cellStyle name="Normal_TOOLPLAN" xfId="8"/>
    <cellStyle name="常规 2" xfId="9"/>
    <cellStyle name="常规 2 2" xfId="10"/>
    <cellStyle name="常规_11926BLU" xfId="11"/>
    <cellStyle name="常规_2011年华登制品HK应收未收" xfId="12"/>
    <cellStyle name="常规_KB" xfId="13"/>
    <cellStyle name="常规_KB 2" xfId="14"/>
    <cellStyle name="常规_KEENWAY" xfId="15"/>
    <cellStyle name="常规_华登制品" xfId="16"/>
    <cellStyle name="常规_排期" xfId="17"/>
    <cellStyle name="常规_永恒货款" xfId="18"/>
    <cellStyle name="常规_远东新客" xfId="19"/>
    <cellStyle name="样式 1" xfId="2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Styles" Type="http://schemas.openxmlformats.org/officeDocument/2006/relationships/styles" Target="styles.xml"/><Relationship Id="rIdTheme" Type="http://schemas.openxmlformats.org/officeDocument/2006/relationships/theme" Target="theme/theme1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5:R4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99609375" defaultRowHeight="15.75" customHeight="0" zeroHeight="0" outlineLevelRow="0"/>
  <cols>
    <col width="17.99" customWidth="1" style="82" min="1" max="1"/>
    <col width="10.75" customWidth="1" style="83" min="2" max="2"/>
    <col width="21.37" customWidth="1" style="84" min="3" max="3"/>
    <col width="6.62" customWidth="1" style="85" min="4" max="4"/>
    <col width="5.24" customWidth="1" style="86" min="5" max="5"/>
    <col width="4.5" customWidth="1" style="86" min="6" max="6"/>
    <col width="8.24" customWidth="1" style="87" min="7" max="7"/>
    <col width="4.37" customWidth="1" style="86" min="8" max="8"/>
    <col width="8.119999999999999" customWidth="1" style="88" min="9" max="9"/>
    <col width="2.62" customWidth="1" style="89" min="10" max="10"/>
    <col width="12.5" customWidth="1" style="90" min="11" max="11"/>
    <col width="12.62" customWidth="1" style="89" min="12" max="12"/>
    <col width="9.859999999999999" customWidth="1" style="89" min="13" max="13"/>
    <col width="9.369999999999999" customWidth="1" style="89" min="14" max="14"/>
    <col width="8.99" customWidth="1" style="89" min="15" max="15"/>
    <col width="10.49" customWidth="1" style="89" min="16" max="16"/>
    <col width="8.99" customWidth="1" style="89" min="17" max="18"/>
  </cols>
  <sheetData>
    <row r="3" ht="7.5" customHeight="1" s="91"/>
    <row r="4" ht="8.25" customHeight="1" s="91"/>
    <row r="5" ht="15.75" customHeight="1" s="91">
      <c r="H5" s="92" t="inlineStr">
        <is>
          <t xml:space="preserve"> 330783</t>
        </is>
      </c>
    </row>
    <row r="6" ht="15.75" customHeight="1" s="91">
      <c r="G6" s="93"/>
    </row>
    <row r="7" ht="24.75" customHeight="1" s="91">
      <c r="H7" s="94"/>
    </row>
    <row r="8" ht="19.5" customHeight="1" s="91">
      <c r="H8" s="95"/>
    </row>
    <row r="9" ht="11.25" customHeight="1" s="91">
      <c r="H9" s="96"/>
      <c r="I9" s="96"/>
    </row>
    <row r="10" ht="6.75" customHeight="1" s="91">
      <c r="H10" s="97"/>
    </row>
    <row r="11" ht="15.75" customHeight="1" s="91"/>
    <row r="12" ht="12.75" customHeight="1" s="91"/>
    <row r="13" hidden="1" ht="11.25" customHeight="1" s="91">
      <c r="A13"/>
    </row>
    <row r="14" ht="12" customHeight="1" s="91">
      <c r="G14" s="98"/>
    </row>
    <row r="15" ht="13.5" customHeight="1" s="91">
      <c r="A15" s="86"/>
      <c r="H15" s="99"/>
      <c r="J15" s="86"/>
      <c r="L15" s="86"/>
      <c r="M15" s="86"/>
      <c r="N15" s="86"/>
      <c r="O15" s="86"/>
      <c r="P15" s="86"/>
      <c r="Q15" s="86"/>
      <c r="R15" s="86"/>
    </row>
    <row r="16" ht="14.25" customHeight="1" s="91">
      <c r="A16" s="100"/>
      <c r="J16" s="86"/>
      <c r="L16" s="86"/>
      <c r="M16" s="86"/>
      <c r="N16" s="86"/>
      <c r="O16" s="86"/>
      <c r="P16" s="86"/>
      <c r="Q16" s="86"/>
      <c r="R16" s="86"/>
    </row>
    <row r="17" ht="15.75" customHeight="1" s="91">
      <c r="A17" s="89"/>
      <c r="P17" s="89"/>
    </row>
    <row r="18" ht="15.75" customHeight="1" s="91">
      <c r="I18" s="101"/>
    </row>
    <row r="19" ht="14.25" customHeight="1" s="91">
      <c r="I19" s="101"/>
    </row>
    <row r="20" ht="15" customHeight="1" s="91">
      <c r="G20" s="102"/>
      <c r="H20" s="103"/>
      <c r="I20" s="104"/>
      <c r="J20" s="103"/>
      <c r="L20" s="103"/>
      <c r="M20" s="103"/>
      <c r="N20" s="103"/>
      <c r="O20" s="103"/>
      <c r="P20" s="103"/>
      <c r="Q20" s="103"/>
      <c r="R20" s="103"/>
    </row>
    <row r="21" ht="18.75" customHeight="1" s="91">
      <c r="B21" s="105"/>
      <c r="C21" s="106"/>
      <c r="H21" s="83"/>
      <c r="I21" s="107"/>
    </row>
    <row r="22" ht="15.75" customHeight="1" s="91">
      <c r="A22" s="108"/>
      <c r="B22" s="109"/>
      <c r="C22" s="109"/>
      <c r="E22" s="110"/>
      <c r="F22" s="110"/>
      <c r="G22" s="110"/>
      <c r="I22" s="107"/>
      <c r="K22" s="111" t="inlineStr">
        <is>
          <t xml:space="preserve">原单价:</t>
        </is>
      </c>
      <c r="M22" s="112"/>
    </row>
    <row r="23" ht="15.75" customHeight="1" s="91">
      <c r="A23" s="84"/>
      <c r="B23" s="109"/>
      <c r="C23" s="113"/>
      <c r="F23" s="87"/>
      <c r="G23" s="86"/>
      <c r="H23" s="114"/>
      <c r="I23" s="107"/>
      <c r="M23" s="112"/>
    </row>
    <row r="24" ht="15" customHeight="1" s="91">
      <c r="A24" s="115"/>
      <c r="B24" s="109"/>
      <c r="C24" s="116"/>
      <c r="D24" s="117"/>
      <c r="E24" s="118" t="inlineStr">
        <is>
          <t xml:space="preserve">PCS</t>
        </is>
      </c>
      <c r="F24" s="118" t="inlineStr">
        <is>
          <t xml:space="preserve">USD</t>
        </is>
      </c>
      <c r="G24" s="119"/>
      <c r="H24" s="120" t="inlineStr">
        <is>
          <t xml:space="preserve">USD</t>
        </is>
      </c>
      <c r="I24" s="121"/>
      <c r="J24" s="122"/>
      <c r="K24" s="123"/>
      <c r="L24" s="124"/>
      <c r="M24" s="112"/>
    </row>
    <row r="25" ht="15" customHeight="1" s="91">
      <c r="A25" s="115"/>
      <c r="B25" s="109"/>
      <c r="C25" s="125"/>
      <c r="D25" s="117"/>
      <c r="E25" s="118"/>
      <c r="F25" s="118"/>
      <c r="G25" s="119"/>
      <c r="H25" s="120"/>
      <c r="I25" s="121"/>
      <c r="J25" s="122"/>
      <c r="K25" s="123"/>
      <c r="L25" s="124"/>
      <c r="M25" s="112"/>
    </row>
    <row r="26" ht="15.75" customHeight="1" s="91">
      <c r="A26" s="115"/>
      <c r="B26" s="109"/>
      <c r="C26" s="125"/>
      <c r="D26" s="117"/>
      <c r="E26" s="118"/>
      <c r="F26" s="118"/>
      <c r="G26" s="119"/>
      <c r="H26" s="120"/>
      <c r="I26" s="121"/>
      <c r="J26" s="122"/>
      <c r="K26" s="123"/>
      <c r="L26" s="124"/>
      <c r="M26" s="112"/>
    </row>
    <row r="27" ht="15.75" customHeight="1" s="91">
      <c r="A27" s="115"/>
      <c r="B27" s="126"/>
      <c r="C27" s="125"/>
      <c r="D27" s="117"/>
      <c r="E27" s="118"/>
      <c r="F27" s="118"/>
      <c r="G27" s="119"/>
      <c r="H27" s="120"/>
      <c r="I27" s="121"/>
      <c r="J27" s="122"/>
      <c r="K27" s="123"/>
      <c r="L27" s="124"/>
      <c r="M27" s="112"/>
    </row>
    <row r="28" ht="15.75" customHeight="1" s="91">
      <c r="A28" s="115"/>
      <c r="B28" s="126"/>
      <c r="C28" s="125"/>
      <c r="D28" s="117"/>
      <c r="E28" s="118"/>
      <c r="F28" s="118"/>
      <c r="G28" s="119"/>
      <c r="H28" s="120"/>
      <c r="I28" s="121"/>
      <c r="J28" s="122"/>
      <c r="K28" s="123"/>
      <c r="L28" s="124"/>
      <c r="M28" s="112"/>
    </row>
    <row r="29" ht="15.75" customHeight="1" s="91">
      <c r="A29" s="115"/>
      <c r="B29" s="126"/>
      <c r="C29" s="125"/>
      <c r="D29" s="117"/>
      <c r="E29" s="118"/>
      <c r="F29" s="118"/>
      <c r="G29" s="119"/>
      <c r="H29" s="120"/>
      <c r="I29" s="121"/>
      <c r="J29" s="122"/>
      <c r="K29" s="123"/>
      <c r="L29" s="124"/>
      <c r="M29" s="112"/>
      <c r="Q29" s="127"/>
    </row>
    <row r="30" ht="15.75" customHeight="1" s="91">
      <c r="A30" s="128"/>
      <c r="B30" s="126"/>
      <c r="C30" s="125"/>
      <c r="D30" s="117"/>
      <c r="E30" s="118"/>
      <c r="F30" s="118"/>
      <c r="G30" s="119"/>
      <c r="H30" s="120"/>
      <c r="I30" s="121"/>
      <c r="J30" s="122"/>
      <c r="K30" s="123"/>
      <c r="L30" s="124"/>
      <c r="M30" s="112"/>
      <c r="Q30" s="127"/>
    </row>
    <row r="31" ht="15.75" customHeight="1" s="91">
      <c r="A31" s="128"/>
      <c r="B31" s="85"/>
      <c r="C31" s="125"/>
      <c r="D31" s="117"/>
      <c r="E31" s="118"/>
      <c r="F31" s="118"/>
      <c r="G31" s="119"/>
      <c r="H31" s="120"/>
      <c r="I31" s="121"/>
      <c r="J31" s="122"/>
      <c r="K31" s="123"/>
      <c r="L31" s="124"/>
      <c r="Q31" s="129"/>
    </row>
    <row r="32" ht="15.75" customHeight="1" s="91">
      <c r="B32" s="128"/>
      <c r="C32" s="125"/>
      <c r="D32" s="117"/>
      <c r="E32" s="118"/>
      <c r="F32" s="118"/>
      <c r="G32" s="119"/>
      <c r="H32" s="120"/>
      <c r="I32" s="121"/>
      <c r="J32" s="122"/>
      <c r="K32" s="123"/>
      <c r="L32" s="124"/>
      <c r="M32" s="124"/>
      <c r="N32" s="89"/>
      <c r="O32" s="89"/>
      <c r="P32" s="89"/>
      <c r="Q32" s="108"/>
    </row>
    <row r="33" ht="13.5" customHeight="1" s="91">
      <c r="A33" s="128"/>
      <c r="B33" s="128"/>
      <c r="C33" s="125"/>
      <c r="D33" s="117"/>
      <c r="E33" s="118"/>
      <c r="F33" s="118"/>
      <c r="G33" s="119"/>
      <c r="H33" s="120"/>
      <c r="I33" s="121"/>
      <c r="J33" s="122"/>
      <c r="K33" s="123"/>
      <c r="L33" s="124"/>
      <c r="M33" s="89"/>
      <c r="N33" s="89"/>
      <c r="O33" s="89"/>
      <c r="P33" s="89"/>
    </row>
    <row r="34" ht="15" customHeight="1" s="91">
      <c r="A34" s="108"/>
      <c r="B34" s="108"/>
      <c r="C34" s="125"/>
      <c r="D34" s="117"/>
      <c r="E34" s="118"/>
      <c r="F34" s="118"/>
      <c r="G34" s="119"/>
      <c r="H34" s="120"/>
      <c r="I34" s="121"/>
      <c r="J34" s="122"/>
      <c r="K34" s="123"/>
      <c r="L34" s="124"/>
      <c r="M34" s="102"/>
      <c r="N34" s="86"/>
      <c r="O34" s="89"/>
      <c r="P34" s="89"/>
      <c r="Q34" s="86"/>
      <c r="R34" s="86"/>
    </row>
    <row r="35" ht="15" customHeight="1" s="91">
      <c r="A35" s="108"/>
      <c r="B35" s="108"/>
      <c r="C35" s="125"/>
      <c r="D35" s="117"/>
      <c r="E35" s="118"/>
      <c r="F35" s="118"/>
      <c r="G35" s="119"/>
      <c r="H35" s="120"/>
      <c r="I35" s="121"/>
      <c r="J35" s="122"/>
      <c r="K35" s="123"/>
      <c r="L35" s="124"/>
      <c r="M35" s="102"/>
      <c r="N35" s="86"/>
      <c r="O35" s="85"/>
      <c r="P35" s="82"/>
      <c r="Q35" s="130"/>
      <c r="R35" s="86"/>
    </row>
    <row r="36" ht="15.75" customHeight="1" s="91">
      <c r="A36" s="108"/>
      <c r="B36" s="108"/>
      <c r="C36" s="125"/>
      <c r="D36" s="117"/>
      <c r="E36" s="118"/>
      <c r="F36" s="118"/>
      <c r="G36" s="119"/>
      <c r="H36" s="120"/>
      <c r="I36" s="121"/>
      <c r="J36" s="122"/>
      <c r="K36" s="123"/>
      <c r="L36" s="124"/>
      <c r="M36" s="102"/>
      <c r="N36" s="86"/>
      <c r="O36" s="85"/>
      <c r="P36" s="82"/>
      <c r="Q36" s="131"/>
      <c r="R36" s="89"/>
    </row>
    <row r="37" ht="15.75" customHeight="1" s="91">
      <c r="A37" s="108"/>
      <c r="B37" s="108"/>
      <c r="C37" s="125"/>
      <c r="D37" s="117"/>
      <c r="E37" s="118"/>
      <c r="F37" s="118"/>
      <c r="G37" s="119"/>
      <c r="H37" s="120"/>
      <c r="I37" s="121"/>
      <c r="J37" s="122"/>
      <c r="K37" s="123"/>
      <c r="L37" s="124"/>
      <c r="M37" s="102"/>
      <c r="N37" s="86"/>
      <c r="O37" s="85"/>
      <c r="P37" s="82"/>
    </row>
    <row r="38" ht="15.75" customHeight="1" s="91">
      <c r="A38" s="108"/>
      <c r="B38" s="86"/>
      <c r="C38" s="125"/>
      <c r="D38" s="117"/>
      <c r="E38" s="118"/>
      <c r="F38" s="118"/>
      <c r="G38" s="119"/>
      <c r="H38" s="120"/>
      <c r="I38" s="121"/>
      <c r="J38" s="122"/>
      <c r="K38" s="123"/>
      <c r="L38" s="124"/>
      <c r="M38" s="102"/>
      <c r="N38" s="84"/>
      <c r="O38" s="85"/>
      <c r="P38" s="82"/>
      <c r="Q38" s="131"/>
      <c r="R38" s="132"/>
    </row>
    <row r="39" ht="15.75" customHeight="1" s="91">
      <c r="A39" s="108"/>
      <c r="B39" s="134"/>
      <c r="C39" s="125"/>
      <c r="D39" s="117"/>
      <c r="E39" s="118"/>
      <c r="F39" s="118"/>
      <c r="G39" s="119"/>
      <c r="H39" s="120"/>
      <c r="I39" s="121"/>
      <c r="J39" s="122"/>
      <c r="K39" s="123"/>
      <c r="L39" s="124"/>
      <c r="M39" s="135"/>
      <c r="N39" s="89"/>
      <c r="O39" s="89"/>
      <c r="P39" s="89"/>
      <c r="Q39" s="133"/>
      <c r="R39" s="136"/>
    </row>
    <row r="40" ht="15.75" customHeight="1" s="91">
      <c r="A40" s="108"/>
      <c r="B40" s="134"/>
      <c r="C40" s="125"/>
      <c r="E40" s="89"/>
      <c r="F40" s="83"/>
      <c r="G40" s="119"/>
      <c r="H40" s="120"/>
      <c r="I40" s="121"/>
      <c r="K40" s="137"/>
      <c r="L40" s="124"/>
      <c r="M40" s="135"/>
      <c r="N40" s="89"/>
      <c r="O40" s="89"/>
      <c r="P40" s="89"/>
      <c r="Q40" s="131"/>
      <c r="R40" s="132"/>
    </row>
    <row r="41" ht="15.75" customHeight="1" s="91">
      <c r="A41" s="108"/>
      <c r="B41" s="134"/>
      <c r="C41" s="125"/>
      <c r="F41" s="83"/>
      <c r="G41" s="119"/>
      <c r="H41" s="120"/>
      <c r="I41" s="121"/>
      <c r="K41" s="90"/>
      <c r="L41" s="124"/>
      <c r="M41" s="135"/>
      <c r="N41" s="89"/>
      <c r="O41" s="89"/>
      <c r="P41" s="89"/>
    </row>
    <row r="42" ht="15.75" customHeight="1" s="91">
      <c r="A42" s="108"/>
      <c r="B42" s="86"/>
      <c r="C42" s="125"/>
      <c r="G42" s="119"/>
      <c r="H42" s="120"/>
      <c r="I42" s="121"/>
      <c r="J42" s="103"/>
      <c r="K42" s="90"/>
      <c r="L42" s="124"/>
      <c r="M42" s="135"/>
      <c r="N42" s="103"/>
      <c r="O42" s="103"/>
      <c r="P42" s="103"/>
      <c r="Q42" s="103"/>
      <c r="R42" s="103"/>
    </row>
    <row r="43" ht="15.75" customHeight="1" s="91">
      <c r="A43" s="108"/>
      <c r="B43" s="134"/>
      <c r="C43" s="108"/>
      <c r="F43" s="83"/>
      <c r="G43" s="119"/>
      <c r="H43" s="120"/>
      <c r="I43" s="121"/>
      <c r="J43" s="138"/>
      <c r="K43" s="90"/>
      <c r="L43" s="139"/>
      <c r="M43" s="135"/>
      <c r="N43" s="103"/>
      <c r="O43" s="103"/>
      <c r="P43" s="103"/>
      <c r="Q43" s="103"/>
      <c r="R43" s="103"/>
    </row>
    <row r="44" ht="30" customHeight="1" s="91">
      <c r="A44" s="108"/>
      <c r="B44" s="134"/>
      <c r="F44" s="83"/>
      <c r="G44" s="119"/>
      <c r="H44" s="120"/>
      <c r="I44" s="121"/>
      <c r="L44" s="140"/>
      <c r="M44" s="135"/>
    </row>
    <row r="45" ht="39" customHeight="1" s="91">
      <c r="G45" s="141"/>
      <c r="H45" s="142"/>
      <c r="I45" s="143"/>
      <c r="L45" s="140"/>
    </row>
    <row r="46" ht="22" customHeight="1" s="91">
      <c r="G46" s="144"/>
      <c r="H46" s="145" t="inlineStr">
        <is>
          <t xml:space="preserve">USD</t>
        </is>
      </c>
      <c r="I46" s="145">
        <f>SUM(I24:I45)</f>
        <v>0</v>
      </c>
      <c r="L46" s="146">
        <f>SUM(L24:L45)</f>
        <v>0</v>
      </c>
      <c r="N46" s="89"/>
    </row>
    <row r="47" hidden="1" ht="10.5" customHeight="1" s="91">
      <c r="I47" s="147"/>
      <c r="L47" s="140"/>
    </row>
    <row r="48" ht="27" customHeight="1" s="91">
      <c r="H48" s="89"/>
      <c r="I48" s="89"/>
    </row>
    <row r="49" ht="15.75" customHeight="1" s="91">
      <c r="H49" s="148"/>
      <c r="I49" s="101"/>
      <c r="L49" s="140"/>
    </row>
  </sheetData>
  <mergeCells count="6">
    <mergeCell ref="H10:I12"/>
    <mergeCell ref="H7:I7"/>
    <mergeCell ref="H15:I16"/>
    <mergeCell ref="H5:I6"/>
    <mergeCell ref="H8:I8"/>
    <mergeCell ref="G14:J14"/>
  </mergeCells>
  <printOptions horizontalCentered="0" verticalCentered="0" headings="0" gridLines="0" gridLinesSet="1"/>
  <pageMargins left="0.390277777777778" right="0.129861111111111" top="2.32013888888889" bottom="0.329861111111111" header="0.511811023622047" footer="0.170138888888889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5:R49"/>
  <sheetViews>
    <sheetView showFormulas="0" showGridLines="1" showRowColHeaders="1" showZeros="1" rightToLeft="0" tabSelected="0" showOutlineSymbols="1" defaultGridColor="1" view="normal" topLeftCell="A8" colorId="64" zoomScale="100" zoomScaleNormal="100" zoomScalePageLayoutView="100" workbookViewId="0">
      <pane xSplit="0" ySplit="10" topLeftCell="A22" activePane="bottomLeft" state="frozen"/>
      <selection pane="topLeft" activeCell="A8" activeCellId="0" sqref="A8"/>
      <selection pane="bottomLeft" activeCell="H41" activeCellId="0" sqref="H41:I43"/>
    </sheetView>
  </sheetViews>
  <sheetFormatPr baseColWidth="8" defaultColWidth="8.99609375" defaultRowHeight="15.75" customHeight="0" zeroHeight="0" outlineLevelRow="0"/>
  <cols>
    <col width="15.75" customWidth="1" style="82" min="1" max="1"/>
    <col width="14.24" customWidth="1" style="83" min="2" max="2"/>
    <col width="18.61" customWidth="1" style="84" min="3" max="3"/>
    <col width="5.62" customWidth="1" style="85" min="4" max="4"/>
    <col width="5.24" customWidth="1" style="86" min="5" max="5"/>
    <col width="4.5" customWidth="1" style="86" min="6" max="6"/>
    <col width="11.74" customWidth="1" style="87" min="7" max="7"/>
    <col width="4.62" customWidth="1" style="86" min="8" max="8"/>
    <col width="9.99" customWidth="1" style="88" min="9" max="9"/>
    <col width="2.62" customWidth="1" style="89" min="10" max="10"/>
    <col width="12.5" customWidth="1" style="90" min="11" max="11"/>
    <col width="12.62" customWidth="1" style="89" min="12" max="12"/>
    <col width="9.859999999999999" customWidth="1" style="89" min="13" max="13"/>
    <col width="9.369999999999999" customWidth="1" style="89" min="14" max="14"/>
    <col width="8.99" customWidth="1" style="89" min="15" max="15"/>
    <col width="10.49" customWidth="1" style="89" min="16" max="16"/>
    <col width="8.99" customWidth="1" style="89" min="17" max="18"/>
  </cols>
  <sheetData>
    <row r="3" ht="7.5" customHeight="1" s="91"/>
    <row r="4" ht="8.25" customHeight="1" s="91"/>
    <row r="5" ht="15.75" customHeight="1" s="91">
      <c r="H5" s="92" t="inlineStr">
        <is>
          <t xml:space="preserve"> 330783</t>
        </is>
      </c>
    </row>
    <row r="6" ht="15.75" customHeight="1" s="91">
      <c r="G6" s="93"/>
    </row>
    <row r="7" ht="24.75" customHeight="1" s="91">
      <c r="H7" s="94"/>
    </row>
    <row r="8" ht="19.5" customHeight="1" s="91">
      <c r="H8" s="95"/>
    </row>
    <row r="9" ht="11.25" customHeight="1" s="91">
      <c r="H9" s="96"/>
      <c r="I9" s="96"/>
    </row>
    <row r="10" ht="6.75" customHeight="1" s="91">
      <c r="H10" s="97"/>
    </row>
    <row r="11" ht="15.75" customHeight="1" s="91"/>
    <row r="12" ht="12.75" customHeight="1" s="91"/>
    <row r="13" hidden="1" ht="11.25" customHeight="1" s="91">
      <c r="A13"/>
    </row>
    <row r="14" ht="12" customHeight="1" s="91">
      <c r="G14" s="98"/>
    </row>
    <row r="15" ht="13.5" customHeight="1" s="91">
      <c r="A15" s="86"/>
      <c r="H15" s="99"/>
      <c r="J15" s="86"/>
      <c r="L15" s="86"/>
      <c r="M15" s="86"/>
      <c r="N15" s="86"/>
      <c r="O15" s="86"/>
      <c r="P15" s="86"/>
      <c r="Q15" s="86"/>
      <c r="R15" s="86"/>
    </row>
    <row r="16" ht="14.25" customHeight="1" s="91">
      <c r="A16" s="100"/>
      <c r="J16" s="86"/>
      <c r="L16" s="86"/>
      <c r="M16" s="86"/>
      <c r="N16" s="86"/>
      <c r="O16" s="86"/>
      <c r="P16" s="86"/>
      <c r="Q16" s="86"/>
      <c r="R16" s="86"/>
    </row>
    <row r="17" ht="15.75" customHeight="1" s="91">
      <c r="A17" s="89"/>
      <c r="P17" s="89"/>
    </row>
    <row r="18" ht="15.75" customHeight="1" s="91">
      <c r="I18" s="101"/>
    </row>
    <row r="19" ht="14.25" customHeight="1" s="91">
      <c r="I19" s="101"/>
    </row>
    <row r="20" ht="15" customHeight="1" s="91">
      <c r="G20" s="102"/>
      <c r="H20" s="103"/>
      <c r="I20" s="104"/>
      <c r="J20" s="103"/>
      <c r="L20" s="103"/>
      <c r="M20" s="103"/>
      <c r="N20" s="103"/>
      <c r="O20" s="103"/>
      <c r="P20" s="103"/>
      <c r="Q20" s="103"/>
      <c r="R20" s="103"/>
    </row>
    <row r="21" ht="18.75" customHeight="1" s="91">
      <c r="B21" s="105"/>
      <c r="C21" s="106"/>
      <c r="H21" s="83"/>
      <c r="I21" s="107"/>
    </row>
    <row r="22" ht="15.75" customHeight="1" s="91">
      <c r="A22" s="108"/>
      <c r="B22" s="109"/>
      <c r="C22" s="109"/>
      <c r="E22" s="110"/>
      <c r="F22" s="110"/>
      <c r="G22" s="110"/>
      <c r="I22" s="107"/>
      <c r="K22" s="111" t="inlineStr">
        <is>
          <t xml:space="preserve">原单价:</t>
        </is>
      </c>
      <c r="M22" s="112"/>
    </row>
    <row r="23" ht="15.75" customHeight="1" s="91">
      <c r="A23" s="84"/>
      <c r="B23" s="109"/>
      <c r="C23" s="113"/>
      <c r="F23" s="87"/>
      <c r="G23" s="86"/>
      <c r="H23" s="114"/>
      <c r="I23" s="107"/>
      <c r="M23" s="112"/>
    </row>
    <row r="24" ht="15" customHeight="1" s="91">
      <c r="A24" s="115"/>
      <c r="B24" s="109"/>
      <c r="C24" s="116"/>
      <c r="D24" s="117"/>
      <c r="E24" s="118" t="inlineStr">
        <is>
          <t xml:space="preserve">PCS</t>
        </is>
      </c>
      <c r="F24" s="118" t="inlineStr">
        <is>
          <t xml:space="preserve">USD</t>
        </is>
      </c>
      <c r="G24" s="119"/>
      <c r="H24" s="120" t="inlineStr">
        <is>
          <t xml:space="preserve">USD</t>
        </is>
      </c>
      <c r="I24" s="121"/>
      <c r="J24" s="122"/>
      <c r="K24" s="123"/>
      <c r="L24" s="124"/>
      <c r="M24" s="112"/>
    </row>
    <row r="25" ht="15" customHeight="1" s="91">
      <c r="A25" s="115"/>
      <c r="B25" s="109"/>
      <c r="C25" s="125"/>
      <c r="D25" s="117"/>
      <c r="E25" s="118"/>
      <c r="F25" s="118"/>
      <c r="G25" s="119"/>
      <c r="H25" s="120"/>
      <c r="I25" s="121"/>
      <c r="J25" s="122"/>
      <c r="K25" s="123"/>
      <c r="L25" s="124"/>
      <c r="M25" s="112"/>
    </row>
    <row r="26" ht="15.75" customHeight="1" s="91">
      <c r="A26" s="115"/>
      <c r="B26" s="109"/>
      <c r="C26" s="125"/>
      <c r="D26" s="117"/>
      <c r="E26" s="118"/>
      <c r="F26" s="118"/>
      <c r="G26" s="119"/>
      <c r="H26" s="120"/>
      <c r="I26" s="121"/>
      <c r="J26" s="122"/>
      <c r="K26" s="123"/>
      <c r="L26" s="124"/>
      <c r="M26" s="112"/>
    </row>
    <row r="27" ht="15.75" customHeight="1" s="91">
      <c r="A27" s="115"/>
      <c r="B27" s="126"/>
      <c r="C27" s="125"/>
      <c r="D27" s="117"/>
      <c r="E27" s="118"/>
      <c r="F27" s="118"/>
      <c r="G27" s="119"/>
      <c r="H27" s="120"/>
      <c r="I27" s="121"/>
      <c r="J27" s="122"/>
      <c r="K27" s="123"/>
      <c r="L27" s="124"/>
      <c r="M27" s="112"/>
    </row>
    <row r="28" ht="15.75" customHeight="1" s="91">
      <c r="A28" s="115"/>
      <c r="B28" s="126"/>
      <c r="C28" s="125"/>
      <c r="D28" s="117"/>
      <c r="E28" s="118"/>
      <c r="F28" s="118"/>
      <c r="G28" s="119"/>
      <c r="H28" s="120"/>
      <c r="I28" s="121"/>
      <c r="J28" s="122"/>
      <c r="K28" s="123"/>
      <c r="L28" s="124"/>
      <c r="M28" s="112"/>
    </row>
    <row r="29" ht="15.75" customHeight="1" s="91">
      <c r="A29" s="115"/>
      <c r="B29" s="126"/>
      <c r="C29" s="125"/>
      <c r="D29" s="117"/>
      <c r="E29" s="118"/>
      <c r="F29" s="118"/>
      <c r="G29" s="119"/>
      <c r="H29" s="120"/>
      <c r="I29" s="121"/>
      <c r="J29" s="122"/>
      <c r="K29" s="123"/>
      <c r="L29" s="124"/>
      <c r="M29" s="112"/>
      <c r="Q29" s="127"/>
    </row>
    <row r="30" ht="15.75" customHeight="1" s="91">
      <c r="A30" s="128"/>
      <c r="B30" s="126"/>
      <c r="C30" s="125"/>
      <c r="D30" s="117"/>
      <c r="E30" s="118"/>
      <c r="F30" s="118"/>
      <c r="G30" s="119"/>
      <c r="H30" s="120"/>
      <c r="I30" s="121"/>
      <c r="J30" s="122"/>
      <c r="K30" s="123"/>
      <c r="L30" s="124"/>
      <c r="M30" s="112"/>
      <c r="Q30" s="127"/>
    </row>
    <row r="31" ht="15.75" customHeight="1" s="91">
      <c r="A31" s="128"/>
      <c r="B31" s="85"/>
      <c r="C31" s="125"/>
      <c r="D31" s="117"/>
      <c r="E31" s="118"/>
      <c r="F31" s="118"/>
      <c r="G31" s="119"/>
      <c r="H31" s="120"/>
      <c r="I31" s="121"/>
      <c r="J31" s="122"/>
      <c r="K31" s="123"/>
      <c r="L31" s="124"/>
      <c r="Q31" s="129"/>
    </row>
    <row r="32" ht="15.75" customHeight="1" s="91">
      <c r="B32" s="128"/>
      <c r="C32" s="125"/>
      <c r="D32" s="117"/>
      <c r="E32" s="118"/>
      <c r="F32" s="118"/>
      <c r="G32" s="119"/>
      <c r="H32" s="120"/>
      <c r="I32" s="121"/>
      <c r="J32" s="122"/>
      <c r="K32" s="123"/>
      <c r="L32" s="124"/>
      <c r="M32" s="124"/>
      <c r="N32" s="89"/>
      <c r="O32" s="89"/>
      <c r="P32" s="89"/>
      <c r="Q32" s="108"/>
    </row>
    <row r="33" ht="13.5" customHeight="1" s="91">
      <c r="A33" s="128"/>
      <c r="B33" s="128"/>
      <c r="C33" s="125"/>
      <c r="D33" s="117"/>
      <c r="E33" s="118"/>
      <c r="F33" s="118"/>
      <c r="G33" s="119"/>
      <c r="H33" s="120"/>
      <c r="I33" s="121"/>
      <c r="J33" s="122"/>
      <c r="K33" s="123"/>
      <c r="L33" s="124"/>
      <c r="M33" s="89"/>
      <c r="N33" s="89"/>
      <c r="O33" s="89"/>
      <c r="P33" s="89"/>
    </row>
    <row r="34" ht="15" customHeight="1" s="91">
      <c r="A34" s="108"/>
      <c r="B34" s="108"/>
      <c r="C34" s="125"/>
      <c r="D34" s="117"/>
      <c r="E34" s="118"/>
      <c r="F34" s="118"/>
      <c r="G34" s="119"/>
      <c r="H34" s="120"/>
      <c r="I34" s="121"/>
      <c r="J34" s="122"/>
      <c r="K34" s="123"/>
      <c r="L34" s="124"/>
      <c r="M34" s="102"/>
      <c r="N34" s="86"/>
      <c r="O34" s="89"/>
      <c r="P34" s="89"/>
      <c r="Q34" s="86"/>
      <c r="R34" s="86"/>
    </row>
    <row r="35" ht="15" customHeight="1" s="91">
      <c r="A35" s="108"/>
      <c r="B35" s="108"/>
      <c r="C35" s="125"/>
      <c r="D35" s="117"/>
      <c r="E35" s="118"/>
      <c r="F35" s="118"/>
      <c r="G35" s="119"/>
      <c r="H35" s="120"/>
      <c r="I35" s="121"/>
      <c r="J35" s="122"/>
      <c r="K35" s="123"/>
      <c r="L35" s="124"/>
      <c r="M35" s="102"/>
      <c r="N35" s="86"/>
      <c r="O35" s="85"/>
      <c r="P35" s="82"/>
      <c r="Q35" s="130"/>
      <c r="R35" s="86"/>
    </row>
    <row r="36" ht="15.75" customHeight="1" s="91">
      <c r="A36" s="108"/>
      <c r="B36" s="108"/>
      <c r="C36" s="125"/>
      <c r="D36" s="117"/>
      <c r="E36" s="118"/>
      <c r="F36" s="118"/>
      <c r="G36" s="119"/>
      <c r="H36" s="120"/>
      <c r="I36" s="121"/>
      <c r="J36" s="122"/>
      <c r="K36" s="123"/>
      <c r="L36" s="124"/>
      <c r="M36" s="102"/>
      <c r="N36" s="86"/>
      <c r="O36" s="85"/>
      <c r="P36" s="82"/>
      <c r="Q36" s="131"/>
      <c r="R36" s="89"/>
    </row>
    <row r="37" ht="15.75" customHeight="1" s="91">
      <c r="A37" s="108"/>
      <c r="B37" s="108"/>
      <c r="C37" s="125"/>
      <c r="D37" s="117"/>
      <c r="E37" s="118"/>
      <c r="F37" s="118"/>
      <c r="G37" s="119"/>
      <c r="H37" s="120"/>
      <c r="I37" s="121"/>
      <c r="J37" s="122"/>
      <c r="K37" s="123"/>
      <c r="L37" s="124"/>
      <c r="M37" s="102"/>
      <c r="N37" s="86"/>
      <c r="O37" s="85"/>
      <c r="P37" s="82"/>
    </row>
    <row r="38" ht="15.75" customHeight="1" s="91">
      <c r="A38" s="108"/>
      <c r="B38" s="86"/>
      <c r="C38" s="125"/>
      <c r="D38" s="117"/>
      <c r="E38" s="118"/>
      <c r="F38" s="118"/>
      <c r="G38" s="119"/>
      <c r="H38" s="120"/>
      <c r="I38" s="121"/>
      <c r="J38" s="122"/>
      <c r="K38" s="123"/>
      <c r="L38" s="124"/>
      <c r="M38" s="102"/>
      <c r="N38" s="84"/>
      <c r="O38" s="85"/>
      <c r="P38" s="82"/>
      <c r="Q38" s="131"/>
      <c r="R38" s="132"/>
    </row>
    <row r="39" ht="15.75" customHeight="1" s="91">
      <c r="A39" s="108"/>
      <c r="B39" s="134"/>
      <c r="C39" s="125"/>
      <c r="D39" s="117"/>
      <c r="E39" s="118"/>
      <c r="F39" s="118"/>
      <c r="G39" s="119"/>
      <c r="H39" s="120"/>
      <c r="I39" s="121"/>
      <c r="J39" s="122"/>
      <c r="K39" s="123"/>
      <c r="L39" s="124"/>
      <c r="M39" s="135"/>
      <c r="N39" s="89"/>
      <c r="O39" s="89"/>
      <c r="P39" s="89"/>
      <c r="Q39" s="133"/>
      <c r="R39" s="136"/>
    </row>
    <row r="40" ht="15.75" customHeight="1" s="91">
      <c r="A40" s="108"/>
      <c r="B40" s="134"/>
      <c r="C40" s="125"/>
      <c r="E40" s="89"/>
      <c r="F40" s="83"/>
      <c r="G40" s="119"/>
      <c r="H40" s="120"/>
      <c r="I40" s="121"/>
      <c r="K40" s="137"/>
      <c r="L40" s="124"/>
      <c r="M40" s="135"/>
      <c r="N40" s="89"/>
      <c r="O40" s="89"/>
      <c r="P40" s="89"/>
      <c r="Q40" s="131"/>
      <c r="R40" s="132"/>
    </row>
    <row r="41" ht="15.75" customHeight="1" s="91">
      <c r="A41" s="108"/>
      <c r="B41" s="134"/>
      <c r="C41" s="125"/>
      <c r="F41" s="83"/>
      <c r="G41" s="119"/>
      <c r="H41" s="131" t="inlineStr">
        <is>
          <t xml:space="preserve">USD</t>
        </is>
      </c>
      <c r="I41" s="132">
        <f>SUM(I23:I40)</f>
        <v>0</v>
      </c>
      <c r="K41" s="90"/>
      <c r="L41" s="124"/>
      <c r="M41" s="135"/>
      <c r="N41" s="89"/>
      <c r="O41" s="89"/>
      <c r="P41" s="89"/>
    </row>
    <row r="42" ht="15.75" customHeight="1" s="91">
      <c r="A42" s="108"/>
      <c r="B42" s="86"/>
      <c r="C42" s="125"/>
      <c r="G42" s="119"/>
      <c r="H42" s="133"/>
      <c r="I42" s="136" t="inlineStr">
        <is>
          <t xml:space="preserve">Deposit 50%</t>
        </is>
      </c>
      <c r="J42" s="103"/>
      <c r="K42" s="90"/>
      <c r="L42" s="124"/>
      <c r="M42" s="135"/>
      <c r="N42" s="103"/>
      <c r="O42" s="103"/>
      <c r="P42" s="103"/>
      <c r="Q42" s="103"/>
      <c r="R42" s="103"/>
    </row>
    <row r="43" ht="15.75" customHeight="1" s="91">
      <c r="A43" s="108"/>
      <c r="B43" s="134"/>
      <c r="C43" s="108"/>
      <c r="F43" s="83"/>
      <c r="G43" s="119"/>
      <c r="H43" s="131" t="inlineStr">
        <is>
          <t xml:space="preserve">USD</t>
        </is>
      </c>
      <c r="I43" s="132">
        <f>I41*50%</f>
        <v>0</v>
      </c>
      <c r="J43" s="138"/>
      <c r="K43" s="90"/>
      <c r="L43" s="139"/>
      <c r="M43" s="135"/>
      <c r="N43" s="103"/>
      <c r="O43" s="103"/>
      <c r="P43" s="103"/>
      <c r="Q43" s="103"/>
      <c r="R43" s="103"/>
    </row>
    <row r="44" ht="30" customHeight="1" s="91">
      <c r="A44" s="108"/>
      <c r="B44" s="134"/>
      <c r="F44" s="83"/>
      <c r="G44" s="119"/>
      <c r="H44" s="120"/>
      <c r="I44" s="121"/>
      <c r="L44" s="140"/>
      <c r="M44" s="135"/>
    </row>
    <row r="45" ht="39" customHeight="1" s="91">
      <c r="G45" s="141"/>
      <c r="H45" s="142"/>
      <c r="I45" s="143"/>
      <c r="L45" s="140"/>
    </row>
    <row r="46" ht="22" customHeight="1" s="91">
      <c r="G46" s="144"/>
      <c r="H46" s="145" t="inlineStr">
        <is>
          <t xml:space="preserve">USD</t>
        </is>
      </c>
      <c r="I46" s="145">
        <f>I43</f>
        <v>0</v>
      </c>
      <c r="L46" s="146">
        <f>SUM(L24:L45)</f>
        <v>0</v>
      </c>
      <c r="N46" s="89"/>
    </row>
    <row r="47" hidden="1" ht="10.5" customHeight="1" s="91">
      <c r="I47" s="147"/>
      <c r="L47" s="140"/>
    </row>
    <row r="48" ht="27" customHeight="1" s="91">
      <c r="H48" s="89"/>
      <c r="I48" s="89"/>
    </row>
    <row r="49" ht="15.75" customHeight="1" s="91">
      <c r="H49" s="148"/>
      <c r="I49" s="101"/>
      <c r="L49" s="140"/>
    </row>
  </sheetData>
  <mergeCells count="6">
    <mergeCell ref="H10:I12"/>
    <mergeCell ref="H7:I7"/>
    <mergeCell ref="H15:I16"/>
    <mergeCell ref="H5:I6"/>
    <mergeCell ref="H8:I8"/>
    <mergeCell ref="G14:J14"/>
  </mergeCells>
  <printOptions horizontalCentered="0" verticalCentered="0" headings="0" gridLines="0" gridLinesSet="1"/>
  <pageMargins left="0.390277777777778" right="0.129861111111111" top="2.32013888888889" bottom="0.329861111111111" header="0.511811023622047" footer="0.170138888888889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5:R49"/>
  <sheetViews>
    <sheetView showFormulas="0" showGridLines="1" showRowColHeaders="1" showZeros="1" rightToLeft="0" tabSelected="0" showOutlineSymbols="1" defaultGridColor="1" view="normal" topLeftCell="A8" colorId="64" zoomScale="100" zoomScaleNormal="100" zoomScalePageLayoutView="100" workbookViewId="0">
      <pane xSplit="0" ySplit="10" topLeftCell="A20" activePane="bottomLeft" state="frozen"/>
      <selection pane="topLeft" activeCell="A8" activeCellId="0" sqref="A8"/>
      <selection pane="bottomLeft" activeCell="D24" activeCellId="0" sqref="D24:K24"/>
    </sheetView>
  </sheetViews>
  <sheetFormatPr baseColWidth="8" defaultColWidth="8.99609375" defaultRowHeight="15.75" customHeight="0" zeroHeight="0" outlineLevelRow="0"/>
  <cols>
    <col width="17.99" customWidth="1" style="82" min="1" max="1"/>
    <col width="10.75" customWidth="1" style="83" min="2" max="2"/>
    <col width="21.37" customWidth="1" style="84" min="3" max="3"/>
    <col width="6.62" customWidth="1" style="85" min="4" max="4"/>
    <col width="5.24" customWidth="1" style="86" min="5" max="5"/>
    <col width="4.5" customWidth="1" style="86" min="6" max="6"/>
    <col width="7.24" customWidth="1" style="87" min="7" max="7"/>
    <col width="4.5" customWidth="1" style="86" min="8" max="8"/>
    <col width="8.74" customWidth="1" style="88" min="9" max="9"/>
    <col width="2.62" customWidth="1" style="89" min="10" max="10"/>
    <col width="12.5" customWidth="1" style="90" min="11" max="11"/>
    <col width="12.62" customWidth="1" style="89" min="12" max="12"/>
    <col width="9.859999999999999" customWidth="1" style="89" min="13" max="13"/>
    <col width="9.369999999999999" customWidth="1" style="89" min="14" max="14"/>
    <col width="8.99" customWidth="1" style="89" min="15" max="15"/>
    <col width="10.49" customWidth="1" style="89" min="16" max="16"/>
    <col width="8.99" customWidth="1" style="89" min="17" max="18"/>
  </cols>
  <sheetData>
    <row r="3" ht="7.5" customHeight="1" s="91"/>
    <row r="4" ht="8.25" customHeight="1" s="91"/>
    <row r="5" ht="15.75" customHeight="1" s="91">
      <c r="H5" s="92" t="inlineStr">
        <is>
          <t xml:space="preserve"> 330783</t>
        </is>
      </c>
    </row>
    <row r="6" ht="15.75" customHeight="1" s="91">
      <c r="G6" s="93"/>
    </row>
    <row r="7" ht="24.75" customHeight="1" s="91">
      <c r="H7" s="94"/>
    </row>
    <row r="8" ht="19.5" customHeight="1" s="91">
      <c r="H8" s="95"/>
    </row>
    <row r="9" ht="11.25" customHeight="1" s="91">
      <c r="H9" s="96"/>
      <c r="I9" s="96"/>
    </row>
    <row r="10" ht="6.75" customHeight="1" s="91">
      <c r="H10" s="97"/>
    </row>
    <row r="11" ht="15.75" customHeight="1" s="91"/>
    <row r="12" ht="12.75" customHeight="1" s="91"/>
    <row r="13" hidden="1" ht="11.25" customHeight="1" s="91">
      <c r="A13"/>
    </row>
    <row r="14" ht="12" customHeight="1" s="91">
      <c r="G14" s="98"/>
    </row>
    <row r="15" ht="13.5" customHeight="1" s="91">
      <c r="A15" s="86"/>
      <c r="H15" s="99"/>
      <c r="J15" s="86"/>
      <c r="L15" s="86"/>
      <c r="M15" s="86"/>
      <c r="N15" s="86"/>
      <c r="O15" s="86"/>
      <c r="P15" s="86"/>
      <c r="Q15" s="86"/>
      <c r="R15" s="86"/>
    </row>
    <row r="16" ht="14.25" customHeight="1" s="91">
      <c r="A16" s="100"/>
      <c r="J16" s="86"/>
      <c r="L16" s="86"/>
      <c r="M16" s="86"/>
      <c r="N16" s="86"/>
      <c r="O16" s="86"/>
      <c r="P16" s="86"/>
      <c r="Q16" s="86"/>
      <c r="R16" s="86"/>
    </row>
    <row r="17" ht="15.75" customHeight="1" s="91">
      <c r="A17" s="89"/>
      <c r="P17" s="89"/>
    </row>
    <row r="18" ht="15.75" customHeight="1" s="91">
      <c r="I18" s="101"/>
    </row>
    <row r="19" ht="14.25" customHeight="1" s="91">
      <c r="I19" s="101"/>
    </row>
    <row r="20" ht="15" customHeight="1" s="91">
      <c r="G20" s="102"/>
      <c r="H20" s="103"/>
      <c r="I20" s="104"/>
      <c r="J20" s="103"/>
      <c r="L20" s="103"/>
      <c r="M20" s="103"/>
      <c r="N20" s="103"/>
      <c r="O20" s="103"/>
      <c r="P20" s="103"/>
      <c r="Q20" s="103"/>
      <c r="R20" s="103"/>
    </row>
    <row r="21" ht="18.75" customHeight="1" s="91">
      <c r="B21" s="105"/>
      <c r="C21" s="106"/>
      <c r="H21" s="83"/>
      <c r="I21" s="107"/>
    </row>
    <row r="22" ht="15.75" customHeight="1" s="91">
      <c r="A22" s="108"/>
      <c r="B22" s="109"/>
      <c r="C22" s="109"/>
      <c r="E22" s="110"/>
      <c r="F22" s="110"/>
      <c r="G22" s="110"/>
      <c r="I22" s="107"/>
      <c r="K22" s="111" t="inlineStr">
        <is>
          <t xml:space="preserve">原单价:</t>
        </is>
      </c>
      <c r="M22" s="112"/>
    </row>
    <row r="23" ht="15.75" customHeight="1" s="91">
      <c r="A23" s="84"/>
      <c r="B23" s="109"/>
      <c r="C23" s="113"/>
      <c r="F23" s="87"/>
      <c r="G23" s="86"/>
      <c r="H23" s="114"/>
      <c r="I23" s="107"/>
      <c r="M23" s="112"/>
    </row>
    <row r="24" ht="15" customHeight="1" s="91">
      <c r="A24" s="115"/>
      <c r="B24" s="109"/>
      <c r="C24" s="116"/>
      <c r="D24" s="117"/>
      <c r="E24" s="118" t="inlineStr">
        <is>
          <t xml:space="preserve">PCS</t>
        </is>
      </c>
      <c r="F24" s="118" t="inlineStr">
        <is>
          <t xml:space="preserve">USD</t>
        </is>
      </c>
      <c r="G24" s="118"/>
      <c r="H24" s="120" t="inlineStr">
        <is>
          <t xml:space="preserve">USD</t>
        </is>
      </c>
      <c r="I24" s="121"/>
      <c r="J24" s="122"/>
      <c r="K24" s="149"/>
      <c r="L24" s="124"/>
      <c r="M24" s="112"/>
    </row>
    <row r="25" ht="15" customHeight="1" s="91">
      <c r="A25" s="115"/>
      <c r="B25" s="109"/>
      <c r="C25" s="125"/>
      <c r="D25" s="117"/>
      <c r="E25" s="118"/>
      <c r="F25" s="87"/>
      <c r="G25" s="86"/>
      <c r="H25" s="120"/>
      <c r="I25" s="121"/>
      <c r="J25" s="122"/>
      <c r="K25" s="149"/>
      <c r="L25" s="124"/>
      <c r="M25" s="112"/>
    </row>
    <row r="26" ht="15.75" customHeight="1" s="91">
      <c r="A26" s="115"/>
      <c r="B26" s="109"/>
      <c r="C26" s="125"/>
      <c r="D26" s="117"/>
      <c r="E26" s="118"/>
      <c r="F26" s="87"/>
      <c r="G26" s="86"/>
      <c r="H26" s="120"/>
      <c r="I26" s="121"/>
      <c r="J26" s="122"/>
      <c r="K26" s="149"/>
      <c r="L26" s="124"/>
      <c r="M26" s="112"/>
    </row>
    <row r="27" ht="15.75" customHeight="1" s="91">
      <c r="A27" s="115"/>
      <c r="B27" s="126"/>
      <c r="C27" s="125"/>
      <c r="D27" s="117"/>
      <c r="E27" s="118"/>
      <c r="F27" s="87"/>
      <c r="G27" s="86"/>
      <c r="H27" s="120"/>
      <c r="I27" s="121"/>
      <c r="J27" s="122"/>
      <c r="K27" s="149"/>
      <c r="L27" s="124"/>
      <c r="M27" s="112"/>
    </row>
    <row r="28" ht="15.75" customHeight="1" s="91">
      <c r="A28" s="115"/>
      <c r="B28" s="126"/>
      <c r="C28" s="125"/>
      <c r="D28" s="117"/>
      <c r="E28" s="118"/>
      <c r="F28" s="87"/>
      <c r="G28" s="86"/>
      <c r="H28" s="120"/>
      <c r="I28" s="121"/>
      <c r="J28" s="122"/>
      <c r="K28" s="149"/>
      <c r="L28" s="124"/>
      <c r="M28" s="112"/>
    </row>
    <row r="29" ht="15.75" customHeight="1" s="91">
      <c r="A29" s="115"/>
      <c r="B29" s="126"/>
      <c r="C29" s="125"/>
      <c r="D29" s="117"/>
      <c r="E29" s="118"/>
      <c r="F29" s="87"/>
      <c r="G29" s="86"/>
      <c r="H29" s="120"/>
      <c r="I29" s="121"/>
      <c r="J29" s="122"/>
      <c r="K29" s="149"/>
      <c r="L29" s="124"/>
      <c r="M29" s="112"/>
      <c r="Q29" s="127"/>
    </row>
    <row r="30" ht="15.75" customHeight="1" s="91">
      <c r="A30" s="128"/>
      <c r="B30" s="126"/>
      <c r="C30" s="125"/>
      <c r="D30" s="117"/>
      <c r="E30" s="118"/>
      <c r="F30" s="87"/>
      <c r="G30" s="86"/>
      <c r="H30" s="120"/>
      <c r="I30" s="121"/>
      <c r="J30" s="122"/>
      <c r="K30" s="150"/>
      <c r="L30" s="124"/>
      <c r="M30" s="112"/>
      <c r="Q30" s="127"/>
    </row>
    <row r="31" ht="15.75" customHeight="1" s="91">
      <c r="A31" s="128"/>
      <c r="B31" s="85"/>
      <c r="C31" s="125"/>
      <c r="D31" s="117"/>
      <c r="E31" s="118"/>
      <c r="F31" s="87"/>
      <c r="G31" s="86"/>
      <c r="H31" s="120"/>
      <c r="I31" s="121"/>
      <c r="J31" s="122"/>
      <c r="K31" s="123"/>
      <c r="L31" s="124"/>
      <c r="Q31" s="129"/>
    </row>
    <row r="32" ht="15.75" customHeight="1" s="91">
      <c r="B32" s="128"/>
      <c r="C32" s="125"/>
      <c r="D32" s="117"/>
      <c r="E32" s="118"/>
      <c r="F32" s="118"/>
      <c r="G32" s="119"/>
      <c r="H32" s="120"/>
      <c r="I32" s="121"/>
      <c r="J32" s="122"/>
      <c r="K32" s="123"/>
      <c r="L32" s="124"/>
      <c r="M32" s="124"/>
      <c r="N32" s="89"/>
      <c r="O32" s="89"/>
      <c r="P32" s="89"/>
      <c r="Q32" s="108"/>
    </row>
    <row r="33" ht="13.5" customHeight="1" s="91">
      <c r="A33" s="128"/>
      <c r="B33" s="128"/>
      <c r="C33" s="125"/>
      <c r="D33" s="117"/>
      <c r="E33" s="118"/>
      <c r="F33" s="118"/>
      <c r="G33" s="119"/>
      <c r="H33" s="120"/>
      <c r="I33" s="121"/>
      <c r="J33" s="122"/>
      <c r="K33" s="123"/>
      <c r="L33" s="124"/>
      <c r="M33" s="89"/>
      <c r="N33" s="89"/>
      <c r="O33" s="89"/>
      <c r="P33" s="89"/>
    </row>
    <row r="34" ht="15" customHeight="1" s="91">
      <c r="A34" s="108"/>
      <c r="B34" s="108"/>
      <c r="C34" s="125"/>
      <c r="D34" s="117"/>
      <c r="E34" s="118"/>
      <c r="F34" s="118"/>
      <c r="G34" s="119"/>
      <c r="H34" s="120"/>
      <c r="I34" s="121"/>
      <c r="J34" s="122"/>
      <c r="K34" s="123"/>
      <c r="L34" s="124"/>
      <c r="M34" s="102"/>
      <c r="N34" s="86"/>
      <c r="O34" s="89"/>
      <c r="P34" s="89"/>
      <c r="Q34" s="86"/>
      <c r="R34" s="86"/>
    </row>
    <row r="35" ht="15" customHeight="1" s="91">
      <c r="A35" s="108"/>
      <c r="B35" s="108"/>
      <c r="C35" s="125"/>
      <c r="D35" s="117"/>
      <c r="E35" s="118"/>
      <c r="F35" s="118"/>
      <c r="G35" s="119"/>
      <c r="H35" s="120"/>
      <c r="I35" s="121"/>
      <c r="J35" s="122"/>
      <c r="K35" s="123"/>
      <c r="L35" s="124"/>
      <c r="M35" s="102"/>
      <c r="N35" s="86"/>
      <c r="O35" s="85"/>
      <c r="P35" s="82"/>
      <c r="Q35" s="130"/>
      <c r="R35" s="86"/>
    </row>
    <row r="36" ht="15.75" customHeight="1" s="91">
      <c r="A36" s="108"/>
      <c r="B36" s="108"/>
      <c r="C36" s="125"/>
      <c r="D36" s="117"/>
      <c r="E36" s="118"/>
      <c r="F36" s="118"/>
      <c r="G36" s="119"/>
      <c r="H36" s="120"/>
      <c r="I36" s="121"/>
      <c r="J36" s="122"/>
      <c r="K36" s="123"/>
      <c r="L36" s="124"/>
      <c r="M36" s="102"/>
      <c r="N36" s="86"/>
      <c r="O36" s="85"/>
      <c r="P36" s="82"/>
      <c r="Q36" s="131"/>
      <c r="R36" s="89"/>
    </row>
    <row r="37" ht="15.75" customHeight="1" s="91">
      <c r="A37" s="108"/>
      <c r="B37" s="108"/>
      <c r="C37" s="125"/>
      <c r="D37" s="117"/>
      <c r="E37" s="118"/>
      <c r="F37" s="118"/>
      <c r="G37" s="119"/>
      <c r="H37" s="120"/>
      <c r="I37" s="121"/>
      <c r="J37" s="122"/>
      <c r="K37" s="123"/>
      <c r="L37" s="124"/>
      <c r="M37" s="102"/>
      <c r="N37" s="86"/>
      <c r="O37" s="85"/>
      <c r="P37" s="82"/>
    </row>
    <row r="38" ht="15.75" customHeight="1" s="91">
      <c r="A38" s="108"/>
      <c r="B38" s="86"/>
      <c r="C38" s="125"/>
      <c r="D38" s="117"/>
      <c r="E38" s="118"/>
      <c r="F38" s="118"/>
      <c r="G38" s="119"/>
      <c r="H38" s="120"/>
      <c r="I38" s="121"/>
      <c r="J38" s="122"/>
      <c r="K38" s="123"/>
      <c r="L38" s="124"/>
      <c r="M38" s="102"/>
      <c r="N38" s="84"/>
      <c r="O38" s="85"/>
      <c r="P38" s="82"/>
      <c r="Q38" s="131"/>
      <c r="R38" s="132"/>
    </row>
    <row r="39" ht="15.75" customHeight="1" s="91">
      <c r="A39" s="108"/>
      <c r="B39" s="134"/>
      <c r="C39" s="125"/>
      <c r="D39" s="117"/>
      <c r="E39" s="118"/>
      <c r="F39" s="118"/>
      <c r="G39" s="119"/>
      <c r="H39" s="120"/>
      <c r="I39" s="121"/>
      <c r="J39" s="122"/>
      <c r="K39" s="123"/>
      <c r="L39" s="124"/>
      <c r="M39" s="135"/>
      <c r="N39" s="89"/>
      <c r="O39" s="89"/>
      <c r="P39" s="89"/>
      <c r="Q39" s="133"/>
      <c r="R39" s="136"/>
    </row>
    <row r="40" ht="15.75" customHeight="1" s="91">
      <c r="A40" s="108"/>
      <c r="B40" s="134"/>
      <c r="C40" s="125"/>
      <c r="E40" s="89"/>
      <c r="F40" s="83"/>
      <c r="G40" s="119"/>
      <c r="H40" s="120"/>
      <c r="I40" s="121"/>
      <c r="K40" s="137"/>
      <c r="L40" s="124"/>
      <c r="M40" s="135"/>
      <c r="N40" s="89"/>
      <c r="O40" s="89"/>
      <c r="P40" s="89"/>
      <c r="Q40" s="131"/>
      <c r="R40" s="132"/>
    </row>
    <row r="41" ht="15.75" customHeight="1" s="91">
      <c r="A41" s="108"/>
      <c r="B41" s="134"/>
      <c r="C41" s="125"/>
      <c r="F41" s="83"/>
      <c r="G41" s="119"/>
      <c r="H41" s="131" t="inlineStr">
        <is>
          <t xml:space="preserve">USD</t>
        </is>
      </c>
      <c r="I41" s="132">
        <f>SUM(I23:I40)</f>
        <v>0</v>
      </c>
      <c r="K41" s="90"/>
      <c r="L41" s="124"/>
      <c r="M41" s="135"/>
      <c r="N41" s="89"/>
      <c r="O41" s="89"/>
      <c r="P41" s="89"/>
    </row>
    <row r="42" ht="15.75" customHeight="1" s="91">
      <c r="A42" s="108"/>
      <c r="B42" s="86"/>
      <c r="C42" s="125"/>
      <c r="G42" s="119"/>
      <c r="H42" s="133"/>
      <c r="I42" s="136" t="inlineStr">
        <is>
          <t xml:space="preserve">Balance 70%</t>
        </is>
      </c>
      <c r="J42" s="103"/>
      <c r="K42" s="90"/>
      <c r="L42" s="124"/>
      <c r="M42" s="135"/>
      <c r="N42" s="103"/>
      <c r="O42" s="103"/>
      <c r="P42" s="103"/>
      <c r="Q42" s="103"/>
      <c r="R42" s="103"/>
    </row>
    <row r="43" ht="15.75" customHeight="1" s="91">
      <c r="A43" s="108"/>
      <c r="B43" s="134"/>
      <c r="C43" s="108"/>
      <c r="F43" s="83"/>
      <c r="G43" s="119"/>
      <c r="H43" s="131" t="inlineStr">
        <is>
          <t xml:space="preserve">USD</t>
        </is>
      </c>
      <c r="I43" s="132">
        <f>I41*0.7</f>
        <v>0</v>
      </c>
      <c r="J43" s="138"/>
      <c r="K43" s="90"/>
      <c r="L43" s="139"/>
      <c r="M43" s="135"/>
      <c r="N43" s="103"/>
      <c r="O43" s="103"/>
      <c r="P43" s="103"/>
      <c r="Q43" s="103"/>
      <c r="R43" s="103"/>
    </row>
    <row r="44" ht="30" customHeight="1" s="91">
      <c r="A44" s="108"/>
      <c r="B44" s="134"/>
      <c r="F44" s="83"/>
      <c r="G44" s="119"/>
      <c r="H44" s="89"/>
      <c r="I44" s="132"/>
      <c r="L44" s="140"/>
      <c r="M44" s="135"/>
    </row>
    <row r="45" ht="39" customHeight="1" s="91">
      <c r="G45" s="141"/>
      <c r="H45" s="142"/>
      <c r="I45" s="143"/>
      <c r="L45" s="140"/>
    </row>
    <row r="46" ht="22" customHeight="1" s="91">
      <c r="G46" s="144"/>
      <c r="H46" s="145" t="inlineStr">
        <is>
          <t xml:space="preserve">USD</t>
        </is>
      </c>
      <c r="I46" s="145">
        <f>I43</f>
        <v>0</v>
      </c>
      <c r="L46" s="146">
        <f>SUM(L24:L45)</f>
        <v>0</v>
      </c>
      <c r="N46" s="89"/>
    </row>
    <row r="47" hidden="1" ht="10.5" customHeight="1" s="91">
      <c r="I47" s="147"/>
      <c r="L47" s="140"/>
    </row>
    <row r="48" ht="27" customHeight="1" s="91">
      <c r="H48" s="89"/>
      <c r="I48" s="89"/>
    </row>
    <row r="49" ht="15.75" customHeight="1" s="91">
      <c r="H49" s="148"/>
      <c r="I49" s="101"/>
      <c r="L49" s="140"/>
    </row>
  </sheetData>
  <mergeCells count="6">
    <mergeCell ref="H10:I12"/>
    <mergeCell ref="H7:I7"/>
    <mergeCell ref="H15:I16"/>
    <mergeCell ref="H5:I6"/>
    <mergeCell ref="H8:I8"/>
    <mergeCell ref="G14:J14"/>
  </mergeCells>
  <printOptions horizontalCentered="0" verticalCentered="0" headings="0" gridLines="0" gridLinesSet="1"/>
  <pageMargins left="0.390277777777778" right="0.129861111111111" top="2.32013888888889" bottom="0.329861111111111" header="0.511811023622047" footer="0.170138888888889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5:R49"/>
  <sheetViews>
    <sheetView showFormulas="0" showGridLines="1" showRowColHeaders="1" showZeros="1" rightToLeft="0" tabSelected="0" showOutlineSymbols="1" defaultGridColor="1" view="normal" topLeftCell="A8" colorId="64" zoomScale="100" zoomScaleNormal="100" zoomScalePageLayoutView="100" workbookViewId="0">
      <pane xSplit="0" ySplit="10" topLeftCell="A21" activePane="bottomLeft" state="frozen"/>
      <selection pane="topLeft" activeCell="A8" activeCellId="0" sqref="A8"/>
      <selection pane="bottomLeft" activeCell="J44" activeCellId="0" sqref="J44"/>
    </sheetView>
  </sheetViews>
  <sheetFormatPr baseColWidth="8" defaultColWidth="8.99609375" defaultRowHeight="15.75" customHeight="0" zeroHeight="0" outlineLevelRow="0"/>
  <cols>
    <col width="17.99" customWidth="1" style="82" min="1" max="1"/>
    <col width="10.75" customWidth="1" style="83" min="2" max="2"/>
    <col width="21.37" customWidth="1" style="84" min="3" max="3"/>
    <col width="6.62" customWidth="1" style="85" min="4" max="4"/>
    <col width="5.24" customWidth="1" style="86" min="5" max="5"/>
    <col width="4.5" customWidth="1" style="86" min="6" max="6"/>
    <col width="7.24" customWidth="1" style="87" min="7" max="7"/>
    <col width="4.5" customWidth="1" style="86" min="8" max="8"/>
    <col width="8.74" customWidth="1" style="88" min="9" max="9"/>
    <col width="2.62" customWidth="1" style="89" min="10" max="10"/>
    <col width="12.5" customWidth="1" style="90" min="11" max="11"/>
    <col width="12.62" customWidth="1" style="89" min="12" max="12"/>
    <col width="9.859999999999999" customWidth="1" style="89" min="13" max="13"/>
    <col width="9.369999999999999" customWidth="1" style="89" min="14" max="14"/>
    <col width="8.99" customWidth="1" style="89" min="15" max="15"/>
    <col width="10.49" customWidth="1" style="89" min="16" max="16"/>
    <col width="8.99" customWidth="1" style="89" min="17" max="18"/>
  </cols>
  <sheetData>
    <row r="3" ht="7.5" customHeight="1" s="91"/>
    <row r="4" ht="8.25" customHeight="1" s="91"/>
    <row r="5" ht="15.75" customHeight="1" s="91">
      <c r="H5" s="92" t="inlineStr">
        <is>
          <t xml:space="preserve"> 330783</t>
        </is>
      </c>
    </row>
    <row r="6" ht="15.75" customHeight="1" s="91">
      <c r="G6" s="93"/>
    </row>
    <row r="7" ht="24.75" customHeight="1" s="91">
      <c r="H7" s="94"/>
    </row>
    <row r="8" ht="19.5" customHeight="1" s="91">
      <c r="H8" s="95"/>
    </row>
    <row r="9" ht="11.25" customHeight="1" s="91">
      <c r="H9" s="96"/>
      <c r="I9" s="96"/>
    </row>
    <row r="10" ht="6.75" customHeight="1" s="91">
      <c r="H10" s="97"/>
    </row>
    <row r="11" ht="15.75" customHeight="1" s="91"/>
    <row r="12" ht="12.75" customHeight="1" s="91"/>
    <row r="13" hidden="1" ht="11.25" customHeight="1" s="91">
      <c r="A13"/>
    </row>
    <row r="14" ht="12" customHeight="1" s="91">
      <c r="G14" s="98"/>
    </row>
    <row r="15" ht="13.5" customHeight="1" s="91">
      <c r="A15" s="86"/>
      <c r="H15" s="99"/>
      <c r="J15" s="86"/>
      <c r="L15" s="86"/>
      <c r="M15" s="86"/>
      <c r="N15" s="86"/>
      <c r="O15" s="86"/>
      <c r="P15" s="86"/>
      <c r="Q15" s="86"/>
      <c r="R15" s="86"/>
    </row>
    <row r="16" ht="14.25" customHeight="1" s="91">
      <c r="A16" s="100"/>
      <c r="J16" s="86"/>
      <c r="L16" s="86"/>
      <c r="M16" s="86"/>
      <c r="N16" s="86"/>
      <c r="O16" s="86"/>
      <c r="P16" s="86"/>
      <c r="Q16" s="86"/>
      <c r="R16" s="86"/>
    </row>
    <row r="17" ht="15.75" customHeight="1" s="91">
      <c r="A17" s="89"/>
      <c r="P17" s="89"/>
    </row>
    <row r="18" ht="15.75" customHeight="1" s="91">
      <c r="I18" s="101"/>
    </row>
    <row r="19" ht="14.25" customHeight="1" s="91">
      <c r="I19" s="101"/>
    </row>
    <row r="20" ht="15" customHeight="1" s="91">
      <c r="G20" s="102"/>
      <c r="H20" s="103"/>
      <c r="I20" s="104"/>
      <c r="J20" s="103"/>
      <c r="L20" s="103"/>
      <c r="M20" s="103"/>
      <c r="N20" s="103"/>
      <c r="O20" s="103"/>
      <c r="P20" s="103"/>
      <c r="Q20" s="103"/>
      <c r="R20" s="103"/>
    </row>
    <row r="21" ht="18.75" customHeight="1" s="91">
      <c r="B21" s="105"/>
      <c r="C21" s="106"/>
      <c r="H21" s="83"/>
      <c r="I21" s="107"/>
    </row>
    <row r="22" ht="15.75" customHeight="1" s="91">
      <c r="A22" s="108"/>
      <c r="B22" s="109"/>
      <c r="C22" s="109"/>
      <c r="E22" s="110"/>
      <c r="F22" s="110"/>
      <c r="G22" s="110"/>
      <c r="I22" s="107"/>
      <c r="K22" s="111" t="inlineStr">
        <is>
          <t xml:space="preserve">原单价:</t>
        </is>
      </c>
      <c r="M22" s="112"/>
    </row>
    <row r="23" ht="15.75" customHeight="1" s="91">
      <c r="A23" s="84"/>
      <c r="B23" s="109"/>
      <c r="C23" s="113"/>
      <c r="F23" s="87"/>
      <c r="G23" s="86"/>
      <c r="H23" s="114"/>
      <c r="I23" s="107"/>
      <c r="M23" s="112"/>
    </row>
    <row r="24" ht="15" customHeight="1" s="91">
      <c r="A24" s="115"/>
      <c r="B24" s="109"/>
      <c r="C24" s="151"/>
      <c r="D24" s="117"/>
      <c r="E24" s="118"/>
      <c r="F24" s="118"/>
      <c r="G24" s="118"/>
      <c r="H24" s="120" t="inlineStr">
        <is>
          <t xml:space="preserve">USD</t>
        </is>
      </c>
      <c r="I24" s="121"/>
      <c r="J24" s="122"/>
      <c r="K24" s="149"/>
      <c r="L24" s="124"/>
      <c r="M24" s="112"/>
    </row>
    <row r="25" ht="15" customHeight="1" s="91">
      <c r="A25" s="115"/>
      <c r="B25" s="109"/>
      <c r="C25" s="125"/>
      <c r="D25" s="117"/>
      <c r="E25" s="118"/>
      <c r="F25" s="87"/>
      <c r="G25" s="86"/>
      <c r="H25" s="120"/>
      <c r="I25" s="121"/>
      <c r="J25" s="122"/>
      <c r="K25" s="149"/>
      <c r="L25" s="124"/>
      <c r="M25" s="112"/>
    </row>
    <row r="26" ht="15.75" customHeight="1" s="91">
      <c r="A26" s="115"/>
      <c r="B26" s="109"/>
      <c r="C26" s="125"/>
      <c r="D26" s="117"/>
      <c r="E26" s="118"/>
      <c r="F26" s="87"/>
      <c r="G26" s="86"/>
      <c r="H26" s="120"/>
      <c r="I26" s="121"/>
      <c r="J26" s="122"/>
      <c r="K26" s="149"/>
      <c r="L26" s="124"/>
      <c r="M26" s="112"/>
    </row>
    <row r="27" ht="15.75" customHeight="1" s="91">
      <c r="A27" s="115"/>
      <c r="B27" s="126"/>
      <c r="C27" s="125"/>
      <c r="D27" s="117"/>
      <c r="E27" s="118"/>
      <c r="F27" s="87"/>
      <c r="G27" s="86"/>
      <c r="H27" s="120"/>
      <c r="I27" s="121"/>
      <c r="J27" s="122"/>
      <c r="K27" s="149"/>
      <c r="L27" s="124"/>
      <c r="M27" s="112"/>
    </row>
    <row r="28" ht="15.75" customHeight="1" s="91">
      <c r="A28" s="115"/>
      <c r="B28" s="126"/>
      <c r="C28" s="125"/>
      <c r="D28" s="117"/>
      <c r="E28" s="118"/>
      <c r="F28" s="87"/>
      <c r="G28" s="86"/>
      <c r="H28" s="120"/>
      <c r="I28" s="121"/>
      <c r="J28" s="122"/>
      <c r="K28" s="149"/>
      <c r="L28" s="124"/>
      <c r="M28" s="112"/>
    </row>
    <row r="29" ht="15.75" customHeight="1" s="91">
      <c r="A29" s="115"/>
      <c r="B29" s="126"/>
      <c r="C29" s="125"/>
      <c r="D29" s="117"/>
      <c r="E29" s="118"/>
      <c r="F29" s="87"/>
      <c r="G29" s="86"/>
      <c r="H29" s="120"/>
      <c r="I29" s="121"/>
      <c r="J29" s="122"/>
      <c r="K29" s="149"/>
      <c r="L29" s="124"/>
      <c r="M29" s="112"/>
      <c r="Q29" s="127"/>
    </row>
    <row r="30" ht="15.75" customHeight="1" s="91">
      <c r="A30" s="128"/>
      <c r="B30" s="126"/>
      <c r="C30" s="125"/>
      <c r="D30" s="117"/>
      <c r="E30" s="118"/>
      <c r="F30" s="87"/>
      <c r="G30" s="86"/>
      <c r="H30" s="120"/>
      <c r="I30" s="121"/>
      <c r="J30" s="122"/>
      <c r="K30" s="150"/>
      <c r="L30" s="124"/>
      <c r="M30" s="112"/>
      <c r="Q30" s="127"/>
    </row>
    <row r="31" ht="15.75" customHeight="1" s="91">
      <c r="A31" s="128"/>
      <c r="B31" s="85"/>
      <c r="C31" s="125"/>
      <c r="D31" s="117"/>
      <c r="E31" s="118"/>
      <c r="F31" s="87"/>
      <c r="G31" s="86"/>
      <c r="H31" s="120"/>
      <c r="I31" s="121"/>
      <c r="J31" s="122"/>
      <c r="K31" s="123"/>
      <c r="L31" s="124"/>
      <c r="Q31" s="129"/>
    </row>
    <row r="32" ht="15.75" customHeight="1" s="91">
      <c r="B32" s="128"/>
      <c r="C32" s="125"/>
      <c r="D32" s="117"/>
      <c r="E32" s="118"/>
      <c r="F32" s="118"/>
      <c r="G32" s="119"/>
      <c r="H32" s="120"/>
      <c r="I32" s="121"/>
      <c r="J32" s="122"/>
      <c r="K32" s="123"/>
      <c r="L32" s="124"/>
      <c r="M32" s="124"/>
      <c r="N32" s="89"/>
      <c r="O32" s="89"/>
      <c r="P32" s="89"/>
      <c r="Q32" s="108"/>
    </row>
    <row r="33" ht="13.5" customHeight="1" s="91">
      <c r="A33" s="128"/>
      <c r="B33" s="128"/>
      <c r="C33" s="125"/>
      <c r="D33" s="117"/>
      <c r="E33" s="118"/>
      <c r="F33" s="118"/>
      <c r="G33" s="119"/>
      <c r="H33" s="120"/>
      <c r="I33" s="121"/>
      <c r="J33" s="122"/>
      <c r="K33" s="123"/>
      <c r="L33" s="124"/>
      <c r="M33" s="89"/>
      <c r="N33" s="89"/>
      <c r="O33" s="89"/>
      <c r="P33" s="89"/>
    </row>
    <row r="34" ht="15" customHeight="1" s="91">
      <c r="A34" s="108"/>
      <c r="B34" s="108"/>
      <c r="C34" s="125"/>
      <c r="D34" s="117"/>
      <c r="E34" s="118"/>
      <c r="F34" s="118"/>
      <c r="G34" s="119"/>
      <c r="H34" s="120"/>
      <c r="I34" s="121"/>
      <c r="J34" s="122"/>
      <c r="K34" s="123"/>
      <c r="L34" s="124"/>
      <c r="M34" s="102"/>
      <c r="N34" s="86"/>
      <c r="O34" s="89"/>
      <c r="P34" s="89"/>
      <c r="Q34" s="86"/>
      <c r="R34" s="86"/>
    </row>
    <row r="35" ht="15" customHeight="1" s="91">
      <c r="A35" s="108"/>
      <c r="B35" s="108"/>
      <c r="C35" s="125"/>
      <c r="D35" s="117"/>
      <c r="E35" s="118"/>
      <c r="F35" s="118"/>
      <c r="G35" s="119"/>
      <c r="H35" s="120"/>
      <c r="I35" s="121"/>
      <c r="J35" s="122"/>
      <c r="K35" s="123"/>
      <c r="L35" s="124"/>
      <c r="M35" s="102"/>
      <c r="N35" s="86"/>
      <c r="O35" s="85"/>
      <c r="P35" s="82"/>
      <c r="Q35" s="130"/>
      <c r="R35" s="86"/>
    </row>
    <row r="36" ht="15.75" customHeight="1" s="91">
      <c r="A36" s="108"/>
      <c r="B36" s="108"/>
      <c r="C36" s="125"/>
      <c r="D36" s="117"/>
      <c r="E36" s="118"/>
      <c r="F36" s="118"/>
      <c r="G36" s="119"/>
      <c r="H36" s="120"/>
      <c r="I36" s="121"/>
      <c r="J36" s="122"/>
      <c r="K36" s="123"/>
      <c r="L36" s="124"/>
      <c r="M36" s="102"/>
      <c r="N36" s="86"/>
      <c r="O36" s="85"/>
      <c r="P36" s="82"/>
      <c r="Q36" s="131"/>
      <c r="R36" s="89"/>
    </row>
    <row r="37" ht="15.75" customHeight="1" s="91">
      <c r="A37" s="108"/>
      <c r="B37" s="108"/>
      <c r="C37" s="125"/>
      <c r="D37" s="117"/>
      <c r="E37" s="118"/>
      <c r="F37" s="118"/>
      <c r="G37" s="119"/>
      <c r="H37" s="120"/>
      <c r="I37" s="121"/>
      <c r="J37" s="122"/>
      <c r="K37" s="123"/>
      <c r="L37" s="124"/>
      <c r="M37" s="102"/>
      <c r="N37" s="86"/>
      <c r="O37" s="85"/>
      <c r="P37" s="82"/>
    </row>
    <row r="38" ht="15.75" customHeight="1" s="91">
      <c r="A38" s="108"/>
      <c r="B38" s="86"/>
      <c r="C38" s="125"/>
      <c r="D38" s="117"/>
      <c r="E38" s="118"/>
      <c r="F38" s="118"/>
      <c r="G38" s="119"/>
      <c r="H38" s="120"/>
      <c r="I38" s="121"/>
      <c r="J38" s="122"/>
      <c r="K38" s="123"/>
      <c r="L38" s="124"/>
      <c r="M38" s="102"/>
      <c r="N38" s="84"/>
      <c r="O38" s="85"/>
      <c r="P38" s="82"/>
      <c r="Q38" s="131"/>
      <c r="R38" s="132"/>
    </row>
    <row r="39" ht="15.75" customHeight="1" s="91">
      <c r="A39" s="108"/>
      <c r="B39" s="134"/>
      <c r="C39" s="125"/>
      <c r="D39" s="117"/>
      <c r="E39" s="118"/>
      <c r="F39" s="118"/>
      <c r="G39" s="119"/>
      <c r="H39" s="120"/>
      <c r="I39" s="121"/>
      <c r="J39" s="122"/>
      <c r="K39" s="123"/>
      <c r="L39" s="124"/>
      <c r="M39" s="135"/>
      <c r="N39" s="89"/>
      <c r="O39" s="89"/>
      <c r="P39" s="89"/>
      <c r="Q39" s="133"/>
      <c r="R39" s="136"/>
    </row>
    <row r="40" ht="15.75" customHeight="1" s="91">
      <c r="A40" s="108"/>
      <c r="B40" s="134"/>
      <c r="C40" s="125"/>
      <c r="E40" s="89"/>
      <c r="F40" s="83"/>
      <c r="G40" s="119"/>
      <c r="H40" s="120"/>
      <c r="I40" s="121"/>
      <c r="K40" s="137"/>
      <c r="L40" s="124"/>
      <c r="M40" s="135"/>
      <c r="N40" s="89"/>
      <c r="O40" s="89"/>
      <c r="P40" s="89"/>
      <c r="Q40" s="131"/>
      <c r="R40" s="132"/>
    </row>
    <row r="41" ht="15.75" customHeight="1" s="91">
      <c r="A41" s="108"/>
      <c r="B41" s="134"/>
      <c r="C41" s="125"/>
      <c r="F41" s="83"/>
      <c r="G41" s="119"/>
      <c r="H41" s="89"/>
      <c r="I41" s="132"/>
      <c r="K41" s="90"/>
      <c r="L41" s="124"/>
      <c r="M41" s="135"/>
      <c r="N41" s="89"/>
      <c r="O41" s="89"/>
      <c r="P41" s="89"/>
    </row>
    <row r="42" ht="15.75" customHeight="1" s="91">
      <c r="A42" s="108"/>
      <c r="B42" s="86"/>
      <c r="C42" s="125"/>
      <c r="G42" s="119"/>
      <c r="H42" s="133"/>
      <c r="I42" s="136"/>
      <c r="J42" s="103"/>
      <c r="K42" s="90"/>
      <c r="L42" s="124"/>
      <c r="M42" s="135"/>
      <c r="N42" s="103"/>
      <c r="O42" s="103"/>
      <c r="P42" s="103"/>
      <c r="Q42" s="103"/>
      <c r="R42" s="103"/>
    </row>
    <row r="43" ht="15.75" customHeight="1" s="91">
      <c r="A43" s="108"/>
      <c r="B43" s="134"/>
      <c r="C43" s="108"/>
      <c r="F43" s="83"/>
      <c r="G43" s="119"/>
      <c r="H43" s="89"/>
      <c r="I43" s="132"/>
      <c r="J43" s="138"/>
      <c r="K43" s="90"/>
      <c r="L43" s="139"/>
      <c r="M43" s="135"/>
      <c r="N43" s="103"/>
      <c r="O43" s="103"/>
      <c r="P43" s="103"/>
      <c r="Q43" s="103"/>
      <c r="R43" s="103"/>
    </row>
    <row r="44" ht="30" customHeight="1" s="91">
      <c r="A44" s="108"/>
      <c r="B44" s="134"/>
      <c r="F44" s="83"/>
      <c r="G44" s="119"/>
      <c r="H44" s="89"/>
      <c r="I44" s="132"/>
      <c r="L44" s="140"/>
      <c r="M44" s="135"/>
    </row>
    <row r="45" ht="39" customHeight="1" s="91">
      <c r="G45" s="141"/>
      <c r="H45" s="142"/>
      <c r="I45" s="143"/>
      <c r="L45" s="140"/>
    </row>
    <row r="46" ht="22" customHeight="1" s="91">
      <c r="G46" s="144"/>
      <c r="H46" s="145" t="inlineStr">
        <is>
          <t xml:space="preserve">USD</t>
        </is>
      </c>
      <c r="I46" s="145">
        <f>SUM(I24:I45)</f>
        <v>0</v>
      </c>
      <c r="L46" s="146">
        <f>SUM(L24:L45)</f>
        <v>0</v>
      </c>
      <c r="N46" s="89"/>
    </row>
    <row r="47" hidden="1" ht="10.5" customHeight="1" s="91">
      <c r="I47" s="147"/>
      <c r="L47" s="140"/>
    </row>
    <row r="48" ht="27" customHeight="1" s="91">
      <c r="H48" s="89"/>
      <c r="I48" s="89"/>
    </row>
    <row r="49" ht="15.75" customHeight="1" s="91">
      <c r="H49" s="148"/>
      <c r="I49" s="101"/>
      <c r="L49" s="140"/>
    </row>
  </sheetData>
  <mergeCells count="6">
    <mergeCell ref="H10:I12"/>
    <mergeCell ref="H7:I7"/>
    <mergeCell ref="H15:I16"/>
    <mergeCell ref="H5:I6"/>
    <mergeCell ref="H8:I8"/>
    <mergeCell ref="G14:J14"/>
  </mergeCells>
  <printOptions horizontalCentered="0" verticalCentered="0" headings="0" gridLines="0" gridLinesSet="1"/>
  <pageMargins left="0.390277777777778" right="0.129861111111111" top="2.32013888888889" bottom="0.329861111111111" header="0.511811023622047" footer="0.170138888888889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5:R49"/>
  <sheetViews>
    <sheetView showFormulas="0" showGridLines="1" showRowColHeaders="1" showZeros="1" rightToLeft="0" tabSelected="0" showOutlineSymbols="1" defaultGridColor="1" view="normal" topLeftCell="A8" colorId="64" zoomScale="100" zoomScaleNormal="100" zoomScalePageLayoutView="100" workbookViewId="0">
      <pane xSplit="0" ySplit="10" topLeftCell="A21" activePane="bottomLeft" state="frozen"/>
      <selection pane="topLeft" activeCell="A8" activeCellId="0" sqref="A8"/>
      <selection pane="bottomLeft" activeCell="I46" activeCellId="0" sqref="I46"/>
    </sheetView>
  </sheetViews>
  <sheetFormatPr baseColWidth="8" defaultColWidth="8.99609375" defaultRowHeight="15.75" customHeight="0" zeroHeight="0" outlineLevelRow="0"/>
  <cols>
    <col width="17.99" customWidth="1" style="82" min="1" max="1"/>
    <col width="10.75" customWidth="1" style="83" min="2" max="2"/>
    <col width="21.37" customWidth="1" style="84" min="3" max="3"/>
    <col width="6.62" customWidth="1" style="85" min="4" max="4"/>
    <col width="5.24" customWidth="1" style="86" min="5" max="5"/>
    <col width="4.5" customWidth="1" style="86" min="6" max="6"/>
    <col width="7.24" customWidth="1" style="87" min="7" max="7"/>
    <col width="4.5" customWidth="1" style="86" min="8" max="8"/>
    <col width="8.74" customWidth="1" style="88" min="9" max="9"/>
    <col width="2.62" customWidth="1" style="89" min="10" max="10"/>
    <col width="12.5" customWidth="1" style="90" min="11" max="11"/>
    <col width="12.62" customWidth="1" style="89" min="12" max="12"/>
    <col width="9.859999999999999" customWidth="1" style="89" min="13" max="13"/>
    <col width="9.369999999999999" customWidth="1" style="89" min="14" max="14"/>
    <col width="8.99" customWidth="1" style="89" min="15" max="15"/>
    <col width="10.49" customWidth="1" style="89" min="16" max="16"/>
    <col width="8.99" customWidth="1" style="89" min="17" max="18"/>
  </cols>
  <sheetData>
    <row r="3" ht="7.5" customHeight="1" s="91"/>
    <row r="4" ht="8.25" customHeight="1" s="91"/>
    <row r="5" ht="15.75" customHeight="1" s="91">
      <c r="H5" s="92" t="inlineStr">
        <is>
          <t xml:space="preserve"> 330783</t>
        </is>
      </c>
    </row>
    <row r="6" ht="15.75" customHeight="1" s="91">
      <c r="G6" s="93"/>
    </row>
    <row r="7" ht="24.75" customHeight="1" s="91">
      <c r="H7" s="94"/>
    </row>
    <row r="8" ht="19.5" customHeight="1" s="91">
      <c r="H8" s="95"/>
    </row>
    <row r="9" ht="11.25" customHeight="1" s="91">
      <c r="H9" s="96"/>
      <c r="I9" s="96"/>
    </row>
    <row r="10" ht="6.75" customHeight="1" s="91">
      <c r="H10" s="97"/>
    </row>
    <row r="11" ht="15.75" customHeight="1" s="91"/>
    <row r="12" ht="12.75" customHeight="1" s="91"/>
    <row r="13" hidden="1" ht="11.25" customHeight="1" s="91">
      <c r="A13"/>
    </row>
    <row r="14" ht="12" customHeight="1" s="91">
      <c r="G14" s="98"/>
    </row>
    <row r="15" ht="13.5" customHeight="1" s="91">
      <c r="A15" s="86"/>
      <c r="H15" s="99"/>
      <c r="J15" s="86"/>
      <c r="L15" s="86"/>
      <c r="M15" s="86"/>
      <c r="N15" s="86"/>
      <c r="O15" s="86"/>
      <c r="P15" s="86"/>
      <c r="Q15" s="86"/>
      <c r="R15" s="86"/>
    </row>
    <row r="16" ht="14.25" customHeight="1" s="91">
      <c r="A16" s="100"/>
      <c r="J16" s="86"/>
      <c r="L16" s="86"/>
      <c r="M16" s="86"/>
      <c r="N16" s="86"/>
      <c r="O16" s="86"/>
      <c r="P16" s="86"/>
      <c r="Q16" s="86"/>
      <c r="R16" s="86"/>
    </row>
    <row r="17" ht="15.75" customHeight="1" s="91">
      <c r="A17" s="89"/>
      <c r="P17" s="89"/>
    </row>
    <row r="18" ht="15.75" customHeight="1" s="91">
      <c r="I18" s="101"/>
    </row>
    <row r="19" ht="14.25" customHeight="1" s="91">
      <c r="I19" s="101"/>
    </row>
    <row r="20" ht="15" customHeight="1" s="91">
      <c r="G20" s="102"/>
      <c r="H20" s="103"/>
      <c r="I20" s="104"/>
      <c r="J20" s="103"/>
      <c r="L20" s="103"/>
      <c r="M20" s="103"/>
      <c r="N20" s="103"/>
      <c r="O20" s="103"/>
      <c r="P20" s="103"/>
      <c r="Q20" s="103"/>
      <c r="R20" s="103"/>
    </row>
    <row r="21" ht="18.75" customHeight="1" s="91">
      <c r="B21" s="105"/>
      <c r="C21" s="106"/>
      <c r="H21" s="83"/>
      <c r="I21" s="107"/>
    </row>
    <row r="22" ht="15.75" customHeight="1" s="91">
      <c r="A22" s="108"/>
      <c r="B22" s="109"/>
      <c r="C22" s="109"/>
      <c r="E22" s="110"/>
      <c r="F22" s="110"/>
      <c r="G22" s="110"/>
      <c r="I22" s="107"/>
      <c r="K22" s="111" t="inlineStr">
        <is>
          <t xml:space="preserve">原单价:</t>
        </is>
      </c>
      <c r="M22" s="112"/>
    </row>
    <row r="23" ht="15.75" customHeight="1" s="91">
      <c r="A23" s="84"/>
      <c r="B23" s="109"/>
      <c r="C23" s="113"/>
      <c r="F23" s="87"/>
      <c r="G23" s="86"/>
      <c r="H23" s="114"/>
      <c r="I23" s="107"/>
      <c r="M23" s="112"/>
    </row>
    <row r="24" ht="15" customHeight="1" s="91">
      <c r="A24" s="115"/>
      <c r="B24" s="109"/>
      <c r="C24" s="116"/>
      <c r="D24" s="117"/>
      <c r="E24" s="118" t="inlineStr">
        <is>
          <t xml:space="preserve">PCS</t>
        </is>
      </c>
      <c r="F24" s="118" t="inlineStr">
        <is>
          <t xml:space="preserve">USD</t>
        </is>
      </c>
      <c r="G24" s="118"/>
      <c r="H24" s="120" t="inlineStr">
        <is>
          <t xml:space="preserve">USD</t>
        </is>
      </c>
      <c r="I24" s="121"/>
      <c r="J24" s="122"/>
      <c r="K24" s="149"/>
      <c r="L24" s="124"/>
      <c r="M24" s="112"/>
    </row>
    <row r="25" ht="15" customHeight="1" s="91">
      <c r="A25" s="115"/>
      <c r="B25" s="109"/>
      <c r="C25" s="125"/>
      <c r="D25" s="117"/>
      <c r="E25" s="118"/>
      <c r="F25" s="87"/>
      <c r="G25" s="86"/>
      <c r="H25" s="120"/>
      <c r="I25" s="121"/>
      <c r="J25" s="122"/>
      <c r="K25" s="149"/>
      <c r="L25" s="124"/>
      <c r="M25" s="112"/>
    </row>
    <row r="26" ht="15.75" customHeight="1" s="91">
      <c r="A26" s="115"/>
      <c r="B26" s="109"/>
      <c r="C26" s="125"/>
      <c r="D26" s="117"/>
      <c r="E26" s="118"/>
      <c r="F26" s="87"/>
      <c r="G26" s="86"/>
      <c r="H26" s="120"/>
      <c r="I26" s="121"/>
      <c r="J26" s="122"/>
      <c r="K26" s="149"/>
      <c r="L26" s="124"/>
      <c r="M26" s="112"/>
    </row>
    <row r="27" ht="15.75" customHeight="1" s="91">
      <c r="A27" s="115"/>
      <c r="B27" s="126"/>
      <c r="C27" s="125"/>
      <c r="D27" s="117"/>
      <c r="E27" s="118"/>
      <c r="F27" s="87"/>
      <c r="G27" s="86"/>
      <c r="H27" s="120"/>
      <c r="I27" s="121"/>
      <c r="J27" s="122"/>
      <c r="K27" s="149"/>
      <c r="L27" s="124"/>
      <c r="M27" s="112"/>
    </row>
    <row r="28" ht="15.75" customHeight="1" s="91">
      <c r="A28" s="115"/>
      <c r="B28" s="126"/>
      <c r="C28" s="125"/>
      <c r="D28" s="117"/>
      <c r="E28" s="118"/>
      <c r="F28" s="87"/>
      <c r="G28" s="86"/>
      <c r="H28" s="120"/>
      <c r="I28" s="121"/>
      <c r="J28" s="122"/>
      <c r="K28" s="149"/>
      <c r="L28" s="124"/>
      <c r="M28" s="112"/>
    </row>
    <row r="29" ht="15.75" customHeight="1" s="91">
      <c r="A29" s="115"/>
      <c r="B29" s="126"/>
      <c r="C29" s="125"/>
      <c r="D29" s="117"/>
      <c r="E29" s="118"/>
      <c r="F29" s="87"/>
      <c r="G29" s="86"/>
      <c r="H29" s="120"/>
      <c r="I29" s="121"/>
      <c r="J29" s="122"/>
      <c r="K29" s="149"/>
      <c r="L29" s="124"/>
      <c r="M29" s="112"/>
      <c r="Q29" s="127"/>
    </row>
    <row r="30" ht="15.75" customHeight="1" s="91">
      <c r="A30" s="128"/>
      <c r="B30" s="126"/>
      <c r="C30" s="125"/>
      <c r="D30" s="117"/>
      <c r="E30" s="118"/>
      <c r="F30" s="87"/>
      <c r="G30" s="86"/>
      <c r="H30" s="120"/>
      <c r="I30" s="121"/>
      <c r="J30" s="122"/>
      <c r="K30" s="150"/>
      <c r="L30" s="124"/>
      <c r="M30" s="112"/>
      <c r="Q30" s="127"/>
    </row>
    <row r="31" ht="15.75" customHeight="1" s="91">
      <c r="A31" s="128"/>
      <c r="B31" s="85"/>
      <c r="C31" s="125"/>
      <c r="D31" s="117"/>
      <c r="E31" s="118"/>
      <c r="F31" s="87"/>
      <c r="G31" s="86"/>
      <c r="H31" s="120"/>
      <c r="I31" s="121"/>
      <c r="J31" s="122"/>
      <c r="K31" s="123"/>
      <c r="L31" s="124"/>
      <c r="Q31" s="129"/>
    </row>
    <row r="32" ht="15.75" customHeight="1" s="91">
      <c r="B32" s="128"/>
      <c r="C32" s="125"/>
      <c r="D32" s="117"/>
      <c r="E32" s="118"/>
      <c r="F32" s="118"/>
      <c r="G32" s="119"/>
      <c r="H32" s="120"/>
      <c r="I32" s="121"/>
      <c r="J32" s="122"/>
      <c r="K32" s="123"/>
      <c r="L32" s="124"/>
      <c r="M32" s="124"/>
      <c r="N32" s="89"/>
      <c r="O32" s="89"/>
      <c r="P32" s="89"/>
      <c r="Q32" s="108"/>
    </row>
    <row r="33" ht="13.5" customHeight="1" s="91">
      <c r="A33" s="128"/>
      <c r="B33" s="128"/>
      <c r="C33" s="125"/>
      <c r="D33" s="117"/>
      <c r="E33" s="118"/>
      <c r="F33" s="118"/>
      <c r="G33" s="119"/>
      <c r="H33" s="120"/>
      <c r="I33" s="121"/>
      <c r="J33" s="122"/>
      <c r="K33" s="123"/>
      <c r="L33" s="124"/>
      <c r="M33" s="89"/>
      <c r="N33" s="89"/>
      <c r="O33" s="89"/>
      <c r="P33" s="89"/>
    </row>
    <row r="34" ht="15" customHeight="1" s="91">
      <c r="A34" s="108"/>
      <c r="B34" s="108"/>
      <c r="C34" s="125"/>
      <c r="D34" s="117"/>
      <c r="E34" s="118"/>
      <c r="F34" s="118"/>
      <c r="G34" s="119"/>
      <c r="H34" s="120"/>
      <c r="I34" s="121"/>
      <c r="J34" s="122"/>
      <c r="K34" s="123"/>
      <c r="L34" s="124"/>
      <c r="M34" s="102"/>
      <c r="N34" s="86"/>
      <c r="O34" s="89"/>
      <c r="P34" s="89"/>
      <c r="Q34" s="86"/>
      <c r="R34" s="86"/>
    </row>
    <row r="35" ht="15" customHeight="1" s="91">
      <c r="A35" s="108"/>
      <c r="B35" s="108"/>
      <c r="C35" s="125"/>
      <c r="D35" s="117"/>
      <c r="E35" s="118"/>
      <c r="F35" s="118"/>
      <c r="G35" s="119"/>
      <c r="H35" s="120"/>
      <c r="I35" s="121"/>
      <c r="J35" s="122"/>
      <c r="K35" s="123"/>
      <c r="L35" s="124"/>
      <c r="M35" s="102"/>
      <c r="N35" s="86"/>
      <c r="O35" s="85"/>
      <c r="P35" s="82"/>
      <c r="Q35" s="130"/>
      <c r="R35" s="86"/>
    </row>
    <row r="36" ht="15.75" customHeight="1" s="91">
      <c r="A36" s="108"/>
      <c r="B36" s="108"/>
      <c r="C36" s="125"/>
      <c r="D36" s="117"/>
      <c r="E36" s="118"/>
      <c r="F36" s="118"/>
      <c r="G36" s="119"/>
      <c r="H36" s="120"/>
      <c r="I36" s="121"/>
      <c r="J36" s="122"/>
      <c r="K36" s="123"/>
      <c r="L36" s="124"/>
      <c r="M36" s="102"/>
      <c r="N36" s="86"/>
      <c r="O36" s="85"/>
      <c r="P36" s="82"/>
      <c r="Q36" s="131"/>
      <c r="R36" s="89"/>
    </row>
    <row r="37" ht="15.75" customHeight="1" s="91">
      <c r="A37" s="108"/>
      <c r="B37" s="108"/>
      <c r="C37" s="125"/>
      <c r="D37" s="117"/>
      <c r="E37" s="118"/>
      <c r="F37" s="118"/>
      <c r="G37" s="119"/>
      <c r="H37" s="120"/>
      <c r="I37" s="121"/>
      <c r="J37" s="122"/>
      <c r="K37" s="123"/>
      <c r="L37" s="124"/>
      <c r="M37" s="102"/>
      <c r="N37" s="86"/>
      <c r="O37" s="85"/>
      <c r="P37" s="82"/>
    </row>
    <row r="38" ht="15.75" customHeight="1" s="91">
      <c r="A38" s="108"/>
      <c r="B38" s="86"/>
      <c r="C38" s="125"/>
      <c r="D38" s="117"/>
      <c r="E38" s="118"/>
      <c r="F38" s="118"/>
      <c r="G38" s="119"/>
      <c r="H38" s="120"/>
      <c r="I38" s="121"/>
      <c r="J38" s="122"/>
      <c r="K38" s="123"/>
      <c r="L38" s="124"/>
      <c r="M38" s="102"/>
      <c r="N38" s="84"/>
      <c r="O38" s="85"/>
      <c r="P38" s="82"/>
      <c r="Q38" s="131"/>
      <c r="R38" s="132"/>
    </row>
    <row r="39" ht="15.75" customHeight="1" s="91">
      <c r="A39" s="108"/>
      <c r="B39" s="134"/>
      <c r="C39" s="125"/>
      <c r="D39" s="117"/>
      <c r="E39" s="118"/>
      <c r="F39" s="118"/>
      <c r="G39" s="119"/>
      <c r="H39" s="120"/>
      <c r="I39" s="121"/>
      <c r="J39" s="122"/>
      <c r="K39" s="123"/>
      <c r="L39" s="124"/>
      <c r="M39" s="135"/>
      <c r="N39" s="89"/>
      <c r="O39" s="89"/>
      <c r="P39" s="89"/>
      <c r="Q39" s="133"/>
      <c r="R39" s="136"/>
    </row>
    <row r="40" ht="15.75" customHeight="1" s="91">
      <c r="A40" s="108"/>
      <c r="B40" s="134"/>
      <c r="C40" s="125"/>
      <c r="E40" s="89"/>
      <c r="F40" s="83"/>
      <c r="G40" s="119"/>
      <c r="H40" s="120"/>
      <c r="I40" s="121"/>
      <c r="K40" s="137"/>
      <c r="L40" s="124"/>
      <c r="M40" s="135"/>
      <c r="N40" s="89"/>
      <c r="O40" s="89"/>
      <c r="P40" s="89"/>
      <c r="Q40" s="131"/>
      <c r="R40" s="132"/>
    </row>
    <row r="41" ht="15.75" customHeight="1" s="91">
      <c r="A41" s="108"/>
      <c r="B41" s="134"/>
      <c r="C41" s="125"/>
      <c r="F41" s="83"/>
      <c r="G41" s="119"/>
      <c r="H41" s="89"/>
      <c r="I41" s="132"/>
      <c r="K41" s="90"/>
      <c r="L41" s="124"/>
      <c r="M41" s="135"/>
      <c r="N41" s="89"/>
      <c r="O41" s="89"/>
      <c r="P41" s="89"/>
    </row>
    <row r="42" ht="15.75" customHeight="1" s="91">
      <c r="A42" s="108"/>
      <c r="B42" s="86"/>
      <c r="C42" s="125"/>
      <c r="G42" s="119"/>
      <c r="H42" s="133"/>
      <c r="I42" s="136"/>
      <c r="J42" s="103"/>
      <c r="K42" s="90"/>
      <c r="L42" s="124"/>
      <c r="M42" s="135"/>
      <c r="N42" s="103"/>
      <c r="O42" s="103"/>
      <c r="P42" s="103"/>
      <c r="Q42" s="103"/>
      <c r="R42" s="103"/>
    </row>
    <row r="43" ht="15.75" customHeight="1" s="91">
      <c r="A43" s="108"/>
      <c r="B43" s="134"/>
      <c r="C43" s="108"/>
      <c r="F43" s="83"/>
      <c r="G43" s="119"/>
      <c r="H43" s="89"/>
      <c r="I43" s="132"/>
      <c r="J43" s="138"/>
      <c r="K43" s="90"/>
      <c r="L43" s="139"/>
      <c r="M43" s="135"/>
      <c r="N43" s="103"/>
      <c r="O43" s="103"/>
      <c r="P43" s="103"/>
      <c r="Q43" s="103"/>
      <c r="R43" s="103"/>
    </row>
    <row r="44" ht="30" customHeight="1" s="91">
      <c r="A44" s="108"/>
      <c r="B44" s="134"/>
      <c r="F44" s="83"/>
      <c r="G44" s="119"/>
      <c r="H44" s="89"/>
      <c r="I44" s="132"/>
      <c r="L44" s="140"/>
      <c r="M44" s="135"/>
    </row>
    <row r="45" ht="39" customHeight="1" s="91">
      <c r="G45" s="141"/>
      <c r="H45" s="142"/>
      <c r="I45" s="143"/>
      <c r="L45" s="140"/>
    </row>
    <row r="46" ht="22" customHeight="1" s="91">
      <c r="G46" s="144"/>
      <c r="H46" s="145" t="inlineStr">
        <is>
          <t xml:space="preserve">USD</t>
        </is>
      </c>
      <c r="I46" s="145">
        <f>SUM(I24:I45)</f>
        <v>0</v>
      </c>
      <c r="L46" s="146">
        <f>SUM(L24:L45)</f>
        <v>0</v>
      </c>
      <c r="N46" s="89"/>
    </row>
    <row r="47" hidden="1" ht="10.5" customHeight="1" s="91">
      <c r="I47" s="147"/>
      <c r="L47" s="140"/>
    </row>
    <row r="48" ht="27" customHeight="1" s="91">
      <c r="H48" s="89"/>
      <c r="I48" s="89"/>
    </row>
    <row r="49" ht="15.75" customHeight="1" s="91">
      <c r="H49" s="148"/>
      <c r="I49" s="101"/>
      <c r="L49" s="140"/>
    </row>
  </sheetData>
  <mergeCells count="6">
    <mergeCell ref="H10:I12"/>
    <mergeCell ref="H7:I7"/>
    <mergeCell ref="H15:I16"/>
    <mergeCell ref="H5:I6"/>
    <mergeCell ref="H8:I8"/>
    <mergeCell ref="G14:J14"/>
  </mergeCells>
  <printOptions horizontalCentered="0" verticalCentered="0" headings="0" gridLines="0" gridLinesSet="1"/>
  <pageMargins left="0.390277777777778" right="0.129861111111111" top="2.32013888888889" bottom="0.329861111111111" header="0.511811023622047" footer="0.170138888888889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5:R49"/>
  <sheetViews>
    <sheetView showFormulas="0" showGridLines="1" showRowColHeaders="1" showZeros="1" rightToLeft="0" tabSelected="0" showOutlineSymbols="1" defaultGridColor="1" view="normal" topLeftCell="A8" colorId="64" zoomScale="100" zoomScaleNormal="100" zoomScalePageLayoutView="100" workbookViewId="0">
      <pane xSplit="0" ySplit="10" topLeftCell="A21" activePane="bottomLeft" state="frozen"/>
      <selection pane="topLeft" activeCell="A8" activeCellId="0" sqref="A8"/>
      <selection pane="bottomLeft" activeCell="I46" activeCellId="0" sqref="I46"/>
    </sheetView>
  </sheetViews>
  <sheetFormatPr baseColWidth="8" defaultColWidth="8.99609375" defaultRowHeight="15.75" customHeight="0" zeroHeight="0" outlineLevelRow="0"/>
  <cols>
    <col width="17.99" customWidth="1" style="82" min="1" max="1"/>
    <col width="10.75" customWidth="1" style="83" min="2" max="2"/>
    <col width="21.37" customWidth="1" style="84" min="3" max="3"/>
    <col width="6.62" customWidth="1" style="85" min="4" max="4"/>
    <col width="5.24" customWidth="1" style="86" min="5" max="5"/>
    <col width="4.5" customWidth="1" style="86" min="6" max="6"/>
    <col width="8.24" customWidth="1" style="87" min="7" max="7"/>
    <col width="4.37" customWidth="1" style="86" min="8" max="8"/>
    <col width="8.119999999999999" customWidth="1" style="88" min="9" max="9"/>
    <col width="2.62" customWidth="1" style="89" min="10" max="10"/>
    <col width="12.5" customWidth="1" style="90" min="11" max="11"/>
    <col width="12.62" customWidth="1" style="89" min="12" max="12"/>
    <col width="9.859999999999999" customWidth="1" style="89" min="13" max="13"/>
    <col width="9.369999999999999" customWidth="1" style="89" min="14" max="14"/>
    <col width="8.99" customWidth="1" style="89" min="15" max="15"/>
    <col width="10.49" customWidth="1" style="89" min="16" max="16"/>
    <col width="8.99" customWidth="1" style="89" min="17" max="18"/>
  </cols>
  <sheetData>
    <row r="3" ht="7.5" customHeight="1" s="91"/>
    <row r="4" ht="8.25" customHeight="1" s="91"/>
    <row r="5" ht="15.75" customHeight="1" s="91">
      <c r="H5" s="92" t="inlineStr">
        <is>
          <t xml:space="preserve"> 330783</t>
        </is>
      </c>
    </row>
    <row r="6" ht="15.75" customHeight="1" s="91">
      <c r="G6" s="93"/>
    </row>
    <row r="7" ht="24.75" customHeight="1" s="91">
      <c r="H7" s="94"/>
    </row>
    <row r="8" ht="19.5" customHeight="1" s="91">
      <c r="H8" s="95"/>
    </row>
    <row r="9" ht="11.25" customHeight="1" s="91">
      <c r="H9" s="96"/>
      <c r="I9" s="96"/>
    </row>
    <row r="10" ht="6.75" customHeight="1" s="91">
      <c r="H10" s="97"/>
    </row>
    <row r="11" ht="15.75" customHeight="1" s="91"/>
    <row r="12" ht="12.75" customHeight="1" s="91"/>
    <row r="13" hidden="1" ht="11.25" customHeight="1" s="91">
      <c r="A13"/>
    </row>
    <row r="14" ht="12" customHeight="1" s="91">
      <c r="G14" s="98"/>
    </row>
    <row r="15" ht="13.5" customHeight="1" s="91">
      <c r="A15" s="86"/>
      <c r="H15" s="99"/>
      <c r="J15" s="86"/>
      <c r="L15" s="86"/>
      <c r="M15" s="86"/>
      <c r="N15" s="86"/>
      <c r="O15" s="86"/>
      <c r="P15" s="86"/>
      <c r="Q15" s="86"/>
      <c r="R15" s="86"/>
    </row>
    <row r="16" ht="14.25" customHeight="1" s="91">
      <c r="A16" s="100"/>
      <c r="J16" s="86"/>
      <c r="L16" s="86"/>
      <c r="M16" s="86"/>
      <c r="N16" s="86"/>
      <c r="O16" s="86"/>
      <c r="P16" s="86"/>
      <c r="Q16" s="86"/>
      <c r="R16" s="86"/>
    </row>
    <row r="17" ht="15.75" customHeight="1" s="91">
      <c r="A17" s="89"/>
      <c r="P17" s="89"/>
    </row>
    <row r="18" ht="15.75" customHeight="1" s="91">
      <c r="I18" s="101"/>
    </row>
    <row r="19" ht="14.25" customHeight="1" s="91">
      <c r="I19" s="101"/>
    </row>
    <row r="20" ht="15" customHeight="1" s="91">
      <c r="G20" s="102"/>
      <c r="H20" s="103"/>
      <c r="I20" s="104"/>
      <c r="J20" s="103"/>
      <c r="L20" s="103"/>
      <c r="M20" s="103"/>
      <c r="N20" s="103"/>
      <c r="O20" s="103"/>
      <c r="P20" s="103"/>
      <c r="Q20" s="103"/>
      <c r="R20" s="103"/>
    </row>
    <row r="21" ht="18.75" customHeight="1" s="91">
      <c r="B21" s="105"/>
      <c r="C21" s="106"/>
      <c r="H21" s="83"/>
      <c r="I21" s="107"/>
    </row>
    <row r="22" ht="15.75" customHeight="1" s="91">
      <c r="A22" s="108"/>
      <c r="B22" s="109"/>
      <c r="C22" s="109"/>
      <c r="E22" s="110"/>
      <c r="F22" s="110"/>
      <c r="G22" s="110"/>
      <c r="I22" s="107"/>
      <c r="K22" s="111" t="inlineStr">
        <is>
          <t xml:space="preserve">原单价:</t>
        </is>
      </c>
      <c r="M22" s="112"/>
    </row>
    <row r="23" ht="15.75" customHeight="1" s="91">
      <c r="A23" s="84"/>
      <c r="B23" s="109"/>
      <c r="C23" s="113"/>
      <c r="F23" s="87"/>
      <c r="G23" s="86"/>
      <c r="H23" s="114"/>
      <c r="I23" s="107"/>
      <c r="M23" s="112"/>
    </row>
    <row r="24" ht="15" customHeight="1" s="91">
      <c r="A24" s="115"/>
      <c r="B24" s="109"/>
      <c r="C24" s="151"/>
      <c r="D24" s="117"/>
      <c r="E24" s="118" t="inlineStr">
        <is>
          <t xml:space="preserve">PCS</t>
        </is>
      </c>
      <c r="F24" s="118" t="inlineStr">
        <is>
          <t xml:space="preserve">USD</t>
        </is>
      </c>
      <c r="G24" s="119"/>
      <c r="H24" s="120" t="inlineStr">
        <is>
          <t xml:space="preserve">USD</t>
        </is>
      </c>
      <c r="I24" s="121"/>
      <c r="J24" s="122"/>
      <c r="K24" s="123"/>
      <c r="L24" s="124"/>
      <c r="M24" s="112"/>
    </row>
    <row r="25" ht="15" customHeight="1" s="91">
      <c r="A25" s="115"/>
      <c r="B25" s="109"/>
      <c r="C25" s="125"/>
      <c r="D25" s="117"/>
      <c r="E25" s="118"/>
      <c r="F25" s="118"/>
      <c r="G25" s="119"/>
      <c r="H25" s="120"/>
      <c r="I25" s="121"/>
      <c r="J25" s="122"/>
      <c r="K25" s="123"/>
      <c r="L25" s="124"/>
      <c r="M25" s="112"/>
    </row>
    <row r="26" ht="15.75" customHeight="1" s="91">
      <c r="A26" s="115"/>
      <c r="B26" s="109"/>
      <c r="C26" s="125"/>
      <c r="D26" s="117"/>
      <c r="E26" s="118"/>
      <c r="F26" s="118"/>
      <c r="G26" s="119"/>
      <c r="H26" s="120"/>
      <c r="I26" s="121"/>
      <c r="J26" s="122"/>
      <c r="K26" s="123"/>
      <c r="L26" s="124"/>
      <c r="M26" s="112"/>
    </row>
    <row r="27" ht="15.75" customHeight="1" s="91">
      <c r="A27" s="115"/>
      <c r="B27" s="126"/>
      <c r="C27" s="125"/>
      <c r="D27" s="117"/>
      <c r="E27" s="118"/>
      <c r="F27" s="118"/>
      <c r="G27" s="119"/>
      <c r="H27" s="120"/>
      <c r="I27" s="121"/>
      <c r="J27" s="122"/>
      <c r="K27" s="123"/>
      <c r="L27" s="124"/>
      <c r="M27" s="112"/>
    </row>
    <row r="28" ht="15.75" customHeight="1" s="91">
      <c r="A28" s="115"/>
      <c r="B28" s="126"/>
      <c r="C28" s="125"/>
      <c r="D28" s="117"/>
      <c r="E28" s="118"/>
      <c r="F28" s="118"/>
      <c r="G28" s="119"/>
      <c r="H28" s="120"/>
      <c r="I28" s="121"/>
      <c r="J28" s="122"/>
      <c r="K28" s="123"/>
      <c r="L28" s="124"/>
      <c r="M28" s="112"/>
    </row>
    <row r="29" ht="15.75" customHeight="1" s="91">
      <c r="A29" s="115"/>
      <c r="B29" s="126"/>
      <c r="C29" s="125"/>
      <c r="D29" s="117"/>
      <c r="E29" s="118"/>
      <c r="F29" s="118"/>
      <c r="G29" s="119"/>
      <c r="H29" s="120"/>
      <c r="I29" s="121"/>
      <c r="J29" s="122"/>
      <c r="K29" s="123"/>
      <c r="L29" s="124"/>
      <c r="M29" s="112"/>
      <c r="Q29" s="127"/>
    </row>
    <row r="30" ht="15.75" customHeight="1" s="91">
      <c r="A30" s="128"/>
      <c r="B30" s="126"/>
      <c r="C30" s="125"/>
      <c r="D30" s="117"/>
      <c r="E30" s="118"/>
      <c r="F30" s="118"/>
      <c r="G30" s="119"/>
      <c r="H30" s="120"/>
      <c r="I30" s="121"/>
      <c r="J30" s="122"/>
      <c r="K30" s="123"/>
      <c r="L30" s="124"/>
      <c r="M30" s="112"/>
      <c r="Q30" s="127"/>
    </row>
    <row r="31" ht="15.75" customHeight="1" s="91">
      <c r="A31" s="128"/>
      <c r="B31" s="85"/>
      <c r="C31" s="125"/>
      <c r="D31" s="117"/>
      <c r="E31" s="118"/>
      <c r="F31" s="118"/>
      <c r="G31" s="119"/>
      <c r="H31" s="120"/>
      <c r="I31" s="121"/>
      <c r="J31" s="122"/>
      <c r="K31" s="123"/>
      <c r="L31" s="124"/>
      <c r="Q31" s="129"/>
    </row>
    <row r="32" ht="15.75" customHeight="1" s="91">
      <c r="B32" s="128"/>
      <c r="C32" s="125"/>
      <c r="D32" s="117"/>
      <c r="E32" s="118"/>
      <c r="F32" s="118"/>
      <c r="G32" s="119"/>
      <c r="H32" s="120"/>
      <c r="I32" s="121"/>
      <c r="J32" s="122"/>
      <c r="K32" s="123"/>
      <c r="L32" s="124"/>
      <c r="M32" s="124"/>
      <c r="N32" s="89"/>
      <c r="O32" s="89"/>
      <c r="P32" s="89"/>
      <c r="Q32" s="108"/>
    </row>
    <row r="33" ht="13.5" customHeight="1" s="91">
      <c r="A33" s="128"/>
      <c r="B33" s="128"/>
      <c r="C33" s="125"/>
      <c r="D33" s="117"/>
      <c r="E33" s="118"/>
      <c r="F33" s="118"/>
      <c r="G33" s="119"/>
      <c r="H33" s="120"/>
      <c r="I33" s="121"/>
      <c r="J33" s="122"/>
      <c r="K33" s="123"/>
      <c r="L33" s="124"/>
      <c r="M33" s="89"/>
      <c r="N33" s="89"/>
      <c r="O33" s="89"/>
      <c r="P33" s="89"/>
    </row>
    <row r="34" ht="15" customHeight="1" s="91">
      <c r="A34" s="108"/>
      <c r="B34" s="108"/>
      <c r="C34" s="125"/>
      <c r="D34" s="117"/>
      <c r="E34" s="118"/>
      <c r="F34" s="118"/>
      <c r="G34" s="119"/>
      <c r="H34" s="120"/>
      <c r="I34" s="121"/>
      <c r="J34" s="122"/>
      <c r="K34" s="123"/>
      <c r="L34" s="124"/>
      <c r="M34" s="102"/>
      <c r="N34" s="86"/>
      <c r="O34" s="89"/>
      <c r="P34" s="89"/>
      <c r="Q34" s="86"/>
      <c r="R34" s="86"/>
    </row>
    <row r="35" ht="15" customHeight="1" s="91">
      <c r="A35" s="108"/>
      <c r="B35" s="108"/>
      <c r="C35" s="125"/>
      <c r="D35" s="117"/>
      <c r="E35" s="118"/>
      <c r="F35" s="118"/>
      <c r="G35" s="119"/>
      <c r="H35" s="120"/>
      <c r="I35" s="121"/>
      <c r="J35" s="122"/>
      <c r="K35" s="123"/>
      <c r="L35" s="124"/>
      <c r="M35" s="102"/>
      <c r="N35" s="86"/>
      <c r="O35" s="85"/>
      <c r="P35" s="82"/>
      <c r="Q35" s="130"/>
      <c r="R35" s="86"/>
    </row>
    <row r="36" ht="15.75" customHeight="1" s="91">
      <c r="A36" s="108"/>
      <c r="B36" s="108"/>
      <c r="C36" s="125"/>
      <c r="D36" s="117"/>
      <c r="E36" s="118"/>
      <c r="F36" s="118"/>
      <c r="G36" s="119"/>
      <c r="H36" s="120"/>
      <c r="I36" s="121"/>
      <c r="J36" s="122"/>
      <c r="K36" s="123"/>
      <c r="L36" s="124"/>
      <c r="M36" s="102"/>
      <c r="N36" s="86"/>
      <c r="O36" s="85"/>
      <c r="P36" s="82"/>
      <c r="Q36" s="131"/>
      <c r="R36" s="89"/>
    </row>
    <row r="37" ht="15.75" customHeight="1" s="91">
      <c r="A37" s="108"/>
      <c r="B37" s="108"/>
      <c r="C37" s="125"/>
      <c r="D37" s="117"/>
      <c r="E37" s="118"/>
      <c r="F37" s="118"/>
      <c r="G37" s="119"/>
      <c r="H37" s="120"/>
      <c r="I37" s="121"/>
      <c r="J37" s="122"/>
      <c r="K37" s="123"/>
      <c r="L37" s="124"/>
      <c r="M37" s="102"/>
      <c r="N37" s="86"/>
      <c r="O37" s="85"/>
      <c r="P37" s="82"/>
    </row>
    <row r="38" ht="15.75" customHeight="1" s="91">
      <c r="A38" s="108"/>
      <c r="B38" s="86"/>
      <c r="C38" s="125"/>
      <c r="D38" s="117"/>
      <c r="E38" s="118"/>
      <c r="F38" s="118"/>
      <c r="G38" s="119"/>
      <c r="H38" s="120"/>
      <c r="I38" s="121"/>
      <c r="J38" s="122"/>
      <c r="K38" s="123"/>
      <c r="L38" s="124"/>
      <c r="M38" s="102"/>
      <c r="N38" s="84"/>
      <c r="O38" s="85"/>
      <c r="P38" s="82"/>
      <c r="Q38" s="131"/>
      <c r="R38" s="132"/>
    </row>
    <row r="39" ht="15.75" customHeight="1" s="91">
      <c r="A39" s="108"/>
      <c r="B39" s="134"/>
      <c r="C39" s="125"/>
      <c r="D39" s="117"/>
      <c r="E39" s="118"/>
      <c r="F39" s="118"/>
      <c r="G39" s="119"/>
      <c r="H39" s="120"/>
      <c r="I39" s="121"/>
      <c r="J39" s="122"/>
      <c r="K39" s="123"/>
      <c r="L39" s="124"/>
      <c r="M39" s="135"/>
      <c r="N39" s="89"/>
      <c r="O39" s="89"/>
      <c r="P39" s="89"/>
      <c r="Q39" s="133"/>
      <c r="R39" s="136"/>
    </row>
    <row r="40" ht="15.75" customHeight="1" s="91">
      <c r="A40" s="108"/>
      <c r="B40" s="134"/>
      <c r="C40" s="125"/>
      <c r="E40" s="89"/>
      <c r="F40" s="83"/>
      <c r="G40" s="119"/>
      <c r="H40" s="120"/>
      <c r="I40" s="121"/>
      <c r="K40" s="137"/>
      <c r="L40" s="124"/>
      <c r="M40" s="135"/>
      <c r="N40" s="89"/>
      <c r="O40" s="89"/>
      <c r="P40" s="89"/>
      <c r="Q40" s="131"/>
      <c r="R40" s="132"/>
    </row>
    <row r="41" ht="15.75" customHeight="1" s="91">
      <c r="A41" s="108"/>
      <c r="B41" s="134"/>
      <c r="C41" s="125"/>
      <c r="F41" s="83"/>
      <c r="G41" s="119"/>
      <c r="H41" s="120"/>
      <c r="I41" s="121"/>
      <c r="K41" s="90"/>
      <c r="L41" s="124"/>
      <c r="M41" s="135"/>
      <c r="N41" s="89"/>
      <c r="O41" s="89"/>
      <c r="P41" s="89"/>
    </row>
    <row r="42" ht="15.75" customHeight="1" s="91">
      <c r="A42" s="108"/>
      <c r="B42" s="86"/>
      <c r="C42" s="125"/>
      <c r="G42" s="119"/>
      <c r="H42" s="120"/>
      <c r="I42" s="121"/>
      <c r="J42" s="103"/>
      <c r="K42" s="90"/>
      <c r="L42" s="124"/>
      <c r="M42" s="135"/>
      <c r="N42" s="103"/>
      <c r="O42" s="103"/>
      <c r="P42" s="103"/>
      <c r="Q42" s="103"/>
      <c r="R42" s="103"/>
    </row>
    <row r="43" ht="15.75" customHeight="1" s="91">
      <c r="A43" s="108"/>
      <c r="B43" s="134"/>
      <c r="C43" s="108"/>
      <c r="F43" s="83"/>
      <c r="G43" s="119"/>
      <c r="H43" s="120"/>
      <c r="I43" s="121"/>
      <c r="J43" s="138"/>
      <c r="K43" s="90"/>
      <c r="L43" s="139"/>
      <c r="M43" s="135"/>
      <c r="N43" s="103"/>
      <c r="O43" s="103"/>
      <c r="P43" s="103"/>
      <c r="Q43" s="103"/>
      <c r="R43" s="103"/>
    </row>
    <row r="44" ht="30" customHeight="1" s="91">
      <c r="A44" s="108"/>
      <c r="B44" s="134"/>
      <c r="F44" s="83"/>
      <c r="G44" s="119"/>
      <c r="H44" s="120"/>
      <c r="I44" s="121"/>
      <c r="L44" s="140"/>
      <c r="M44" s="135"/>
    </row>
    <row r="45" ht="39" customHeight="1" s="91">
      <c r="G45" s="141"/>
      <c r="H45" s="142"/>
      <c r="I45" s="143"/>
      <c r="L45" s="140"/>
    </row>
    <row r="46" ht="22" customHeight="1" s="91">
      <c r="G46" s="144"/>
      <c r="H46" s="145" t="inlineStr">
        <is>
          <t xml:space="preserve">USD</t>
        </is>
      </c>
      <c r="I46" s="145">
        <f>SUM(I24:I45)</f>
        <v>0</v>
      </c>
      <c r="L46" s="146">
        <f>SUM(L24:L45)</f>
        <v>0</v>
      </c>
      <c r="N46" s="89"/>
    </row>
    <row r="47" hidden="1" ht="10.5" customHeight="1" s="91">
      <c r="I47" s="147"/>
      <c r="L47" s="140"/>
    </row>
    <row r="48" ht="27" customHeight="1" s="91">
      <c r="H48" s="89"/>
      <c r="I48" s="89"/>
    </row>
    <row r="49" ht="15.75" customHeight="1" s="91">
      <c r="H49" s="148"/>
      <c r="I49" s="101"/>
      <c r="L49" s="140"/>
    </row>
  </sheetData>
  <mergeCells count="6">
    <mergeCell ref="H10:I12"/>
    <mergeCell ref="H7:I7"/>
    <mergeCell ref="H15:I16"/>
    <mergeCell ref="H5:I6"/>
    <mergeCell ref="H8:I8"/>
    <mergeCell ref="G14:J14"/>
  </mergeCells>
  <printOptions horizontalCentered="0" verticalCentered="0" headings="0" gridLines="0" gridLinesSet="1"/>
  <pageMargins left="0.390277777777778" right="0.129861111111111" top="2.32013888888889" bottom="0.329861111111111" header="0.511811023622047" footer="0.170138888888889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5:R49"/>
  <sheetViews>
    <sheetView showFormulas="false" showGridLines="true" showRowColHeaders="true" showZeros="true" rightToLeft="false" tabSelected="false" showOutlineSymbols="true" defaultGridColor="true" view="normal" topLeftCell="A8" colorId="64" zoomScale="100" zoomScaleNormal="100" zoomScalePageLayoutView="100" workbookViewId="0">
      <pane xSplit="0" ySplit="10" topLeftCell="A22" activePane="bottomLeft" state="frozen"/>
      <selection pane="topLeft" activeCell="A8" activeCellId="0" sqref="A8"/>
      <selection pane="bottomLeft" activeCell="C45" activeCellId="0" sqref="C45"/>
    </sheetView>
  </sheetViews>
  <sheetFormatPr defaultColWidth="8.99609375" defaultRowHeight="15.75" customHeight="false" zeroHeight="false" outlineLevelRow="0" outlineLevelCol="0"/>
  <cols>
    <col collapsed="false" customWidth="true" hidden="false" outlineLevel="0" max="1" min="1" style="153" width="17.99"/>
    <col collapsed="false" customWidth="true" hidden="false" outlineLevel="0" max="2" min="2" style="154" width="10.75"/>
    <col collapsed="false" customWidth="true" hidden="false" outlineLevel="0" max="3" min="3" style="155" width="24.37"/>
    <col collapsed="false" customWidth="true" hidden="false" outlineLevel="0" max="4" min="4" style="156" width="6.62"/>
    <col collapsed="false" customWidth="true" hidden="false" outlineLevel="0" max="5" min="5" style="157" width="5.24"/>
    <col collapsed="false" customWidth="true" hidden="false" outlineLevel="0" max="6" min="6" style="157" width="3.74"/>
    <col collapsed="false" customWidth="true" hidden="false" outlineLevel="0" max="7" min="7" style="158" width="8.24"/>
    <col collapsed="false" customWidth="true" hidden="false" outlineLevel="0" max="8" min="8" style="157" width="4.37"/>
    <col collapsed="false" customWidth="true" hidden="false" outlineLevel="0" max="9" min="9" style="159" width="9.62"/>
    <col collapsed="false" customWidth="true" hidden="false" outlineLevel="0" max="10" min="10" style="160" width="2.62"/>
    <col collapsed="false" customWidth="true" hidden="false" outlineLevel="0" max="11" min="11" style="161" width="12.5"/>
    <col collapsed="false" customWidth="true" hidden="false" outlineLevel="0" max="12" min="12" style="160" width="12.62"/>
    <col collapsed="false" customWidth="true" hidden="false" outlineLevel="0" max="13" min="13" style="160" width="9.86"/>
    <col collapsed="false" customWidth="true" hidden="false" outlineLevel="0" max="14" min="14" style="160" width="9.37"/>
    <col collapsed="false" customWidth="false" hidden="false" outlineLevel="0" max="15" min="15" style="160" width="8.99"/>
    <col collapsed="false" customWidth="true" hidden="false" outlineLevel="0" max="16" min="16" style="160" width="10.49"/>
    <col collapsed="false" customWidth="false" hidden="false" outlineLevel="0" max="18" min="17" style="160" width="8.99"/>
  </cols>
  <sheetData>
    <row r="3" customFormat="false" ht="7.5" hidden="false" customHeight="true" outlineLevel="0" collapsed="false"/>
    <row r="4" customFormat="false" ht="8.25" hidden="false" customHeight="true" outlineLevel="0" collapsed="false"/>
    <row r="5" customFormat="false" ht="15.75" hidden="false" customHeight="false" outlineLevel="0" collapsed="false">
      <c r="H5" s="162" t="inlineStr">
        <is>
          <t xml:space="preserve"> 330783</t>
        </is>
      </c>
      <c r="I5" s="162"/>
    </row>
    <row r="6" customFormat="false" ht="15.75" hidden="false" customHeight="true" outlineLevel="0" collapsed="false">
      <c r="G6" s="163"/>
      <c r="H6" s="162"/>
      <c r="I6" s="162"/>
    </row>
    <row r="7" customFormat="false" ht="24.75" hidden="false" customHeight="true" outlineLevel="0" collapsed="false">
      <c r="H7" s="164"/>
      <c r="I7" s="164"/>
    </row>
    <row r="8" customFormat="false" ht="19.5" hidden="false" customHeight="true" outlineLevel="0" collapsed="false">
      <c r="H8" s="165"/>
      <c r="I8" s="165"/>
    </row>
    <row r="9" customFormat="false" ht="11.25" hidden="false" customHeight="true" outlineLevel="0" collapsed="false">
      <c r="H9" s="166"/>
      <c r="I9" s="166"/>
    </row>
    <row r="10" customFormat="false" ht="6.75" hidden="false" customHeight="true" outlineLevel="0" collapsed="false">
      <c r="H10" s="167"/>
      <c r="I10" s="167"/>
    </row>
    <row r="11" customFormat="false" ht="15.75" hidden="false" customHeight="true" outlineLevel="0" collapsed="false">
      <c r="H11" s="167"/>
      <c r="I11" s="167"/>
    </row>
    <row r="12" customFormat="false" ht="12.75" hidden="false" customHeight="true" outlineLevel="0" collapsed="false">
      <c r="H12" s="167"/>
      <c r="I12" s="167"/>
    </row>
    <row r="13" customFormat="false" ht="11.25" hidden="true" customHeight="true" outlineLevel="0" collapsed="false"/>
    <row r="14" customFormat="false" ht="12" hidden="false" customHeight="true" outlineLevel="0" collapsed="false">
      <c r="G14" s="168"/>
      <c r="H14" s="168"/>
      <c r="I14" s="168"/>
      <c r="J14" s="168"/>
    </row>
    <row r="15" customFormat="false" ht="13.5" hidden="false" customHeight="true" outlineLevel="0" collapsed="false">
      <c r="A15" s="157"/>
      <c r="H15" s="169"/>
      <c r="I15" s="169"/>
      <c r="J15" s="157"/>
      <c r="L15" s="157"/>
      <c r="M15" s="157"/>
      <c r="N15" s="157"/>
      <c r="O15" s="157"/>
      <c r="P15" s="157"/>
      <c r="Q15" s="157"/>
      <c r="R15" s="157"/>
    </row>
    <row r="16" customFormat="false" ht="14.25" hidden="false" customHeight="true" outlineLevel="0" collapsed="false">
      <c r="A16" s="170"/>
      <c r="H16" s="169"/>
      <c r="I16" s="169"/>
      <c r="J16" s="157"/>
      <c r="L16" s="157"/>
      <c r="M16" s="157"/>
      <c r="N16" s="157"/>
      <c r="O16" s="157"/>
      <c r="P16" s="157"/>
      <c r="Q16" s="157"/>
      <c r="R16" s="157"/>
    </row>
    <row r="17" customFormat="false" ht="15.75" hidden="false" customHeight="false" outlineLevel="0" collapsed="false">
      <c r="A17" s="160"/>
      <c r="P17" s="160"/>
    </row>
    <row r="18" customFormat="false" ht="15.75" hidden="false" customHeight="false" outlineLevel="0" collapsed="false">
      <c r="I18" s="171"/>
    </row>
    <row r="19" customFormat="false" ht="14.25" hidden="false" customHeight="true" outlineLevel="0" collapsed="false">
      <c r="I19" s="171"/>
    </row>
    <row r="20" customFormat="false" ht="15" hidden="false" customHeight="false" outlineLevel="0" collapsed="false">
      <c r="G20" s="172"/>
      <c r="H20" s="173"/>
      <c r="I20" s="174"/>
      <c r="J20" s="173"/>
      <c r="L20" s="173"/>
      <c r="M20" s="173"/>
      <c r="N20" s="173"/>
      <c r="O20" s="173"/>
      <c r="P20" s="173"/>
      <c r="Q20" s="173"/>
      <c r="R20" s="173"/>
    </row>
    <row r="21" customFormat="false" ht="18.75" hidden="false" customHeight="false" outlineLevel="0" collapsed="false">
      <c r="B21" s="175"/>
      <c r="C21" s="176"/>
      <c r="H21" s="154"/>
      <c r="I21" s="177"/>
    </row>
    <row r="22" customFormat="false" ht="15.75" hidden="false" customHeight="false" outlineLevel="0" collapsed="false">
      <c r="A22" s="178"/>
      <c r="B22" s="179"/>
      <c r="C22" s="179"/>
      <c r="E22" s="180"/>
      <c r="F22" s="180"/>
      <c r="G22" s="180"/>
      <c r="I22" s="177"/>
      <c r="K22" s="181" t="inlineStr">
        <is>
          <t xml:space="preserve">原单价:</t>
        </is>
      </c>
      <c r="M22" s="182"/>
    </row>
    <row r="23" customFormat="false" ht="15.75" hidden="false" customHeight="false" outlineLevel="0" collapsed="false">
      <c r="A23" s="155"/>
      <c r="B23" s="183"/>
      <c r="C23" s="184"/>
      <c r="F23" s="158"/>
      <c r="G23" s="157"/>
      <c r="H23" s="185"/>
      <c r="I23" s="177"/>
      <c r="M23" s="182"/>
    </row>
    <row r="24" customFormat="false" ht="15" hidden="false" customHeight="true" outlineLevel="0" collapsed="false">
      <c r="A24" s="186"/>
      <c r="B24" s="183"/>
      <c r="C24" s="215"/>
      <c r="D24" s="188"/>
      <c r="E24" s="189" t="inlineStr">
        <is>
          <t xml:space="preserve">PCS</t>
        </is>
      </c>
      <c r="F24" s="189" t="inlineStr">
        <is>
          <t xml:space="preserve">USD</t>
        </is>
      </c>
      <c r="G24" s="188"/>
      <c r="H24" s="191" t="inlineStr">
        <is>
          <t xml:space="preserve">USD</t>
        </is>
      </c>
      <c r="I24" s="192"/>
      <c r="J24" s="193"/>
      <c r="K24" s="216"/>
      <c r="L24" s="195"/>
      <c r="M24" s="182"/>
    </row>
    <row r="25" customFormat="false" ht="15" hidden="false" customHeight="true" outlineLevel="0" collapsed="false">
      <c r="A25" s="186"/>
      <c r="B25" s="196"/>
      <c r="C25" s="215"/>
      <c r="D25" s="188"/>
      <c r="E25" s="189"/>
      <c r="F25" s="189"/>
      <c r="G25" s="188"/>
      <c r="H25" s="191"/>
      <c r="I25" s="192"/>
      <c r="J25" s="193"/>
      <c r="K25" s="216"/>
      <c r="L25" s="195"/>
      <c r="M25" s="182"/>
    </row>
    <row r="26" customFormat="false" ht="15.75" hidden="false" customHeight="true" outlineLevel="0" collapsed="false">
      <c r="A26" s="186"/>
      <c r="B26" s="197"/>
      <c r="C26" s="197"/>
      <c r="D26" s="188"/>
      <c r="E26" s="189"/>
      <c r="F26" s="189"/>
      <c r="G26" s="217"/>
      <c r="H26" s="191"/>
      <c r="I26" s="192"/>
      <c r="J26" s="218"/>
      <c r="K26" s="219"/>
      <c r="L26" s="210"/>
      <c r="M26" s="182"/>
    </row>
    <row r="27" customFormat="false" ht="15.75" hidden="false" customHeight="false" outlineLevel="0" collapsed="false">
      <c r="A27" s="186"/>
      <c r="B27" s="197"/>
      <c r="C27" s="197"/>
      <c r="D27" s="188"/>
      <c r="E27" s="189"/>
      <c r="F27" s="189"/>
      <c r="G27" s="217"/>
      <c r="H27" s="191"/>
      <c r="I27" s="192"/>
      <c r="J27" s="218"/>
      <c r="K27" s="219"/>
      <c r="L27" s="210"/>
      <c r="M27" s="182"/>
    </row>
    <row r="28" customFormat="false" ht="15.75" hidden="false" customHeight="true" outlineLevel="0" collapsed="false">
      <c r="A28" s="186"/>
      <c r="B28" s="197"/>
      <c r="C28" s="197"/>
      <c r="D28" s="188"/>
      <c r="E28" s="189"/>
      <c r="F28" s="189"/>
      <c r="G28" s="217"/>
      <c r="H28" s="191"/>
      <c r="I28" s="192"/>
      <c r="J28" s="218"/>
      <c r="K28" s="219"/>
      <c r="L28" s="210"/>
      <c r="M28" s="182"/>
    </row>
    <row r="29" customFormat="false" ht="15.75" hidden="false" customHeight="false" outlineLevel="0" collapsed="false">
      <c r="A29" s="186"/>
      <c r="B29" s="197"/>
      <c r="C29" s="197"/>
      <c r="D29" s="188"/>
      <c r="E29" s="189"/>
      <c r="F29" s="189"/>
      <c r="G29" s="217"/>
      <c r="H29" s="191"/>
      <c r="I29" s="192"/>
      <c r="J29" s="218"/>
      <c r="K29" s="220"/>
      <c r="L29" s="210"/>
      <c r="M29" s="182"/>
      <c r="Q29" s="198"/>
    </row>
    <row r="30" customFormat="false" ht="15.75" hidden="false" customHeight="false" outlineLevel="0" collapsed="false">
      <c r="A30" s="199"/>
      <c r="B30" s="197"/>
      <c r="C30" s="197"/>
      <c r="D30" s="221"/>
      <c r="E30" s="215"/>
      <c r="F30" s="215"/>
      <c r="G30" s="222"/>
      <c r="H30" s="223"/>
      <c r="I30" s="224"/>
      <c r="J30" s="218"/>
      <c r="K30" s="219"/>
      <c r="L30" s="210"/>
      <c r="M30" s="182"/>
      <c r="Q30" s="198"/>
    </row>
    <row r="31" customFormat="false" ht="15.75" hidden="false" customHeight="false" outlineLevel="0" collapsed="false">
      <c r="A31" s="199"/>
      <c r="B31" s="156"/>
      <c r="D31" s="225"/>
      <c r="E31" s="226"/>
      <c r="F31" s="227"/>
      <c r="G31" s="222"/>
      <c r="H31" s="228"/>
      <c r="I31" s="229"/>
      <c r="J31" s="218"/>
      <c r="K31" s="220"/>
      <c r="L31" s="210"/>
      <c r="Q31" s="200"/>
    </row>
    <row r="32" customFormat="false" ht="15.75" hidden="false" customHeight="false" outlineLevel="0" collapsed="false">
      <c r="B32" s="199"/>
      <c r="C32" s="230"/>
      <c r="D32" s="231"/>
      <c r="E32" s="228"/>
      <c r="F32" s="232"/>
      <c r="G32" s="222"/>
      <c r="H32" s="233"/>
      <c r="I32" s="234"/>
      <c r="J32" s="218"/>
      <c r="K32" s="235"/>
      <c r="L32" s="195"/>
      <c r="M32" s="195"/>
      <c r="N32" s="160"/>
      <c r="O32" s="160"/>
      <c r="P32" s="160"/>
      <c r="Q32" s="178"/>
    </row>
    <row r="33" customFormat="false" ht="13.5" hidden="false" customHeight="true" outlineLevel="0" collapsed="false">
      <c r="A33" s="199"/>
      <c r="B33" s="199"/>
      <c r="C33" s="236"/>
      <c r="D33" s="199"/>
      <c r="E33" s="199"/>
      <c r="F33" s="199"/>
      <c r="G33" s="199"/>
      <c r="H33" s="228"/>
      <c r="I33" s="237"/>
      <c r="K33" s="238"/>
      <c r="L33" s="195"/>
      <c r="M33" s="160"/>
      <c r="N33" s="160"/>
      <c r="O33" s="160"/>
      <c r="P33" s="160"/>
    </row>
    <row r="34" customFormat="false" ht="15" hidden="false" customHeight="true" outlineLevel="0" collapsed="false">
      <c r="A34" s="178"/>
      <c r="B34" s="178"/>
      <c r="C34" s="239"/>
      <c r="D34" s="225"/>
      <c r="E34" s="240"/>
      <c r="F34" s="185"/>
      <c r="G34" s="241"/>
      <c r="H34" s="191"/>
      <c r="I34" s="237"/>
      <c r="K34" s="238"/>
      <c r="L34" s="195"/>
      <c r="M34" s="172"/>
      <c r="N34" s="157"/>
      <c r="O34" s="160"/>
      <c r="P34" s="160"/>
      <c r="Q34" s="157"/>
      <c r="R34" s="157"/>
    </row>
    <row r="35" customFormat="false" ht="15" hidden="false" customHeight="true" outlineLevel="0" collapsed="false">
      <c r="A35" s="178"/>
      <c r="B35" s="178"/>
      <c r="C35" s="239"/>
      <c r="D35" s="225"/>
      <c r="E35" s="240"/>
      <c r="F35" s="185"/>
      <c r="G35" s="241"/>
      <c r="H35" s="191"/>
      <c r="I35" s="237"/>
      <c r="K35" s="238"/>
      <c r="L35" s="195"/>
      <c r="M35" s="172"/>
      <c r="N35" s="157"/>
      <c r="O35" s="156"/>
      <c r="P35" s="201"/>
      <c r="Q35" s="202"/>
      <c r="R35" s="157"/>
    </row>
    <row r="36" customFormat="false" ht="15.75" hidden="false" customHeight="false" outlineLevel="0" collapsed="false">
      <c r="A36" s="178"/>
      <c r="B36" s="178"/>
      <c r="C36" s="239"/>
      <c r="D36" s="225"/>
      <c r="E36" s="240"/>
      <c r="F36" s="185"/>
      <c r="G36" s="241"/>
      <c r="H36" s="191"/>
      <c r="I36" s="237"/>
      <c r="K36" s="238"/>
      <c r="L36" s="195"/>
      <c r="M36" s="172"/>
      <c r="N36" s="157"/>
      <c r="O36" s="156"/>
      <c r="P36" s="201"/>
      <c r="Q36" s="203"/>
      <c r="R36" s="160"/>
    </row>
    <row r="37" customFormat="false" ht="15.75" hidden="false" customHeight="false" outlineLevel="0" collapsed="false">
      <c r="A37" s="178"/>
      <c r="B37" s="178"/>
      <c r="C37" s="242"/>
      <c r="D37" s="243"/>
      <c r="E37" s="185"/>
      <c r="F37" s="185"/>
      <c r="G37" s="241"/>
      <c r="H37" s="191"/>
      <c r="I37" s="237"/>
      <c r="K37" s="238"/>
      <c r="L37" s="195"/>
      <c r="M37" s="172"/>
      <c r="N37" s="157"/>
      <c r="O37" s="156"/>
      <c r="P37" s="201"/>
    </row>
    <row r="38" customFormat="false" ht="15.75" hidden="false" customHeight="false" outlineLevel="0" collapsed="false">
      <c r="A38" s="178"/>
      <c r="B38" s="157"/>
      <c r="C38" s="244"/>
      <c r="F38" s="185"/>
      <c r="G38" s="241"/>
      <c r="H38" s="191"/>
      <c r="I38" s="237"/>
      <c r="K38" s="238"/>
      <c r="L38" s="195"/>
      <c r="M38" s="172"/>
      <c r="N38" s="155"/>
      <c r="O38" s="156"/>
      <c r="P38" s="201"/>
      <c r="Q38" s="203"/>
      <c r="R38" s="204"/>
    </row>
    <row r="39" customFormat="false" ht="15.75" hidden="false" customHeight="false" outlineLevel="0" collapsed="false">
      <c r="A39" s="178"/>
      <c r="B39" s="206"/>
      <c r="C39" s="178"/>
      <c r="F39" s="245"/>
      <c r="G39" s="245"/>
      <c r="H39" s="240"/>
      <c r="I39" s="246"/>
      <c r="K39" s="160"/>
      <c r="L39" s="195"/>
      <c r="M39" s="207"/>
      <c r="N39" s="160"/>
      <c r="O39" s="160"/>
      <c r="P39" s="160"/>
      <c r="Q39" s="205"/>
      <c r="R39" s="208"/>
    </row>
    <row r="40" customFormat="false" ht="15.75" hidden="false" customHeight="false" outlineLevel="0" collapsed="false">
      <c r="A40" s="178"/>
      <c r="B40" s="206"/>
      <c r="C40" s="156"/>
      <c r="E40" s="160"/>
      <c r="F40" s="154"/>
      <c r="G40" s="172"/>
      <c r="H40" s="185"/>
      <c r="I40" s="247"/>
      <c r="K40" s="161"/>
      <c r="L40" s="195"/>
      <c r="M40" s="207"/>
      <c r="N40" s="160"/>
      <c r="O40" s="160"/>
      <c r="P40" s="160"/>
      <c r="Q40" s="203"/>
      <c r="R40" s="204"/>
    </row>
    <row r="41" customFormat="false" ht="15.75" hidden="false" customHeight="false" outlineLevel="0" collapsed="false">
      <c r="A41" s="178"/>
      <c r="B41" s="206"/>
      <c r="C41" s="156"/>
      <c r="F41" s="154"/>
      <c r="G41" s="172"/>
      <c r="H41" s="154"/>
      <c r="I41" s="247"/>
      <c r="K41" s="161"/>
      <c r="L41" s="195"/>
      <c r="M41" s="207"/>
      <c r="N41" s="160"/>
      <c r="O41" s="160"/>
      <c r="P41" s="160"/>
    </row>
    <row r="42" customFormat="false" ht="15.75" hidden="false" customHeight="true" outlineLevel="0" collapsed="false">
      <c r="A42" s="178"/>
      <c r="B42" s="157"/>
      <c r="C42" s="157"/>
      <c r="G42" s="172"/>
      <c r="H42" s="154"/>
      <c r="I42" s="247"/>
      <c r="J42" s="173"/>
      <c r="K42" s="161"/>
      <c r="L42" s="195"/>
      <c r="M42" s="207"/>
      <c r="N42" s="173"/>
      <c r="O42" s="173"/>
      <c r="P42" s="173"/>
      <c r="Q42" s="173"/>
      <c r="R42" s="173"/>
    </row>
    <row r="43" customFormat="false" ht="15.75" hidden="false" customHeight="true" outlineLevel="0" collapsed="false">
      <c r="A43" s="178"/>
      <c r="B43" s="206"/>
      <c r="C43" s="178"/>
      <c r="F43" s="154"/>
      <c r="G43" s="172"/>
      <c r="H43" s="154"/>
      <c r="I43" s="247"/>
      <c r="J43" s="248"/>
      <c r="K43" s="161"/>
      <c r="L43" s="249"/>
      <c r="M43" s="207"/>
      <c r="N43" s="173"/>
      <c r="O43" s="173"/>
      <c r="P43" s="173"/>
      <c r="Q43" s="173"/>
      <c r="R43" s="173"/>
    </row>
    <row r="44" customFormat="false" ht="30" hidden="false" customHeight="true" outlineLevel="0" collapsed="false">
      <c r="A44" s="178"/>
      <c r="B44" s="206"/>
      <c r="F44" s="154"/>
      <c r="G44" s="172"/>
      <c r="H44" s="154"/>
      <c r="I44" s="247"/>
      <c r="L44" s="210"/>
      <c r="M44" s="207"/>
    </row>
    <row r="45" customFormat="false" ht="39" hidden="false" customHeight="true" outlineLevel="0" collapsed="false">
      <c r="G45" s="158"/>
      <c r="H45" s="154"/>
      <c r="I45" s="209"/>
      <c r="L45" s="210"/>
    </row>
    <row r="46" customFormat="false" ht="15.75" hidden="false" customHeight="true" outlineLevel="0" collapsed="false">
      <c r="H46" s="211" t="inlineStr">
        <is>
          <t xml:space="preserve">USD</t>
        </is>
      </c>
      <c r="I46" s="212">
        <f>SUM(I24:I45)</f>
        <v>0</v>
      </c>
      <c r="L46" s="212">
        <f>L24</f>
        <v>0</v>
      </c>
      <c r="N46" s="160"/>
    </row>
    <row r="47" customFormat="false" ht="10.5" hidden="true" customHeight="true" outlineLevel="0" collapsed="false">
      <c r="I47" s="209"/>
      <c r="L47" s="210"/>
    </row>
    <row r="48" customFormat="false" ht="27" hidden="false" customHeight="true" outlineLevel="0" collapsed="false">
      <c r="H48" s="160"/>
      <c r="I48" s="160"/>
    </row>
    <row r="49" customFormat="false" ht="15.75" hidden="false" customHeight="false" outlineLevel="0" collapsed="false">
      <c r="H49" s="213"/>
      <c r="I49" s="171"/>
      <c r="L49" s="210"/>
    </row>
  </sheetData>
  <mergeCells count="7">
    <mergeCell ref="H5:I6"/>
    <mergeCell ref="H7:I7"/>
    <mergeCell ref="H8:I8"/>
    <mergeCell ref="H10:I12"/>
    <mergeCell ref="G14:J14"/>
    <mergeCell ref="H15:I16"/>
    <mergeCell ref="F39:G39"/>
  </mergeCells>
  <printOptions headings="false" gridLines="false" gridLinesSet="true" horizontalCentered="false" verticalCentered="false"/>
  <pageMargins left="0.390277777777778" right="0.129861111111111" top="2.32013888888889" bottom="0.329861111111111" header="0.511811023622047" footer="0.170138888888889"/>
  <pageSetup paperSize="9" scale="100" fitToWidth="1" fitToHeight="1" pageOrder="downThenOver" orientation="portrait" blackAndWhite="false" draft="false" cellComments="none" horizontalDpi="300" verticalDpi="300" copies="1"/>
</worksheet>
</file>