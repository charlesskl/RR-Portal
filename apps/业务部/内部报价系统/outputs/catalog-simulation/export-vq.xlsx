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混装报客价" state="visible" r:id="rId4"/>
  </sheets>
  <calcPr calcId="171027" fullCalcOnLoad="1"/>
</workbook>
</file>

<file path=xl/sharedStrings.xml><?xml version="1.0" encoding="utf-8"?>
<sst xmlns="http://schemas.openxmlformats.org/spreadsheetml/2006/main" count="23" uniqueCount="23">
  <si>
    <t>货号</t>
  </si>
  <si>
    <t>小产品</t>
  </si>
  <si>
    <t>NA比例</t>
  </si>
  <si>
    <t>每款报价 HKD</t>
  </si>
  <si>
    <t>每款报价 USD</t>
  </si>
  <si>
    <t>A</t>
  </si>
  <si>
    <t>产品A</t>
  </si>
  <si>
    <t>B</t>
  </si>
  <si>
    <t>产品B</t>
  </si>
  <si>
    <t>小产品平均报价 USD</t>
  </si>
  <si>
    <t>每包装小产品数量</t>
  </si>
  <si>
    <t>每包装共有费用及摊费 USD</t>
  </si>
  <si>
    <t>附加费 USD</t>
  </si>
  <si>
    <t>每包装最终报价 USD</t>
  </si>
  <si>
    <t>每包装最终报价 HKD</t>
  </si>
  <si>
    <t>主货号 / 产品</t>
  </si>
  <si>
    <t>SIM-CATALOG-WORKFLOW / 两款共用零件＋球壳模拟</t>
  </si>
  <si>
    <t>客户</t>
  </si>
  <si>
    <t>TEST</t>
  </si>
  <si>
    <t>平均方式</t>
  </si>
  <si>
    <t>等量平均</t>
  </si>
  <si>
    <t>报价除数 / HKD→USD 汇率</t>
  </si>
  <si>
    <t>0.99 / 7.75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</si>
</sst>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0" fontId="1" fillId="2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style="1" customWidth="1"/>
    <col min="3" max="3" width="24" style="2" customWidth="1"/>
    <col min="4" max="5" width="24" customWidth="1"/>
  </cols>
  <sheetData>
    <row r="1" ht="25" customHeight="1" spans="1:5" s="3" customFormat="1" x14ac:dyDescent="0.25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</row>
    <row r="2" ht="25" customHeight="1" spans="1:5" x14ac:dyDescent="0.25">
      <c r="A2" s="7" t="s">
        <v>5</v>
      </c>
      <c r="B2" s="8" t="s">
        <v>6</v>
      </c>
      <c r="C2" s="9">
        <v>0.5</v>
      </c>
      <c r="D2" s="8">
        <v>0.7911111111111112</v>
      </c>
      <c r="E2" s="8">
        <v>0.10207885304659499</v>
      </c>
    </row>
    <row r="3" ht="25" customHeight="1" spans="1:5" x14ac:dyDescent="0.25">
      <c r="A3" s="7" t="s">
        <v>7</v>
      </c>
      <c r="B3" s="8" t="s">
        <v>8</v>
      </c>
      <c r="C3" s="9">
        <v>0.5</v>
      </c>
      <c r="D3" s="8">
        <v>1.6933333333333334</v>
      </c>
      <c r="E3" s="8">
        <v>0.218494623655914</v>
      </c>
    </row>
    <row r="5" spans="1:3" x14ac:dyDescent="0.25">
      <c r="A5" t="s">
        <v>9</v>
      </c>
      <c r="B5" s="1">
        <f>SUMPRODUCT(C2:C3,E2:E3)</f>
        <v>0.16028673835125448</v>
      </c>
      <c r="C5" s="2"/>
    </row>
    <row r="6" spans="1:3" x14ac:dyDescent="0.25">
      <c r="A6" t="s">
        <v>10</v>
      </c>
      <c r="B6" s="1">
        <v>2</v>
      </c>
      <c r="C6" s="2"/>
    </row>
    <row r="7" spans="1:3" x14ac:dyDescent="0.25">
      <c r="A7" t="s">
        <v>11</v>
      </c>
      <c r="B7" s="1">
        <v>0.08602150537634409</v>
      </c>
      <c r="C7" s="2"/>
    </row>
    <row r="8" spans="1:3" x14ac:dyDescent="0.25">
      <c r="A8" t="s">
        <v>12</v>
      </c>
      <c r="B8" s="1">
        <f>(B5*B6+B7)*0/100*1.1/0.99</f>
        <v>0</v>
      </c>
      <c r="C8" s="2"/>
    </row>
    <row r="9" spans="1:3" x14ac:dyDescent="0.25">
      <c r="A9" t="s">
        <v>13</v>
      </c>
      <c r="B9" s="1">
        <f>B5*B6+B7+B8</f>
        <v>0.40659498207885303</v>
      </c>
      <c r="C9" s="2"/>
    </row>
    <row r="10" spans="1:3" x14ac:dyDescent="0.25">
      <c r="A10" t="s">
        <v>14</v>
      </c>
      <c r="B10" s="1">
        <f>B9*7.75</f>
        <v>3.1511111111111108</v>
      </c>
      <c r="C10" s="2"/>
    </row>
    <row r="11" spans="1:3" x14ac:dyDescent="0.25">
      <c r="A11" t="s">
        <v>15</v>
      </c>
      <c r="B11" s="1" t="s">
        <v>16</v>
      </c>
      <c r="C11" s="2"/>
    </row>
    <row r="12" spans="1:3" x14ac:dyDescent="0.25">
      <c r="A12" t="s">
        <v>17</v>
      </c>
      <c r="B12" s="1" t="s">
        <v>18</v>
      </c>
      <c r="C12" s="2"/>
    </row>
    <row r="13" spans="1:3" x14ac:dyDescent="0.25">
      <c r="A13" t="s">
        <v>19</v>
      </c>
      <c r="B13" s="1" t="s">
        <v>20</v>
      </c>
      <c r="C13" s="2"/>
    </row>
    <row r="14" spans="1:3" x14ac:dyDescent="0.25">
      <c r="A14" t="s">
        <v>21</v>
      </c>
      <c r="B14" s="1" t="s">
        <v>22</v>
      </c>
      <c r="C14" s="2"/>
    </row>
  </sheetData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混装报客价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内部报价系统</dc:creator>
  <dc:title/>
  <dc:subject/>
  <dc:description/>
  <cp:keywords/>
  <cp:category/>
  <cp:lastModifiedBy>Unknown</cp:lastModifiedBy>
  <dcterms:created xsi:type="dcterms:W3CDTF">2026-09-30T02:03:24Z</dcterms:created>
  <dcterms:modified xsi:type="dcterms:W3CDTF">2026-09-30T02:03:24Z</dcterms:modified>
</cp:coreProperties>
</file>