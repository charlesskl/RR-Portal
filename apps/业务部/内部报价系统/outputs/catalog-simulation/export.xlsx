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2" name="总报价表" state="visible" r:id="rId4"/>
    <sheet sheetId="2" name="模具报价" state="visible" r:id="rId5"/>
    <sheet sheetId="5" name="啤机明细" state="visible" r:id="rId6"/>
    <sheet sheetId="18" name="吹气明细" state="visible" r:id="rId7"/>
    <sheet sheetId="19" name="电子明细" state="visible" r:id="rId8"/>
    <sheet sheetId="20" name="车缝明细" state="visible" r:id="rId9"/>
    <sheet sheetId="21" name="装配明细" state="visible" r:id="rId10"/>
    <sheet sheetId="22" name="喷油明细" state="visible" r:id="rId11"/>
    <sheet sheetId="23" name="搪胶明细" state="visible" r:id="rId12"/>
  </sheets>
  <definedNames>
    <definedName name="_xlnm.Print_Area" localSheetId="0">'总报价表'!$A1:$AB99</definedName>
    <definedName name="_xlnm.Print_Titles" localSheetId="0">'总报价表'!$A:$B</definedName>
    <definedName name="_xlnm.Print_Area" localSheetId="1">'模具报价'!$A1:$Q4</definedName>
    <definedName name="_xlnm.Print_Titles" localSheetId="1">'模具报价'!$A:$B</definedName>
    <definedName name="_xlnm.Print_Area" localSheetId="2">'啤机明细'!$A1:$N6</definedName>
    <definedName name="_xlnm.Print_Titles" localSheetId="2">'啤机明细'!$A:$B</definedName>
    <definedName name="_xlnm.Print_Area" localSheetId="3">'吹气明细'!$A1:$E16</definedName>
    <definedName name="_xlnm.Print_Titles" localSheetId="3">'吹气明细'!$A:$B</definedName>
    <definedName name="_xlnm.Print_Area" localSheetId="4">'电子明细'!$A1:$E4</definedName>
    <definedName name="_xlnm.Print_Titles" localSheetId="4">'电子明细'!$A:$B</definedName>
    <definedName name="_xlnm.Print_Area" localSheetId="5">'车缝明细'!$A1:$E4</definedName>
    <definedName name="_xlnm.Print_Titles" localSheetId="5">'车缝明细'!$A:$B</definedName>
    <definedName name="_xlnm.Print_Area" localSheetId="6">'装配明细'!$A1:$E4</definedName>
    <definedName name="_xlnm.Print_Titles" localSheetId="6">'装配明细'!$A:$B</definedName>
    <definedName name="_xlnm.Print_Area" localSheetId="7">'喷油明细'!$A1:$E4</definedName>
    <definedName name="_xlnm.Print_Titles" localSheetId="7">'喷油明细'!$A:$B</definedName>
    <definedName name="_xlnm.Print_Area" localSheetId="8">'搪胶明细'!$A1:$E4</definedName>
    <definedName name="_xlnm.Print_Titles" localSheetId="8">'搪胶明细'!$A:$B</definedName>
  </definedNames>
  <calcPr calcId="171027" fullCalcOnLoad="1"/>
</workbook>
</file>

<file path=xl/sharedStrings.xml><?xml version="1.0" encoding="utf-8"?>
<sst xmlns="http://schemas.openxmlformats.org/spreadsheetml/2006/main" count="381" uniqueCount="229">
  <si>
    <t>SIM-CATALOG-WORKFLOW 两款共用零件＋球壳模拟 混装内部报价明细</t>
  </si>
  <si>
    <t>客户：TEST    数量：1000    创建：2026-09-30 02:03:24</t>
  </si>
  <si>
    <t>二、注塑部分</t>
  </si>
  <si>
    <t>模号</t>
  </si>
  <si>
    <t>零件名称</t>
  </si>
  <si>
    <t>材质</t>
  </si>
  <si>
    <t>啤净重(g)</t>
  </si>
  <si>
    <t>料损耗 0%</t>
  </si>
  <si>
    <t>料价 HK$/g</t>
  </si>
  <si>
    <t>原料单价 HK$</t>
  </si>
  <si>
    <t>机台</t>
  </si>
  <si>
    <t>啤价 HK$/啤</t>
  </si>
  <si>
    <t>套数</t>
  </si>
  <si>
    <t>机型</t>
  </si>
  <si>
    <t>目标数</t>
  </si>
  <si>
    <t>周期(秒)</t>
  </si>
  <si>
    <t>成品金额 HK$</t>
  </si>
  <si>
    <t>日费用 HKD</t>
  </si>
  <si>
    <t>日产啤次</t>
  </si>
  <si>
    <t>出模数</t>
  </si>
  <si>
    <t>需求量（手填）</t>
  </si>
  <si>
    <t>完成啤次</t>
  </si>
  <si>
    <t>阶段每穴费用</t>
  </si>
  <si>
    <t>累计啤工 HKD</t>
  </si>
  <si>
    <t>每件啤工 HKD</t>
  </si>
  <si>
    <t>每啤价 HKD</t>
  </si>
  <si>
    <t>上一阶段完成啤次</t>
  </si>
  <si>
    <t>M1</t>
  </si>
  <si>
    <t>共用盒子</t>
  </si>
  <si>
    <t>PP</t>
  </si>
  <si>
    <t>4</t>
  </si>
  <si>
    <t>M2</t>
  </si>
  <si>
    <t>A主体</t>
  </si>
  <si>
    <t>PVC</t>
  </si>
  <si>
    <t>2</t>
  </si>
  <si>
    <t>M3</t>
  </si>
  <si>
    <t>B主体</t>
  </si>
  <si>
    <t>6</t>
  </si>
  <si>
    <t>M4</t>
  </si>
  <si>
    <t>球壳</t>
  </si>
  <si>
    <t>总合计</t>
  </si>
  <si>
    <t>零件单价合计</t>
  </si>
  <si>
    <t>纸箱 / 运费计算</t>
  </si>
  <si>
    <t>名称</t>
  </si>
  <si>
    <t>L (inch)</t>
  </si>
  <si>
    <t>W</t>
  </si>
  <si>
    <t>H</t>
  </si>
  <si>
    <t>产品尺寸（英寸）</t>
  </si>
  <si>
    <t>CU.FT</t>
  </si>
  <si>
    <t>箱价 (HK$)</t>
  </si>
  <si>
    <t>数量</t>
  </si>
  <si>
    <t>主纸箱</t>
  </si>
  <si>
    <t>主平卡</t>
  </si>
  <si>
    <t>运输方案</t>
  </si>
  <si>
    <t>每箱箱积 CUFT</t>
  </si>
  <si>
    <t>每箱包装数</t>
  </si>
  <si>
    <t>货柜容量 CUFT</t>
  </si>
  <si>
    <t>整柜费用 HKD</t>
  </si>
  <si>
    <t>运费占比</t>
  </si>
  <si>
    <t>吊柜费占比</t>
  </si>
  <si>
    <t>每柜箱数</t>
  </si>
  <si>
    <t>运费 HKD / 包装</t>
  </si>
  <si>
    <t>吊柜费 HKD / 包装</t>
  </si>
  <si>
    <t>合计 HKD / 包装</t>
  </si>
  <si>
    <t>出厂价</t>
  </si>
  <si>
    <t>纸箱尺寸、纸质及单价尚未填写；上表箱积和装箱数用于运输分摊。</t>
  </si>
  <si>
    <t>各小产品费用明细及合计（HKD）</t>
  </si>
  <si>
    <t>金额单位：HKD  ｜  分类金额为原始成本；NA后金额＝成本合计×NA比例；共有费用每包装计一次。</t>
  </si>
  <si>
    <t>货号</t>
  </si>
  <si>
    <t>品名</t>
  </si>
  <si>
    <t>进口料</t>
  </si>
  <si>
    <t>国内料</t>
  </si>
  <si>
    <t>啤工</t>
  </si>
  <si>
    <t>喷工</t>
  </si>
  <si>
    <t>油漆</t>
  </si>
  <si>
    <t xml:space="preserve">装工＋
入纸袋／包装</t>
  </si>
  <si>
    <t>五金</t>
  </si>
  <si>
    <t>马达</t>
  </si>
  <si>
    <t>吸塑</t>
  </si>
  <si>
    <t>胶袋</t>
  </si>
  <si>
    <t>彩盒/内咭</t>
  </si>
  <si>
    <t>电池</t>
  </si>
  <si>
    <t>产品利宝</t>
  </si>
  <si>
    <t>彩盒利宝</t>
  </si>
  <si>
    <t>电镀</t>
  </si>
  <si>
    <t>其他外购</t>
  </si>
  <si>
    <t>纸箱</t>
  </si>
  <si>
    <t>电子</t>
  </si>
  <si>
    <t>吹气</t>
  </si>
  <si>
    <t>搪胶</t>
  </si>
  <si>
    <t>车发</t>
  </si>
  <si>
    <t>车衣</t>
  </si>
  <si>
    <t>成本合计 HKD</t>
  </si>
  <si>
    <t>NA比例</t>
  </si>
  <si>
    <t>NA比例后合计 HKD</t>
  </si>
  <si>
    <t>A</t>
  </si>
  <si>
    <t>产品A</t>
  </si>
  <si>
    <t>B</t>
  </si>
  <si>
    <t>产品B</t>
  </si>
  <si>
    <t>小产品合计</t>
  </si>
  <si>
    <t>2款，不含共有费用</t>
  </si>
  <si>
    <t>全部小产品平均价（NA）</t>
  </si>
  <si>
    <t>各款分类金额×NA比例，再求和</t>
  </si>
  <si>
    <t>共有费用</t>
  </si>
  <si>
    <t>每包装共有项目</t>
  </si>
  <si>
    <t>每包装一次</t>
  </si>
  <si>
    <t>合计</t>
  </si>
  <si>
    <t>NA平均价＋共有费用</t>
  </si>
  <si>
    <t>十一、出货价算价</t>
  </si>
  <si>
    <t>金额按每包装计算  ·  蓝色列为报客方案</t>
  </si>
  <si>
    <t>报价计算 · HKD / USD</t>
  </si>
  <si>
    <t>运输方案对比 · HKD / 包装</t>
  </si>
  <si>
    <t>项目</t>
  </si>
  <si>
    <t>参数</t>
  </si>
  <si>
    <t>出厂价（报客方案）</t>
  </si>
  <si>
    <t>运费 HKD</t>
  </si>
  <si>
    <t>吊柜费 HKD</t>
  </si>
  <si>
    <t>主体小计 HKD（不含车缝、电子）</t>
  </si>
  <si>
    <t>YT 40柜</t>
  </si>
  <si>
    <t>参数未齐</t>
  </si>
  <si>
    <t>YT 20柜</t>
  </si>
  <si>
    <t>HK 40柜</t>
  </si>
  <si>
    <t>含运 HKD</t>
  </si>
  <si>
    <t>HK 20柜</t>
  </si>
  <si>
    <t>主体码点 ×</t>
  </si>
  <si>
    <t>YT 5吨车</t>
  </si>
  <si>
    <t>车缝 HKD</t>
  </si>
  <si>
    <t>YT 10吨车</t>
  </si>
  <si>
    <t>车缝码点 ×</t>
  </si>
  <si>
    <t>HK 5吨车</t>
  </si>
  <si>
    <t>电子 HKD</t>
  </si>
  <si>
    <t>HK 10吨车</t>
  </si>
  <si>
    <t>电子码点 ×</t>
  </si>
  <si>
    <t>码点后合计 HKD</t>
  </si>
  <si>
    <t>统一找数 ÷</t>
  </si>
  <si>
    <t>费用摊分（USD / 包装）</t>
  </si>
  <si>
    <t>TOTAL USD（HKD ÷ 汇率）</t>
  </si>
  <si>
    <t>模具、手办及测试摊费</t>
  </si>
  <si>
    <t>模具、手办及测试摊费 USD</t>
  </si>
  <si>
    <t>额外摊费</t>
  </si>
  <si>
    <t>额外摊费 USD</t>
  </si>
  <si>
    <t>TOTAL USD</t>
  </si>
  <si>
    <t>附加税 %</t>
  </si>
  <si>
    <t>附加税码点 ×</t>
  </si>
  <si>
    <t>附加税找数 ÷</t>
  </si>
  <si>
    <t>TOTAL 报客价 USD</t>
  </si>
  <si>
    <t>十二、减税明细 / 成本汇总</t>
  </si>
  <si>
    <t>一、出厂货价核</t>
  </si>
  <si>
    <t>货价</t>
  </si>
  <si>
    <t>二、包装 / 外购</t>
  </si>
  <si>
    <t>未减税前码数</t>
  </si>
  <si>
    <t>减税后码数</t>
  </si>
  <si>
    <t>利宝</t>
  </si>
  <si>
    <t>运费</t>
  </si>
  <si>
    <t>吊柜费</t>
  </si>
  <si>
    <t>杂项</t>
  </si>
  <si>
    <t>三、人工 &amp; 成本汇总</t>
  </si>
  <si>
    <t>喷油工</t>
  </si>
  <si>
    <t>装配工</t>
  </si>
  <si>
    <t>不含人工成本</t>
  </si>
  <si>
    <t>人工比例</t>
  </si>
  <si>
    <t>毛利</t>
  </si>
  <si>
    <t>毛利率</t>
  </si>
  <si>
    <t>利润</t>
  </si>
  <si>
    <t>利润率</t>
  </si>
  <si>
    <t>总成本</t>
  </si>
  <si>
    <t>四、减税明细</t>
  </si>
  <si>
    <t>含税13%类成本</t>
  </si>
  <si>
    <t>纸箱类</t>
  </si>
  <si>
    <t>含税1%</t>
  </si>
  <si>
    <t>搪胶类3%</t>
  </si>
  <si>
    <t>车发类13%</t>
  </si>
  <si>
    <t>车衣类13%</t>
  </si>
  <si>
    <t>吸塑类6%</t>
  </si>
  <si>
    <t>运费类9%</t>
  </si>
  <si>
    <t>含税13%类</t>
  </si>
  <si>
    <t>合计减税</t>
  </si>
  <si>
    <t>税率 %</t>
  </si>
  <si>
    <t>—</t>
  </si>
  <si>
    <t>减税后成本</t>
  </si>
  <si>
    <t>减税后毛利</t>
  </si>
  <si>
    <t>减税后毛利率</t>
  </si>
  <si>
    <t>减税后利润</t>
  </si>
  <si>
    <t>减税后利润率</t>
  </si>
  <si>
    <t>附录：NA加权成本明细</t>
  </si>
  <si>
    <t>小产品</t>
  </si>
  <si>
    <t>啤工 HKD</t>
  </si>
  <si>
    <t>装配人工 HKD</t>
  </si>
  <si>
    <t>喷油人工 HKD</t>
  </si>
  <si>
    <t>油料 HKD</t>
  </si>
  <si>
    <t>进口塑胶 HKD</t>
  </si>
  <si>
    <t>国产塑胶 HKD</t>
  </si>
  <si>
    <t>吹气 HKD</t>
  </si>
  <si>
    <t>搪胶 HKD</t>
  </si>
  <si>
    <t>车发 HKD</t>
  </si>
  <si>
    <t>车衣 HKD</t>
  </si>
  <si>
    <t>五金 HKD</t>
  </si>
  <si>
    <t>马达 HKD</t>
  </si>
  <si>
    <t>吸塑 HKD</t>
  </si>
  <si>
    <t>胶袋 HKD</t>
  </si>
  <si>
    <t>彩盒/内咭 HKD</t>
  </si>
  <si>
    <t>电池 HKD</t>
  </si>
  <si>
    <t>利宝 HKD</t>
  </si>
  <si>
    <t>电镀 HKD</t>
  </si>
  <si>
    <t>其他外购 HKD</t>
  </si>
  <si>
    <t>纸箱 HKD</t>
  </si>
  <si>
    <t>吊柜 HKD</t>
  </si>
  <si>
    <t>印尼运费 HKD</t>
  </si>
  <si>
    <t>合计 HKD</t>
  </si>
  <si>
    <t>分类平均价</t>
  </si>
  <si>
    <t>共有费用另计</t>
  </si>
  <si>
    <t>SIM-CATALOG-WORKFLOW 两款共用零件＋球壳模拟 混装模具报价</t>
  </si>
  <si>
    <t>序号</t>
  </si>
  <si>
    <t>模具名称</t>
  </si>
  <si>
    <t>模胚类型</t>
  </si>
  <si>
    <t>模具尺寸</t>
  </si>
  <si>
    <t>图   片</t>
  </si>
  <si>
    <t>模具价格（RMB）</t>
  </si>
  <si>
    <t>模具价格（USD）</t>
  </si>
  <si>
    <t>模价 HKD</t>
  </si>
  <si>
    <t/>
  </si>
  <si>
    <t>小产品名称</t>
  </si>
  <si>
    <t>部门费用 HKD（未乘NA）</t>
  </si>
  <si>
    <t>NA后金额 HKD</t>
  </si>
  <si>
    <t>共有</t>
  </si>
  <si>
    <t>A · 产品A</t>
  </si>
  <si>
    <t>啤机部·吹气明细</t>
  </si>
  <si>
    <t>B · 产品B</t>
  </si>
  <si>
    <t>共有 · 每包装共有项目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</si>
</sst>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0"/>
    <numFmt numFmtId="165" formatCode="0.00000"/>
    <numFmt numFmtId="166" formatCode="&quot;HK$&quot;0.00"/>
    <numFmt numFmtId="167" formatCode="0.0000;-0.0000;;@"/>
  </numFmts>
  <fonts count="17" x14ac:knownFonts="1">
    <font>
      <color theme="1"/>
      <family val="2"/>
      <scheme val="minor"/>
      <sz val="11"/>
      <name val="Calibri"/>
    </font>
    <font>
      <b/>
      <color rgb="FFFFFFFF"/>
      <sz val="16"/>
      <name val="Microsoft YaHei"/>
    </font>
    <font>
      <i/>
      <color rgb="FF60758A"/>
      <sz val="10"/>
      <name val="Microsoft YaHei"/>
    </font>
    <font>
      <b/>
      <color rgb="FFFFFFFF"/>
      <sz val="12"/>
      <name val="Microsoft YaHei"/>
    </font>
    <font>
      <b/>
      <color rgb="FF24374B"/>
      <sz val="11"/>
      <name val="Microsoft YaHei"/>
    </font>
    <font>
      <color rgb="FF24374B"/>
      <sz val="11"/>
      <name val="Microsoft YaHei"/>
    </font>
    <font>
      <b/>
      <color rgb="FF24374B"/>
      <sz val="10"/>
      <name val="Microsoft YaHei"/>
    </font>
    <font>
      <b/>
      <color rgb="FFFFFFFF"/>
      <sz val="14"/>
      <name val="Microsoft YaHei"/>
    </font>
    <font>
      <color rgb="FF60758A"/>
      <sz val="10"/>
      <name val="Microsoft YaHei"/>
    </font>
    <font>
      <color rgb="FF24374B"/>
      <sz val="10"/>
      <name val="Microsoft YaHei"/>
    </font>
    <font>
      <b/>
      <color rgb="FF173E5B"/>
      <sz val="11"/>
      <name val="Microsoft YaHei"/>
    </font>
    <font>
      <b/>
      <color rgb="FFFFFFFF"/>
      <sz val="11"/>
      <name val="Microsoft YaHei"/>
    </font>
    <font>
      <b/>
      <color rgb="FF103C5D"/>
      <sz val="14"/>
      <name val="Microsoft YaHei"/>
    </font>
    <font>
      <b/>
      <color rgb="FF111111"/>
      <sz val="12"/>
      <name val="Microsoft YaHei"/>
    </font>
    <font>
      <b/>
      <color rgb="FF103C5D"/>
      <sz val="11"/>
      <name val="Microsoft YaHei"/>
    </font>
    <font>
      <color rgb="FF333333"/>
      <sz val="11"/>
      <name val="Microsoft YaHei"/>
    </font>
    <font>
      <b/>
      <color rgb="FFFFFFFF"/>
      <name val="Microsoft YaHei"/>
    </font>
  </fonts>
  <fills count="16">
    <fill>
      <patternFill patternType="none"/>
    </fill>
    <fill>
      <patternFill patternType="gray125"/>
    </fill>
    <fill>
      <patternFill patternType="solid">
        <fgColor rgb="FF103B5C"/>
      </patternFill>
    </fill>
    <fill>
      <patternFill patternType="solid">
        <fgColor rgb="FFF0F4F8"/>
      </patternFill>
    </fill>
    <fill>
      <patternFill patternType="solid">
        <fgColor rgb="FF173E5B"/>
      </patternFill>
    </fill>
    <fill>
      <patternFill patternType="solid">
        <fgColor rgb="FFE4EEF7"/>
      </patternFill>
    </fill>
    <fill>
      <patternFill patternType="solid">
        <fgColor rgb="FFF7FAFD"/>
      </patternFill>
    </fill>
    <fill>
      <patternFill patternType="solid">
        <fgColor rgb="FFFFF3CC"/>
      </patternFill>
    </fill>
    <fill>
      <patternFill patternType="solid">
        <fgColor rgb="FFFFFFFF"/>
      </patternFill>
    </fill>
    <fill>
      <patternFill patternType="solid">
        <fgColor rgb="FFFFF3D2"/>
      </patternFill>
    </fill>
    <fill>
      <patternFill patternType="solid">
        <fgColor rgb="FF28638D"/>
      </patternFill>
    </fill>
    <fill>
      <patternFill patternType="solid">
        <fgColor rgb="FFEDF5FC"/>
      </patternFill>
    </fill>
    <fill>
      <patternFill patternType="solid">
        <fgColor rgb="FFD9E5EC"/>
      </patternFill>
    </fill>
    <fill>
      <patternFill patternType="solid">
        <fgColor rgb="FFE7F0F5"/>
      </patternFill>
    </fill>
    <fill>
      <patternFill patternType="solid">
        <fgColor rgb="FFDCEAF4"/>
      </patternFill>
    </fill>
    <fill>
      <patternFill patternType="solid">
        <fgColor rgb="FF234E70"/>
      </patternFill>
    </fill>
  </fills>
  <borders count="9">
    <border>
      <left/>
      <right/>
      <top/>
      <bottom/>
      <diagonal/>
    </border>
    <border>
      <left/>
      <right/>
      <top/>
      <bottom style="hair">
        <color rgb="FFD6E1EB"/>
      </bottom>
      <diagonal/>
    </border>
    <border>
      <left style="thin">
        <color rgb="FFD1DEEA"/>
      </left>
      <right style="thin">
        <color rgb="FFD1DEEA"/>
      </right>
      <top style="thin">
        <color rgb="FFD1DEEA"/>
      </top>
      <bottom style="thin">
        <color rgb="FFD1DEEA"/>
      </bottom>
      <diagonal/>
    </border>
    <border>
      <left/>
      <right/>
      <top/>
      <bottom style="thin">
        <color rgb="FFD6E1EB"/>
      </bottom>
      <diagonal/>
    </border>
    <border>
      <left style="thin">
        <color rgb="FFB7CAD9"/>
      </left>
      <right style="thin">
        <color rgb="FFB7CAD9"/>
      </right>
      <top style="thin">
        <color rgb="FFB7CAD9"/>
      </top>
      <bottom style="thin">
        <color rgb="FFB7CAD9"/>
      </bottom>
      <diagonal/>
    </border>
    <border>
      <left style="thin">
        <color rgb="FF6397BD"/>
      </left>
      <right style="thin">
        <color rgb="FF6397BD"/>
      </right>
      <top style="thin">
        <color rgb="FFB7CAD9"/>
      </top>
      <bottom style="thin">
        <color rgb="FFB7CAD9"/>
      </bottom>
      <diagonal/>
    </border>
    <border>
      <left/>
      <right/>
      <top style="medium">
        <color rgb="FF6397BD"/>
      </top>
      <bottom style="thin">
        <color rgb="FFB7CAD9"/>
      </bottom>
      <diagonal/>
    </border>
    <border>
      <left/>
      <right/>
      <top/>
      <bottom style="medium">
        <color rgb="FF4299CB"/>
      </bottom>
      <diagonal/>
    </border>
    <border>
      <left style="thin">
        <color rgb="FFA9BDC9"/>
      </left>
      <right style="thin">
        <color rgb="FFA9BDC9"/>
      </right>
      <top style="thin">
        <color rgb="FFA9BDC9"/>
      </top>
      <bottom style="thin">
        <color rgb="FFA9BDC9"/>
      </bottom>
      <diagonal/>
    </border>
  </borders>
  <cellStyleXfs count="1">
    <xf numFmtId="0" fontId="0" fillId="0" borderId="0"/>
  </cellStyleXfs>
  <cellXfs count="87">
    <xf numFmtId="0" fontId="0" fillId="0" borderId="0" xfId="0"/>
    <xf numFmtId="49" fontId="1" fillId="2" borderId="1" xfId="0" applyNumberFormat="1" applyFont="1" applyFill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4" fillId="5" borderId="2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center" vertical="center" wrapText="1"/>
    </xf>
    <xf numFmtId="49" fontId="5" fillId="6" borderId="2" xfId="0" applyNumberFormat="1" applyFont="1" applyFill="1" applyBorder="1" applyAlignment="1">
      <alignment horizontal="left" vertical="center" wrapText="1"/>
    </xf>
    <xf numFmtId="164" fontId="5" fillId="6" borderId="2" xfId="0" applyNumberFormat="1" applyFont="1" applyFill="1" applyBorder="1" applyAlignment="1">
      <alignment horizontal="right" vertical="center" wrapText="1"/>
    </xf>
    <xf numFmtId="2" fontId="5" fillId="6" borderId="2" xfId="0" applyNumberFormat="1" applyFont="1" applyFill="1" applyBorder="1" applyAlignment="1">
      <alignment horizontal="right" vertical="center" wrapText="1"/>
    </xf>
    <xf numFmtId="165" fontId="5" fillId="6" borderId="2" xfId="0" applyNumberFormat="1" applyFont="1" applyFill="1" applyBorder="1" applyAlignment="1">
      <alignment horizontal="right" vertical="center" wrapText="1"/>
    </xf>
    <xf numFmtId="3" fontId="5" fillId="6" borderId="2" xfId="0" applyNumberFormat="1" applyFont="1" applyFill="1" applyBorder="1" applyAlignment="1">
      <alignment horizontal="center" vertical="center" wrapText="1"/>
    </xf>
    <xf numFmtId="164" fontId="5" fillId="7" borderId="2" xfId="0" applyNumberFormat="1" applyFont="1" applyFill="1" applyBorder="1" applyAlignment="1">
      <alignment horizontal="right" vertical="center" wrapText="1"/>
    </xf>
    <xf numFmtId="49" fontId="5" fillId="8" borderId="2" xfId="0" applyNumberFormat="1" applyFont="1" applyFill="1" applyBorder="1" applyAlignment="1">
      <alignment horizontal="center" vertical="center" wrapText="1"/>
    </xf>
    <xf numFmtId="49" fontId="5" fillId="8" borderId="2" xfId="0" applyNumberFormat="1" applyFont="1" applyFill="1" applyBorder="1" applyAlignment="1">
      <alignment horizontal="left" vertical="center" wrapText="1"/>
    </xf>
    <xf numFmtId="164" fontId="5" fillId="8" borderId="2" xfId="0" applyNumberFormat="1" applyFont="1" applyFill="1" applyBorder="1" applyAlignment="1">
      <alignment horizontal="right" vertical="center" wrapText="1"/>
    </xf>
    <xf numFmtId="2" fontId="5" fillId="8" borderId="2" xfId="0" applyNumberFormat="1" applyFont="1" applyFill="1" applyBorder="1" applyAlignment="1">
      <alignment horizontal="right" vertical="center" wrapText="1"/>
    </xf>
    <xf numFmtId="165" fontId="5" fillId="8" borderId="2" xfId="0" applyNumberFormat="1" applyFont="1" applyFill="1" applyBorder="1" applyAlignment="1">
      <alignment horizontal="right" vertical="center" wrapText="1"/>
    </xf>
    <xf numFmtId="3" fontId="5" fillId="8" borderId="2" xfId="0" applyNumberFormat="1" applyFont="1" applyFill="1" applyBorder="1" applyAlignment="1">
      <alignment horizontal="center" vertical="center" wrapText="1"/>
    </xf>
    <xf numFmtId="49" fontId="6" fillId="5" borderId="3" xfId="0" applyNumberFormat="1" applyFont="1" applyFill="1" applyBorder="1" applyAlignment="1">
      <alignment horizontal="left" vertical="center" wrapText="1"/>
    </xf>
    <xf numFmtId="0" fontId="6" fillId="5" borderId="3" xfId="0" applyFont="1" applyFill="1" applyBorder="1" applyAlignment="1">
      <alignment horizontal="left" vertical="center" wrapText="1"/>
    </xf>
    <xf numFmtId="164" fontId="6" fillId="5" borderId="3" xfId="0" applyNumberFormat="1" applyFont="1" applyFill="1" applyBorder="1" applyAlignment="1">
      <alignment horizontal="right" vertical="center"/>
    </xf>
    <xf numFmtId="49" fontId="4" fillId="5" borderId="4" xfId="0" applyNumberFormat="1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49" fontId="5" fillId="8" borderId="4" xfId="0" applyNumberFormat="1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164" fontId="5" fillId="8" borderId="4" xfId="0" applyNumberFormat="1" applyFont="1" applyFill="1" applyBorder="1" applyAlignment="1">
      <alignment horizontal="center" vertical="center" wrapText="1"/>
    </xf>
    <xf numFmtId="166" fontId="5" fillId="8" borderId="4" xfId="0" applyNumberFormat="1" applyFont="1" applyFill="1" applyBorder="1" applyAlignment="1">
      <alignment horizontal="center" vertical="center" wrapText="1"/>
    </xf>
    <xf numFmtId="3" fontId="5" fillId="8" borderId="4" xfId="0" applyNumberFormat="1" applyFont="1" applyFill="1" applyBorder="1" applyAlignment="1">
      <alignment horizontal="center" vertical="center" wrapText="1"/>
    </xf>
    <xf numFmtId="10" fontId="5" fillId="8" borderId="4" xfId="0" applyNumberFormat="1" applyFont="1" applyFill="1" applyBorder="1" applyAlignment="1">
      <alignment horizontal="center" vertical="center" wrapText="1"/>
    </xf>
    <xf numFmtId="49" fontId="7" fillId="4" borderId="1" xfId="0" applyNumberFormat="1" applyFont="1" applyFill="1" applyBorder="1" applyAlignment="1">
      <alignment horizontal="left" vertical="center" indent="1"/>
    </xf>
    <xf numFmtId="49" fontId="3" fillId="8" borderId="0" xfId="0" applyNumberFormat="1" applyFont="1" applyFill="1" applyAlignment="1">
      <alignment horizontal="left" vertical="center" wrapText="1"/>
    </xf>
    <xf numFmtId="49" fontId="8" fillId="3" borderId="0" xfId="0" applyNumberFormat="1" applyFont="1" applyFill="1" applyAlignment="1">
      <alignment horizontal="left" vertical="center" wrapText="1" indent="1"/>
    </xf>
    <xf numFmtId="49" fontId="6" fillId="5" borderId="1" xfId="0" applyNumberFormat="1" applyFont="1" applyFill="1" applyBorder="1" applyAlignment="1">
      <alignment horizontal="center" vertical="center" wrapText="1"/>
    </xf>
    <xf numFmtId="49" fontId="9" fillId="6" borderId="1" xfId="0" applyNumberFormat="1" applyFont="1" applyFill="1" applyBorder="1" applyAlignment="1">
      <alignment horizontal="left" vertical="center" wrapText="1"/>
    </xf>
    <xf numFmtId="167" fontId="9" fillId="6" borderId="1" xfId="0" applyNumberFormat="1" applyFont="1" applyFill="1" applyBorder="1" applyAlignment="1">
      <alignment horizontal="right" vertical="center"/>
    </xf>
    <xf numFmtId="10" fontId="9" fillId="6" borderId="1" xfId="0" applyNumberFormat="1" applyFont="1" applyFill="1" applyBorder="1" applyAlignment="1">
      <alignment horizontal="right" vertical="center"/>
    </xf>
    <xf numFmtId="49" fontId="9" fillId="8" borderId="1" xfId="0" applyNumberFormat="1" applyFont="1" applyFill="1" applyBorder="1" applyAlignment="1">
      <alignment horizontal="left" vertical="center" wrapText="1"/>
    </xf>
    <xf numFmtId="167" fontId="9" fillId="8" borderId="1" xfId="0" applyNumberFormat="1" applyFont="1" applyFill="1" applyBorder="1" applyAlignment="1">
      <alignment horizontal="right" vertical="center"/>
    </xf>
    <xf numFmtId="10" fontId="9" fillId="8" borderId="1" xfId="0" applyNumberFormat="1" applyFont="1" applyFill="1" applyBorder="1" applyAlignment="1">
      <alignment horizontal="right" vertical="center"/>
    </xf>
    <xf numFmtId="167" fontId="6" fillId="5" borderId="3" xfId="0" applyNumberFormat="1" applyFont="1" applyFill="1" applyBorder="1" applyAlignment="1">
      <alignment horizontal="right" vertical="center"/>
    </xf>
    <xf numFmtId="49" fontId="6" fillId="9" borderId="1" xfId="0" applyNumberFormat="1" applyFont="1" applyFill="1" applyBorder="1" applyAlignment="1">
      <alignment horizontal="left" vertical="center" wrapText="1"/>
    </xf>
    <xf numFmtId="167" fontId="6" fillId="9" borderId="1" xfId="0" applyNumberFormat="1" applyFont="1" applyFill="1" applyBorder="1" applyAlignment="1">
      <alignment horizontal="right" vertical="center"/>
    </xf>
    <xf numFmtId="49" fontId="3" fillId="4" borderId="1" xfId="0" applyNumberFormat="1" applyFont="1" applyFill="1" applyBorder="1" applyAlignment="1">
      <alignment horizontal="left" vertical="center" indent="1"/>
    </xf>
    <xf numFmtId="49" fontId="8" fillId="8" borderId="0" xfId="0" applyNumberFormat="1" applyFont="1" applyFill="1" applyAlignment="1">
      <alignment horizontal="left" vertical="center" indent="1"/>
    </xf>
    <xf numFmtId="49" fontId="9" fillId="8" borderId="0" xfId="0" applyNumberFormat="1" applyFont="1" applyFill="1" applyAlignment="1">
      <alignment horizontal="left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10" fillId="8" borderId="0" xfId="0" applyFont="1" applyFill="1" applyAlignment="1">
      <alignment horizontal="left" vertical="center"/>
    </xf>
    <xf numFmtId="49" fontId="10" fillId="5" borderId="4" xfId="0" applyNumberFormat="1" applyFont="1" applyFill="1" applyBorder="1" applyAlignment="1">
      <alignment horizontal="center" vertical="center" wrapText="1"/>
    </xf>
    <xf numFmtId="0" fontId="11" fillId="10" borderId="4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49" fontId="5" fillId="8" borderId="4" xfId="0" applyNumberFormat="1" applyFont="1" applyFill="1" applyBorder="1" applyAlignment="1">
      <alignment horizontal="left" vertical="center" wrapText="1"/>
    </xf>
    <xf numFmtId="164" fontId="5" fillId="8" borderId="4" xfId="0" applyNumberFormat="1" applyFont="1" applyFill="1" applyBorder="1" applyAlignment="1">
      <alignment horizontal="right" vertical="center"/>
    </xf>
    <xf numFmtId="164" fontId="4" fillId="11" borderId="5" xfId="0" applyNumberFormat="1" applyFont="1" applyFill="1" applyBorder="1" applyAlignment="1">
      <alignment horizontal="right" vertical="center"/>
    </xf>
    <xf numFmtId="0" fontId="9" fillId="8" borderId="0" xfId="0" applyFont="1" applyFill="1" applyAlignment="1">
      <alignment horizontal="left" vertical="center" wrapText="1"/>
    </xf>
    <xf numFmtId="0" fontId="5" fillId="8" borderId="4" xfId="0" applyFont="1" applyFill="1" applyBorder="1" applyAlignment="1">
      <alignment horizontal="right" vertical="center" wrapText="1"/>
    </xf>
    <xf numFmtId="49" fontId="5" fillId="6" borderId="4" xfId="0" applyNumberFormat="1" applyFont="1" applyFill="1" applyBorder="1" applyAlignment="1">
      <alignment horizontal="left" vertical="center" wrapText="1"/>
    </xf>
    <xf numFmtId="0" fontId="5" fillId="6" borderId="4" xfId="0" applyFont="1" applyFill="1" applyBorder="1" applyAlignment="1">
      <alignment horizontal="right" vertical="center" wrapText="1"/>
    </xf>
    <xf numFmtId="49" fontId="4" fillId="5" borderId="4" xfId="0" applyNumberFormat="1" applyFont="1" applyFill="1" applyBorder="1" applyAlignment="1">
      <alignment horizontal="left" vertical="center" wrapText="1"/>
    </xf>
    <xf numFmtId="164" fontId="4" fillId="5" borderId="4" xfId="0" applyNumberFormat="1" applyFont="1" applyFill="1" applyBorder="1" applyAlignment="1">
      <alignment horizontal="right" vertical="center"/>
    </xf>
    <xf numFmtId="0" fontId="6" fillId="8" borderId="0" xfId="0" applyFont="1" applyFill="1" applyAlignment="1">
      <alignment horizontal="left" vertical="center" wrapText="1"/>
    </xf>
    <xf numFmtId="164" fontId="4" fillId="8" borderId="4" xfId="0" applyNumberFormat="1" applyFont="1" applyFill="1" applyBorder="1" applyAlignment="1">
      <alignment horizontal="right" vertical="center"/>
    </xf>
    <xf numFmtId="0" fontId="0" fillId="8" borderId="0" xfId="0" applyFill="1"/>
    <xf numFmtId="164" fontId="5" fillId="8" borderId="4" xfId="0" applyNumberFormat="1" applyFont="1" applyFill="1" applyBorder="1" applyAlignment="1">
      <alignment horizontal="right" vertical="center" wrapText="1"/>
    </xf>
    <xf numFmtId="49" fontId="4" fillId="8" borderId="4" xfId="0" applyNumberFormat="1" applyFont="1" applyFill="1" applyBorder="1" applyAlignment="1">
      <alignment horizontal="left" vertical="center" wrapText="1"/>
    </xf>
    <xf numFmtId="49" fontId="3" fillId="4" borderId="6" xfId="0" applyNumberFormat="1" applyFont="1" applyFill="1" applyBorder="1" applyAlignment="1">
      <alignment horizontal="left" vertical="center" wrapText="1"/>
    </xf>
    <xf numFmtId="164" fontId="3" fillId="4" borderId="6" xfId="0" applyNumberFormat="1" applyFont="1" applyFill="1" applyBorder="1" applyAlignment="1">
      <alignment horizontal="right" vertical="center"/>
    </xf>
    <xf numFmtId="164" fontId="7" fillId="4" borderId="6" xfId="0" applyNumberFormat="1" applyFont="1" applyFill="1" applyBorder="1" applyAlignment="1">
      <alignment horizontal="right" vertical="center"/>
    </xf>
    <xf numFmtId="164" fontId="7" fillId="10" borderId="6" xfId="0" applyNumberFormat="1" applyFont="1" applyFill="1" applyBorder="1" applyAlignment="1">
      <alignment horizontal="right" vertical="center"/>
    </xf>
    <xf numFmtId="49" fontId="12" fillId="8" borderId="7" xfId="0" applyNumberFormat="1" applyFont="1" applyFill="1" applyBorder="1" applyAlignment="1">
      <alignment horizontal="left" vertical="center" wrapText="1"/>
    </xf>
    <xf numFmtId="49" fontId="13" fillId="8" borderId="0" xfId="0" applyNumberFormat="1" applyFont="1" applyFill="1" applyAlignment="1">
      <alignment horizontal="left" vertical="center" wrapText="1"/>
    </xf>
    <xf numFmtId="49" fontId="14" fillId="12" borderId="8" xfId="0" applyNumberFormat="1" applyFont="1" applyFill="1" applyBorder="1" applyAlignment="1">
      <alignment horizontal="center" vertical="center" wrapText="1"/>
    </xf>
    <xf numFmtId="164" fontId="15" fillId="8" borderId="8" xfId="0" applyNumberFormat="1" applyFont="1" applyFill="1" applyBorder="1" applyAlignment="1">
      <alignment horizontal="center" vertical="center" wrapText="1"/>
    </xf>
    <xf numFmtId="10" fontId="15" fillId="8" borderId="8" xfId="0" applyNumberFormat="1" applyFont="1" applyFill="1" applyBorder="1" applyAlignment="1">
      <alignment horizontal="center" vertical="center" wrapText="1"/>
    </xf>
    <xf numFmtId="0" fontId="15" fillId="8" borderId="8" xfId="0" applyFont="1" applyFill="1" applyBorder="1" applyAlignment="1">
      <alignment horizontal="center" vertical="center" wrapText="1"/>
    </xf>
    <xf numFmtId="49" fontId="15" fillId="8" borderId="8" xfId="0" applyNumberFormat="1" applyFont="1" applyFill="1" applyBorder="1" applyAlignment="1">
      <alignment horizontal="center" vertical="center" wrapText="1"/>
    </xf>
    <xf numFmtId="164" fontId="15" fillId="12" borderId="8" xfId="0" applyNumberFormat="1" applyFont="1" applyFill="1" applyBorder="1" applyAlignment="1">
      <alignment horizontal="center" vertical="center" wrapText="1"/>
    </xf>
    <xf numFmtId="49" fontId="15" fillId="13" borderId="8" xfId="0" applyNumberFormat="1" applyFont="1" applyFill="1" applyBorder="1" applyAlignment="1">
      <alignment horizontal="left" vertical="center"/>
    </xf>
    <xf numFmtId="164" fontId="15" fillId="13" borderId="8" xfId="0" applyNumberFormat="1" applyFont="1" applyFill="1" applyBorder="1" applyAlignment="1">
      <alignment horizontal="right" vertical="center"/>
    </xf>
    <xf numFmtId="10" fontId="15" fillId="13" borderId="8" xfId="0" applyNumberFormat="1" applyFont="1" applyFill="1" applyBorder="1" applyAlignment="1">
      <alignment horizontal="right" vertical="center"/>
    </xf>
    <xf numFmtId="164" fontId="9" fillId="8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0" fontId="0" fillId="14" borderId="0" xfId="0" applyFill="1"/>
    <xf numFmtId="0" fontId="6" fillId="5" borderId="1" xfId="0" applyFont="1" applyFill="1" applyBorder="1" applyAlignment="1">
      <alignment horizontal="center" vertical="center" wrapText="1"/>
    </xf>
    <xf numFmtId="0" fontId="11" fillId="15" borderId="0" xfId="0" applyFont="1" applyFill="1"/>
    <xf numFmtId="0" fontId="9" fillId="6" borderId="1" xfId="0" applyFont="1" applyFill="1" applyBorder="1" applyAlignment="1">
      <alignment horizontal="left" vertical="center" wrapText="1"/>
    </xf>
    <xf numFmtId="0" fontId="16" fillId="1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18.xml"/><Relationship Id="rId8" Type="http://schemas.openxmlformats.org/officeDocument/2006/relationships/worksheet" Target="worksheets/sheet19.xml"/><Relationship Id="rId9" Type="http://schemas.openxmlformats.org/officeDocument/2006/relationships/worksheet" Target="worksheets/sheet20.xml"/><Relationship Id="rId10" Type="http://schemas.openxmlformats.org/officeDocument/2006/relationships/worksheet" Target="worksheets/sheet21.xml"/><Relationship Id="rId11" Type="http://schemas.openxmlformats.org/officeDocument/2006/relationships/worksheet" Target="worksheets/sheet22.xml"/><Relationship Id="rId12" Type="http://schemas.openxmlformats.org/officeDocument/2006/relationships/worksheet" Target="worksheets/sheet2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"/>
  <sheetViews>
    <sheetView workbookViewId="0" showGridLines="0" zoomScale="90"/>
  </sheetViews>
  <sheetFormatPr defaultRowHeight="25" outlineLevelRow="0" outlineLevelCol="0" x14ac:dyDescent="55" customHeight="1"/>
  <cols>
    <col min="1" max="1" width="22" customWidth="1"/>
    <col min="2" max="2" width="30" customWidth="1"/>
    <col min="3" max="3" width="13" customWidth="1"/>
    <col min="4" max="5" width="16" customWidth="1"/>
    <col min="6" max="6" width="18" customWidth="1"/>
    <col min="7" max="17" width="14" customWidth="1"/>
  </cols>
  <sheetData>
    <row r="1" ht="38" customHeight="1" spans="1:17" s="82" customFormat="1" x14ac:dyDescent="0.25">
      <c r="A1" s="1" t="s">
        <v>211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8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ht="10" customHeight="1" x14ac:dyDescent="0.25"/>
    <row r="4" ht="38" customHeight="1" spans="1:16" x14ac:dyDescent="0.25">
      <c r="A4" s="32" t="s">
        <v>68</v>
      </c>
      <c r="B4" s="32" t="s">
        <v>69</v>
      </c>
      <c r="C4" s="32" t="s">
        <v>212</v>
      </c>
      <c r="D4" s="32" t="s">
        <v>213</v>
      </c>
      <c r="E4" s="32" t="s">
        <v>3</v>
      </c>
      <c r="F4" s="32" t="s">
        <v>214</v>
      </c>
      <c r="G4" s="32" t="s">
        <v>5</v>
      </c>
      <c r="H4" s="32" t="s">
        <v>19</v>
      </c>
      <c r="I4" s="32" t="s">
        <v>12</v>
      </c>
      <c r="J4" s="32" t="s">
        <v>15</v>
      </c>
      <c r="K4" s="32" t="s">
        <v>215</v>
      </c>
      <c r="L4" s="32" t="s">
        <v>216</v>
      </c>
      <c r="M4" s="83"/>
      <c r="N4" s="32" t="s">
        <v>217</v>
      </c>
      <c r="O4" s="32" t="s">
        <v>218</v>
      </c>
      <c r="P4" s="32" t="s">
        <v>219</v>
      </c>
    </row>
  </sheetData>
  <mergeCells count="2">
    <mergeCell ref="A1:Q1"/>
    <mergeCell ref="A2:Q2"/>
  </mergeCells>
  <pageMargins left="0.3" right="0.3" top="0.4" bottom="0.4" header="0.2" footer="0.2"/>
  <pageSetup paperSize="8" orientation="landscape" horizontalDpi="4294967295" verticalDpi="4294967295" scale="75" fitToWidth="1" fitToHeight="1"/>
  <headerFooter>
    <oddFooter>&amp;L内部报价明细&amp;C&amp;P / &amp;N&amp;R&amp;A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 showGridLines="0" zoomScale="90"/>
  </sheetViews>
  <sheetFormatPr defaultRowHeight="25" outlineLevelRow="0" outlineLevelCol="0" x14ac:dyDescent="55" customHeight="1"/>
  <cols>
    <col min="1" max="1" width="22" customWidth="1"/>
    <col min="2" max="2" width="32" customWidth="1"/>
    <col min="3" max="3" width="14" customWidth="1"/>
    <col min="4" max="5" width="16" customWidth="1"/>
    <col min="6" max="7" width="18" customWidth="1"/>
    <col min="8" max="8" width="14" customWidth="1"/>
    <col min="9" max="9" width="18" customWidth="1"/>
    <col min="10" max="11" width="14" customWidth="1"/>
    <col min="12" max="12" width="16" customWidth="1"/>
    <col min="13" max="13" width="14" customWidth="1"/>
    <col min="14" max="14" width="18" customWidth="1"/>
  </cols>
  <sheetData>
    <row r="1" ht="44" customHeight="1" spans="1:15" x14ac:dyDescent="0.25">
      <c r="A1" s="4" t="s">
        <v>3</v>
      </c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</row>
    <row r="2" ht="32" customHeight="1" spans="1:14" x14ac:dyDescent="0.25">
      <c r="A2" s="5" t="s">
        <v>27</v>
      </c>
      <c r="B2" s="6" t="s">
        <v>28</v>
      </c>
      <c r="C2" s="5" t="s">
        <v>29</v>
      </c>
      <c r="D2" s="7">
        <f>'总报价表'!D8</f>
        <v>2.06</v>
      </c>
      <c r="E2" s="8">
        <f>'总报价表'!E8</f>
        <v>2.06</v>
      </c>
      <c r="F2" s="9">
        <f>'总报价表'!F8</f>
        <v>0.1</v>
      </c>
      <c r="G2" s="7">
        <f>'总报价表'!G8</f>
        <v>0.20600000000000002</v>
      </c>
      <c r="H2" s="5" t="s">
        <v>220</v>
      </c>
      <c r="I2" s="7">
        <f>('总报价表'!V8*1)/1</f>
        <v>0.1</v>
      </c>
      <c r="J2" s="10">
        <v>1</v>
      </c>
      <c r="K2" s="10" t="s">
        <v>220</v>
      </c>
      <c r="L2" s="10">
        <v>100</v>
      </c>
      <c r="M2" s="10" t="s">
        <v>220</v>
      </c>
      <c r="N2" s="7">
        <f>G2+I2</f>
        <v>0.30600000000000005</v>
      </c>
    </row>
    <row r="3" ht="32" customHeight="1" spans="1:14" x14ac:dyDescent="0.25">
      <c r="A3" s="12" t="s">
        <v>31</v>
      </c>
      <c r="B3" s="13" t="s">
        <v>32</v>
      </c>
      <c r="C3" s="12" t="s">
        <v>33</v>
      </c>
      <c r="D3" s="14">
        <f>'总报价表'!D9</f>
        <v>1.03</v>
      </c>
      <c r="E3" s="15">
        <f>'总报价表'!E9</f>
        <v>1.03</v>
      </c>
      <c r="F3" s="16">
        <f>'总报价表'!F9</f>
        <v>0.2</v>
      </c>
      <c r="G3" s="14">
        <f>'总报价表'!G9</f>
        <v>0.20600000000000002</v>
      </c>
      <c r="H3" s="12" t="s">
        <v>220</v>
      </c>
      <c r="I3" s="14">
        <f>('总报价表'!V9*1)/1</f>
        <v>0.2</v>
      </c>
      <c r="J3" s="17">
        <v>1</v>
      </c>
      <c r="K3" s="17" t="s">
        <v>220</v>
      </c>
      <c r="L3" s="17">
        <v>100</v>
      </c>
      <c r="M3" s="17" t="s">
        <v>220</v>
      </c>
      <c r="N3" s="14">
        <f>G3+I3</f>
        <v>0.406</v>
      </c>
    </row>
    <row r="4" ht="32" customHeight="1" spans="1:14" x14ac:dyDescent="0.25">
      <c r="A4" s="5" t="s">
        <v>35</v>
      </c>
      <c r="B4" s="6" t="s">
        <v>36</v>
      </c>
      <c r="C4" s="5" t="s">
        <v>33</v>
      </c>
      <c r="D4" s="7">
        <f>'总报价表'!D10</f>
        <v>3.09</v>
      </c>
      <c r="E4" s="8">
        <f>'总报价表'!E10</f>
        <v>3.09</v>
      </c>
      <c r="F4" s="9">
        <f>'总报价表'!F10</f>
        <v>0.1</v>
      </c>
      <c r="G4" s="7">
        <f>'总报价表'!G10</f>
        <v>0.309</v>
      </c>
      <c r="H4" s="5" t="s">
        <v>220</v>
      </c>
      <c r="I4" s="7">
        <f>('总报价表'!V10*2)/2</f>
        <v>0.30000000000000004</v>
      </c>
      <c r="J4" s="10">
        <v>1</v>
      </c>
      <c r="K4" s="10" t="s">
        <v>220</v>
      </c>
      <c r="L4" s="10">
        <v>100</v>
      </c>
      <c r="M4" s="10" t="s">
        <v>220</v>
      </c>
      <c r="N4" s="7">
        <f>G4+I4</f>
        <v>0.609</v>
      </c>
    </row>
    <row r="5" ht="32" customHeight="1" spans="1:14" x14ac:dyDescent="0.25">
      <c r="A5" s="12" t="s">
        <v>38</v>
      </c>
      <c r="B5" s="13" t="s">
        <v>39</v>
      </c>
      <c r="C5" s="12" t="s">
        <v>29</v>
      </c>
      <c r="D5" s="14">
        <f>'总报价表'!D11</f>
        <v>5</v>
      </c>
      <c r="E5" s="15">
        <f>'总报价表'!E11</f>
        <v>5</v>
      </c>
      <c r="F5" s="16">
        <f>'总报价表'!F11</f>
        <v>0.1</v>
      </c>
      <c r="G5" s="14">
        <f>'总报价表'!G11</f>
        <v>0.5</v>
      </c>
      <c r="H5" s="12" t="s">
        <v>220</v>
      </c>
      <c r="I5" s="14">
        <f>('总报价表'!V11*1)/1</f>
        <v>0.1</v>
      </c>
      <c r="J5" s="17">
        <v>1</v>
      </c>
      <c r="K5" s="17" t="s">
        <v>220</v>
      </c>
      <c r="L5" s="17">
        <v>100</v>
      </c>
      <c r="M5" s="17" t="s">
        <v>220</v>
      </c>
      <c r="N5" s="14">
        <f>G5+I5</f>
        <v>0.6</v>
      </c>
    </row>
    <row r="6" ht="25" customHeight="1" spans="1:14" x14ac:dyDescent="0.25">
      <c r="A6" s="18" t="s">
        <v>40</v>
      </c>
      <c r="B6" s="18" t="s">
        <v>41</v>
      </c>
      <c r="C6" s="19"/>
      <c r="D6" s="19"/>
      <c r="E6" s="19"/>
      <c r="F6" s="19"/>
      <c r="G6" s="20">
        <f>SUM(G2:G5)</f>
        <v>1.221</v>
      </c>
      <c r="H6" s="19"/>
      <c r="I6" s="20">
        <f>SUM(I2:I5)</f>
        <v>0.7000000000000001</v>
      </c>
      <c r="J6" s="19"/>
      <c r="K6" s="19"/>
      <c r="L6" s="19"/>
      <c r="M6" s="19"/>
      <c r="N6" s="20">
        <f>SUM(N2:N5)</f>
        <v>1.9210000000000003</v>
      </c>
    </row>
  </sheetData>
  <pageMargins left="0.3" right="0.3" top="0.4" bottom="0.4" header="0.2" footer="0.2"/>
  <pageSetup paperSize="8" orientation="landscape" horizontalDpi="4294967295" verticalDpi="4294967295" scale="75" fitToWidth="1" fitToHeight="1"/>
  <headerFooter>
    <oddFooter>&amp;L内部报价明细&amp;C&amp;P / &amp;N&amp;R&amp;A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99"/>
  <sheetViews>
    <sheetView workbookViewId="0" showGridLines="0" zoomScale="90">
      <pane xSplit="2" topLeftCell="C1" activePane="topRight" state="frozen"/>
      <selection pane="topRight"/>
    </sheetView>
  </sheetViews>
  <sheetFormatPr defaultRowHeight="25" outlineLevelRow="0" outlineLevelCol="0" x14ac:dyDescent="55" customHeight="1"/>
  <cols>
    <col min="1" max="1" width="34" customWidth="1"/>
    <col min="2" max="2" width="32" customWidth="1"/>
    <col min="3" max="3" width="14" customWidth="1"/>
    <col min="4" max="5" width="16" customWidth="1"/>
    <col min="6" max="7" width="18" customWidth="1"/>
    <col min="8" max="8" width="14" customWidth="1"/>
    <col min="9" max="9" width="18" customWidth="1"/>
    <col min="10" max="11" width="14" customWidth="1"/>
    <col min="12" max="12" width="16" customWidth="1"/>
    <col min="13" max="13" width="14" customWidth="1"/>
    <col min="14" max="24" width="18" customWidth="1"/>
    <col min="25" max="28" width="14" customWidth="1"/>
  </cols>
  <sheetData>
    <row r="1" ht="38" customHeight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28" customHeight="1" spans="1:28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0" customHeight="1" spans="1:3" x14ac:dyDescent="0.25"/>
    <row r="4" ht="10" customHeight="1" spans="1:3" x14ac:dyDescent="0.25"/>
    <row r="5" ht="10" customHeight="1" spans="1:3" x14ac:dyDescent="0.25"/>
    <row r="6" ht="32" customHeight="1" spans="1:24" x14ac:dyDescent="0.25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ht="44" customHeight="1" spans="1:24" x14ac:dyDescent="0.25">
      <c r="A7" s="4" t="s">
        <v>3</v>
      </c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  <c r="G7" s="4" t="s">
        <v>9</v>
      </c>
      <c r="H7" s="4" t="s">
        <v>10</v>
      </c>
      <c r="I7" s="4" t="s">
        <v>11</v>
      </c>
      <c r="J7" s="4" t="s">
        <v>12</v>
      </c>
      <c r="K7" s="4" t="s">
        <v>13</v>
      </c>
      <c r="L7" s="4" t="s">
        <v>14</v>
      </c>
      <c r="M7" s="4" t="s">
        <v>15</v>
      </c>
      <c r="N7" s="4" t="s">
        <v>16</v>
      </c>
      <c r="O7" s="4" t="s">
        <v>17</v>
      </c>
      <c r="P7" s="4" t="s">
        <v>18</v>
      </c>
      <c r="Q7" s="4" t="s">
        <v>19</v>
      </c>
      <c r="R7" s="4" t="s">
        <v>20</v>
      </c>
      <c r="S7" s="4" t="s">
        <v>21</v>
      </c>
      <c r="T7" s="4" t="s">
        <v>22</v>
      </c>
      <c r="U7" s="4" t="s">
        <v>23</v>
      </c>
      <c r="V7" s="4" t="s">
        <v>24</v>
      </c>
      <c r="W7" s="4" t="s">
        <v>25</v>
      </c>
      <c r="X7" s="4" t="s">
        <v>26</v>
      </c>
    </row>
    <row r="8" ht="32" customHeight="1" spans="1:24" x14ac:dyDescent="0.25">
      <c r="A8" s="5" t="s">
        <v>27</v>
      </c>
      <c r="B8" s="6" t="s">
        <v>28</v>
      </c>
      <c r="C8" s="5" t="s">
        <v>29</v>
      </c>
      <c r="D8" s="7">
        <v>2.06</v>
      </c>
      <c r="E8" s="8">
        <f>('总报价表'!D8)*1</f>
        <v>2.06</v>
      </c>
      <c r="F8" s="9">
        <f>45.4/454</f>
        <v>0.1</v>
      </c>
      <c r="G8" s="7">
        <f>('总报价表'!E8)*('总报价表'!F8)</f>
        <v>0.20600000000000002</v>
      </c>
      <c r="H8" s="5"/>
      <c r="I8" s="7">
        <f>'啤机明细'!I2</f>
        <v>0.1</v>
      </c>
      <c r="J8" s="10">
        <f>'啤机明细'!J2</f>
        <v>1</v>
      </c>
      <c r="K8" s="10"/>
      <c r="L8" s="10">
        <f>'啤机明细'!L2</f>
        <v>100</v>
      </c>
      <c r="M8" s="10"/>
      <c r="N8" s="7">
        <f>'啤机明细'!N2</f>
        <v>0.30600000000000005</v>
      </c>
      <c r="O8" s="11">
        <v>40</v>
      </c>
      <c r="P8" s="11">
        <v>100</v>
      </c>
      <c r="Q8" s="11" t="s">
        <v>30</v>
      </c>
      <c r="R8" s="11">
        <v>100</v>
      </c>
      <c r="S8" s="7">
        <f>('总报价表'!R8)/('总报价表'!Q8)</f>
        <v>25</v>
      </c>
      <c r="T8" s="7">
        <f>IF('总报价表'!S8=0,0,('总报价表'!S8-'总报价表'!X8)*'总报价表'!W8/(IF('总报价表'!S8&gt;='总报价表'!S8,('总报价表'!Q8),0))/(IF('总报价表'!S8='总报价表'!S8,1,0)))</f>
        <v>2.5</v>
      </c>
      <c r="U8" s="7">
        <f>(IF('总报价表'!S8&lt;='总报价表'!S8,'总报价表'!T8,0))*('总报价表'!Q8)</f>
        <v>10</v>
      </c>
      <c r="V8" s="7">
        <f>IFERROR('总报价表'!U8/('总报价表'!R8),0)</f>
        <v>0.1</v>
      </c>
      <c r="W8" s="7">
        <f>('总报价表'!O8)/('总报价表'!P8)</f>
        <v>0.4</v>
      </c>
      <c r="X8" s="7">
        <f>MAX(0,IF('总报价表'!S8&lt;'总报价表'!S8,'总报价表'!S8,0))</f>
        <v>0</v>
      </c>
    </row>
    <row r="9" ht="32" customHeight="1" spans="1:24" x14ac:dyDescent="0.25">
      <c r="A9" s="12" t="s">
        <v>31</v>
      </c>
      <c r="B9" s="13" t="s">
        <v>32</v>
      </c>
      <c r="C9" s="12" t="s">
        <v>33</v>
      </c>
      <c r="D9" s="14">
        <v>1.03</v>
      </c>
      <c r="E9" s="15">
        <f>('总报价表'!D9)*1</f>
        <v>1.03</v>
      </c>
      <c r="F9" s="16">
        <f>90.8/454</f>
        <v>0.2</v>
      </c>
      <c r="G9" s="14">
        <f>('总报价表'!E9)*('总报价表'!F9)</f>
        <v>0.20600000000000002</v>
      </c>
      <c r="H9" s="12"/>
      <c r="I9" s="14">
        <f>'啤机明细'!I3</f>
        <v>0.2</v>
      </c>
      <c r="J9" s="17">
        <f>'啤机明细'!J3</f>
        <v>1</v>
      </c>
      <c r="K9" s="17"/>
      <c r="L9" s="17">
        <f>'啤机明细'!L3</f>
        <v>100</v>
      </c>
      <c r="M9" s="17"/>
      <c r="N9" s="14">
        <f>'啤机明细'!N3</f>
        <v>0.406</v>
      </c>
      <c r="O9" s="11">
        <v>40</v>
      </c>
      <c r="P9" s="11">
        <v>100</v>
      </c>
      <c r="Q9" s="11" t="s">
        <v>34</v>
      </c>
      <c r="R9" s="11">
        <v>100</v>
      </c>
      <c r="S9" s="14">
        <f>('总报价表'!R9)/('总报价表'!Q9)</f>
        <v>50</v>
      </c>
      <c r="T9" s="14">
        <f>IF('总报价表'!S9=0,0,('总报价表'!S9-'总报价表'!X9)*'总报价表'!W9/(IF('总报价表'!S9&gt;='总报价表'!S9,('总报价表'!Q9),0))/(IF('总报价表'!S9='总报价表'!S9,1,0)))</f>
        <v>10</v>
      </c>
      <c r="U9" s="14">
        <f>(IF('总报价表'!S9&lt;='总报价表'!S9,'总报价表'!T9,0))*('总报价表'!Q9)</f>
        <v>20</v>
      </c>
      <c r="V9" s="14">
        <f>IFERROR('总报价表'!U9/('总报价表'!R9),0)</f>
        <v>0.2</v>
      </c>
      <c r="W9" s="14">
        <f>('总报价表'!O9)/('总报价表'!P9)</f>
        <v>0.4</v>
      </c>
      <c r="X9" s="14">
        <f>MAX(0,IF('总报价表'!S9&lt;'总报价表'!S9,'总报价表'!S9,0))</f>
        <v>0</v>
      </c>
    </row>
    <row r="10" ht="32" customHeight="1" spans="1:24" x14ac:dyDescent="0.25">
      <c r="A10" s="5" t="s">
        <v>35</v>
      </c>
      <c r="B10" s="6" t="s">
        <v>36</v>
      </c>
      <c r="C10" s="5" t="s">
        <v>33</v>
      </c>
      <c r="D10" s="7">
        <v>3.09</v>
      </c>
      <c r="E10" s="8">
        <f>('总报价表'!D10)*1</f>
        <v>3.09</v>
      </c>
      <c r="F10" s="9">
        <f>45.4/454</f>
        <v>0.1</v>
      </c>
      <c r="G10" s="7">
        <f>('总报价表'!E10)*('总报价表'!F10)</f>
        <v>0.309</v>
      </c>
      <c r="H10" s="5"/>
      <c r="I10" s="7">
        <f>'啤机明细'!I4</f>
        <v>0.30000000000000004</v>
      </c>
      <c r="J10" s="10">
        <f>'啤机明细'!J4</f>
        <v>1</v>
      </c>
      <c r="K10" s="10"/>
      <c r="L10" s="10">
        <f>'啤机明细'!L4</f>
        <v>100</v>
      </c>
      <c r="M10" s="10"/>
      <c r="N10" s="7">
        <f>'啤机明细'!N4</f>
        <v>0.609</v>
      </c>
      <c r="O10" s="11">
        <v>180</v>
      </c>
      <c r="P10" s="11">
        <v>100</v>
      </c>
      <c r="Q10" s="11" t="s">
        <v>37</v>
      </c>
      <c r="R10" s="11">
        <v>100</v>
      </c>
      <c r="S10" s="7">
        <f>('总报价表'!R10)/('总报价表'!Q10)</f>
        <v>16.666666666666668</v>
      </c>
      <c r="T10" s="7">
        <f>IF('总报价表'!S10=0,0,('总报价表'!S10-'总报价表'!X10)*'总报价表'!W10/(IF('总报价表'!S10&gt;='总报价表'!S10,('总报价表'!Q10),0))/(IF('总报价表'!S10='总报价表'!S10,1,0)))</f>
        <v>5.000000000000001</v>
      </c>
      <c r="U10" s="7">
        <f>(IF('总报价表'!S10&lt;='总报价表'!S10,'总报价表'!T10,0))*('总报价表'!Q10)</f>
        <v>30.000000000000004</v>
      </c>
      <c r="V10" s="7">
        <f>IFERROR('总报价表'!U10/('总报价表'!R10),0)</f>
        <v>0.30000000000000004</v>
      </c>
      <c r="W10" s="7">
        <f>('总报价表'!O10)/('总报价表'!P10)</f>
        <v>1.8</v>
      </c>
      <c r="X10" s="7">
        <f>MAX(0,IF('总报价表'!S10&lt;'总报价表'!S10,'总报价表'!S10,0))</f>
        <v>0</v>
      </c>
    </row>
    <row r="11" ht="32" customHeight="1" spans="1:24" x14ac:dyDescent="0.25">
      <c r="A11" s="12" t="s">
        <v>38</v>
      </c>
      <c r="B11" s="13" t="s">
        <v>39</v>
      </c>
      <c r="C11" s="12" t="s">
        <v>29</v>
      </c>
      <c r="D11" s="14">
        <v>5</v>
      </c>
      <c r="E11" s="15">
        <f>('总报价表'!D11)*1</f>
        <v>5</v>
      </c>
      <c r="F11" s="16">
        <f>45.4/454</f>
        <v>0.1</v>
      </c>
      <c r="G11" s="14">
        <f>('总报价表'!E11)*('总报价表'!F11)</f>
        <v>0.5</v>
      </c>
      <c r="H11" s="12"/>
      <c r="I11" s="14">
        <f>'啤机明细'!I5</f>
        <v>0.1</v>
      </c>
      <c r="J11" s="17">
        <f>'啤机明细'!J5</f>
        <v>1</v>
      </c>
      <c r="K11" s="17"/>
      <c r="L11" s="17">
        <f>'啤机明细'!L5</f>
        <v>100</v>
      </c>
      <c r="M11" s="17"/>
      <c r="N11" s="14">
        <f>'啤机明细'!N5</f>
        <v>0.6</v>
      </c>
      <c r="O11" s="11">
        <v>20</v>
      </c>
      <c r="P11" s="11">
        <v>100</v>
      </c>
      <c r="Q11" s="11" t="s">
        <v>34</v>
      </c>
      <c r="R11" s="11">
        <v>0</v>
      </c>
      <c r="S11" s="14">
        <f>('总报价表'!R11)/('总报价表'!Q11)</f>
        <v>0</v>
      </c>
      <c r="T11" s="14">
        <f>IF('总报价表'!S11=0,0,('总报价表'!S11-'总报价表'!X11)*'总报价表'!W11/(IF('总报价表'!S11&gt;='总报价表'!S11,('总报价表'!Q11),0))/(IF('总报价表'!S11='总报价表'!S11,1,0)))</f>
        <v>0</v>
      </c>
      <c r="U11" s="14">
        <f>(IF('总报价表'!S11&lt;='总报价表'!S11,'总报价表'!T11,0))*('总报价表'!Q11)</f>
        <v>0</v>
      </c>
      <c r="V11" s="14">
        <f>'总报价表'!W11/('总报价表'!Q11)</f>
        <v>0.1</v>
      </c>
      <c r="W11" s="14">
        <f>('总报价表'!O11)/('总报价表'!P11)</f>
        <v>0.2</v>
      </c>
      <c r="X11" s="14">
        <f>MAX(0,IF('总报价表'!S11&lt;'总报价表'!S11,'总报价表'!S11,0))</f>
        <v>0</v>
      </c>
    </row>
    <row r="12" ht="25" customHeight="1" spans="1:14" x14ac:dyDescent="0.25">
      <c r="A12" s="18" t="s">
        <v>40</v>
      </c>
      <c r="B12" s="18" t="s">
        <v>41</v>
      </c>
      <c r="C12" s="19"/>
      <c r="D12" s="19"/>
      <c r="E12" s="19"/>
      <c r="F12" s="19"/>
      <c r="G12" s="20">
        <f>'啤机明细'!G6</f>
        <v>1.221</v>
      </c>
      <c r="H12" s="19"/>
      <c r="I12" s="20">
        <f>'啤机明细'!I6</f>
        <v>0.7000000000000001</v>
      </c>
      <c r="J12" s="19"/>
      <c r="K12" s="19"/>
      <c r="L12" s="19"/>
      <c r="M12" s="19"/>
      <c r="N12" s="20">
        <f>'啤机明细'!N6</f>
        <v>1.9210000000000003</v>
      </c>
    </row>
    <row r="13" ht="10" customHeight="1" spans="1:3" x14ac:dyDescent="0.25"/>
    <row r="14" ht="10" customHeight="1" spans="1:3" x14ac:dyDescent="0.25"/>
    <row r="15" ht="32" customHeight="1" spans="1:11" x14ac:dyDescent="0.25">
      <c r="A15" s="3" t="s">
        <v>42</v>
      </c>
      <c r="B15" s="3"/>
      <c r="C15" s="3"/>
      <c r="D15" s="3"/>
      <c r="E15" s="3"/>
      <c r="F15" s="3"/>
      <c r="G15" s="3"/>
      <c r="H15" s="3"/>
      <c r="I15" s="3"/>
      <c r="J15" s="3"/>
      <c r="K15" s="3"/>
    </row>
    <row r="16" ht="30" customHeight="1" spans="1:7" x14ac:dyDescent="0.25">
      <c r="A16" s="21" t="s">
        <v>43</v>
      </c>
      <c r="B16" s="21" t="s">
        <v>44</v>
      </c>
      <c r="C16" s="21" t="s">
        <v>45</v>
      </c>
      <c r="D16" s="21" t="s">
        <v>46</v>
      </c>
      <c r="E16" s="22"/>
      <c r="F16" s="22"/>
      <c r="G16" s="22"/>
    </row>
    <row r="17" ht="40" customHeight="1" spans="1:7" x14ac:dyDescent="0.25">
      <c r="A17" s="23" t="s">
        <v>47</v>
      </c>
      <c r="B17" s="24"/>
      <c r="C17" s="24"/>
      <c r="D17" s="24"/>
      <c r="E17" s="21" t="s">
        <v>48</v>
      </c>
      <c r="F17" s="21" t="s">
        <v>49</v>
      </c>
      <c r="G17" s="21" t="s">
        <v>50</v>
      </c>
    </row>
    <row r="18" ht="30" customHeight="1" spans="1:7" x14ac:dyDescent="0.25">
      <c r="A18" s="23" t="s">
        <v>51</v>
      </c>
      <c r="B18" s="24"/>
      <c r="C18" s="24"/>
      <c r="D18" s="24"/>
      <c r="E18" s="25">
        <f>IF(COUNT(B18:D18)=3,B18*C18*D18/1728,0)</f>
        <v>0</v>
      </c>
      <c r="F18" s="26"/>
      <c r="G18" s="27">
        <v>1</v>
      </c>
    </row>
    <row r="19" ht="30" customHeight="1" spans="1:7" x14ac:dyDescent="0.25">
      <c r="A19" s="23" t="s">
        <v>52</v>
      </c>
      <c r="B19" s="24"/>
      <c r="C19" s="24"/>
      <c r="D19" s="24"/>
      <c r="E19" s="24"/>
      <c r="F19" s="26"/>
      <c r="G19" s="24"/>
    </row>
    <row r="20" ht="44" customHeight="1" spans="1:11" x14ac:dyDescent="0.25">
      <c r="A20" s="21" t="s">
        <v>53</v>
      </c>
      <c r="B20" s="21" t="s">
        <v>54</v>
      </c>
      <c r="C20" s="21" t="s">
        <v>55</v>
      </c>
      <c r="D20" s="21" t="s">
        <v>56</v>
      </c>
      <c r="E20" s="21" t="s">
        <v>57</v>
      </c>
      <c r="F20" s="21" t="s">
        <v>58</v>
      </c>
      <c r="G20" s="21" t="s">
        <v>59</v>
      </c>
      <c r="H20" s="21" t="s">
        <v>60</v>
      </c>
      <c r="I20" s="21" t="s">
        <v>61</v>
      </c>
      <c r="J20" s="21" t="s">
        <v>62</v>
      </c>
      <c r="K20" s="21" t="s">
        <v>63</v>
      </c>
    </row>
    <row r="21" ht="30" customHeight="1" spans="1:11" x14ac:dyDescent="0.25">
      <c r="A21" s="23" t="s">
        <v>64</v>
      </c>
      <c r="B21" s="25">
        <f>E18</f>
        <v>0</v>
      </c>
      <c r="C21" s="27">
        <f>G18</f>
        <v>1</v>
      </c>
      <c r="D21" s="25">
        <v>0</v>
      </c>
      <c r="E21" s="25">
        <v>0</v>
      </c>
      <c r="F21" s="28">
        <v>0.48</v>
      </c>
      <c r="G21" s="28">
        <v>0.52</v>
      </c>
      <c r="H21" s="27">
        <f>IFERROR(MAX(ROUND(D21/B21,0),1),0)</f>
        <v>0</v>
      </c>
      <c r="I21" s="25">
        <f>IFERROR(E21/H21/C21*F21,0)</f>
        <v>0</v>
      </c>
      <c r="J21" s="25">
        <f>IFERROR(E21/H21/C21*G21,0)</f>
        <v>0</v>
      </c>
      <c r="K21" s="25">
        <f>SUM(I21:J21)</f>
        <v>0</v>
      </c>
    </row>
    <row r="22" ht="32" customHeight="1" spans="1:11" x14ac:dyDescent="0.25">
      <c r="A22" s="3" t="s">
        <v>65</v>
      </c>
      <c r="B22" s="3"/>
      <c r="C22" s="3"/>
      <c r="D22" s="3"/>
      <c r="E22" s="3"/>
      <c r="F22" s="3"/>
      <c r="G22" s="3"/>
      <c r="H22" s="3"/>
      <c r="I22" s="3"/>
      <c r="J22" s="3"/>
      <c r="K22" s="3"/>
    </row>
    <row r="23" ht="10" customHeight="1" spans="1:3" x14ac:dyDescent="0.25"/>
    <row r="24" ht="10" customHeight="1" spans="1:3" x14ac:dyDescent="0.25"/>
    <row r="25" ht="36" customHeight="1" spans="1:27" x14ac:dyDescent="0.25">
      <c r="A25" s="29" t="s">
        <v>66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</row>
    <row r="26" ht="4" customHeight="1" spans="1:27" x14ac:dyDescent="0.25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</row>
    <row r="27" ht="4" customHeight="1" spans="1:27" x14ac:dyDescent="0.25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</row>
    <row r="28" ht="28" customHeight="1" spans="1:27" x14ac:dyDescent="0.25">
      <c r="A28" s="31" t="s">
        <v>67</v>
      </c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</row>
    <row r="29" ht="42" customHeight="1" spans="1:27" x14ac:dyDescent="0.25">
      <c r="A29" s="32" t="s">
        <v>68</v>
      </c>
      <c r="B29" s="32" t="s">
        <v>69</v>
      </c>
      <c r="C29" s="32" t="s">
        <v>70</v>
      </c>
      <c r="D29" s="32" t="s">
        <v>71</v>
      </c>
      <c r="E29" s="32" t="s">
        <v>72</v>
      </c>
      <c r="F29" s="32" t="s">
        <v>73</v>
      </c>
      <c r="G29" s="32" t="s">
        <v>74</v>
      </c>
      <c r="H29" s="32" t="s">
        <v>75</v>
      </c>
      <c r="I29" s="32" t="s">
        <v>76</v>
      </c>
      <c r="J29" s="32" t="s">
        <v>77</v>
      </c>
      <c r="K29" s="32" t="s">
        <v>78</v>
      </c>
      <c r="L29" s="32" t="s">
        <v>79</v>
      </c>
      <c r="M29" s="32" t="s">
        <v>80</v>
      </c>
      <c r="N29" s="32" t="s">
        <v>81</v>
      </c>
      <c r="O29" s="32" t="s">
        <v>82</v>
      </c>
      <c r="P29" s="32" t="s">
        <v>83</v>
      </c>
      <c r="Q29" s="32" t="s">
        <v>84</v>
      </c>
      <c r="R29" s="32" t="s">
        <v>85</v>
      </c>
      <c r="S29" s="32" t="s">
        <v>86</v>
      </c>
      <c r="T29" s="32" t="s">
        <v>87</v>
      </c>
      <c r="U29" s="32" t="s">
        <v>88</v>
      </c>
      <c r="V29" s="32" t="s">
        <v>89</v>
      </c>
      <c r="W29" s="32" t="s">
        <v>90</v>
      </c>
      <c r="X29" s="32" t="s">
        <v>91</v>
      </c>
      <c r="Y29" s="32" t="s">
        <v>92</v>
      </c>
      <c r="Z29" s="32" t="s">
        <v>93</v>
      </c>
      <c r="AA29" s="32" t="s">
        <v>94</v>
      </c>
    </row>
    <row r="30" ht="25" customHeight="1" spans="1:27" x14ac:dyDescent="0.25">
      <c r="A30" s="33" t="s">
        <v>95</v>
      </c>
      <c r="B30" s="33" t="s">
        <v>96</v>
      </c>
      <c r="C30" s="34">
        <f>((('总报价表'!G8)*1))</f>
        <v>0.20600000000000002</v>
      </c>
      <c r="D30" s="34">
        <f>((('总报价表'!G9)*1))</f>
        <v>0.20600000000000002</v>
      </c>
      <c r="E30" s="34">
        <f>((('总报价表'!V8*1)+('总报价表'!V9*1)))</f>
        <v>0.30000000000000004</v>
      </c>
      <c r="F30" s="34">
        <f>0*0.7</f>
        <v>0</v>
      </c>
      <c r="G30" s="34">
        <f>0*0.3</f>
        <v>0</v>
      </c>
      <c r="H30" s="34">
        <f>0+0</f>
        <v>0</v>
      </c>
      <c r="I30" s="34">
        <f>0</f>
        <v>0</v>
      </c>
      <c r="J30" s="34">
        <f>0</f>
        <v>0</v>
      </c>
      <c r="K30" s="34">
        <f>0</f>
        <v>0</v>
      </c>
      <c r="L30" s="34">
        <f>0</f>
        <v>0</v>
      </c>
      <c r="M30" s="34">
        <f>0</f>
        <v>0</v>
      </c>
      <c r="N30" s="34">
        <f>0</f>
        <v>0</v>
      </c>
      <c r="O30" s="34">
        <f>0-P30</f>
        <v>0</v>
      </c>
      <c r="P30" s="34">
        <v>0</v>
      </c>
      <c r="Q30" s="34">
        <f>0</f>
        <v>0</v>
      </c>
      <c r="R30" s="34">
        <f>0</f>
        <v>0</v>
      </c>
      <c r="S30" s="34">
        <f>0</f>
        <v>0</v>
      </c>
      <c r="T30" s="34">
        <f>0</f>
        <v>0</v>
      </c>
      <c r="U30" s="34">
        <f>0</f>
        <v>0</v>
      </c>
      <c r="V30" s="34">
        <f>0</f>
        <v>0</v>
      </c>
      <c r="W30" s="34">
        <f>0</f>
        <v>0</v>
      </c>
      <c r="X30" s="34">
        <f>0-'总报价表'!W30</f>
        <v>0</v>
      </c>
      <c r="Y30" s="34">
        <f>SUM(C30:X30)</f>
        <v>0.712</v>
      </c>
      <c r="Z30" s="35">
        <v>0.5</v>
      </c>
      <c r="AA30" s="34">
        <f>Y30*Z30</f>
        <v>0.356</v>
      </c>
    </row>
    <row r="31" ht="25" customHeight="1" spans="1:27" x14ac:dyDescent="0.25">
      <c r="A31" s="36" t="s">
        <v>97</v>
      </c>
      <c r="B31" s="36" t="s">
        <v>98</v>
      </c>
      <c r="C31" s="37">
        <f>((('总报价表'!G8)*1))</f>
        <v>0.20600000000000002</v>
      </c>
      <c r="D31" s="37">
        <f>((('总报价表'!G10)*2))</f>
        <v>0.618</v>
      </c>
      <c r="E31" s="37">
        <f>((('总报价表'!V8*1)+('总报价表'!V10*2)))</f>
        <v>0.7000000000000001</v>
      </c>
      <c r="F31" s="37">
        <f>0*0.7</f>
        <v>0</v>
      </c>
      <c r="G31" s="37">
        <f>0*0.3</f>
        <v>0</v>
      </c>
      <c r="H31" s="37">
        <f>0+0</f>
        <v>0</v>
      </c>
      <c r="I31" s="37">
        <f>0</f>
        <v>0</v>
      </c>
      <c r="J31" s="37">
        <f>0</f>
        <v>0</v>
      </c>
      <c r="K31" s="37">
        <f>0</f>
        <v>0</v>
      </c>
      <c r="L31" s="37">
        <f>0</f>
        <v>0</v>
      </c>
      <c r="M31" s="37">
        <f>0</f>
        <v>0</v>
      </c>
      <c r="N31" s="37">
        <f>0</f>
        <v>0</v>
      </c>
      <c r="O31" s="37">
        <f>0-P31</f>
        <v>0</v>
      </c>
      <c r="P31" s="37">
        <v>0</v>
      </c>
      <c r="Q31" s="37">
        <f>0</f>
        <v>0</v>
      </c>
      <c r="R31" s="37">
        <f>0</f>
        <v>0</v>
      </c>
      <c r="S31" s="37">
        <f>0</f>
        <v>0</v>
      </c>
      <c r="T31" s="37">
        <f>0</f>
        <v>0</v>
      </c>
      <c r="U31" s="37">
        <f>0</f>
        <v>0</v>
      </c>
      <c r="V31" s="37">
        <f>0</f>
        <v>0</v>
      </c>
      <c r="W31" s="37">
        <f>0</f>
        <v>0</v>
      </c>
      <c r="X31" s="37">
        <f>0-'总报价表'!W31</f>
        <v>0</v>
      </c>
      <c r="Y31" s="37">
        <f>SUM(C31:X31)</f>
        <v>1.524</v>
      </c>
      <c r="Z31" s="38">
        <v>0.5</v>
      </c>
      <c r="AA31" s="37">
        <f>Y31*Z31</f>
        <v>0.762</v>
      </c>
    </row>
    <row r="32" ht="25" customHeight="1" spans="1:27" x14ac:dyDescent="0.25">
      <c r="A32" s="18" t="s">
        <v>99</v>
      </c>
      <c r="B32" s="18" t="s">
        <v>100</v>
      </c>
      <c r="C32" s="39">
        <f>SUM(C30:C31)</f>
        <v>0.41200000000000003</v>
      </c>
      <c r="D32" s="39">
        <f>SUM(D30:D31)</f>
        <v>0.8240000000000001</v>
      </c>
      <c r="E32" s="39">
        <f>SUM(E30:E31)</f>
        <v>1</v>
      </c>
      <c r="F32" s="39">
        <f>SUM(F30:F31)</f>
        <v>0</v>
      </c>
      <c r="G32" s="39">
        <f>SUM(G30:G31)</f>
        <v>0</v>
      </c>
      <c r="H32" s="39">
        <f>SUM(H30:H31)</f>
        <v>0</v>
      </c>
      <c r="I32" s="39">
        <f>SUM(I30:I31)</f>
        <v>0</v>
      </c>
      <c r="J32" s="39">
        <f>SUM(J30:J31)</f>
        <v>0</v>
      </c>
      <c r="K32" s="39">
        <f>SUM(K30:K31)</f>
        <v>0</v>
      </c>
      <c r="L32" s="39">
        <f>SUM(L30:L31)</f>
        <v>0</v>
      </c>
      <c r="M32" s="39">
        <f>SUM(M30:M31)</f>
        <v>0</v>
      </c>
      <c r="N32" s="39">
        <f>SUM(N30:N31)</f>
        <v>0</v>
      </c>
      <c r="O32" s="39">
        <f>SUM(O30:O31)</f>
        <v>0</v>
      </c>
      <c r="P32" s="39">
        <f>SUM(P30:P31)</f>
        <v>0</v>
      </c>
      <c r="Q32" s="39">
        <f>SUM(Q30:Q31)</f>
        <v>0</v>
      </c>
      <c r="R32" s="39">
        <f>SUM(R30:R31)</f>
        <v>0</v>
      </c>
      <c r="S32" s="39">
        <f>SUM(S30:S31)</f>
        <v>0</v>
      </c>
      <c r="T32" s="39">
        <f>SUM(T30:T31)</f>
        <v>0</v>
      </c>
      <c r="U32" s="39">
        <f>SUM(U30:U31)</f>
        <v>0</v>
      </c>
      <c r="V32" s="39">
        <f>SUM(V30:V31)</f>
        <v>0</v>
      </c>
      <c r="W32" s="39">
        <f>SUM(W30:W31)</f>
        <v>0</v>
      </c>
      <c r="X32" s="39">
        <f>SUM(X30:X31)</f>
        <v>0</v>
      </c>
      <c r="Y32" s="39">
        <f>SUM(Y30:Y31)</f>
        <v>2.2359999999999998</v>
      </c>
      <c r="Z32" s="19"/>
      <c r="AA32" s="39">
        <f>SUM(AA30:AA31)</f>
        <v>1.1179999999999999</v>
      </c>
    </row>
    <row r="33" ht="38" customHeight="1" spans="1:27" x14ac:dyDescent="0.25">
      <c r="A33" s="18" t="s">
        <v>101</v>
      </c>
      <c r="B33" s="18" t="s">
        <v>102</v>
      </c>
      <c r="C33" s="39">
        <f>SUMPRODUCT(C30:C31,Z30:Z31)</f>
        <v>0.20600000000000002</v>
      </c>
      <c r="D33" s="39">
        <f>SUMPRODUCT(D30:D31,Z30:Z31)</f>
        <v>0.41200000000000003</v>
      </c>
      <c r="E33" s="39">
        <f>SUMPRODUCT(E30:E31,Z30:Z31)</f>
        <v>0.5</v>
      </c>
      <c r="F33" s="39">
        <f>SUMPRODUCT(F30:F31,Z30:Z31)</f>
        <v>0</v>
      </c>
      <c r="G33" s="39">
        <f>SUMPRODUCT(G30:G31,Z30:Z31)</f>
        <v>0</v>
      </c>
      <c r="H33" s="39">
        <f>SUMPRODUCT(H30:H31,Z30:Z31)</f>
        <v>0</v>
      </c>
      <c r="I33" s="39">
        <f>SUMPRODUCT(I30:I31,Z30:Z31)</f>
        <v>0</v>
      </c>
      <c r="J33" s="39">
        <f>SUMPRODUCT(J30:J31,Z30:Z31)</f>
        <v>0</v>
      </c>
      <c r="K33" s="39">
        <f>SUMPRODUCT(K30:K31,Z30:Z31)</f>
        <v>0</v>
      </c>
      <c r="L33" s="39">
        <f>SUMPRODUCT(L30:L31,Z30:Z31)</f>
        <v>0</v>
      </c>
      <c r="M33" s="39">
        <f>SUMPRODUCT(M30:M31,Z30:Z31)</f>
        <v>0</v>
      </c>
      <c r="N33" s="39">
        <f>SUMPRODUCT(N30:N31,Z30:Z31)</f>
        <v>0</v>
      </c>
      <c r="O33" s="39">
        <f>SUMPRODUCT(O30:O31,Z30:Z31)</f>
        <v>0</v>
      </c>
      <c r="P33" s="39">
        <f>SUMPRODUCT(P30:P31,Z30:Z31)</f>
        <v>0</v>
      </c>
      <c r="Q33" s="39">
        <f>SUMPRODUCT(Q30:Q31,Z30:Z31)</f>
        <v>0</v>
      </c>
      <c r="R33" s="39">
        <f>SUMPRODUCT(R30:R31,Z30:Z31)</f>
        <v>0</v>
      </c>
      <c r="S33" s="39">
        <f>SUMPRODUCT(S30:S31,Z30:Z31)</f>
        <v>0</v>
      </c>
      <c r="T33" s="39">
        <f>SUMPRODUCT(T30:T31,Z30:Z31)</f>
        <v>0</v>
      </c>
      <c r="U33" s="39">
        <f>SUMPRODUCT(U30:U31,Z30:Z31)</f>
        <v>0</v>
      </c>
      <c r="V33" s="39">
        <f>SUMPRODUCT(V30:V31,Z30:Z31)</f>
        <v>0</v>
      </c>
      <c r="W33" s="39">
        <f>SUMPRODUCT(W30:W31,Z30:Z31)</f>
        <v>0</v>
      </c>
      <c r="X33" s="39">
        <f>SUMPRODUCT(X30:X31,Z30:Z31)</f>
        <v>0</v>
      </c>
      <c r="Y33" s="39">
        <f>SUMPRODUCT(Y30:Y31,Z30:Z31)</f>
        <v>1.1179999999999999</v>
      </c>
      <c r="Z33" s="19"/>
      <c r="AA33" s="39">
        <f>SUM(AA30:AA31)</f>
        <v>1.1179999999999999</v>
      </c>
    </row>
    <row r="34" ht="25" customHeight="1" spans="1:27" x14ac:dyDescent="0.25">
      <c r="A34" s="40" t="s">
        <v>103</v>
      </c>
      <c r="B34" s="40" t="s">
        <v>104</v>
      </c>
      <c r="C34" s="41">
        <f>((('总报价表'!G11)*1))</f>
        <v>0.5</v>
      </c>
      <c r="D34" s="41">
        <f>0</f>
        <v>0</v>
      </c>
      <c r="E34" s="41">
        <f>((('总报价表'!V11*1)))</f>
        <v>0.1</v>
      </c>
      <c r="F34" s="41">
        <f>0*0.7</f>
        <v>0</v>
      </c>
      <c r="G34" s="41">
        <f>0*0.3</f>
        <v>0</v>
      </c>
      <c r="H34" s="41">
        <f>0+0</f>
        <v>0</v>
      </c>
      <c r="I34" s="41">
        <f>0</f>
        <v>0</v>
      </c>
      <c r="J34" s="41">
        <f>0</f>
        <v>0</v>
      </c>
      <c r="K34" s="41">
        <f>0</f>
        <v>0</v>
      </c>
      <c r="L34" s="41">
        <f>0</f>
        <v>0</v>
      </c>
      <c r="M34" s="41">
        <f>0</f>
        <v>0</v>
      </c>
      <c r="N34" s="41">
        <f>0</f>
        <v>0</v>
      </c>
      <c r="O34" s="41">
        <f>0-P34</f>
        <v>0</v>
      </c>
      <c r="P34" s="41">
        <v>0</v>
      </c>
      <c r="Q34" s="41">
        <f>0</f>
        <v>0</v>
      </c>
      <c r="R34" s="41">
        <f>0</f>
        <v>0</v>
      </c>
      <c r="S34" s="41">
        <f>0</f>
        <v>0</v>
      </c>
      <c r="T34" s="41">
        <f>0</f>
        <v>0</v>
      </c>
      <c r="U34" s="41">
        <f>0</f>
        <v>0</v>
      </c>
      <c r="V34" s="41">
        <f>0</f>
        <v>0</v>
      </c>
      <c r="W34" s="41">
        <f>0</f>
        <v>0</v>
      </c>
      <c r="X34" s="41">
        <f>0-'总报价表'!W34</f>
        <v>0</v>
      </c>
      <c r="Y34" s="41">
        <f>SUM(C34:X34)</f>
        <v>0.6</v>
      </c>
      <c r="Z34" s="40" t="s">
        <v>105</v>
      </c>
      <c r="AA34" s="41">
        <f>Y34</f>
        <v>0.6</v>
      </c>
    </row>
    <row r="35" ht="25" customHeight="1" spans="1:27" x14ac:dyDescent="0.25">
      <c r="A35" s="18" t="s">
        <v>106</v>
      </c>
      <c r="B35" s="18" t="s">
        <v>107</v>
      </c>
      <c r="C35" s="39">
        <f>C33*2+C34</f>
        <v>0.912</v>
      </c>
      <c r="D35" s="39">
        <f>D33*2+D34</f>
        <v>0.8240000000000001</v>
      </c>
      <c r="E35" s="39">
        <f>E33*2+E34</f>
        <v>1.1</v>
      </c>
      <c r="F35" s="39">
        <f>F33*2+F34</f>
        <v>0</v>
      </c>
      <c r="G35" s="39">
        <f>G33*2+G34</f>
        <v>0</v>
      </c>
      <c r="H35" s="39">
        <f>H33*2+H34</f>
        <v>0</v>
      </c>
      <c r="I35" s="39">
        <f>I33*2+I34</f>
        <v>0</v>
      </c>
      <c r="J35" s="39">
        <f>J33*2+J34</f>
        <v>0</v>
      </c>
      <c r="K35" s="39">
        <f>K33*2+K34</f>
        <v>0</v>
      </c>
      <c r="L35" s="39">
        <f>L33*2+L34</f>
        <v>0</v>
      </c>
      <c r="M35" s="39">
        <f>M33*2+M34</f>
        <v>0</v>
      </c>
      <c r="N35" s="39">
        <f>N33*2+N34</f>
        <v>0</v>
      </c>
      <c r="O35" s="39">
        <f>O33*2+O34</f>
        <v>0</v>
      </c>
      <c r="P35" s="39">
        <f>P33*2+P34</f>
        <v>0</v>
      </c>
      <c r="Q35" s="39">
        <f>Q33*2+Q34</f>
        <v>0</v>
      </c>
      <c r="R35" s="39">
        <f>R33*2+R34</f>
        <v>0</v>
      </c>
      <c r="S35" s="39">
        <f>S33*2+S34</f>
        <v>0</v>
      </c>
      <c r="T35" s="39">
        <f>T33*2+T34</f>
        <v>0</v>
      </c>
      <c r="U35" s="39">
        <f>U33*2+U34</f>
        <v>0</v>
      </c>
      <c r="V35" s="39">
        <f>V33*2+V34</f>
        <v>0</v>
      </c>
      <c r="W35" s="39">
        <f>W33*2+W34</f>
        <v>0</v>
      </c>
      <c r="X35" s="39">
        <f>X33*2+X34</f>
        <v>0</v>
      </c>
      <c r="Y35" s="39">
        <f>Y33*2+Y34</f>
        <v>2.836</v>
      </c>
      <c r="Z35" s="19"/>
      <c r="AA35" s="39">
        <f>AA33*2+AA34</f>
        <v>2.836</v>
      </c>
    </row>
    <row r="36" ht="10" customHeight="1" spans="1:3" x14ac:dyDescent="0.25"/>
    <row r="37" ht="10" customHeight="1" spans="1:3" x14ac:dyDescent="0.25"/>
    <row r="38" ht="34" customHeight="1" spans="1:12" x14ac:dyDescent="0.25">
      <c r="A38" s="42" t="s">
        <v>108</v>
      </c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</row>
    <row r="39" ht="23" customHeight="1" spans="1:5" x14ac:dyDescent="0.25">
      <c r="A39" s="43" t="s">
        <v>109</v>
      </c>
      <c r="B39" s="43"/>
      <c r="C39" s="43"/>
      <c r="D39" s="43"/>
      <c r="E39" s="43"/>
    </row>
    <row r="40" ht="2" customHeight="1" spans="1:5" x14ac:dyDescent="0.25">
      <c r="A40" s="44"/>
      <c r="B40" s="44"/>
      <c r="C40" s="44"/>
      <c r="D40" s="44"/>
      <c r="E40" s="44"/>
    </row>
    <row r="41" ht="2" customHeight="1" spans="1:3" x14ac:dyDescent="0.25">
      <c r="A41" s="44"/>
      <c r="B41" s="44"/>
      <c r="C41" s="45"/>
    </row>
    <row r="42" ht="2" customHeight="1" spans="1:5" x14ac:dyDescent="0.25">
      <c r="A42" s="44"/>
      <c r="B42" s="44"/>
      <c r="C42" s="44"/>
      <c r="D42" s="44"/>
      <c r="E42" s="44"/>
    </row>
    <row r="43" ht="27" customHeight="1" spans="1:12" x14ac:dyDescent="0.25">
      <c r="A43" s="46" t="s">
        <v>110</v>
      </c>
      <c r="B43" s="46"/>
      <c r="C43" s="46"/>
      <c r="D43" s="46"/>
      <c r="E43" s="46"/>
      <c r="G43" s="46" t="s">
        <v>111</v>
      </c>
      <c r="H43" s="46"/>
      <c r="I43" s="46"/>
      <c r="J43" s="46"/>
      <c r="K43" s="46"/>
      <c r="L43" s="46"/>
    </row>
    <row r="44" ht="42" customHeight="1" spans="1:12" x14ac:dyDescent="0.25">
      <c r="A44" s="47" t="s">
        <v>112</v>
      </c>
      <c r="B44" s="47" t="s">
        <v>113</v>
      </c>
      <c r="C44" s="47" t="s">
        <v>114</v>
      </c>
      <c r="D44" s="48"/>
      <c r="E44" s="49"/>
      <c r="F44" s="50"/>
      <c r="G44" s="47" t="s">
        <v>53</v>
      </c>
      <c r="H44" s="47"/>
      <c r="I44" s="47" t="s">
        <v>115</v>
      </c>
      <c r="J44" s="47" t="s">
        <v>116</v>
      </c>
      <c r="K44" s="47" t="s">
        <v>63</v>
      </c>
      <c r="L44" s="47"/>
    </row>
    <row r="45" ht="28" customHeight="1" spans="1:12" x14ac:dyDescent="0.25">
      <c r="A45" s="51" t="s">
        <v>117</v>
      </c>
      <c r="B45" s="52"/>
      <c r="C45" s="52">
        <f>('总报价表'!E35)+('总报价表'!H35)+('总报价表'!F35)+('总报价表'!G35)+('总报价表'!C35)+('总报价表'!D35)+('总报价表'!U35)+('总报价表'!V35)+('总报价表'!I35)+('总报价表'!J35)+('总报价表'!K35)+('总报价表'!L35)+('总报价表'!M35)+('总报价表'!N35)+('总报价表'!O35+'总报价表'!P35)+('总报价表'!Q35)+('总报价表'!R35)+('总报价表'!S35)+(((((((((0*30%*0)))+0)))*'总报价表'!C97)+(((((((0*30%*0)))+0)))*'总报价表'!C98))*2+((((((0*30%*0)))+0))))</f>
        <v>2.8360000000000003</v>
      </c>
      <c r="D45" s="53"/>
      <c r="E45" s="52"/>
      <c r="F45" s="54"/>
      <c r="G45" s="51" t="s">
        <v>118</v>
      </c>
      <c r="H45" s="51"/>
      <c r="I45" s="55"/>
      <c r="J45" s="55"/>
      <c r="K45" s="51" t="s">
        <v>119</v>
      </c>
      <c r="L45" s="51"/>
    </row>
    <row r="46" ht="28" customHeight="1" spans="1:12" x14ac:dyDescent="0.25">
      <c r="A46" s="51" t="s">
        <v>115</v>
      </c>
      <c r="B46" s="52"/>
      <c r="C46" s="52">
        <f>'总报价表'!I21</f>
        <v>0</v>
      </c>
      <c r="D46" s="53"/>
      <c r="E46" s="52"/>
      <c r="F46" s="54"/>
      <c r="G46" s="56" t="s">
        <v>120</v>
      </c>
      <c r="H46" s="56"/>
      <c r="I46" s="57"/>
      <c r="J46" s="57"/>
      <c r="K46" s="56" t="s">
        <v>119</v>
      </c>
      <c r="L46" s="56"/>
    </row>
    <row r="47" ht="28" customHeight="1" spans="1:12" x14ac:dyDescent="0.25">
      <c r="A47" s="51" t="s">
        <v>116</v>
      </c>
      <c r="B47" s="52"/>
      <c r="C47" s="52">
        <f>'总报价表'!J21</f>
        <v>0</v>
      </c>
      <c r="D47" s="53"/>
      <c r="E47" s="52"/>
      <c r="F47" s="54"/>
      <c r="G47" s="51" t="s">
        <v>121</v>
      </c>
      <c r="H47" s="51"/>
      <c r="I47" s="55"/>
      <c r="J47" s="55"/>
      <c r="K47" s="51" t="s">
        <v>119</v>
      </c>
      <c r="L47" s="51"/>
    </row>
    <row r="48" ht="28" customHeight="1" spans="1:12" x14ac:dyDescent="0.25">
      <c r="A48" s="58" t="s">
        <v>122</v>
      </c>
      <c r="B48" s="59"/>
      <c r="C48" s="59">
        <f>SUM(C45:C47)</f>
        <v>2.8360000000000003</v>
      </c>
      <c r="D48" s="53"/>
      <c r="E48" s="59"/>
      <c r="F48" s="60"/>
      <c r="G48" s="56" t="s">
        <v>123</v>
      </c>
      <c r="H48" s="56"/>
      <c r="I48" s="57"/>
      <c r="J48" s="57"/>
      <c r="K48" s="56" t="s">
        <v>119</v>
      </c>
      <c r="L48" s="56"/>
    </row>
    <row r="49" ht="28" customHeight="1" spans="1:12" x14ac:dyDescent="0.25">
      <c r="A49" s="51" t="s">
        <v>124</v>
      </c>
      <c r="B49" s="61">
        <f>1.1</f>
        <v>1.1</v>
      </c>
      <c r="C49" s="52">
        <f>C48*$B$49</f>
        <v>3.1196000000000006</v>
      </c>
      <c r="D49" s="53"/>
      <c r="E49" s="52"/>
      <c r="F49" s="54"/>
      <c r="G49" s="51" t="s">
        <v>125</v>
      </c>
      <c r="H49" s="51"/>
      <c r="I49" s="55"/>
      <c r="J49" s="55"/>
      <c r="K49" s="51" t="s">
        <v>119</v>
      </c>
      <c r="L49" s="51"/>
    </row>
    <row r="50" ht="28" customHeight="1" spans="1:12" x14ac:dyDescent="0.25">
      <c r="A50" s="51" t="s">
        <v>126</v>
      </c>
      <c r="B50" s="52"/>
      <c r="C50" s="52">
        <f>('总报价表'!W35)+('总报价表'!X35)</f>
        <v>0</v>
      </c>
      <c r="D50" s="53"/>
      <c r="E50" s="52"/>
      <c r="F50" s="54"/>
      <c r="G50" s="56" t="s">
        <v>127</v>
      </c>
      <c r="H50" s="56"/>
      <c r="I50" s="57"/>
      <c r="J50" s="57"/>
      <c r="K50" s="56" t="s">
        <v>119</v>
      </c>
      <c r="L50" s="56"/>
    </row>
    <row r="51" ht="28" customHeight="1" spans="1:12" x14ac:dyDescent="0.25">
      <c r="A51" s="51" t="s">
        <v>128</v>
      </c>
      <c r="B51" s="61">
        <f>1.1</f>
        <v>1.1</v>
      </c>
      <c r="C51" s="52">
        <f>C50*$B$51</f>
        <v>0</v>
      </c>
      <c r="D51" s="53"/>
      <c r="E51" s="52"/>
      <c r="F51" s="54"/>
      <c r="G51" s="51" t="s">
        <v>129</v>
      </c>
      <c r="H51" s="51"/>
      <c r="I51" s="55"/>
      <c r="J51" s="55"/>
      <c r="K51" s="51" t="s">
        <v>119</v>
      </c>
      <c r="L51" s="51"/>
    </row>
    <row r="52" ht="28" customHeight="1" spans="1:12" x14ac:dyDescent="0.25">
      <c r="A52" s="51" t="s">
        <v>130</v>
      </c>
      <c r="B52" s="52"/>
      <c r="C52" s="52">
        <f>'总报价表'!T35</f>
        <v>0</v>
      </c>
      <c r="D52" s="53"/>
      <c r="E52" s="52"/>
      <c r="F52" s="54"/>
      <c r="G52" s="56" t="s">
        <v>131</v>
      </c>
      <c r="H52" s="56"/>
      <c r="I52" s="57"/>
      <c r="J52" s="57"/>
      <c r="K52" s="56" t="s">
        <v>119</v>
      </c>
      <c r="L52" s="56"/>
    </row>
    <row r="53" ht="28" customHeight="1" spans="1:6" x14ac:dyDescent="0.25">
      <c r="A53" s="51" t="s">
        <v>132</v>
      </c>
      <c r="B53" s="61">
        <f>1.1</f>
        <v>1.1</v>
      </c>
      <c r="C53" s="52">
        <f>C52*$B$53</f>
        <v>0</v>
      </c>
      <c r="D53" s="53"/>
      <c r="E53" s="52"/>
      <c r="F53" s="62"/>
    </row>
    <row r="54" ht="28" customHeight="1" spans="1:6" x14ac:dyDescent="0.25">
      <c r="A54" s="58" t="s">
        <v>133</v>
      </c>
      <c r="B54" s="59"/>
      <c r="C54" s="59">
        <f>C49+C51+C53</f>
        <v>3.1196000000000006</v>
      </c>
      <c r="D54" s="53"/>
      <c r="E54" s="59"/>
      <c r="F54" s="62"/>
    </row>
    <row r="55" ht="28" customHeight="1" spans="1:12" x14ac:dyDescent="0.25">
      <c r="A55" s="58" t="s">
        <v>134</v>
      </c>
      <c r="B55" s="59">
        <f>0.99</f>
        <v>0.99</v>
      </c>
      <c r="C55" s="59">
        <f>C54/$B$55</f>
        <v>3.1511111111111116</v>
      </c>
      <c r="D55" s="53"/>
      <c r="E55" s="59"/>
      <c r="F55" s="60"/>
      <c r="G55" s="58" t="s">
        <v>135</v>
      </c>
      <c r="H55" s="58"/>
      <c r="I55" s="58"/>
      <c r="J55" s="58"/>
      <c r="K55" s="58"/>
      <c r="L55" s="58"/>
    </row>
    <row r="56" ht="28" customHeight="1" spans="1:12" x14ac:dyDescent="0.25">
      <c r="A56" s="58" t="s">
        <v>136</v>
      </c>
      <c r="B56" s="59">
        <f>7.75</f>
        <v>7.75</v>
      </c>
      <c r="C56" s="59">
        <f>C55/$B$56</f>
        <v>0.40659498207885314</v>
      </c>
      <c r="D56" s="53"/>
      <c r="E56" s="59"/>
      <c r="F56" s="60"/>
      <c r="G56" s="51" t="s">
        <v>137</v>
      </c>
      <c r="H56" s="51"/>
      <c r="I56" s="51"/>
      <c r="J56" s="51"/>
      <c r="K56" s="63">
        <f>C57</f>
        <v>0</v>
      </c>
      <c r="L56" s="63"/>
    </row>
    <row r="57" ht="28" customHeight="1" spans="1:12" x14ac:dyDescent="0.25">
      <c r="A57" s="51" t="s">
        <v>138</v>
      </c>
      <c r="B57" s="52"/>
      <c r="C57" s="52">
        <f>((0*'总报价表'!C97)+(0*'总报价表'!C98))*2+0</f>
        <v>0</v>
      </c>
      <c r="D57" s="53"/>
      <c r="E57" s="52"/>
      <c r="F57" s="54"/>
      <c r="G57" s="51" t="s">
        <v>139</v>
      </c>
      <c r="H57" s="51"/>
      <c r="I57" s="51"/>
      <c r="J57" s="51"/>
      <c r="K57" s="63">
        <f>C58</f>
        <v>0</v>
      </c>
      <c r="L57" s="63"/>
    </row>
    <row r="58" ht="28" customHeight="1" spans="1:6" x14ac:dyDescent="0.25">
      <c r="A58" s="51" t="s">
        <v>140</v>
      </c>
      <c r="B58" s="61">
        <f>0</f>
        <v>0</v>
      </c>
      <c r="C58" s="52">
        <f>$B$58</f>
        <v>0</v>
      </c>
      <c r="D58" s="53"/>
      <c r="E58" s="52"/>
      <c r="F58" s="62"/>
    </row>
    <row r="59" ht="28" customHeight="1" spans="1:6" x14ac:dyDescent="0.25">
      <c r="A59" s="58" t="s">
        <v>141</v>
      </c>
      <c r="B59" s="59"/>
      <c r="C59" s="59">
        <f>SUM(C56:C58)</f>
        <v>0.40659498207885314</v>
      </c>
      <c r="D59" s="53"/>
      <c r="E59" s="59"/>
      <c r="F59" s="62"/>
    </row>
    <row r="60" ht="28" customHeight="1" spans="1:6" x14ac:dyDescent="0.25">
      <c r="A60" s="64" t="s">
        <v>142</v>
      </c>
      <c r="B60" s="61">
        <f>0</f>
        <v>0</v>
      </c>
      <c r="C60" s="61">
        <f>C59*$B$60/100</f>
        <v>0</v>
      </c>
      <c r="D60" s="53"/>
      <c r="E60" s="61"/>
      <c r="F60" s="62"/>
    </row>
    <row r="61" ht="28" customHeight="1" spans="1:6" x14ac:dyDescent="0.25">
      <c r="A61" s="51" t="s">
        <v>143</v>
      </c>
      <c r="B61" s="61">
        <f>1.1</f>
        <v>1.1</v>
      </c>
      <c r="C61" s="52">
        <f>C60*$B$61</f>
        <v>0</v>
      </c>
      <c r="D61" s="53"/>
      <c r="E61" s="52"/>
      <c r="F61" s="62"/>
    </row>
    <row r="62" ht="28" customHeight="1" spans="1:6" x14ac:dyDescent="0.25">
      <c r="A62" s="51" t="s">
        <v>144</v>
      </c>
      <c r="B62" s="61">
        <f>0.99</f>
        <v>0.99</v>
      </c>
      <c r="C62" s="52">
        <f>C61/$B$62</f>
        <v>0</v>
      </c>
      <c r="D62" s="53"/>
      <c r="E62" s="52"/>
      <c r="F62" s="62"/>
    </row>
    <row r="63" ht="38" customHeight="1" spans="1:6" x14ac:dyDescent="0.25">
      <c r="A63" s="65" t="s">
        <v>145</v>
      </c>
      <c r="B63" s="66"/>
      <c r="C63" s="67">
        <f>C59+C62</f>
        <v>0.40659498207885314</v>
      </c>
      <c r="D63" s="68"/>
      <c r="E63" s="67"/>
      <c r="F63" s="62"/>
    </row>
    <row r="64" ht="4" customHeight="1" spans="1:3" x14ac:dyDescent="0.25"/>
    <row r="65" ht="4" customHeight="1" spans="1:5" x14ac:dyDescent="0.25">
      <c r="A65" s="44"/>
      <c r="B65" s="44"/>
      <c r="C65" s="44"/>
      <c r="D65" s="44"/>
      <c r="E65" s="44"/>
    </row>
    <row r="66" ht="10" customHeight="1" spans="1:3" x14ac:dyDescent="0.25"/>
    <row r="67" ht="28" customHeight="1" spans="1:12" x14ac:dyDescent="0.25">
      <c r="A67" s="69" t="s">
        <v>146</v>
      </c>
      <c r="B67" s="69"/>
      <c r="C67" s="69"/>
      <c r="D67" s="69"/>
      <c r="E67" s="69"/>
      <c r="F67" s="69"/>
      <c r="G67" s="69"/>
      <c r="H67" s="69"/>
      <c r="I67" s="69"/>
      <c r="J67" s="69"/>
      <c r="K67" s="69"/>
      <c r="L67" s="69"/>
    </row>
    <row r="68" ht="14" customHeight="1" spans="3:3" x14ac:dyDescent="0.25"/>
    <row r="69" ht="23" customHeight="1" spans="1:12" x14ac:dyDescent="0.25">
      <c r="A69" s="70" t="s">
        <v>147</v>
      </c>
      <c r="B69" s="70"/>
      <c r="C69" s="70"/>
      <c r="D69" s="70"/>
      <c r="E69" s="70"/>
      <c r="F69" s="70"/>
      <c r="G69" s="70"/>
      <c r="H69" s="70"/>
      <c r="I69" s="70"/>
      <c r="J69" s="70"/>
      <c r="K69" s="70"/>
      <c r="L69" s="70"/>
    </row>
    <row r="70" ht="25" customHeight="1" spans="1:12" x14ac:dyDescent="0.25">
      <c r="A70" s="71" t="s">
        <v>148</v>
      </c>
      <c r="B70" s="71" t="s">
        <v>70</v>
      </c>
      <c r="C70" s="71" t="s">
        <v>71</v>
      </c>
      <c r="D70" s="71" t="s">
        <v>88</v>
      </c>
      <c r="E70" s="71" t="s">
        <v>89</v>
      </c>
      <c r="F70" s="71" t="s">
        <v>90</v>
      </c>
      <c r="G70" s="71" t="s">
        <v>91</v>
      </c>
      <c r="H70" s="71" t="s">
        <v>76</v>
      </c>
      <c r="I70" s="71" t="s">
        <v>87</v>
      </c>
      <c r="J70" s="71" t="s">
        <v>77</v>
      </c>
      <c r="K70" s="71" t="s">
        <v>78</v>
      </c>
      <c r="L70" s="71" t="s">
        <v>79</v>
      </c>
    </row>
    <row r="71" ht="26" customHeight="1" spans="1:12" x14ac:dyDescent="0.25">
      <c r="A71" s="72">
        <f>C63*$B$56</f>
        <v>3.1511111111111108</v>
      </c>
      <c r="B71" s="72">
        <f>'总报价表'!C35</f>
        <v>0.912</v>
      </c>
      <c r="C71" s="72">
        <f>'总报价表'!D35</f>
        <v>0.8240000000000001</v>
      </c>
      <c r="D71" s="72">
        <f>'总报价表'!U35</f>
        <v>0</v>
      </c>
      <c r="E71" s="72">
        <f>'总报价表'!V35</f>
        <v>0</v>
      </c>
      <c r="F71" s="72">
        <f>'总报价表'!W35</f>
        <v>0</v>
      </c>
      <c r="G71" s="72">
        <f>'总报价表'!X35</f>
        <v>0</v>
      </c>
      <c r="H71" s="72">
        <f>'总报价表'!I35</f>
        <v>0</v>
      </c>
      <c r="I71" s="72">
        <f>'总报价表'!T35</f>
        <v>0</v>
      </c>
      <c r="J71" s="72">
        <f>'总报价表'!J35</f>
        <v>0</v>
      </c>
      <c r="K71" s="72">
        <f>'总报价表'!K35</f>
        <v>0</v>
      </c>
      <c r="L71" s="72">
        <f>'总报价表'!L35</f>
        <v>0</v>
      </c>
    </row>
    <row r="72" ht="14" customHeight="1" spans="3:3" x14ac:dyDescent="0.25"/>
    <row r="73" ht="23" customHeight="1" spans="1:12" x14ac:dyDescent="0.25">
      <c r="A73" s="70" t="s">
        <v>149</v>
      </c>
      <c r="B73" s="70"/>
      <c r="C73" s="70"/>
      <c r="D73" s="70"/>
      <c r="E73" s="70"/>
      <c r="F73" s="70"/>
      <c r="G73" s="70"/>
      <c r="H73" s="70"/>
      <c r="I73" s="70"/>
      <c r="J73" s="70"/>
      <c r="K73" s="70"/>
      <c r="L73" s="70"/>
    </row>
    <row r="74" ht="25" customHeight="1" spans="1:11" x14ac:dyDescent="0.25">
      <c r="A74" s="71" t="s">
        <v>80</v>
      </c>
      <c r="B74" s="71" t="s">
        <v>150</v>
      </c>
      <c r="C74" s="71" t="s">
        <v>151</v>
      </c>
      <c r="D74" s="71" t="s">
        <v>81</v>
      </c>
      <c r="E74" s="71" t="s">
        <v>152</v>
      </c>
      <c r="F74" s="71" t="s">
        <v>84</v>
      </c>
      <c r="G74" s="71" t="s">
        <v>85</v>
      </c>
      <c r="H74" s="71" t="s">
        <v>86</v>
      </c>
      <c r="I74" s="71" t="s">
        <v>153</v>
      </c>
      <c r="J74" s="71" t="s">
        <v>154</v>
      </c>
      <c r="K74" s="71" t="s">
        <v>155</v>
      </c>
    </row>
    <row r="75" ht="26" customHeight="1" spans="1:11" x14ac:dyDescent="0.25">
      <c r="A75" s="72">
        <f>'总报价表'!M35</f>
        <v>0</v>
      </c>
      <c r="B75" s="72">
        <f>IFERROR(A71/K79,0)</f>
        <v>1.111111111111111</v>
      </c>
      <c r="C75" s="72">
        <f>IFERROR(A71/(K79-J85),0)</f>
        <v>1.1495203306208541</v>
      </c>
      <c r="D75" s="72">
        <f>'总报价表'!N35</f>
        <v>0</v>
      </c>
      <c r="E75" s="72">
        <f>'总报价表'!O35+'总报价表'!P35</f>
        <v>0</v>
      </c>
      <c r="F75" s="72">
        <f>'总报价表'!Q35</f>
        <v>0</v>
      </c>
      <c r="G75" s="72">
        <f>'总报价表'!R35</f>
        <v>0</v>
      </c>
      <c r="H75" s="72">
        <f>'总报价表'!S35</f>
        <v>0</v>
      </c>
      <c r="I75" s="72">
        <f>C46</f>
        <v>0</v>
      </c>
      <c r="J75" s="72">
        <f>C47</f>
        <v>0</v>
      </c>
      <c r="K75" s="72">
        <f>'总报价表'!AA99*2+((((((0*30%*0)))+0)))+C60*$B$56</f>
        <v>0</v>
      </c>
    </row>
    <row r="76" ht="14" customHeight="1" spans="3:3" x14ac:dyDescent="0.25"/>
    <row r="77" ht="23" customHeight="1" spans="1:12" x14ac:dyDescent="0.25">
      <c r="A77" s="70" t="s">
        <v>156</v>
      </c>
      <c r="B77" s="70"/>
      <c r="C77" s="70"/>
      <c r="D77" s="70"/>
      <c r="E77" s="70"/>
      <c r="F77" s="70"/>
      <c r="G77" s="70"/>
      <c r="H77" s="70"/>
      <c r="I77" s="70"/>
      <c r="J77" s="70"/>
      <c r="K77" s="70"/>
      <c r="L77" s="70"/>
    </row>
    <row r="78" ht="36" customHeight="1" spans="1:11" x14ac:dyDescent="0.25">
      <c r="A78" s="71" t="s">
        <v>72</v>
      </c>
      <c r="B78" s="71" t="s">
        <v>157</v>
      </c>
      <c r="C78" s="71" t="s">
        <v>74</v>
      </c>
      <c r="D78" s="71" t="s">
        <v>158</v>
      </c>
      <c r="E78" s="71" t="s">
        <v>159</v>
      </c>
      <c r="F78" s="71" t="s">
        <v>160</v>
      </c>
      <c r="G78" s="71" t="s">
        <v>161</v>
      </c>
      <c r="H78" s="71" t="s">
        <v>162</v>
      </c>
      <c r="I78" s="71" t="s">
        <v>163</v>
      </c>
      <c r="J78" s="71" t="s">
        <v>164</v>
      </c>
      <c r="K78" s="71" t="s">
        <v>165</v>
      </c>
    </row>
    <row r="79" ht="26" customHeight="1" spans="1:11" x14ac:dyDescent="0.25">
      <c r="A79" s="72">
        <f>'总报价表'!E35</f>
        <v>1.1</v>
      </c>
      <c r="B79" s="72">
        <f>'总报价表'!F35</f>
        <v>0</v>
      </c>
      <c r="C79" s="72">
        <f>'总报价表'!G35</f>
        <v>0</v>
      </c>
      <c r="D79" s="72">
        <f>'总报价表'!H35</f>
        <v>0</v>
      </c>
      <c r="E79" s="72">
        <f>B71+C71+D71+E71+F71+G71+H71+I71+J71+K71+L71+A75+D75+E75+F75+G75+H75+I75+J75+K75+C79</f>
        <v>1.7360000000000002</v>
      </c>
      <c r="F79" s="73">
        <f>IFERROR((A79+B79+D79)/A71,0)</f>
        <v>0.3490832157968971</v>
      </c>
      <c r="G79" s="72">
        <f>A71-E79</f>
        <v>1.4151111111111105</v>
      </c>
      <c r="H79" s="73">
        <f>IFERROR(G79/A71,0)</f>
        <v>0.4490832157968969</v>
      </c>
      <c r="I79" s="72">
        <f>A71-K79</f>
        <v>0.31511111111111045</v>
      </c>
      <c r="J79" s="73">
        <f>IFERROR(I79/A71,0)</f>
        <v>0.0999999999999998</v>
      </c>
      <c r="K79" s="72">
        <f>E79+A79+B79+D79</f>
        <v>2.8360000000000003</v>
      </c>
    </row>
    <row r="80" ht="14" customHeight="1" spans="3:3" x14ac:dyDescent="0.25"/>
    <row r="81" ht="23" customHeight="1" spans="1:12" x14ac:dyDescent="0.25">
      <c r="A81" s="70" t="s">
        <v>166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</row>
    <row r="82" ht="25" customHeight="1" spans="1:10" x14ac:dyDescent="0.25">
      <c r="A82" s="71" t="s">
        <v>167</v>
      </c>
      <c r="B82" s="71" t="s">
        <v>168</v>
      </c>
      <c r="C82" s="71" t="s">
        <v>169</v>
      </c>
      <c r="D82" s="71" t="s">
        <v>170</v>
      </c>
      <c r="E82" s="71" t="s">
        <v>171</v>
      </c>
      <c r="F82" s="71" t="s">
        <v>172</v>
      </c>
      <c r="G82" s="71" t="s">
        <v>173</v>
      </c>
      <c r="H82" s="71" t="s">
        <v>174</v>
      </c>
      <c r="I82" s="71" t="s">
        <v>175</v>
      </c>
      <c r="J82" s="71" t="s">
        <v>176</v>
      </c>
    </row>
    <row r="83" ht="26" customHeight="1" spans="1:10" x14ac:dyDescent="0.25">
      <c r="A83" s="72">
        <f>C71+H71+J71+A75+D75+E75+G75+C79+L71</f>
        <v>0.8240000000000001</v>
      </c>
      <c r="B83" s="72">
        <f>H75</f>
        <v>0</v>
      </c>
      <c r="C83" s="72">
        <f>F75</f>
        <v>0</v>
      </c>
      <c r="D83" s="72">
        <f>E71</f>
        <v>0</v>
      </c>
      <c r="E83" s="72">
        <f>F71</f>
        <v>0</v>
      </c>
      <c r="F83" s="72">
        <f>G71</f>
        <v>0</v>
      </c>
      <c r="G83" s="72">
        <f>K71</f>
        <v>0</v>
      </c>
      <c r="H83" s="72">
        <f>I75</f>
        <v>0</v>
      </c>
      <c r="I83" s="72">
        <f>A83</f>
        <v>0.8240000000000001</v>
      </c>
      <c r="J83" s="74"/>
    </row>
    <row r="84" ht="26" customHeight="1" spans="1:10" x14ac:dyDescent="0.25">
      <c r="A84" s="74"/>
      <c r="B84" s="73">
        <v>0.1</v>
      </c>
      <c r="C84" s="73">
        <v>0.0099</v>
      </c>
      <c r="D84" s="73">
        <v>0.03</v>
      </c>
      <c r="E84" s="73">
        <v>0.115</v>
      </c>
      <c r="F84" s="73">
        <v>0.115</v>
      </c>
      <c r="G84" s="73">
        <v>0.06</v>
      </c>
      <c r="H84" s="73">
        <v>0.0826</v>
      </c>
      <c r="I84" s="73">
        <v>0.115</v>
      </c>
      <c r="J84" s="75" t="s">
        <v>177</v>
      </c>
    </row>
    <row r="85" ht="26" customHeight="1" spans="1:10" x14ac:dyDescent="0.25">
      <c r="A85" s="75" t="s">
        <v>178</v>
      </c>
      <c r="B85" s="72">
        <f>B83*B84</f>
        <v>0</v>
      </c>
      <c r="C85" s="72">
        <f>C83*C84</f>
        <v>0</v>
      </c>
      <c r="D85" s="72">
        <f>D83*D84</f>
        <v>0</v>
      </c>
      <c r="E85" s="72">
        <f>E83*E84</f>
        <v>0</v>
      </c>
      <c r="F85" s="72">
        <f>F83*F84</f>
        <v>0</v>
      </c>
      <c r="G85" s="72">
        <f>G83*G84</f>
        <v>0</v>
      </c>
      <c r="H85" s="72">
        <f>H83*H84</f>
        <v>0</v>
      </c>
      <c r="I85" s="72">
        <f>I83*I84</f>
        <v>0.09476000000000001</v>
      </c>
      <c r="J85" s="76">
        <f>SUM(B85:I85)</f>
        <v>0.09476000000000001</v>
      </c>
    </row>
    <row r="86" ht="16" customHeight="1" spans="3:3" x14ac:dyDescent="0.25"/>
    <row r="87" ht="26" customHeight="1" spans="1:10" x14ac:dyDescent="0.25">
      <c r="A87" s="77" t="s">
        <v>176</v>
      </c>
      <c r="B87" s="77"/>
      <c r="C87" s="77"/>
      <c r="D87" s="77"/>
      <c r="E87" s="77"/>
      <c r="F87" s="77"/>
      <c r="G87" s="78">
        <f>J85</f>
        <v>0.09476000000000001</v>
      </c>
      <c r="H87" s="78"/>
      <c r="I87" s="78"/>
      <c r="J87" s="78"/>
    </row>
    <row r="88" ht="26" customHeight="1" spans="1:10" x14ac:dyDescent="0.25">
      <c r="A88" s="77" t="s">
        <v>179</v>
      </c>
      <c r="B88" s="77"/>
      <c r="C88" s="77"/>
      <c r="D88" s="77"/>
      <c r="E88" s="77"/>
      <c r="F88" s="77"/>
      <c r="G88" s="78">
        <f>K79-J85</f>
        <v>2.7412400000000003</v>
      </c>
      <c r="H88" s="78"/>
      <c r="I88" s="78"/>
      <c r="J88" s="78"/>
    </row>
    <row r="89" ht="26" customHeight="1" spans="1:10" x14ac:dyDescent="0.25">
      <c r="A89" s="77" t="s">
        <v>180</v>
      </c>
      <c r="B89" s="77"/>
      <c r="C89" s="77"/>
      <c r="D89" s="77"/>
      <c r="E89" s="77"/>
      <c r="F89" s="77"/>
      <c r="G89" s="78">
        <f>G79+J85</f>
        <v>1.5098711111111105</v>
      </c>
      <c r="H89" s="78"/>
      <c r="I89" s="78"/>
      <c r="J89" s="78"/>
    </row>
    <row r="90" ht="26" customHeight="1" spans="1:10" x14ac:dyDescent="0.25">
      <c r="A90" s="77" t="s">
        <v>181</v>
      </c>
      <c r="B90" s="77"/>
      <c r="C90" s="77"/>
      <c r="D90" s="77"/>
      <c r="E90" s="77"/>
      <c r="F90" s="77"/>
      <c r="G90" s="79">
        <f>IFERROR((G79+J85)/A71,0)</f>
        <v>0.4791551480959096</v>
      </c>
      <c r="H90" s="79"/>
      <c r="I90" s="79"/>
      <c r="J90" s="79"/>
    </row>
    <row r="91" ht="26" customHeight="1" spans="1:10" x14ac:dyDescent="0.25">
      <c r="A91" s="77" t="s">
        <v>182</v>
      </c>
      <c r="B91" s="77"/>
      <c r="C91" s="77"/>
      <c r="D91" s="77"/>
      <c r="E91" s="77"/>
      <c r="F91" s="77"/>
      <c r="G91" s="78">
        <f>I79+J85</f>
        <v>0.40987111111111046</v>
      </c>
      <c r="H91" s="78"/>
      <c r="I91" s="78"/>
      <c r="J91" s="78"/>
    </row>
    <row r="92" ht="26" customHeight="1" spans="1:10" x14ac:dyDescent="0.25">
      <c r="A92" s="77" t="s">
        <v>183</v>
      </c>
      <c r="B92" s="77"/>
      <c r="C92" s="77"/>
      <c r="D92" s="77"/>
      <c r="E92" s="77"/>
      <c r="F92" s="77"/>
      <c r="G92" s="79">
        <f>IFERROR((I79+J85)/A71,0)</f>
        <v>0.1300719322990125</v>
      </c>
      <c r="H92" s="79"/>
      <c r="I92" s="79"/>
      <c r="J92" s="79"/>
    </row>
    <row r="93" ht="10" customHeight="1" spans="3:3" x14ac:dyDescent="0.25"/>
    <row r="94" ht="10" customHeight="1" spans="3:3" x14ac:dyDescent="0.25"/>
    <row r="95" ht="32" customHeight="1" spans="1:28" x14ac:dyDescent="0.25">
      <c r="A95" s="3" t="s">
        <v>184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</row>
    <row r="96" ht="38" customHeight="1" spans="1:28" x14ac:dyDescent="0.25">
      <c r="A96" s="32" t="s">
        <v>68</v>
      </c>
      <c r="B96" s="32" t="s">
        <v>185</v>
      </c>
      <c r="C96" s="32" t="s">
        <v>93</v>
      </c>
      <c r="D96" s="32" t="s">
        <v>186</v>
      </c>
      <c r="E96" s="32" t="s">
        <v>187</v>
      </c>
      <c r="F96" s="32" t="s">
        <v>188</v>
      </c>
      <c r="G96" s="32" t="s">
        <v>189</v>
      </c>
      <c r="H96" s="32" t="s">
        <v>190</v>
      </c>
      <c r="I96" s="32" t="s">
        <v>191</v>
      </c>
      <c r="J96" s="32" t="s">
        <v>192</v>
      </c>
      <c r="K96" s="32" t="s">
        <v>193</v>
      </c>
      <c r="L96" s="32" t="s">
        <v>194</v>
      </c>
      <c r="M96" s="32" t="s">
        <v>195</v>
      </c>
      <c r="N96" s="32" t="s">
        <v>196</v>
      </c>
      <c r="O96" s="32" t="s">
        <v>130</v>
      </c>
      <c r="P96" s="32" t="s">
        <v>197</v>
      </c>
      <c r="Q96" s="32" t="s">
        <v>198</v>
      </c>
      <c r="R96" s="32" t="s">
        <v>199</v>
      </c>
      <c r="S96" s="32" t="s">
        <v>200</v>
      </c>
      <c r="T96" s="32" t="s">
        <v>201</v>
      </c>
      <c r="U96" s="32" t="s">
        <v>202</v>
      </c>
      <c r="V96" s="32" t="s">
        <v>203</v>
      </c>
      <c r="W96" s="32" t="s">
        <v>204</v>
      </c>
      <c r="X96" s="32" t="s">
        <v>205</v>
      </c>
      <c r="Y96" s="32" t="s">
        <v>115</v>
      </c>
      <c r="Z96" s="32" t="s">
        <v>206</v>
      </c>
      <c r="AA96" s="32" t="s">
        <v>207</v>
      </c>
      <c r="AB96" s="32" t="s">
        <v>208</v>
      </c>
    </row>
    <row r="97" ht="25" customHeight="1" spans="1:28" x14ac:dyDescent="0.25">
      <c r="A97" s="36" t="s">
        <v>95</v>
      </c>
      <c r="B97" s="36" t="s">
        <v>96</v>
      </c>
      <c r="C97" s="80">
        <f>'总报价表'!Z30</f>
        <v>0.5</v>
      </c>
      <c r="D97" s="80">
        <f>('总报价表'!E30)*$C97</f>
        <v>0.15000000000000002</v>
      </c>
      <c r="E97" s="80">
        <f>('总报价表'!H30)*$C97</f>
        <v>0</v>
      </c>
      <c r="F97" s="80">
        <f>('总报价表'!F30)*$C97</f>
        <v>0</v>
      </c>
      <c r="G97" s="80">
        <f>('总报价表'!G30)*$C97</f>
        <v>0</v>
      </c>
      <c r="H97" s="80">
        <f>((('总报价表'!G8)*1))*$C97</f>
        <v>0.10300000000000001</v>
      </c>
      <c r="I97" s="80">
        <f>((('总报价表'!G9)*1))*$C97</f>
        <v>0.10300000000000001</v>
      </c>
      <c r="J97" s="80">
        <f>('总报价表'!U30)*$C97</f>
        <v>0</v>
      </c>
      <c r="K97" s="80">
        <f>('总报价表'!V30)*$C97</f>
        <v>0</v>
      </c>
      <c r="L97" s="80">
        <f>('总报价表'!W30)*$C97</f>
        <v>0</v>
      </c>
      <c r="M97" s="80">
        <f>('总报价表'!X30)*$C97</f>
        <v>0</v>
      </c>
      <c r="N97" s="80">
        <f>('总报价表'!I30)*$C97</f>
        <v>0</v>
      </c>
      <c r="O97" s="80">
        <f>('总报价表'!T30)*$C97</f>
        <v>0</v>
      </c>
      <c r="P97" s="80">
        <f>('总报价表'!J30)*$C97</f>
        <v>0</v>
      </c>
      <c r="Q97" s="80">
        <f>('总报价表'!K30)*$C97</f>
        <v>0</v>
      </c>
      <c r="R97" s="80">
        <f>('总报价表'!L30)*$C97</f>
        <v>0</v>
      </c>
      <c r="S97" s="80">
        <f>('总报价表'!M30)*$C97</f>
        <v>0</v>
      </c>
      <c r="T97" s="80">
        <f>('总报价表'!N30)*$C97</f>
        <v>0</v>
      </c>
      <c r="U97" s="80">
        <f>0*$C97</f>
        <v>0</v>
      </c>
      <c r="V97" s="80">
        <f>('总报价表'!Q30)*$C97</f>
        <v>0</v>
      </c>
      <c r="W97" s="80">
        <f>('总报价表'!R30)*$C97</f>
        <v>0</v>
      </c>
      <c r="X97" s="80">
        <f>('总报价表'!S30)*$C97</f>
        <v>0</v>
      </c>
      <c r="Y97" s="80">
        <f>0*$C97</f>
        <v>0</v>
      </c>
      <c r="Z97" s="80">
        <f>0*$C97</f>
        <v>0</v>
      </c>
      <c r="AA97" s="80">
        <f>((((((0*30%*0)))+0)))*$C97</f>
        <v>0</v>
      </c>
      <c r="AB97" s="80">
        <f>SUM(D97:AA97)</f>
        <v>0.356</v>
      </c>
    </row>
    <row r="98" ht="25" customHeight="1" spans="1:28" x14ac:dyDescent="0.25">
      <c r="A98" s="33" t="s">
        <v>97</v>
      </c>
      <c r="B98" s="33" t="s">
        <v>98</v>
      </c>
      <c r="C98" s="81">
        <f>'总报价表'!Z31</f>
        <v>0.5</v>
      </c>
      <c r="D98" s="81">
        <f>('总报价表'!E31)*$C98</f>
        <v>0.35000000000000003</v>
      </c>
      <c r="E98" s="81">
        <f>('总报价表'!H31)*$C98</f>
        <v>0</v>
      </c>
      <c r="F98" s="81">
        <f>('总报价表'!F31)*$C98</f>
        <v>0</v>
      </c>
      <c r="G98" s="81">
        <f>('总报价表'!G31)*$C98</f>
        <v>0</v>
      </c>
      <c r="H98" s="81">
        <f>((('总报价表'!G8)*1))*$C98</f>
        <v>0.10300000000000001</v>
      </c>
      <c r="I98" s="81">
        <f>((('总报价表'!G10)*2))*$C98</f>
        <v>0.309</v>
      </c>
      <c r="J98" s="81">
        <f>('总报价表'!U31)*$C98</f>
        <v>0</v>
      </c>
      <c r="K98" s="81">
        <f>('总报价表'!V31)*$C98</f>
        <v>0</v>
      </c>
      <c r="L98" s="81">
        <f>('总报价表'!W31)*$C98</f>
        <v>0</v>
      </c>
      <c r="M98" s="81">
        <f>('总报价表'!X31)*$C98</f>
        <v>0</v>
      </c>
      <c r="N98" s="81">
        <f>('总报价表'!I31)*$C98</f>
        <v>0</v>
      </c>
      <c r="O98" s="81">
        <f>('总报价表'!T31)*$C98</f>
        <v>0</v>
      </c>
      <c r="P98" s="81">
        <f>('总报价表'!J31)*$C98</f>
        <v>0</v>
      </c>
      <c r="Q98" s="81">
        <f>('总报价表'!K31)*$C98</f>
        <v>0</v>
      </c>
      <c r="R98" s="81">
        <f>('总报价表'!L31)*$C98</f>
        <v>0</v>
      </c>
      <c r="S98" s="81">
        <f>('总报价表'!M31)*$C98</f>
        <v>0</v>
      </c>
      <c r="T98" s="81">
        <f>('总报价表'!N31)*$C98</f>
        <v>0</v>
      </c>
      <c r="U98" s="81">
        <f>0*$C98</f>
        <v>0</v>
      </c>
      <c r="V98" s="81">
        <f>('总报价表'!Q31)*$C98</f>
        <v>0</v>
      </c>
      <c r="W98" s="81">
        <f>('总报价表'!R31)*$C98</f>
        <v>0</v>
      </c>
      <c r="X98" s="81">
        <f>('总报价表'!S31)*$C98</f>
        <v>0</v>
      </c>
      <c r="Y98" s="81">
        <f>0*$C98</f>
        <v>0</v>
      </c>
      <c r="Z98" s="81">
        <f>0*$C98</f>
        <v>0</v>
      </c>
      <c r="AA98" s="81">
        <f>((((((0*30%*0)))+0)))*$C98</f>
        <v>0</v>
      </c>
      <c r="AB98" s="81">
        <f>SUM(D98:AA98)</f>
        <v>0.762</v>
      </c>
    </row>
    <row r="99" ht="25" customHeight="1" spans="1:28" x14ac:dyDescent="0.25">
      <c r="A99" s="36" t="s">
        <v>209</v>
      </c>
      <c r="B99" s="36" t="s">
        <v>210</v>
      </c>
      <c r="C99" s="80">
        <f>SUM(C97:C98)</f>
        <v>1</v>
      </c>
      <c r="D99" s="80">
        <f>SUM(D97:D98)</f>
        <v>0.5</v>
      </c>
      <c r="E99" s="80">
        <f>SUM(E97:E98)</f>
        <v>0</v>
      </c>
      <c r="F99" s="80">
        <f>SUM(F97:F98)</f>
        <v>0</v>
      </c>
      <c r="G99" s="80">
        <f>SUM(G97:G98)</f>
        <v>0</v>
      </c>
      <c r="H99" s="80">
        <f>SUM(H97:H98)</f>
        <v>0.20600000000000002</v>
      </c>
      <c r="I99" s="80">
        <f>SUM(I97:I98)</f>
        <v>0.41200000000000003</v>
      </c>
      <c r="J99" s="80">
        <f>SUM(J97:J98)</f>
        <v>0</v>
      </c>
      <c r="K99" s="80">
        <f>SUM(K97:K98)</f>
        <v>0</v>
      </c>
      <c r="L99" s="80">
        <f>SUM(L97:L98)</f>
        <v>0</v>
      </c>
      <c r="M99" s="80">
        <f>SUM(M97:M98)</f>
        <v>0</v>
      </c>
      <c r="N99" s="80">
        <f>SUM(N97:N98)</f>
        <v>0</v>
      </c>
      <c r="O99" s="80">
        <f>SUM(O97:O98)</f>
        <v>0</v>
      </c>
      <c r="P99" s="80">
        <f>SUM(P97:P98)</f>
        <v>0</v>
      </c>
      <c r="Q99" s="80">
        <f>SUM(Q97:Q98)</f>
        <v>0</v>
      </c>
      <c r="R99" s="80">
        <f>SUM(R97:R98)</f>
        <v>0</v>
      </c>
      <c r="S99" s="80">
        <f>SUM(S97:S98)</f>
        <v>0</v>
      </c>
      <c r="T99" s="80">
        <f>SUM(T97:T98)</f>
        <v>0</v>
      </c>
      <c r="U99" s="80">
        <f>SUM(U97:U98)</f>
        <v>0</v>
      </c>
      <c r="V99" s="80">
        <f>SUM(V97:V98)</f>
        <v>0</v>
      </c>
      <c r="W99" s="80">
        <f>SUM(W97:W98)</f>
        <v>0</v>
      </c>
      <c r="X99" s="80">
        <f>SUM(X97:X98)</f>
        <v>0</v>
      </c>
      <c r="Y99" s="80">
        <f>SUM(Y97:Y98)</f>
        <v>0</v>
      </c>
      <c r="Z99" s="80">
        <f>SUM(Z97:Z98)</f>
        <v>0</v>
      </c>
      <c r="AA99" s="80">
        <f>SUM(AA97:AA98)</f>
        <v>0</v>
      </c>
      <c r="AB99" s="80">
        <f>SUM(AB97:AB98)</f>
        <v>1.1179999999999999</v>
      </c>
    </row>
  </sheetData>
  <mergeCells count="57">
    <mergeCell ref="A1:AB1"/>
    <mergeCell ref="A2:AB2"/>
    <mergeCell ref="A6:X6"/>
    <mergeCell ref="A15:K15"/>
    <mergeCell ref="A22:K22"/>
    <mergeCell ref="A25:AA25"/>
    <mergeCell ref="A26:AA26"/>
    <mergeCell ref="A27:AA27"/>
    <mergeCell ref="A28:AA28"/>
    <mergeCell ref="A38:L38"/>
    <mergeCell ref="A39:E39"/>
    <mergeCell ref="D40:E40"/>
    <mergeCell ref="B42:E42"/>
    <mergeCell ref="A43:E43"/>
    <mergeCell ref="G43:L43"/>
    <mergeCell ref="G44:H44"/>
    <mergeCell ref="K44:L44"/>
    <mergeCell ref="G45:H45"/>
    <mergeCell ref="K45:L45"/>
    <mergeCell ref="G46:H46"/>
    <mergeCell ref="K46:L46"/>
    <mergeCell ref="G47:H47"/>
    <mergeCell ref="K47:L47"/>
    <mergeCell ref="G48:H48"/>
    <mergeCell ref="K48:L48"/>
    <mergeCell ref="G49:H49"/>
    <mergeCell ref="K49:L49"/>
    <mergeCell ref="G50:H50"/>
    <mergeCell ref="K50:L50"/>
    <mergeCell ref="G51:H51"/>
    <mergeCell ref="K51:L51"/>
    <mergeCell ref="G52:H52"/>
    <mergeCell ref="K52:L52"/>
    <mergeCell ref="G55:L55"/>
    <mergeCell ref="G56:J56"/>
    <mergeCell ref="K56:L56"/>
    <mergeCell ref="G57:J57"/>
    <mergeCell ref="K57:L57"/>
    <mergeCell ref="B65:E65"/>
    <mergeCell ref="A67:L67"/>
    <mergeCell ref="A69:L69"/>
    <mergeCell ref="A73:L73"/>
    <mergeCell ref="A77:L77"/>
    <mergeCell ref="A81:L81"/>
    <mergeCell ref="A87:F87"/>
    <mergeCell ref="G87:J87"/>
    <mergeCell ref="A88:F88"/>
    <mergeCell ref="G88:J88"/>
    <mergeCell ref="A89:F89"/>
    <mergeCell ref="G89:J89"/>
    <mergeCell ref="A90:F90"/>
    <mergeCell ref="G90:J90"/>
    <mergeCell ref="A91:F91"/>
    <mergeCell ref="G91:J91"/>
    <mergeCell ref="A92:F92"/>
    <mergeCell ref="G92:J92"/>
    <mergeCell ref="A95:AB95"/>
  </mergeCells>
  <dataValidations count="2">
    <dataValidation type="decimal" operator="greaterThanOrEqual" showErrorMessage="1" errorTitle="需求量无效" error="请输入大于或等于0的需求量" sqref="R10:R11">
      <formula1>0</formula1>
    </dataValidation>
    <dataValidation type="decimal" operator="greaterThanOrEqual" showErrorMessage="1" errorTitle="需求量无效" error="请输入大于或等于0的需求量" sqref="R8:R11">
      <formula1>0</formula1>
    </dataValidation>
  </dataValidations>
  <pageMargins left="0.3" right="0.3" top="0.4" bottom="0.4" header="0.2" footer="0.2"/>
  <pageSetup paperSize="8" orientation="landscape" scale="75" fitToWidth="1" fitToHeight="0"/>
  <headerFooter>
    <oddFooter>&amp;L内部报价明细&amp;C&amp;P / &amp;N&amp;R&amp;A</oddFooter>
  </headerFooter>
  <rowBreaks count="5" manualBreakCount="5">
    <brk id="5" max="16838" man="1"/>
    <brk id="14" max="16838" man="1"/>
    <brk id="24" max="16838" man="1"/>
    <brk id="37" max="16838" man="1"/>
    <brk id="94" max="16838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 showGridLines="0" zoomScale="90">
      <pane ySplit="1" topLeftCell="A2" activePane="bottomLeft" state="frozen"/>
      <selection pane="bottomLeft"/>
    </sheetView>
  </sheetViews>
  <sheetFormatPr defaultRowHeight="25" outlineLevelRow="0" outlineLevelCol="0" x14ac:dyDescent="55" customHeight="1"/>
  <cols>
    <col min="1" max="1" width="22" customWidth="1"/>
    <col min="2" max="2" width="30" customWidth="1"/>
    <col min="3" max="3" width="13" customWidth="1"/>
    <col min="4" max="5" width="16" customWidth="1"/>
    <col min="6" max="6" width="18" customWidth="1"/>
    <col min="7" max="14" width="14" customWidth="1"/>
  </cols>
  <sheetData>
    <row r="1" ht="38" customHeight="1" spans="1:5" s="84" customFormat="1" x14ac:dyDescent="0.25">
      <c r="A1" s="32" t="s">
        <v>68</v>
      </c>
      <c r="B1" s="32" t="s">
        <v>221</v>
      </c>
      <c r="C1" s="32" t="s">
        <v>222</v>
      </c>
      <c r="D1" s="32" t="s">
        <v>93</v>
      </c>
      <c r="E1" s="32" t="s">
        <v>223</v>
      </c>
    </row>
    <row r="2" ht="25" customHeight="1" spans="1:5" x14ac:dyDescent="0.25">
      <c r="A2" s="33" t="s">
        <v>95</v>
      </c>
      <c r="B2" s="33" t="s">
        <v>96</v>
      </c>
      <c r="C2" s="81">
        <f>0</f>
        <v>0</v>
      </c>
      <c r="D2" s="81">
        <f>'总报价表'!Z30</f>
        <v>0.5</v>
      </c>
      <c r="E2" s="81">
        <f>C2*D2</f>
        <v>0</v>
      </c>
    </row>
    <row r="3" ht="25" customHeight="1" spans="1:5" x14ac:dyDescent="0.25">
      <c r="A3" s="36" t="s">
        <v>97</v>
      </c>
      <c r="B3" s="36" t="s">
        <v>98</v>
      </c>
      <c r="C3" s="80">
        <f>0</f>
        <v>0</v>
      </c>
      <c r="D3" s="80">
        <f>'总报价表'!Z31</f>
        <v>0.5</v>
      </c>
      <c r="E3" s="80">
        <f>C3*D3</f>
        <v>0</v>
      </c>
    </row>
    <row r="4" ht="25" customHeight="1" spans="1:5" x14ac:dyDescent="0.25">
      <c r="A4" s="33" t="s">
        <v>224</v>
      </c>
      <c r="B4" s="33" t="s">
        <v>104</v>
      </c>
      <c r="C4" s="81">
        <f>0</f>
        <v>0</v>
      </c>
      <c r="D4" s="81">
        <v>1</v>
      </c>
      <c r="E4" s="81">
        <f>C4*D4</f>
        <v>0</v>
      </c>
    </row>
    <row r="5" ht="10" customHeight="1" spans="1:5" x14ac:dyDescent="0.25"/>
    <row r="6" ht="10" customHeight="1" spans="1:5" x14ac:dyDescent="0.25"/>
    <row r="7" ht="25" customHeight="1" spans="1:4" x14ac:dyDescent="0.25">
      <c r="A7" s="36" t="s">
        <v>225</v>
      </c>
      <c r="B7" s="36"/>
      <c r="C7" s="36"/>
      <c r="D7" s="36"/>
    </row>
    <row r="8" ht="25" customHeight="1" spans="1:3" x14ac:dyDescent="0.25">
      <c r="A8" s="33" t="s">
        <v>226</v>
      </c>
      <c r="B8" s="85"/>
      <c r="C8" s="85"/>
    </row>
    <row r="9" ht="10" customHeight="1" x14ac:dyDescent="0.25"/>
    <row r="10" ht="10" customHeight="1" x14ac:dyDescent="0.25"/>
    <row r="11" ht="25" customHeight="1" spans="1:4" x14ac:dyDescent="0.25">
      <c r="A11" s="36" t="s">
        <v>227</v>
      </c>
      <c r="B11" s="36"/>
      <c r="C11" s="36"/>
      <c r="D11" s="36"/>
    </row>
    <row r="12" ht="25" customHeight="1" spans="1:3" x14ac:dyDescent="0.25">
      <c r="A12" s="33" t="s">
        <v>226</v>
      </c>
      <c r="B12" s="85"/>
      <c r="C12" s="85"/>
    </row>
    <row r="13" ht="10" customHeight="1" x14ac:dyDescent="0.25"/>
    <row r="14" ht="10" customHeight="1" x14ac:dyDescent="0.25"/>
    <row r="15" ht="25" customHeight="1" spans="1:4" x14ac:dyDescent="0.25">
      <c r="A15" s="36" t="s">
        <v>228</v>
      </c>
      <c r="B15" s="36"/>
      <c r="C15" s="36"/>
      <c r="D15" s="36"/>
    </row>
    <row r="16" ht="25" customHeight="1" spans="1:3" x14ac:dyDescent="0.25">
      <c r="A16" s="33" t="s">
        <v>226</v>
      </c>
      <c r="B16" s="85"/>
      <c r="C16" s="85"/>
    </row>
  </sheetData>
  <mergeCells count="3">
    <mergeCell ref="A7:D7"/>
    <mergeCell ref="A11:D11"/>
    <mergeCell ref="A15:D15"/>
  </mergeCells>
  <pageMargins left="0.3" right="0.3" top="0.4" bottom="0.4" header="0.2" footer="0.2"/>
  <pageSetup paperSize="8" orientation="landscape" scale="75" fitToWidth="1" fitToHeight="0"/>
  <headerFooter>
    <oddFooter>&amp;L内部报价明细&amp;C&amp;P / &amp;N&amp;R&amp;A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 zoomScale="90">
      <pane ySplit="1" topLeftCell="A2" activePane="bottomLeft" state="frozen"/>
      <selection pane="bottomLeft"/>
    </sheetView>
  </sheetViews>
  <sheetFormatPr defaultRowHeight="25" outlineLevelRow="0" outlineLevelCol="0" x14ac:dyDescent="55" customHeight="1"/>
  <cols>
    <col min="1" max="1" width="22" customWidth="1"/>
    <col min="2" max="2" width="30" customWidth="1"/>
    <col min="3" max="3" width="13" customWidth="1"/>
    <col min="4" max="5" width="16" customWidth="1"/>
  </cols>
  <sheetData>
    <row r="1" ht="38" customHeight="1" spans="1:5" s="86" customFormat="1" x14ac:dyDescent="0.25">
      <c r="A1" s="32" t="s">
        <v>68</v>
      </c>
      <c r="B1" s="32" t="s">
        <v>221</v>
      </c>
      <c r="C1" s="32" t="s">
        <v>222</v>
      </c>
      <c r="D1" s="32" t="s">
        <v>93</v>
      </c>
      <c r="E1" s="32" t="s">
        <v>223</v>
      </c>
    </row>
    <row r="2" ht="25" customHeight="1" spans="1:5" x14ac:dyDescent="0.25">
      <c r="A2" s="33" t="s">
        <v>95</v>
      </c>
      <c r="B2" s="33" t="s">
        <v>96</v>
      </c>
      <c r="C2" s="81">
        <f>0</f>
        <v>0</v>
      </c>
      <c r="D2" s="81">
        <f>'总报价表'!Z30</f>
        <v>0.5</v>
      </c>
      <c r="E2" s="81">
        <f>C2*D2</f>
        <v>0</v>
      </c>
    </row>
    <row r="3" ht="25" customHeight="1" spans="1:5" x14ac:dyDescent="0.25">
      <c r="A3" s="36" t="s">
        <v>97</v>
      </c>
      <c r="B3" s="36" t="s">
        <v>98</v>
      </c>
      <c r="C3" s="80">
        <f>0</f>
        <v>0</v>
      </c>
      <c r="D3" s="80">
        <f>'总报价表'!Z31</f>
        <v>0.5</v>
      </c>
      <c r="E3" s="80">
        <f>C3*D3</f>
        <v>0</v>
      </c>
    </row>
    <row r="4" ht="25" customHeight="1" spans="1:5" x14ac:dyDescent="0.25">
      <c r="A4" s="33" t="s">
        <v>224</v>
      </c>
      <c r="B4" s="33" t="s">
        <v>104</v>
      </c>
      <c r="C4" s="81">
        <f>0</f>
        <v>0</v>
      </c>
      <c r="D4" s="81">
        <v>1</v>
      </c>
      <c r="E4" s="81">
        <f>C4*D4</f>
        <v>0</v>
      </c>
    </row>
  </sheetData>
  <pageMargins left="0.3" right="0.3" top="0.4" bottom="0.4" header="0.2" footer="0.2"/>
  <pageSetup paperSize="8" orientation="landscape" horizontalDpi="4294967295" verticalDpi="4294967295" scale="75" fitToWidth="1" fitToHeight="1"/>
  <headerFooter>
    <oddFooter>&amp;L内部报价明细&amp;C&amp;P / &amp;N&amp;R&amp;A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 zoomScale="90">
      <pane ySplit="1" topLeftCell="A2" activePane="bottomLeft" state="frozen"/>
      <selection pane="bottomLeft"/>
    </sheetView>
  </sheetViews>
  <sheetFormatPr defaultRowHeight="25" outlineLevelRow="0" outlineLevelCol="0" x14ac:dyDescent="55" customHeight="1"/>
  <cols>
    <col min="1" max="1" width="22" customWidth="1"/>
    <col min="2" max="2" width="30" customWidth="1"/>
    <col min="3" max="3" width="13" customWidth="1"/>
    <col min="4" max="5" width="16" customWidth="1"/>
  </cols>
  <sheetData>
    <row r="1" ht="38" customHeight="1" spans="1:5" s="86" customFormat="1" x14ac:dyDescent="0.25">
      <c r="A1" s="32" t="s">
        <v>68</v>
      </c>
      <c r="B1" s="32" t="s">
        <v>221</v>
      </c>
      <c r="C1" s="32" t="s">
        <v>222</v>
      </c>
      <c r="D1" s="32" t="s">
        <v>93</v>
      </c>
      <c r="E1" s="32" t="s">
        <v>223</v>
      </c>
    </row>
    <row r="2" ht="25" customHeight="1" spans="1:5" x14ac:dyDescent="0.25">
      <c r="A2" s="33" t="s">
        <v>95</v>
      </c>
      <c r="B2" s="33" t="s">
        <v>96</v>
      </c>
      <c r="C2" s="81">
        <f>('总报价表'!W30)+('总报价表'!X30)</f>
        <v>0</v>
      </c>
      <c r="D2" s="81">
        <f>'总报价表'!Z30</f>
        <v>0.5</v>
      </c>
      <c r="E2" s="81">
        <f>C2*D2</f>
        <v>0</v>
      </c>
    </row>
    <row r="3" ht="25" customHeight="1" spans="1:5" x14ac:dyDescent="0.25">
      <c r="A3" s="36" t="s">
        <v>97</v>
      </c>
      <c r="B3" s="36" t="s">
        <v>98</v>
      </c>
      <c r="C3" s="80">
        <f>('总报价表'!W31)+('总报价表'!X31)</f>
        <v>0</v>
      </c>
      <c r="D3" s="80">
        <f>'总报价表'!Z31</f>
        <v>0.5</v>
      </c>
      <c r="E3" s="80">
        <f>C3*D3</f>
        <v>0</v>
      </c>
    </row>
    <row r="4" ht="25" customHeight="1" spans="1:5" x14ac:dyDescent="0.25">
      <c r="A4" s="33" t="s">
        <v>224</v>
      </c>
      <c r="B4" s="33" t="s">
        <v>104</v>
      </c>
      <c r="C4" s="81">
        <f>('总报价表'!W34)+('总报价表'!X34)</f>
        <v>0</v>
      </c>
      <c r="D4" s="81">
        <v>1</v>
      </c>
      <c r="E4" s="81">
        <f>C4*D4</f>
        <v>0</v>
      </c>
    </row>
  </sheetData>
  <pageMargins left="0.3" right="0.3" top="0.4" bottom="0.4" header="0.2" footer="0.2"/>
  <pageSetup paperSize="8" orientation="landscape" horizontalDpi="4294967295" verticalDpi="4294967295" scale="75" fitToWidth="1" fitToHeight="1"/>
  <headerFooter>
    <oddFooter>&amp;L内部报价明细&amp;C&amp;P / &amp;N&amp;R&amp;A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 zoomScale="90">
      <pane ySplit="1" topLeftCell="A2" activePane="bottomLeft" state="frozen"/>
      <selection pane="bottomLeft"/>
    </sheetView>
  </sheetViews>
  <sheetFormatPr defaultRowHeight="25" outlineLevelRow="0" outlineLevelCol="0" x14ac:dyDescent="55" customHeight="1"/>
  <cols>
    <col min="1" max="1" width="22" customWidth="1"/>
    <col min="2" max="2" width="30" customWidth="1"/>
    <col min="3" max="3" width="13" customWidth="1"/>
    <col min="4" max="5" width="16" customWidth="1"/>
  </cols>
  <sheetData>
    <row r="1" ht="38" customHeight="1" spans="1:5" s="86" customFormat="1" x14ac:dyDescent="0.25">
      <c r="A1" s="32" t="s">
        <v>68</v>
      </c>
      <c r="B1" s="32" t="s">
        <v>221</v>
      </c>
      <c r="C1" s="32" t="s">
        <v>222</v>
      </c>
      <c r="D1" s="32" t="s">
        <v>93</v>
      </c>
      <c r="E1" s="32" t="s">
        <v>223</v>
      </c>
    </row>
    <row r="2" ht="25" customHeight="1" spans="1:5" x14ac:dyDescent="0.25">
      <c r="A2" s="33" t="s">
        <v>95</v>
      </c>
      <c r="B2" s="33" t="s">
        <v>96</v>
      </c>
      <c r="C2" s="81">
        <f>0+0</f>
        <v>0</v>
      </c>
      <c r="D2" s="81">
        <f>'总报价表'!Z30</f>
        <v>0.5</v>
      </c>
      <c r="E2" s="81">
        <f>C2*D2</f>
        <v>0</v>
      </c>
    </row>
    <row r="3" ht="25" customHeight="1" spans="1:5" x14ac:dyDescent="0.25">
      <c r="A3" s="36" t="s">
        <v>97</v>
      </c>
      <c r="B3" s="36" t="s">
        <v>98</v>
      </c>
      <c r="C3" s="80">
        <f>0+0</f>
        <v>0</v>
      </c>
      <c r="D3" s="80">
        <f>'总报价表'!Z31</f>
        <v>0.5</v>
      </c>
      <c r="E3" s="80">
        <f>C3*D3</f>
        <v>0</v>
      </c>
    </row>
    <row r="4" ht="25" customHeight="1" spans="1:5" x14ac:dyDescent="0.25">
      <c r="A4" s="33" t="s">
        <v>224</v>
      </c>
      <c r="B4" s="33" t="s">
        <v>104</v>
      </c>
      <c r="C4" s="81">
        <f>0+0</f>
        <v>0</v>
      </c>
      <c r="D4" s="81">
        <v>1</v>
      </c>
      <c r="E4" s="81">
        <f>C4*D4</f>
        <v>0</v>
      </c>
    </row>
  </sheetData>
  <pageMargins left="0.3" right="0.3" top="0.4" bottom="0.4" header="0.2" footer="0.2"/>
  <pageSetup paperSize="8" orientation="landscape" horizontalDpi="4294967295" verticalDpi="4294967295" scale="75" fitToWidth="1" fitToHeight="1"/>
  <headerFooter>
    <oddFooter>&amp;L内部报价明细&amp;C&amp;P / &amp;N&amp;R&amp;A</oddFoot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 zoomScale="90">
      <pane ySplit="1" topLeftCell="A2" activePane="bottomLeft" state="frozen"/>
      <selection pane="bottomLeft"/>
    </sheetView>
  </sheetViews>
  <sheetFormatPr defaultRowHeight="25" outlineLevelRow="0" outlineLevelCol="0" x14ac:dyDescent="55" customHeight="1"/>
  <cols>
    <col min="1" max="1" width="22" customWidth="1"/>
    <col min="2" max="2" width="30" customWidth="1"/>
    <col min="3" max="3" width="13" customWidth="1"/>
    <col min="4" max="5" width="16" customWidth="1"/>
  </cols>
  <sheetData>
    <row r="1" ht="38" customHeight="1" spans="1:5" s="86" customFormat="1" x14ac:dyDescent="0.25">
      <c r="A1" s="32" t="s">
        <v>68</v>
      </c>
      <c r="B1" s="32" t="s">
        <v>221</v>
      </c>
      <c r="C1" s="32" t="s">
        <v>222</v>
      </c>
      <c r="D1" s="32" t="s">
        <v>93</v>
      </c>
      <c r="E1" s="32" t="s">
        <v>223</v>
      </c>
    </row>
    <row r="2" ht="25" customHeight="1" spans="1:5" x14ac:dyDescent="0.25">
      <c r="A2" s="33" t="s">
        <v>95</v>
      </c>
      <c r="B2" s="33" t="s">
        <v>96</v>
      </c>
      <c r="C2" s="81">
        <f>('总报价表'!F30)+('总报价表'!G30)</f>
        <v>0</v>
      </c>
      <c r="D2" s="81">
        <f>'总报价表'!Z30</f>
        <v>0.5</v>
      </c>
      <c r="E2" s="81">
        <f>C2*D2</f>
        <v>0</v>
      </c>
    </row>
    <row r="3" ht="25" customHeight="1" spans="1:5" x14ac:dyDescent="0.25">
      <c r="A3" s="36" t="s">
        <v>97</v>
      </c>
      <c r="B3" s="36" t="s">
        <v>98</v>
      </c>
      <c r="C3" s="80">
        <f>('总报价表'!F31)+('总报价表'!G31)</f>
        <v>0</v>
      </c>
      <c r="D3" s="80">
        <f>'总报价表'!Z31</f>
        <v>0.5</v>
      </c>
      <c r="E3" s="80">
        <f>C3*D3</f>
        <v>0</v>
      </c>
    </row>
    <row r="4" ht="25" customHeight="1" spans="1:5" x14ac:dyDescent="0.25">
      <c r="A4" s="33" t="s">
        <v>224</v>
      </c>
      <c r="B4" s="33" t="s">
        <v>104</v>
      </c>
      <c r="C4" s="81">
        <f>('总报价表'!F34)+('总报价表'!G34)</f>
        <v>0</v>
      </c>
      <c r="D4" s="81">
        <v>1</v>
      </c>
      <c r="E4" s="81">
        <f>C4*D4</f>
        <v>0</v>
      </c>
    </row>
  </sheetData>
  <pageMargins left="0.3" right="0.3" top="0.4" bottom="0.4" header="0.2" footer="0.2"/>
  <pageSetup paperSize="8" orientation="landscape" horizontalDpi="4294967295" verticalDpi="4294967295" scale="75" fitToWidth="1" fitToHeight="1"/>
  <headerFooter>
    <oddFooter>&amp;L内部报价明细&amp;C&amp;P / &amp;N&amp;R&amp;A</oddFoot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 showGridLines="0" zoomScale="90">
      <pane ySplit="1" topLeftCell="A2" activePane="bottomLeft" state="frozen"/>
      <selection pane="bottomLeft"/>
    </sheetView>
  </sheetViews>
  <sheetFormatPr defaultRowHeight="25" outlineLevelRow="0" outlineLevelCol="0" x14ac:dyDescent="55" customHeight="1"/>
  <cols>
    <col min="1" max="1" width="22" customWidth="1"/>
    <col min="2" max="2" width="30" customWidth="1"/>
    <col min="3" max="3" width="13" customWidth="1"/>
    <col min="4" max="5" width="16" customWidth="1"/>
  </cols>
  <sheetData>
    <row r="1" ht="38" customHeight="1" spans="1:5" s="86" customFormat="1" x14ac:dyDescent="0.25">
      <c r="A1" s="32" t="s">
        <v>68</v>
      </c>
      <c r="B1" s="32" t="s">
        <v>221</v>
      </c>
      <c r="C1" s="32" t="s">
        <v>222</v>
      </c>
      <c r="D1" s="32" t="s">
        <v>93</v>
      </c>
      <c r="E1" s="32" t="s">
        <v>223</v>
      </c>
    </row>
    <row r="2" ht="25" customHeight="1" spans="1:5" x14ac:dyDescent="0.25">
      <c r="A2" s="33" t="s">
        <v>95</v>
      </c>
      <c r="B2" s="33" t="s">
        <v>96</v>
      </c>
      <c r="C2" s="81">
        <f>0</f>
        <v>0</v>
      </c>
      <c r="D2" s="81">
        <f>'总报价表'!Z30</f>
        <v>0.5</v>
      </c>
      <c r="E2" s="81">
        <f>C2*D2</f>
        <v>0</v>
      </c>
    </row>
    <row r="3" ht="25" customHeight="1" spans="1:5" x14ac:dyDescent="0.25">
      <c r="A3" s="36" t="s">
        <v>97</v>
      </c>
      <c r="B3" s="36" t="s">
        <v>98</v>
      </c>
      <c r="C3" s="80">
        <f>0</f>
        <v>0</v>
      </c>
      <c r="D3" s="80">
        <f>'总报价表'!Z31</f>
        <v>0.5</v>
      </c>
      <c r="E3" s="80">
        <f>C3*D3</f>
        <v>0</v>
      </c>
    </row>
    <row r="4" ht="25" customHeight="1" spans="1:5" x14ac:dyDescent="0.25">
      <c r="A4" s="33" t="s">
        <v>224</v>
      </c>
      <c r="B4" s="33" t="s">
        <v>104</v>
      </c>
      <c r="C4" s="81">
        <f>0</f>
        <v>0</v>
      </c>
      <c r="D4" s="81">
        <v>1</v>
      </c>
      <c r="E4" s="81">
        <f>C4*D4</f>
        <v>0</v>
      </c>
    </row>
  </sheetData>
  <pageMargins left="0.3" right="0.3" top="0.4" bottom="0.4" header="0.2" footer="0.2"/>
  <pageSetup paperSize="8" orientation="landscape" horizontalDpi="4294967295" verticalDpi="4294967295" scale="75" fitToWidth="1" fitToHeight="1"/>
  <headerFooter>
    <oddFooter>&amp;L内部报价明细&amp;C&amp;P / &amp;N&amp;R&amp;A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总报价表</vt:lpstr>
      <vt:lpstr>模具报价</vt:lpstr>
      <vt:lpstr>啤机明细</vt:lpstr>
      <vt:lpstr>吹气明细</vt:lpstr>
      <vt:lpstr>电子明细</vt:lpstr>
      <vt:lpstr>车缝明细</vt:lpstr>
      <vt:lpstr>装配明细</vt:lpstr>
      <vt:lpstr>喷油明细</vt:lpstr>
      <vt:lpstr>搪胶明细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内部报价系统</dc:creator>
  <dc:title/>
  <dc:subject/>
  <dc:description/>
  <cp:keywords/>
  <cp:category/>
  <cp:lastModifiedBy>Unknown</cp:lastModifiedBy>
  <dcterms:created xsi:type="dcterms:W3CDTF">2026-09-30T02:03:24Z</dcterms:created>
  <dcterms:modified xsi:type="dcterms:W3CDTF">2026-09-30T02:03:24Z</dcterms:modified>
</cp:coreProperties>
</file>