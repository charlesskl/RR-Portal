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userName="Unknown User" reservationPassword="CC04"/>
  <workbookPr/>
  <bookViews>
    <workbookView windowWidth="28125" windowHeight="12465" tabRatio="593" activeTab="2"/>
  </bookViews>
  <sheets>
    <sheet name="工模与其他" sheetId="13" r:id="rId1"/>
    <sheet name="总排期" sheetId="1" r:id="rId2"/>
    <sheet name="ITEM表" sheetId="12" r:id="rId3"/>
    <sheet name="出货" sheetId="11" r:id="rId4"/>
    <sheet name="取消单" sheetId="14" r:id="rId5"/>
    <sheet name="消库存" sheetId="15" r:id="rId6"/>
    <sheet name="2022年出货数量" sheetId="9" state="hidden" r:id="rId7"/>
    <sheet name="出货对比" sheetId="10" state="hidden" r:id="rId8"/>
    <sheet name="客询单" sheetId="5" state="hidden" r:id="rId9"/>
    <sheet name="Sheet2" sheetId="7" state="hidden" r:id="rId10"/>
  </sheets>
  <definedNames>
    <definedName name="_xlnm._FilterDatabase" localSheetId="0" hidden="1">工模与其他!$A$1:$I$36</definedName>
    <definedName name="_xlnm._FilterDatabase" localSheetId="2" hidden="1">ITEM表!$A$1:$AK$7</definedName>
    <definedName name="_xlnm._FilterDatabase" localSheetId="3" hidden="1">出货!$A$1:$M$12</definedName>
    <definedName name="_xlnm._FilterDatabase" localSheetId="1" hidden="1">总排期!$A$1:$AI$5</definedName>
    <definedName name="_xlnm.Print_Area" localSheetId="7">出货对比!$1:$35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下单之前客已支付IC费用：HK$21312.5</t>
        </r>
      </text>
    </comment>
  </commentList>
</comments>
</file>

<file path=xl/sharedStrings.xml><?xml version="1.0" encoding="utf-8"?>
<sst xmlns="http://schemas.openxmlformats.org/spreadsheetml/2006/main" count="350" uniqueCount="176">
  <si>
    <t>出货日期</t>
  </si>
  <si>
    <t>修改项目</t>
  </si>
  <si>
    <t>ITEM NO</t>
  </si>
  <si>
    <t>项目编号</t>
  </si>
  <si>
    <t>数量</t>
  </si>
  <si>
    <t>单价USD$</t>
  </si>
  <si>
    <t>金额USD$</t>
  </si>
  <si>
    <t>金额HK$</t>
  </si>
  <si>
    <t>发票号</t>
  </si>
  <si>
    <t>接单日期</t>
  </si>
  <si>
    <t>客户名称（第三方）</t>
  </si>
  <si>
    <t>国家</t>
  </si>
  <si>
    <t>描述</t>
  </si>
  <si>
    <t>Cust. PO NO.</t>
  </si>
  <si>
    <t>ITEM</t>
  </si>
  <si>
    <t>货名</t>
  </si>
  <si>
    <t>内箱数量</t>
  </si>
  <si>
    <t>总装箱数</t>
  </si>
  <si>
    <t>总箱数</t>
  </si>
  <si>
    <t>计划验货期</t>
  </si>
  <si>
    <t>确定验货期</t>
  </si>
  <si>
    <r>
      <rPr>
        <b/>
        <sz val="14"/>
        <rFont val="宋体"/>
        <charset val="134"/>
      </rPr>
      <t>船期</t>
    </r>
    <r>
      <rPr>
        <b/>
        <sz val="14"/>
        <rFont val="Times New Roman"/>
        <charset val="134"/>
      </rPr>
      <t>SO</t>
    </r>
  </si>
  <si>
    <t>计划走货期</t>
  </si>
  <si>
    <t>箱唛资料</t>
  </si>
  <si>
    <t>外箱贴纸</t>
  </si>
  <si>
    <t>客贴纸</t>
  </si>
  <si>
    <t>日期码</t>
  </si>
  <si>
    <t>备注</t>
  </si>
  <si>
    <t>单价(USD$)</t>
  </si>
  <si>
    <r>
      <rPr>
        <b/>
        <sz val="14"/>
        <rFont val="宋体"/>
        <charset val="134"/>
      </rPr>
      <t>金额</t>
    </r>
    <r>
      <rPr>
        <b/>
        <sz val="14"/>
        <rFont val="Times New Roman"/>
        <charset val="134"/>
      </rPr>
      <t>(USD$)</t>
    </r>
  </si>
  <si>
    <r>
      <rPr>
        <b/>
        <sz val="14"/>
        <rFont val="宋体"/>
        <charset val="134"/>
      </rPr>
      <t>金额</t>
    </r>
    <r>
      <rPr>
        <b/>
        <sz val="14"/>
        <rFont val="Times New Roman"/>
        <charset val="134"/>
      </rPr>
      <t>(HK$)</t>
    </r>
  </si>
  <si>
    <t>找数期</t>
  </si>
  <si>
    <t>走货发票号</t>
  </si>
  <si>
    <r>
      <rPr>
        <b/>
        <sz val="14"/>
        <rFont val="宋体"/>
        <charset val="134"/>
      </rPr>
      <t>入</t>
    </r>
    <r>
      <rPr>
        <b/>
        <sz val="14"/>
        <rFont val="Times New Roman"/>
        <charset val="134"/>
      </rPr>
      <t>ERP</t>
    </r>
    <r>
      <rPr>
        <b/>
        <sz val="14"/>
        <rFont val="宋体"/>
        <charset val="134"/>
      </rPr>
      <t>系统日期</t>
    </r>
  </si>
  <si>
    <t>做货车间</t>
  </si>
  <si>
    <t>生产车间</t>
  </si>
  <si>
    <t>下单明细</t>
  </si>
  <si>
    <t>送回数量</t>
  </si>
  <si>
    <t>欠数</t>
  </si>
  <si>
    <t>纸箱</t>
  </si>
  <si>
    <t>贴纸</t>
  </si>
  <si>
    <t>预计完成时间</t>
  </si>
  <si>
    <t>美国</t>
  </si>
  <si>
    <t>FlowCrafts: Decorative Tile Lamp</t>
  </si>
  <si>
    <t>VPO2025105</t>
  </si>
  <si>
    <t>玻璃灯</t>
  </si>
  <si>
    <t>HK73894</t>
  </si>
  <si>
    <t>B</t>
  </si>
  <si>
    <t>Journal Pouch, Gumball</t>
  </si>
  <si>
    <t>VPO2025108C</t>
  </si>
  <si>
    <t>12-PROD-001-0025-A</t>
  </si>
  <si>
    <t>糖果款</t>
  </si>
  <si>
    <r>
      <rPr>
        <sz val="14"/>
        <color rgb="FFFF00FF"/>
        <rFont val="宋体"/>
        <charset val="134"/>
      </rPr>
      <t>额外费用</t>
    </r>
    <r>
      <rPr>
        <sz val="14"/>
        <color rgb="FFFF00FF"/>
        <rFont val="Times New Roman"/>
        <charset val="134"/>
      </rPr>
      <t>286USD,</t>
    </r>
    <r>
      <rPr>
        <sz val="14"/>
        <color rgb="FFFF00FF"/>
        <rFont val="宋体"/>
        <charset val="134"/>
      </rPr>
      <t>注塑开机费</t>
    </r>
  </si>
  <si>
    <t>HK73893</t>
  </si>
  <si>
    <t>Stacking Rocks - Big &amp; Small Stone</t>
  </si>
  <si>
    <t>VPO2026125B</t>
  </si>
  <si>
    <t xml:space="preserve">搪胶石头
</t>
  </si>
  <si>
    <t>接单数量：</t>
  </si>
  <si>
    <t>25年库存金额：</t>
  </si>
  <si>
    <t>2026年总接单金额：</t>
  </si>
  <si>
    <r>
      <rPr>
        <b/>
        <sz val="14"/>
        <color rgb="FFFF0000"/>
        <rFont val="宋体"/>
        <charset val="134"/>
      </rPr>
      <t>客扣除</t>
    </r>
    <r>
      <rPr>
        <b/>
        <sz val="14"/>
        <color rgb="FFFF0000"/>
        <rFont val="Times New Roman"/>
        <charset val="134"/>
      </rPr>
      <t>IC</t>
    </r>
    <r>
      <rPr>
        <b/>
        <sz val="14"/>
        <color rgb="FFFF0000"/>
        <rFont val="宋体"/>
        <charset val="134"/>
      </rPr>
      <t>费：</t>
    </r>
  </si>
  <si>
    <r>
      <rPr>
        <b/>
        <sz val="14"/>
        <color rgb="FFFF0000"/>
        <rFont val="Times New Roman"/>
        <charset val="134"/>
      </rPr>
      <t>26</t>
    </r>
    <r>
      <rPr>
        <b/>
        <sz val="14"/>
        <color rgb="FFFF0000"/>
        <rFont val="宋体"/>
        <charset val="134"/>
      </rPr>
      <t>年出货金额：</t>
    </r>
  </si>
  <si>
    <t>剩余未走货金额：</t>
  </si>
  <si>
    <t>以下标注内容区分识别备注：</t>
  </si>
  <si>
    <t>类型</t>
  </si>
  <si>
    <t>内容</t>
  </si>
  <si>
    <t>黄色填充</t>
  </si>
  <si>
    <t>新加单或更改订单</t>
  </si>
  <si>
    <t>蓝色字体</t>
  </si>
  <si>
    <t>已经完成订单</t>
  </si>
  <si>
    <t>粉色字体</t>
  </si>
  <si>
    <t>已经出货</t>
  </si>
  <si>
    <t>红色字体</t>
  </si>
  <si>
    <t>取消单（或再加上删除线）</t>
  </si>
  <si>
    <r>
      <rPr>
        <b/>
        <sz val="14"/>
        <rFont val="宋体"/>
        <charset val="134"/>
      </rPr>
      <t>单价</t>
    </r>
    <r>
      <rPr>
        <b/>
        <sz val="14"/>
        <rFont val="Times New Roman"/>
        <charset val="134"/>
      </rPr>
      <t>USD</t>
    </r>
  </si>
  <si>
    <r>
      <rPr>
        <b/>
        <sz val="14"/>
        <color theme="1"/>
        <rFont val="宋体"/>
        <charset val="134"/>
      </rPr>
      <t>总金额</t>
    </r>
    <r>
      <rPr>
        <b/>
        <sz val="14"/>
        <color theme="1"/>
        <rFont val="Times New Roman"/>
        <charset val="134"/>
      </rPr>
      <t>USD</t>
    </r>
  </si>
  <si>
    <r>
      <rPr>
        <b/>
        <sz val="14"/>
        <color theme="1"/>
        <rFont val="宋体"/>
        <charset val="134"/>
      </rPr>
      <t>总金额</t>
    </r>
    <r>
      <rPr>
        <b/>
        <sz val="14"/>
        <color theme="1"/>
        <rFont val="Times New Roman"/>
        <charset val="134"/>
      </rPr>
      <t>HK$</t>
    </r>
  </si>
  <si>
    <t>11-PROD-002-0002</t>
  </si>
  <si>
    <t>11-PROD-002-0003</t>
  </si>
  <si>
    <t>11-PROD-001-0003/11-1501</t>
  </si>
  <si>
    <t>16-SUBC-999-0005-A</t>
  </si>
  <si>
    <t>11-PROD-002-0001</t>
  </si>
  <si>
    <t>11-2101</t>
  </si>
  <si>
    <t>搪胶石头</t>
  </si>
  <si>
    <t>LL-98-3025</t>
  </si>
  <si>
    <t>LL-98-3052</t>
  </si>
  <si>
    <t>LL-98-3027</t>
  </si>
  <si>
    <t>LL-98-3033</t>
  </si>
  <si>
    <t>LL-16-3159</t>
  </si>
  <si>
    <t>LL-16-3160</t>
  </si>
  <si>
    <t>LL-98-3169</t>
  </si>
  <si>
    <t>LL-16-3142</t>
  </si>
  <si>
    <t>LL-16-3193</t>
  </si>
  <si>
    <t>LL-16-3163</t>
  </si>
  <si>
    <t>LL-16-3152</t>
  </si>
  <si>
    <t>LL-16-0001</t>
  </si>
  <si>
    <t>LL-16-0002</t>
  </si>
  <si>
    <t>合计：</t>
  </si>
  <si>
    <t>船期SO</t>
  </si>
  <si>
    <t>金额(USD$)</t>
  </si>
  <si>
    <t>金额(HK$)</t>
  </si>
  <si>
    <t>发票日期</t>
  </si>
  <si>
    <t>出货方式</t>
  </si>
  <si>
    <t>美金单价</t>
  </si>
  <si>
    <t>2022出货数量</t>
  </si>
  <si>
    <t>数量（PCS）</t>
  </si>
  <si>
    <t>比卡超/精灵球</t>
  </si>
  <si>
    <t>四角星</t>
  </si>
  <si>
    <t>五角星</t>
  </si>
  <si>
    <t>小精灵</t>
  </si>
  <si>
    <t>手表（新）</t>
  </si>
  <si>
    <t>游戏机</t>
  </si>
  <si>
    <t>世界地图</t>
  </si>
  <si>
    <t>魔镜</t>
  </si>
  <si>
    <t>电子笔</t>
  </si>
  <si>
    <t>马达加线</t>
  </si>
  <si>
    <t>速度头</t>
  </si>
  <si>
    <t>合计</t>
  </si>
  <si>
    <t>美国订单</t>
  </si>
  <si>
    <t>其他国家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</si>
  <si>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</si>
  <si>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</si>
  <si>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</si>
  <si>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</si>
  <si>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</si>
  <si>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</si>
  <si>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</si>
  <si>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</si>
  <si>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</si>
  <si>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</si>
  <si>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</si>
  <si>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</si>
  <si>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嘉苏 2021年出货情况</t>
  </si>
  <si>
    <t>金额（万元）</t>
  </si>
  <si>
    <t>比卡超</t>
  </si>
  <si>
    <t>信号发生器</t>
  </si>
  <si>
    <t>美国单走货</t>
  </si>
  <si>
    <t>Zanzoon 2022年出货情况</t>
  </si>
  <si>
    <t>其他国家中加拿大有144W，</t>
  </si>
  <si>
    <t>其他国家中加拿大有123W，</t>
  </si>
  <si>
    <t>游戏机：IC客供，电子版电子部自己订</t>
  </si>
  <si>
    <t>询单日期</t>
  </si>
  <si>
    <t>名称</t>
  </si>
  <si>
    <t>订单</t>
  </si>
  <si>
    <t>IC</t>
  </si>
  <si>
    <t>验货期</t>
  </si>
  <si>
    <r>
      <rPr>
        <sz val="11"/>
        <color rgb="FF000000"/>
        <rFont val="DengXian"/>
        <charset val="134"/>
      </rPr>
      <t>有關南美洲客戶的問單，見更新數量如下</t>
    </r>
    <r>
      <rPr>
        <sz val="11"/>
        <color rgb="FF000000"/>
        <rFont val="Calibri"/>
        <charset val="134"/>
      </rPr>
      <t>:</t>
    </r>
  </si>
  <si>
    <r>
      <rPr>
        <sz val="11"/>
        <color rgb="FF000000"/>
        <rFont val="DengXian"/>
        <charset val="134"/>
      </rPr>
      <t>精靈球紅波西班牙版本（</t>
    </r>
    <r>
      <rPr>
        <sz val="11"/>
        <color rgb="FF000000"/>
        <rFont val="Calibri"/>
        <charset val="134"/>
      </rPr>
      <t>IC </t>
    </r>
    <r>
      <rPr>
        <sz val="11"/>
        <color rgb="FF000000"/>
        <rFont val="DengXian"/>
        <charset val="134"/>
      </rPr>
      <t>程式之前墨西哥訂單一樣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Calibri"/>
        <charset val="134"/>
      </rPr>
      <t> - 5,000pcs</t>
    </r>
  </si>
  <si>
    <r>
      <rPr>
        <sz val="11"/>
        <color rgb="FF000000"/>
        <rFont val="DengXian"/>
        <charset val="134"/>
      </rPr>
      <t>四角星西班牙版本（</t>
    </r>
    <r>
      <rPr>
        <sz val="11"/>
        <color rgb="FF000000"/>
        <rFont val="Calibri"/>
        <charset val="134"/>
      </rPr>
      <t>IC </t>
    </r>
    <r>
      <rPr>
        <sz val="11"/>
        <color rgb="FF000000"/>
        <rFont val="DengXian"/>
        <charset val="134"/>
      </rPr>
      <t>程式之前墨西哥訂單一樣</t>
    </r>
    <r>
      <rPr>
        <sz val="11"/>
        <color rgb="FF000000"/>
        <rFont val="Times New Roman"/>
        <charset val="134"/>
      </rPr>
      <t>）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Calibri"/>
        <charset val="134"/>
      </rPr>
      <t>- 4,000pcs</t>
    </r>
  </si>
  <si>
    <t>船期3月初，验货期2/15</t>
  </si>
  <si>
    <r>
      <rPr>
        <sz val="11"/>
        <color rgb="FF000000"/>
        <rFont val="DengXian"/>
        <charset val="134"/>
      </rPr>
      <t>手錶西班牙版本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DengXian"/>
        <charset val="134"/>
      </rPr>
      <t>新</t>
    </r>
    <r>
      <rPr>
        <sz val="11"/>
        <color rgb="FF000000"/>
        <rFont val="Calibri"/>
        <charset val="134"/>
      </rPr>
      <t>IC</t>
    </r>
    <r>
      <rPr>
        <sz val="11"/>
        <color rgb="FF000000"/>
        <rFont val="DengXian"/>
        <charset val="134"/>
      </rPr>
      <t>程式</t>
    </r>
    <r>
      <rPr>
        <sz val="11"/>
        <color rgb="FF000000"/>
        <rFont val="Calibri"/>
        <charset val="134"/>
      </rPr>
      <t>) – 3,000pcs</t>
    </r>
  </si>
  <si>
    <t>出PO时间：12月1日</t>
  </si>
  <si>
    <t>新IC/PCBA交货：12月10日</t>
  </si>
  <si>
    <r>
      <rPr>
        <sz val="11"/>
        <color rgb="FF000000"/>
        <rFont val="DengXian"/>
        <charset val="134"/>
      </rPr>
      <t>如需在</t>
    </r>
    <r>
      <rPr>
        <b/>
        <sz val="11"/>
        <color rgb="FFFF0000"/>
        <rFont val="DengXian"/>
        <charset val="134"/>
      </rPr>
      <t>三月初</t>
    </r>
    <r>
      <rPr>
        <b/>
        <sz val="11"/>
        <color rgb="FFFF0000"/>
        <rFont val="Calibri"/>
        <charset val="134"/>
      </rPr>
      <t> </t>
    </r>
    <r>
      <rPr>
        <b/>
        <sz val="11"/>
        <color rgb="FFFF0000"/>
        <rFont val="Calibri"/>
        <charset val="134"/>
      </rPr>
      <t>(2023/03)</t>
    </r>
    <r>
      <rPr>
        <sz val="11"/>
        <color rgb="FF000000"/>
        <rFont val="DengXian"/>
        <charset val="134"/>
      </rPr>
      <t>走貨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DengXian"/>
        <charset val="134"/>
      </rPr>
      <t>可否告知</t>
    </r>
    <r>
      <rPr>
        <sz val="11"/>
        <color rgb="FF000000"/>
        <rFont val="Calibri"/>
        <charset val="134"/>
      </rPr>
      <t>PO</t>
    </r>
    <r>
      <rPr>
        <sz val="11"/>
        <color rgb="FF000000"/>
        <rFont val="DengXian"/>
        <charset val="134"/>
      </rPr>
      <t>及</t>
    </r>
    <r>
      <rPr>
        <sz val="11"/>
        <color rgb="FF000000"/>
        <rFont val="Calibri"/>
        <charset val="134"/>
      </rPr>
      <t>IC IN HOUSE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DengXian"/>
        <charset val="134"/>
      </rPr>
      <t>的</t>
    </r>
    <r>
      <rPr>
        <sz val="11"/>
        <color rgb="FF000000"/>
        <rFont val="Calibri"/>
        <charset val="134"/>
      </rPr>
      <t>schedule?</t>
    </r>
  </si>
  <si>
    <t>确认放印彩盒及说明书大货的时间：1月初</t>
  </si>
  <si>
    <t>22年ZANZOON/嘉苏生意情况</t>
  </si>
  <si>
    <t>序号</t>
  </si>
  <si>
    <t>接单数量</t>
  </si>
  <si>
    <t>接单金额HKD</t>
  </si>
  <si>
    <t>出货数量</t>
  </si>
  <si>
    <t>出货金额HKD</t>
  </si>
  <si>
    <r>
      <rPr>
        <sz val="10"/>
        <color rgb="FF000000"/>
        <rFont val="Calibri"/>
        <charset val="134"/>
      </rPr>
      <t> </t>
    </r>
    <r>
      <rPr>
        <b/>
        <sz val="10"/>
        <color rgb="FF000000"/>
        <rFont val="Calibri"/>
        <charset val="134"/>
      </rPr>
      <t>Mid-Autumn</t>
    </r>
  </si>
  <si>
    <t>Holiday Start Date</t>
  </si>
  <si>
    <t>Holiday End Date</t>
  </si>
  <si>
    <t>Resume Normal Date</t>
  </si>
  <si>
    <t>比卡超精灵球</t>
  </si>
  <si>
    <t>ZANZOON</t>
  </si>
  <si>
    <t>Factory</t>
  </si>
  <si>
    <t>小孩五角星</t>
  </si>
  <si>
    <t>10/1 National Day</t>
  </si>
  <si>
    <t>地图</t>
  </si>
  <si>
    <t>手表</t>
  </si>
  <si>
    <t>小计</t>
  </si>
  <si>
    <t>嘉苏</t>
  </si>
  <si>
    <t>马达+线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</si>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</sst>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[$-409]d\-mmm;@"/>
    <numFmt numFmtId="179" formatCode="0.00_ "/>
    <numFmt numFmtId="180" formatCode="m/d;@"/>
    <numFmt numFmtId="181" formatCode="m&quot;月&quot;d&quot;日&quot;;@"/>
    <numFmt numFmtId="182" formatCode="0.0_);[Red]\(0.0\)"/>
    <numFmt numFmtId="183" formatCode="yyyy/m/d&quot;周&quot;aaa"/>
    <numFmt numFmtId="184" formatCode="0.000_ "/>
    <numFmt numFmtId="185" formatCode="0.000_);[Red]\(0.000\)"/>
    <numFmt numFmtId="186" formatCode="0_ "/>
    <numFmt numFmtId="187" formatCode="#,##0.00_);[Red]\(#,##0.00\)"/>
    <numFmt numFmtId="188" formatCode="0.00_);[Red]\(0.00\)"/>
    <numFmt numFmtId="189" formatCode="yyyy/m/d;@"/>
    <numFmt numFmtId="190" formatCode="yyyy&quot;年&quot;m&quot;月&quot;d&quot;日&quot;;@"/>
  </numFmts>
  <fonts count="11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Microsoft YaHei UI"/>
      <charset val="134"/>
    </font>
    <font>
      <sz val="13.5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theme="1"/>
      <name val="宋体"/>
      <charset val="134"/>
    </font>
    <font>
      <b/>
      <sz val="11"/>
      <color rgb="FF000000"/>
      <name val="Calibri"/>
      <charset val="134"/>
    </font>
    <font>
      <sz val="11"/>
      <color rgb="FF000000"/>
      <name val="DengXian"/>
      <charset val="134"/>
    </font>
    <font>
      <sz val="1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name val="宋体"/>
      <charset val="134"/>
      <scheme val="major"/>
    </font>
    <font>
      <sz val="14"/>
      <color theme="1"/>
      <name val="Times New Roman"/>
      <charset val="134"/>
    </font>
    <font>
      <sz val="14"/>
      <color rgb="FFFF00FF"/>
      <name val="Times New Roman"/>
      <charset val="134"/>
    </font>
    <font>
      <sz val="14"/>
      <name val="宋体"/>
      <charset val="134"/>
      <scheme val="major"/>
    </font>
    <font>
      <sz val="14"/>
      <color rgb="FFFF00FF"/>
      <name val="宋体"/>
      <charset val="134"/>
      <scheme val="major"/>
    </font>
    <font>
      <sz val="14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4"/>
      <color rgb="FFE82EE6"/>
      <name val="宋体"/>
      <charset val="134"/>
      <scheme val="major"/>
    </font>
    <font>
      <sz val="11"/>
      <name val="宋体"/>
      <charset val="134"/>
      <scheme val="minor"/>
    </font>
    <font>
      <b/>
      <sz val="14"/>
      <name val="宋体"/>
      <charset val="134"/>
    </font>
    <font>
      <b/>
      <sz val="14"/>
      <name val="Times New Roman"/>
      <charset val="134"/>
    </font>
    <font>
      <b/>
      <sz val="14"/>
      <color rgb="FFFF00FF"/>
      <name val="宋体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b/>
      <sz val="14"/>
      <color rgb="FF2823F3"/>
      <name val="宋体"/>
      <charset val="134"/>
    </font>
    <font>
      <b/>
      <sz val="14"/>
      <color rgb="FF7030A0"/>
      <name val="宋体"/>
      <charset val="134"/>
    </font>
    <font>
      <sz val="14"/>
      <color rgb="FFFF00FF"/>
      <name val="宋体"/>
      <charset val="134"/>
    </font>
    <font>
      <sz val="14"/>
      <color rgb="FFFF00FF"/>
      <name val="等线"/>
      <charset val="134"/>
    </font>
    <font>
      <sz val="14"/>
      <color rgb="FF2823F3"/>
      <name val="Times New Roman"/>
      <charset val="134"/>
    </font>
    <font>
      <sz val="14"/>
      <name val="Times New Roman"/>
      <charset val="134"/>
    </font>
    <font>
      <sz val="14"/>
      <name val="宋体"/>
      <charset val="134"/>
    </font>
    <font>
      <sz val="14"/>
      <color rgb="FFFF0000"/>
      <name val="宋体"/>
      <charset val="134"/>
    </font>
    <font>
      <sz val="14"/>
      <name val="等线"/>
      <charset val="134"/>
    </font>
    <font>
      <sz val="14"/>
      <name val="宋体"/>
      <charset val="134"/>
      <scheme val="minor"/>
    </font>
    <font>
      <sz val="14"/>
      <color rgb="FFFF00FF"/>
      <name val="宋体"/>
      <charset val="134"/>
      <scheme val="minor"/>
    </font>
    <font>
      <u/>
      <sz val="14"/>
      <name val="等线"/>
      <charset val="134"/>
    </font>
    <font>
      <sz val="14"/>
      <color theme="1"/>
      <name val="宋体"/>
      <charset val="134"/>
      <scheme val="minor"/>
    </font>
    <font>
      <sz val="12"/>
      <name val="宋体"/>
      <charset val="134"/>
      <scheme val="major"/>
    </font>
    <font>
      <sz val="10"/>
      <name val="等线"/>
      <charset val="134"/>
    </font>
    <font>
      <u/>
      <sz val="10"/>
      <name val="等线"/>
      <charset val="134"/>
    </font>
    <font>
      <b/>
      <sz val="14"/>
      <color rgb="FFFF0000"/>
      <name val="宋体"/>
      <charset val="134"/>
      <scheme val="major"/>
    </font>
    <font>
      <sz val="10"/>
      <name val="宋体"/>
      <charset val="134"/>
      <scheme val="major"/>
    </font>
    <font>
      <b/>
      <sz val="10"/>
      <name val="宋体"/>
      <charset val="134"/>
      <scheme val="major"/>
    </font>
    <font>
      <sz val="14"/>
      <color rgb="FF0033CC"/>
      <name val="宋体"/>
      <charset val="134"/>
      <scheme val="major"/>
    </font>
    <font>
      <sz val="14"/>
      <color rgb="FF0766D4"/>
      <name val="宋体"/>
      <charset val="134"/>
      <scheme val="major"/>
    </font>
    <font>
      <sz val="14"/>
      <color rgb="FFFF0000"/>
      <name val="宋体"/>
      <charset val="134"/>
      <scheme val="major"/>
    </font>
    <font>
      <b/>
      <sz val="14"/>
      <name val="宋体"/>
      <charset val="134"/>
      <scheme val="major"/>
    </font>
    <font>
      <b/>
      <sz val="14"/>
      <color theme="1"/>
      <name val="宋体"/>
      <charset val="134"/>
      <scheme val="major"/>
    </font>
    <font>
      <b/>
      <sz val="14"/>
      <color rgb="FF7030A0"/>
      <name val="宋体"/>
      <charset val="134"/>
      <scheme val="major"/>
    </font>
    <font>
      <sz val="14"/>
      <color rgb="FFE82EE6"/>
      <name val="等线"/>
      <charset val="134"/>
    </font>
    <font>
      <sz val="14"/>
      <color rgb="FFE82EE6"/>
      <name val="宋体"/>
      <charset val="134"/>
      <scheme val="minor"/>
    </font>
    <font>
      <sz val="14"/>
      <color rgb="FFFF0000"/>
      <name val="等线"/>
      <charset val="134"/>
    </font>
    <font>
      <sz val="12"/>
      <color rgb="FFFF00FF"/>
      <name val="宋体"/>
      <charset val="134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b/>
      <sz val="12"/>
      <color rgb="FFFF00FF"/>
      <name val="宋体"/>
      <charset val="134"/>
    </font>
    <font>
      <sz val="11"/>
      <name val="宋体"/>
      <charset val="134"/>
    </font>
    <font>
      <sz val="12"/>
      <color rgb="FFFF0000"/>
      <name val="宋体"/>
      <charset val="134"/>
      <scheme val="minor"/>
    </font>
    <font>
      <b/>
      <sz val="14"/>
      <color rgb="FF7030A0"/>
      <name val="Times New Roman"/>
      <charset val="134"/>
    </font>
    <font>
      <b/>
      <sz val="14"/>
      <color theme="1"/>
      <name val="Times New Roman"/>
      <charset val="134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u/>
      <sz val="14"/>
      <name val="Times New Roman"/>
      <charset val="134"/>
    </font>
    <font>
      <sz val="14"/>
      <color rgb="FFFF0000"/>
      <name val="Times New Roman"/>
      <charset val="134"/>
    </font>
    <font>
      <b/>
      <sz val="14"/>
      <color rgb="FFFF0000"/>
      <name val="Times New Roman"/>
      <charset val="134"/>
    </font>
    <font>
      <sz val="14"/>
      <color rgb="FFE82EE6"/>
      <name val="Times New Roman"/>
      <charset val="134"/>
    </font>
    <font>
      <sz val="14"/>
      <color rgb="FF000000"/>
      <name val="等线"/>
      <charset val="134"/>
    </font>
    <font>
      <sz val="14"/>
      <color rgb="FF0033CC"/>
      <name val="宋体"/>
      <charset val="134"/>
    </font>
    <font>
      <sz val="14"/>
      <color rgb="FF0766D4"/>
      <name val="宋体"/>
      <charset val="134"/>
    </font>
    <font>
      <sz val="14"/>
      <color rgb="FF0766D4"/>
      <name val="Times New Roman"/>
      <charset val="134"/>
    </font>
    <font>
      <sz val="14"/>
      <color rgb="FFE82EE6"/>
      <name val="宋体"/>
      <charset val="134"/>
    </font>
    <font>
      <b/>
      <sz val="14"/>
      <color rgb="FFFF00FF"/>
      <name val="Times New Roman"/>
      <charset val="134"/>
    </font>
    <font>
      <b/>
      <sz val="14"/>
      <color rgb="FF2823F3"/>
      <name val="Times New Roman"/>
      <charset val="134"/>
    </font>
    <font>
      <sz val="10"/>
      <name val="宋体"/>
      <charset val="134"/>
    </font>
    <font>
      <sz val="11"/>
      <color theme="1"/>
      <name val="新宋体"/>
      <charset val="134"/>
    </font>
    <font>
      <b/>
      <sz val="10"/>
      <color rgb="FFFF0000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9"/>
      <name val="新宋体"/>
      <charset val="134"/>
    </font>
    <font>
      <b/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Helv"/>
      <charset val="0"/>
    </font>
    <font>
      <sz val="11"/>
      <color rgb="FF000000"/>
      <name val="Times New Roman"/>
      <charset val="134"/>
    </font>
    <font>
      <b/>
      <sz val="11"/>
      <color rgb="FFFF0000"/>
      <name val="DengXian"/>
      <charset val="134"/>
    </font>
    <font>
      <b/>
      <sz val="11"/>
      <color rgb="FFFF0000"/>
      <name val="Calibri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9" applyNumberFormat="0" applyFill="0" applyAlignment="0" applyProtection="0">
      <alignment vertical="center"/>
    </xf>
    <xf numFmtId="0" fontId="97" fillId="0" borderId="9" applyNumberFormat="0" applyFill="0" applyAlignment="0" applyProtection="0">
      <alignment vertical="center"/>
    </xf>
    <xf numFmtId="0" fontId="98" fillId="0" borderId="10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7" borderId="11" applyNumberFormat="0" applyAlignment="0" applyProtection="0">
      <alignment vertical="center"/>
    </xf>
    <xf numFmtId="0" fontId="100" fillId="8" borderId="12" applyNumberFormat="0" applyAlignment="0" applyProtection="0">
      <alignment vertical="center"/>
    </xf>
    <xf numFmtId="0" fontId="101" fillId="8" borderId="11" applyNumberFormat="0" applyAlignment="0" applyProtection="0">
      <alignment vertical="center"/>
    </xf>
    <xf numFmtId="0" fontId="102" fillId="9" borderId="13" applyNumberFormat="0" applyAlignment="0" applyProtection="0">
      <alignment vertical="center"/>
    </xf>
    <xf numFmtId="0" fontId="103" fillId="0" borderId="14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8" fillId="13" borderId="0" applyNumberFormat="0" applyBorder="0" applyAlignment="0" applyProtection="0">
      <alignment vertical="center"/>
    </xf>
    <xf numFmtId="0" fontId="109" fillId="14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9" fillId="22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9" fillId="26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29" borderId="0" applyNumberFormat="0" applyBorder="0" applyAlignment="0" applyProtection="0">
      <alignment vertical="center"/>
    </xf>
    <xf numFmtId="0" fontId="109" fillId="30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8" fillId="33" borderId="0" applyNumberFormat="0" applyBorder="0" applyAlignment="0" applyProtection="0">
      <alignment vertical="center"/>
    </xf>
    <xf numFmtId="0" fontId="109" fillId="34" borderId="0" applyNumberFormat="0" applyBorder="0" applyAlignment="0" applyProtection="0">
      <alignment vertical="center"/>
    </xf>
    <xf numFmtId="0" fontId="109" fillId="35" borderId="0" applyNumberFormat="0" applyBorder="0" applyAlignment="0" applyProtection="0">
      <alignment vertical="center"/>
    </xf>
    <xf numFmtId="0" fontId="108" fillId="36" borderId="0" applyNumberFormat="0" applyBorder="0" applyAlignment="0" applyProtection="0">
      <alignment vertical="center"/>
    </xf>
    <xf numFmtId="0" fontId="110" fillId="0" borderId="0"/>
    <xf numFmtId="0" fontId="8" fillId="0" borderId="0"/>
    <xf numFmtId="0" fontId="8" fillId="0" borderId="0"/>
    <xf numFmtId="0" fontId="110" fillId="0" borderId="0"/>
    <xf numFmtId="0" fontId="8" fillId="0" borderId="0"/>
    <xf numFmtId="0" fontId="8" fillId="0" borderId="0"/>
    <xf numFmtId="0" fontId="111" fillId="0" borderId="0"/>
  </cellStyleXfs>
  <cellXfs count="458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right" vertical="center"/>
    </xf>
    <xf numFmtId="177" fontId="8" fillId="0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5" fillId="2" borderId="4" xfId="0" applyFont="1" applyFill="1" applyBorder="1" applyAlignment="1">
      <alignment wrapText="1"/>
    </xf>
    <xf numFmtId="178" fontId="9" fillId="2" borderId="5" xfId="0" applyNumberFormat="1" applyFont="1" applyFill="1" applyBorder="1" applyAlignment="1">
      <alignment wrapText="1"/>
    </xf>
    <xf numFmtId="0" fontId="10" fillId="0" borderId="0" xfId="0" applyFont="1" applyAlignment="1">
      <alignment wrapText="1"/>
    </xf>
    <xf numFmtId="0" fontId="6" fillId="2" borderId="2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3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right" vertical="center"/>
    </xf>
    <xf numFmtId="177" fontId="4" fillId="3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/>
    </xf>
    <xf numFmtId="0" fontId="1" fillId="0" borderId="0" xfId="0" applyFont="1"/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14" fillId="0" borderId="0" xfId="0" applyFont="1" applyAlignment="1"/>
    <xf numFmtId="58" fontId="0" fillId="0" borderId="0" xfId="0" applyNumberFormat="1"/>
    <xf numFmtId="0" fontId="11" fillId="0" borderId="0" xfId="0" applyFont="1" applyAlignment="1"/>
    <xf numFmtId="0" fontId="15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0" fontId="19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9" fontId="0" fillId="0" borderId="0" xfId="0" applyNumberFormat="1" applyFill="1" applyAlignment="1">
      <alignment horizontal="center" vertical="center"/>
    </xf>
    <xf numFmtId="10" fontId="19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0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176" fontId="0" fillId="0" borderId="0" xfId="0" applyNumberFormat="1" applyFill="1" applyAlignment="1">
      <alignment horizontal="right" vertical="center"/>
    </xf>
    <xf numFmtId="180" fontId="21" fillId="0" borderId="0" xfId="53" applyNumberFormat="1" applyFont="1" applyFill="1" applyBorder="1" applyAlignment="1">
      <alignment horizontal="center" vertical="center"/>
    </xf>
    <xf numFmtId="0" fontId="21" fillId="0" borderId="0" xfId="53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9" fillId="0" borderId="0" xfId="0" applyFont="1" applyFill="1" applyAlignment="1">
      <alignment horizontal="center" vertical="center"/>
    </xf>
    <xf numFmtId="18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ont="1" applyFill="1" applyAlignment="1">
      <alignment horizontal="center" vertical="center"/>
    </xf>
    <xf numFmtId="180" fontId="30" fillId="0" borderId="1" xfId="53" applyNumberFormat="1" applyFont="1" applyFill="1" applyBorder="1" applyAlignment="1">
      <alignment horizontal="center" vertical="center"/>
    </xf>
    <xf numFmtId="180" fontId="30" fillId="0" borderId="1" xfId="53" applyNumberFormat="1" applyFont="1" applyFill="1" applyBorder="1" applyAlignment="1">
      <alignment horizontal="center" vertical="center" wrapText="1"/>
    </xf>
    <xf numFmtId="180" fontId="31" fillId="0" borderId="1" xfId="53" applyNumberFormat="1" applyFont="1" applyFill="1" applyBorder="1" applyAlignment="1">
      <alignment horizontal="left" vertical="center"/>
    </xf>
    <xf numFmtId="180" fontId="31" fillId="0" borderId="1" xfId="53" applyNumberFormat="1" applyFont="1" applyFill="1" applyBorder="1" applyAlignment="1">
      <alignment horizontal="center" vertical="center"/>
    </xf>
    <xf numFmtId="0" fontId="30" fillId="0" borderId="1" xfId="53" applyFont="1" applyFill="1" applyBorder="1" applyAlignment="1">
      <alignment horizontal="center" vertical="center"/>
    </xf>
    <xf numFmtId="0" fontId="30" fillId="0" borderId="1" xfId="53" applyFont="1" applyFill="1" applyBorder="1" applyAlignment="1">
      <alignment horizontal="center" vertical="center" wrapText="1"/>
    </xf>
    <xf numFmtId="182" fontId="30" fillId="0" borderId="1" xfId="53" applyNumberFormat="1" applyFont="1" applyFill="1" applyBorder="1" applyAlignment="1">
      <alignment horizontal="center" vertical="center" wrapText="1"/>
    </xf>
    <xf numFmtId="181" fontId="32" fillId="0" borderId="1" xfId="53" applyNumberFormat="1" applyFont="1" applyFill="1" applyBorder="1" applyAlignment="1">
      <alignment horizontal="center" vertical="center"/>
    </xf>
    <xf numFmtId="49" fontId="30" fillId="0" borderId="1" xfId="53" applyNumberFormat="1" applyFont="1" applyFill="1" applyBorder="1" applyAlignment="1" applyProtection="1">
      <alignment horizontal="center" vertical="center"/>
      <protection locked="0"/>
    </xf>
    <xf numFmtId="0" fontId="33" fillId="0" borderId="1" xfId="0" applyFont="1" applyFill="1" applyBorder="1" applyAlignment="1" applyProtection="1">
      <alignment horizontal="center" vertical="center" wrapText="1"/>
      <protection locked="0"/>
    </xf>
    <xf numFmtId="0" fontId="30" fillId="0" borderId="1" xfId="53" applyFont="1" applyFill="1" applyBorder="1" applyAlignment="1" applyProtection="1">
      <alignment horizontal="center" vertical="center" wrapText="1"/>
      <protection locked="0"/>
    </xf>
    <xf numFmtId="0" fontId="34" fillId="0" borderId="1" xfId="51" applyFont="1" applyFill="1" applyBorder="1" applyAlignment="1" applyProtection="1">
      <alignment horizontal="center" vertical="center" wrapText="1" shrinkToFit="1"/>
      <protection locked="0"/>
    </xf>
    <xf numFmtId="0" fontId="34" fillId="0" borderId="1" xfId="53" applyFont="1" applyFill="1" applyBorder="1" applyAlignment="1">
      <alignment horizontal="center" vertical="center"/>
    </xf>
    <xf numFmtId="0" fontId="35" fillId="0" borderId="1" xfId="53" applyFont="1" applyFill="1" applyBorder="1" applyAlignment="1">
      <alignment horizontal="center" vertical="center"/>
    </xf>
    <xf numFmtId="183" fontId="3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3" fontId="30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3" fontId="23" fillId="0" borderId="1" xfId="0" applyNumberFormat="1" applyFont="1" applyFill="1" applyBorder="1" applyAlignment="1">
      <alignment horizontal="center" vertical="center" shrinkToFit="1"/>
    </xf>
    <xf numFmtId="183" fontId="37" fillId="0" borderId="1" xfId="0" applyNumberFormat="1" applyFont="1" applyFill="1" applyBorder="1" applyAlignment="1">
      <alignment horizontal="center" vertical="center" shrinkToFit="1"/>
    </xf>
    <xf numFmtId="0" fontId="23" fillId="0" borderId="1" xfId="51" applyFont="1" applyFill="1" applyBorder="1" applyAlignment="1">
      <alignment horizontal="center" vertical="center" shrinkToFit="1"/>
    </xf>
    <xf numFmtId="3" fontId="23" fillId="0" borderId="1" xfId="51" applyNumberFormat="1" applyFont="1" applyFill="1" applyBorder="1" applyAlignment="1">
      <alignment horizontal="center" vertical="center" shrinkToFit="1"/>
    </xf>
    <xf numFmtId="182" fontId="23" fillId="0" borderId="1" xfId="0" applyNumberFormat="1" applyFont="1" applyFill="1" applyBorder="1" applyAlignment="1">
      <alignment horizontal="center" vertical="center"/>
    </xf>
    <xf numFmtId="181" fontId="23" fillId="0" borderId="1" xfId="0" applyNumberFormat="1" applyFont="1" applyFill="1" applyBorder="1" applyAlignment="1">
      <alignment horizontal="center" vertical="center" shrinkToFit="1"/>
    </xf>
    <xf numFmtId="49" fontId="23" fillId="0" borderId="1" xfId="0" applyNumberFormat="1" applyFont="1" applyFill="1" applyBorder="1" applyAlignment="1">
      <alignment horizontal="center" vertical="center" shrinkToFit="1"/>
    </xf>
    <xf numFmtId="183" fontId="38" fillId="0" borderId="1" xfId="0" applyNumberFormat="1" applyFont="1" applyFill="1" applyBorder="1" applyAlignment="1">
      <alignment horizontal="center" vertical="center" shrinkToFit="1"/>
    </xf>
    <xf numFmtId="0" fontId="37" fillId="0" borderId="1" xfId="0" applyFont="1" applyFill="1" applyBorder="1" applyAlignment="1">
      <alignment horizontal="center" vertical="center"/>
    </xf>
    <xf numFmtId="49" fontId="23" fillId="0" borderId="1" xfId="51" applyNumberFormat="1" applyFont="1" applyFill="1" applyBorder="1" applyAlignment="1">
      <alignment horizontal="center" vertical="center" shrinkToFit="1"/>
    </xf>
    <xf numFmtId="0" fontId="23" fillId="0" borderId="1" xfId="51" applyFont="1" applyFill="1" applyBorder="1" applyAlignment="1">
      <alignment horizontal="left" vertical="center" wrapText="1" shrinkToFit="1"/>
    </xf>
    <xf numFmtId="184" fontId="23" fillId="0" borderId="1" xfId="0" applyNumberFormat="1" applyFont="1" applyFill="1" applyBorder="1" applyAlignment="1">
      <alignment horizontal="center" vertical="center"/>
    </xf>
    <xf numFmtId="185" fontId="23" fillId="0" borderId="1" xfId="51" applyNumberFormat="1" applyFont="1" applyFill="1" applyBorder="1" applyAlignment="1">
      <alignment horizontal="center" vertical="center" shrinkToFit="1"/>
    </xf>
    <xf numFmtId="0" fontId="23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58" fontId="23" fillId="0" borderId="1" xfId="0" applyNumberFormat="1" applyFont="1" applyFill="1" applyBorder="1" applyAlignment="1">
      <alignment horizontal="center" vertical="center"/>
    </xf>
    <xf numFmtId="183" fontId="40" fillId="0" borderId="1" xfId="0" applyNumberFormat="1" applyFont="1" applyFill="1" applyBorder="1" applyAlignment="1">
      <alignment horizontal="center" vertical="center" shrinkToFit="1"/>
    </xf>
    <xf numFmtId="0" fontId="41" fillId="0" borderId="1" xfId="51" applyFont="1" applyFill="1" applyBorder="1" applyAlignment="1">
      <alignment horizontal="center" vertical="center" shrinkToFit="1"/>
    </xf>
    <xf numFmtId="0" fontId="40" fillId="0" borderId="1" xfId="51" applyFont="1" applyFill="1" applyBorder="1" applyAlignment="1">
      <alignment horizontal="center" vertical="center" shrinkToFit="1"/>
    </xf>
    <xf numFmtId="3" fontId="40" fillId="0" borderId="1" xfId="51" applyNumberFormat="1" applyFont="1" applyFill="1" applyBorder="1" applyAlignment="1">
      <alignment horizontal="center" vertical="center" shrinkToFit="1"/>
    </xf>
    <xf numFmtId="182" fontId="40" fillId="0" borderId="1" xfId="0" applyNumberFormat="1" applyFont="1" applyFill="1" applyBorder="1" applyAlignment="1">
      <alignment horizontal="center" vertical="center"/>
    </xf>
    <xf numFmtId="49" fontId="40" fillId="0" borderId="1" xfId="0" applyNumberFormat="1" applyFont="1" applyFill="1" applyBorder="1" applyAlignment="1" applyProtection="1">
      <alignment horizontal="center" vertical="center" shrinkToFit="1"/>
      <protection locked="0"/>
    </xf>
    <xf numFmtId="183" fontId="39" fillId="0" borderId="1" xfId="0" applyNumberFormat="1" applyFont="1" applyFill="1" applyBorder="1" applyAlignment="1">
      <alignment horizontal="center" vertical="center" shrinkToFit="1"/>
    </xf>
    <xf numFmtId="49" fontId="40" fillId="0" borderId="1" xfId="51" applyNumberFormat="1" applyFont="1" applyFill="1" applyBorder="1" applyAlignment="1" applyProtection="1">
      <alignment horizontal="center" vertical="center" shrinkToFit="1"/>
      <protection locked="0"/>
    </xf>
    <xf numFmtId="0" fontId="42" fillId="0" borderId="1" xfId="51" applyFont="1" applyFill="1" applyBorder="1" applyAlignment="1" applyProtection="1">
      <alignment horizontal="left" vertical="center" wrapText="1" shrinkToFit="1"/>
      <protection locked="0"/>
    </xf>
    <xf numFmtId="185" fontId="40" fillId="0" borderId="1" xfId="51" applyNumberFormat="1" applyFont="1" applyFill="1" applyBorder="1" applyAlignment="1">
      <alignment horizontal="center" vertical="center" shrinkToFit="1"/>
    </xf>
    <xf numFmtId="0" fontId="40" fillId="0" borderId="1" xfId="0" applyFont="1" applyFill="1" applyBorder="1" applyAlignment="1">
      <alignment horizontal="center" vertical="center"/>
    </xf>
    <xf numFmtId="58" fontId="40" fillId="0" borderId="1" xfId="0" applyNumberFormat="1" applyFont="1" applyFill="1" applyBorder="1" applyAlignment="1">
      <alignment horizontal="center" vertical="center"/>
    </xf>
    <xf numFmtId="0" fontId="40" fillId="0" borderId="1" xfId="0" applyFont="1" applyFill="1" applyBorder="1" applyAlignment="1" applyProtection="1">
      <alignment horizontal="center" vertical="center"/>
      <protection locked="0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183" fontId="40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40" fillId="0" borderId="1" xfId="51" applyFont="1" applyFill="1" applyBorder="1" applyAlignment="1" applyProtection="1">
      <alignment horizontal="left" vertical="center" wrapText="1" shrinkToFit="1"/>
      <protection locked="0"/>
    </xf>
    <xf numFmtId="184" fontId="40" fillId="0" borderId="1" xfId="0" applyNumberFormat="1" applyFont="1" applyFill="1" applyBorder="1" applyAlignment="1">
      <alignment horizontal="center" vertical="center"/>
    </xf>
    <xf numFmtId="179" fontId="22" fillId="0" borderId="1" xfId="0" applyNumberFormat="1" applyFont="1" applyFill="1" applyBorder="1" applyAlignment="1">
      <alignment horizontal="center" vertical="center"/>
    </xf>
    <xf numFmtId="183" fontId="24" fillId="0" borderId="0" xfId="0" applyNumberFormat="1" applyFont="1" applyFill="1" applyBorder="1" applyAlignment="1">
      <alignment horizontal="center" vertical="center" shrinkToFit="1"/>
    </xf>
    <xf numFmtId="0" fontId="24" fillId="0" borderId="0" xfId="51" applyFont="1" applyFill="1" applyBorder="1" applyAlignment="1">
      <alignment horizontal="center" vertical="center" shrinkToFit="1"/>
    </xf>
    <xf numFmtId="0" fontId="24" fillId="0" borderId="0" xfId="51" applyFont="1" applyFill="1" applyAlignment="1">
      <alignment horizontal="center" vertical="center" shrinkToFit="1"/>
    </xf>
    <xf numFmtId="3" fontId="24" fillId="0" borderId="0" xfId="51" applyNumberFormat="1" applyFont="1" applyFill="1" applyBorder="1" applyAlignment="1">
      <alignment horizontal="center" vertical="center" shrinkToFit="1"/>
    </xf>
    <xf numFmtId="186" fontId="24" fillId="0" borderId="0" xfId="0" applyNumberFormat="1" applyFont="1" applyFill="1" applyAlignment="1">
      <alignment horizontal="center" vertical="center"/>
    </xf>
    <xf numFmtId="181" fontId="24" fillId="0" borderId="0" xfId="0" applyNumberFormat="1" applyFont="1" applyFill="1" applyBorder="1" applyAlignment="1">
      <alignment horizontal="center" vertical="center" shrinkToFit="1"/>
    </xf>
    <xf numFmtId="49" fontId="24" fillId="0" borderId="0" xfId="0" applyNumberFormat="1" applyFont="1" applyFill="1" applyBorder="1" applyAlignment="1">
      <alignment horizontal="center" vertical="center" shrinkToFit="1"/>
    </xf>
    <xf numFmtId="183" fontId="43" fillId="0" borderId="0" xfId="0" applyNumberFormat="1" applyFont="1" applyFill="1" applyBorder="1" applyAlignment="1">
      <alignment horizontal="center" vertical="center" shrinkToFit="1"/>
    </xf>
    <xf numFmtId="0" fontId="24" fillId="0" borderId="0" xfId="0" applyFont="1" applyFill="1" applyBorder="1" applyAlignment="1">
      <alignment horizontal="center" vertical="center"/>
    </xf>
    <xf numFmtId="49" fontId="43" fillId="0" borderId="0" xfId="51" applyNumberFormat="1" applyFont="1" applyFill="1" applyBorder="1" applyAlignment="1">
      <alignment horizontal="center" vertical="center" shrinkToFit="1"/>
    </xf>
    <xf numFmtId="0" fontId="43" fillId="0" borderId="0" xfId="51" applyFont="1" applyFill="1" applyBorder="1" applyAlignment="1">
      <alignment horizontal="center" vertical="center" wrapText="1" shrinkToFit="1"/>
    </xf>
    <xf numFmtId="184" fontId="24" fillId="0" borderId="0" xfId="0" applyNumberFormat="1" applyFont="1" applyFill="1" applyBorder="1" applyAlignment="1">
      <alignment horizontal="center" vertical="center"/>
    </xf>
    <xf numFmtId="185" fontId="43" fillId="0" borderId="0" xfId="51" applyNumberFormat="1" applyFont="1" applyFill="1" applyBorder="1" applyAlignment="1">
      <alignment horizontal="center" vertical="center" shrinkToFit="1"/>
    </xf>
    <xf numFmtId="58" fontId="43" fillId="0" borderId="0" xfId="0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4" fillId="0" borderId="0" xfId="0" applyFont="1" applyFill="1" applyAlignment="1">
      <alignment horizontal="center" vertical="center"/>
    </xf>
    <xf numFmtId="183" fontId="25" fillId="0" borderId="0" xfId="0" applyNumberFormat="1" applyFont="1" applyFill="1" applyBorder="1" applyAlignment="1">
      <alignment horizontal="center" vertical="center" shrinkToFit="1"/>
    </xf>
    <xf numFmtId="0" fontId="25" fillId="0" borderId="0" xfId="51" applyFont="1" applyFill="1" applyBorder="1" applyAlignment="1">
      <alignment horizontal="center" vertical="center" shrinkToFit="1"/>
    </xf>
    <xf numFmtId="0" fontId="25" fillId="0" borderId="0" xfId="51" applyFont="1" applyFill="1" applyAlignment="1">
      <alignment horizontal="center" vertical="center" shrinkToFit="1"/>
    </xf>
    <xf numFmtId="3" fontId="25" fillId="0" borderId="0" xfId="51" applyNumberFormat="1" applyFont="1" applyFill="1" applyBorder="1" applyAlignment="1">
      <alignment horizontal="center" vertical="center" shrinkToFit="1"/>
    </xf>
    <xf numFmtId="186" fontId="25" fillId="0" borderId="0" xfId="0" applyNumberFormat="1" applyFont="1" applyFill="1" applyAlignment="1">
      <alignment horizontal="center" vertical="center"/>
    </xf>
    <xf numFmtId="181" fontId="25" fillId="0" borderId="0" xfId="0" applyNumberFormat="1" applyFont="1" applyFill="1" applyBorder="1" applyAlignment="1">
      <alignment horizontal="center" vertical="center" shrinkToFit="1"/>
    </xf>
    <xf numFmtId="49" fontId="25" fillId="0" borderId="0" xfId="0" applyNumberFormat="1" applyFont="1" applyFill="1" applyBorder="1" applyAlignment="1">
      <alignment horizontal="center" vertical="center" shrinkToFit="1"/>
    </xf>
    <xf numFmtId="183" fontId="38" fillId="0" borderId="0" xfId="0" applyNumberFormat="1" applyFont="1" applyFill="1" applyBorder="1" applyAlignment="1">
      <alignment horizontal="center" vertical="center" shrinkToFit="1"/>
    </xf>
    <xf numFmtId="0" fontId="25" fillId="0" borderId="0" xfId="0" applyFont="1" applyFill="1" applyBorder="1" applyAlignment="1">
      <alignment horizontal="center" vertical="center"/>
    </xf>
    <xf numFmtId="49" fontId="38" fillId="0" borderId="0" xfId="51" applyNumberFormat="1" applyFont="1" applyFill="1" applyBorder="1" applyAlignment="1">
      <alignment horizontal="center" vertical="center" shrinkToFit="1"/>
    </xf>
    <xf numFmtId="0" fontId="38" fillId="0" borderId="0" xfId="51" applyFont="1" applyFill="1" applyBorder="1" applyAlignment="1">
      <alignment horizontal="center" vertical="center" wrapText="1" shrinkToFit="1"/>
    </xf>
    <xf numFmtId="184" fontId="25" fillId="0" borderId="0" xfId="0" applyNumberFormat="1" applyFont="1" applyFill="1" applyBorder="1" applyAlignment="1">
      <alignment horizontal="center" vertical="center"/>
    </xf>
    <xf numFmtId="185" fontId="38" fillId="0" borderId="0" xfId="51" applyNumberFormat="1" applyFont="1" applyFill="1" applyBorder="1" applyAlignment="1">
      <alignment horizontal="center" vertical="center" shrinkToFit="1"/>
    </xf>
    <xf numFmtId="58" fontId="38" fillId="0" borderId="0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45" fillId="0" borderId="0" xfId="0" applyFont="1" applyFill="1" applyAlignment="1">
      <alignment horizontal="center" vertical="center"/>
    </xf>
    <xf numFmtId="49" fontId="24" fillId="0" borderId="0" xfId="0" applyNumberFormat="1" applyFont="1" applyFill="1" applyBorder="1" applyAlignment="1" applyProtection="1">
      <alignment horizontal="center" vertical="center" shrinkToFit="1"/>
      <protection locked="0"/>
    </xf>
    <xf numFmtId="183" fontId="43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24" fillId="0" borderId="0" xfId="0" applyFont="1" applyFill="1" applyBorder="1" applyAlignment="1" applyProtection="1">
      <alignment horizontal="center" vertical="center"/>
      <protection locked="0"/>
    </xf>
    <xf numFmtId="49" fontId="43" fillId="0" borderId="0" xfId="51" applyNumberFormat="1" applyFont="1" applyFill="1" applyBorder="1" applyAlignment="1" applyProtection="1">
      <alignment horizontal="center" vertical="center" shrinkToFit="1"/>
      <protection locked="0"/>
    </xf>
    <xf numFmtId="0" fontId="43" fillId="0" borderId="0" xfId="51" applyFont="1" applyFill="1" applyBorder="1" applyAlignment="1" applyProtection="1">
      <alignment horizontal="center" vertical="center" wrapText="1" shrinkToFit="1"/>
      <protection locked="0"/>
    </xf>
    <xf numFmtId="0" fontId="24" fillId="0" borderId="0" xfId="0" applyFont="1" applyFill="1" applyAlignment="1" applyProtection="1">
      <alignment horizontal="center" vertical="center"/>
      <protection locked="0"/>
    </xf>
    <xf numFmtId="0" fontId="24" fillId="0" borderId="0" xfId="51" applyFont="1" applyFill="1" applyBorder="1" applyAlignment="1">
      <alignment horizontal="center" vertical="center" wrapText="1" shrinkToFit="1"/>
    </xf>
    <xf numFmtId="0" fontId="26" fillId="0" borderId="0" xfId="0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>
      <alignment horizontal="center" vertical="center"/>
    </xf>
    <xf numFmtId="0" fontId="46" fillId="0" borderId="0" xfId="0" applyFont="1" applyFill="1" applyAlignment="1">
      <alignment horizontal="center" vertical="center"/>
    </xf>
    <xf numFmtId="0" fontId="26" fillId="0" borderId="0" xfId="0" applyFont="1" applyFill="1" applyAlignment="1" applyProtection="1">
      <alignment horizontal="center" vertical="center"/>
      <protection locked="0"/>
    </xf>
    <xf numFmtId="0" fontId="47" fillId="0" borderId="0" xfId="0" applyFont="1" applyFill="1" applyAlignment="1">
      <alignment horizontal="center" vertical="center"/>
    </xf>
    <xf numFmtId="183" fontId="48" fillId="0" borderId="0" xfId="0" applyNumberFormat="1" applyFont="1" applyFill="1" applyBorder="1" applyAlignment="1">
      <alignment horizontal="center" vertical="center" shrinkToFit="1"/>
    </xf>
    <xf numFmtId="0" fontId="48" fillId="0" borderId="0" xfId="51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vertical="center"/>
    </xf>
    <xf numFmtId="181" fontId="48" fillId="0" borderId="0" xfId="0" applyNumberFormat="1" applyFont="1" applyFill="1" applyBorder="1" applyAlignment="1">
      <alignment horizontal="center" vertical="center" shrinkToFit="1"/>
    </xf>
    <xf numFmtId="49" fontId="48" fillId="0" borderId="0" xfId="0" applyNumberFormat="1" applyFont="1" applyFill="1" applyBorder="1" applyAlignment="1" applyProtection="1">
      <alignment horizontal="center" vertical="center" shrinkToFit="1"/>
      <protection locked="0"/>
    </xf>
    <xf numFmtId="183" fontId="49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27" fillId="0" borderId="0" xfId="0" applyFont="1" applyFill="1" applyBorder="1" applyAlignment="1" applyProtection="1">
      <alignment horizontal="center" vertical="center"/>
      <protection locked="0"/>
    </xf>
    <xf numFmtId="49" fontId="49" fillId="0" borderId="0" xfId="51" applyNumberFormat="1" applyFont="1" applyFill="1" applyBorder="1" applyAlignment="1" applyProtection="1">
      <alignment horizontal="center" vertical="center" shrinkToFit="1"/>
      <protection locked="0"/>
    </xf>
    <xf numFmtId="0" fontId="49" fillId="0" borderId="0" xfId="51" applyFont="1" applyFill="1" applyBorder="1" applyAlignment="1" applyProtection="1">
      <alignment horizontal="center" vertical="center" wrapText="1" shrinkToFit="1"/>
      <protection locked="0"/>
    </xf>
    <xf numFmtId="185" fontId="49" fillId="0" borderId="0" xfId="51" applyNumberFormat="1" applyFont="1" applyFill="1" applyBorder="1" applyAlignment="1">
      <alignment horizontal="center" vertical="center" shrinkToFit="1"/>
    </xf>
    <xf numFmtId="0" fontId="49" fillId="0" borderId="0" xfId="0" applyFont="1" applyFill="1" applyBorder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27" fillId="0" borderId="0" xfId="0" applyFont="1" applyFill="1" applyAlignment="1" applyProtection="1">
      <alignment horizontal="center" vertical="center"/>
      <protection locked="0"/>
    </xf>
    <xf numFmtId="183" fontId="51" fillId="0" borderId="0" xfId="0" applyNumberFormat="1" applyFont="1" applyFill="1" applyBorder="1" applyAlignment="1">
      <alignment horizontal="center" vertical="center" shrinkToFit="1"/>
    </xf>
    <xf numFmtId="179" fontId="51" fillId="0" borderId="0" xfId="0" applyNumberFormat="1" applyFont="1" applyFill="1" applyBorder="1" applyAlignment="1">
      <alignment vertical="center" shrinkToFit="1"/>
    </xf>
    <xf numFmtId="177" fontId="48" fillId="0" borderId="0" xfId="0" applyNumberFormat="1" applyFont="1" applyFill="1" applyBorder="1" applyAlignment="1">
      <alignment horizontal="center" vertical="center" shrinkToFit="1"/>
    </xf>
    <xf numFmtId="179" fontId="51" fillId="0" borderId="0" xfId="0" applyNumberFormat="1" applyFont="1" applyFill="1" applyBorder="1" applyAlignment="1">
      <alignment horizontal="center" vertical="center" shrinkToFit="1"/>
    </xf>
    <xf numFmtId="177" fontId="24" fillId="0" borderId="0" xfId="0" applyNumberFormat="1" applyFont="1" applyFill="1" applyBorder="1" applyAlignment="1">
      <alignment horizontal="center" vertical="center" shrinkToFit="1"/>
    </xf>
    <xf numFmtId="0" fontId="51" fillId="0" borderId="0" xfId="51" applyFont="1" applyFill="1" applyBorder="1" applyAlignment="1">
      <alignment horizontal="center" vertical="center" shrinkToFit="1"/>
    </xf>
    <xf numFmtId="179" fontId="27" fillId="0" borderId="0" xfId="0" applyNumberFormat="1" applyFont="1" applyFill="1" applyBorder="1" applyAlignment="1">
      <alignment horizontal="center" vertical="center"/>
    </xf>
    <xf numFmtId="0" fontId="52" fillId="0" borderId="0" xfId="51" applyFont="1" applyFill="1" applyBorder="1" applyAlignment="1">
      <alignment horizontal="center" vertical="center" shrinkToFit="1"/>
    </xf>
    <xf numFmtId="0" fontId="53" fillId="0" borderId="0" xfId="51" applyFont="1" applyFill="1" applyBorder="1" applyAlignment="1">
      <alignment horizontal="center" vertical="center" shrinkToFit="1"/>
    </xf>
    <xf numFmtId="186" fontId="24" fillId="0" borderId="0" xfId="0" applyNumberFormat="1" applyFont="1" applyFill="1" applyBorder="1" applyAlignment="1">
      <alignment horizontal="center" vertical="center" shrinkToFit="1"/>
    </xf>
    <xf numFmtId="0" fontId="24" fillId="0" borderId="0" xfId="0" applyNumberFormat="1" applyFont="1" applyFill="1" applyBorder="1" applyAlignment="1">
      <alignment horizontal="center" vertical="center" shrinkToFit="1"/>
    </xf>
    <xf numFmtId="0" fontId="24" fillId="0" borderId="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5" fillId="0" borderId="6" xfId="0" applyFont="1" applyFill="1" applyBorder="1" applyAlignment="1">
      <alignment horizontal="center" vertical="center"/>
    </xf>
    <xf numFmtId="0" fontId="55" fillId="0" borderId="7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56" fillId="0" borderId="6" xfId="0" applyFont="1" applyFill="1" applyBorder="1" applyAlignment="1">
      <alignment horizontal="center" vertical="center"/>
    </xf>
    <xf numFmtId="0" fontId="56" fillId="0" borderId="7" xfId="0" applyFont="1" applyFill="1" applyBorder="1" applyAlignment="1">
      <alignment horizontal="center" vertical="center"/>
    </xf>
    <xf numFmtId="180" fontId="57" fillId="0" borderId="0" xfId="53" applyNumberFormat="1" applyFont="1" applyFill="1" applyBorder="1" applyAlignment="1">
      <alignment horizontal="center" vertical="center"/>
    </xf>
    <xf numFmtId="180" fontId="57" fillId="0" borderId="0" xfId="53" applyNumberFormat="1" applyFont="1" applyFill="1" applyBorder="1" applyAlignment="1">
      <alignment horizontal="center" vertical="center" wrapText="1"/>
    </xf>
    <xf numFmtId="180" fontId="57" fillId="0" borderId="0" xfId="53" applyNumberFormat="1" applyFont="1" applyFill="1" applyBorder="1" applyAlignment="1">
      <alignment horizontal="left" vertical="center"/>
    </xf>
    <xf numFmtId="0" fontId="57" fillId="0" borderId="0" xfId="53" applyFont="1" applyFill="1" applyBorder="1" applyAlignment="1">
      <alignment horizontal="center" vertical="center"/>
    </xf>
    <xf numFmtId="181" fontId="57" fillId="0" borderId="0" xfId="53" applyNumberFormat="1" applyFont="1" applyFill="1" applyBorder="1" applyAlignment="1">
      <alignment horizontal="center" vertical="center"/>
    </xf>
    <xf numFmtId="49" fontId="57" fillId="0" borderId="0" xfId="53" applyNumberFormat="1" applyFont="1" applyFill="1" applyBorder="1" applyAlignment="1" applyProtection="1">
      <alignment horizontal="center" vertical="center"/>
      <protection locked="0"/>
    </xf>
    <xf numFmtId="0" fontId="58" fillId="0" borderId="0" xfId="0" applyFont="1" applyFill="1" applyBorder="1" applyAlignment="1" applyProtection="1">
      <alignment horizontal="center" vertical="center"/>
      <protection locked="0"/>
    </xf>
    <xf numFmtId="0" fontId="57" fillId="0" borderId="0" xfId="53" applyFont="1" applyFill="1" applyBorder="1" applyAlignment="1" applyProtection="1">
      <alignment horizontal="center" vertical="center"/>
      <protection locked="0"/>
    </xf>
    <xf numFmtId="0" fontId="51" fillId="0" borderId="0" xfId="51" applyFont="1" applyFill="1" applyBorder="1" applyAlignment="1" applyProtection="1">
      <alignment horizontal="center" vertical="center" wrapText="1" shrinkToFit="1"/>
      <protection locked="0"/>
    </xf>
    <xf numFmtId="0" fontId="57" fillId="0" borderId="0" xfId="53" applyFont="1" applyFill="1" applyBorder="1" applyAlignment="1">
      <alignment horizontal="center" vertical="center" wrapText="1"/>
    </xf>
    <xf numFmtId="183" fontId="59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57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28" fillId="0" borderId="0" xfId="0" applyNumberFormat="1" applyFont="1" applyFill="1" applyBorder="1" applyAlignment="1">
      <alignment vertical="center" shrinkToFit="1"/>
    </xf>
    <xf numFmtId="0" fontId="28" fillId="0" borderId="0" xfId="51" applyFont="1" applyFill="1" applyBorder="1" applyAlignment="1">
      <alignment vertical="center" shrinkToFit="1"/>
    </xf>
    <xf numFmtId="0" fontId="28" fillId="0" borderId="0" xfId="0" applyFont="1" applyFill="1" applyBorder="1" applyAlignment="1">
      <alignment vertical="center"/>
    </xf>
    <xf numFmtId="181" fontId="28" fillId="0" borderId="0" xfId="0" applyNumberFormat="1" applyFont="1" applyFill="1" applyBorder="1" applyAlignment="1">
      <alignment vertical="center" shrinkToFit="1"/>
    </xf>
    <xf numFmtId="49" fontId="28" fillId="0" borderId="0" xfId="0" applyNumberFormat="1" applyFont="1" applyFill="1" applyBorder="1" applyAlignment="1" applyProtection="1">
      <alignment vertical="center" shrinkToFit="1"/>
      <protection locked="0"/>
    </xf>
    <xf numFmtId="183" fontId="60" fillId="0" borderId="0" xfId="0" applyNumberFormat="1" applyFont="1" applyFill="1" applyBorder="1" applyAlignment="1" applyProtection="1">
      <alignment vertical="center" shrinkToFit="1"/>
      <protection locked="0"/>
    </xf>
    <xf numFmtId="0" fontId="28" fillId="0" borderId="0" xfId="0" applyFont="1" applyFill="1" applyBorder="1" applyAlignment="1" applyProtection="1">
      <alignment vertical="center"/>
      <protection locked="0"/>
    </xf>
    <xf numFmtId="49" fontId="60" fillId="0" borderId="0" xfId="51" applyNumberFormat="1" applyFont="1" applyFill="1" applyBorder="1" applyAlignment="1" applyProtection="1">
      <alignment vertical="center" shrinkToFit="1"/>
      <protection locked="0"/>
    </xf>
    <xf numFmtId="0" fontId="60" fillId="0" borderId="0" xfId="51" applyFont="1" applyFill="1" applyBorder="1" applyAlignment="1" applyProtection="1">
      <alignment vertical="center" wrapText="1" shrinkToFit="1"/>
      <protection locked="0"/>
    </xf>
    <xf numFmtId="58" fontId="60" fillId="0" borderId="0" xfId="0" applyNumberFormat="1" applyFont="1" applyFill="1" applyBorder="1" applyAlignment="1">
      <alignment vertical="center"/>
    </xf>
    <xf numFmtId="0" fontId="60" fillId="0" borderId="0" xfId="0" applyFont="1" applyFill="1" applyBorder="1" applyAlignment="1">
      <alignment vertical="center"/>
    </xf>
    <xf numFmtId="0" fontId="28" fillId="0" borderId="0" xfId="0" applyFont="1" applyFill="1" applyAlignment="1" applyProtection="1">
      <alignment vertical="center"/>
      <protection locked="0"/>
    </xf>
    <xf numFmtId="0" fontId="61" fillId="0" borderId="0" xfId="0" applyFont="1" applyFill="1" applyAlignment="1">
      <alignment vertical="center"/>
    </xf>
    <xf numFmtId="185" fontId="60" fillId="0" borderId="0" xfId="51" applyNumberFormat="1" applyFont="1" applyFill="1" applyBorder="1" applyAlignment="1">
      <alignment vertical="center" shrinkToFit="1"/>
    </xf>
    <xf numFmtId="183" fontId="25" fillId="0" borderId="0" xfId="0" applyNumberFormat="1" applyFont="1" applyFill="1" applyBorder="1" applyAlignment="1">
      <alignment vertical="center" shrinkToFit="1"/>
    </xf>
    <xf numFmtId="0" fontId="25" fillId="0" borderId="0" xfId="51" applyFont="1" applyFill="1" applyBorder="1" applyAlignment="1">
      <alignment vertical="center" shrinkToFit="1"/>
    </xf>
    <xf numFmtId="3" fontId="25" fillId="0" borderId="0" xfId="51" applyNumberFormat="1" applyFont="1" applyFill="1" applyBorder="1" applyAlignment="1">
      <alignment vertical="center" shrinkToFit="1"/>
    </xf>
    <xf numFmtId="0" fontId="25" fillId="0" borderId="0" xfId="0" applyFont="1" applyFill="1" applyBorder="1" applyAlignment="1">
      <alignment vertical="center"/>
    </xf>
    <xf numFmtId="181" fontId="25" fillId="0" borderId="0" xfId="0" applyNumberFormat="1" applyFont="1" applyFill="1" applyBorder="1" applyAlignment="1">
      <alignment vertical="center" shrinkToFit="1"/>
    </xf>
    <xf numFmtId="49" fontId="25" fillId="0" borderId="0" xfId="0" applyNumberFormat="1" applyFont="1" applyFill="1" applyBorder="1" applyAlignment="1" applyProtection="1">
      <alignment vertical="center" shrinkToFit="1"/>
      <protection locked="0"/>
    </xf>
    <xf numFmtId="183" fontId="38" fillId="0" borderId="0" xfId="0" applyNumberFormat="1" applyFont="1" applyFill="1" applyBorder="1" applyAlignment="1" applyProtection="1">
      <alignment vertical="center" shrinkToFit="1"/>
      <protection locked="0"/>
    </xf>
    <xf numFmtId="0" fontId="25" fillId="0" borderId="0" xfId="0" applyFont="1" applyFill="1" applyBorder="1" applyAlignment="1" applyProtection="1">
      <alignment vertical="center"/>
      <protection locked="0"/>
    </xf>
    <xf numFmtId="49" fontId="38" fillId="0" borderId="0" xfId="51" applyNumberFormat="1" applyFont="1" applyFill="1" applyBorder="1" applyAlignment="1" applyProtection="1">
      <alignment vertical="center" shrinkToFit="1"/>
      <protection locked="0"/>
    </xf>
    <xf numFmtId="0" fontId="38" fillId="0" borderId="0" xfId="51" applyFont="1" applyFill="1" applyBorder="1" applyAlignment="1" applyProtection="1">
      <alignment vertical="center" wrapText="1" shrinkToFit="1"/>
      <protection locked="0"/>
    </xf>
    <xf numFmtId="185" fontId="38" fillId="0" borderId="0" xfId="51" applyNumberFormat="1" applyFont="1" applyFill="1" applyBorder="1" applyAlignment="1">
      <alignment vertical="center" shrinkToFit="1"/>
    </xf>
    <xf numFmtId="184" fontId="25" fillId="0" borderId="0" xfId="0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25" fillId="0" borderId="0" xfId="0" applyFont="1" applyFill="1" applyAlignment="1" applyProtection="1">
      <alignment vertical="center"/>
      <protection locked="0"/>
    </xf>
    <xf numFmtId="0" fontId="45" fillId="0" borderId="0" xfId="0" applyFont="1" applyFill="1" applyAlignment="1">
      <alignment vertical="center"/>
    </xf>
    <xf numFmtId="183" fontId="24" fillId="0" borderId="0" xfId="0" applyNumberFormat="1" applyFont="1" applyFill="1" applyBorder="1" applyAlignment="1">
      <alignment vertical="center" shrinkToFit="1"/>
    </xf>
    <xf numFmtId="0" fontId="24" fillId="0" borderId="0" xfId="51" applyFont="1" applyFill="1" applyBorder="1" applyAlignment="1">
      <alignment vertical="center" shrinkToFit="1"/>
    </xf>
    <xf numFmtId="0" fontId="26" fillId="0" borderId="0" xfId="0" applyFont="1" applyFill="1" applyBorder="1" applyAlignment="1">
      <alignment vertical="center"/>
    </xf>
    <xf numFmtId="181" fontId="24" fillId="0" borderId="0" xfId="0" applyNumberFormat="1" applyFont="1" applyFill="1" applyBorder="1" applyAlignment="1">
      <alignment vertical="center" shrinkToFit="1"/>
    </xf>
    <xf numFmtId="49" fontId="24" fillId="0" borderId="0" xfId="0" applyNumberFormat="1" applyFont="1" applyFill="1" applyBorder="1" applyAlignment="1" applyProtection="1">
      <alignment vertical="center" shrinkToFit="1"/>
      <protection locked="0"/>
    </xf>
    <xf numFmtId="183" fontId="43" fillId="0" borderId="0" xfId="0" applyNumberFormat="1" applyFont="1" applyFill="1" applyBorder="1" applyAlignment="1" applyProtection="1">
      <alignment vertical="center" shrinkToFit="1"/>
      <protection locked="0"/>
    </xf>
    <xf numFmtId="0" fontId="26" fillId="0" borderId="0" xfId="0" applyFont="1" applyFill="1" applyBorder="1" applyAlignment="1" applyProtection="1">
      <alignment vertical="center"/>
      <protection locked="0"/>
    </xf>
    <xf numFmtId="49" fontId="43" fillId="0" borderId="0" xfId="51" applyNumberFormat="1" applyFont="1" applyFill="1" applyBorder="1" applyAlignment="1" applyProtection="1">
      <alignment vertical="center" shrinkToFit="1"/>
      <protection locked="0"/>
    </xf>
    <xf numFmtId="0" fontId="43" fillId="0" borderId="0" xfId="51" applyFont="1" applyFill="1" applyBorder="1" applyAlignment="1" applyProtection="1">
      <alignment vertical="center" wrapText="1" shrinkToFit="1"/>
      <protection locked="0"/>
    </xf>
    <xf numFmtId="0" fontId="43" fillId="0" borderId="0" xfId="0" applyFont="1" applyFill="1" applyBorder="1" applyAlignment="1">
      <alignment vertical="center"/>
    </xf>
    <xf numFmtId="0" fontId="26" fillId="0" borderId="0" xfId="0" applyFont="1" applyFill="1" applyAlignment="1" applyProtection="1">
      <alignment vertical="center"/>
      <protection locked="0"/>
    </xf>
    <xf numFmtId="0" fontId="47" fillId="0" borderId="0" xfId="0" applyFont="1" applyFill="1" applyAlignment="1">
      <alignment vertical="center"/>
    </xf>
    <xf numFmtId="3" fontId="24" fillId="0" borderId="0" xfId="51" applyNumberFormat="1" applyFont="1" applyFill="1" applyBorder="1" applyAlignment="1">
      <alignment vertical="center" shrinkToFit="1"/>
    </xf>
    <xf numFmtId="185" fontId="43" fillId="0" borderId="0" xfId="51" applyNumberFormat="1" applyFont="1" applyFill="1" applyBorder="1" applyAlignment="1">
      <alignment vertical="center" shrinkToFit="1"/>
    </xf>
    <xf numFmtId="0" fontId="46" fillId="0" borderId="0" xfId="0" applyFont="1" applyFill="1" applyBorder="1" applyAlignment="1">
      <alignment vertical="center"/>
    </xf>
    <xf numFmtId="185" fontId="62" fillId="0" borderId="0" xfId="51" applyNumberFormat="1" applyFont="1" applyFill="1" applyBorder="1" applyAlignment="1">
      <alignment vertical="center" shrinkToFit="1"/>
    </xf>
    <xf numFmtId="179" fontId="56" fillId="0" borderId="0" xfId="0" applyNumberFormat="1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0" fontId="63" fillId="0" borderId="0" xfId="0" applyFont="1" applyFill="1" applyAlignment="1">
      <alignment vertical="center"/>
    </xf>
    <xf numFmtId="0" fontId="64" fillId="0" borderId="0" xfId="0" applyFont="1" applyAlignment="1">
      <alignment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4" fillId="0" borderId="0" xfId="4" applyNumberFormat="1" applyFont="1" applyBorder="1" applyAlignment="1">
      <alignment horizontal="center" vertical="center"/>
    </xf>
    <xf numFmtId="187" fontId="65" fillId="0" borderId="0" xfId="4" applyNumberFormat="1" applyFont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188" fontId="4" fillId="0" borderId="1" xfId="0" applyNumberFormat="1" applyFont="1" applyFill="1" applyBorder="1" applyAlignment="1">
      <alignment horizontal="center" vertical="center"/>
    </xf>
    <xf numFmtId="187" fontId="4" fillId="0" borderId="1" xfId="0" applyNumberFormat="1" applyFont="1" applyFill="1" applyBorder="1" applyAlignment="1">
      <alignment horizontal="center" vertical="center"/>
    </xf>
    <xf numFmtId="187" fontId="4" fillId="0" borderId="1" xfId="4" applyNumberFormat="1" applyFont="1" applyBorder="1" applyAlignment="1">
      <alignment horizontal="center" vertical="center"/>
    </xf>
    <xf numFmtId="187" fontId="65" fillId="0" borderId="1" xfId="4" applyNumberFormat="1" applyFont="1" applyBorder="1" applyAlignment="1">
      <alignment horizontal="center" vertical="center"/>
    </xf>
    <xf numFmtId="0" fontId="37" fillId="0" borderId="1" xfId="51" applyFont="1" applyFill="1" applyBorder="1" applyAlignment="1">
      <alignment horizontal="center" vertical="center" shrinkToFit="1"/>
    </xf>
    <xf numFmtId="0" fontId="37" fillId="0" borderId="1" xfId="51" applyFont="1" applyFill="1" applyBorder="1" applyAlignment="1">
      <alignment horizontal="left" vertical="center" wrapText="1" shrinkToFit="1"/>
    </xf>
    <xf numFmtId="189" fontId="66" fillId="0" borderId="1" xfId="4" applyNumberFormat="1" applyFont="1" applyBorder="1" applyAlignment="1">
      <alignment horizontal="center" vertical="center"/>
    </xf>
    <xf numFmtId="187" fontId="66" fillId="0" borderId="1" xfId="4" applyNumberFormat="1" applyFont="1" applyBorder="1" applyAlignment="1">
      <alignment horizontal="center" vertical="center"/>
    </xf>
    <xf numFmtId="187" fontId="66" fillId="0" borderId="0" xfId="4" applyNumberFormat="1" applyFont="1" applyBorder="1" applyAlignment="1">
      <alignment horizontal="center" vertical="center"/>
    </xf>
    <xf numFmtId="0" fontId="64" fillId="0" borderId="1" xfId="0" applyFont="1" applyBorder="1" applyAlignment="1">
      <alignment vertical="center"/>
    </xf>
    <xf numFmtId="3" fontId="67" fillId="0" borderId="1" xfId="51" applyNumberFormat="1" applyFont="1" applyFill="1" applyBorder="1" applyAlignment="1">
      <alignment horizontal="center" vertical="center" shrinkToFit="1"/>
    </xf>
    <xf numFmtId="0" fontId="68" fillId="0" borderId="1" xfId="0" applyFont="1" applyBorder="1" applyAlignment="1">
      <alignment horizontal="center" vertical="center"/>
    </xf>
    <xf numFmtId="179" fontId="68" fillId="0" borderId="1" xfId="0" applyNumberFormat="1" applyFont="1" applyBorder="1" applyAlignment="1">
      <alignment vertical="center"/>
    </xf>
    <xf numFmtId="188" fontId="68" fillId="0" borderId="1" xfId="0" applyNumberFormat="1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183" fontId="69" fillId="0" borderId="0" xfId="0" applyNumberFormat="1" applyFont="1" applyFill="1" applyBorder="1" applyAlignment="1">
      <alignment horizontal="center" vertical="center" wrapText="1" shrinkToFit="1"/>
    </xf>
    <xf numFmtId="0" fontId="33" fillId="0" borderId="1" xfId="0" applyFont="1" applyFill="1" applyBorder="1" applyAlignment="1">
      <alignment horizontal="center" vertical="center"/>
    </xf>
    <xf numFmtId="0" fontId="70" fillId="0" borderId="1" xfId="0" applyFont="1" applyFill="1" applyBorder="1" applyAlignment="1">
      <alignment horizontal="center" vertical="center"/>
    </xf>
    <xf numFmtId="0" fontId="70" fillId="0" borderId="1" xfId="0" applyFont="1" applyFill="1" applyBorder="1" applyAlignment="1">
      <alignment horizontal="center" vertical="center" wrapText="1"/>
    </xf>
    <xf numFmtId="0" fontId="31" fillId="0" borderId="1" xfId="53" applyFont="1" applyFill="1" applyBorder="1" applyAlignment="1">
      <alignment horizontal="center" vertical="center"/>
    </xf>
    <xf numFmtId="0" fontId="31" fillId="0" borderId="1" xfId="51" applyFont="1" applyFill="1" applyBorder="1" applyAlignment="1">
      <alignment horizontal="center" vertical="center" shrinkToFit="1"/>
    </xf>
    <xf numFmtId="0" fontId="69" fillId="0" borderId="1" xfId="0" applyNumberFormat="1" applyFont="1" applyFill="1" applyBorder="1" applyAlignment="1">
      <alignment horizontal="center" vertical="center" wrapText="1" shrinkToFit="1"/>
    </xf>
    <xf numFmtId="183" fontId="69" fillId="0" borderId="1" xfId="0" applyNumberFormat="1" applyFont="1" applyFill="1" applyBorder="1" applyAlignment="1">
      <alignment horizontal="center" vertical="center" wrapText="1" shrinkToFit="1"/>
    </xf>
    <xf numFmtId="0" fontId="22" fillId="0" borderId="1" xfId="0" applyFont="1" applyFill="1" applyBorder="1" applyAlignment="1">
      <alignment horizontal="center" vertical="center"/>
    </xf>
    <xf numFmtId="183" fontId="71" fillId="4" borderId="1" xfId="0" applyNumberFormat="1" applyFont="1" applyFill="1" applyBorder="1" applyAlignment="1">
      <alignment horizontal="center" vertical="center" shrinkToFit="1"/>
    </xf>
    <xf numFmtId="183" fontId="40" fillId="4" borderId="1" xfId="0" applyNumberFormat="1" applyFont="1" applyFill="1" applyBorder="1" applyAlignment="1">
      <alignment horizontal="center" vertical="center" shrinkToFit="1"/>
    </xf>
    <xf numFmtId="0" fontId="41" fillId="4" borderId="1" xfId="51" applyFont="1" applyFill="1" applyBorder="1" applyAlignment="1">
      <alignment horizontal="center" vertical="center" shrinkToFit="1"/>
    </xf>
    <xf numFmtId="0" fontId="71" fillId="4" borderId="1" xfId="51" applyFont="1" applyFill="1" applyBorder="1" applyAlignment="1">
      <alignment horizontal="center" vertical="center" shrinkToFit="1"/>
    </xf>
    <xf numFmtId="0" fontId="40" fillId="4" borderId="1" xfId="51" applyFont="1" applyFill="1" applyBorder="1" applyAlignment="1">
      <alignment horizontal="center" vertical="center" shrinkToFit="1"/>
    </xf>
    <xf numFmtId="0" fontId="72" fillId="4" borderId="1" xfId="51" applyFont="1" applyFill="1" applyBorder="1" applyAlignment="1">
      <alignment horizontal="center" vertical="center" shrinkToFit="1"/>
    </xf>
    <xf numFmtId="3" fontId="71" fillId="4" borderId="1" xfId="51" applyNumberFormat="1" applyFont="1" applyFill="1" applyBorder="1" applyAlignment="1">
      <alignment horizontal="center" vertical="center" shrinkToFit="1"/>
    </xf>
    <xf numFmtId="186" fontId="40" fillId="4" borderId="1" xfId="0" applyNumberFormat="1" applyFont="1" applyFill="1" applyBorder="1" applyAlignment="1">
      <alignment horizontal="center" vertical="center"/>
    </xf>
    <xf numFmtId="184" fontId="71" fillId="4" borderId="1" xfId="0" applyNumberFormat="1" applyFont="1" applyFill="1" applyBorder="1" applyAlignment="1">
      <alignment horizontal="center" vertical="center"/>
    </xf>
    <xf numFmtId="0" fontId="40" fillId="4" borderId="1" xfId="0" applyNumberFormat="1" applyFont="1" applyFill="1" applyBorder="1" applyAlignment="1">
      <alignment horizontal="center" vertical="center" shrinkToFit="1"/>
    </xf>
    <xf numFmtId="0" fontId="22" fillId="4" borderId="1" xfId="0" applyFont="1" applyFill="1" applyBorder="1" applyAlignment="1">
      <alignment horizontal="center" vertical="center"/>
    </xf>
    <xf numFmtId="186" fontId="40" fillId="0" borderId="1" xfId="0" applyNumberFormat="1" applyFont="1" applyFill="1" applyBorder="1" applyAlignment="1">
      <alignment horizontal="center" vertical="center"/>
    </xf>
    <xf numFmtId="0" fontId="40" fillId="0" borderId="1" xfId="0" applyNumberFormat="1" applyFont="1" applyFill="1" applyBorder="1" applyAlignment="1">
      <alignment horizontal="center" vertical="center" shrinkToFit="1"/>
    </xf>
    <xf numFmtId="179" fontId="40" fillId="0" borderId="1" xfId="0" applyNumberFormat="1" applyFont="1" applyFill="1" applyBorder="1" applyAlignment="1">
      <alignment horizontal="center" vertical="center" shrinkToFit="1"/>
    </xf>
    <xf numFmtId="177" fontId="40" fillId="0" borderId="1" xfId="0" applyNumberFormat="1" applyFont="1" applyFill="1" applyBorder="1" applyAlignment="1">
      <alignment horizontal="center" vertical="center" shrinkToFit="1"/>
    </xf>
    <xf numFmtId="49" fontId="40" fillId="0" borderId="1" xfId="51" applyNumberFormat="1" applyFont="1" applyFill="1" applyBorder="1" applyAlignment="1">
      <alignment horizontal="center" vertical="center" shrinkToFit="1"/>
    </xf>
    <xf numFmtId="0" fontId="73" fillId="0" borderId="1" xfId="0" applyFont="1" applyFill="1" applyBorder="1" applyAlignment="1">
      <alignment horizontal="center" vertical="center"/>
    </xf>
    <xf numFmtId="0" fontId="74" fillId="0" borderId="1" xfId="51" applyFont="1" applyFill="1" applyBorder="1" applyAlignment="1">
      <alignment horizontal="center" vertical="center" shrinkToFit="1"/>
    </xf>
    <xf numFmtId="183" fontId="41" fillId="0" borderId="1" xfId="0" applyNumberFormat="1" applyFont="1" applyFill="1" applyBorder="1" applyAlignment="1">
      <alignment horizontal="center" vertical="center" shrinkToFit="1"/>
    </xf>
    <xf numFmtId="179" fontId="74" fillId="0" borderId="1" xfId="0" applyNumberFormat="1" applyFont="1" applyFill="1" applyBorder="1" applyAlignment="1">
      <alignment horizontal="center" vertical="center" shrinkToFit="1"/>
    </xf>
    <xf numFmtId="183" fontId="40" fillId="0" borderId="0" xfId="0" applyNumberFormat="1" applyFont="1" applyFill="1" applyBorder="1" applyAlignment="1">
      <alignment horizontal="center" vertical="center" shrinkToFit="1"/>
    </xf>
    <xf numFmtId="179" fontId="40" fillId="0" borderId="0" xfId="0" applyNumberFormat="1" applyFont="1" applyFill="1" applyBorder="1" applyAlignment="1">
      <alignment horizontal="center" vertical="center" shrinkToFit="1"/>
    </xf>
    <xf numFmtId="177" fontId="40" fillId="0" borderId="0" xfId="0" applyNumberFormat="1" applyFont="1" applyFill="1" applyBorder="1" applyAlignment="1">
      <alignment horizontal="center" vertical="center" shrinkToFit="1"/>
    </xf>
    <xf numFmtId="0" fontId="40" fillId="0" borderId="0" xfId="51" applyFont="1" applyFill="1" applyBorder="1" applyAlignment="1">
      <alignment horizontal="center" vertical="center" shrinkToFit="1"/>
    </xf>
    <xf numFmtId="0" fontId="75" fillId="4" borderId="0" xfId="51" applyFont="1" applyFill="1" applyBorder="1" applyAlignment="1">
      <alignment horizontal="center" vertical="center" shrinkToFit="1"/>
    </xf>
    <xf numFmtId="179" fontId="74" fillId="0" borderId="0" xfId="0" applyNumberFormat="1" applyFont="1" applyFill="1" applyBorder="1" applyAlignment="1">
      <alignment horizontal="center" vertical="center" shrinkToFit="1"/>
    </xf>
    <xf numFmtId="49" fontId="40" fillId="0" borderId="0" xfId="51" applyNumberFormat="1" applyFont="1" applyFill="1" applyBorder="1" applyAlignment="1">
      <alignment horizontal="center" vertical="center" shrinkToFit="1"/>
    </xf>
    <xf numFmtId="185" fontId="40" fillId="0" borderId="0" xfId="51" applyNumberFormat="1" applyFont="1" applyFill="1" applyBorder="1" applyAlignment="1">
      <alignment horizontal="center" vertical="center" shrinkToFit="1"/>
    </xf>
    <xf numFmtId="0" fontId="40" fillId="0" borderId="0" xfId="0" applyFont="1" applyFill="1" applyBorder="1" applyAlignment="1">
      <alignment horizontal="center" vertical="center"/>
    </xf>
    <xf numFmtId="0" fontId="73" fillId="0" borderId="0" xfId="0" applyFont="1" applyFill="1" applyAlignment="1">
      <alignment horizontal="center" vertical="center"/>
    </xf>
    <xf numFmtId="186" fontId="40" fillId="0" borderId="0" xfId="0" applyNumberFormat="1" applyFont="1" applyFill="1" applyBorder="1" applyAlignment="1">
      <alignment horizontal="center" vertical="center" shrinkToFit="1"/>
    </xf>
    <xf numFmtId="0" fontId="71" fillId="4" borderId="0" xfId="0" applyFont="1" applyFill="1" applyAlignment="1">
      <alignment horizontal="center" vertical="center"/>
    </xf>
    <xf numFmtId="0" fontId="76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182" fontId="22" fillId="0" borderId="0" xfId="0" applyNumberFormat="1" applyFont="1" applyFill="1" applyAlignment="1">
      <alignment horizontal="center" vertical="center"/>
    </xf>
    <xf numFmtId="181" fontId="23" fillId="0" borderId="0" xfId="0" applyNumberFormat="1" applyFont="1" applyFill="1" applyAlignment="1">
      <alignment horizontal="center" vertical="center"/>
    </xf>
    <xf numFmtId="49" fontId="22" fillId="0" borderId="0" xfId="0" applyNumberFormat="1" applyFont="1" applyFill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39" fillId="0" borderId="0" xfId="0" applyFont="1" applyFill="1" applyAlignment="1">
      <alignment horizontal="center" vertical="center"/>
    </xf>
    <xf numFmtId="183" fontId="72" fillId="4" borderId="1" xfId="0" applyNumberFormat="1" applyFont="1" applyFill="1" applyBorder="1" applyAlignment="1">
      <alignment horizontal="center" vertical="center" shrinkToFit="1"/>
    </xf>
    <xf numFmtId="182" fontId="71" fillId="4" borderId="1" xfId="0" applyNumberFormat="1" applyFont="1" applyFill="1" applyBorder="1" applyAlignment="1">
      <alignment horizontal="center" vertical="center"/>
    </xf>
    <xf numFmtId="181" fontId="71" fillId="4" borderId="1" xfId="0" applyNumberFormat="1" applyFont="1" applyFill="1" applyBorder="1" applyAlignment="1">
      <alignment horizontal="center" vertical="center" shrinkToFit="1"/>
    </xf>
    <xf numFmtId="49" fontId="71" fillId="4" borderId="1" xfId="0" applyNumberFormat="1" applyFont="1" applyFill="1" applyBorder="1" applyAlignment="1">
      <alignment horizontal="center" vertical="center" shrinkToFit="1"/>
    </xf>
    <xf numFmtId="183" fontId="77" fillId="4" borderId="1" xfId="0" applyNumberFormat="1" applyFont="1" applyFill="1" applyBorder="1" applyAlignment="1">
      <alignment horizontal="center" vertical="center" shrinkToFit="1"/>
    </xf>
    <xf numFmtId="0" fontId="72" fillId="4" borderId="1" xfId="0" applyFont="1" applyFill="1" applyBorder="1" applyAlignment="1">
      <alignment horizontal="center" vertical="center"/>
    </xf>
    <xf numFmtId="49" fontId="71" fillId="4" borderId="1" xfId="51" applyNumberFormat="1" applyFont="1" applyFill="1" applyBorder="1" applyAlignment="1">
      <alignment horizontal="center" vertical="center" shrinkToFit="1"/>
    </xf>
    <xf numFmtId="0" fontId="71" fillId="4" borderId="1" xfId="51" applyFont="1" applyFill="1" applyBorder="1" applyAlignment="1">
      <alignment horizontal="left" vertical="center" wrapText="1" shrinkToFit="1"/>
    </xf>
    <xf numFmtId="185" fontId="71" fillId="4" borderId="1" xfId="51" applyNumberFormat="1" applyFont="1" applyFill="1" applyBorder="1" applyAlignment="1">
      <alignment horizontal="center" vertical="center" shrinkToFit="1"/>
    </xf>
    <xf numFmtId="0" fontId="71" fillId="4" borderId="1" xfId="0" applyFont="1" applyFill="1" applyBorder="1" applyAlignment="1">
      <alignment horizontal="center" vertical="center"/>
    </xf>
    <xf numFmtId="58" fontId="71" fillId="4" borderId="1" xfId="0" applyNumberFormat="1" applyFont="1" applyFill="1" applyBorder="1" applyAlignment="1">
      <alignment horizontal="center" vertical="center"/>
    </xf>
    <xf numFmtId="0" fontId="41" fillId="0" borderId="0" xfId="51" applyFont="1" applyFill="1" applyBorder="1" applyAlignment="1">
      <alignment horizontal="center" vertical="center" shrinkToFit="1"/>
    </xf>
    <xf numFmtId="182" fontId="40" fillId="0" borderId="0" xfId="0" applyNumberFormat="1" applyFont="1" applyFill="1" applyAlignment="1">
      <alignment horizontal="center" vertical="center"/>
    </xf>
    <xf numFmtId="181" fontId="23" fillId="0" borderId="0" xfId="0" applyNumberFormat="1" applyFont="1" applyFill="1" applyBorder="1" applyAlignment="1">
      <alignment horizontal="center" vertical="center" shrinkToFit="1"/>
    </xf>
    <xf numFmtId="49" fontId="40" fillId="0" borderId="0" xfId="0" applyNumberFormat="1" applyFont="1" applyFill="1" applyBorder="1" applyAlignment="1" applyProtection="1">
      <alignment horizontal="center" vertical="center" shrinkToFit="1"/>
      <protection locked="0"/>
    </xf>
    <xf numFmtId="183" fontId="40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49" fontId="40" fillId="0" borderId="0" xfId="51" applyNumberFormat="1" applyFont="1" applyFill="1" applyBorder="1" applyAlignment="1" applyProtection="1">
      <alignment horizontal="center" vertical="center" shrinkToFit="1"/>
      <protection locked="0"/>
    </xf>
    <xf numFmtId="0" fontId="40" fillId="0" borderId="0" xfId="51" applyFont="1" applyFill="1" applyBorder="1" applyAlignment="1" applyProtection="1">
      <alignment horizontal="left" vertical="center" wrapText="1" shrinkToFit="1"/>
      <protection locked="0"/>
    </xf>
    <xf numFmtId="184" fontId="40" fillId="0" borderId="0" xfId="0" applyNumberFormat="1" applyFont="1" applyFill="1" applyBorder="1" applyAlignment="1">
      <alignment horizontal="center" vertical="center"/>
    </xf>
    <xf numFmtId="179" fontId="22" fillId="0" borderId="0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58" fontId="40" fillId="0" borderId="0" xfId="0" applyNumberFormat="1" applyFont="1" applyFill="1" applyBorder="1" applyAlignment="1">
      <alignment horizontal="center" vertical="center"/>
    </xf>
    <xf numFmtId="0" fontId="40" fillId="0" borderId="0" xfId="0" applyFont="1" applyFill="1" applyAlignment="1" applyProtection="1">
      <alignment horizontal="center" vertical="center"/>
      <protection locked="0"/>
    </xf>
    <xf numFmtId="182" fontId="22" fillId="0" borderId="0" xfId="0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 applyProtection="1">
      <alignment horizontal="center" vertical="center"/>
    </xf>
    <xf numFmtId="179" fontId="75" fillId="0" borderId="0" xfId="0" applyNumberFormat="1" applyFont="1" applyFill="1" applyBorder="1" applyAlignment="1">
      <alignment horizontal="center" vertical="center" shrinkToFit="1"/>
    </xf>
    <xf numFmtId="183" fontId="34" fillId="0" borderId="0" xfId="0" applyNumberFormat="1" applyFont="1" applyFill="1" applyBorder="1" applyAlignment="1">
      <alignment horizontal="center" vertical="center" shrinkToFit="1"/>
    </xf>
    <xf numFmtId="177" fontId="75" fillId="4" borderId="0" xfId="0" applyNumberFormat="1" applyFont="1" applyFill="1" applyBorder="1" applyAlignment="1">
      <alignment horizontal="center" vertical="center" shrinkToFit="1"/>
    </xf>
    <xf numFmtId="0" fontId="75" fillId="0" borderId="0" xfId="51" applyFont="1" applyFill="1" applyBorder="1" applyAlignment="1">
      <alignment horizontal="center" vertical="center" shrinkToFit="1"/>
    </xf>
    <xf numFmtId="0" fontId="31" fillId="0" borderId="0" xfId="51" applyFont="1" applyFill="1" applyBorder="1" applyAlignment="1">
      <alignment horizontal="center" vertical="center" shrinkToFit="1"/>
    </xf>
    <xf numFmtId="183" fontId="75" fillId="0" borderId="0" xfId="0" applyNumberFormat="1" applyFont="1" applyFill="1" applyBorder="1" applyAlignment="1">
      <alignment horizontal="center" vertical="center" shrinkToFit="1"/>
    </xf>
    <xf numFmtId="0" fontId="41" fillId="0" borderId="0" xfId="0" applyFont="1" applyFill="1" applyBorder="1" applyAlignment="1">
      <alignment horizontal="left"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6" xfId="0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/>
    </xf>
    <xf numFmtId="0" fontId="78" fillId="0" borderId="1" xfId="0" applyFont="1" applyFill="1" applyBorder="1" applyAlignment="1">
      <alignment horizontal="center" vertical="center"/>
    </xf>
    <xf numFmtId="0" fontId="79" fillId="0" borderId="6" xfId="0" applyFont="1" applyFill="1" applyBorder="1" applyAlignment="1">
      <alignment horizontal="center" vertical="center"/>
    </xf>
    <xf numFmtId="0" fontId="80" fillId="0" borderId="7" xfId="0" applyFont="1" applyFill="1" applyBorder="1" applyAlignment="1">
      <alignment horizontal="center" vertical="center"/>
    </xf>
    <xf numFmtId="0" fontId="81" fillId="0" borderId="1" xfId="0" applyFont="1" applyFill="1" applyBorder="1" applyAlignment="1">
      <alignment horizontal="center" vertical="center"/>
    </xf>
    <xf numFmtId="0" fontId="37" fillId="0" borderId="6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74" fillId="0" borderId="7" xfId="0" applyFont="1" applyFill="1" applyBorder="1" applyAlignment="1">
      <alignment horizontal="center" vertical="center"/>
    </xf>
    <xf numFmtId="180" fontId="31" fillId="0" borderId="0" xfId="53" applyNumberFormat="1" applyFont="1" applyFill="1" applyBorder="1" applyAlignment="1">
      <alignment horizontal="center" vertical="center"/>
    </xf>
    <xf numFmtId="180" fontId="31" fillId="0" borderId="0" xfId="53" applyNumberFormat="1" applyFont="1" applyFill="1" applyBorder="1" applyAlignment="1">
      <alignment horizontal="center" vertical="center" wrapText="1"/>
    </xf>
    <xf numFmtId="180" fontId="31" fillId="0" borderId="0" xfId="53" applyNumberFormat="1" applyFont="1" applyFill="1" applyBorder="1" applyAlignment="1">
      <alignment horizontal="left" vertical="center"/>
    </xf>
    <xf numFmtId="0" fontId="31" fillId="0" borderId="0" xfId="53" applyFont="1" applyFill="1" applyBorder="1" applyAlignment="1">
      <alignment horizontal="center" vertical="center"/>
    </xf>
    <xf numFmtId="182" fontId="31" fillId="0" borderId="0" xfId="53" applyNumberFormat="1" applyFont="1" applyFill="1" applyBorder="1" applyAlignment="1">
      <alignment horizontal="center" vertical="center"/>
    </xf>
    <xf numFmtId="181" fontId="82" fillId="0" borderId="0" xfId="53" applyNumberFormat="1" applyFont="1" applyFill="1" applyBorder="1" applyAlignment="1">
      <alignment horizontal="center" vertical="center"/>
    </xf>
    <xf numFmtId="49" fontId="31" fillId="0" borderId="0" xfId="53" applyNumberFormat="1" applyFont="1" applyFill="1" applyBorder="1" applyAlignment="1" applyProtection="1">
      <alignment horizontal="center" vertical="center"/>
      <protection locked="0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31" fillId="0" borderId="0" xfId="53" applyFont="1" applyFill="1" applyBorder="1" applyAlignment="1" applyProtection="1">
      <alignment horizontal="center" vertical="center"/>
      <protection locked="0"/>
    </xf>
    <xf numFmtId="0" fontId="75" fillId="0" borderId="0" xfId="51" applyFont="1" applyFill="1" applyBorder="1" applyAlignment="1" applyProtection="1">
      <alignment horizontal="left" vertical="center" wrapText="1" shrinkToFit="1"/>
      <protection locked="0"/>
    </xf>
    <xf numFmtId="0" fontId="83" fillId="0" borderId="0" xfId="53" applyFont="1" applyFill="1" applyBorder="1" applyAlignment="1">
      <alignment horizontal="center" vertical="center"/>
    </xf>
    <xf numFmtId="0" fontId="31" fillId="0" borderId="0" xfId="53" applyFont="1" applyFill="1" applyBorder="1" applyAlignment="1">
      <alignment horizontal="center" vertical="center" wrapText="1"/>
    </xf>
    <xf numFmtId="183" fontId="69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31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23" fillId="0" borderId="0" xfId="0" applyNumberFormat="1" applyFont="1" applyFill="1" applyBorder="1" applyAlignment="1">
      <alignment horizontal="center" vertical="center" shrinkToFit="1"/>
    </xf>
    <xf numFmtId="183" fontId="76" fillId="0" borderId="0" xfId="0" applyNumberFormat="1" applyFont="1" applyFill="1" applyBorder="1" applyAlignment="1">
      <alignment vertical="center" shrinkToFit="1"/>
    </xf>
    <xf numFmtId="0" fontId="23" fillId="0" borderId="0" xfId="51" applyFont="1" applyFill="1" applyBorder="1" applyAlignment="1">
      <alignment horizontal="center" vertical="center" shrinkToFit="1"/>
    </xf>
    <xf numFmtId="0" fontId="76" fillId="0" borderId="0" xfId="51" applyFont="1" applyFill="1" applyBorder="1" applyAlignment="1">
      <alignment vertical="center" shrinkToFit="1"/>
    </xf>
    <xf numFmtId="182" fontId="76" fillId="0" borderId="0" xfId="0" applyNumberFormat="1" applyFont="1" applyFill="1" applyBorder="1" applyAlignment="1">
      <alignment vertical="center"/>
    </xf>
    <xf numFmtId="181" fontId="23" fillId="0" borderId="0" xfId="0" applyNumberFormat="1" applyFont="1" applyFill="1" applyBorder="1" applyAlignment="1">
      <alignment vertical="center" shrinkToFit="1"/>
    </xf>
    <xf numFmtId="49" fontId="76" fillId="0" borderId="0" xfId="0" applyNumberFormat="1" applyFont="1" applyFill="1" applyBorder="1" applyAlignment="1" applyProtection="1">
      <alignment vertical="center" shrinkToFit="1"/>
      <protection locked="0"/>
    </xf>
    <xf numFmtId="183" fontId="76" fillId="0" borderId="0" xfId="0" applyNumberFormat="1" applyFont="1" applyFill="1" applyBorder="1" applyAlignment="1" applyProtection="1">
      <alignment vertical="center" shrinkToFit="1"/>
      <protection locked="0"/>
    </xf>
    <xf numFmtId="0" fontId="76" fillId="0" borderId="0" xfId="0" applyFont="1" applyFill="1" applyBorder="1" applyAlignment="1" applyProtection="1">
      <alignment vertical="center"/>
      <protection locked="0"/>
    </xf>
    <xf numFmtId="49" fontId="76" fillId="0" borderId="0" xfId="51" applyNumberFormat="1" applyFont="1" applyFill="1" applyBorder="1" applyAlignment="1" applyProtection="1">
      <alignment vertical="center" shrinkToFit="1"/>
      <protection locked="0"/>
    </xf>
    <xf numFmtId="0" fontId="76" fillId="0" borderId="0" xfId="51" applyFont="1" applyFill="1" applyBorder="1" applyAlignment="1" applyProtection="1">
      <alignment horizontal="left" vertical="center" wrapText="1" shrinkToFit="1"/>
      <protection locked="0"/>
    </xf>
    <xf numFmtId="0" fontId="76" fillId="0" borderId="0" xfId="0" applyFont="1" applyFill="1" applyBorder="1" applyAlignment="1">
      <alignment vertical="center"/>
    </xf>
    <xf numFmtId="185" fontId="23" fillId="0" borderId="0" xfId="51" applyNumberFormat="1" applyFont="1" applyFill="1" applyBorder="1" applyAlignment="1">
      <alignment horizontal="center" vertical="center" shrinkToFit="1"/>
    </xf>
    <xf numFmtId="184" fontId="23" fillId="0" borderId="0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vertical="center"/>
    </xf>
    <xf numFmtId="58" fontId="76" fillId="0" borderId="0" xfId="0" applyNumberFormat="1" applyFont="1" applyFill="1" applyBorder="1" applyAlignment="1">
      <alignment vertical="center"/>
    </xf>
    <xf numFmtId="0" fontId="76" fillId="0" borderId="0" xfId="0" applyFont="1" applyFill="1" applyAlignment="1" applyProtection="1">
      <alignment vertical="center"/>
      <protection locked="0"/>
    </xf>
    <xf numFmtId="185" fontId="76" fillId="0" borderId="0" xfId="51" applyNumberFormat="1" applyFont="1" applyFill="1" applyBorder="1" applyAlignment="1">
      <alignment vertical="center" shrinkToFit="1"/>
    </xf>
    <xf numFmtId="183" fontId="23" fillId="0" borderId="0" xfId="0" applyNumberFormat="1" applyFont="1" applyFill="1" applyBorder="1" applyAlignment="1">
      <alignment vertical="center" shrinkToFit="1"/>
    </xf>
    <xf numFmtId="0" fontId="23" fillId="0" borderId="0" xfId="51" applyFont="1" applyFill="1" applyBorder="1" applyAlignment="1">
      <alignment vertical="center" shrinkToFit="1"/>
    </xf>
    <xf numFmtId="3" fontId="23" fillId="0" borderId="0" xfId="51" applyNumberFormat="1" applyFont="1" applyFill="1" applyBorder="1" applyAlignment="1">
      <alignment vertical="center" shrinkToFit="1"/>
    </xf>
    <xf numFmtId="182" fontId="23" fillId="0" borderId="0" xfId="0" applyNumberFormat="1" applyFont="1" applyFill="1" applyBorder="1" applyAlignment="1">
      <alignment vertical="center"/>
    </xf>
    <xf numFmtId="49" fontId="23" fillId="0" borderId="0" xfId="0" applyNumberFormat="1" applyFont="1" applyFill="1" applyBorder="1" applyAlignment="1" applyProtection="1">
      <alignment vertical="center" shrinkToFit="1"/>
      <protection locked="0"/>
    </xf>
    <xf numFmtId="183" fontId="23" fillId="0" borderId="0" xfId="0" applyNumberFormat="1" applyFont="1" applyFill="1" applyBorder="1" applyAlignment="1" applyProtection="1">
      <alignment vertical="center" shrinkToFit="1"/>
      <protection locked="0"/>
    </xf>
    <xf numFmtId="0" fontId="23" fillId="0" borderId="0" xfId="0" applyFont="1" applyFill="1" applyBorder="1" applyAlignment="1" applyProtection="1">
      <alignment vertical="center"/>
      <protection locked="0"/>
    </xf>
    <xf numFmtId="49" fontId="23" fillId="0" borderId="0" xfId="51" applyNumberFormat="1" applyFont="1" applyFill="1" applyBorder="1" applyAlignment="1" applyProtection="1">
      <alignment vertical="center" shrinkToFit="1"/>
      <protection locked="0"/>
    </xf>
    <xf numFmtId="0" fontId="23" fillId="0" borderId="0" xfId="51" applyFont="1" applyFill="1" applyBorder="1" applyAlignment="1" applyProtection="1">
      <alignment horizontal="left" vertical="center" wrapText="1" shrinkToFit="1"/>
      <protection locked="0"/>
    </xf>
    <xf numFmtId="0" fontId="23" fillId="0" borderId="0" xfId="0" applyFont="1" applyFill="1" applyBorder="1" applyAlignment="1">
      <alignment vertical="center"/>
    </xf>
    <xf numFmtId="185" fontId="23" fillId="0" borderId="0" xfId="51" applyNumberFormat="1" applyFont="1" applyFill="1" applyBorder="1" applyAlignment="1">
      <alignment vertical="center" shrinkToFit="1"/>
    </xf>
    <xf numFmtId="184" fontId="23" fillId="0" borderId="0" xfId="0" applyNumberFormat="1" applyFont="1" applyFill="1" applyBorder="1" applyAlignment="1">
      <alignment vertical="center"/>
    </xf>
    <xf numFmtId="0" fontId="23" fillId="0" borderId="0" xfId="0" applyFont="1" applyFill="1" applyAlignment="1" applyProtection="1">
      <alignment vertical="center"/>
      <protection locked="0"/>
    </xf>
    <xf numFmtId="183" fontId="40" fillId="0" borderId="0" xfId="0" applyNumberFormat="1" applyFont="1" applyFill="1" applyBorder="1" applyAlignment="1">
      <alignment vertical="center" shrinkToFit="1"/>
    </xf>
    <xf numFmtId="0" fontId="40" fillId="0" borderId="0" xfId="51" applyFont="1" applyFill="1" applyBorder="1" applyAlignment="1">
      <alignment vertical="center" shrinkToFit="1"/>
    </xf>
    <xf numFmtId="182" fontId="22" fillId="0" borderId="0" xfId="0" applyNumberFormat="1" applyFont="1" applyFill="1" applyBorder="1" applyAlignment="1">
      <alignment vertical="center"/>
    </xf>
    <xf numFmtId="49" fontId="40" fillId="0" borderId="0" xfId="0" applyNumberFormat="1" applyFont="1" applyFill="1" applyBorder="1" applyAlignment="1" applyProtection="1">
      <alignment vertical="center" shrinkToFit="1"/>
      <protection locked="0"/>
    </xf>
    <xf numFmtId="183" fontId="40" fillId="0" borderId="0" xfId="0" applyNumberFormat="1" applyFont="1" applyFill="1" applyBorder="1" applyAlignment="1" applyProtection="1">
      <alignment vertical="center" shrinkToFit="1"/>
      <protection locked="0"/>
    </xf>
    <xf numFmtId="0" fontId="22" fillId="0" borderId="0" xfId="0" applyFont="1" applyFill="1" applyBorder="1" applyAlignment="1" applyProtection="1">
      <alignment vertical="center"/>
      <protection locked="0"/>
    </xf>
    <xf numFmtId="49" fontId="40" fillId="0" borderId="0" xfId="51" applyNumberFormat="1" applyFont="1" applyFill="1" applyBorder="1" applyAlignment="1" applyProtection="1">
      <alignment vertical="center" shrinkToFit="1"/>
      <protection locked="0"/>
    </xf>
    <xf numFmtId="0" fontId="22" fillId="0" borderId="0" xfId="0" applyFont="1" applyFill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0" fontId="22" fillId="0" borderId="0" xfId="0" applyFont="1" applyFill="1" applyAlignment="1" applyProtection="1">
      <alignment vertical="center"/>
      <protection locked="0"/>
    </xf>
    <xf numFmtId="3" fontId="40" fillId="0" borderId="0" xfId="51" applyNumberFormat="1" applyFont="1" applyFill="1" applyBorder="1" applyAlignment="1">
      <alignment vertical="center" shrinkToFit="1"/>
    </xf>
    <xf numFmtId="185" fontId="40" fillId="0" borderId="0" xfId="51" applyNumberFormat="1" applyFont="1" applyFill="1" applyBorder="1" applyAlignment="1">
      <alignment vertical="center" shrinkToFit="1"/>
    </xf>
    <xf numFmtId="0" fontId="73" fillId="0" borderId="0" xfId="0" applyFont="1" applyFill="1" applyBorder="1" applyAlignment="1">
      <alignment vertical="center"/>
    </xf>
    <xf numFmtId="185" fontId="74" fillId="0" borderId="0" xfId="51" applyNumberFormat="1" applyFont="1" applyFill="1" applyBorder="1" applyAlignment="1">
      <alignment vertical="center" shrinkToFit="1"/>
    </xf>
    <xf numFmtId="179" fontId="74" fillId="0" borderId="0" xfId="0" applyNumberFormat="1" applyFont="1" applyFill="1" applyBorder="1" applyAlignment="1">
      <alignment vertical="center"/>
    </xf>
    <xf numFmtId="0" fontId="73" fillId="0" borderId="0" xfId="0" applyFont="1" applyFill="1" applyAlignment="1">
      <alignment vertical="center"/>
    </xf>
    <xf numFmtId="0" fontId="84" fillId="0" borderId="0" xfId="0" applyFont="1" applyFill="1" applyBorder="1" applyAlignment="1">
      <alignment horizontal="left" vertical="center"/>
    </xf>
    <xf numFmtId="0" fontId="85" fillId="0" borderId="0" xfId="0" applyFont="1" applyFill="1" applyAlignment="1">
      <alignment horizontal="center" vertical="center"/>
    </xf>
    <xf numFmtId="58" fontId="0" fillId="0" borderId="0" xfId="0" applyNumberFormat="1" applyFill="1" applyAlignment="1">
      <alignment vertical="center"/>
    </xf>
    <xf numFmtId="188" fontId="0" fillId="0" borderId="0" xfId="0" applyNumberForma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58" fontId="87" fillId="0" borderId="0" xfId="0" applyNumberFormat="1" applyFont="1" applyFill="1" applyBorder="1" applyAlignment="1">
      <alignment horizontal="left" vertical="center"/>
    </xf>
    <xf numFmtId="0" fontId="87" fillId="0" borderId="0" xfId="0" applyFont="1" applyFill="1" applyBorder="1" applyAlignment="1">
      <alignment horizontal="left" vertical="center"/>
    </xf>
    <xf numFmtId="0" fontId="87" fillId="0" borderId="0" xfId="0" applyFont="1" applyFill="1" applyBorder="1" applyAlignment="1">
      <alignment horizontal="center" vertical="center"/>
    </xf>
    <xf numFmtId="188" fontId="87" fillId="0" borderId="0" xfId="0" applyNumberFormat="1" applyFont="1" applyFill="1" applyBorder="1" applyAlignment="1">
      <alignment horizontal="center" vertical="center"/>
    </xf>
    <xf numFmtId="0" fontId="88" fillId="5" borderId="0" xfId="0" applyFont="1" applyFill="1" applyBorder="1" applyAlignment="1">
      <alignment horizontal="center" vertical="center"/>
    </xf>
    <xf numFmtId="190" fontId="89" fillId="0" borderId="0" xfId="0" applyNumberFormat="1" applyFont="1" applyFill="1" applyBorder="1" applyAlignment="1">
      <alignment horizontal="center" vertical="center"/>
    </xf>
    <xf numFmtId="188" fontId="85" fillId="0" borderId="0" xfId="0" applyNumberFormat="1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1年华登制品HK应收未收" xfId="49"/>
    <cellStyle name="常规_Sheet2" xfId="50"/>
    <cellStyle name="常规_排期" xfId="51"/>
    <cellStyle name="常规_KEENWAY" xfId="52"/>
    <cellStyle name="常规_评审表" xfId="53"/>
    <cellStyle name="常规_小精灵排期" xfId="54"/>
    <cellStyle name="样式 1" xfId="55"/>
  </cellStyles>
  <tableStyles count="0" defaultTableStyle="TableStyleMedium2" defaultPivotStyle="PivotStyleLight16"/>
  <colors>
    <mruColors>
      <color rgb="001D41D5"/>
      <color rgb="00E82EE6"/>
      <color rgb="0092D050"/>
      <color rgb="00401CFA"/>
      <color rgb="003F19FD"/>
      <color rgb="002823F3"/>
      <color rgb="00000000"/>
      <color rgb="00FFFF00"/>
      <color rgb="00FF00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4" dbFileVersion="0" changeLogVersion="0">
    <open main="69" threadCnt="1"/>
    <sheetInfos>
      <sheetInfo cellCmpFml="0" sheetStid="13">
        <open threadCnt="1"/>
      </sheetInfo>
      <sheetInfo cellCmpFml="19" sheetStid="1">
        <open main="9" threadCnt="1"/>
      </sheetInfo>
      <sheetInfo cellCmpFml="11" sheetStid="12">
        <open main="1" threadCnt="1"/>
      </sheetInfo>
      <sheetInfo cellCmpFml="8" sheetStid="11">
        <open threadCnt="1"/>
      </sheetInfo>
      <sheetInfo cellCmpFml="3" sheetStid="14">
        <open main="1" threadCnt="1"/>
      </sheetInfo>
      <sheetInfo cellCmpFml="0" sheetStid="15">
        <open threadCnt="1"/>
      </sheetInfo>
      <sheetInfo cellCmpFml="3" sheetStid="9">
        <open threadCnt="1"/>
      </sheetInfo>
      <sheetInfo cellCmpFml="17" sheetStid="10">
        <open threadCnt="1"/>
      </sheetInfo>
      <sheetInfo cellCmpFml="0" sheetStid="5">
        <open threadCnt="1"/>
      </sheetInfo>
      <sheetInfo cellCmpFml="13" sheetStid="7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woinfos" Target="woinfos.xml"/><Relationship Id="rId16" Type="http://schemas.openxmlformats.org/officeDocument/2006/relationships/styles" Target="styles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I36"/>
  <sheetViews>
    <sheetView workbookViewId="0">
      <pane ySplit="1" topLeftCell="A2" activePane="bottomLeft" state="frozen"/>
      <selection/>
      <selection pane="bottomLeft" activeCell="F24" sqref="F24"/>
    </sheetView>
  </sheetViews>
  <sheetFormatPr defaultColWidth="9" defaultRowHeight="13.5"/>
  <cols>
    <col min="1" max="1" width="12.625" style="447" customWidth="1"/>
    <col min="2" max="2" width="11" style="39" customWidth="1"/>
    <col min="3" max="3" width="6.25" style="39" customWidth="1"/>
    <col min="4" max="4" width="48.625" style="39" customWidth="1"/>
    <col min="5" max="5" width="7.75" style="39" customWidth="1"/>
    <col min="6" max="6" width="10.75" style="448" customWidth="1"/>
    <col min="7" max="7" width="10.125" style="448" customWidth="1"/>
    <col min="8" max="8" width="12.875" style="448" customWidth="1"/>
    <col min="9" max="9" width="15.5083333333333" style="449" customWidth="1"/>
    <col min="10" max="16384" width="9" style="39"/>
  </cols>
  <sheetData>
    <row r="1" s="445" customFormat="1" ht="24" customHeight="1" spans="1:9">
      <c r="A1" s="450" t="s">
        <v>0</v>
      </c>
      <c r="B1" s="451" t="s">
        <v>1</v>
      </c>
      <c r="C1" s="452" t="s">
        <v>2</v>
      </c>
      <c r="D1" s="452" t="s">
        <v>3</v>
      </c>
      <c r="E1" s="452" t="s">
        <v>4</v>
      </c>
      <c r="F1" s="453" t="s">
        <v>5</v>
      </c>
      <c r="G1" s="453" t="s">
        <v>6</v>
      </c>
      <c r="H1" s="453" t="s">
        <v>7</v>
      </c>
      <c r="I1" s="454" t="s">
        <v>8</v>
      </c>
    </row>
    <row r="2" s="446" customFormat="1" spans="1:9">
      <c r="A2" s="455"/>
      <c r="F2" s="456"/>
      <c r="G2" s="456"/>
      <c r="H2" s="456"/>
      <c r="I2" s="457"/>
    </row>
    <row r="3" s="446" customFormat="1" spans="1:9">
      <c r="A3" s="455"/>
      <c r="F3" s="456"/>
      <c r="G3" s="456"/>
      <c r="H3" s="456"/>
      <c r="I3" s="457"/>
    </row>
    <row r="4" s="446" customFormat="1" spans="1:9">
      <c r="A4" s="455"/>
      <c r="F4" s="456"/>
      <c r="G4" s="456"/>
      <c r="H4" s="456"/>
      <c r="I4" s="457"/>
    </row>
    <row r="5" s="446" customFormat="1" spans="1:9">
      <c r="A5" s="455"/>
      <c r="F5" s="456"/>
      <c r="G5" s="456"/>
      <c r="H5" s="456"/>
      <c r="I5" s="457"/>
    </row>
    <row r="6" s="446" customFormat="1" spans="1:9">
      <c r="A6" s="455"/>
      <c r="F6" s="456"/>
      <c r="G6" s="456"/>
      <c r="H6" s="456"/>
      <c r="I6" s="457"/>
    </row>
    <row r="7" s="446" customFormat="1" spans="1:9">
      <c r="A7" s="455"/>
      <c r="F7" s="456"/>
      <c r="G7" s="456"/>
      <c r="H7" s="456"/>
      <c r="I7" s="457"/>
    </row>
    <row r="8" s="446" customFormat="1" spans="1:9">
      <c r="A8" s="455"/>
      <c r="F8" s="456"/>
      <c r="G8" s="456"/>
      <c r="H8" s="456"/>
      <c r="I8" s="457"/>
    </row>
    <row r="9" s="446" customFormat="1" spans="1:9">
      <c r="A9" s="455"/>
      <c r="F9" s="456"/>
      <c r="G9" s="456"/>
      <c r="H9" s="456"/>
      <c r="I9" s="457"/>
    </row>
    <row r="10" s="446" customFormat="1" spans="1:9">
      <c r="A10" s="455"/>
      <c r="F10" s="456"/>
      <c r="G10" s="456"/>
      <c r="H10" s="456"/>
      <c r="I10" s="457"/>
    </row>
    <row r="11" s="446" customFormat="1" spans="1:9">
      <c r="A11" s="455"/>
      <c r="F11" s="456"/>
      <c r="G11" s="456"/>
      <c r="H11" s="456"/>
      <c r="I11" s="457"/>
    </row>
    <row r="12" s="446" customFormat="1" spans="1:9">
      <c r="A12" s="455"/>
      <c r="F12" s="456"/>
      <c r="G12" s="456"/>
      <c r="H12" s="456"/>
      <c r="I12" s="457"/>
    </row>
    <row r="13" s="446" customFormat="1" spans="1:9">
      <c r="A13" s="455"/>
      <c r="F13" s="456"/>
      <c r="G13" s="456"/>
      <c r="H13" s="456"/>
      <c r="I13" s="457"/>
    </row>
    <row r="14" s="446" customFormat="1" spans="1:9">
      <c r="A14" s="455"/>
      <c r="F14" s="456"/>
      <c r="G14" s="456"/>
      <c r="H14" s="456"/>
      <c r="I14" s="457"/>
    </row>
    <row r="15" s="446" customFormat="1" spans="1:9">
      <c r="A15" s="455"/>
      <c r="F15" s="456"/>
      <c r="G15" s="456"/>
      <c r="H15" s="456"/>
      <c r="I15" s="457"/>
    </row>
    <row r="16" s="446" customFormat="1" spans="1:9">
      <c r="A16" s="455"/>
      <c r="F16" s="456"/>
      <c r="G16" s="456"/>
      <c r="H16" s="456"/>
      <c r="I16" s="457"/>
    </row>
    <row r="17" s="446" customFormat="1" spans="1:9">
      <c r="A17" s="455"/>
      <c r="F17" s="456"/>
      <c r="G17" s="456"/>
      <c r="H17" s="456"/>
      <c r="I17" s="457"/>
    </row>
    <row r="18" s="446" customFormat="1" spans="1:9">
      <c r="A18" s="455"/>
      <c r="F18" s="456"/>
      <c r="G18" s="456"/>
      <c r="H18" s="456"/>
      <c r="I18" s="457"/>
    </row>
    <row r="19" s="446" customFormat="1" spans="1:9">
      <c r="A19" s="455"/>
      <c r="F19" s="456"/>
      <c r="G19" s="456"/>
      <c r="H19" s="456"/>
      <c r="I19" s="457"/>
    </row>
    <row r="20" s="446" customFormat="1" spans="1:9">
      <c r="A20" s="455"/>
      <c r="F20" s="456"/>
      <c r="G20" s="456"/>
      <c r="H20" s="456"/>
      <c r="I20" s="457"/>
    </row>
    <row r="21" s="446" customFormat="1" spans="1:9">
      <c r="A21" s="455"/>
      <c r="F21" s="456"/>
      <c r="G21" s="456"/>
      <c r="H21" s="456"/>
      <c r="I21" s="457"/>
    </row>
    <row r="22" s="446" customFormat="1" spans="1:9">
      <c r="A22" s="455"/>
      <c r="F22" s="456"/>
      <c r="G22" s="456"/>
      <c r="H22" s="456"/>
      <c r="I22" s="457"/>
    </row>
    <row r="23" s="446" customFormat="1" spans="1:9">
      <c r="A23" s="455"/>
      <c r="F23" s="456"/>
      <c r="G23" s="456"/>
      <c r="H23" s="456"/>
      <c r="I23" s="457"/>
    </row>
    <row r="24" s="446" customFormat="1" spans="1:9">
      <c r="A24" s="455"/>
      <c r="F24" s="456"/>
      <c r="G24" s="456"/>
      <c r="H24" s="456"/>
      <c r="I24" s="457"/>
    </row>
    <row r="25" s="446" customFormat="1" spans="1:9">
      <c r="A25" s="455"/>
      <c r="F25" s="456"/>
      <c r="G25" s="456"/>
      <c r="H25" s="456"/>
      <c r="I25" s="457"/>
    </row>
    <row r="26" s="446" customFormat="1" spans="1:9">
      <c r="A26" s="455"/>
      <c r="F26" s="456"/>
      <c r="G26" s="456"/>
      <c r="H26" s="456"/>
      <c r="I26" s="457"/>
    </row>
    <row r="27" s="446" customFormat="1" spans="1:9">
      <c r="A27" s="455"/>
      <c r="F27" s="456"/>
      <c r="G27" s="456"/>
      <c r="H27" s="456"/>
      <c r="I27" s="457"/>
    </row>
    <row r="28" s="446" customFormat="1" spans="1:9">
      <c r="A28" s="455"/>
      <c r="F28" s="456"/>
      <c r="G28" s="456"/>
      <c r="H28" s="456"/>
      <c r="I28" s="457"/>
    </row>
    <row r="29" s="446" customFormat="1" spans="1:9">
      <c r="A29" s="455"/>
      <c r="F29" s="456"/>
      <c r="G29" s="456"/>
      <c r="H29" s="456"/>
      <c r="I29" s="457"/>
    </row>
    <row r="30" s="446" customFormat="1" spans="1:9">
      <c r="A30" s="455"/>
      <c r="F30" s="456"/>
      <c r="G30" s="456"/>
      <c r="H30" s="456"/>
      <c r="I30" s="457"/>
    </row>
    <row r="31" s="446" customFormat="1" spans="1:9">
      <c r="A31" s="455"/>
      <c r="F31" s="456"/>
      <c r="G31" s="456"/>
      <c r="H31" s="456"/>
      <c r="I31" s="457"/>
    </row>
    <row r="32" s="446" customFormat="1" spans="1:9">
      <c r="A32" s="455"/>
      <c r="F32" s="456"/>
      <c r="G32" s="456"/>
      <c r="H32" s="456"/>
      <c r="I32" s="457"/>
    </row>
    <row r="33" s="446" customFormat="1" spans="1:9">
      <c r="A33" s="455"/>
      <c r="F33" s="456"/>
      <c r="G33" s="456"/>
      <c r="H33" s="456"/>
      <c r="I33" s="457"/>
    </row>
    <row r="34" s="446" customFormat="1" spans="1:9">
      <c r="A34" s="455"/>
      <c r="F34" s="456"/>
      <c r="G34" s="456"/>
      <c r="H34" s="456"/>
      <c r="I34" s="457"/>
    </row>
    <row r="35" s="446" customFormat="1" spans="1:9">
      <c r="A35" s="455"/>
      <c r="F35" s="456"/>
      <c r="G35" s="456"/>
      <c r="H35" s="456"/>
      <c r="I35" s="457"/>
    </row>
    <row r="36" s="446" customFormat="1" spans="1:9">
      <c r="A36" s="455"/>
      <c r="F36" s="456"/>
      <c r="G36" s="456"/>
      <c r="H36" s="456"/>
      <c r="I36" s="45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36" etc:filterBottomFollowUsedRange="0">
    <sortState ref="A1:I36">
      <sortCondition ref="I1"/>
    </sortState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78"/>
  <sheetViews>
    <sheetView zoomScale="70" zoomScaleNormal="70" workbookViewId="0">
      <pane ySplit="1" topLeftCell="A2" activePane="bottomLeft" state="frozen"/>
      <selection/>
      <selection pane="bottomLeft" activeCell="G4" sqref="G4"/>
    </sheetView>
  </sheetViews>
  <sheetFormatPr defaultColWidth="9" defaultRowHeight="35" customHeight="1"/>
  <cols>
    <col min="1" max="1" width="19.6333333333333" style="60" customWidth="1"/>
    <col min="2" max="2" width="13.7416666666667" style="60" customWidth="1"/>
    <col min="3" max="3" width="14.2833333333333" style="60" customWidth="1"/>
    <col min="4" max="4" width="37.675" style="60" customWidth="1"/>
    <col min="5" max="5" width="19" style="288" customWidth="1"/>
    <col min="6" max="6" width="21.9666666666667" style="60" customWidth="1"/>
    <col min="7" max="7" width="18.3916666666667" style="60" customWidth="1"/>
    <col min="8" max="9" width="11.95" style="60" customWidth="1"/>
    <col min="10" max="10" width="7.38333333333333" style="60" customWidth="1"/>
    <col min="11" max="11" width="10.5083333333333" style="333" customWidth="1"/>
    <col min="12" max="12" width="21.2833333333333" style="60" customWidth="1"/>
    <col min="13" max="13" width="16.1583333333333" style="334" customWidth="1"/>
    <col min="14" max="14" width="14.2833333333333" style="335" customWidth="1"/>
    <col min="15" max="15" width="16.9666666666667" style="60" customWidth="1"/>
    <col min="16" max="18" width="9.40833333333333" style="336" customWidth="1"/>
    <col min="19" max="19" width="14.6" style="336" customWidth="1"/>
    <col min="20" max="20" width="72.775" style="337" customWidth="1"/>
    <col min="21" max="21" width="15.225" style="60" customWidth="1"/>
    <col min="22" max="22" width="15.35" style="60" customWidth="1"/>
    <col min="23" max="23" width="15.9" style="60" customWidth="1"/>
    <col min="24" max="24" width="6.95" style="60" customWidth="1"/>
    <col min="25" max="25" width="17.3416666666667" style="60" customWidth="1"/>
    <col min="26" max="26" width="17.3416666666667" style="338" customWidth="1"/>
    <col min="27" max="27" width="17.2666666666667" style="60" customWidth="1"/>
    <col min="28" max="28" width="5.25833333333333" style="60" customWidth="1"/>
    <col min="29" max="32" width="9" style="336" customWidth="1"/>
    <col min="33" max="34" width="6.89166666666667" style="336" customWidth="1"/>
    <col min="35" max="35" width="9" style="336" customWidth="1"/>
    <col min="36" max="39" width="15.55" style="60" customWidth="1"/>
    <col min="40" max="40" width="15.0333333333333" style="60" customWidth="1"/>
    <col min="41" max="16383" width="9" style="60" customWidth="1"/>
    <col min="16384" max="16384" width="9" style="60"/>
  </cols>
  <sheetData>
    <row r="1" s="58" customFormat="1" ht="42" customHeight="1" spans="1:35">
      <c r="A1" s="74" t="s">
        <v>9</v>
      </c>
      <c r="B1" s="75" t="s">
        <v>10</v>
      </c>
      <c r="C1" s="74" t="s">
        <v>11</v>
      </c>
      <c r="D1" s="74" t="s">
        <v>12</v>
      </c>
      <c r="E1" s="77" t="s">
        <v>13</v>
      </c>
      <c r="F1" s="77" t="s">
        <v>14</v>
      </c>
      <c r="G1" s="78" t="s">
        <v>15</v>
      </c>
      <c r="H1" s="78" t="s">
        <v>4</v>
      </c>
      <c r="I1" s="79" t="s">
        <v>16</v>
      </c>
      <c r="J1" s="79" t="s">
        <v>17</v>
      </c>
      <c r="K1" s="80" t="s">
        <v>18</v>
      </c>
      <c r="L1" s="78" t="s">
        <v>19</v>
      </c>
      <c r="M1" s="81" t="s">
        <v>20</v>
      </c>
      <c r="N1" s="82" t="s">
        <v>21</v>
      </c>
      <c r="O1" s="78" t="s">
        <v>22</v>
      </c>
      <c r="P1" s="83" t="s">
        <v>23</v>
      </c>
      <c r="Q1" s="83" t="s">
        <v>24</v>
      </c>
      <c r="R1" s="83" t="s">
        <v>25</v>
      </c>
      <c r="S1" s="84" t="s">
        <v>26</v>
      </c>
      <c r="T1" s="85" t="s">
        <v>27</v>
      </c>
      <c r="U1" s="78" t="s">
        <v>28</v>
      </c>
      <c r="V1" s="78" t="s">
        <v>29</v>
      </c>
      <c r="W1" s="78" t="s">
        <v>30</v>
      </c>
      <c r="X1" s="79" t="s">
        <v>31</v>
      </c>
      <c r="Y1" s="86" t="s">
        <v>32</v>
      </c>
      <c r="Z1" s="87" t="s">
        <v>27</v>
      </c>
      <c r="AA1" s="78" t="s">
        <v>33</v>
      </c>
      <c r="AB1" s="79" t="s">
        <v>34</v>
      </c>
      <c r="AC1" s="88" t="s">
        <v>35</v>
      </c>
      <c r="AD1" s="88" t="s">
        <v>36</v>
      </c>
      <c r="AE1" s="88" t="s">
        <v>37</v>
      </c>
      <c r="AF1" s="88" t="s">
        <v>38</v>
      </c>
      <c r="AG1" s="88" t="s">
        <v>39</v>
      </c>
      <c r="AH1" s="88" t="s">
        <v>40</v>
      </c>
      <c r="AI1" s="89" t="s">
        <v>41</v>
      </c>
    </row>
    <row r="2" s="59" customFormat="1" ht="29" customHeight="1" spans="1:35">
      <c r="A2" s="90">
        <v>46017</v>
      </c>
      <c r="B2" s="90"/>
      <c r="C2" s="91" t="s">
        <v>42</v>
      </c>
      <c r="D2" s="92" t="s">
        <v>43</v>
      </c>
      <c r="E2" s="92" t="s">
        <v>44</v>
      </c>
      <c r="F2" s="92">
        <v>167006</v>
      </c>
      <c r="G2" s="276" t="s">
        <v>45</v>
      </c>
      <c r="H2" s="93">
        <v>5004</v>
      </c>
      <c r="I2" s="92">
        <v>4</v>
      </c>
      <c r="J2" s="92">
        <v>12</v>
      </c>
      <c r="K2" s="94">
        <v>417</v>
      </c>
      <c r="L2" s="90">
        <f>O2-3</f>
        <v>46059</v>
      </c>
      <c r="M2" s="95"/>
      <c r="N2" s="96"/>
      <c r="O2" s="90">
        <v>46062</v>
      </c>
      <c r="P2" s="97"/>
      <c r="Q2" s="97"/>
      <c r="R2" s="98"/>
      <c r="S2" s="99"/>
      <c r="T2" s="277"/>
      <c r="U2" s="101">
        <v>6.096</v>
      </c>
      <c r="V2" s="102">
        <f>U2*H2</f>
        <v>30504.384</v>
      </c>
      <c r="W2" s="102">
        <f>V2*7.75</f>
        <v>236408.976</v>
      </c>
      <c r="X2" s="103">
        <v>60</v>
      </c>
      <c r="Y2" s="103" t="s">
        <v>46</v>
      </c>
      <c r="Z2" s="103"/>
      <c r="AA2" s="105">
        <v>46026</v>
      </c>
      <c r="AB2" s="103" t="s">
        <v>47</v>
      </c>
      <c r="AC2" s="103"/>
      <c r="AD2" s="103"/>
      <c r="AE2" s="103"/>
      <c r="AF2" s="103"/>
      <c r="AG2" s="103"/>
      <c r="AH2" s="103"/>
      <c r="AI2" s="103"/>
    </row>
    <row r="3" s="59" customFormat="1" ht="29" customHeight="1" spans="1:35">
      <c r="A3" s="90">
        <v>46017</v>
      </c>
      <c r="B3" s="90"/>
      <c r="C3" s="91" t="s">
        <v>42</v>
      </c>
      <c r="D3" s="92" t="s">
        <v>48</v>
      </c>
      <c r="E3" s="92" t="s">
        <v>49</v>
      </c>
      <c r="F3" s="92" t="s">
        <v>50</v>
      </c>
      <c r="G3" s="276" t="s">
        <v>51</v>
      </c>
      <c r="H3" s="93">
        <v>5100</v>
      </c>
      <c r="I3" s="92">
        <v>4</v>
      </c>
      <c r="J3" s="92">
        <v>12</v>
      </c>
      <c r="K3" s="94">
        <v>425</v>
      </c>
      <c r="L3" s="90">
        <f>O3-3</f>
        <v>46049</v>
      </c>
      <c r="M3" s="95"/>
      <c r="N3" s="96"/>
      <c r="O3" s="90">
        <v>46052</v>
      </c>
      <c r="P3" s="97"/>
      <c r="Q3" s="97"/>
      <c r="R3" s="98"/>
      <c r="S3" s="99"/>
      <c r="T3" s="277" t="s">
        <v>52</v>
      </c>
      <c r="U3" s="101">
        <v>0.98</v>
      </c>
      <c r="V3" s="102">
        <f>U3*H3</f>
        <v>4998</v>
      </c>
      <c r="W3" s="102">
        <f>V3*7.75</f>
        <v>38734.5</v>
      </c>
      <c r="X3" s="103">
        <v>60</v>
      </c>
      <c r="Y3" s="103" t="s">
        <v>53</v>
      </c>
      <c r="Z3" s="103"/>
      <c r="AA3" s="105">
        <v>46026</v>
      </c>
      <c r="AB3" s="103" t="s">
        <v>47</v>
      </c>
      <c r="AC3" s="103"/>
      <c r="AD3" s="103"/>
      <c r="AE3" s="103"/>
      <c r="AF3" s="103"/>
      <c r="AG3" s="103"/>
      <c r="AH3" s="103"/>
      <c r="AI3" s="103"/>
    </row>
    <row r="4" s="329" customFormat="1" ht="29" customHeight="1" spans="1:35">
      <c r="A4" s="298">
        <v>46217</v>
      </c>
      <c r="B4" s="298"/>
      <c r="C4" s="339"/>
      <c r="D4" s="301" t="s">
        <v>54</v>
      </c>
      <c r="E4" s="301" t="s">
        <v>55</v>
      </c>
      <c r="F4" s="301"/>
      <c r="G4" s="303" t="s">
        <v>56</v>
      </c>
      <c r="H4" s="304">
        <v>10200</v>
      </c>
      <c r="I4" s="301"/>
      <c r="J4" s="301"/>
      <c r="K4" s="340"/>
      <c r="L4" s="298">
        <f>O4-7</f>
        <v>46255</v>
      </c>
      <c r="M4" s="341"/>
      <c r="N4" s="342"/>
      <c r="O4" s="298">
        <v>46262</v>
      </c>
      <c r="P4" s="343"/>
      <c r="Q4" s="343"/>
      <c r="R4" s="344"/>
      <c r="S4" s="345"/>
      <c r="T4" s="346"/>
      <c r="U4" s="306">
        <v>0.82</v>
      </c>
      <c r="V4" s="347">
        <f>U4*H4</f>
        <v>8364</v>
      </c>
      <c r="W4" s="347">
        <f>V4*7.75</f>
        <v>64821</v>
      </c>
      <c r="X4" s="348">
        <v>30</v>
      </c>
      <c r="Y4" s="348"/>
      <c r="Z4" s="348"/>
      <c r="AA4" s="349"/>
      <c r="AB4" s="348" t="s">
        <v>47</v>
      </c>
      <c r="AC4" s="348"/>
      <c r="AD4" s="348"/>
      <c r="AE4" s="348"/>
      <c r="AF4" s="348"/>
      <c r="AG4" s="348"/>
      <c r="AH4" s="348"/>
      <c r="AI4" s="348"/>
    </row>
    <row r="5" s="59" customFormat="1" ht="29" customHeight="1" spans="1:35">
      <c r="A5" s="90"/>
      <c r="B5" s="90"/>
      <c r="C5" s="91"/>
      <c r="D5" s="92"/>
      <c r="E5" s="92"/>
      <c r="F5" s="92"/>
      <c r="G5" s="92"/>
      <c r="H5" s="93"/>
      <c r="I5" s="92"/>
      <c r="J5" s="92"/>
      <c r="K5" s="94"/>
      <c r="L5" s="90"/>
      <c r="M5" s="95"/>
      <c r="N5" s="96"/>
      <c r="O5" s="90"/>
      <c r="P5" s="97"/>
      <c r="Q5" s="97"/>
      <c r="R5" s="98"/>
      <c r="S5" s="99"/>
      <c r="T5" s="100"/>
      <c r="U5" s="101"/>
      <c r="V5" s="102"/>
      <c r="W5" s="102"/>
      <c r="X5" s="103"/>
      <c r="Y5" s="103"/>
      <c r="Z5" s="104"/>
      <c r="AA5" s="105"/>
      <c r="AB5" s="103"/>
      <c r="AC5" s="103"/>
      <c r="AD5" s="103"/>
      <c r="AE5" s="103"/>
      <c r="AF5" s="103"/>
      <c r="AG5" s="103"/>
      <c r="AH5" s="103"/>
      <c r="AI5" s="103"/>
    </row>
    <row r="6" s="59" customFormat="1" ht="29" customHeight="1" spans="1:35">
      <c r="A6" s="90"/>
      <c r="B6" s="90"/>
      <c r="C6" s="91"/>
      <c r="D6" s="92"/>
      <c r="E6" s="92"/>
      <c r="F6" s="92"/>
      <c r="G6" s="92"/>
      <c r="H6" s="93"/>
      <c r="I6" s="92"/>
      <c r="J6" s="92"/>
      <c r="K6" s="94"/>
      <c r="L6" s="90"/>
      <c r="M6" s="95"/>
      <c r="N6" s="96"/>
      <c r="O6" s="90"/>
      <c r="P6" s="97"/>
      <c r="Q6" s="97"/>
      <c r="R6" s="98"/>
      <c r="S6" s="99"/>
      <c r="T6" s="100"/>
      <c r="U6" s="101"/>
      <c r="V6" s="102"/>
      <c r="W6" s="102"/>
      <c r="X6" s="103"/>
      <c r="Y6" s="103"/>
      <c r="Z6" s="104"/>
      <c r="AA6" s="105"/>
      <c r="AB6" s="103"/>
      <c r="AC6" s="103"/>
      <c r="AD6" s="103"/>
      <c r="AE6" s="103"/>
      <c r="AF6" s="103"/>
      <c r="AG6" s="103"/>
      <c r="AH6" s="103"/>
      <c r="AI6" s="103"/>
    </row>
    <row r="7" s="59" customFormat="1" ht="29" customHeight="1" spans="1:35">
      <c r="A7" s="90"/>
      <c r="B7" s="90"/>
      <c r="C7" s="91"/>
      <c r="D7" s="92"/>
      <c r="E7" s="92"/>
      <c r="F7" s="92"/>
      <c r="G7" s="92"/>
      <c r="H7" s="93"/>
      <c r="I7" s="92"/>
      <c r="J7" s="92"/>
      <c r="K7" s="94"/>
      <c r="L7" s="90"/>
      <c r="M7" s="95"/>
      <c r="N7" s="96"/>
      <c r="O7" s="90"/>
      <c r="P7" s="97"/>
      <c r="Q7" s="97"/>
      <c r="R7" s="98"/>
      <c r="S7" s="99"/>
      <c r="T7" s="100"/>
      <c r="U7" s="101"/>
      <c r="V7" s="102"/>
      <c r="W7" s="102"/>
      <c r="X7" s="103"/>
      <c r="Y7" s="103"/>
      <c r="Z7" s="104"/>
      <c r="AA7" s="105"/>
      <c r="AB7" s="103"/>
      <c r="AC7" s="103"/>
      <c r="AD7" s="103"/>
      <c r="AE7" s="103"/>
      <c r="AF7" s="103"/>
      <c r="AG7" s="103"/>
      <c r="AH7" s="103"/>
      <c r="AI7" s="103"/>
    </row>
    <row r="8" s="59" customFormat="1" ht="29" customHeight="1" spans="1:35">
      <c r="A8" s="90"/>
      <c r="B8" s="90"/>
      <c r="C8" s="91"/>
      <c r="D8" s="92"/>
      <c r="E8" s="92"/>
      <c r="F8" s="92"/>
      <c r="G8" s="92"/>
      <c r="H8" s="93"/>
      <c r="I8" s="92"/>
      <c r="J8" s="92"/>
      <c r="K8" s="94"/>
      <c r="L8" s="90"/>
      <c r="M8" s="95"/>
      <c r="N8" s="96"/>
      <c r="O8" s="90"/>
      <c r="P8" s="97"/>
      <c r="Q8" s="97"/>
      <c r="R8" s="98"/>
      <c r="S8" s="99"/>
      <c r="T8" s="100"/>
      <c r="U8" s="101"/>
      <c r="V8" s="102"/>
      <c r="W8" s="102"/>
      <c r="X8" s="103"/>
      <c r="Y8" s="103"/>
      <c r="Z8" s="104"/>
      <c r="AA8" s="105"/>
      <c r="AB8" s="103"/>
      <c r="AC8" s="103"/>
      <c r="AD8" s="103"/>
      <c r="AE8" s="103"/>
      <c r="AF8" s="103"/>
      <c r="AG8" s="103"/>
      <c r="AH8" s="103"/>
      <c r="AI8" s="103"/>
    </row>
    <row r="9" s="59" customFormat="1" ht="29" customHeight="1" spans="1:35">
      <c r="A9" s="90"/>
      <c r="B9" s="90"/>
      <c r="C9" s="91"/>
      <c r="D9" s="92"/>
      <c r="E9" s="92"/>
      <c r="F9" s="92"/>
      <c r="G9" s="92"/>
      <c r="H9" s="93"/>
      <c r="I9" s="92"/>
      <c r="J9" s="92"/>
      <c r="K9" s="94"/>
      <c r="L9" s="90"/>
      <c r="M9" s="95"/>
      <c r="N9" s="96"/>
      <c r="O9" s="90"/>
      <c r="P9" s="97"/>
      <c r="Q9" s="97"/>
      <c r="R9" s="98"/>
      <c r="S9" s="99"/>
      <c r="T9" s="100"/>
      <c r="U9" s="101"/>
      <c r="V9" s="102"/>
      <c r="W9" s="102"/>
      <c r="X9" s="103"/>
      <c r="Y9" s="103"/>
      <c r="Z9" s="104"/>
      <c r="AA9" s="105"/>
      <c r="AB9" s="103"/>
      <c r="AC9" s="103"/>
      <c r="AD9" s="103"/>
      <c r="AE9" s="103"/>
      <c r="AF9" s="103"/>
      <c r="AG9" s="103"/>
      <c r="AH9" s="103"/>
      <c r="AI9" s="103"/>
    </row>
    <row r="10" s="60" customFormat="1" ht="29" customHeight="1" spans="1:35">
      <c r="A10" s="106"/>
      <c r="B10" s="106"/>
      <c r="C10" s="107"/>
      <c r="D10" s="108"/>
      <c r="E10" s="108"/>
      <c r="F10" s="108"/>
      <c r="G10" s="108"/>
      <c r="H10" s="109"/>
      <c r="I10" s="108"/>
      <c r="J10" s="108"/>
      <c r="K10" s="110"/>
      <c r="L10" s="106"/>
      <c r="M10" s="95"/>
      <c r="N10" s="111"/>
      <c r="O10" s="106"/>
      <c r="P10" s="112"/>
      <c r="Q10" s="112"/>
      <c r="R10" s="104"/>
      <c r="S10" s="113"/>
      <c r="T10" s="114"/>
      <c r="U10" s="101"/>
      <c r="V10" s="115"/>
      <c r="W10" s="115"/>
      <c r="X10" s="116"/>
      <c r="Y10" s="116"/>
      <c r="Z10" s="104"/>
      <c r="AA10" s="117"/>
      <c r="AB10" s="116"/>
      <c r="AC10" s="118"/>
      <c r="AD10" s="119"/>
      <c r="AE10" s="119"/>
      <c r="AF10" s="119"/>
      <c r="AG10" s="119"/>
      <c r="AH10" s="119"/>
      <c r="AI10" s="119"/>
    </row>
    <row r="11" s="60" customFormat="1" ht="29" customHeight="1" spans="1:35">
      <c r="A11" s="106"/>
      <c r="B11" s="106"/>
      <c r="C11" s="106"/>
      <c r="D11" s="108"/>
      <c r="E11" s="108"/>
      <c r="F11" s="108"/>
      <c r="G11" s="107" t="s">
        <v>57</v>
      </c>
      <c r="H11" s="108">
        <f>SUM(H2:H10)</f>
        <v>20304</v>
      </c>
      <c r="I11" s="108"/>
      <c r="J11" s="108"/>
      <c r="K11" s="110"/>
      <c r="L11" s="106"/>
      <c r="M11" s="95"/>
      <c r="N11" s="111"/>
      <c r="O11" s="106"/>
      <c r="P11" s="120"/>
      <c r="Q11" s="120"/>
      <c r="R11" s="119"/>
      <c r="S11" s="113"/>
      <c r="T11" s="121"/>
      <c r="U11" s="122"/>
      <c r="V11" s="123">
        <f>SUM(V2:V10)</f>
        <v>43866.384</v>
      </c>
      <c r="W11" s="123">
        <f>SUM(W2:W10)</f>
        <v>339964.476</v>
      </c>
      <c r="X11" s="116"/>
      <c r="Y11" s="116"/>
      <c r="Z11" s="104"/>
      <c r="AA11" s="117"/>
      <c r="AB11" s="116"/>
      <c r="AC11" s="118"/>
      <c r="AD11" s="119"/>
      <c r="AE11" s="119"/>
      <c r="AF11" s="119"/>
      <c r="AG11" s="119"/>
      <c r="AH11" s="119"/>
      <c r="AI11" s="119"/>
    </row>
    <row r="12" s="60" customFormat="1" ht="29" customHeight="1" spans="1:35">
      <c r="A12" s="318"/>
      <c r="B12" s="318"/>
      <c r="C12" s="318"/>
      <c r="D12" s="321"/>
      <c r="E12" s="321"/>
      <c r="F12" s="321"/>
      <c r="G12" s="350"/>
      <c r="H12" s="321"/>
      <c r="I12" s="321"/>
      <c r="J12" s="321"/>
      <c r="K12" s="351"/>
      <c r="L12" s="318"/>
      <c r="M12" s="352"/>
      <c r="N12" s="353"/>
      <c r="O12" s="318"/>
      <c r="P12" s="354"/>
      <c r="Q12" s="354"/>
      <c r="R12" s="355"/>
      <c r="S12" s="356"/>
      <c r="T12" s="357"/>
      <c r="U12" s="358"/>
      <c r="V12" s="359"/>
      <c r="W12" s="359"/>
      <c r="X12" s="326"/>
      <c r="Y12" s="326"/>
      <c r="Z12" s="360"/>
      <c r="AA12" s="361"/>
      <c r="AB12" s="288"/>
      <c r="AC12" s="362"/>
      <c r="AD12" s="336"/>
      <c r="AE12" s="336"/>
      <c r="AF12" s="336"/>
      <c r="AG12" s="336"/>
      <c r="AH12" s="336"/>
      <c r="AI12" s="336"/>
    </row>
    <row r="13" s="60" customFormat="1" ht="29" customHeight="1" spans="1:35">
      <c r="A13" s="318"/>
      <c r="B13" s="318"/>
      <c r="C13" s="318"/>
      <c r="D13" s="321"/>
      <c r="E13" s="321"/>
      <c r="F13" s="321"/>
      <c r="G13" s="350"/>
      <c r="H13" s="321"/>
      <c r="I13" s="321"/>
      <c r="J13" s="321"/>
      <c r="K13" s="351"/>
      <c r="L13" s="318"/>
      <c r="M13" s="352"/>
      <c r="N13" s="353"/>
      <c r="O13" s="318"/>
      <c r="P13" s="354"/>
      <c r="Q13" s="354"/>
      <c r="R13" s="355"/>
      <c r="S13" s="356"/>
      <c r="T13" s="357"/>
      <c r="U13" s="358"/>
      <c r="V13" s="359"/>
      <c r="W13" s="359"/>
      <c r="X13" s="326"/>
      <c r="Y13" s="326"/>
      <c r="Z13" s="360"/>
      <c r="AA13" s="361"/>
      <c r="AB13" s="288"/>
      <c r="AC13" s="362"/>
      <c r="AD13" s="336"/>
      <c r="AE13" s="336"/>
      <c r="AF13" s="336"/>
      <c r="AG13" s="336"/>
      <c r="AH13" s="336"/>
      <c r="AI13" s="336"/>
    </row>
    <row r="14" s="60" customFormat="1" ht="29" customHeight="1" spans="1:35">
      <c r="A14" s="318"/>
      <c r="B14" s="318"/>
      <c r="C14" s="318"/>
      <c r="D14" s="321"/>
      <c r="E14" s="321"/>
      <c r="F14" s="321"/>
      <c r="G14" s="321"/>
      <c r="H14" s="321"/>
      <c r="I14" s="321"/>
      <c r="J14" s="321"/>
      <c r="K14" s="363"/>
      <c r="L14" s="318"/>
      <c r="M14" s="352"/>
      <c r="N14" s="353"/>
      <c r="O14" s="318"/>
      <c r="P14" s="354"/>
      <c r="Q14" s="354"/>
      <c r="R14" s="355"/>
      <c r="S14" s="356"/>
      <c r="T14" s="357"/>
      <c r="U14" s="58"/>
      <c r="V14" s="325"/>
      <c r="W14" s="58"/>
      <c r="X14" s="58"/>
      <c r="Y14" s="58"/>
      <c r="Z14" s="360"/>
      <c r="AA14" s="326"/>
      <c r="AB14" s="327"/>
      <c r="AC14" s="336"/>
      <c r="AD14" s="336"/>
      <c r="AE14" s="336"/>
      <c r="AF14" s="336"/>
      <c r="AG14" s="336"/>
      <c r="AH14" s="336"/>
      <c r="AI14" s="336"/>
    </row>
    <row r="15" s="60" customFormat="1" customHeight="1" spans="1:35">
      <c r="A15" s="364" t="s">
        <v>58</v>
      </c>
      <c r="B15" s="365">
        <v>275143.476</v>
      </c>
      <c r="C15" s="320"/>
      <c r="D15" s="321"/>
      <c r="E15" s="321"/>
      <c r="F15" s="321"/>
      <c r="G15" s="321"/>
      <c r="H15" s="321"/>
      <c r="I15" s="321"/>
      <c r="J15" s="321"/>
      <c r="K15" s="363"/>
      <c r="L15" s="318"/>
      <c r="M15" s="352"/>
      <c r="N15" s="353"/>
      <c r="O15" s="318"/>
      <c r="P15" s="354"/>
      <c r="Q15" s="354"/>
      <c r="R15" s="355"/>
      <c r="S15" s="356"/>
      <c r="T15" s="357"/>
      <c r="U15" s="58"/>
      <c r="V15" s="325"/>
      <c r="W15" s="58"/>
      <c r="X15" s="58"/>
      <c r="Y15" s="58"/>
      <c r="Z15" s="360"/>
      <c r="AA15" s="326"/>
      <c r="AB15" s="327"/>
      <c r="AC15" s="336"/>
      <c r="AD15" s="336"/>
      <c r="AE15" s="336"/>
      <c r="AF15" s="336"/>
      <c r="AG15" s="336"/>
      <c r="AH15" s="336"/>
      <c r="AI15" s="336"/>
    </row>
    <row r="16" s="60" customFormat="1" customHeight="1" spans="1:35">
      <c r="A16" s="366" t="s">
        <v>59</v>
      </c>
      <c r="B16" s="365">
        <f>W11</f>
        <v>339964.476</v>
      </c>
      <c r="C16" s="367" t="b">
        <f>B16=B17+B18+B19</f>
        <v>1</v>
      </c>
      <c r="D16" s="368">
        <f>B16-B17</f>
        <v>339964.476</v>
      </c>
      <c r="E16" s="321"/>
      <c r="F16" s="321"/>
      <c r="G16" s="350"/>
      <c r="H16" s="321"/>
      <c r="I16" s="321"/>
      <c r="J16" s="321"/>
      <c r="K16" s="363"/>
      <c r="L16" s="318"/>
      <c r="M16" s="352"/>
      <c r="N16" s="353"/>
      <c r="O16" s="318"/>
      <c r="P16" s="354"/>
      <c r="Q16" s="354"/>
      <c r="R16" s="355"/>
      <c r="S16" s="356"/>
      <c r="T16" s="357"/>
      <c r="U16" s="58"/>
      <c r="V16" s="359"/>
      <c r="W16" s="58"/>
      <c r="X16" s="58"/>
      <c r="Y16" s="58"/>
      <c r="Z16" s="360"/>
      <c r="AA16" s="326"/>
      <c r="AB16" s="327"/>
      <c r="AC16" s="336"/>
      <c r="AD16" s="336"/>
      <c r="AE16" s="336"/>
      <c r="AF16" s="336"/>
      <c r="AG16" s="336"/>
      <c r="AH16" s="336"/>
      <c r="AI16" s="336"/>
    </row>
    <row r="17" s="60" customFormat="1" customHeight="1" spans="1:35">
      <c r="A17" s="366" t="s">
        <v>60</v>
      </c>
      <c r="B17" s="365">
        <f>W48</f>
        <v>0</v>
      </c>
      <c r="C17" s="320"/>
      <c r="D17" s="368">
        <f>B17</f>
        <v>0</v>
      </c>
      <c r="E17" s="369"/>
      <c r="F17" s="321"/>
      <c r="G17" s="321"/>
      <c r="H17" s="321"/>
      <c r="I17" s="321"/>
      <c r="J17" s="321"/>
      <c r="K17" s="363"/>
      <c r="L17" s="318"/>
      <c r="M17" s="352"/>
      <c r="N17" s="353"/>
      <c r="O17" s="318"/>
      <c r="P17" s="354"/>
      <c r="Q17" s="354"/>
      <c r="R17" s="355"/>
      <c r="S17" s="356"/>
      <c r="T17" s="357"/>
      <c r="U17" s="58"/>
      <c r="V17" s="359"/>
      <c r="W17" s="58"/>
      <c r="X17" s="58"/>
      <c r="Y17" s="58"/>
      <c r="Z17" s="360"/>
      <c r="AA17" s="326"/>
      <c r="AB17" s="327"/>
      <c r="AC17" s="336"/>
      <c r="AD17" s="336"/>
      <c r="AE17" s="336"/>
      <c r="AF17" s="336"/>
      <c r="AG17" s="336"/>
      <c r="AH17" s="336"/>
      <c r="AI17" s="336"/>
    </row>
    <row r="18" s="60" customFormat="1" customHeight="1" spans="1:35">
      <c r="A18" s="370" t="s">
        <v>61</v>
      </c>
      <c r="B18" s="365">
        <f>出货!W17</f>
        <v>275143.476</v>
      </c>
      <c r="C18" s="320"/>
      <c r="D18" s="321"/>
      <c r="E18" s="321"/>
      <c r="F18" s="321"/>
      <c r="G18" s="321"/>
      <c r="H18" s="322" t="b">
        <f>W11=ITEM表!P6+出货!W17</f>
        <v>1</v>
      </c>
      <c r="I18" s="321"/>
      <c r="J18" s="321"/>
      <c r="K18" s="363"/>
      <c r="L18" s="318"/>
      <c r="M18" s="352"/>
      <c r="N18" s="353"/>
      <c r="O18" s="318"/>
      <c r="P18" s="354"/>
      <c r="Q18" s="354"/>
      <c r="R18" s="355"/>
      <c r="S18" s="356"/>
      <c r="T18" s="357"/>
      <c r="U18" s="58"/>
      <c r="V18" s="325"/>
      <c r="W18" s="58"/>
      <c r="X18" s="58"/>
      <c r="Y18" s="58"/>
      <c r="Z18" s="360"/>
      <c r="AA18" s="326"/>
      <c r="AB18" s="327"/>
      <c r="AC18" s="336"/>
      <c r="AD18" s="336"/>
      <c r="AE18" s="336"/>
      <c r="AF18" s="336"/>
      <c r="AG18" s="336"/>
      <c r="AH18" s="336"/>
      <c r="AI18" s="336"/>
    </row>
    <row r="19" s="60" customFormat="1" ht="39" customHeight="1" spans="1:35">
      <c r="A19" s="366" t="s">
        <v>62</v>
      </c>
      <c r="B19" s="365">
        <f>ITEM表!P6</f>
        <v>64821</v>
      </c>
      <c r="C19" s="320"/>
      <c r="D19" s="321"/>
      <c r="E19" s="321"/>
      <c r="F19" s="321"/>
      <c r="G19" s="321"/>
      <c r="H19" s="321"/>
      <c r="I19" s="321"/>
      <c r="J19" s="321"/>
      <c r="K19" s="363"/>
      <c r="L19" s="318"/>
      <c r="M19" s="352"/>
      <c r="N19" s="353"/>
      <c r="O19" s="318"/>
      <c r="P19" s="354"/>
      <c r="Q19" s="354"/>
      <c r="R19" s="355"/>
      <c r="S19" s="356"/>
      <c r="T19" s="357"/>
      <c r="U19" s="58"/>
      <c r="V19" s="325"/>
      <c r="W19" s="58"/>
      <c r="X19" s="58"/>
      <c r="Y19" s="58"/>
      <c r="Z19" s="360"/>
      <c r="AA19" s="326"/>
      <c r="AB19" s="327"/>
      <c r="AC19" s="336"/>
      <c r="AD19" s="336"/>
      <c r="AE19" s="336"/>
      <c r="AF19" s="336"/>
      <c r="AG19" s="336"/>
      <c r="AH19" s="336"/>
      <c r="AI19" s="336"/>
    </row>
    <row r="20" s="60" customFormat="1" customHeight="1" spans="1:35">
      <c r="D20" s="321"/>
      <c r="E20" s="321"/>
      <c r="F20" s="321"/>
      <c r="G20" s="321"/>
      <c r="H20" s="321"/>
      <c r="I20" s="321"/>
      <c r="J20" s="321"/>
      <c r="K20" s="363"/>
      <c r="L20" s="318"/>
      <c r="M20" s="352"/>
      <c r="N20" s="353"/>
      <c r="O20" s="318"/>
      <c r="P20" s="354"/>
      <c r="Q20" s="354"/>
      <c r="R20" s="355"/>
      <c r="S20" s="356"/>
      <c r="T20" s="357"/>
      <c r="U20" s="58"/>
      <c r="V20" s="325"/>
      <c r="W20" s="58"/>
      <c r="X20" s="58"/>
      <c r="Y20" s="58"/>
      <c r="Z20" s="360"/>
      <c r="AA20" s="326"/>
      <c r="AB20" s="327"/>
      <c r="AC20" s="336"/>
      <c r="AD20" s="336"/>
      <c r="AE20" s="336"/>
      <c r="AF20" s="336"/>
      <c r="AG20" s="336"/>
      <c r="AH20" s="336"/>
      <c r="AI20" s="336"/>
    </row>
    <row r="21" s="60" customFormat="1" customHeight="1" spans="1:35">
      <c r="A21" s="318"/>
      <c r="B21" s="318"/>
      <c r="C21" s="318"/>
      <c r="D21" s="321"/>
      <c r="E21" s="321"/>
      <c r="F21" s="321"/>
      <c r="G21" s="321"/>
      <c r="H21" s="321"/>
      <c r="I21" s="321"/>
      <c r="J21" s="321"/>
      <c r="K21" s="363"/>
      <c r="L21" s="318"/>
      <c r="M21" s="352"/>
      <c r="N21" s="353"/>
      <c r="O21" s="318"/>
      <c r="P21" s="354"/>
      <c r="Q21" s="354"/>
      <c r="R21" s="355"/>
      <c r="S21" s="356"/>
      <c r="T21" s="357"/>
      <c r="U21" s="58"/>
      <c r="V21" s="325"/>
      <c r="W21" s="58"/>
      <c r="X21" s="58"/>
      <c r="Y21" s="58"/>
      <c r="Z21" s="360"/>
      <c r="AA21" s="326"/>
      <c r="AB21" s="327"/>
      <c r="AC21" s="336"/>
      <c r="AD21" s="336"/>
      <c r="AE21" s="336"/>
      <c r="AF21" s="336"/>
      <c r="AG21" s="336"/>
      <c r="AH21" s="336"/>
      <c r="AI21" s="336"/>
    </row>
    <row r="22" s="60" customFormat="1" customHeight="1" spans="1:35">
      <c r="A22" s="318"/>
      <c r="B22" s="318"/>
      <c r="C22" s="318"/>
      <c r="D22" s="321"/>
      <c r="E22" s="321"/>
      <c r="F22" s="321"/>
      <c r="G22" s="321"/>
      <c r="H22" s="321"/>
      <c r="I22" s="321"/>
      <c r="J22" s="321"/>
      <c r="K22" s="363"/>
      <c r="L22" s="318"/>
      <c r="M22" s="352"/>
      <c r="N22" s="353"/>
      <c r="O22" s="318"/>
      <c r="P22" s="354"/>
      <c r="Q22" s="354"/>
      <c r="R22" s="355"/>
      <c r="S22" s="356"/>
      <c r="T22" s="357"/>
      <c r="U22" s="58"/>
      <c r="V22" s="325"/>
      <c r="W22" s="58"/>
      <c r="X22" s="58"/>
      <c r="Y22" s="58"/>
      <c r="Z22" s="360"/>
      <c r="AA22" s="326"/>
      <c r="AB22" s="327"/>
      <c r="AC22" s="336"/>
      <c r="AD22" s="336"/>
      <c r="AE22" s="336"/>
      <c r="AF22" s="336"/>
      <c r="AG22" s="336"/>
      <c r="AH22" s="336"/>
      <c r="AI22" s="336"/>
    </row>
    <row r="23" s="60" customFormat="1" customHeight="1" spans="1:35">
      <c r="A23" s="371" t="s">
        <v>63</v>
      </c>
      <c r="B23" s="326"/>
      <c r="C23" s="326"/>
      <c r="D23" s="321"/>
      <c r="E23" s="321"/>
      <c r="F23" s="321"/>
      <c r="G23" s="321"/>
      <c r="H23" s="321"/>
      <c r="I23" s="321"/>
      <c r="J23" s="321"/>
      <c r="K23" s="363"/>
      <c r="L23" s="318"/>
      <c r="M23" s="352"/>
      <c r="N23" s="353"/>
      <c r="O23" s="318"/>
      <c r="P23" s="354"/>
      <c r="Q23" s="354"/>
      <c r="R23" s="355"/>
      <c r="S23" s="356"/>
      <c r="T23" s="357"/>
      <c r="U23" s="58"/>
      <c r="V23" s="325"/>
      <c r="W23" s="58"/>
      <c r="X23" s="58"/>
      <c r="Y23" s="58"/>
      <c r="Z23" s="360"/>
      <c r="AA23" s="326"/>
      <c r="AB23" s="327"/>
      <c r="AC23" s="336"/>
      <c r="AD23" s="336"/>
      <c r="AE23" s="336"/>
      <c r="AF23" s="336"/>
      <c r="AG23" s="336"/>
      <c r="AH23" s="336"/>
      <c r="AI23" s="336"/>
    </row>
    <row r="24" s="60" customFormat="1" customHeight="1" spans="1:35">
      <c r="A24" s="372" t="s">
        <v>64</v>
      </c>
      <c r="B24" s="373" t="s">
        <v>65</v>
      </c>
      <c r="C24" s="374"/>
      <c r="D24" s="321"/>
      <c r="E24" s="321"/>
      <c r="F24" s="321"/>
      <c r="G24" s="321"/>
      <c r="H24" s="321"/>
      <c r="I24" s="321"/>
      <c r="J24" s="321"/>
      <c r="K24" s="363"/>
      <c r="L24" s="318"/>
      <c r="M24" s="352"/>
      <c r="N24" s="353"/>
      <c r="O24" s="318"/>
      <c r="P24" s="354"/>
      <c r="Q24" s="354"/>
      <c r="R24" s="355"/>
      <c r="S24" s="356"/>
      <c r="T24" s="357"/>
      <c r="U24" s="58"/>
      <c r="V24" s="325"/>
      <c r="W24" s="58"/>
      <c r="X24" s="58"/>
      <c r="Y24" s="58"/>
      <c r="Z24" s="360"/>
      <c r="AA24" s="326"/>
      <c r="AB24" s="327"/>
      <c r="AC24" s="336"/>
      <c r="AD24" s="336"/>
      <c r="AE24" s="336"/>
      <c r="AF24" s="336"/>
      <c r="AG24" s="336"/>
      <c r="AH24" s="336"/>
      <c r="AI24" s="336"/>
    </row>
    <row r="25" s="60" customFormat="1" customHeight="1" spans="1:35">
      <c r="A25" s="372" t="s">
        <v>66</v>
      </c>
      <c r="B25" s="373" t="s">
        <v>67</v>
      </c>
      <c r="C25" s="374"/>
      <c r="D25" s="321"/>
      <c r="E25" s="321"/>
      <c r="F25" s="321"/>
      <c r="G25" s="321"/>
      <c r="H25" s="321"/>
      <c r="I25" s="321"/>
      <c r="J25" s="321"/>
      <c r="K25" s="363"/>
      <c r="L25" s="318"/>
      <c r="M25" s="352"/>
      <c r="N25" s="353"/>
      <c r="O25" s="318"/>
      <c r="P25" s="354"/>
      <c r="Q25" s="354"/>
      <c r="R25" s="355"/>
      <c r="S25" s="356"/>
      <c r="T25" s="357"/>
      <c r="U25" s="58"/>
      <c r="V25" s="325"/>
      <c r="W25" s="58"/>
      <c r="X25" s="58"/>
      <c r="Y25" s="58"/>
      <c r="Z25" s="360"/>
      <c r="AA25" s="326"/>
      <c r="AB25" s="327"/>
      <c r="AC25" s="336"/>
      <c r="AD25" s="336"/>
      <c r="AE25" s="336"/>
      <c r="AF25" s="336"/>
      <c r="AG25" s="336"/>
      <c r="AH25" s="336"/>
      <c r="AI25" s="336"/>
    </row>
    <row r="26" s="60" customFormat="1" customHeight="1" spans="1:35">
      <c r="A26" s="375" t="s">
        <v>68</v>
      </c>
      <c r="B26" s="376" t="s">
        <v>69</v>
      </c>
      <c r="C26" s="377"/>
      <c r="D26" s="321"/>
      <c r="E26" s="321"/>
      <c r="F26" s="321"/>
      <c r="G26" s="321"/>
      <c r="H26" s="321"/>
      <c r="I26" s="321"/>
      <c r="J26" s="321"/>
      <c r="K26" s="363"/>
      <c r="L26" s="318"/>
      <c r="M26" s="352"/>
      <c r="N26" s="353"/>
      <c r="O26" s="318"/>
      <c r="P26" s="354"/>
      <c r="Q26" s="354"/>
      <c r="R26" s="355"/>
      <c r="S26" s="356"/>
      <c r="T26" s="357"/>
      <c r="U26" s="58"/>
      <c r="V26" s="325"/>
      <c r="W26" s="58"/>
      <c r="X26" s="58"/>
      <c r="Y26" s="58"/>
      <c r="Z26" s="360"/>
      <c r="AA26" s="326"/>
      <c r="AB26" s="327"/>
      <c r="AC26" s="336"/>
      <c r="AD26" s="336"/>
      <c r="AE26" s="336"/>
      <c r="AF26" s="336"/>
      <c r="AG26" s="336"/>
      <c r="AH26" s="336"/>
      <c r="AI26" s="336"/>
    </row>
    <row r="27" s="60" customFormat="1" customHeight="1" spans="1:35">
      <c r="A27" s="378" t="s">
        <v>70</v>
      </c>
      <c r="B27" s="379" t="s">
        <v>71</v>
      </c>
      <c r="C27" s="380"/>
      <c r="D27" s="321"/>
      <c r="E27" s="321"/>
      <c r="F27" s="321"/>
      <c r="G27" s="321"/>
      <c r="H27" s="321"/>
      <c r="I27" s="321"/>
      <c r="J27" s="321"/>
      <c r="K27" s="363"/>
      <c r="L27" s="318"/>
      <c r="M27" s="352"/>
      <c r="N27" s="353"/>
      <c r="O27" s="318"/>
      <c r="P27" s="354"/>
      <c r="Q27" s="354"/>
      <c r="R27" s="355"/>
      <c r="S27" s="356"/>
      <c r="T27" s="357"/>
      <c r="U27" s="58"/>
      <c r="V27" s="325"/>
      <c r="W27" s="58"/>
      <c r="X27" s="58"/>
      <c r="Y27" s="58"/>
      <c r="Z27" s="360"/>
      <c r="AA27" s="326"/>
      <c r="AB27" s="327"/>
      <c r="AC27" s="336"/>
      <c r="AD27" s="336"/>
      <c r="AE27" s="336"/>
      <c r="AF27" s="336"/>
      <c r="AG27" s="336"/>
      <c r="AH27" s="336"/>
      <c r="AI27" s="336"/>
    </row>
    <row r="28" s="60" customFormat="1" customHeight="1" spans="1:35">
      <c r="A28" s="381" t="s">
        <v>72</v>
      </c>
      <c r="B28" s="382" t="s">
        <v>73</v>
      </c>
      <c r="C28" s="383"/>
      <c r="D28" s="321"/>
      <c r="E28" s="321"/>
      <c r="F28" s="321"/>
      <c r="G28" s="321"/>
      <c r="H28" s="321"/>
      <c r="I28" s="321"/>
      <c r="J28" s="321"/>
      <c r="K28" s="363"/>
      <c r="L28" s="318"/>
      <c r="M28" s="352"/>
      <c r="N28" s="353"/>
      <c r="O28" s="318"/>
      <c r="P28" s="354"/>
      <c r="Q28" s="354"/>
      <c r="R28" s="355"/>
      <c r="S28" s="356"/>
      <c r="T28" s="357"/>
      <c r="U28" s="58"/>
      <c r="V28" s="325"/>
      <c r="W28" s="58"/>
      <c r="X28" s="58"/>
      <c r="Y28" s="58"/>
      <c r="Z28" s="360"/>
      <c r="AA28" s="326"/>
      <c r="AB28" s="327"/>
      <c r="AC28" s="336"/>
      <c r="AD28" s="336"/>
      <c r="AE28" s="336"/>
      <c r="AF28" s="336"/>
      <c r="AG28" s="336"/>
      <c r="AH28" s="336"/>
      <c r="AI28" s="336"/>
    </row>
    <row r="29" s="60" customFormat="1" customHeight="1" spans="1:35">
      <c r="A29" s="318"/>
      <c r="B29" s="318"/>
      <c r="C29" s="318"/>
      <c r="D29" s="321"/>
      <c r="E29" s="321"/>
      <c r="F29" s="321"/>
      <c r="G29" s="321"/>
      <c r="H29" s="321"/>
      <c r="I29" s="321"/>
      <c r="J29" s="321"/>
      <c r="K29" s="363"/>
      <c r="L29" s="318"/>
      <c r="M29" s="352"/>
      <c r="N29" s="353"/>
      <c r="O29" s="318"/>
      <c r="P29" s="354"/>
      <c r="Q29" s="354"/>
      <c r="R29" s="355"/>
      <c r="S29" s="356"/>
      <c r="T29" s="357"/>
      <c r="U29" s="58"/>
      <c r="V29" s="325"/>
      <c r="W29" s="58"/>
      <c r="X29" s="58"/>
      <c r="Y29" s="58"/>
      <c r="Z29" s="360"/>
      <c r="AA29" s="326"/>
      <c r="AB29" s="327"/>
      <c r="AC29" s="336"/>
      <c r="AD29" s="336"/>
      <c r="AE29" s="336"/>
      <c r="AF29" s="336"/>
      <c r="AG29" s="336"/>
      <c r="AH29" s="336"/>
      <c r="AI29" s="336"/>
    </row>
    <row r="30" s="60" customFormat="1" customHeight="1" spans="1:35">
      <c r="A30" s="318"/>
      <c r="B30" s="318"/>
      <c r="C30" s="318"/>
      <c r="D30" s="321"/>
      <c r="E30" s="321"/>
      <c r="F30" s="321"/>
      <c r="G30" s="321"/>
      <c r="H30" s="321"/>
      <c r="I30" s="321"/>
      <c r="J30" s="321"/>
      <c r="K30" s="363"/>
      <c r="L30" s="318"/>
      <c r="M30" s="352"/>
      <c r="N30" s="353"/>
      <c r="O30" s="318"/>
      <c r="P30" s="354"/>
      <c r="Q30" s="354"/>
      <c r="R30" s="355"/>
      <c r="S30" s="356"/>
      <c r="T30" s="357"/>
      <c r="U30" s="58"/>
      <c r="V30" s="325"/>
      <c r="W30" s="58"/>
      <c r="X30" s="58"/>
      <c r="Y30" s="58"/>
      <c r="Z30" s="360"/>
      <c r="AA30" s="326"/>
      <c r="AB30" s="327"/>
      <c r="AC30" s="336"/>
      <c r="AD30" s="336"/>
      <c r="AE30" s="336"/>
      <c r="AF30" s="336"/>
      <c r="AG30" s="336"/>
      <c r="AH30" s="336"/>
      <c r="AI30" s="336"/>
    </row>
    <row r="31" s="60" customFormat="1" customHeight="1" spans="1:35">
      <c r="A31" s="318"/>
      <c r="B31" s="318"/>
      <c r="C31" s="318"/>
      <c r="D31" s="321"/>
      <c r="E31" s="321"/>
      <c r="F31" s="321"/>
      <c r="G31" s="321"/>
      <c r="H31" s="321"/>
      <c r="I31" s="321"/>
      <c r="J31" s="321"/>
      <c r="K31" s="363"/>
      <c r="L31" s="318"/>
      <c r="M31" s="352"/>
      <c r="N31" s="353"/>
      <c r="O31" s="318"/>
      <c r="P31" s="354"/>
      <c r="Q31" s="354"/>
      <c r="R31" s="355"/>
      <c r="S31" s="356"/>
      <c r="T31" s="357"/>
      <c r="U31" s="58"/>
      <c r="V31" s="325"/>
      <c r="W31" s="58"/>
      <c r="X31" s="58"/>
      <c r="Y31" s="58"/>
      <c r="Z31" s="360"/>
      <c r="AA31" s="326"/>
      <c r="AB31" s="327"/>
      <c r="AC31" s="336"/>
      <c r="AD31" s="336"/>
      <c r="AE31" s="336"/>
      <c r="AF31" s="336"/>
      <c r="AG31" s="336"/>
      <c r="AH31" s="336"/>
      <c r="AI31" s="336"/>
    </row>
    <row r="32" s="60" customFormat="1" customHeight="1" spans="1:35">
      <c r="A32" s="318"/>
      <c r="B32" s="318"/>
      <c r="C32" s="318"/>
      <c r="D32" s="321"/>
      <c r="E32" s="321"/>
      <c r="F32" s="321"/>
      <c r="G32" s="321"/>
      <c r="H32" s="321"/>
      <c r="I32" s="321"/>
      <c r="J32" s="321"/>
      <c r="K32" s="363"/>
      <c r="L32" s="318"/>
      <c r="M32" s="352"/>
      <c r="N32" s="353"/>
      <c r="O32" s="318"/>
      <c r="P32" s="354"/>
      <c r="Q32" s="354"/>
      <c r="R32" s="355"/>
      <c r="S32" s="356"/>
      <c r="T32" s="357"/>
      <c r="U32" s="58"/>
      <c r="V32" s="325"/>
      <c r="W32" s="58"/>
      <c r="X32" s="58"/>
      <c r="Y32" s="58"/>
      <c r="Z32" s="360"/>
      <c r="AA32" s="326"/>
      <c r="AB32" s="327"/>
      <c r="AC32" s="336"/>
      <c r="AD32" s="336"/>
      <c r="AE32" s="336"/>
      <c r="AF32" s="336"/>
      <c r="AG32" s="336"/>
      <c r="AH32" s="336"/>
      <c r="AI32" s="336"/>
    </row>
    <row r="33" s="60" customFormat="1" customHeight="1" spans="1:35">
      <c r="A33" s="318"/>
      <c r="B33" s="318"/>
      <c r="C33" s="318"/>
      <c r="D33" s="321"/>
      <c r="E33" s="321"/>
      <c r="F33" s="321"/>
      <c r="G33" s="321"/>
      <c r="H33" s="321"/>
      <c r="I33" s="321"/>
      <c r="J33" s="321"/>
      <c r="K33" s="363"/>
      <c r="L33" s="318"/>
      <c r="M33" s="352"/>
      <c r="N33" s="353"/>
      <c r="O33" s="318"/>
      <c r="P33" s="354"/>
      <c r="Q33" s="354"/>
      <c r="R33" s="355"/>
      <c r="S33" s="356"/>
      <c r="T33" s="357"/>
      <c r="U33" s="58"/>
      <c r="V33" s="325"/>
      <c r="W33" s="58"/>
      <c r="X33" s="58"/>
      <c r="Y33" s="58"/>
      <c r="Z33" s="360"/>
      <c r="AA33" s="326"/>
      <c r="AB33" s="327"/>
      <c r="AC33" s="336"/>
      <c r="AD33" s="336"/>
      <c r="AE33" s="336"/>
      <c r="AF33" s="336"/>
      <c r="AG33" s="336"/>
      <c r="AH33" s="336"/>
      <c r="AI33" s="336"/>
    </row>
    <row r="34" s="58" customFormat="1" customHeight="1" spans="1:35">
      <c r="A34" s="384"/>
      <c r="B34" s="385"/>
      <c r="C34" s="384"/>
      <c r="D34" s="384"/>
      <c r="E34" s="386"/>
      <c r="F34" s="384"/>
      <c r="G34" s="387"/>
      <c r="H34" s="387"/>
      <c r="I34" s="387"/>
      <c r="J34" s="387"/>
      <c r="K34" s="388"/>
      <c r="L34" s="387"/>
      <c r="M34" s="389"/>
      <c r="N34" s="390"/>
      <c r="O34" s="387"/>
      <c r="P34" s="391"/>
      <c r="Q34" s="391"/>
      <c r="R34" s="391"/>
      <c r="S34" s="392"/>
      <c r="T34" s="393"/>
      <c r="U34" s="387"/>
      <c r="V34" s="387"/>
      <c r="W34" s="387"/>
      <c r="X34" s="387"/>
      <c r="Y34" s="387"/>
      <c r="Z34" s="394"/>
      <c r="AA34" s="387"/>
      <c r="AB34" s="395"/>
      <c r="AC34" s="396"/>
      <c r="AD34" s="396"/>
      <c r="AE34" s="396"/>
      <c r="AF34" s="396"/>
      <c r="AG34" s="396"/>
      <c r="AH34" s="396"/>
      <c r="AI34" s="397"/>
    </row>
    <row r="35" s="330" customFormat="1" customHeight="1" spans="1:35">
      <c r="A35" s="398"/>
      <c r="B35" s="399"/>
      <c r="C35" s="399"/>
      <c r="D35" s="400"/>
      <c r="E35" s="400"/>
      <c r="F35" s="400"/>
      <c r="G35" s="401"/>
      <c r="H35" s="401"/>
      <c r="I35" s="401"/>
      <c r="J35" s="401"/>
      <c r="K35" s="402"/>
      <c r="L35" s="399"/>
      <c r="M35" s="403"/>
      <c r="N35" s="404"/>
      <c r="O35" s="399"/>
      <c r="P35" s="405"/>
      <c r="Q35" s="405"/>
      <c r="R35" s="406"/>
      <c r="S35" s="407"/>
      <c r="T35" s="408"/>
      <c r="U35" s="409"/>
      <c r="V35" s="410"/>
      <c r="W35" s="411"/>
      <c r="X35" s="409"/>
      <c r="Y35" s="409"/>
      <c r="Z35" s="412"/>
      <c r="AA35" s="413"/>
      <c r="AB35" s="409"/>
      <c r="AC35" s="406"/>
      <c r="AD35" s="406"/>
      <c r="AE35" s="406"/>
      <c r="AF35" s="406"/>
      <c r="AG35" s="406"/>
      <c r="AH35" s="406"/>
      <c r="AI35" s="414"/>
    </row>
    <row r="36" s="330" customFormat="1" customHeight="1" spans="1:35">
      <c r="A36" s="398"/>
      <c r="B36" s="399"/>
      <c r="C36" s="399"/>
      <c r="D36" s="400"/>
      <c r="E36" s="400"/>
      <c r="F36" s="400"/>
      <c r="G36" s="401"/>
      <c r="H36" s="401"/>
      <c r="I36" s="401"/>
      <c r="J36" s="401"/>
      <c r="K36" s="402"/>
      <c r="L36" s="399"/>
      <c r="M36" s="403"/>
      <c r="N36" s="404"/>
      <c r="O36" s="399"/>
      <c r="P36" s="405"/>
      <c r="Q36" s="405"/>
      <c r="R36" s="406"/>
      <c r="S36" s="407"/>
      <c r="T36" s="408"/>
      <c r="U36" s="409"/>
      <c r="V36" s="410"/>
      <c r="W36" s="411"/>
      <c r="X36" s="409"/>
      <c r="Y36" s="409"/>
      <c r="Z36" s="412"/>
      <c r="AA36" s="413"/>
      <c r="AB36" s="409"/>
      <c r="AC36" s="406"/>
      <c r="AD36" s="406"/>
      <c r="AE36" s="406"/>
      <c r="AF36" s="406"/>
      <c r="AG36" s="406"/>
      <c r="AH36" s="406"/>
      <c r="AI36" s="414"/>
    </row>
    <row r="37" s="330" customFormat="1" customHeight="1" spans="1:35">
      <c r="A37" s="399"/>
      <c r="B37" s="399"/>
      <c r="C37" s="399"/>
      <c r="D37" s="401"/>
      <c r="E37" s="401"/>
      <c r="F37" s="401"/>
      <c r="G37" s="401"/>
      <c r="H37" s="401"/>
      <c r="I37" s="401"/>
      <c r="J37" s="401"/>
      <c r="K37" s="402"/>
      <c r="L37" s="399"/>
      <c r="M37" s="403"/>
      <c r="N37" s="404"/>
      <c r="O37" s="399"/>
      <c r="P37" s="405"/>
      <c r="Q37" s="405"/>
      <c r="R37" s="406"/>
      <c r="S37" s="407"/>
      <c r="T37" s="408"/>
      <c r="U37" s="409"/>
      <c r="V37" s="415"/>
      <c r="W37" s="415"/>
      <c r="X37" s="409"/>
      <c r="Y37" s="409"/>
      <c r="Z37" s="412"/>
      <c r="AA37" s="413"/>
      <c r="AB37" s="409"/>
      <c r="AC37" s="406"/>
      <c r="AD37" s="406"/>
      <c r="AE37" s="406"/>
      <c r="AF37" s="406"/>
      <c r="AG37" s="406"/>
      <c r="AH37" s="406"/>
      <c r="AI37" s="414"/>
    </row>
    <row r="38" s="330" customFormat="1" customHeight="1" spans="1:35">
      <c r="A38" s="399"/>
      <c r="B38" s="399"/>
      <c r="C38" s="399"/>
      <c r="D38" s="401"/>
      <c r="E38" s="401"/>
      <c r="F38" s="401"/>
      <c r="G38" s="401"/>
      <c r="H38" s="401"/>
      <c r="I38" s="401"/>
      <c r="J38" s="401"/>
      <c r="K38" s="402"/>
      <c r="L38" s="399"/>
      <c r="M38" s="403"/>
      <c r="N38" s="404"/>
      <c r="O38" s="399"/>
      <c r="P38" s="405"/>
      <c r="Q38" s="405"/>
      <c r="R38" s="406"/>
      <c r="S38" s="407"/>
      <c r="T38" s="408"/>
      <c r="U38" s="409"/>
      <c r="V38" s="415"/>
      <c r="W38" s="415"/>
      <c r="X38" s="409"/>
      <c r="Y38" s="409"/>
      <c r="Z38" s="412"/>
      <c r="AA38" s="413"/>
      <c r="AB38" s="409"/>
      <c r="AC38" s="406"/>
      <c r="AD38" s="406"/>
      <c r="AE38" s="406"/>
      <c r="AF38" s="406"/>
      <c r="AG38" s="406"/>
      <c r="AH38" s="406"/>
      <c r="AI38" s="414"/>
    </row>
    <row r="39" s="330" customFormat="1" customHeight="1" spans="1:35">
      <c r="A39" s="399"/>
      <c r="B39" s="399"/>
      <c r="C39" s="399"/>
      <c r="D39" s="401"/>
      <c r="E39" s="401"/>
      <c r="F39" s="401"/>
      <c r="G39" s="401"/>
      <c r="H39" s="401"/>
      <c r="I39" s="401"/>
      <c r="J39" s="401"/>
      <c r="K39" s="402"/>
      <c r="L39" s="399"/>
      <c r="M39" s="403"/>
      <c r="N39" s="404"/>
      <c r="O39" s="399"/>
      <c r="P39" s="405"/>
      <c r="Q39" s="405"/>
      <c r="R39" s="406"/>
      <c r="S39" s="407"/>
      <c r="T39" s="408"/>
      <c r="U39" s="409"/>
      <c r="V39" s="415"/>
      <c r="W39" s="415"/>
      <c r="X39" s="409"/>
      <c r="Y39" s="409"/>
      <c r="Z39" s="412"/>
      <c r="AA39" s="413"/>
      <c r="AB39" s="409"/>
      <c r="AC39" s="406"/>
      <c r="AD39" s="406"/>
      <c r="AE39" s="406"/>
      <c r="AF39" s="406"/>
      <c r="AG39" s="406"/>
      <c r="AH39" s="406"/>
      <c r="AI39" s="414"/>
    </row>
    <row r="40" s="331" customFormat="1" customHeight="1" spans="1:35">
      <c r="A40" s="416"/>
      <c r="B40" s="416"/>
      <c r="C40" s="416"/>
      <c r="D40" s="417"/>
      <c r="E40" s="417"/>
      <c r="F40" s="417"/>
      <c r="G40" s="417"/>
      <c r="H40" s="418"/>
      <c r="I40" s="418"/>
      <c r="J40" s="417"/>
      <c r="K40" s="419"/>
      <c r="L40" s="416"/>
      <c r="M40" s="403"/>
      <c r="N40" s="420"/>
      <c r="O40" s="416"/>
      <c r="P40" s="421"/>
      <c r="Q40" s="421"/>
      <c r="R40" s="422"/>
      <c r="S40" s="423"/>
      <c r="T40" s="424"/>
      <c r="U40" s="425"/>
      <c r="V40" s="426"/>
      <c r="W40" s="427"/>
      <c r="X40" s="425"/>
      <c r="Y40" s="425"/>
      <c r="Z40" s="412"/>
      <c r="AA40" s="425"/>
      <c r="AB40" s="409"/>
      <c r="AC40" s="422"/>
      <c r="AD40" s="422"/>
      <c r="AE40" s="422"/>
      <c r="AF40" s="422"/>
      <c r="AG40" s="422"/>
      <c r="AH40" s="422"/>
      <c r="AI40" s="428"/>
    </row>
    <row r="41" s="331" customFormat="1" customHeight="1" spans="1:35">
      <c r="A41" s="416"/>
      <c r="B41" s="416"/>
      <c r="C41" s="416"/>
      <c r="D41" s="417"/>
      <c r="E41" s="417"/>
      <c r="F41" s="417"/>
      <c r="G41" s="417"/>
      <c r="H41" s="418"/>
      <c r="I41" s="418"/>
      <c r="J41" s="417"/>
      <c r="K41" s="419"/>
      <c r="L41" s="416"/>
      <c r="M41" s="403"/>
      <c r="N41" s="420"/>
      <c r="O41" s="416"/>
      <c r="P41" s="421"/>
      <c r="Q41" s="421"/>
      <c r="R41" s="422"/>
      <c r="S41" s="423"/>
      <c r="T41" s="424"/>
      <c r="U41" s="425"/>
      <c r="V41" s="426"/>
      <c r="W41" s="427"/>
      <c r="X41" s="425"/>
      <c r="Y41" s="425"/>
      <c r="Z41" s="412"/>
      <c r="AA41" s="425"/>
      <c r="AB41" s="409"/>
      <c r="AC41" s="422"/>
      <c r="AD41" s="422"/>
      <c r="AE41" s="422"/>
      <c r="AF41" s="422"/>
      <c r="AG41" s="422"/>
      <c r="AH41" s="422"/>
      <c r="AI41" s="428"/>
    </row>
    <row r="42" s="332" customFormat="1" customHeight="1" spans="1:35">
      <c r="A42" s="399"/>
      <c r="B42" s="429"/>
      <c r="C42" s="429"/>
      <c r="D42" s="401"/>
      <c r="E42" s="417"/>
      <c r="F42" s="417"/>
      <c r="G42" s="417"/>
      <c r="H42" s="418"/>
      <c r="I42" s="418"/>
      <c r="J42" s="430"/>
      <c r="K42" s="431"/>
      <c r="L42" s="429"/>
      <c r="M42" s="403"/>
      <c r="N42" s="432"/>
      <c r="O42" s="429"/>
      <c r="P42" s="433"/>
      <c r="Q42" s="433"/>
      <c r="R42" s="434"/>
      <c r="S42" s="435"/>
      <c r="T42" s="357"/>
      <c r="U42" s="425"/>
      <c r="V42" s="426"/>
      <c r="W42" s="426"/>
      <c r="X42" s="436"/>
      <c r="Y42" s="425"/>
      <c r="Z42" s="412"/>
      <c r="AA42" s="437"/>
      <c r="AB42" s="409"/>
      <c r="AC42" s="434"/>
      <c r="AD42" s="434"/>
      <c r="AE42" s="434"/>
      <c r="AF42" s="434"/>
      <c r="AG42" s="434"/>
      <c r="AH42" s="434"/>
      <c r="AI42" s="438"/>
    </row>
    <row r="43" s="332" customFormat="1" customHeight="1" spans="1:35">
      <c r="A43" s="399"/>
      <c r="B43" s="429"/>
      <c r="C43" s="429"/>
      <c r="D43" s="401"/>
      <c r="E43" s="417"/>
      <c r="F43" s="417"/>
      <c r="G43" s="417"/>
      <c r="H43" s="418"/>
      <c r="I43" s="418"/>
      <c r="J43" s="430"/>
      <c r="K43" s="431"/>
      <c r="L43" s="429"/>
      <c r="M43" s="403"/>
      <c r="N43" s="432"/>
      <c r="O43" s="429"/>
      <c r="P43" s="433"/>
      <c r="Q43" s="433"/>
      <c r="R43" s="434"/>
      <c r="S43" s="435"/>
      <c r="T43" s="357"/>
      <c r="U43" s="425"/>
      <c r="V43" s="426"/>
      <c r="W43" s="426"/>
      <c r="X43" s="436"/>
      <c r="Y43" s="425"/>
      <c r="Z43" s="412"/>
      <c r="AA43" s="437"/>
      <c r="AB43" s="409"/>
      <c r="AC43" s="434"/>
      <c r="AD43" s="434"/>
      <c r="AE43" s="434"/>
      <c r="AF43" s="434"/>
      <c r="AG43" s="434"/>
      <c r="AH43" s="434"/>
      <c r="AI43" s="438"/>
    </row>
    <row r="44" s="332" customFormat="1" customHeight="1" spans="1:35">
      <c r="A44" s="399"/>
      <c r="B44" s="429"/>
      <c r="C44" s="429"/>
      <c r="D44" s="401"/>
      <c r="E44" s="430"/>
      <c r="F44" s="430"/>
      <c r="G44" s="401"/>
      <c r="H44" s="439"/>
      <c r="I44" s="439"/>
      <c r="J44" s="430"/>
      <c r="K44" s="431"/>
      <c r="L44" s="429"/>
      <c r="M44" s="403"/>
      <c r="N44" s="432"/>
      <c r="O44" s="429"/>
      <c r="P44" s="433"/>
      <c r="Q44" s="433"/>
      <c r="R44" s="434"/>
      <c r="S44" s="435"/>
      <c r="T44" s="357"/>
      <c r="U44" s="436"/>
      <c r="V44" s="440"/>
      <c r="W44" s="436"/>
      <c r="X44" s="436"/>
      <c r="Y44" s="436"/>
      <c r="Z44" s="412"/>
      <c r="AA44" s="437"/>
      <c r="AB44" s="441"/>
      <c r="AC44" s="434"/>
      <c r="AD44" s="434"/>
      <c r="AE44" s="434"/>
      <c r="AF44" s="434"/>
      <c r="AG44" s="434"/>
      <c r="AH44" s="434"/>
      <c r="AI44" s="438"/>
    </row>
    <row r="45" s="332" customFormat="1" customHeight="1" spans="1:35">
      <c r="A45" s="399"/>
      <c r="B45" s="429"/>
      <c r="C45" s="429"/>
      <c r="D45" s="401"/>
      <c r="E45" s="430"/>
      <c r="F45" s="430"/>
      <c r="G45" s="401"/>
      <c r="H45" s="439"/>
      <c r="I45" s="439"/>
      <c r="J45" s="430"/>
      <c r="K45" s="431"/>
      <c r="L45" s="429"/>
      <c r="M45" s="403"/>
      <c r="N45" s="432"/>
      <c r="O45" s="429"/>
      <c r="P45" s="433"/>
      <c r="Q45" s="433"/>
      <c r="R45" s="434"/>
      <c r="S45" s="435"/>
      <c r="T45" s="357"/>
      <c r="U45" s="436"/>
      <c r="V45" s="440"/>
      <c r="W45" s="436"/>
      <c r="X45" s="436"/>
      <c r="Y45" s="436"/>
      <c r="Z45" s="412"/>
      <c r="AA45" s="437"/>
      <c r="AB45" s="441"/>
      <c r="AC45" s="434"/>
      <c r="AD45" s="434"/>
      <c r="AE45" s="434"/>
      <c r="AF45" s="434"/>
      <c r="AG45" s="434"/>
      <c r="AH45" s="434"/>
      <c r="AI45" s="438"/>
    </row>
    <row r="46" s="332" customFormat="1" customHeight="1" spans="1:35">
      <c r="A46" s="399"/>
      <c r="B46" s="429"/>
      <c r="C46" s="429"/>
      <c r="D46" s="401"/>
      <c r="E46" s="430"/>
      <c r="F46" s="430"/>
      <c r="G46" s="401"/>
      <c r="H46" s="439"/>
      <c r="I46" s="439"/>
      <c r="J46" s="430"/>
      <c r="K46" s="431"/>
      <c r="L46" s="429"/>
      <c r="M46" s="403"/>
      <c r="N46" s="432"/>
      <c r="O46" s="429"/>
      <c r="P46" s="433"/>
      <c r="Q46" s="433"/>
      <c r="R46" s="434"/>
      <c r="S46" s="435"/>
      <c r="T46" s="357"/>
      <c r="U46" s="436"/>
      <c r="V46" s="440"/>
      <c r="W46" s="436"/>
      <c r="X46" s="436"/>
      <c r="Y46" s="436"/>
      <c r="Z46" s="412"/>
      <c r="AA46" s="437"/>
      <c r="AB46" s="441"/>
      <c r="AC46" s="434"/>
      <c r="AD46" s="434"/>
      <c r="AE46" s="434"/>
      <c r="AF46" s="434"/>
      <c r="AG46" s="434"/>
      <c r="AH46" s="434"/>
      <c r="AI46" s="438"/>
    </row>
    <row r="47" s="332" customFormat="1" customHeight="1" spans="1:35">
      <c r="A47" s="399"/>
      <c r="B47" s="429"/>
      <c r="C47" s="429"/>
      <c r="D47" s="401"/>
      <c r="E47" s="430"/>
      <c r="F47" s="430"/>
      <c r="G47" s="401"/>
      <c r="H47" s="439"/>
      <c r="I47" s="439"/>
      <c r="J47" s="430"/>
      <c r="K47" s="431"/>
      <c r="L47" s="429"/>
      <c r="M47" s="403"/>
      <c r="N47" s="432"/>
      <c r="O47" s="429"/>
      <c r="P47" s="433"/>
      <c r="Q47" s="433"/>
      <c r="R47" s="434"/>
      <c r="S47" s="435"/>
      <c r="T47" s="357"/>
      <c r="U47" s="436"/>
      <c r="V47" s="440"/>
      <c r="W47" s="436"/>
      <c r="X47" s="436"/>
      <c r="Y47" s="436"/>
      <c r="Z47" s="412"/>
      <c r="AA47" s="437"/>
      <c r="AB47" s="441"/>
      <c r="AC47" s="434"/>
      <c r="AD47" s="434"/>
      <c r="AE47" s="434"/>
      <c r="AF47" s="434"/>
      <c r="AG47" s="434"/>
      <c r="AH47" s="434"/>
      <c r="AI47" s="438"/>
    </row>
    <row r="48" s="332" customFormat="1" customHeight="1" spans="1:35">
      <c r="A48" s="429"/>
      <c r="B48" s="429"/>
      <c r="C48" s="429"/>
      <c r="D48" s="430"/>
      <c r="E48" s="430"/>
      <c r="F48" s="430"/>
      <c r="G48" s="430"/>
      <c r="H48" s="430"/>
      <c r="I48" s="430"/>
      <c r="J48" s="430"/>
      <c r="K48" s="431"/>
      <c r="L48" s="429"/>
      <c r="M48" s="403"/>
      <c r="N48" s="432"/>
      <c r="O48" s="429"/>
      <c r="P48" s="433"/>
      <c r="Q48" s="433"/>
      <c r="R48" s="434"/>
      <c r="S48" s="435"/>
      <c r="T48" s="357"/>
      <c r="U48" s="436"/>
      <c r="V48" s="442"/>
      <c r="W48" s="443"/>
      <c r="X48" s="436"/>
      <c r="Y48" s="436"/>
      <c r="Z48" s="412"/>
      <c r="AA48" s="437"/>
      <c r="AB48" s="441"/>
      <c r="AC48" s="434"/>
      <c r="AD48" s="434"/>
      <c r="AE48" s="434"/>
      <c r="AF48" s="434"/>
      <c r="AG48" s="434"/>
      <c r="AH48" s="434"/>
      <c r="AI48" s="438"/>
    </row>
    <row r="49" s="332" customFormat="1" customHeight="1" spans="1:35">
      <c r="A49" s="429"/>
      <c r="B49" s="429"/>
      <c r="C49" s="429"/>
      <c r="D49" s="430"/>
      <c r="E49" s="430"/>
      <c r="F49" s="430"/>
      <c r="G49" s="430"/>
      <c r="H49" s="430"/>
      <c r="I49" s="430"/>
      <c r="J49" s="430"/>
      <c r="K49" s="431"/>
      <c r="L49" s="429"/>
      <c r="M49" s="403"/>
      <c r="N49" s="432"/>
      <c r="O49" s="429"/>
      <c r="P49" s="433"/>
      <c r="Q49" s="433"/>
      <c r="R49" s="434"/>
      <c r="S49" s="435"/>
      <c r="T49" s="357"/>
      <c r="U49" s="436"/>
      <c r="V49" s="440"/>
      <c r="W49" s="436"/>
      <c r="X49" s="436"/>
      <c r="Y49" s="436"/>
      <c r="Z49" s="412"/>
      <c r="AA49" s="437"/>
      <c r="AB49" s="444"/>
      <c r="AC49" s="438"/>
      <c r="AD49" s="438"/>
      <c r="AE49" s="438"/>
      <c r="AF49" s="438"/>
      <c r="AG49" s="438"/>
      <c r="AH49" s="438"/>
      <c r="AI49" s="438"/>
    </row>
    <row r="50" s="332" customFormat="1" customHeight="1" spans="1:35">
      <c r="A50" s="429"/>
      <c r="B50" s="429"/>
      <c r="C50" s="429"/>
      <c r="D50" s="430"/>
      <c r="E50" s="430"/>
      <c r="F50" s="430"/>
      <c r="G50" s="430"/>
      <c r="H50" s="430"/>
      <c r="I50" s="430"/>
      <c r="J50" s="430"/>
      <c r="K50" s="431"/>
      <c r="L50" s="429"/>
      <c r="M50" s="403"/>
      <c r="N50" s="432"/>
      <c r="O50" s="429"/>
      <c r="P50" s="433"/>
      <c r="Q50" s="433"/>
      <c r="R50" s="434"/>
      <c r="S50" s="435"/>
      <c r="T50" s="357"/>
      <c r="U50" s="436"/>
      <c r="V50" s="440"/>
      <c r="W50" s="436"/>
      <c r="X50" s="436"/>
      <c r="Y50" s="436"/>
      <c r="Z50" s="412"/>
      <c r="AA50" s="437"/>
      <c r="AB50" s="444"/>
      <c r="AC50" s="438"/>
      <c r="AD50" s="438"/>
      <c r="AE50" s="438"/>
      <c r="AF50" s="438"/>
      <c r="AG50" s="438"/>
      <c r="AH50" s="438"/>
      <c r="AI50" s="438"/>
    </row>
    <row r="51" s="60" customFormat="1" customHeight="1" spans="1:35">
      <c r="A51" s="318"/>
      <c r="B51" s="318"/>
      <c r="C51" s="318"/>
      <c r="D51" s="321"/>
      <c r="E51" s="321"/>
      <c r="F51" s="321"/>
      <c r="G51" s="321"/>
      <c r="H51" s="321"/>
      <c r="I51" s="321"/>
      <c r="J51" s="321"/>
      <c r="K51" s="363"/>
      <c r="L51" s="318"/>
      <c r="M51" s="352"/>
      <c r="N51" s="353"/>
      <c r="O51" s="318"/>
      <c r="P51" s="354"/>
      <c r="Q51" s="354"/>
      <c r="R51" s="355"/>
      <c r="S51" s="356"/>
      <c r="T51" s="357"/>
      <c r="U51" s="58"/>
      <c r="V51" s="325"/>
      <c r="W51" s="58"/>
      <c r="X51" s="58"/>
      <c r="Y51" s="58"/>
      <c r="Z51" s="360"/>
      <c r="AA51" s="326"/>
      <c r="AB51" s="327"/>
      <c r="AC51" s="336"/>
      <c r="AD51" s="336"/>
      <c r="AE51" s="336"/>
      <c r="AF51" s="336"/>
      <c r="AG51" s="336"/>
      <c r="AH51" s="336"/>
      <c r="AI51" s="336"/>
    </row>
    <row r="52" s="60" customFormat="1" customHeight="1" spans="1:35">
      <c r="A52" s="318"/>
      <c r="B52" s="318"/>
      <c r="C52" s="318"/>
      <c r="D52" s="321"/>
      <c r="E52" s="321"/>
      <c r="F52" s="321"/>
      <c r="G52" s="321"/>
      <c r="H52" s="321"/>
      <c r="I52" s="321"/>
      <c r="J52" s="321"/>
      <c r="K52" s="363"/>
      <c r="L52" s="318"/>
      <c r="M52" s="352"/>
      <c r="N52" s="353"/>
      <c r="O52" s="318"/>
      <c r="P52" s="354"/>
      <c r="Q52" s="354"/>
      <c r="R52" s="355"/>
      <c r="S52" s="356"/>
      <c r="T52" s="357"/>
      <c r="U52" s="58"/>
      <c r="V52" s="325"/>
      <c r="W52" s="58"/>
      <c r="X52" s="58"/>
      <c r="Y52" s="58"/>
      <c r="Z52" s="360"/>
      <c r="AA52" s="326"/>
      <c r="AB52" s="327"/>
      <c r="AC52" s="336"/>
      <c r="AD52" s="336"/>
      <c r="AE52" s="336"/>
      <c r="AF52" s="336"/>
      <c r="AG52" s="336"/>
      <c r="AH52" s="336"/>
      <c r="AI52" s="336"/>
    </row>
    <row r="53" s="60" customFormat="1" customHeight="1" spans="1:35">
      <c r="A53" s="318"/>
      <c r="B53" s="318"/>
      <c r="C53" s="318"/>
      <c r="D53" s="321"/>
      <c r="E53" s="321"/>
      <c r="F53" s="321"/>
      <c r="G53" s="321"/>
      <c r="H53" s="321"/>
      <c r="I53" s="321"/>
      <c r="J53" s="321"/>
      <c r="K53" s="363"/>
      <c r="L53" s="318"/>
      <c r="M53" s="352"/>
      <c r="N53" s="353"/>
      <c r="O53" s="318"/>
      <c r="P53" s="354"/>
      <c r="Q53" s="354"/>
      <c r="R53" s="355"/>
      <c r="S53" s="356"/>
      <c r="T53" s="357"/>
      <c r="U53" s="58"/>
      <c r="V53" s="325"/>
      <c r="W53" s="58"/>
      <c r="X53" s="58"/>
      <c r="Y53" s="58"/>
      <c r="Z53" s="360"/>
      <c r="AA53" s="326"/>
      <c r="AB53" s="327"/>
      <c r="AC53" s="336"/>
      <c r="AD53" s="336"/>
      <c r="AE53" s="336"/>
      <c r="AF53" s="336"/>
      <c r="AG53" s="336"/>
      <c r="AH53" s="336"/>
      <c r="AI53" s="336"/>
    </row>
    <row r="54" s="60" customFormat="1" customHeight="1" spans="1:35">
      <c r="A54" s="318"/>
      <c r="B54" s="318"/>
      <c r="C54" s="318"/>
      <c r="D54" s="321"/>
      <c r="E54" s="321"/>
      <c r="F54" s="321"/>
      <c r="G54" s="321"/>
      <c r="H54" s="321"/>
      <c r="I54" s="321"/>
      <c r="J54" s="321"/>
      <c r="K54" s="363"/>
      <c r="L54" s="318"/>
      <c r="M54" s="352"/>
      <c r="N54" s="353"/>
      <c r="O54" s="318"/>
      <c r="P54" s="354"/>
      <c r="Q54" s="354"/>
      <c r="R54" s="355"/>
      <c r="S54" s="356"/>
      <c r="T54" s="357"/>
      <c r="U54" s="58"/>
      <c r="V54" s="325"/>
      <c r="W54" s="58"/>
      <c r="X54" s="58"/>
      <c r="Y54" s="58"/>
      <c r="Z54" s="360"/>
      <c r="AA54" s="326"/>
      <c r="AB54" s="327"/>
      <c r="AC54" s="336"/>
      <c r="AD54" s="336"/>
      <c r="AE54" s="336"/>
      <c r="AF54" s="336"/>
      <c r="AG54" s="336"/>
      <c r="AH54" s="336"/>
      <c r="AI54" s="336"/>
    </row>
    <row r="55" s="60" customFormat="1" customHeight="1" spans="1:35">
      <c r="A55" s="318"/>
      <c r="B55" s="318"/>
      <c r="C55" s="318"/>
      <c r="D55" s="321"/>
      <c r="E55" s="321"/>
      <c r="F55" s="321"/>
      <c r="G55" s="321"/>
      <c r="H55" s="321"/>
      <c r="I55" s="321"/>
      <c r="J55" s="321"/>
      <c r="K55" s="363"/>
      <c r="L55" s="318"/>
      <c r="M55" s="352"/>
      <c r="N55" s="353"/>
      <c r="O55" s="318"/>
      <c r="P55" s="354"/>
      <c r="Q55" s="354"/>
      <c r="R55" s="355"/>
      <c r="S55" s="356"/>
      <c r="T55" s="357"/>
      <c r="U55" s="58"/>
      <c r="V55" s="325"/>
      <c r="W55" s="58"/>
      <c r="X55" s="58"/>
      <c r="Y55" s="58"/>
      <c r="Z55" s="360"/>
      <c r="AA55" s="326"/>
      <c r="AB55" s="327"/>
      <c r="AC55" s="336"/>
      <c r="AD55" s="336"/>
      <c r="AE55" s="336"/>
      <c r="AF55" s="336"/>
      <c r="AG55" s="336"/>
      <c r="AH55" s="336"/>
      <c r="AI55" s="336"/>
    </row>
    <row r="56" s="60" customFormat="1" customHeight="1" spans="1:35">
      <c r="A56" s="318"/>
      <c r="B56" s="318"/>
      <c r="C56" s="318"/>
      <c r="D56" s="321"/>
      <c r="E56" s="321"/>
      <c r="F56" s="321"/>
      <c r="G56" s="321"/>
      <c r="H56" s="321"/>
      <c r="I56" s="321"/>
      <c r="J56" s="321"/>
      <c r="K56" s="363"/>
      <c r="L56" s="318"/>
      <c r="M56" s="352"/>
      <c r="N56" s="353"/>
      <c r="O56" s="318"/>
      <c r="P56" s="354"/>
      <c r="Q56" s="354"/>
      <c r="R56" s="355"/>
      <c r="S56" s="356"/>
      <c r="T56" s="357"/>
      <c r="U56" s="58"/>
      <c r="V56" s="325"/>
      <c r="W56" s="58"/>
      <c r="X56" s="58"/>
      <c r="Y56" s="58"/>
      <c r="Z56" s="360"/>
      <c r="AA56" s="326"/>
      <c r="AB56" s="327"/>
      <c r="AC56" s="336"/>
      <c r="AD56" s="336"/>
      <c r="AE56" s="336"/>
      <c r="AF56" s="336"/>
      <c r="AG56" s="336"/>
      <c r="AH56" s="336"/>
      <c r="AI56" s="336"/>
    </row>
    <row r="57" s="60" customFormat="1" customHeight="1" spans="1:35">
      <c r="A57" s="318"/>
      <c r="B57" s="318"/>
      <c r="C57" s="318"/>
      <c r="D57" s="321"/>
      <c r="E57" s="321"/>
      <c r="F57" s="321"/>
      <c r="G57" s="321"/>
      <c r="H57" s="321"/>
      <c r="I57" s="321"/>
      <c r="J57" s="321"/>
      <c r="K57" s="363"/>
      <c r="L57" s="318"/>
      <c r="M57" s="352"/>
      <c r="N57" s="353"/>
      <c r="O57" s="318"/>
      <c r="P57" s="354"/>
      <c r="Q57" s="354"/>
      <c r="R57" s="355"/>
      <c r="S57" s="356"/>
      <c r="T57" s="357"/>
      <c r="U57" s="58"/>
      <c r="V57" s="325"/>
      <c r="W57" s="58"/>
      <c r="X57" s="58"/>
      <c r="Y57" s="58"/>
      <c r="Z57" s="360"/>
      <c r="AA57" s="326"/>
      <c r="AB57" s="327"/>
      <c r="AC57" s="336"/>
      <c r="AD57" s="336"/>
      <c r="AE57" s="336"/>
      <c r="AF57" s="336"/>
      <c r="AG57" s="336"/>
      <c r="AH57" s="336"/>
      <c r="AI57" s="336"/>
    </row>
    <row r="58" s="60" customFormat="1" customHeight="1" spans="1:35">
      <c r="A58" s="318"/>
      <c r="B58" s="318"/>
      <c r="C58" s="318"/>
      <c r="D58" s="321"/>
      <c r="E58" s="321"/>
      <c r="F58" s="321"/>
      <c r="G58" s="321"/>
      <c r="H58" s="321"/>
      <c r="I58" s="321"/>
      <c r="J58" s="321"/>
      <c r="K58" s="363"/>
      <c r="L58" s="318"/>
      <c r="M58" s="352"/>
      <c r="N58" s="353"/>
      <c r="O58" s="318"/>
      <c r="P58" s="354"/>
      <c r="Q58" s="354"/>
      <c r="R58" s="355"/>
      <c r="S58" s="356"/>
      <c r="T58" s="357"/>
      <c r="U58" s="58"/>
      <c r="V58" s="325"/>
      <c r="W58" s="58"/>
      <c r="X58" s="58"/>
      <c r="Y58" s="58"/>
      <c r="Z58" s="360"/>
      <c r="AA58" s="326"/>
      <c r="AB58" s="327"/>
      <c r="AC58" s="336"/>
      <c r="AD58" s="336"/>
      <c r="AE58" s="336"/>
      <c r="AF58" s="336"/>
      <c r="AG58" s="336"/>
      <c r="AH58" s="336"/>
      <c r="AI58" s="336"/>
    </row>
    <row r="59" s="60" customFormat="1" customHeight="1" spans="1:35">
      <c r="A59" s="318"/>
      <c r="B59" s="318"/>
      <c r="C59" s="318"/>
      <c r="D59" s="321"/>
      <c r="E59" s="321"/>
      <c r="F59" s="321"/>
      <c r="G59" s="321"/>
      <c r="H59" s="321"/>
      <c r="I59" s="321"/>
      <c r="J59" s="321"/>
      <c r="K59" s="363"/>
      <c r="L59" s="318"/>
      <c r="M59" s="352"/>
      <c r="N59" s="353"/>
      <c r="O59" s="318"/>
      <c r="P59" s="354"/>
      <c r="Q59" s="354"/>
      <c r="R59" s="355"/>
      <c r="S59" s="356"/>
      <c r="T59" s="357"/>
      <c r="U59" s="58"/>
      <c r="V59" s="325"/>
      <c r="W59" s="58"/>
      <c r="X59" s="58"/>
      <c r="Y59" s="58"/>
      <c r="Z59" s="360"/>
      <c r="AA59" s="326"/>
      <c r="AB59" s="327"/>
      <c r="AC59" s="336"/>
      <c r="AD59" s="336"/>
      <c r="AE59" s="336"/>
      <c r="AF59" s="336"/>
      <c r="AG59" s="336"/>
      <c r="AH59" s="336"/>
      <c r="AI59" s="336"/>
    </row>
    <row r="60" s="60" customFormat="1" customHeight="1" spans="1:35">
      <c r="A60" s="318"/>
      <c r="B60" s="318"/>
      <c r="C60" s="318"/>
      <c r="D60" s="321"/>
      <c r="E60" s="321"/>
      <c r="F60" s="321"/>
      <c r="G60" s="321"/>
      <c r="H60" s="321"/>
      <c r="I60" s="321"/>
      <c r="J60" s="321"/>
      <c r="K60" s="363"/>
      <c r="L60" s="318"/>
      <c r="M60" s="352"/>
      <c r="N60" s="353"/>
      <c r="O60" s="318"/>
      <c r="P60" s="354"/>
      <c r="Q60" s="354"/>
      <c r="R60" s="355"/>
      <c r="S60" s="356"/>
      <c r="T60" s="357"/>
      <c r="U60" s="58"/>
      <c r="V60" s="325"/>
      <c r="W60" s="58"/>
      <c r="X60" s="58"/>
      <c r="Y60" s="58"/>
      <c r="Z60" s="360"/>
      <c r="AA60" s="326"/>
      <c r="AB60" s="327"/>
      <c r="AC60" s="336"/>
      <c r="AD60" s="336"/>
      <c r="AE60" s="336"/>
      <c r="AF60" s="336"/>
      <c r="AG60" s="336"/>
      <c r="AH60" s="336"/>
      <c r="AI60" s="336"/>
    </row>
    <row r="61" s="60" customFormat="1" customHeight="1" spans="1:35">
      <c r="A61" s="318"/>
      <c r="B61" s="318"/>
      <c r="C61" s="318"/>
      <c r="D61" s="321"/>
      <c r="E61" s="321"/>
      <c r="F61" s="321"/>
      <c r="G61" s="321"/>
      <c r="H61" s="321"/>
      <c r="I61" s="321"/>
      <c r="J61" s="321"/>
      <c r="K61" s="363"/>
      <c r="L61" s="318"/>
      <c r="M61" s="352"/>
      <c r="N61" s="353"/>
      <c r="O61" s="318"/>
      <c r="P61" s="354"/>
      <c r="Q61" s="354"/>
      <c r="R61" s="355"/>
      <c r="S61" s="356"/>
      <c r="T61" s="357"/>
      <c r="U61" s="58"/>
      <c r="V61" s="325"/>
      <c r="W61" s="58"/>
      <c r="X61" s="58"/>
      <c r="Y61" s="58"/>
      <c r="Z61" s="360"/>
      <c r="AA61" s="326"/>
      <c r="AB61" s="327"/>
      <c r="AC61" s="336"/>
      <c r="AD61" s="336"/>
      <c r="AE61" s="336"/>
      <c r="AF61" s="336"/>
      <c r="AG61" s="336"/>
      <c r="AH61" s="336"/>
      <c r="AI61" s="336"/>
    </row>
    <row r="62" s="60" customFormat="1" customHeight="1" spans="1:35">
      <c r="A62" s="318"/>
      <c r="B62" s="318"/>
      <c r="C62" s="318"/>
      <c r="D62" s="321"/>
      <c r="E62" s="321"/>
      <c r="F62" s="321"/>
      <c r="G62" s="321"/>
      <c r="H62" s="321"/>
      <c r="I62" s="321"/>
      <c r="J62" s="321"/>
      <c r="K62" s="363"/>
      <c r="L62" s="318"/>
      <c r="M62" s="352"/>
      <c r="N62" s="353"/>
      <c r="O62" s="318"/>
      <c r="P62" s="354"/>
      <c r="Q62" s="354"/>
      <c r="R62" s="355"/>
      <c r="S62" s="356"/>
      <c r="T62" s="357"/>
      <c r="U62" s="58"/>
      <c r="V62" s="325"/>
      <c r="W62" s="58"/>
      <c r="X62" s="58"/>
      <c r="Y62" s="58"/>
      <c r="Z62" s="360"/>
      <c r="AA62" s="326"/>
      <c r="AB62" s="327"/>
      <c r="AC62" s="336"/>
      <c r="AD62" s="336"/>
      <c r="AE62" s="336"/>
      <c r="AF62" s="336"/>
      <c r="AG62" s="336"/>
      <c r="AH62" s="336"/>
      <c r="AI62" s="336"/>
    </row>
    <row r="63" s="60" customFormat="1" customHeight="1" spans="1:35">
      <c r="A63" s="318"/>
      <c r="B63" s="318"/>
      <c r="C63" s="318"/>
      <c r="D63" s="321"/>
      <c r="E63" s="321"/>
      <c r="F63" s="321"/>
      <c r="G63" s="321"/>
      <c r="H63" s="321"/>
      <c r="I63" s="321"/>
      <c r="J63" s="321"/>
      <c r="K63" s="363"/>
      <c r="L63" s="318"/>
      <c r="M63" s="352"/>
      <c r="N63" s="353"/>
      <c r="O63" s="318"/>
      <c r="P63" s="354"/>
      <c r="Q63" s="354"/>
      <c r="R63" s="355"/>
      <c r="S63" s="356"/>
      <c r="T63" s="357"/>
      <c r="U63" s="58"/>
      <c r="V63" s="325"/>
      <c r="W63" s="58"/>
      <c r="X63" s="58"/>
      <c r="Y63" s="58"/>
      <c r="Z63" s="360"/>
      <c r="AA63" s="326"/>
      <c r="AB63" s="327"/>
      <c r="AC63" s="336"/>
      <c r="AD63" s="336"/>
      <c r="AE63" s="336"/>
      <c r="AF63" s="336"/>
      <c r="AG63" s="336"/>
      <c r="AH63" s="336"/>
      <c r="AI63" s="336"/>
    </row>
    <row r="64" s="60" customFormat="1" customHeight="1" spans="1:35">
      <c r="A64" s="318"/>
      <c r="B64" s="318"/>
      <c r="C64" s="318"/>
      <c r="D64" s="321"/>
      <c r="E64" s="321"/>
      <c r="F64" s="321"/>
      <c r="G64" s="321"/>
      <c r="H64" s="321"/>
      <c r="I64" s="321"/>
      <c r="J64" s="321"/>
      <c r="K64" s="363"/>
      <c r="L64" s="318"/>
      <c r="M64" s="352"/>
      <c r="N64" s="353"/>
      <c r="O64" s="318"/>
      <c r="P64" s="354"/>
      <c r="Q64" s="354"/>
      <c r="R64" s="355"/>
      <c r="S64" s="356"/>
      <c r="T64" s="357"/>
      <c r="U64" s="58"/>
      <c r="V64" s="325"/>
      <c r="W64" s="58"/>
      <c r="X64" s="58"/>
      <c r="Y64" s="58"/>
      <c r="Z64" s="360"/>
      <c r="AA64" s="326"/>
      <c r="AB64" s="327"/>
      <c r="AC64" s="336"/>
      <c r="AD64" s="336"/>
      <c r="AE64" s="336"/>
      <c r="AF64" s="336"/>
      <c r="AG64" s="336"/>
      <c r="AH64" s="336"/>
      <c r="AI64" s="336"/>
    </row>
    <row r="65" s="60" customFormat="1" customHeight="1" spans="1:35">
      <c r="A65" s="318"/>
      <c r="B65" s="318"/>
      <c r="C65" s="318"/>
      <c r="D65" s="321"/>
      <c r="E65" s="321"/>
      <c r="F65" s="321"/>
      <c r="G65" s="321"/>
      <c r="H65" s="321"/>
      <c r="I65" s="321"/>
      <c r="J65" s="321"/>
      <c r="K65" s="363"/>
      <c r="L65" s="318"/>
      <c r="M65" s="352"/>
      <c r="N65" s="353"/>
      <c r="O65" s="318"/>
      <c r="P65" s="354"/>
      <c r="Q65" s="354"/>
      <c r="R65" s="355"/>
      <c r="S65" s="356"/>
      <c r="T65" s="357"/>
      <c r="U65" s="58"/>
      <c r="V65" s="325"/>
      <c r="W65" s="58"/>
      <c r="X65" s="58"/>
      <c r="Y65" s="58"/>
      <c r="Z65" s="360"/>
      <c r="AA65" s="326"/>
      <c r="AB65" s="327"/>
      <c r="AC65" s="336"/>
      <c r="AD65" s="336"/>
      <c r="AE65" s="336"/>
      <c r="AF65" s="336"/>
      <c r="AG65" s="336"/>
      <c r="AH65" s="336"/>
      <c r="AI65" s="336"/>
    </row>
    <row r="66" s="60" customFormat="1" customHeight="1" spans="1:35">
      <c r="A66" s="318"/>
      <c r="B66" s="318"/>
      <c r="C66" s="318"/>
      <c r="D66" s="321"/>
      <c r="E66" s="321"/>
      <c r="F66" s="321"/>
      <c r="G66" s="321"/>
      <c r="H66" s="321"/>
      <c r="I66" s="321"/>
      <c r="J66" s="321"/>
      <c r="K66" s="363"/>
      <c r="L66" s="318"/>
      <c r="M66" s="352"/>
      <c r="N66" s="353"/>
      <c r="O66" s="318"/>
      <c r="P66" s="354"/>
      <c r="Q66" s="354"/>
      <c r="R66" s="355"/>
      <c r="S66" s="356"/>
      <c r="T66" s="357"/>
      <c r="U66" s="58"/>
      <c r="V66" s="325"/>
      <c r="W66" s="58"/>
      <c r="X66" s="58"/>
      <c r="Y66" s="58"/>
      <c r="Z66" s="360"/>
      <c r="AA66" s="326"/>
      <c r="AB66" s="327"/>
      <c r="AC66" s="336"/>
      <c r="AD66" s="336"/>
      <c r="AE66" s="336"/>
      <c r="AF66" s="336"/>
      <c r="AG66" s="336"/>
      <c r="AH66" s="336"/>
      <c r="AI66" s="336"/>
    </row>
    <row r="67" s="60" customFormat="1" customHeight="1" spans="1:35">
      <c r="A67" s="318"/>
      <c r="B67" s="318"/>
      <c r="C67" s="318"/>
      <c r="D67" s="321"/>
      <c r="E67" s="321"/>
      <c r="F67" s="321"/>
      <c r="G67" s="321"/>
      <c r="H67" s="321"/>
      <c r="I67" s="321"/>
      <c r="J67" s="321"/>
      <c r="K67" s="363"/>
      <c r="L67" s="318"/>
      <c r="M67" s="352"/>
      <c r="N67" s="353"/>
      <c r="O67" s="318"/>
      <c r="P67" s="354"/>
      <c r="Q67" s="354"/>
      <c r="R67" s="355"/>
      <c r="S67" s="356"/>
      <c r="T67" s="357"/>
      <c r="U67" s="58"/>
      <c r="V67" s="325"/>
      <c r="W67" s="58"/>
      <c r="X67" s="58"/>
      <c r="Y67" s="58"/>
      <c r="Z67" s="360"/>
      <c r="AA67" s="326"/>
      <c r="AB67" s="327"/>
      <c r="AC67" s="336"/>
      <c r="AD67" s="336"/>
      <c r="AE67" s="336"/>
      <c r="AF67" s="336"/>
      <c r="AG67" s="336"/>
      <c r="AH67" s="336"/>
      <c r="AI67" s="336"/>
    </row>
    <row r="68" s="60" customFormat="1" customHeight="1" spans="1:35">
      <c r="A68" s="318"/>
      <c r="B68" s="318"/>
      <c r="C68" s="318"/>
      <c r="D68" s="321"/>
      <c r="E68" s="321"/>
      <c r="F68" s="321"/>
      <c r="G68" s="321"/>
      <c r="H68" s="321"/>
      <c r="I68" s="321"/>
      <c r="J68" s="321"/>
      <c r="K68" s="363"/>
      <c r="L68" s="318"/>
      <c r="M68" s="352"/>
      <c r="N68" s="353"/>
      <c r="O68" s="318"/>
      <c r="P68" s="354"/>
      <c r="Q68" s="354"/>
      <c r="R68" s="355"/>
      <c r="S68" s="356"/>
      <c r="T68" s="357"/>
      <c r="U68" s="58"/>
      <c r="V68" s="325"/>
      <c r="W68" s="58"/>
      <c r="X68" s="58"/>
      <c r="Y68" s="58"/>
      <c r="Z68" s="360"/>
      <c r="AA68" s="326"/>
      <c r="AB68" s="327"/>
      <c r="AC68" s="336"/>
      <c r="AD68" s="336"/>
      <c r="AE68" s="336"/>
      <c r="AF68" s="336"/>
      <c r="AG68" s="336"/>
      <c r="AH68" s="336"/>
      <c r="AI68" s="336"/>
    </row>
    <row r="69" s="60" customFormat="1" customHeight="1" spans="1:35">
      <c r="A69" s="318"/>
      <c r="B69" s="318"/>
      <c r="C69" s="318"/>
      <c r="D69" s="321"/>
      <c r="E69" s="321"/>
      <c r="F69" s="321"/>
      <c r="G69" s="321"/>
      <c r="H69" s="321"/>
      <c r="I69" s="321"/>
      <c r="J69" s="321"/>
      <c r="K69" s="363"/>
      <c r="L69" s="318"/>
      <c r="M69" s="352"/>
      <c r="N69" s="353"/>
      <c r="O69" s="318"/>
      <c r="P69" s="354"/>
      <c r="Q69" s="354"/>
      <c r="R69" s="355"/>
      <c r="S69" s="356"/>
      <c r="T69" s="357"/>
      <c r="U69" s="58"/>
      <c r="V69" s="325"/>
      <c r="W69" s="58"/>
      <c r="X69" s="58"/>
      <c r="Y69" s="58"/>
      <c r="Z69" s="360"/>
      <c r="AA69" s="326"/>
      <c r="AB69" s="327"/>
      <c r="AC69" s="336"/>
      <c r="AD69" s="336"/>
      <c r="AE69" s="336"/>
      <c r="AF69" s="336"/>
      <c r="AG69" s="336"/>
      <c r="AH69" s="336"/>
      <c r="AI69" s="336"/>
    </row>
    <row r="70" s="60" customFormat="1" customHeight="1" spans="1:35">
      <c r="A70" s="318"/>
      <c r="B70" s="318"/>
      <c r="C70" s="318"/>
      <c r="D70" s="321"/>
      <c r="E70" s="321"/>
      <c r="F70" s="321"/>
      <c r="G70" s="321"/>
      <c r="H70" s="321"/>
      <c r="I70" s="321"/>
      <c r="J70" s="321"/>
      <c r="K70" s="363"/>
      <c r="L70" s="318"/>
      <c r="M70" s="352"/>
      <c r="N70" s="353"/>
      <c r="O70" s="318"/>
      <c r="P70" s="354"/>
      <c r="Q70" s="354"/>
      <c r="R70" s="355"/>
      <c r="S70" s="356"/>
      <c r="T70" s="357"/>
      <c r="U70" s="58"/>
      <c r="V70" s="325"/>
      <c r="W70" s="58"/>
      <c r="X70" s="58"/>
      <c r="Y70" s="58"/>
      <c r="Z70" s="360"/>
      <c r="AA70" s="326"/>
      <c r="AB70" s="327"/>
      <c r="AC70" s="336"/>
      <c r="AD70" s="336"/>
      <c r="AE70" s="336"/>
      <c r="AF70" s="336"/>
      <c r="AG70" s="336"/>
      <c r="AH70" s="336"/>
      <c r="AI70" s="336"/>
    </row>
    <row r="71" s="60" customFormat="1" customHeight="1" spans="1:35">
      <c r="A71" s="318"/>
      <c r="B71" s="318"/>
      <c r="C71" s="318"/>
      <c r="D71" s="321"/>
      <c r="E71" s="321"/>
      <c r="F71" s="321"/>
      <c r="G71" s="321"/>
      <c r="H71" s="321"/>
      <c r="I71" s="321"/>
      <c r="J71" s="321"/>
      <c r="K71" s="363"/>
      <c r="L71" s="318"/>
      <c r="M71" s="352"/>
      <c r="N71" s="353"/>
      <c r="O71" s="318"/>
      <c r="P71" s="354"/>
      <c r="Q71" s="354"/>
      <c r="R71" s="355"/>
      <c r="S71" s="356"/>
      <c r="T71" s="357"/>
      <c r="U71" s="58"/>
      <c r="V71" s="325"/>
      <c r="W71" s="58"/>
      <c r="X71" s="58"/>
      <c r="Y71" s="58"/>
      <c r="Z71" s="360"/>
      <c r="AA71" s="326"/>
      <c r="AB71" s="327"/>
      <c r="AC71" s="336"/>
      <c r="AD71" s="336"/>
      <c r="AE71" s="336"/>
      <c r="AF71" s="336"/>
      <c r="AG71" s="336"/>
      <c r="AH71" s="336"/>
      <c r="AI71" s="336"/>
    </row>
    <row r="72" s="60" customFormat="1" customHeight="1" spans="1:35">
      <c r="A72" s="318"/>
      <c r="B72" s="318"/>
      <c r="C72" s="318"/>
      <c r="D72" s="321"/>
      <c r="E72" s="321"/>
      <c r="F72" s="321"/>
      <c r="G72" s="321"/>
      <c r="H72" s="321"/>
      <c r="I72" s="321"/>
      <c r="J72" s="321"/>
      <c r="K72" s="363"/>
      <c r="L72" s="318"/>
      <c r="M72" s="352"/>
      <c r="N72" s="353"/>
      <c r="O72" s="318"/>
      <c r="P72" s="354"/>
      <c r="Q72" s="354"/>
      <c r="R72" s="355"/>
      <c r="S72" s="356"/>
      <c r="T72" s="357"/>
      <c r="U72" s="58"/>
      <c r="V72" s="325"/>
      <c r="W72" s="58"/>
      <c r="X72" s="58"/>
      <c r="Y72" s="58"/>
      <c r="Z72" s="360"/>
      <c r="AA72" s="326"/>
      <c r="AB72" s="327"/>
      <c r="AC72" s="336"/>
      <c r="AD72" s="336"/>
      <c r="AE72" s="336"/>
      <c r="AF72" s="336"/>
      <c r="AG72" s="336"/>
      <c r="AH72" s="336"/>
      <c r="AI72" s="336"/>
    </row>
    <row r="73" s="60" customFormat="1" customHeight="1" spans="1:35">
      <c r="A73" s="318"/>
      <c r="B73" s="318"/>
      <c r="C73" s="318"/>
      <c r="D73" s="321"/>
      <c r="E73" s="321"/>
      <c r="F73" s="321"/>
      <c r="G73" s="321"/>
      <c r="H73" s="321"/>
      <c r="I73" s="321"/>
      <c r="J73" s="321"/>
      <c r="K73" s="363"/>
      <c r="L73" s="318"/>
      <c r="M73" s="352"/>
      <c r="N73" s="353"/>
      <c r="O73" s="318"/>
      <c r="P73" s="354"/>
      <c r="Q73" s="354"/>
      <c r="R73" s="355"/>
      <c r="S73" s="356"/>
      <c r="T73" s="357"/>
      <c r="U73" s="58"/>
      <c r="V73" s="325"/>
      <c r="W73" s="58"/>
      <c r="X73" s="58"/>
      <c r="Y73" s="58"/>
      <c r="Z73" s="360"/>
      <c r="AA73" s="326"/>
      <c r="AB73" s="327"/>
      <c r="AC73" s="336"/>
      <c r="AD73" s="336"/>
      <c r="AE73" s="336"/>
      <c r="AF73" s="336"/>
      <c r="AG73" s="336"/>
      <c r="AH73" s="336"/>
      <c r="AI73" s="336"/>
    </row>
    <row r="74" s="60" customFormat="1" customHeight="1" spans="1:35">
      <c r="A74" s="318"/>
      <c r="B74" s="318"/>
      <c r="C74" s="318"/>
      <c r="D74" s="321"/>
      <c r="E74" s="321"/>
      <c r="F74" s="321"/>
      <c r="G74" s="321"/>
      <c r="H74" s="321"/>
      <c r="I74" s="321"/>
      <c r="J74" s="321"/>
      <c r="K74" s="363"/>
      <c r="L74" s="318"/>
      <c r="M74" s="352"/>
      <c r="N74" s="353"/>
      <c r="O74" s="318"/>
      <c r="P74" s="354"/>
      <c r="Q74" s="354"/>
      <c r="R74" s="355"/>
      <c r="S74" s="356"/>
      <c r="T74" s="357"/>
      <c r="U74" s="58"/>
      <c r="V74" s="325"/>
      <c r="W74" s="58"/>
      <c r="X74" s="58"/>
      <c r="Y74" s="58"/>
      <c r="Z74" s="360"/>
      <c r="AA74" s="326"/>
      <c r="AB74" s="327"/>
      <c r="AC74" s="336"/>
      <c r="AD74" s="336"/>
      <c r="AE74" s="336"/>
      <c r="AF74" s="336"/>
      <c r="AG74" s="336"/>
      <c r="AH74" s="336"/>
      <c r="AI74" s="336"/>
    </row>
    <row r="75" s="60" customFormat="1" customHeight="1" spans="1:35">
      <c r="A75" s="318"/>
      <c r="B75" s="318"/>
      <c r="C75" s="318"/>
      <c r="D75" s="321"/>
      <c r="E75" s="321"/>
      <c r="F75" s="321"/>
      <c r="G75" s="321"/>
      <c r="H75" s="321"/>
      <c r="I75" s="321"/>
      <c r="J75" s="321"/>
      <c r="K75" s="363"/>
      <c r="L75" s="318"/>
      <c r="M75" s="352"/>
      <c r="N75" s="353"/>
      <c r="O75" s="318"/>
      <c r="P75" s="354"/>
      <c r="Q75" s="354"/>
      <c r="R75" s="355"/>
      <c r="S75" s="356"/>
      <c r="T75" s="357"/>
      <c r="U75" s="58"/>
      <c r="V75" s="325"/>
      <c r="W75" s="58"/>
      <c r="X75" s="58"/>
      <c r="Y75" s="58"/>
      <c r="Z75" s="360"/>
      <c r="AA75" s="326"/>
      <c r="AB75" s="327"/>
      <c r="AC75" s="336"/>
      <c r="AD75" s="336"/>
      <c r="AE75" s="336"/>
      <c r="AF75" s="336"/>
      <c r="AG75" s="336"/>
      <c r="AH75" s="336"/>
      <c r="AI75" s="336"/>
    </row>
    <row r="76" s="60" customFormat="1" customHeight="1" spans="1:35">
      <c r="A76" s="318"/>
      <c r="B76" s="318"/>
      <c r="C76" s="318"/>
      <c r="D76" s="321"/>
      <c r="E76" s="321"/>
      <c r="F76" s="321"/>
      <c r="G76" s="321"/>
      <c r="H76" s="321"/>
      <c r="I76" s="321"/>
      <c r="J76" s="321"/>
      <c r="K76" s="363"/>
      <c r="L76" s="318"/>
      <c r="M76" s="352"/>
      <c r="N76" s="353"/>
      <c r="O76" s="318"/>
      <c r="P76" s="354"/>
      <c r="Q76" s="354"/>
      <c r="R76" s="355"/>
      <c r="S76" s="356"/>
      <c r="T76" s="357"/>
      <c r="U76" s="58"/>
      <c r="V76" s="325"/>
      <c r="W76" s="58"/>
      <c r="X76" s="58"/>
      <c r="Y76" s="58"/>
      <c r="Z76" s="360"/>
      <c r="AA76" s="326"/>
      <c r="AB76" s="327"/>
      <c r="AC76" s="336"/>
      <c r="AD76" s="336"/>
      <c r="AE76" s="336"/>
      <c r="AF76" s="336"/>
      <c r="AG76" s="336"/>
      <c r="AH76" s="336"/>
      <c r="AI76" s="336"/>
    </row>
    <row r="77" s="60" customFormat="1" customHeight="1" spans="1:35">
      <c r="A77" s="318"/>
      <c r="B77" s="318"/>
      <c r="C77" s="318"/>
      <c r="D77" s="321"/>
      <c r="E77" s="321"/>
      <c r="F77" s="321"/>
      <c r="G77" s="321"/>
      <c r="H77" s="321"/>
      <c r="I77" s="321"/>
      <c r="J77" s="321"/>
      <c r="K77" s="363"/>
      <c r="L77" s="318"/>
      <c r="M77" s="352"/>
      <c r="N77" s="353"/>
      <c r="O77" s="318"/>
      <c r="P77" s="354"/>
      <c r="Q77" s="354"/>
      <c r="R77" s="355"/>
      <c r="S77" s="356"/>
      <c r="T77" s="357"/>
      <c r="U77" s="58"/>
      <c r="V77" s="325"/>
      <c r="W77" s="58"/>
      <c r="X77" s="58"/>
      <c r="Y77" s="58"/>
      <c r="Z77" s="360"/>
      <c r="AA77" s="326"/>
      <c r="AB77" s="327"/>
      <c r="AC77" s="336"/>
      <c r="AD77" s="336"/>
      <c r="AE77" s="336"/>
      <c r="AF77" s="336"/>
      <c r="AG77" s="336"/>
      <c r="AH77" s="336"/>
      <c r="AI77" s="336"/>
    </row>
    <row r="78" s="60" customFormat="1" customHeight="1" spans="1:35">
      <c r="A78" s="318"/>
      <c r="B78" s="318"/>
      <c r="C78" s="318"/>
      <c r="D78" s="321"/>
      <c r="E78" s="321"/>
      <c r="F78" s="321"/>
      <c r="G78" s="321"/>
      <c r="H78" s="321"/>
      <c r="I78" s="321"/>
      <c r="J78" s="321"/>
      <c r="K78" s="363"/>
      <c r="L78" s="318"/>
      <c r="M78" s="352"/>
      <c r="N78" s="353"/>
      <c r="O78" s="318"/>
      <c r="P78" s="354"/>
      <c r="Q78" s="354"/>
      <c r="R78" s="355"/>
      <c r="S78" s="356"/>
      <c r="T78" s="357"/>
      <c r="U78" s="58"/>
      <c r="V78" s="325"/>
      <c r="W78" s="58"/>
      <c r="X78" s="58"/>
      <c r="Y78" s="58"/>
      <c r="Z78" s="360"/>
      <c r="AA78" s="326"/>
      <c r="AB78" s="327"/>
      <c r="AC78" s="336"/>
      <c r="AD78" s="336"/>
      <c r="AE78" s="336"/>
      <c r="AF78" s="336"/>
      <c r="AG78" s="336"/>
      <c r="AH78" s="336"/>
      <c r="AI78" s="336"/>
    </row>
  </sheetData>
  <sheetProtection formatCells="0" autoFilter="0"/>
  <mergeCells count="5">
    <mergeCell ref="B24:C24"/>
    <mergeCell ref="B25:C25"/>
    <mergeCell ref="B26:C26"/>
    <mergeCell ref="B27:C27"/>
    <mergeCell ref="B28:C28"/>
  </mergeCells>
  <pageMargins left="0.75" right="0.75" top="1" bottom="1" header="0.5" footer="0.5"/>
  <pageSetup paperSize="9" scale="1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79"/>
  <sheetViews>
    <sheetView tabSelected="1" zoomScale="55" zoomScaleNormal="55" workbookViewId="0">
      <pane xSplit="13" ySplit="1" topLeftCell="N2" activePane="bottomRight" state="frozen"/>
      <selection/>
      <selection pane="topRight"/>
      <selection pane="bottomLeft"/>
      <selection pane="bottomRight" activeCell="M2" sqref="M2"/>
    </sheetView>
  </sheetViews>
  <sheetFormatPr defaultColWidth="9" defaultRowHeight="18.75"/>
  <cols>
    <col min="1" max="1" width="18.3833333333333" style="60" customWidth="1"/>
    <col min="2" max="2" width="10.5083333333333" style="60" customWidth="1"/>
    <col min="3" max="3" width="10.8916666666667" style="60" customWidth="1"/>
    <col min="4" max="4" width="33.625" style="60" customWidth="1"/>
    <col min="5" max="5" width="21.1" style="288" customWidth="1"/>
    <col min="6" max="6" width="23.8666666666667" style="60" customWidth="1"/>
    <col min="7" max="7" width="18.6333333333333" style="60" customWidth="1"/>
    <col min="8" max="8" width="10.3833333333333" style="60" customWidth="1"/>
    <col min="9" max="10" width="11.1" style="60" customWidth="1"/>
    <col min="11" max="11" width="15.8916666666667" style="60" customWidth="1"/>
    <col min="12" max="12" width="21.2833333333333" style="60" customWidth="1"/>
    <col min="13" max="13" width="18.4" style="60" customWidth="1"/>
    <col min="14" max="16" width="13.825" style="60" customWidth="1"/>
    <col min="17" max="21" width="25.8916666666667" style="60" customWidth="1"/>
    <col min="22" max="22" width="18.3833333333333" style="60" customWidth="1"/>
    <col min="23" max="23" width="13.6666666666667" style="60" customWidth="1"/>
    <col min="24" max="24" width="13.675" style="60" customWidth="1"/>
    <col min="25" max="25" width="17.3416666666667" style="60" customWidth="1"/>
    <col min="26" max="26" width="17.2666666666667" style="60" customWidth="1"/>
    <col min="27" max="33" width="18.6333333333333" style="60" customWidth="1"/>
    <col min="34" max="36" width="18.6333333333333" style="289" customWidth="1"/>
    <col min="37" max="39" width="15.55" style="60" customWidth="1"/>
    <col min="40" max="40" width="15.0333333333333" style="60" customWidth="1"/>
    <col min="41" max="42" width="12.6333333333333" style="60" customWidth="1"/>
    <col min="43" max="43" width="23.4" style="60" customWidth="1"/>
    <col min="44" max="16383" width="9" style="60" customWidth="1"/>
    <col min="16384" max="16384" width="9" style="60"/>
  </cols>
  <sheetData>
    <row r="1" s="58" customFormat="1" ht="56" customHeight="1" spans="1:43">
      <c r="A1" s="74" t="s">
        <v>9</v>
      </c>
      <c r="B1" s="75" t="s">
        <v>10</v>
      </c>
      <c r="C1" s="74" t="s">
        <v>11</v>
      </c>
      <c r="D1" s="74" t="s">
        <v>12</v>
      </c>
      <c r="E1" s="76" t="s">
        <v>13</v>
      </c>
      <c r="F1" s="77" t="s">
        <v>14</v>
      </c>
      <c r="G1" s="78" t="s">
        <v>15</v>
      </c>
      <c r="H1" s="78" t="s">
        <v>4</v>
      </c>
      <c r="I1" s="78" t="s">
        <v>16</v>
      </c>
      <c r="J1" s="78" t="s">
        <v>17</v>
      </c>
      <c r="K1" s="78" t="s">
        <v>18</v>
      </c>
      <c r="L1" s="78" t="s">
        <v>19</v>
      </c>
      <c r="M1" s="78" t="s">
        <v>20</v>
      </c>
      <c r="N1" s="78" t="s">
        <v>74</v>
      </c>
      <c r="O1" s="290" t="s">
        <v>75</v>
      </c>
      <c r="P1" s="290" t="s">
        <v>76</v>
      </c>
      <c r="Q1" s="291" t="s">
        <v>77</v>
      </c>
      <c r="R1" s="291" t="s">
        <v>78</v>
      </c>
      <c r="S1" s="292" t="s">
        <v>79</v>
      </c>
      <c r="T1" s="293" t="s">
        <v>80</v>
      </c>
      <c r="U1" s="294" t="s">
        <v>81</v>
      </c>
      <c r="V1" s="293" t="s">
        <v>82</v>
      </c>
      <c r="W1" s="107" t="s">
        <v>83</v>
      </c>
      <c r="X1" s="108">
        <v>167001</v>
      </c>
      <c r="Y1" s="108">
        <v>167006</v>
      </c>
      <c r="Z1" s="108">
        <v>167005</v>
      </c>
      <c r="AA1" s="108">
        <v>165007</v>
      </c>
      <c r="AB1" s="108">
        <v>165009</v>
      </c>
      <c r="AC1" s="108">
        <v>165006</v>
      </c>
      <c r="AD1" s="295" t="s">
        <v>84</v>
      </c>
      <c r="AE1" s="296" t="s">
        <v>85</v>
      </c>
      <c r="AF1" s="296" t="s">
        <v>86</v>
      </c>
      <c r="AG1" s="296" t="s">
        <v>87</v>
      </c>
      <c r="AH1" s="295" t="s">
        <v>88</v>
      </c>
      <c r="AI1" s="296" t="s">
        <v>89</v>
      </c>
      <c r="AJ1" s="296" t="s">
        <v>90</v>
      </c>
      <c r="AK1" s="297" t="s">
        <v>91</v>
      </c>
      <c r="AL1" s="297" t="s">
        <v>92</v>
      </c>
      <c r="AM1" s="297" t="s">
        <v>93</v>
      </c>
      <c r="AN1" s="297" t="s">
        <v>94</v>
      </c>
      <c r="AO1" s="297" t="s">
        <v>95</v>
      </c>
      <c r="AP1" s="297" t="s">
        <v>96</v>
      </c>
      <c r="AQ1" s="297" t="s">
        <v>50</v>
      </c>
    </row>
    <row r="2" s="287" customFormat="1" ht="35" customHeight="1" spans="1:43">
      <c r="A2" s="298">
        <v>46217</v>
      </c>
      <c r="B2" s="299"/>
      <c r="C2" s="300"/>
      <c r="D2" s="301" t="s">
        <v>54</v>
      </c>
      <c r="E2" s="301" t="s">
        <v>55</v>
      </c>
      <c r="F2" s="302"/>
      <c r="G2" s="303" t="s">
        <v>56</v>
      </c>
      <c r="H2" s="304">
        <v>10200</v>
      </c>
      <c r="I2" s="302"/>
      <c r="J2" s="302"/>
      <c r="K2" s="305"/>
      <c r="L2" s="299"/>
      <c r="M2" s="299">
        <v>46255</v>
      </c>
      <c r="N2" s="306">
        <v>0.82</v>
      </c>
      <c r="O2" s="307">
        <f>N2*H2</f>
        <v>8364</v>
      </c>
      <c r="P2" s="307">
        <f>O2*7.75</f>
        <v>64821</v>
      </c>
      <c r="Q2" s="308"/>
      <c r="R2" s="308"/>
      <c r="S2" s="308"/>
      <c r="T2" s="308"/>
      <c r="U2" s="308"/>
      <c r="V2" s="308"/>
      <c r="W2" s="308">
        <f>H2</f>
        <v>10200</v>
      </c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308"/>
    </row>
    <row r="3" s="60" customFormat="1" ht="35" customHeight="1" spans="1:43">
      <c r="A3" s="106"/>
      <c r="B3" s="106"/>
      <c r="C3" s="107"/>
      <c r="D3" s="108"/>
      <c r="E3" s="108"/>
      <c r="F3" s="108"/>
      <c r="G3" s="108"/>
      <c r="H3" s="109"/>
      <c r="I3" s="108"/>
      <c r="J3" s="108"/>
      <c r="K3" s="309"/>
      <c r="L3" s="106"/>
      <c r="M3" s="106"/>
      <c r="N3" s="122"/>
      <c r="O3" s="310"/>
      <c r="P3" s="310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  <c r="AC3" s="297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7"/>
      <c r="AP3" s="297"/>
      <c r="AQ3" s="297"/>
    </row>
    <row r="4" s="60" customFormat="1" ht="35" customHeight="1" spans="1:43">
      <c r="A4" s="106"/>
      <c r="B4" s="106"/>
      <c r="C4" s="107"/>
      <c r="D4" s="108"/>
      <c r="E4" s="108"/>
      <c r="F4" s="108"/>
      <c r="G4" s="108"/>
      <c r="H4" s="109"/>
      <c r="I4" s="108"/>
      <c r="J4" s="108"/>
      <c r="K4" s="309"/>
      <c r="L4" s="106"/>
      <c r="M4" s="106"/>
      <c r="N4" s="122"/>
      <c r="O4" s="310"/>
      <c r="P4" s="310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7"/>
      <c r="AH4" s="297"/>
      <c r="AI4" s="297"/>
      <c r="AJ4" s="297"/>
      <c r="AK4" s="297"/>
      <c r="AL4" s="297"/>
      <c r="AM4" s="297"/>
      <c r="AN4" s="297"/>
      <c r="AO4" s="297"/>
      <c r="AP4" s="297"/>
      <c r="AQ4" s="297"/>
    </row>
    <row r="5" s="60" customFormat="1" ht="35" customHeight="1" spans="1:43">
      <c r="A5" s="106"/>
      <c r="B5" s="311"/>
      <c r="C5" s="312"/>
      <c r="D5" s="108"/>
      <c r="E5" s="108"/>
      <c r="F5" s="108"/>
      <c r="G5" s="108"/>
      <c r="H5" s="108"/>
      <c r="I5" s="108"/>
      <c r="J5" s="108"/>
      <c r="K5" s="297"/>
      <c r="L5" s="106"/>
      <c r="M5" s="106"/>
      <c r="N5" s="106"/>
      <c r="O5" s="310"/>
      <c r="P5" s="310"/>
      <c r="Q5" s="106"/>
      <c r="R5" s="106"/>
      <c r="S5" s="297"/>
      <c r="T5" s="313"/>
      <c r="U5" s="313"/>
      <c r="V5" s="297"/>
      <c r="W5" s="115"/>
      <c r="X5" s="297"/>
      <c r="Y5" s="297"/>
      <c r="Z5" s="116"/>
      <c r="AA5" s="314"/>
      <c r="AB5" s="297"/>
      <c r="AC5" s="297"/>
      <c r="AD5" s="297"/>
      <c r="AE5" s="297"/>
      <c r="AF5" s="297"/>
      <c r="AG5" s="297"/>
      <c r="AH5" s="297"/>
      <c r="AI5" s="297"/>
      <c r="AJ5" s="297"/>
      <c r="AK5" s="297"/>
      <c r="AL5" s="297"/>
      <c r="AM5" s="297"/>
      <c r="AN5" s="297"/>
      <c r="AO5" s="297"/>
      <c r="AP5" s="297"/>
      <c r="AQ5" s="297"/>
    </row>
    <row r="6" s="60" customFormat="1" ht="35" customHeight="1" spans="1:43">
      <c r="A6" s="106"/>
      <c r="B6" s="311"/>
      <c r="C6" s="312"/>
      <c r="D6" s="108"/>
      <c r="E6" s="108"/>
      <c r="F6" s="108"/>
      <c r="G6" s="107" t="s">
        <v>57</v>
      </c>
      <c r="H6" s="315">
        <f>SUM(H2:H5)</f>
        <v>10200</v>
      </c>
      <c r="I6" s="108"/>
      <c r="J6" s="108"/>
      <c r="K6" s="297"/>
      <c r="L6" s="106"/>
      <c r="M6" s="316" t="s">
        <v>97</v>
      </c>
      <c r="N6" s="106"/>
      <c r="O6" s="317">
        <f>SUM(O1:O5)</f>
        <v>8364</v>
      </c>
      <c r="P6" s="317">
        <f>SUM(P1:P5)</f>
        <v>64821</v>
      </c>
      <c r="Q6" s="311">
        <f>SUM(Q2:Q5)</f>
        <v>0</v>
      </c>
      <c r="R6" s="311">
        <f t="shared" ref="R6:AE6" si="0">SUM(R2:R5)</f>
        <v>0</v>
      </c>
      <c r="S6" s="311">
        <f t="shared" si="0"/>
        <v>0</v>
      </c>
      <c r="T6" s="311">
        <f t="shared" si="0"/>
        <v>0</v>
      </c>
      <c r="U6" s="311">
        <f t="shared" si="0"/>
        <v>0</v>
      </c>
      <c r="V6" s="311">
        <f t="shared" si="0"/>
        <v>0</v>
      </c>
      <c r="W6" s="311">
        <f t="shared" si="0"/>
        <v>10200</v>
      </c>
      <c r="X6" s="311">
        <f t="shared" si="0"/>
        <v>0</v>
      </c>
      <c r="Y6" s="311">
        <f t="shared" si="0"/>
        <v>0</v>
      </c>
      <c r="Z6" s="311">
        <f t="shared" si="0"/>
        <v>0</v>
      </c>
      <c r="AA6" s="311">
        <f t="shared" si="0"/>
        <v>0</v>
      </c>
      <c r="AB6" s="311">
        <f t="shared" si="0"/>
        <v>0</v>
      </c>
      <c r="AC6" s="311">
        <f t="shared" si="0"/>
        <v>0</v>
      </c>
      <c r="AD6" s="311">
        <f t="shared" si="0"/>
        <v>0</v>
      </c>
      <c r="AE6" s="311">
        <f t="shared" si="0"/>
        <v>0</v>
      </c>
      <c r="AF6" s="311">
        <f t="shared" ref="AB6:AQ6" si="1">SUM(AF2:AF5)</f>
        <v>0</v>
      </c>
      <c r="AG6" s="311">
        <f t="shared" si="1"/>
        <v>0</v>
      </c>
      <c r="AH6" s="311">
        <f t="shared" si="1"/>
        <v>0</v>
      </c>
      <c r="AI6" s="311">
        <f t="shared" si="1"/>
        <v>0</v>
      </c>
      <c r="AJ6" s="311">
        <f t="shared" si="1"/>
        <v>0</v>
      </c>
      <c r="AK6" s="311">
        <f t="shared" si="1"/>
        <v>0</v>
      </c>
      <c r="AL6" s="311">
        <f t="shared" si="1"/>
        <v>0</v>
      </c>
      <c r="AM6" s="311">
        <f t="shared" si="1"/>
        <v>0</v>
      </c>
      <c r="AN6" s="311">
        <f t="shared" si="1"/>
        <v>0</v>
      </c>
      <c r="AO6" s="311">
        <f t="shared" si="1"/>
        <v>0</v>
      </c>
      <c r="AP6" s="311">
        <f t="shared" si="1"/>
        <v>0</v>
      </c>
      <c r="AQ6" s="311">
        <f t="shared" si="1"/>
        <v>0</v>
      </c>
    </row>
    <row r="7" s="60" customFormat="1" ht="35" customHeight="1" spans="1:43">
      <c r="A7" s="318"/>
      <c r="B7" s="319"/>
      <c r="C7" s="320"/>
      <c r="D7" s="321"/>
      <c r="E7" s="321"/>
      <c r="F7" s="321"/>
      <c r="G7" s="321"/>
      <c r="H7" s="322" t="b">
        <f>H6=M7</f>
        <v>1</v>
      </c>
      <c r="I7" s="321"/>
      <c r="J7" s="321"/>
      <c r="K7" s="58"/>
      <c r="L7" s="318"/>
      <c r="M7" s="323">
        <f>SUM(Q6:AV6)</f>
        <v>10200</v>
      </c>
      <c r="N7" s="319"/>
      <c r="O7" s="323"/>
      <c r="P7" s="323"/>
      <c r="Q7" s="318"/>
      <c r="R7" s="318"/>
      <c r="S7" s="58"/>
      <c r="T7" s="324"/>
      <c r="U7" s="324"/>
      <c r="V7" s="58"/>
      <c r="W7" s="325"/>
      <c r="X7" s="58"/>
      <c r="Y7" s="58"/>
      <c r="Z7" s="326"/>
      <c r="AA7" s="327"/>
      <c r="AH7" s="289"/>
      <c r="AI7" s="289"/>
      <c r="AJ7" s="289"/>
    </row>
    <row r="8" s="60" customFormat="1" ht="35" customHeight="1" spans="1:43">
      <c r="A8" s="318"/>
      <c r="B8" s="319"/>
      <c r="C8" s="320"/>
      <c r="D8" s="321"/>
      <c r="E8" s="321"/>
      <c r="F8" s="321"/>
      <c r="G8" s="321"/>
      <c r="J8" s="321"/>
      <c r="K8" s="58"/>
      <c r="L8" s="318"/>
      <c r="M8" s="318"/>
      <c r="N8" s="318"/>
      <c r="O8" s="318"/>
      <c r="P8" s="318"/>
      <c r="Q8" s="318"/>
      <c r="R8" s="318"/>
      <c r="S8" s="58"/>
      <c r="T8" s="324"/>
      <c r="U8" s="324"/>
      <c r="V8" s="58"/>
      <c r="W8" s="325"/>
      <c r="X8" s="58"/>
      <c r="Y8" s="58"/>
      <c r="Z8" s="326"/>
      <c r="AA8" s="327"/>
      <c r="AH8" s="289"/>
      <c r="AI8" s="289"/>
      <c r="AJ8" s="289"/>
    </row>
    <row r="9" s="60" customFormat="1" ht="35" customHeight="1" spans="1:43">
      <c r="D9" s="321"/>
      <c r="E9" s="321"/>
      <c r="F9" s="321"/>
      <c r="G9" s="321"/>
      <c r="H9" s="321"/>
      <c r="I9" s="321"/>
      <c r="J9" s="321"/>
      <c r="K9" s="58"/>
      <c r="L9" s="318"/>
      <c r="M9" s="318"/>
      <c r="N9" s="318"/>
      <c r="O9" s="318"/>
      <c r="P9" s="318"/>
      <c r="Q9" s="318"/>
      <c r="R9" s="318"/>
      <c r="S9" s="58"/>
      <c r="T9" s="324"/>
      <c r="U9" s="324"/>
      <c r="V9" s="58"/>
      <c r="W9" s="325"/>
      <c r="X9" s="58"/>
      <c r="Y9" s="58"/>
      <c r="Z9" s="326"/>
      <c r="AA9" s="327"/>
      <c r="AH9" s="289"/>
      <c r="AI9" s="289"/>
      <c r="AJ9" s="289"/>
    </row>
    <row r="10" s="60" customFormat="1" ht="35" customHeight="1" spans="1:43">
      <c r="D10" s="321"/>
      <c r="E10" s="321"/>
      <c r="F10" s="321"/>
      <c r="G10" s="321"/>
      <c r="H10" s="321"/>
      <c r="I10" s="321"/>
      <c r="J10" s="321"/>
      <c r="K10" s="58"/>
      <c r="L10" s="318"/>
      <c r="M10" s="318"/>
      <c r="N10" s="318"/>
      <c r="O10" s="318"/>
      <c r="P10" s="318"/>
      <c r="Q10" s="318"/>
      <c r="R10" s="318"/>
      <c r="S10" s="58"/>
      <c r="T10" s="324"/>
      <c r="U10" s="324"/>
      <c r="V10" s="58"/>
      <c r="W10" s="325"/>
      <c r="X10" s="58"/>
      <c r="Y10" s="58"/>
      <c r="Z10" s="326"/>
      <c r="AA10" s="327"/>
      <c r="AH10" s="289"/>
      <c r="AI10" s="289"/>
      <c r="AJ10" s="289"/>
    </row>
    <row r="11" s="60" customFormat="1" ht="35" customHeight="1" spans="1:43">
      <c r="A11" s="318"/>
      <c r="B11" s="318"/>
      <c r="C11" s="318"/>
      <c r="D11" s="321"/>
      <c r="E11" s="321"/>
      <c r="F11" s="321"/>
      <c r="G11" s="321"/>
      <c r="H11" s="321"/>
      <c r="I11" s="321"/>
      <c r="J11" s="321"/>
      <c r="K11" s="58"/>
      <c r="L11" s="318"/>
      <c r="M11" s="318"/>
      <c r="N11" s="318"/>
      <c r="O11" s="318"/>
      <c r="P11" s="318"/>
      <c r="Q11" s="318"/>
      <c r="R11" s="318"/>
      <c r="S11" s="58"/>
      <c r="T11" s="324"/>
      <c r="U11" s="324"/>
      <c r="V11" s="58"/>
      <c r="W11" s="325"/>
      <c r="X11" s="58"/>
      <c r="Y11" s="58"/>
      <c r="Z11" s="326"/>
      <c r="AA11" s="327"/>
      <c r="AH11" s="289"/>
      <c r="AI11" s="289"/>
      <c r="AJ11" s="289"/>
    </row>
    <row r="12" s="60" customFormat="1" ht="35" customHeight="1" spans="1:43">
      <c r="A12" s="318"/>
      <c r="B12" s="318"/>
      <c r="C12" s="318"/>
      <c r="D12" s="321"/>
      <c r="E12" s="321"/>
      <c r="F12" s="321"/>
      <c r="G12" s="321"/>
      <c r="H12" s="321"/>
      <c r="I12" s="321"/>
      <c r="J12" s="321"/>
      <c r="K12" s="58"/>
      <c r="L12" s="318"/>
      <c r="M12" s="318"/>
      <c r="N12" s="318"/>
      <c r="O12" s="318"/>
      <c r="P12" s="318"/>
      <c r="Q12" s="318"/>
      <c r="R12" s="318"/>
      <c r="S12" s="58"/>
      <c r="T12" s="324"/>
      <c r="U12" s="324"/>
      <c r="V12" s="58"/>
      <c r="W12" s="325"/>
      <c r="X12" s="58"/>
      <c r="Y12" s="58"/>
      <c r="Z12" s="326"/>
      <c r="AA12" s="327"/>
      <c r="AH12" s="289"/>
      <c r="AI12" s="289"/>
      <c r="AJ12" s="289"/>
    </row>
    <row r="13" s="60" customFormat="1" ht="35" customHeight="1" spans="1:43">
      <c r="A13" s="318"/>
      <c r="B13" s="318"/>
      <c r="C13" s="318"/>
      <c r="D13" s="321"/>
      <c r="E13" s="321"/>
      <c r="F13" s="321"/>
      <c r="G13" s="321"/>
      <c r="H13" s="321"/>
      <c r="I13" s="321"/>
      <c r="J13" s="321"/>
      <c r="K13" s="58"/>
      <c r="L13" s="318"/>
      <c r="M13" s="318"/>
      <c r="N13" s="318"/>
      <c r="O13" s="318"/>
      <c r="P13" s="318"/>
      <c r="Q13" s="318"/>
      <c r="R13" s="318"/>
      <c r="S13" s="58"/>
      <c r="T13" s="324"/>
      <c r="U13" s="324"/>
      <c r="V13" s="58"/>
      <c r="W13" s="325"/>
      <c r="X13" s="58"/>
      <c r="Y13" s="58"/>
      <c r="Z13" s="326"/>
      <c r="AA13" s="327"/>
      <c r="AH13" s="289"/>
      <c r="AI13" s="289"/>
      <c r="AJ13" s="289"/>
    </row>
    <row r="14" s="60" customFormat="1" ht="35" customHeight="1" spans="1:43">
      <c r="A14" s="318"/>
      <c r="B14" s="318"/>
      <c r="C14" s="318"/>
      <c r="D14" s="321"/>
      <c r="E14" s="321"/>
      <c r="F14" s="321"/>
      <c r="G14" s="321"/>
      <c r="H14" s="321"/>
      <c r="I14" s="321"/>
      <c r="J14" s="321"/>
      <c r="K14" s="58"/>
      <c r="L14" s="318"/>
      <c r="M14" s="318"/>
      <c r="N14" s="318"/>
      <c r="O14" s="318"/>
      <c r="P14" s="318"/>
      <c r="Q14" s="318"/>
      <c r="R14" s="318"/>
      <c r="S14" s="58"/>
      <c r="T14" s="324"/>
      <c r="U14" s="324"/>
      <c r="V14" s="58"/>
      <c r="W14" s="325"/>
      <c r="X14" s="58"/>
      <c r="Y14" s="58"/>
      <c r="Z14" s="326"/>
      <c r="AA14" s="327"/>
      <c r="AH14" s="289"/>
      <c r="AI14" s="289"/>
      <c r="AJ14" s="289"/>
    </row>
    <row r="15" s="60" customFormat="1" ht="35" customHeight="1" spans="1:43">
      <c r="A15" s="318"/>
      <c r="B15" s="328"/>
      <c r="C15" s="318"/>
      <c r="D15" s="321"/>
      <c r="E15" s="321"/>
      <c r="F15" s="321"/>
      <c r="G15" s="321"/>
      <c r="H15" s="321"/>
      <c r="I15" s="321"/>
      <c r="J15" s="321"/>
      <c r="K15" s="58"/>
      <c r="L15" s="318"/>
      <c r="M15" s="318"/>
      <c r="N15" s="318"/>
      <c r="O15" s="318"/>
      <c r="P15" s="318"/>
      <c r="Q15" s="318"/>
      <c r="R15" s="318"/>
      <c r="S15" s="58"/>
      <c r="T15" s="324"/>
      <c r="U15" s="324"/>
      <c r="V15" s="58"/>
      <c r="W15" s="325"/>
      <c r="X15" s="58"/>
      <c r="Y15" s="58"/>
      <c r="Z15" s="326"/>
      <c r="AA15" s="327"/>
      <c r="AH15" s="289"/>
      <c r="AI15" s="289"/>
      <c r="AJ15" s="289"/>
    </row>
    <row r="16" s="60" customFormat="1" ht="35" customHeight="1" spans="1:43">
      <c r="A16" s="318"/>
      <c r="B16" s="328"/>
      <c r="C16" s="318"/>
      <c r="D16" s="321"/>
      <c r="E16" s="321"/>
      <c r="F16" s="321"/>
      <c r="G16" s="321"/>
      <c r="H16" s="321"/>
      <c r="I16" s="321"/>
      <c r="J16" s="321"/>
      <c r="K16" s="58"/>
      <c r="L16" s="318"/>
      <c r="M16" s="318"/>
      <c r="N16" s="318"/>
      <c r="O16" s="318"/>
      <c r="P16" s="318"/>
      <c r="Q16" s="318"/>
      <c r="R16" s="318"/>
      <c r="S16" s="58"/>
      <c r="T16" s="324"/>
      <c r="U16" s="324"/>
      <c r="V16" s="58"/>
      <c r="W16" s="325"/>
      <c r="X16" s="58"/>
      <c r="Y16" s="58"/>
      <c r="Z16" s="326"/>
      <c r="AA16" s="327"/>
      <c r="AH16" s="289"/>
      <c r="AI16" s="289"/>
      <c r="AJ16" s="289"/>
    </row>
    <row r="17" s="60" customFormat="1" ht="35" customHeight="1" spans="1:36">
      <c r="A17" s="318"/>
      <c r="B17" s="328"/>
      <c r="C17" s="318"/>
      <c r="D17" s="321"/>
      <c r="E17" s="321"/>
      <c r="F17" s="321"/>
      <c r="G17" s="321"/>
      <c r="H17" s="321"/>
      <c r="I17" s="321"/>
      <c r="J17" s="321"/>
      <c r="K17" s="58"/>
      <c r="L17" s="318"/>
      <c r="M17" s="318"/>
      <c r="N17" s="318"/>
      <c r="O17" s="318"/>
      <c r="P17" s="318"/>
      <c r="Q17" s="318"/>
      <c r="R17" s="318"/>
      <c r="S17" s="58"/>
      <c r="T17" s="324"/>
      <c r="U17" s="324"/>
      <c r="V17" s="58"/>
      <c r="W17" s="325"/>
      <c r="X17" s="58"/>
      <c r="Y17" s="58"/>
      <c r="Z17" s="326"/>
      <c r="AA17" s="327"/>
      <c r="AH17" s="289"/>
      <c r="AI17" s="289"/>
      <c r="AJ17" s="289"/>
    </row>
    <row r="18" s="60" customFormat="1" ht="35" customHeight="1" spans="1:36">
      <c r="A18" s="318"/>
      <c r="B18" s="328"/>
      <c r="C18" s="318"/>
      <c r="D18" s="321"/>
      <c r="E18" s="321"/>
      <c r="F18" s="321"/>
      <c r="G18" s="321"/>
      <c r="H18" s="321"/>
      <c r="I18" s="321"/>
      <c r="J18" s="321"/>
      <c r="K18" s="58"/>
      <c r="L18" s="318"/>
      <c r="M18" s="318"/>
      <c r="N18" s="318"/>
      <c r="O18" s="318"/>
      <c r="P18" s="318"/>
      <c r="Q18" s="318"/>
      <c r="R18" s="318"/>
      <c r="S18" s="58"/>
      <c r="T18" s="324"/>
      <c r="U18" s="324"/>
      <c r="V18" s="58"/>
      <c r="W18" s="325"/>
      <c r="X18" s="58"/>
      <c r="Y18" s="58"/>
      <c r="Z18" s="326"/>
      <c r="AA18" s="327"/>
      <c r="AH18" s="289"/>
      <c r="AI18" s="289"/>
      <c r="AJ18" s="289"/>
    </row>
    <row r="19" s="60" customFormat="1" ht="35" customHeight="1" spans="1:36">
      <c r="A19" s="318"/>
      <c r="B19" s="328"/>
      <c r="C19" s="318"/>
      <c r="D19" s="321"/>
      <c r="E19" s="321"/>
      <c r="F19" s="321"/>
      <c r="G19" s="321"/>
      <c r="H19" s="321"/>
      <c r="I19" s="321"/>
      <c r="J19" s="321"/>
      <c r="K19" s="58"/>
      <c r="L19" s="318"/>
      <c r="M19" s="318"/>
      <c r="N19" s="318"/>
      <c r="O19" s="318"/>
      <c r="P19" s="318"/>
      <c r="Q19" s="318"/>
      <c r="R19" s="318"/>
      <c r="S19" s="58"/>
      <c r="T19" s="324"/>
      <c r="U19" s="324"/>
      <c r="V19" s="58"/>
      <c r="W19" s="325"/>
      <c r="X19" s="58"/>
      <c r="Y19" s="58"/>
      <c r="Z19" s="326"/>
      <c r="AA19" s="327"/>
      <c r="AH19" s="289"/>
      <c r="AI19" s="289"/>
      <c r="AJ19" s="289"/>
    </row>
    <row r="20" s="60" customFormat="1" ht="35" customHeight="1" spans="1:36">
      <c r="A20" s="318"/>
      <c r="B20" s="318"/>
      <c r="C20" s="318"/>
      <c r="D20" s="321"/>
      <c r="E20" s="321"/>
      <c r="F20" s="321"/>
      <c r="G20" s="321"/>
      <c r="H20" s="321"/>
      <c r="I20" s="321"/>
      <c r="J20" s="321"/>
      <c r="K20" s="58"/>
      <c r="L20" s="318"/>
      <c r="M20" s="318"/>
      <c r="N20" s="318"/>
      <c r="O20" s="318"/>
      <c r="P20" s="318"/>
      <c r="Q20" s="318"/>
      <c r="R20" s="318"/>
      <c r="S20" s="58"/>
      <c r="T20" s="324"/>
      <c r="U20" s="324"/>
      <c r="V20" s="58"/>
      <c r="W20" s="325"/>
      <c r="X20" s="58"/>
      <c r="Y20" s="58"/>
      <c r="Z20" s="326"/>
      <c r="AA20" s="327"/>
      <c r="AH20" s="289"/>
      <c r="AI20" s="289"/>
      <c r="AJ20" s="289"/>
    </row>
    <row r="21" s="60" customFormat="1" ht="35" customHeight="1" spans="1:36">
      <c r="A21" s="318"/>
      <c r="B21" s="318"/>
      <c r="C21" s="318"/>
      <c r="D21" s="321"/>
      <c r="E21" s="321"/>
      <c r="F21" s="321"/>
      <c r="G21" s="321"/>
      <c r="H21" s="321"/>
      <c r="I21" s="321"/>
      <c r="J21" s="321"/>
      <c r="K21" s="58"/>
      <c r="L21" s="318"/>
      <c r="M21" s="318"/>
      <c r="N21" s="318"/>
      <c r="O21" s="318"/>
      <c r="P21" s="318"/>
      <c r="Q21" s="318"/>
      <c r="R21" s="318"/>
      <c r="S21" s="58"/>
      <c r="T21" s="324"/>
      <c r="U21" s="324"/>
      <c r="V21" s="58"/>
      <c r="W21" s="325"/>
      <c r="X21" s="58"/>
      <c r="Y21" s="58"/>
      <c r="Z21" s="326"/>
      <c r="AA21" s="327"/>
      <c r="AH21" s="289"/>
      <c r="AI21" s="289"/>
      <c r="AJ21" s="289"/>
    </row>
    <row r="22" s="60" customFormat="1" ht="35" customHeight="1" spans="1:36">
      <c r="A22" s="318"/>
      <c r="B22" s="318"/>
      <c r="C22" s="318"/>
      <c r="D22" s="321"/>
      <c r="E22" s="321"/>
      <c r="F22" s="321"/>
      <c r="G22" s="321"/>
      <c r="H22" s="321"/>
      <c r="I22" s="321"/>
      <c r="J22" s="321"/>
      <c r="K22" s="58"/>
      <c r="L22" s="318"/>
      <c r="M22" s="318"/>
      <c r="N22" s="318"/>
      <c r="O22" s="318"/>
      <c r="P22" s="318"/>
      <c r="Q22" s="318"/>
      <c r="R22" s="318"/>
      <c r="S22" s="58"/>
      <c r="T22" s="324"/>
      <c r="U22" s="324"/>
      <c r="V22" s="58"/>
      <c r="W22" s="325"/>
      <c r="X22" s="58"/>
      <c r="Y22" s="58"/>
      <c r="Z22" s="326"/>
      <c r="AA22" s="327"/>
      <c r="AH22" s="289"/>
      <c r="AI22" s="289"/>
      <c r="AJ22" s="289"/>
    </row>
    <row r="23" s="60" customFormat="1" ht="35" customHeight="1" spans="1:36">
      <c r="A23" s="318"/>
      <c r="B23" s="318"/>
      <c r="C23" s="318"/>
      <c r="D23" s="321"/>
      <c r="E23" s="321"/>
      <c r="F23" s="321"/>
      <c r="G23" s="321"/>
      <c r="H23" s="321"/>
      <c r="I23" s="321"/>
      <c r="J23" s="321"/>
      <c r="K23" s="58"/>
      <c r="L23" s="318"/>
      <c r="M23" s="318"/>
      <c r="N23" s="318"/>
      <c r="O23" s="318"/>
      <c r="P23" s="318"/>
      <c r="Q23" s="318"/>
      <c r="R23" s="318"/>
      <c r="S23" s="58"/>
      <c r="T23" s="324"/>
      <c r="U23" s="324"/>
      <c r="V23" s="58"/>
      <c r="W23" s="325"/>
      <c r="X23" s="58"/>
      <c r="Y23" s="58"/>
      <c r="Z23" s="326"/>
      <c r="AA23" s="327"/>
      <c r="AH23" s="289"/>
      <c r="AI23" s="289"/>
      <c r="AJ23" s="289"/>
    </row>
    <row r="24" s="60" customFormat="1" ht="35" customHeight="1" spans="1:36">
      <c r="A24" s="318"/>
      <c r="B24" s="318"/>
      <c r="C24" s="318"/>
      <c r="D24" s="321"/>
      <c r="E24" s="321"/>
      <c r="F24" s="321"/>
      <c r="G24" s="321"/>
      <c r="H24" s="321"/>
      <c r="I24" s="321"/>
      <c r="J24" s="321"/>
      <c r="K24" s="58"/>
      <c r="L24" s="318"/>
      <c r="M24" s="318"/>
      <c r="N24" s="318"/>
      <c r="O24" s="318"/>
      <c r="P24" s="318"/>
      <c r="Q24" s="318"/>
      <c r="R24" s="318"/>
      <c r="S24" s="58"/>
      <c r="T24" s="324"/>
      <c r="U24" s="324"/>
      <c r="V24" s="58"/>
      <c r="W24" s="325"/>
      <c r="X24" s="58"/>
      <c r="Y24" s="58"/>
      <c r="Z24" s="326"/>
      <c r="AA24" s="327"/>
      <c r="AH24" s="289"/>
      <c r="AI24" s="289"/>
      <c r="AJ24" s="289"/>
    </row>
    <row r="25" s="60" customFormat="1" ht="35" customHeight="1" spans="1:36">
      <c r="A25" s="318"/>
      <c r="B25" s="318"/>
      <c r="C25" s="318"/>
      <c r="D25" s="321"/>
      <c r="E25" s="321"/>
      <c r="F25" s="321"/>
      <c r="G25" s="321"/>
      <c r="H25" s="321"/>
      <c r="I25" s="321"/>
      <c r="J25" s="321"/>
      <c r="K25" s="58"/>
      <c r="L25" s="318"/>
      <c r="M25" s="318"/>
      <c r="N25" s="318"/>
      <c r="O25" s="318"/>
      <c r="P25" s="318"/>
      <c r="Q25" s="318"/>
      <c r="R25" s="318"/>
      <c r="S25" s="58"/>
      <c r="T25" s="324"/>
      <c r="U25" s="324"/>
      <c r="V25" s="58"/>
      <c r="W25" s="325"/>
      <c r="X25" s="58"/>
      <c r="Y25" s="58"/>
      <c r="Z25" s="326"/>
      <c r="AA25" s="327"/>
      <c r="AH25" s="289"/>
      <c r="AI25" s="289"/>
      <c r="AJ25" s="289"/>
    </row>
    <row r="26" s="60" customFormat="1" ht="35" customHeight="1" spans="1:36">
      <c r="A26" s="318"/>
      <c r="B26" s="318"/>
      <c r="C26" s="318"/>
      <c r="D26" s="321"/>
      <c r="E26" s="321"/>
      <c r="F26" s="321"/>
      <c r="G26" s="321"/>
      <c r="H26" s="321"/>
      <c r="I26" s="321"/>
      <c r="J26" s="321"/>
      <c r="K26" s="58"/>
      <c r="L26" s="318"/>
      <c r="M26" s="318"/>
      <c r="N26" s="318"/>
      <c r="O26" s="318"/>
      <c r="P26" s="318"/>
      <c r="Q26" s="318"/>
      <c r="R26" s="318"/>
      <c r="S26" s="58"/>
      <c r="T26" s="324"/>
      <c r="U26" s="324"/>
      <c r="V26" s="58"/>
      <c r="W26" s="325"/>
      <c r="X26" s="58"/>
      <c r="Y26" s="58"/>
      <c r="Z26" s="326"/>
      <c r="AA26" s="327"/>
      <c r="AH26" s="289"/>
      <c r="AI26" s="289"/>
      <c r="AJ26" s="289"/>
    </row>
    <row r="27" s="60" customFormat="1" ht="35" customHeight="1" spans="1:36">
      <c r="A27" s="318"/>
      <c r="B27" s="318"/>
      <c r="C27" s="318"/>
      <c r="D27" s="321"/>
      <c r="E27" s="321"/>
      <c r="F27" s="321"/>
      <c r="G27" s="321"/>
      <c r="H27" s="321"/>
      <c r="I27" s="321"/>
      <c r="J27" s="321"/>
      <c r="K27" s="58"/>
      <c r="L27" s="318"/>
      <c r="M27" s="318"/>
      <c r="N27" s="318"/>
      <c r="O27" s="318"/>
      <c r="P27" s="318"/>
      <c r="Q27" s="318"/>
      <c r="R27" s="318"/>
      <c r="S27" s="58"/>
      <c r="T27" s="324"/>
      <c r="U27" s="324"/>
      <c r="V27" s="58"/>
      <c r="W27" s="325"/>
      <c r="X27" s="58"/>
      <c r="Y27" s="58"/>
      <c r="Z27" s="326"/>
      <c r="AA27" s="327"/>
      <c r="AH27" s="289"/>
      <c r="AI27" s="289"/>
      <c r="AJ27" s="289"/>
    </row>
    <row r="28" s="60" customFormat="1" ht="35" customHeight="1" spans="1:36">
      <c r="A28" s="318"/>
      <c r="B28" s="318"/>
      <c r="C28" s="318"/>
      <c r="D28" s="321"/>
      <c r="E28" s="321"/>
      <c r="F28" s="321"/>
      <c r="G28" s="321"/>
      <c r="H28" s="321"/>
      <c r="I28" s="321"/>
      <c r="J28" s="321"/>
      <c r="K28" s="58"/>
      <c r="L28" s="318"/>
      <c r="M28" s="318"/>
      <c r="N28" s="318"/>
      <c r="O28" s="318"/>
      <c r="P28" s="318"/>
      <c r="Q28" s="318"/>
      <c r="R28" s="318"/>
      <c r="S28" s="58"/>
      <c r="T28" s="324"/>
      <c r="U28" s="324"/>
      <c r="V28" s="58"/>
      <c r="W28" s="325"/>
      <c r="X28" s="58"/>
      <c r="Y28" s="58"/>
      <c r="Z28" s="326"/>
      <c r="AA28" s="327"/>
      <c r="AH28" s="289"/>
      <c r="AI28" s="289"/>
      <c r="AJ28" s="289"/>
    </row>
    <row r="29" s="60" customFormat="1" ht="35" customHeight="1" spans="1:36">
      <c r="A29" s="318"/>
      <c r="B29" s="318"/>
      <c r="C29" s="318"/>
      <c r="D29" s="321"/>
      <c r="E29" s="321"/>
      <c r="F29" s="321"/>
      <c r="G29" s="321"/>
      <c r="H29" s="321"/>
      <c r="I29" s="321"/>
      <c r="J29" s="321"/>
      <c r="K29" s="58"/>
      <c r="L29" s="318"/>
      <c r="M29" s="318"/>
      <c r="N29" s="318"/>
      <c r="O29" s="318"/>
      <c r="P29" s="318"/>
      <c r="Q29" s="318"/>
      <c r="R29" s="318"/>
      <c r="S29" s="58"/>
      <c r="T29" s="324"/>
      <c r="U29" s="324"/>
      <c r="V29" s="58"/>
      <c r="W29" s="325"/>
      <c r="X29" s="58"/>
      <c r="Y29" s="58"/>
      <c r="Z29" s="326"/>
      <c r="AA29" s="327"/>
      <c r="AH29" s="289"/>
      <c r="AI29" s="289"/>
      <c r="AJ29" s="289"/>
    </row>
    <row r="30" s="60" customFormat="1" ht="35" customHeight="1" spans="1:36">
      <c r="A30" s="318"/>
      <c r="B30" s="318"/>
      <c r="C30" s="318"/>
      <c r="D30" s="321"/>
      <c r="E30" s="321"/>
      <c r="F30" s="321"/>
      <c r="G30" s="321"/>
      <c r="H30" s="321"/>
      <c r="I30" s="321"/>
      <c r="J30" s="321"/>
      <c r="K30" s="58"/>
      <c r="L30" s="318"/>
      <c r="M30" s="318"/>
      <c r="N30" s="318"/>
      <c r="O30" s="318"/>
      <c r="P30" s="318"/>
      <c r="Q30" s="318"/>
      <c r="R30" s="318"/>
      <c r="S30" s="58"/>
      <c r="T30" s="324"/>
      <c r="U30" s="324"/>
      <c r="V30" s="58"/>
      <c r="W30" s="325"/>
      <c r="X30" s="58"/>
      <c r="Y30" s="58"/>
      <c r="Z30" s="326"/>
      <c r="AA30" s="327"/>
      <c r="AH30" s="289"/>
      <c r="AI30" s="289"/>
      <c r="AJ30" s="289"/>
    </row>
    <row r="31" s="60" customFormat="1" ht="25" customHeight="1" spans="1:36">
      <c r="A31" s="318"/>
      <c r="B31" s="318"/>
      <c r="C31" s="318"/>
      <c r="D31" s="321"/>
      <c r="E31" s="321"/>
      <c r="F31" s="321"/>
      <c r="G31" s="321"/>
      <c r="H31" s="321"/>
      <c r="I31" s="321"/>
      <c r="J31" s="321"/>
      <c r="K31" s="58"/>
      <c r="L31" s="318"/>
      <c r="M31" s="318"/>
      <c r="N31" s="318"/>
      <c r="O31" s="318"/>
      <c r="P31" s="318"/>
      <c r="Q31" s="318"/>
      <c r="R31" s="318"/>
      <c r="S31" s="58"/>
      <c r="T31" s="324"/>
      <c r="U31" s="324"/>
      <c r="V31" s="58"/>
      <c r="W31" s="325"/>
      <c r="X31" s="58"/>
      <c r="Y31" s="58"/>
      <c r="Z31" s="326"/>
      <c r="AA31" s="327"/>
      <c r="AH31" s="289"/>
      <c r="AI31" s="289"/>
      <c r="AJ31" s="289"/>
    </row>
    <row r="32" s="60" customFormat="1" ht="25" customHeight="1" spans="1:36">
      <c r="A32" s="318"/>
      <c r="B32" s="318"/>
      <c r="C32" s="318"/>
      <c r="D32" s="321"/>
      <c r="E32" s="321"/>
      <c r="F32" s="321"/>
      <c r="G32" s="321"/>
      <c r="H32" s="321"/>
      <c r="I32" s="321"/>
      <c r="J32" s="321"/>
      <c r="K32" s="58"/>
      <c r="L32" s="318"/>
      <c r="M32" s="318"/>
      <c r="N32" s="318"/>
      <c r="O32" s="318"/>
      <c r="P32" s="318"/>
      <c r="Q32" s="318"/>
      <c r="R32" s="318"/>
      <c r="S32" s="58"/>
      <c r="T32" s="324"/>
      <c r="U32" s="324"/>
      <c r="V32" s="58"/>
      <c r="W32" s="325"/>
      <c r="X32" s="58"/>
      <c r="Y32" s="58"/>
      <c r="Z32" s="326"/>
      <c r="AA32" s="327"/>
      <c r="AH32" s="289"/>
      <c r="AI32" s="289"/>
      <c r="AJ32" s="289"/>
    </row>
    <row r="33" s="60" customFormat="1" ht="25" customHeight="1" spans="1:36">
      <c r="A33" s="318"/>
      <c r="B33" s="318"/>
      <c r="C33" s="318"/>
      <c r="D33" s="321"/>
      <c r="E33" s="321"/>
      <c r="F33" s="321"/>
      <c r="G33" s="321"/>
      <c r="H33" s="321"/>
      <c r="I33" s="321"/>
      <c r="J33" s="321"/>
      <c r="K33" s="58"/>
      <c r="L33" s="318"/>
      <c r="M33" s="318"/>
      <c r="N33" s="318"/>
      <c r="O33" s="318"/>
      <c r="P33" s="318"/>
      <c r="Q33" s="318"/>
      <c r="R33" s="318"/>
      <c r="S33" s="58"/>
      <c r="T33" s="324"/>
      <c r="U33" s="324"/>
      <c r="V33" s="58"/>
      <c r="W33" s="325"/>
      <c r="X33" s="58"/>
      <c r="Y33" s="58"/>
      <c r="Z33" s="326"/>
      <c r="AA33" s="327"/>
      <c r="AH33" s="289"/>
      <c r="AI33" s="289"/>
      <c r="AJ33" s="289"/>
    </row>
    <row r="34" s="60" customFormat="1" ht="25" customHeight="1" spans="1:36">
      <c r="A34" s="318"/>
      <c r="B34" s="318"/>
      <c r="C34" s="318"/>
      <c r="D34" s="321"/>
      <c r="E34" s="321"/>
      <c r="F34" s="321"/>
      <c r="G34" s="321"/>
      <c r="H34" s="321"/>
      <c r="I34" s="321"/>
      <c r="J34" s="321"/>
      <c r="K34" s="58"/>
      <c r="L34" s="318"/>
      <c r="M34" s="318"/>
      <c r="N34" s="318"/>
      <c r="O34" s="318"/>
      <c r="P34" s="318"/>
      <c r="Q34" s="318"/>
      <c r="R34" s="318"/>
      <c r="S34" s="58"/>
      <c r="T34" s="324"/>
      <c r="U34" s="324"/>
      <c r="V34" s="58"/>
      <c r="W34" s="325"/>
      <c r="X34" s="58"/>
      <c r="Y34" s="58"/>
      <c r="Z34" s="326"/>
      <c r="AA34" s="327"/>
      <c r="AH34" s="289"/>
      <c r="AI34" s="289"/>
      <c r="AJ34" s="289"/>
    </row>
    <row r="35" s="60" customFormat="1" ht="25" customHeight="1" spans="1:36">
      <c r="A35" s="318"/>
      <c r="B35" s="318"/>
      <c r="C35" s="318"/>
      <c r="D35" s="321"/>
      <c r="E35" s="321"/>
      <c r="F35" s="321"/>
      <c r="G35" s="321"/>
      <c r="H35" s="321"/>
      <c r="I35" s="321"/>
      <c r="J35" s="321"/>
      <c r="K35" s="58"/>
      <c r="L35" s="318"/>
      <c r="M35" s="318"/>
      <c r="N35" s="318"/>
      <c r="O35" s="318"/>
      <c r="P35" s="318"/>
      <c r="Q35" s="318"/>
      <c r="R35" s="318"/>
      <c r="S35" s="58"/>
      <c r="T35" s="324"/>
      <c r="U35" s="324"/>
      <c r="V35" s="58"/>
      <c r="W35" s="325"/>
      <c r="X35" s="58"/>
      <c r="Y35" s="58"/>
      <c r="Z35" s="326"/>
      <c r="AA35" s="327"/>
      <c r="AH35" s="289"/>
      <c r="AI35" s="289"/>
      <c r="AJ35" s="289"/>
    </row>
    <row r="36" s="60" customFormat="1" ht="25" customHeight="1" spans="1:36">
      <c r="A36" s="318"/>
      <c r="B36" s="318"/>
      <c r="C36" s="318"/>
      <c r="D36" s="321"/>
      <c r="E36" s="321"/>
      <c r="F36" s="321"/>
      <c r="G36" s="321"/>
      <c r="H36" s="321"/>
      <c r="I36" s="321"/>
      <c r="J36" s="321"/>
      <c r="K36" s="58"/>
      <c r="L36" s="318"/>
      <c r="M36" s="318"/>
      <c r="N36" s="318"/>
      <c r="O36" s="318"/>
      <c r="P36" s="318"/>
      <c r="Q36" s="318"/>
      <c r="R36" s="318"/>
      <c r="S36" s="58"/>
      <c r="T36" s="324"/>
      <c r="U36" s="324"/>
      <c r="V36" s="58"/>
      <c r="W36" s="325"/>
      <c r="X36" s="58"/>
      <c r="Y36" s="58"/>
      <c r="Z36" s="326"/>
      <c r="AA36" s="327"/>
      <c r="AH36" s="289"/>
      <c r="AI36" s="289"/>
      <c r="AJ36" s="289"/>
    </row>
    <row r="37" s="60" customFormat="1" ht="25" customHeight="1" spans="1:36">
      <c r="A37" s="318"/>
      <c r="B37" s="318"/>
      <c r="C37" s="318"/>
      <c r="D37" s="321"/>
      <c r="E37" s="321"/>
      <c r="F37" s="321"/>
      <c r="G37" s="321"/>
      <c r="H37" s="321"/>
      <c r="I37" s="321"/>
      <c r="J37" s="321"/>
      <c r="K37" s="58"/>
      <c r="L37" s="318"/>
      <c r="M37" s="318"/>
      <c r="N37" s="318"/>
      <c r="O37" s="318"/>
      <c r="P37" s="318"/>
      <c r="Q37" s="318"/>
      <c r="R37" s="318"/>
      <c r="S37" s="58"/>
      <c r="T37" s="324"/>
      <c r="U37" s="324"/>
      <c r="V37" s="58"/>
      <c r="W37" s="325"/>
      <c r="X37" s="58"/>
      <c r="Y37" s="58"/>
      <c r="Z37" s="326"/>
      <c r="AA37" s="327"/>
      <c r="AH37" s="289"/>
      <c r="AI37" s="289"/>
      <c r="AJ37" s="289"/>
    </row>
    <row r="38" s="60" customFormat="1" ht="25" customHeight="1" spans="1:36">
      <c r="A38" s="318"/>
      <c r="B38" s="318"/>
      <c r="C38" s="318"/>
      <c r="D38" s="321"/>
      <c r="E38" s="321"/>
      <c r="F38" s="321"/>
      <c r="G38" s="321"/>
      <c r="H38" s="321"/>
      <c r="I38" s="321"/>
      <c r="J38" s="321"/>
      <c r="K38" s="58"/>
      <c r="L38" s="318"/>
      <c r="M38" s="318"/>
      <c r="N38" s="318"/>
      <c r="O38" s="318"/>
      <c r="P38" s="318"/>
      <c r="Q38" s="318"/>
      <c r="R38" s="318"/>
      <c r="S38" s="58"/>
      <c r="T38" s="324"/>
      <c r="U38" s="324"/>
      <c r="V38" s="58"/>
      <c r="W38" s="325"/>
      <c r="X38" s="58"/>
      <c r="Y38" s="58"/>
      <c r="Z38" s="326"/>
      <c r="AA38" s="327"/>
      <c r="AH38" s="289"/>
      <c r="AI38" s="289"/>
      <c r="AJ38" s="289"/>
    </row>
    <row r="39" s="60" customFormat="1" ht="25" customHeight="1" spans="1:36">
      <c r="A39" s="318"/>
      <c r="B39" s="318"/>
      <c r="C39" s="318"/>
      <c r="D39" s="321"/>
      <c r="E39" s="321"/>
      <c r="F39" s="321"/>
      <c r="G39" s="321"/>
      <c r="H39" s="321"/>
      <c r="I39" s="321"/>
      <c r="J39" s="321"/>
      <c r="K39" s="58"/>
      <c r="L39" s="318"/>
      <c r="M39" s="318"/>
      <c r="N39" s="318"/>
      <c r="O39" s="318"/>
      <c r="P39" s="318"/>
      <c r="Q39" s="318"/>
      <c r="R39" s="318"/>
      <c r="S39" s="58"/>
      <c r="T39" s="324"/>
      <c r="U39" s="324"/>
      <c r="V39" s="58"/>
      <c r="W39" s="325"/>
      <c r="X39" s="58"/>
      <c r="Y39" s="58"/>
      <c r="Z39" s="326"/>
      <c r="AA39" s="327"/>
      <c r="AH39" s="289"/>
      <c r="AI39" s="289"/>
      <c r="AJ39" s="289"/>
    </row>
    <row r="40" s="60" customFormat="1" ht="25" customHeight="1" spans="1:36">
      <c r="A40" s="318"/>
      <c r="B40" s="318"/>
      <c r="C40" s="318"/>
      <c r="D40" s="321"/>
      <c r="E40" s="321"/>
      <c r="F40" s="321"/>
      <c r="G40" s="321"/>
      <c r="H40" s="321"/>
      <c r="I40" s="321"/>
      <c r="J40" s="321"/>
      <c r="K40" s="58"/>
      <c r="L40" s="318"/>
      <c r="M40" s="318"/>
      <c r="N40" s="318"/>
      <c r="O40" s="318"/>
      <c r="P40" s="318"/>
      <c r="Q40" s="318"/>
      <c r="R40" s="318"/>
      <c r="S40" s="58"/>
      <c r="T40" s="324"/>
      <c r="U40" s="324"/>
      <c r="V40" s="58"/>
      <c r="W40" s="325"/>
      <c r="X40" s="58"/>
      <c r="Y40" s="58"/>
      <c r="Z40" s="326"/>
      <c r="AA40" s="327"/>
      <c r="AH40" s="289"/>
      <c r="AI40" s="289"/>
      <c r="AJ40" s="289"/>
    </row>
    <row r="41" s="60" customFormat="1" ht="25" customHeight="1" spans="1:36">
      <c r="A41" s="318"/>
      <c r="B41" s="318"/>
      <c r="C41" s="318"/>
      <c r="D41" s="321"/>
      <c r="E41" s="321"/>
      <c r="F41" s="321"/>
      <c r="G41" s="321"/>
      <c r="H41" s="321"/>
      <c r="I41" s="321"/>
      <c r="J41" s="321"/>
      <c r="K41" s="58"/>
      <c r="L41" s="318"/>
      <c r="M41" s="318"/>
      <c r="N41" s="318"/>
      <c r="O41" s="318"/>
      <c r="P41" s="318"/>
      <c r="Q41" s="318"/>
      <c r="R41" s="318"/>
      <c r="S41" s="58"/>
      <c r="T41" s="324"/>
      <c r="U41" s="324"/>
      <c r="V41" s="58"/>
      <c r="W41" s="325"/>
      <c r="X41" s="58"/>
      <c r="Y41" s="58"/>
      <c r="Z41" s="326"/>
      <c r="AA41" s="327"/>
      <c r="AH41" s="289"/>
      <c r="AI41" s="289"/>
      <c r="AJ41" s="289"/>
    </row>
    <row r="42" s="60" customFormat="1" ht="25" customHeight="1" spans="1:36">
      <c r="A42" s="318"/>
      <c r="B42" s="318"/>
      <c r="C42" s="318"/>
      <c r="D42" s="321"/>
      <c r="E42" s="321"/>
      <c r="F42" s="321"/>
      <c r="G42" s="321"/>
      <c r="H42" s="321"/>
      <c r="I42" s="321"/>
      <c r="J42" s="321"/>
      <c r="K42" s="58"/>
      <c r="L42" s="318"/>
      <c r="M42" s="318"/>
      <c r="N42" s="318"/>
      <c r="O42" s="318"/>
      <c r="P42" s="318"/>
      <c r="Q42" s="318"/>
      <c r="R42" s="318"/>
      <c r="S42" s="58"/>
      <c r="T42" s="324"/>
      <c r="U42" s="324"/>
      <c r="V42" s="58"/>
      <c r="W42" s="325"/>
      <c r="X42" s="58"/>
      <c r="Y42" s="58"/>
      <c r="Z42" s="326"/>
      <c r="AA42" s="327"/>
      <c r="AH42" s="289"/>
      <c r="AI42" s="289"/>
      <c r="AJ42" s="289"/>
    </row>
    <row r="43" s="60" customFormat="1" ht="25" customHeight="1" spans="1:36">
      <c r="A43" s="318"/>
      <c r="B43" s="318"/>
      <c r="C43" s="318"/>
      <c r="D43" s="321"/>
      <c r="E43" s="321"/>
      <c r="F43" s="321"/>
      <c r="G43" s="321"/>
      <c r="H43" s="321"/>
      <c r="I43" s="321"/>
      <c r="J43" s="321"/>
      <c r="K43" s="58"/>
      <c r="L43" s="318"/>
      <c r="M43" s="318"/>
      <c r="N43" s="318"/>
      <c r="O43" s="318"/>
      <c r="P43" s="318"/>
      <c r="Q43" s="318"/>
      <c r="R43" s="318"/>
      <c r="S43" s="58"/>
      <c r="T43" s="324"/>
      <c r="U43" s="324"/>
      <c r="V43" s="58"/>
      <c r="W43" s="325"/>
      <c r="X43" s="58"/>
      <c r="Y43" s="58"/>
      <c r="Z43" s="326"/>
      <c r="AA43" s="327"/>
      <c r="AH43" s="289"/>
      <c r="AI43" s="289"/>
      <c r="AJ43" s="289"/>
    </row>
    <row r="44" s="60" customFormat="1" ht="25" customHeight="1" spans="1:36">
      <c r="A44" s="318"/>
      <c r="B44" s="318"/>
      <c r="C44" s="318"/>
      <c r="D44" s="321"/>
      <c r="E44" s="321"/>
      <c r="F44" s="321"/>
      <c r="G44" s="321"/>
      <c r="H44" s="321"/>
      <c r="I44" s="321"/>
      <c r="J44" s="321"/>
      <c r="K44" s="58"/>
      <c r="L44" s="318"/>
      <c r="M44" s="318"/>
      <c r="N44" s="318"/>
      <c r="O44" s="318"/>
      <c r="P44" s="318"/>
      <c r="Q44" s="318"/>
      <c r="R44" s="318"/>
      <c r="S44" s="58"/>
      <c r="T44" s="324"/>
      <c r="U44" s="324"/>
      <c r="V44" s="58"/>
      <c r="W44" s="325"/>
      <c r="X44" s="58"/>
      <c r="Y44" s="58"/>
      <c r="Z44" s="326"/>
      <c r="AA44" s="327"/>
      <c r="AH44" s="289"/>
      <c r="AI44" s="289"/>
      <c r="AJ44" s="289"/>
    </row>
    <row r="45" s="60" customFormat="1" ht="25" customHeight="1" spans="1:36">
      <c r="A45" s="318"/>
      <c r="B45" s="318"/>
      <c r="C45" s="318"/>
      <c r="D45" s="321"/>
      <c r="E45" s="321"/>
      <c r="F45" s="321"/>
      <c r="G45" s="321"/>
      <c r="H45" s="321"/>
      <c r="I45" s="321"/>
      <c r="J45" s="321"/>
      <c r="K45" s="58"/>
      <c r="L45" s="318"/>
      <c r="M45" s="318"/>
      <c r="N45" s="318"/>
      <c r="O45" s="318"/>
      <c r="P45" s="318"/>
      <c r="Q45" s="318"/>
      <c r="R45" s="318"/>
      <c r="S45" s="58"/>
      <c r="T45" s="324"/>
      <c r="U45" s="324"/>
      <c r="V45" s="58"/>
      <c r="W45" s="325"/>
      <c r="X45" s="58"/>
      <c r="Y45" s="58"/>
      <c r="Z45" s="326"/>
      <c r="AA45" s="327"/>
      <c r="AH45" s="289"/>
      <c r="AI45" s="289"/>
      <c r="AJ45" s="289"/>
    </row>
    <row r="46" s="60" customFormat="1" ht="25" customHeight="1" spans="1:36">
      <c r="A46" s="318"/>
      <c r="B46" s="318"/>
      <c r="C46" s="318"/>
      <c r="D46" s="321"/>
      <c r="E46" s="321"/>
      <c r="F46" s="321"/>
      <c r="G46" s="321"/>
      <c r="H46" s="321"/>
      <c r="I46" s="321"/>
      <c r="J46" s="321"/>
      <c r="K46" s="58"/>
      <c r="L46" s="318"/>
      <c r="M46" s="318"/>
      <c r="N46" s="318"/>
      <c r="O46" s="318"/>
      <c r="P46" s="318"/>
      <c r="Q46" s="318"/>
      <c r="R46" s="318"/>
      <c r="S46" s="58"/>
      <c r="T46" s="324"/>
      <c r="U46" s="324"/>
      <c r="V46" s="58"/>
      <c r="W46" s="325"/>
      <c r="X46" s="58"/>
      <c r="Y46" s="58"/>
      <c r="Z46" s="326"/>
      <c r="AA46" s="327"/>
      <c r="AH46" s="289"/>
      <c r="AI46" s="289"/>
      <c r="AJ46" s="289"/>
    </row>
    <row r="47" s="60" customFormat="1" ht="25" customHeight="1" spans="1:36">
      <c r="A47" s="318"/>
      <c r="B47" s="318"/>
      <c r="C47" s="318"/>
      <c r="D47" s="321"/>
      <c r="E47" s="321"/>
      <c r="F47" s="321"/>
      <c r="G47" s="321"/>
      <c r="H47" s="321"/>
      <c r="I47" s="321"/>
      <c r="J47" s="321"/>
      <c r="K47" s="58"/>
      <c r="L47" s="318"/>
      <c r="M47" s="318"/>
      <c r="N47" s="318"/>
      <c r="O47" s="318"/>
      <c r="P47" s="318"/>
      <c r="Q47" s="318"/>
      <c r="R47" s="318"/>
      <c r="S47" s="58"/>
      <c r="T47" s="324"/>
      <c r="U47" s="324"/>
      <c r="V47" s="58"/>
      <c r="W47" s="325"/>
      <c r="X47" s="58"/>
      <c r="Y47" s="58"/>
      <c r="Z47" s="326"/>
      <c r="AA47" s="327"/>
      <c r="AH47" s="289"/>
      <c r="AI47" s="289"/>
      <c r="AJ47" s="289"/>
    </row>
    <row r="48" s="60" customFormat="1" ht="25" customHeight="1" spans="1:36">
      <c r="A48" s="318"/>
      <c r="B48" s="318"/>
      <c r="C48" s="318"/>
      <c r="D48" s="321"/>
      <c r="E48" s="321"/>
      <c r="F48" s="321"/>
      <c r="G48" s="321"/>
      <c r="H48" s="321"/>
      <c r="I48" s="321"/>
      <c r="J48" s="321"/>
      <c r="K48" s="58"/>
      <c r="L48" s="318"/>
      <c r="M48" s="318"/>
      <c r="N48" s="318"/>
      <c r="O48" s="318"/>
      <c r="P48" s="318"/>
      <c r="Q48" s="318"/>
      <c r="R48" s="318"/>
      <c r="S48" s="58"/>
      <c r="T48" s="324"/>
      <c r="U48" s="324"/>
      <c r="V48" s="58"/>
      <c r="W48" s="325"/>
      <c r="X48" s="58"/>
      <c r="Y48" s="58"/>
      <c r="Z48" s="326"/>
      <c r="AA48" s="327"/>
      <c r="AH48" s="289"/>
      <c r="AI48" s="289"/>
      <c r="AJ48" s="289"/>
    </row>
    <row r="49" s="60" customFormat="1" ht="25" customHeight="1" spans="1:36">
      <c r="A49" s="318"/>
      <c r="B49" s="318"/>
      <c r="C49" s="318"/>
      <c r="D49" s="321"/>
      <c r="E49" s="321"/>
      <c r="F49" s="321"/>
      <c r="G49" s="321"/>
      <c r="H49" s="321"/>
      <c r="I49" s="321"/>
      <c r="J49" s="321"/>
      <c r="K49" s="58"/>
      <c r="L49" s="318"/>
      <c r="M49" s="318"/>
      <c r="N49" s="318"/>
      <c r="O49" s="318"/>
      <c r="P49" s="318"/>
      <c r="Q49" s="318"/>
      <c r="R49" s="318"/>
      <c r="S49" s="58"/>
      <c r="T49" s="324"/>
      <c r="U49" s="324"/>
      <c r="V49" s="58"/>
      <c r="W49" s="325"/>
      <c r="X49" s="58"/>
      <c r="Y49" s="58"/>
      <c r="Z49" s="326"/>
      <c r="AA49" s="327"/>
      <c r="AH49" s="289"/>
      <c r="AI49" s="289"/>
      <c r="AJ49" s="289"/>
    </row>
    <row r="50" s="60" customFormat="1" ht="25" customHeight="1" spans="1:36">
      <c r="A50" s="318"/>
      <c r="B50" s="318"/>
      <c r="C50" s="318"/>
      <c r="D50" s="321"/>
      <c r="E50" s="321"/>
      <c r="F50" s="321"/>
      <c r="G50" s="321"/>
      <c r="H50" s="321"/>
      <c r="I50" s="321"/>
      <c r="J50" s="321"/>
      <c r="K50" s="58"/>
      <c r="L50" s="318"/>
      <c r="M50" s="318"/>
      <c r="N50" s="318"/>
      <c r="O50" s="318"/>
      <c r="P50" s="318"/>
      <c r="Q50" s="318"/>
      <c r="R50" s="318"/>
      <c r="S50" s="58"/>
      <c r="T50" s="324"/>
      <c r="U50" s="324"/>
      <c r="V50" s="58"/>
      <c r="W50" s="325"/>
      <c r="X50" s="58"/>
      <c r="Y50" s="58"/>
      <c r="Z50" s="326"/>
      <c r="AA50" s="327"/>
      <c r="AH50" s="289"/>
      <c r="AI50" s="289"/>
      <c r="AJ50" s="289"/>
    </row>
    <row r="51" s="60" customFormat="1" ht="25" customHeight="1" spans="1:36">
      <c r="A51" s="318"/>
      <c r="B51" s="318"/>
      <c r="C51" s="318"/>
      <c r="D51" s="321"/>
      <c r="E51" s="321"/>
      <c r="F51" s="321"/>
      <c r="G51" s="321"/>
      <c r="H51" s="321"/>
      <c r="I51" s="321"/>
      <c r="J51" s="321"/>
      <c r="K51" s="58"/>
      <c r="L51" s="318"/>
      <c r="M51" s="318"/>
      <c r="N51" s="318"/>
      <c r="O51" s="318"/>
      <c r="P51" s="318"/>
      <c r="Q51" s="318"/>
      <c r="R51" s="318"/>
      <c r="S51" s="58"/>
      <c r="T51" s="324"/>
      <c r="U51" s="324"/>
      <c r="V51" s="58"/>
      <c r="W51" s="325"/>
      <c r="X51" s="58"/>
      <c r="Y51" s="58"/>
      <c r="Z51" s="326"/>
      <c r="AA51" s="327"/>
      <c r="AH51" s="289"/>
      <c r="AI51" s="289"/>
      <c r="AJ51" s="289"/>
    </row>
    <row r="52" s="60" customFormat="1" ht="25" customHeight="1" spans="1:36">
      <c r="A52" s="318"/>
      <c r="B52" s="318"/>
      <c r="C52" s="318"/>
      <c r="D52" s="321"/>
      <c r="E52" s="321"/>
      <c r="F52" s="321"/>
      <c r="G52" s="321"/>
      <c r="H52" s="321"/>
      <c r="I52" s="321"/>
      <c r="J52" s="321"/>
      <c r="K52" s="58"/>
      <c r="L52" s="318"/>
      <c r="M52" s="318"/>
      <c r="N52" s="318"/>
      <c r="O52" s="318"/>
      <c r="P52" s="318"/>
      <c r="Q52" s="318"/>
      <c r="R52" s="318"/>
      <c r="S52" s="58"/>
      <c r="T52" s="324"/>
      <c r="U52" s="324"/>
      <c r="V52" s="58"/>
      <c r="W52" s="325"/>
      <c r="X52" s="58"/>
      <c r="Y52" s="58"/>
      <c r="Z52" s="326"/>
      <c r="AA52" s="327"/>
      <c r="AH52" s="289"/>
      <c r="AI52" s="289"/>
      <c r="AJ52" s="289"/>
    </row>
    <row r="53" s="60" customFormat="1" ht="25" customHeight="1" spans="1:36">
      <c r="A53" s="318"/>
      <c r="B53" s="318"/>
      <c r="C53" s="318"/>
      <c r="D53" s="321"/>
      <c r="E53" s="321"/>
      <c r="F53" s="321"/>
      <c r="G53" s="321"/>
      <c r="H53" s="321"/>
      <c r="I53" s="321"/>
      <c r="J53" s="321"/>
      <c r="K53" s="58"/>
      <c r="L53" s="318"/>
      <c r="M53" s="318"/>
      <c r="N53" s="318"/>
      <c r="O53" s="318"/>
      <c r="P53" s="318"/>
      <c r="Q53" s="318"/>
      <c r="R53" s="318"/>
      <c r="S53" s="58"/>
      <c r="T53" s="324"/>
      <c r="U53" s="324"/>
      <c r="V53" s="58"/>
      <c r="W53" s="325"/>
      <c r="X53" s="58"/>
      <c r="Y53" s="58"/>
      <c r="Z53" s="326"/>
      <c r="AA53" s="327"/>
      <c r="AH53" s="289"/>
      <c r="AI53" s="289"/>
      <c r="AJ53" s="289"/>
    </row>
    <row r="54" s="60" customFormat="1" ht="25" customHeight="1" spans="1:36">
      <c r="A54" s="318"/>
      <c r="B54" s="318"/>
      <c r="C54" s="318"/>
      <c r="D54" s="321"/>
      <c r="E54" s="321"/>
      <c r="F54" s="321"/>
      <c r="G54" s="321"/>
      <c r="H54" s="321"/>
      <c r="I54" s="321"/>
      <c r="J54" s="321"/>
      <c r="K54" s="58"/>
      <c r="L54" s="318"/>
      <c r="M54" s="318"/>
      <c r="N54" s="318"/>
      <c r="O54" s="318"/>
      <c r="P54" s="318"/>
      <c r="Q54" s="318"/>
      <c r="R54" s="318"/>
      <c r="S54" s="58"/>
      <c r="T54" s="324"/>
      <c r="U54" s="324"/>
      <c r="V54" s="58"/>
      <c r="W54" s="325"/>
      <c r="X54" s="58"/>
      <c r="Y54" s="58"/>
      <c r="Z54" s="326"/>
      <c r="AA54" s="327"/>
      <c r="AH54" s="289"/>
      <c r="AI54" s="289"/>
      <c r="AJ54" s="289"/>
    </row>
    <row r="55" s="60" customFormat="1" ht="25" customHeight="1" spans="1:36">
      <c r="A55" s="318"/>
      <c r="B55" s="318"/>
      <c r="C55" s="318"/>
      <c r="D55" s="321"/>
      <c r="E55" s="321"/>
      <c r="F55" s="321"/>
      <c r="G55" s="321"/>
      <c r="H55" s="321"/>
      <c r="I55" s="321"/>
      <c r="J55" s="321"/>
      <c r="K55" s="58"/>
      <c r="L55" s="318"/>
      <c r="M55" s="318"/>
      <c r="N55" s="318"/>
      <c r="O55" s="318"/>
      <c r="P55" s="318"/>
      <c r="Q55" s="318"/>
      <c r="R55" s="318"/>
      <c r="S55" s="58"/>
      <c r="T55" s="324"/>
      <c r="U55" s="324"/>
      <c r="V55" s="58"/>
      <c r="W55" s="325"/>
      <c r="X55" s="58"/>
      <c r="Y55" s="58"/>
      <c r="Z55" s="326"/>
      <c r="AA55" s="327"/>
      <c r="AH55" s="289"/>
      <c r="AI55" s="289"/>
      <c r="AJ55" s="289"/>
    </row>
    <row r="56" s="60" customFormat="1" ht="25" customHeight="1" spans="1:36">
      <c r="A56" s="318"/>
      <c r="B56" s="318"/>
      <c r="C56" s="318"/>
      <c r="D56" s="321"/>
      <c r="E56" s="321"/>
      <c r="F56" s="321"/>
      <c r="G56" s="321"/>
      <c r="H56" s="321"/>
      <c r="I56" s="321"/>
      <c r="J56" s="321"/>
      <c r="K56" s="58"/>
      <c r="L56" s="318"/>
      <c r="M56" s="318"/>
      <c r="N56" s="318"/>
      <c r="O56" s="318"/>
      <c r="P56" s="318"/>
      <c r="Q56" s="318"/>
      <c r="R56" s="318"/>
      <c r="S56" s="58"/>
      <c r="T56" s="324"/>
      <c r="U56" s="324"/>
      <c r="V56" s="58"/>
      <c r="W56" s="325"/>
      <c r="X56" s="58"/>
      <c r="Y56" s="58"/>
      <c r="Z56" s="326"/>
      <c r="AA56" s="327"/>
      <c r="AH56" s="289"/>
      <c r="AI56" s="289"/>
      <c r="AJ56" s="289"/>
    </row>
    <row r="57" s="60" customFormat="1" ht="25" customHeight="1" spans="1:36">
      <c r="A57" s="318"/>
      <c r="B57" s="318"/>
      <c r="C57" s="318"/>
      <c r="D57" s="321"/>
      <c r="E57" s="321"/>
      <c r="F57" s="321"/>
      <c r="G57" s="321"/>
      <c r="H57" s="321"/>
      <c r="I57" s="321"/>
      <c r="J57" s="321"/>
      <c r="K57" s="58"/>
      <c r="L57" s="318"/>
      <c r="M57" s="318"/>
      <c r="N57" s="318"/>
      <c r="O57" s="318"/>
      <c r="P57" s="318"/>
      <c r="Q57" s="318"/>
      <c r="R57" s="318"/>
      <c r="S57" s="58"/>
      <c r="T57" s="324"/>
      <c r="U57" s="324"/>
      <c r="V57" s="58"/>
      <c r="W57" s="325"/>
      <c r="X57" s="58"/>
      <c r="Y57" s="58"/>
      <c r="Z57" s="326"/>
      <c r="AA57" s="327"/>
      <c r="AH57" s="289"/>
      <c r="AI57" s="289"/>
      <c r="AJ57" s="289"/>
    </row>
    <row r="58" s="60" customFormat="1" ht="25" customHeight="1" spans="1:36">
      <c r="A58" s="318"/>
      <c r="B58" s="318"/>
      <c r="C58" s="318"/>
      <c r="D58" s="321"/>
      <c r="E58" s="321"/>
      <c r="F58" s="321"/>
      <c r="G58" s="321"/>
      <c r="H58" s="321"/>
      <c r="I58" s="321"/>
      <c r="J58" s="321"/>
      <c r="K58" s="58"/>
      <c r="L58" s="318"/>
      <c r="M58" s="318"/>
      <c r="N58" s="318"/>
      <c r="O58" s="318"/>
      <c r="P58" s="318"/>
      <c r="Q58" s="318"/>
      <c r="R58" s="318"/>
      <c r="S58" s="58"/>
      <c r="T58" s="324"/>
      <c r="U58" s="324"/>
      <c r="V58" s="58"/>
      <c r="W58" s="325"/>
      <c r="X58" s="58"/>
      <c r="Y58" s="58"/>
      <c r="Z58" s="326"/>
      <c r="AA58" s="327"/>
      <c r="AH58" s="289"/>
      <c r="AI58" s="289"/>
      <c r="AJ58" s="289"/>
    </row>
    <row r="59" s="60" customFormat="1" ht="25" customHeight="1" spans="1:36">
      <c r="A59" s="318"/>
      <c r="B59" s="318"/>
      <c r="C59" s="318"/>
      <c r="D59" s="321"/>
      <c r="E59" s="321"/>
      <c r="F59" s="321"/>
      <c r="G59" s="321"/>
      <c r="H59" s="321"/>
      <c r="I59" s="321"/>
      <c r="J59" s="321"/>
      <c r="K59" s="58"/>
      <c r="L59" s="318"/>
      <c r="M59" s="318"/>
      <c r="N59" s="318"/>
      <c r="O59" s="318"/>
      <c r="P59" s="318"/>
      <c r="Q59" s="318"/>
      <c r="R59" s="318"/>
      <c r="S59" s="58"/>
      <c r="T59" s="324"/>
      <c r="U59" s="324"/>
      <c r="V59" s="58"/>
      <c r="W59" s="325"/>
      <c r="X59" s="58"/>
      <c r="Y59" s="58"/>
      <c r="Z59" s="326"/>
      <c r="AA59" s="327"/>
      <c r="AH59" s="289"/>
      <c r="AI59" s="289"/>
      <c r="AJ59" s="289"/>
    </row>
    <row r="60" s="60" customFormat="1" ht="25" customHeight="1" spans="1:36">
      <c r="A60" s="318"/>
      <c r="B60" s="318"/>
      <c r="C60" s="318"/>
      <c r="D60" s="321"/>
      <c r="E60" s="321"/>
      <c r="F60" s="321"/>
      <c r="G60" s="321"/>
      <c r="H60" s="321"/>
      <c r="I60" s="321"/>
      <c r="J60" s="321"/>
      <c r="K60" s="58"/>
      <c r="L60" s="318"/>
      <c r="M60" s="318"/>
      <c r="N60" s="318"/>
      <c r="O60" s="318"/>
      <c r="P60" s="318"/>
      <c r="Q60" s="318"/>
      <c r="R60" s="318"/>
      <c r="S60" s="58"/>
      <c r="T60" s="324"/>
      <c r="U60" s="324"/>
      <c r="V60" s="58"/>
      <c r="W60" s="325"/>
      <c r="X60" s="58"/>
      <c r="Y60" s="58"/>
      <c r="Z60" s="326"/>
      <c r="AA60" s="327"/>
      <c r="AH60" s="289"/>
      <c r="AI60" s="289"/>
      <c r="AJ60" s="289"/>
    </row>
    <row r="61" s="60" customFormat="1" ht="25" customHeight="1" spans="1:36">
      <c r="A61" s="318"/>
      <c r="B61" s="318"/>
      <c r="C61" s="318"/>
      <c r="D61" s="321"/>
      <c r="E61" s="321"/>
      <c r="F61" s="321"/>
      <c r="G61" s="321"/>
      <c r="H61" s="321"/>
      <c r="I61" s="321"/>
      <c r="J61" s="321"/>
      <c r="K61" s="58"/>
      <c r="L61" s="318"/>
      <c r="M61" s="318"/>
      <c r="N61" s="318"/>
      <c r="O61" s="318"/>
      <c r="P61" s="318"/>
      <c r="Q61" s="318"/>
      <c r="R61" s="318"/>
      <c r="S61" s="58"/>
      <c r="T61" s="324"/>
      <c r="U61" s="324"/>
      <c r="V61" s="58"/>
      <c r="W61" s="325"/>
      <c r="X61" s="58"/>
      <c r="Y61" s="58"/>
      <c r="Z61" s="326"/>
      <c r="AA61" s="327"/>
      <c r="AH61" s="289"/>
      <c r="AI61" s="289"/>
      <c r="AJ61" s="289"/>
    </row>
    <row r="62" s="60" customFormat="1" ht="25" customHeight="1" spans="1:36">
      <c r="A62" s="318"/>
      <c r="B62" s="318"/>
      <c r="C62" s="318"/>
      <c r="D62" s="321"/>
      <c r="E62" s="321"/>
      <c r="F62" s="321"/>
      <c r="G62" s="321"/>
      <c r="H62" s="321"/>
      <c r="I62" s="321"/>
      <c r="J62" s="321"/>
      <c r="K62" s="58"/>
      <c r="L62" s="318"/>
      <c r="M62" s="318"/>
      <c r="N62" s="318"/>
      <c r="O62" s="318"/>
      <c r="P62" s="318"/>
      <c r="Q62" s="318"/>
      <c r="R62" s="318"/>
      <c r="S62" s="58"/>
      <c r="T62" s="324"/>
      <c r="U62" s="324"/>
      <c r="V62" s="58"/>
      <c r="W62" s="325"/>
      <c r="X62" s="58"/>
      <c r="Y62" s="58"/>
      <c r="Z62" s="326"/>
      <c r="AA62" s="327"/>
      <c r="AH62" s="289"/>
      <c r="AI62" s="289"/>
      <c r="AJ62" s="289"/>
    </row>
    <row r="63" s="60" customFormat="1" ht="25" customHeight="1" spans="1:36">
      <c r="A63" s="318"/>
      <c r="B63" s="318"/>
      <c r="C63" s="318"/>
      <c r="D63" s="321"/>
      <c r="E63" s="321"/>
      <c r="F63" s="321"/>
      <c r="G63" s="321"/>
      <c r="H63" s="321"/>
      <c r="I63" s="321"/>
      <c r="J63" s="321"/>
      <c r="K63" s="58"/>
      <c r="L63" s="318"/>
      <c r="M63" s="318"/>
      <c r="N63" s="318"/>
      <c r="O63" s="318"/>
      <c r="P63" s="318"/>
      <c r="Q63" s="318"/>
      <c r="R63" s="318"/>
      <c r="S63" s="58"/>
      <c r="T63" s="324"/>
      <c r="U63" s="324"/>
      <c r="V63" s="58"/>
      <c r="W63" s="325"/>
      <c r="X63" s="58"/>
      <c r="Y63" s="58"/>
      <c r="Z63" s="326"/>
      <c r="AA63" s="327"/>
      <c r="AH63" s="289"/>
      <c r="AI63" s="289"/>
      <c r="AJ63" s="289"/>
    </row>
    <row r="64" s="60" customFormat="1" ht="25" customHeight="1" spans="1:36">
      <c r="A64" s="318"/>
      <c r="B64" s="318"/>
      <c r="C64" s="318"/>
      <c r="D64" s="321"/>
      <c r="E64" s="321"/>
      <c r="F64" s="321"/>
      <c r="G64" s="321"/>
      <c r="H64" s="321"/>
      <c r="I64" s="321"/>
      <c r="J64" s="321"/>
      <c r="K64" s="58"/>
      <c r="L64" s="318"/>
      <c r="M64" s="318"/>
      <c r="N64" s="318"/>
      <c r="O64" s="318"/>
      <c r="P64" s="318"/>
      <c r="Q64" s="318"/>
      <c r="R64" s="318"/>
      <c r="S64" s="58"/>
      <c r="T64" s="324"/>
      <c r="U64" s="324"/>
      <c r="V64" s="58"/>
      <c r="W64" s="325"/>
      <c r="X64" s="58"/>
      <c r="Y64" s="58"/>
      <c r="Z64" s="326"/>
      <c r="AA64" s="327"/>
      <c r="AH64" s="289"/>
      <c r="AI64" s="289"/>
      <c r="AJ64" s="289"/>
    </row>
    <row r="65" s="60" customFormat="1" ht="25" customHeight="1" spans="1:36">
      <c r="A65" s="318"/>
      <c r="B65" s="318"/>
      <c r="C65" s="318"/>
      <c r="D65" s="321"/>
      <c r="E65" s="321"/>
      <c r="F65" s="321"/>
      <c r="G65" s="321"/>
      <c r="H65" s="321"/>
      <c r="I65" s="321"/>
      <c r="J65" s="321"/>
      <c r="K65" s="58"/>
      <c r="L65" s="318"/>
      <c r="M65" s="318"/>
      <c r="N65" s="318"/>
      <c r="O65" s="318"/>
      <c r="P65" s="318"/>
      <c r="Q65" s="318"/>
      <c r="R65" s="318"/>
      <c r="S65" s="58"/>
      <c r="T65" s="324"/>
      <c r="U65" s="324"/>
      <c r="V65" s="58"/>
      <c r="W65" s="325"/>
      <c r="X65" s="58"/>
      <c r="Y65" s="58"/>
      <c r="Z65" s="326"/>
      <c r="AA65" s="327"/>
      <c r="AH65" s="289"/>
      <c r="AI65" s="289"/>
      <c r="AJ65" s="289"/>
    </row>
    <row r="66" s="60" customFormat="1" ht="25" customHeight="1" spans="1:36">
      <c r="A66" s="318"/>
      <c r="B66" s="318"/>
      <c r="C66" s="318"/>
      <c r="D66" s="321"/>
      <c r="E66" s="321"/>
      <c r="F66" s="321"/>
      <c r="G66" s="321"/>
      <c r="H66" s="321"/>
      <c r="I66" s="321"/>
      <c r="J66" s="321"/>
      <c r="K66" s="58"/>
      <c r="L66" s="318"/>
      <c r="M66" s="318"/>
      <c r="N66" s="318"/>
      <c r="O66" s="318"/>
      <c r="P66" s="318"/>
      <c r="Q66" s="318"/>
      <c r="R66" s="318"/>
      <c r="S66" s="58"/>
      <c r="T66" s="324"/>
      <c r="U66" s="324"/>
      <c r="V66" s="58"/>
      <c r="W66" s="325"/>
      <c r="X66" s="58"/>
      <c r="Y66" s="58"/>
      <c r="Z66" s="326"/>
      <c r="AA66" s="327"/>
      <c r="AH66" s="289"/>
      <c r="AI66" s="289"/>
      <c r="AJ66" s="289"/>
    </row>
    <row r="67" s="60" customFormat="1" ht="25" customHeight="1" spans="1:36">
      <c r="A67" s="318"/>
      <c r="B67" s="318"/>
      <c r="C67" s="318"/>
      <c r="D67" s="321"/>
      <c r="E67" s="321"/>
      <c r="F67" s="321"/>
      <c r="G67" s="321"/>
      <c r="H67" s="321"/>
      <c r="I67" s="321"/>
      <c r="J67" s="321"/>
      <c r="K67" s="58"/>
      <c r="L67" s="318"/>
      <c r="M67" s="318"/>
      <c r="N67" s="318"/>
      <c r="O67" s="318"/>
      <c r="P67" s="318"/>
      <c r="Q67" s="318"/>
      <c r="R67" s="318"/>
      <c r="S67" s="58"/>
      <c r="T67" s="324"/>
      <c r="U67" s="324"/>
      <c r="V67" s="58"/>
      <c r="W67" s="325"/>
      <c r="X67" s="58"/>
      <c r="Y67" s="58"/>
      <c r="Z67" s="326"/>
      <c r="AA67" s="327"/>
      <c r="AH67" s="289"/>
      <c r="AI67" s="289"/>
      <c r="AJ67" s="289"/>
    </row>
    <row r="68" s="60" customFormat="1" ht="25" customHeight="1" spans="1:36">
      <c r="A68" s="318"/>
      <c r="B68" s="318"/>
      <c r="C68" s="318"/>
      <c r="D68" s="321"/>
      <c r="E68" s="321"/>
      <c r="F68" s="321"/>
      <c r="G68" s="321"/>
      <c r="H68" s="321"/>
      <c r="I68" s="321"/>
      <c r="J68" s="321"/>
      <c r="K68" s="58"/>
      <c r="L68" s="318"/>
      <c r="M68" s="318"/>
      <c r="N68" s="318"/>
      <c r="O68" s="318"/>
      <c r="P68" s="318"/>
      <c r="Q68" s="318"/>
      <c r="R68" s="318"/>
      <c r="S68" s="58"/>
      <c r="T68" s="324"/>
      <c r="U68" s="324"/>
      <c r="V68" s="58"/>
      <c r="W68" s="325"/>
      <c r="X68" s="58"/>
      <c r="Y68" s="58"/>
      <c r="Z68" s="326"/>
      <c r="AA68" s="327"/>
      <c r="AH68" s="289"/>
      <c r="AI68" s="289"/>
      <c r="AJ68" s="289"/>
    </row>
    <row r="69" s="60" customFormat="1" ht="25" customHeight="1" spans="1:36">
      <c r="A69" s="318"/>
      <c r="B69" s="318"/>
      <c r="C69" s="318"/>
      <c r="D69" s="321"/>
      <c r="E69" s="321"/>
      <c r="F69" s="321"/>
      <c r="G69" s="321"/>
      <c r="H69" s="321"/>
      <c r="I69" s="321"/>
      <c r="J69" s="321"/>
      <c r="K69" s="58"/>
      <c r="L69" s="318"/>
      <c r="M69" s="318"/>
      <c r="N69" s="318"/>
      <c r="O69" s="318"/>
      <c r="P69" s="318"/>
      <c r="Q69" s="318"/>
      <c r="R69" s="318"/>
      <c r="S69" s="58"/>
      <c r="T69" s="324"/>
      <c r="U69" s="324"/>
      <c r="V69" s="58"/>
      <c r="W69" s="325"/>
      <c r="X69" s="58"/>
      <c r="Y69" s="58"/>
      <c r="Z69" s="326"/>
      <c r="AA69" s="327"/>
      <c r="AH69" s="289"/>
      <c r="AI69" s="289"/>
      <c r="AJ69" s="289"/>
    </row>
    <row r="70" s="60" customFormat="1" ht="25" customHeight="1" spans="1:36">
      <c r="A70" s="318"/>
      <c r="B70" s="318"/>
      <c r="C70" s="318"/>
      <c r="D70" s="321"/>
      <c r="E70" s="321"/>
      <c r="F70" s="321"/>
      <c r="G70" s="321"/>
      <c r="H70" s="321"/>
      <c r="I70" s="321"/>
      <c r="J70" s="321"/>
      <c r="K70" s="58"/>
      <c r="L70" s="318"/>
      <c r="M70" s="318"/>
      <c r="N70" s="318"/>
      <c r="O70" s="318"/>
      <c r="P70" s="318"/>
      <c r="Q70" s="318"/>
      <c r="R70" s="318"/>
      <c r="S70" s="58"/>
      <c r="T70" s="324"/>
      <c r="U70" s="324"/>
      <c r="V70" s="58"/>
      <c r="W70" s="325"/>
      <c r="X70" s="58"/>
      <c r="Y70" s="58"/>
      <c r="Z70" s="326"/>
      <c r="AA70" s="327"/>
      <c r="AH70" s="289"/>
      <c r="AI70" s="289"/>
      <c r="AJ70" s="289"/>
    </row>
    <row r="71" s="60" customFormat="1" ht="25" customHeight="1" spans="1:36">
      <c r="A71" s="318"/>
      <c r="B71" s="318"/>
      <c r="C71" s="318"/>
      <c r="D71" s="321"/>
      <c r="E71" s="321"/>
      <c r="F71" s="321"/>
      <c r="G71" s="321"/>
      <c r="H71" s="321"/>
      <c r="I71" s="321"/>
      <c r="J71" s="321"/>
      <c r="K71" s="58"/>
      <c r="L71" s="318"/>
      <c r="M71" s="318"/>
      <c r="N71" s="318"/>
      <c r="O71" s="318"/>
      <c r="P71" s="318"/>
      <c r="Q71" s="318"/>
      <c r="R71" s="318"/>
      <c r="S71" s="58"/>
      <c r="T71" s="324"/>
      <c r="U71" s="324"/>
      <c r="V71" s="58"/>
      <c r="W71" s="325"/>
      <c r="X71" s="58"/>
      <c r="Y71" s="58"/>
      <c r="Z71" s="326"/>
      <c r="AA71" s="327"/>
      <c r="AH71" s="289"/>
      <c r="AI71" s="289"/>
      <c r="AJ71" s="289"/>
    </row>
    <row r="72" s="60" customFormat="1" ht="25" customHeight="1" spans="1:36">
      <c r="A72" s="318"/>
      <c r="B72" s="318"/>
      <c r="C72" s="318"/>
      <c r="D72" s="321"/>
      <c r="E72" s="321"/>
      <c r="F72" s="321"/>
      <c r="G72" s="321"/>
      <c r="H72" s="321"/>
      <c r="I72" s="321"/>
      <c r="J72" s="321"/>
      <c r="K72" s="58"/>
      <c r="L72" s="318"/>
      <c r="M72" s="318"/>
      <c r="N72" s="318"/>
      <c r="O72" s="318"/>
      <c r="P72" s="318"/>
      <c r="Q72" s="318"/>
      <c r="R72" s="318"/>
      <c r="S72" s="58"/>
      <c r="T72" s="324"/>
      <c r="U72" s="324"/>
      <c r="V72" s="58"/>
      <c r="W72" s="325"/>
      <c r="X72" s="58"/>
      <c r="Y72" s="58"/>
      <c r="Z72" s="326"/>
      <c r="AA72" s="327"/>
      <c r="AH72" s="289"/>
      <c r="AI72" s="289"/>
      <c r="AJ72" s="289"/>
    </row>
    <row r="73" s="60" customFormat="1" ht="25" customHeight="1" spans="1:36">
      <c r="A73" s="318"/>
      <c r="B73" s="318"/>
      <c r="C73" s="318"/>
      <c r="D73" s="321"/>
      <c r="E73" s="321"/>
      <c r="F73" s="321"/>
      <c r="G73" s="321"/>
      <c r="H73" s="321"/>
      <c r="I73" s="321"/>
      <c r="J73" s="321"/>
      <c r="K73" s="58"/>
      <c r="L73" s="318"/>
      <c r="M73" s="318"/>
      <c r="N73" s="318"/>
      <c r="O73" s="318"/>
      <c r="P73" s="318"/>
      <c r="Q73" s="318"/>
      <c r="R73" s="318"/>
      <c r="S73" s="58"/>
      <c r="T73" s="324"/>
      <c r="U73" s="324"/>
      <c r="V73" s="58"/>
      <c r="W73" s="325"/>
      <c r="X73" s="58"/>
      <c r="Y73" s="58"/>
      <c r="Z73" s="326"/>
      <c r="AA73" s="327"/>
      <c r="AH73" s="289"/>
      <c r="AI73" s="289"/>
      <c r="AJ73" s="289"/>
    </row>
    <row r="74" s="60" customFormat="1" ht="25" customHeight="1" spans="1:36">
      <c r="A74" s="318"/>
      <c r="B74" s="318"/>
      <c r="C74" s="318"/>
      <c r="D74" s="321"/>
      <c r="E74" s="321"/>
      <c r="F74" s="321"/>
      <c r="G74" s="321"/>
      <c r="H74" s="321"/>
      <c r="I74" s="321"/>
      <c r="J74" s="321"/>
      <c r="K74" s="58"/>
      <c r="L74" s="318"/>
      <c r="M74" s="318"/>
      <c r="N74" s="318"/>
      <c r="O74" s="318"/>
      <c r="P74" s="318"/>
      <c r="Q74" s="318"/>
      <c r="R74" s="318"/>
      <c r="S74" s="58"/>
      <c r="T74" s="324"/>
      <c r="U74" s="324"/>
      <c r="V74" s="58"/>
      <c r="W74" s="325"/>
      <c r="X74" s="58"/>
      <c r="Y74" s="58"/>
      <c r="Z74" s="326"/>
      <c r="AA74" s="327"/>
      <c r="AH74" s="289"/>
      <c r="AI74" s="289"/>
      <c r="AJ74" s="289"/>
    </row>
    <row r="75" s="60" customFormat="1" ht="25" customHeight="1" spans="1:36">
      <c r="A75" s="318"/>
      <c r="B75" s="318"/>
      <c r="C75" s="318"/>
      <c r="D75" s="321"/>
      <c r="E75" s="321"/>
      <c r="F75" s="321"/>
      <c r="G75" s="321"/>
      <c r="H75" s="321"/>
      <c r="I75" s="321"/>
      <c r="J75" s="321"/>
      <c r="K75" s="58"/>
      <c r="L75" s="318"/>
      <c r="M75" s="318"/>
      <c r="N75" s="318"/>
      <c r="O75" s="318"/>
      <c r="P75" s="318"/>
      <c r="Q75" s="318"/>
      <c r="R75" s="318"/>
      <c r="S75" s="58"/>
      <c r="T75" s="324"/>
      <c r="U75" s="324"/>
      <c r="V75" s="58"/>
      <c r="W75" s="325"/>
      <c r="X75" s="58"/>
      <c r="Y75" s="58"/>
      <c r="Z75" s="326"/>
      <c r="AA75" s="327"/>
      <c r="AH75" s="289"/>
      <c r="AI75" s="289"/>
      <c r="AJ75" s="289"/>
    </row>
    <row r="76" s="60" customFormat="1" ht="25" customHeight="1" spans="1:36">
      <c r="A76" s="318"/>
      <c r="B76" s="318"/>
      <c r="C76" s="318"/>
      <c r="D76" s="321"/>
      <c r="E76" s="321"/>
      <c r="F76" s="321"/>
      <c r="G76" s="321"/>
      <c r="H76" s="321"/>
      <c r="I76" s="321"/>
      <c r="J76" s="321"/>
      <c r="K76" s="58"/>
      <c r="L76" s="318"/>
      <c r="M76" s="318"/>
      <c r="N76" s="318"/>
      <c r="O76" s="318"/>
      <c r="P76" s="318"/>
      <c r="Q76" s="318"/>
      <c r="R76" s="318"/>
      <c r="S76" s="58"/>
      <c r="T76" s="324"/>
      <c r="U76" s="324"/>
      <c r="V76" s="58"/>
      <c r="W76" s="325"/>
      <c r="X76" s="58"/>
      <c r="Y76" s="58"/>
      <c r="Z76" s="326"/>
      <c r="AA76" s="327"/>
      <c r="AH76" s="289"/>
      <c r="AI76" s="289"/>
      <c r="AJ76" s="289"/>
    </row>
    <row r="77" s="60" customFormat="1" ht="25" customHeight="1" spans="1:36">
      <c r="A77" s="318"/>
      <c r="B77" s="318"/>
      <c r="C77" s="318"/>
      <c r="D77" s="321"/>
      <c r="E77" s="321"/>
      <c r="F77" s="321"/>
      <c r="G77" s="321"/>
      <c r="H77" s="321"/>
      <c r="I77" s="321"/>
      <c r="J77" s="321"/>
      <c r="K77" s="58"/>
      <c r="L77" s="318"/>
      <c r="M77" s="318"/>
      <c r="N77" s="318"/>
      <c r="O77" s="318"/>
      <c r="P77" s="318"/>
      <c r="Q77" s="318"/>
      <c r="R77" s="318"/>
      <c r="S77" s="58"/>
      <c r="T77" s="324"/>
      <c r="U77" s="324"/>
      <c r="V77" s="58"/>
      <c r="W77" s="325"/>
      <c r="X77" s="58"/>
      <c r="Y77" s="58"/>
      <c r="Z77" s="326"/>
      <c r="AA77" s="327"/>
      <c r="AH77" s="289"/>
      <c r="AI77" s="289"/>
      <c r="AJ77" s="289"/>
    </row>
    <row r="78" s="60" customFormat="1" ht="25" customHeight="1" spans="1:36">
      <c r="A78" s="318"/>
      <c r="B78" s="318"/>
      <c r="C78" s="318"/>
      <c r="D78" s="321"/>
      <c r="E78" s="321"/>
      <c r="F78" s="321"/>
      <c r="G78" s="321"/>
      <c r="H78" s="321"/>
      <c r="I78" s="321"/>
      <c r="J78" s="321"/>
      <c r="K78" s="58"/>
      <c r="L78" s="318"/>
      <c r="M78" s="318"/>
      <c r="N78" s="318"/>
      <c r="O78" s="318"/>
      <c r="P78" s="318"/>
      <c r="Q78" s="318"/>
      <c r="R78" s="318"/>
      <c r="S78" s="58"/>
      <c r="T78" s="324"/>
      <c r="U78" s="324"/>
      <c r="V78" s="58"/>
      <c r="W78" s="325"/>
      <c r="X78" s="58"/>
      <c r="Y78" s="58"/>
      <c r="Z78" s="326"/>
      <c r="AA78" s="327"/>
      <c r="AH78" s="289"/>
      <c r="AI78" s="289"/>
      <c r="AJ78" s="289"/>
    </row>
    <row r="79" s="60" customFormat="1" ht="25" customHeight="1" spans="1:36">
      <c r="A79" s="318"/>
      <c r="B79" s="318"/>
      <c r="C79" s="318"/>
      <c r="D79" s="321"/>
      <c r="E79" s="321"/>
      <c r="F79" s="321"/>
      <c r="G79" s="321"/>
      <c r="H79" s="321"/>
      <c r="I79" s="321"/>
      <c r="J79" s="321"/>
      <c r="K79" s="58"/>
      <c r="L79" s="318"/>
      <c r="M79" s="318"/>
      <c r="N79" s="318"/>
      <c r="O79" s="318"/>
      <c r="P79" s="318"/>
      <c r="Q79" s="318"/>
      <c r="R79" s="318"/>
      <c r="S79" s="58"/>
      <c r="T79" s="324"/>
      <c r="U79" s="324"/>
      <c r="V79" s="58"/>
      <c r="W79" s="325"/>
      <c r="X79" s="58"/>
      <c r="Y79" s="58"/>
      <c r="Z79" s="326"/>
      <c r="AA79" s="327"/>
      <c r="AH79" s="289"/>
      <c r="AI79" s="289"/>
      <c r="AJ79" s="28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K7" etc:filterBottomFollowUsedRange="0">
    <extLst/>
  </autoFilter>
  <pageMargins left="0.75" right="0.75" top="1" bottom="1" header="0.5" footer="0.5"/>
  <pageSetup paperSize="9" scale="1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"/>
  <sheetViews>
    <sheetView zoomScale="70" zoomScaleNormal="70" workbookViewId="0">
      <selection activeCell="D19" sqref="D19"/>
    </sheetView>
  </sheetViews>
  <sheetFormatPr defaultColWidth="8.9" defaultRowHeight="14.25"/>
  <cols>
    <col min="1" max="1" width="16.8916666666667" style="266" customWidth="1"/>
    <col min="2" max="3" width="13.7416666666667" style="266" customWidth="1"/>
    <col min="4" max="4" width="40.175" style="266" customWidth="1"/>
    <col min="5" max="5" width="16.9583333333333" style="266" customWidth="1"/>
    <col min="6" max="6" width="13.7416666666667" style="266" customWidth="1"/>
    <col min="7" max="7" width="10.775" style="267" customWidth="1"/>
    <col min="8" max="8" width="10.775" style="266" customWidth="1"/>
    <col min="9" max="9" width="11.3833333333333" style="266" customWidth="1"/>
    <col min="10" max="10" width="14" style="266" customWidth="1"/>
    <col min="11" max="19" width="14" style="268" customWidth="1"/>
    <col min="20" max="20" width="32.3083333333333" style="268" customWidth="1"/>
    <col min="21" max="23" width="14" style="268" customWidth="1"/>
    <col min="24" max="24" width="14" style="269" customWidth="1"/>
    <col min="25" max="35" width="14" style="268" customWidth="1"/>
    <col min="36" max="16384" width="8.9" style="266"/>
  </cols>
  <sheetData>
    <row r="1" ht="20" customHeight="1" spans="1:35">
      <c r="A1" s="270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271" t="s">
        <v>14</v>
      </c>
      <c r="G1" s="272" t="s">
        <v>15</v>
      </c>
      <c r="H1" s="273" t="s">
        <v>4</v>
      </c>
      <c r="I1" s="272" t="s">
        <v>16</v>
      </c>
      <c r="J1" s="274" t="s">
        <v>17</v>
      </c>
      <c r="K1" s="274" t="s">
        <v>18</v>
      </c>
      <c r="L1" s="274" t="s">
        <v>19</v>
      </c>
      <c r="M1" s="274" t="s">
        <v>20</v>
      </c>
      <c r="N1" s="274" t="s">
        <v>98</v>
      </c>
      <c r="O1" s="274" t="s">
        <v>22</v>
      </c>
      <c r="P1" s="274" t="s">
        <v>23</v>
      </c>
      <c r="Q1" s="274" t="s">
        <v>24</v>
      </c>
      <c r="R1" s="274" t="s">
        <v>25</v>
      </c>
      <c r="S1" s="274" t="s">
        <v>26</v>
      </c>
      <c r="T1" s="274" t="s">
        <v>27</v>
      </c>
      <c r="U1" s="274" t="s">
        <v>28</v>
      </c>
      <c r="V1" s="274" t="s">
        <v>99</v>
      </c>
      <c r="W1" s="274" t="s">
        <v>100</v>
      </c>
      <c r="X1" s="275" t="s">
        <v>8</v>
      </c>
      <c r="Y1" s="275" t="s">
        <v>101</v>
      </c>
      <c r="Z1" s="275" t="s">
        <v>102</v>
      </c>
    </row>
    <row r="2" s="264" customFormat="1" ht="22" customHeight="1" spans="1:35">
      <c r="A2" s="90">
        <v>46017</v>
      </c>
      <c r="B2" s="90"/>
      <c r="C2" s="91" t="s">
        <v>42</v>
      </c>
      <c r="D2" s="92" t="s">
        <v>48</v>
      </c>
      <c r="E2" s="92" t="s">
        <v>49</v>
      </c>
      <c r="F2" s="92" t="s">
        <v>50</v>
      </c>
      <c r="G2" s="276" t="s">
        <v>51</v>
      </c>
      <c r="H2" s="93">
        <v>5100</v>
      </c>
      <c r="I2" s="92">
        <v>4</v>
      </c>
      <c r="J2" s="92">
        <v>12</v>
      </c>
      <c r="K2" s="94">
        <v>425</v>
      </c>
      <c r="L2" s="90">
        <f>O2-3</f>
        <v>46049</v>
      </c>
      <c r="M2" s="95"/>
      <c r="N2" s="96"/>
      <c r="O2" s="90">
        <v>46052</v>
      </c>
      <c r="P2" s="97"/>
      <c r="Q2" s="97"/>
      <c r="R2" s="98"/>
      <c r="S2" s="99"/>
      <c r="T2" s="277" t="s">
        <v>52</v>
      </c>
      <c r="U2" s="101">
        <v>0.98</v>
      </c>
      <c r="V2" s="102">
        <f>U2*H2</f>
        <v>4998</v>
      </c>
      <c r="W2" s="102">
        <f>V2*7.75</f>
        <v>38734.5</v>
      </c>
      <c r="X2" s="275" t="s">
        <v>53</v>
      </c>
      <c r="Y2" s="278">
        <v>46057</v>
      </c>
      <c r="Z2" s="279"/>
      <c r="AA2" s="280"/>
      <c r="AB2" s="280"/>
      <c r="AC2" s="280"/>
      <c r="AD2" s="280"/>
      <c r="AE2" s="280"/>
      <c r="AF2" s="280"/>
      <c r="AG2" s="280"/>
      <c r="AH2" s="280"/>
      <c r="AI2" s="280"/>
    </row>
    <row r="3" s="264" customFormat="1" ht="22" customHeight="1" spans="1:35">
      <c r="A3" s="90">
        <v>46017</v>
      </c>
      <c r="B3" s="90"/>
      <c r="C3" s="91" t="s">
        <v>42</v>
      </c>
      <c r="D3" s="92" t="s">
        <v>43</v>
      </c>
      <c r="E3" s="92" t="s">
        <v>44</v>
      </c>
      <c r="F3" s="92">
        <v>167006</v>
      </c>
      <c r="G3" s="276" t="s">
        <v>45</v>
      </c>
      <c r="H3" s="93">
        <v>5004</v>
      </c>
      <c r="I3" s="92">
        <v>4</v>
      </c>
      <c r="J3" s="92">
        <v>12</v>
      </c>
      <c r="K3" s="94">
        <v>417</v>
      </c>
      <c r="L3" s="90">
        <v>46059</v>
      </c>
      <c r="M3" s="95"/>
      <c r="N3" s="96"/>
      <c r="O3" s="90">
        <v>46062</v>
      </c>
      <c r="P3" s="97"/>
      <c r="Q3" s="97"/>
      <c r="R3" s="98"/>
      <c r="S3" s="99"/>
      <c r="T3" s="277"/>
      <c r="U3" s="101">
        <v>6.096</v>
      </c>
      <c r="V3" s="102">
        <f>U3*H3</f>
        <v>30504.384</v>
      </c>
      <c r="W3" s="102">
        <f>V3*7.75</f>
        <v>236408.976</v>
      </c>
      <c r="X3" s="275" t="s">
        <v>46</v>
      </c>
      <c r="Y3" s="278">
        <v>46062</v>
      </c>
      <c r="Z3" s="279"/>
      <c r="AA3" s="280"/>
      <c r="AB3" s="280"/>
      <c r="AC3" s="280"/>
      <c r="AD3" s="280"/>
      <c r="AE3" s="280"/>
      <c r="AF3" s="280"/>
      <c r="AG3" s="280"/>
      <c r="AH3" s="280"/>
      <c r="AI3" s="280"/>
    </row>
    <row r="4" s="264" customFormat="1" ht="22" customHeight="1" spans="1:35">
      <c r="A4" s="90"/>
      <c r="B4" s="90"/>
      <c r="C4" s="91"/>
      <c r="D4" s="92"/>
      <c r="E4" s="92"/>
      <c r="F4" s="92"/>
      <c r="G4" s="276"/>
      <c r="H4" s="93"/>
      <c r="I4" s="92"/>
      <c r="J4" s="92"/>
      <c r="K4" s="94"/>
      <c r="L4" s="90"/>
      <c r="M4" s="95"/>
      <c r="N4" s="96"/>
      <c r="O4" s="90"/>
      <c r="P4" s="97"/>
      <c r="Q4" s="97"/>
      <c r="R4" s="98"/>
      <c r="S4" s="99"/>
      <c r="T4" s="277"/>
      <c r="U4" s="101"/>
      <c r="V4" s="102"/>
      <c r="W4" s="102"/>
      <c r="X4" s="275"/>
      <c r="Y4" s="278"/>
      <c r="Z4" s="279"/>
      <c r="AA4" s="280"/>
      <c r="AB4" s="280"/>
      <c r="AC4" s="280"/>
      <c r="AD4" s="280"/>
      <c r="AE4" s="280"/>
      <c r="AF4" s="280"/>
      <c r="AG4" s="280"/>
      <c r="AH4" s="280"/>
      <c r="AI4" s="280"/>
    </row>
    <row r="5" s="264" customFormat="1" ht="22" customHeight="1" spans="1:35">
      <c r="A5" s="90"/>
      <c r="B5" s="90"/>
      <c r="C5" s="91"/>
      <c r="D5" s="92"/>
      <c r="E5" s="92"/>
      <c r="F5" s="92"/>
      <c r="G5" s="276"/>
      <c r="H5" s="93"/>
      <c r="I5" s="92"/>
      <c r="J5" s="92"/>
      <c r="K5" s="94"/>
      <c r="L5" s="90"/>
      <c r="M5" s="95"/>
      <c r="N5" s="96"/>
      <c r="O5" s="90"/>
      <c r="P5" s="97"/>
      <c r="Q5" s="97"/>
      <c r="R5" s="98"/>
      <c r="S5" s="99"/>
      <c r="T5" s="277"/>
      <c r="U5" s="101"/>
      <c r="V5" s="102"/>
      <c r="W5" s="102"/>
      <c r="X5" s="275"/>
      <c r="Y5" s="278"/>
      <c r="Z5" s="279"/>
      <c r="AA5" s="280"/>
      <c r="AB5" s="280"/>
      <c r="AC5" s="280"/>
      <c r="AD5" s="280"/>
      <c r="AE5" s="280"/>
      <c r="AF5" s="280"/>
      <c r="AG5" s="280"/>
      <c r="AH5" s="280"/>
      <c r="AI5" s="280"/>
    </row>
    <row r="6" s="264" customFormat="1" ht="22" customHeight="1" spans="1:35">
      <c r="A6" s="90"/>
      <c r="B6" s="90"/>
      <c r="C6" s="91"/>
      <c r="D6" s="92"/>
      <c r="E6" s="92"/>
      <c r="F6" s="92"/>
      <c r="G6" s="276"/>
      <c r="H6" s="93"/>
      <c r="I6" s="92"/>
      <c r="J6" s="92"/>
      <c r="K6" s="94"/>
      <c r="L6" s="90"/>
      <c r="M6" s="95"/>
      <c r="N6" s="96"/>
      <c r="O6" s="90"/>
      <c r="P6" s="97"/>
      <c r="Q6" s="97"/>
      <c r="R6" s="98"/>
      <c r="S6" s="99"/>
      <c r="T6" s="277"/>
      <c r="U6" s="101"/>
      <c r="V6" s="102"/>
      <c r="W6" s="102"/>
      <c r="X6" s="275"/>
      <c r="Y6" s="278"/>
      <c r="Z6" s="279"/>
      <c r="AA6" s="280"/>
      <c r="AB6" s="280"/>
      <c r="AC6" s="280"/>
      <c r="AD6" s="280"/>
      <c r="AE6" s="280"/>
      <c r="AF6" s="280"/>
      <c r="AG6" s="280"/>
      <c r="AH6" s="280"/>
      <c r="AI6" s="280"/>
    </row>
    <row r="7" s="264" customFormat="1" ht="22" customHeight="1" spans="1:35">
      <c r="A7" s="90"/>
      <c r="B7" s="90"/>
      <c r="C7" s="91"/>
      <c r="D7" s="92"/>
      <c r="E7" s="92"/>
      <c r="F7" s="92"/>
      <c r="G7" s="276"/>
      <c r="H7" s="93"/>
      <c r="I7" s="92"/>
      <c r="J7" s="92"/>
      <c r="K7" s="94"/>
      <c r="L7" s="90"/>
      <c r="M7" s="95"/>
      <c r="N7" s="96"/>
      <c r="O7" s="90"/>
      <c r="P7" s="97"/>
      <c r="Q7" s="97"/>
      <c r="R7" s="98"/>
      <c r="S7" s="99"/>
      <c r="T7" s="277"/>
      <c r="U7" s="101"/>
      <c r="V7" s="102"/>
      <c r="W7" s="102"/>
      <c r="X7" s="275"/>
      <c r="Y7" s="278"/>
      <c r="Z7" s="279"/>
      <c r="AA7" s="280"/>
      <c r="AB7" s="280"/>
      <c r="AC7" s="280"/>
      <c r="AD7" s="280"/>
      <c r="AE7" s="280"/>
      <c r="AF7" s="280"/>
      <c r="AG7" s="280"/>
      <c r="AH7" s="280"/>
      <c r="AI7" s="280"/>
    </row>
    <row r="8" s="264" customFormat="1" ht="22" customHeight="1" spans="1:35">
      <c r="A8" s="90"/>
      <c r="B8" s="90"/>
      <c r="C8" s="91"/>
      <c r="D8" s="92"/>
      <c r="E8" s="92"/>
      <c r="F8" s="92"/>
      <c r="G8" s="276"/>
      <c r="H8" s="93"/>
      <c r="I8" s="92"/>
      <c r="J8" s="92"/>
      <c r="K8" s="94"/>
      <c r="L8" s="90"/>
      <c r="M8" s="95"/>
      <c r="N8" s="96"/>
      <c r="O8" s="90"/>
      <c r="P8" s="97"/>
      <c r="Q8" s="97"/>
      <c r="R8" s="98"/>
      <c r="S8" s="99"/>
      <c r="T8" s="277"/>
      <c r="U8" s="101"/>
      <c r="V8" s="102"/>
      <c r="W8" s="102"/>
      <c r="X8" s="275"/>
      <c r="Y8" s="278"/>
      <c r="Z8" s="279"/>
      <c r="AA8" s="280"/>
      <c r="AB8" s="280"/>
      <c r="AC8" s="280"/>
      <c r="AD8" s="280"/>
      <c r="AE8" s="280"/>
      <c r="AF8" s="280"/>
      <c r="AG8" s="280"/>
      <c r="AH8" s="280"/>
      <c r="AI8" s="280"/>
    </row>
    <row r="9" s="264" customFormat="1" ht="22" customHeight="1" spans="1:35">
      <c r="A9" s="90"/>
      <c r="B9" s="90"/>
      <c r="C9" s="91"/>
      <c r="D9" s="92"/>
      <c r="E9" s="92"/>
      <c r="F9" s="92"/>
      <c r="G9" s="276"/>
      <c r="H9" s="93"/>
      <c r="I9" s="92"/>
      <c r="J9" s="92"/>
      <c r="K9" s="94"/>
      <c r="L9" s="90"/>
      <c r="M9" s="95"/>
      <c r="N9" s="96"/>
      <c r="O9" s="90"/>
      <c r="P9" s="97"/>
      <c r="Q9" s="97"/>
      <c r="R9" s="98"/>
      <c r="S9" s="99"/>
      <c r="T9" s="277"/>
      <c r="U9" s="101"/>
      <c r="V9" s="102"/>
      <c r="W9" s="102"/>
      <c r="X9" s="275"/>
      <c r="Y9" s="278"/>
      <c r="Z9" s="279"/>
      <c r="AA9" s="280"/>
      <c r="AB9" s="280"/>
      <c r="AC9" s="280"/>
      <c r="AD9" s="280"/>
      <c r="AE9" s="280"/>
      <c r="AF9" s="280"/>
      <c r="AG9" s="280"/>
      <c r="AH9" s="280"/>
      <c r="AI9" s="280"/>
    </row>
    <row r="10" s="264" customFormat="1" ht="22" customHeight="1" spans="1:35">
      <c r="A10" s="90"/>
      <c r="B10" s="90"/>
      <c r="C10" s="91"/>
      <c r="D10" s="92"/>
      <c r="E10" s="92"/>
      <c r="F10" s="92"/>
      <c r="G10" s="276"/>
      <c r="H10" s="93"/>
      <c r="I10" s="92"/>
      <c r="J10" s="92"/>
      <c r="K10" s="94"/>
      <c r="L10" s="90"/>
      <c r="M10" s="95"/>
      <c r="N10" s="96"/>
      <c r="O10" s="90"/>
      <c r="P10" s="97"/>
      <c r="Q10" s="97"/>
      <c r="R10" s="98"/>
      <c r="S10" s="99"/>
      <c r="T10" s="277"/>
      <c r="U10" s="101"/>
      <c r="V10" s="102"/>
      <c r="W10" s="102"/>
      <c r="X10" s="275"/>
      <c r="Y10" s="278"/>
      <c r="Z10" s="279"/>
      <c r="AA10" s="280"/>
      <c r="AB10" s="280"/>
      <c r="AC10" s="280"/>
      <c r="AD10" s="280"/>
      <c r="AE10" s="280"/>
      <c r="AF10" s="280"/>
      <c r="AG10" s="280"/>
      <c r="AH10" s="280"/>
      <c r="AI10" s="280"/>
    </row>
    <row r="11" s="264" customFormat="1" ht="22" customHeight="1" spans="1:35">
      <c r="A11" s="90"/>
      <c r="B11" s="90"/>
      <c r="C11" s="91"/>
      <c r="D11" s="92"/>
      <c r="E11" s="92"/>
      <c r="F11" s="92"/>
      <c r="G11" s="276"/>
      <c r="H11" s="93"/>
      <c r="I11" s="92"/>
      <c r="J11" s="92"/>
      <c r="K11" s="94"/>
      <c r="L11" s="90"/>
      <c r="M11" s="95"/>
      <c r="N11" s="96"/>
      <c r="O11" s="90"/>
      <c r="P11" s="97"/>
      <c r="Q11" s="97"/>
      <c r="R11" s="98"/>
      <c r="S11" s="99"/>
      <c r="T11" s="277"/>
      <c r="U11" s="101"/>
      <c r="V11" s="102"/>
      <c r="W11" s="102"/>
      <c r="X11" s="275"/>
      <c r="Y11" s="278"/>
      <c r="Z11" s="279"/>
      <c r="AA11" s="280"/>
      <c r="AB11" s="280"/>
      <c r="AC11" s="280"/>
      <c r="AD11" s="280"/>
      <c r="AE11" s="280"/>
      <c r="AF11" s="280"/>
      <c r="AG11" s="280"/>
      <c r="AH11" s="280"/>
      <c r="AI11" s="280"/>
    </row>
    <row r="12" s="264" customFormat="1" ht="22" customHeight="1" spans="1:35">
      <c r="A12" s="90"/>
      <c r="B12" s="90"/>
      <c r="C12" s="91"/>
      <c r="D12" s="92"/>
      <c r="E12" s="92"/>
      <c r="F12" s="92"/>
      <c r="G12" s="276"/>
      <c r="H12" s="93"/>
      <c r="I12" s="92"/>
      <c r="J12" s="92"/>
      <c r="K12" s="94"/>
      <c r="L12" s="90"/>
      <c r="M12" s="95"/>
      <c r="N12" s="96"/>
      <c r="O12" s="90"/>
      <c r="P12" s="97"/>
      <c r="Q12" s="97"/>
      <c r="R12" s="98"/>
      <c r="S12" s="99"/>
      <c r="T12" s="277"/>
      <c r="U12" s="101"/>
      <c r="V12" s="102"/>
      <c r="W12" s="102"/>
      <c r="X12" s="275"/>
      <c r="Y12" s="278"/>
      <c r="Z12" s="279"/>
      <c r="AA12" s="280"/>
      <c r="AB12" s="280"/>
      <c r="AC12" s="280"/>
      <c r="AD12" s="280"/>
      <c r="AE12" s="280"/>
      <c r="AF12" s="280"/>
      <c r="AG12" s="280"/>
      <c r="AH12" s="280"/>
      <c r="AI12" s="280"/>
    </row>
    <row r="13" s="264" customFormat="1" ht="22" customHeight="1" spans="1:35">
      <c r="A13" s="90"/>
      <c r="B13" s="90"/>
      <c r="C13" s="91"/>
      <c r="D13" s="92"/>
      <c r="E13" s="92"/>
      <c r="F13" s="92"/>
      <c r="G13" s="276"/>
      <c r="H13" s="93"/>
      <c r="I13" s="92"/>
      <c r="J13" s="92"/>
      <c r="K13" s="94"/>
      <c r="L13" s="90"/>
      <c r="M13" s="95"/>
      <c r="N13" s="96"/>
      <c r="O13" s="90"/>
      <c r="P13" s="97"/>
      <c r="Q13" s="97"/>
      <c r="R13" s="98"/>
      <c r="S13" s="99"/>
      <c r="T13" s="277"/>
      <c r="U13" s="101"/>
      <c r="V13" s="102"/>
      <c r="W13" s="102"/>
      <c r="X13" s="275"/>
      <c r="Y13" s="278"/>
      <c r="Z13" s="279"/>
      <c r="AA13" s="280"/>
      <c r="AB13" s="280"/>
      <c r="AC13" s="280"/>
      <c r="AD13" s="280"/>
      <c r="AE13" s="280"/>
      <c r="AF13" s="280"/>
      <c r="AG13" s="280"/>
      <c r="AH13" s="280"/>
      <c r="AI13" s="280"/>
    </row>
    <row r="14" s="264" customFormat="1" ht="22" customHeight="1" spans="1:35">
      <c r="A14" s="90"/>
      <c r="B14" s="90"/>
      <c r="C14" s="91"/>
      <c r="D14" s="92"/>
      <c r="E14" s="92"/>
      <c r="F14" s="92"/>
      <c r="G14" s="276"/>
      <c r="H14" s="93"/>
      <c r="I14" s="92"/>
      <c r="J14" s="92"/>
      <c r="K14" s="94"/>
      <c r="L14" s="90"/>
      <c r="M14" s="95"/>
      <c r="N14" s="96"/>
      <c r="O14" s="90"/>
      <c r="P14" s="97"/>
      <c r="Q14" s="97"/>
      <c r="R14" s="98"/>
      <c r="S14" s="99"/>
      <c r="T14" s="277"/>
      <c r="U14" s="101"/>
      <c r="V14" s="102"/>
      <c r="W14" s="102"/>
      <c r="X14" s="275"/>
      <c r="Y14" s="278"/>
      <c r="Z14" s="279"/>
      <c r="AA14" s="280"/>
      <c r="AB14" s="280"/>
      <c r="AC14" s="280"/>
      <c r="AD14" s="280"/>
      <c r="AE14" s="280"/>
      <c r="AF14" s="280"/>
      <c r="AG14" s="280"/>
      <c r="AH14" s="280"/>
      <c r="AI14" s="280"/>
    </row>
    <row r="15" s="264" customFormat="1" ht="22" customHeight="1" spans="1:35">
      <c r="A15" s="90"/>
      <c r="B15" s="90"/>
      <c r="C15" s="91"/>
      <c r="D15" s="92"/>
      <c r="E15" s="92"/>
      <c r="F15" s="92"/>
      <c r="G15" s="276"/>
      <c r="H15" s="93"/>
      <c r="I15" s="92"/>
      <c r="J15" s="92"/>
      <c r="K15" s="94"/>
      <c r="L15" s="90"/>
      <c r="M15" s="95"/>
      <c r="N15" s="96"/>
      <c r="O15" s="90"/>
      <c r="P15" s="97"/>
      <c r="Q15" s="97"/>
      <c r="R15" s="98"/>
      <c r="S15" s="99"/>
      <c r="T15" s="277"/>
      <c r="U15" s="101"/>
      <c r="V15" s="102"/>
      <c r="W15" s="102"/>
      <c r="X15" s="275"/>
      <c r="Y15" s="278"/>
      <c r="Z15" s="279"/>
      <c r="AA15" s="280"/>
      <c r="AB15" s="280"/>
      <c r="AC15" s="280"/>
      <c r="AD15" s="280"/>
      <c r="AE15" s="280"/>
      <c r="AF15" s="280"/>
      <c r="AG15" s="280"/>
      <c r="AH15" s="280"/>
      <c r="AI15" s="280"/>
    </row>
    <row r="16" s="264" customFormat="1" ht="22" customHeight="1" spans="1:35">
      <c r="A16" s="90"/>
      <c r="B16" s="90"/>
      <c r="C16" s="91"/>
      <c r="D16" s="92"/>
      <c r="E16" s="92"/>
      <c r="F16" s="92"/>
      <c r="G16" s="276"/>
      <c r="H16" s="93"/>
      <c r="I16" s="92"/>
      <c r="J16" s="92"/>
      <c r="K16" s="94"/>
      <c r="L16" s="90"/>
      <c r="M16" s="95"/>
      <c r="N16" s="96"/>
      <c r="O16" s="90"/>
      <c r="P16" s="97"/>
      <c r="Q16" s="97"/>
      <c r="R16" s="98"/>
      <c r="S16" s="99"/>
      <c r="T16" s="277"/>
      <c r="U16" s="101"/>
      <c r="V16" s="102"/>
      <c r="W16" s="102"/>
      <c r="X16" s="275"/>
      <c r="Y16" s="278"/>
      <c r="Z16" s="279"/>
      <c r="AA16" s="280"/>
      <c r="AB16" s="280"/>
      <c r="AC16" s="280"/>
      <c r="AD16" s="280"/>
      <c r="AE16" s="280"/>
      <c r="AF16" s="280"/>
      <c r="AG16" s="280"/>
      <c r="AH16" s="280"/>
      <c r="AI16" s="280"/>
    </row>
    <row r="17" s="265" customFormat="1" ht="22" customHeight="1" spans="1:35">
      <c r="A17" s="281"/>
      <c r="B17" s="281"/>
      <c r="C17" s="281"/>
      <c r="D17" s="281"/>
      <c r="E17" s="282"/>
      <c r="F17" s="281"/>
      <c r="G17" s="283" t="s">
        <v>97</v>
      </c>
      <c r="H17" s="283">
        <f>SUM(H2:H16)</f>
        <v>10104</v>
      </c>
      <c r="I17" s="284"/>
      <c r="J17" s="28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85">
        <f>SUM(V2:V16)</f>
        <v>35502.384</v>
      </c>
      <c r="W17" s="285">
        <f>SUM(W2:W16)</f>
        <v>275143.476</v>
      </c>
      <c r="X17" s="275"/>
      <c r="Y17" s="274"/>
      <c r="Z17" s="274"/>
      <c r="AA17" s="268"/>
      <c r="AB17" s="268"/>
      <c r="AC17" s="268"/>
      <c r="AD17" s="268"/>
      <c r="AE17" s="268"/>
      <c r="AF17" s="268"/>
      <c r="AG17" s="268"/>
      <c r="AH17" s="268"/>
      <c r="AI17" s="268"/>
    </row>
    <row r="18" s="265" customFormat="1" ht="22" customHeight="1" spans="1:35">
      <c r="G18" s="286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9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</row>
    <row r="19" s="265" customFormat="1" ht="22" customHeight="1" spans="1:35">
      <c r="G19" s="286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9"/>
      <c r="Y19" s="268"/>
      <c r="Z19" s="268"/>
      <c r="AA19" s="268"/>
      <c r="AB19" s="268"/>
      <c r="AC19" s="268"/>
      <c r="AD19" s="268"/>
      <c r="AE19" s="268"/>
      <c r="AF19" s="268"/>
      <c r="AG19" s="268"/>
      <c r="AH19" s="268"/>
      <c r="AI19" s="268"/>
    </row>
    <row r="20" s="265" customFormat="1" ht="22" customHeight="1" spans="1:35">
      <c r="G20" s="286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9"/>
      <c r="Y20" s="268"/>
      <c r="Z20" s="268"/>
      <c r="AA20" s="268"/>
      <c r="AB20" s="268"/>
      <c r="AC20" s="268"/>
      <c r="AD20" s="268"/>
      <c r="AE20" s="268"/>
      <c r="AF20" s="268"/>
      <c r="AG20" s="268"/>
      <c r="AH20" s="268"/>
      <c r="AI20" s="268"/>
    </row>
    <row r="21" s="265" customFormat="1" ht="22" customHeight="1" spans="1:35">
      <c r="G21" s="286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9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</row>
    <row r="22" s="265" customFormat="1" ht="22" customHeight="1" spans="1:35">
      <c r="G22" s="286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9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</row>
    <row r="23" s="265" customFormat="1" ht="22" customHeight="1" spans="1:35">
      <c r="G23" s="286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9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</row>
    <row r="24" s="265" customFormat="1" ht="22" customHeight="1" spans="1:35">
      <c r="G24" s="286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9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</row>
    <row r="25" s="265" customFormat="1" ht="22" customHeight="1" spans="1:35">
      <c r="G25" s="286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9"/>
      <c r="Y25" s="268"/>
      <c r="Z25" s="268"/>
      <c r="AA25" s="268"/>
      <c r="AB25" s="268"/>
      <c r="AC25" s="268"/>
      <c r="AD25" s="268"/>
      <c r="AE25" s="268"/>
      <c r="AF25" s="268"/>
      <c r="AG25" s="268"/>
      <c r="AH25" s="268"/>
      <c r="AI25" s="268"/>
    </row>
    <row r="26" s="265" customFormat="1" ht="22" customHeight="1" spans="1:35">
      <c r="G26" s="286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9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2" etc:filterBottomFollowUsedRange="0">
    <sortState ref="A1:M12">
      <sortCondition ref="K1"/>
    </sortState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"/>
  <sheetViews>
    <sheetView zoomScale="55" zoomScaleNormal="55" topLeftCell="A7" workbookViewId="0">
      <selection activeCell="F22" sqref="F22"/>
    </sheetView>
  </sheetViews>
  <sheetFormatPr defaultColWidth="9" defaultRowHeight="35" customHeight="1"/>
  <cols>
    <col min="1" max="1" width="18.7416666666667" style="38" customWidth="1"/>
    <col min="2" max="2" width="15.175" style="38" customWidth="1"/>
    <col min="3" max="3" width="10.175" style="38" customWidth="1"/>
    <col min="4" max="4" width="41.0666666666667" style="38" customWidth="1"/>
    <col min="5" max="5" width="19" style="69" customWidth="1"/>
    <col min="6" max="6" width="21.9666666666667" style="38" customWidth="1"/>
    <col min="7" max="7" width="25.1" style="38" customWidth="1"/>
    <col min="8" max="9" width="11.95" style="38" customWidth="1"/>
    <col min="10" max="10" width="7.38333333333333" style="38" customWidth="1"/>
    <col min="11" max="11" width="10.5083333333333" style="38" customWidth="1"/>
    <col min="12" max="12" width="21.2833333333333" style="38" customWidth="1"/>
    <col min="13" max="13" width="16.1583333333333" style="70" customWidth="1"/>
    <col min="14" max="14" width="14.2833333333333" style="71" customWidth="1"/>
    <col min="15" max="15" width="16.9666666666667" style="38" customWidth="1"/>
    <col min="16" max="16" width="16.6166666666667" style="72" customWidth="1"/>
    <col min="17" max="17" width="13.5083333333333" style="72" customWidth="1"/>
    <col min="18" max="18" width="10.5083333333333" style="72" customWidth="1"/>
    <col min="19" max="19" width="23.3333333333333" style="72" customWidth="1"/>
    <col min="20" max="20" width="29.3833333333333" style="72" customWidth="1"/>
    <col min="21" max="21" width="9.28333333333333" style="38" customWidth="1"/>
    <col min="22" max="22" width="15.35" style="38" customWidth="1"/>
    <col min="23" max="23" width="15.9" style="38" customWidth="1"/>
    <col min="24" max="25" width="17.3416666666667" style="38" customWidth="1"/>
    <col min="26" max="26" width="17.2666666666667" style="73" customWidth="1"/>
    <col min="27" max="27" width="5.25833333333333" style="38" customWidth="1"/>
    <col min="28" max="31" width="9" style="72" customWidth="1"/>
    <col min="32" max="33" width="6.89166666666667" style="72" customWidth="1"/>
    <col min="34" max="34" width="9" style="72" customWidth="1"/>
    <col min="35" max="38" width="15.55" style="38" customWidth="1"/>
    <col min="39" max="39" width="15.0333333333333" style="38" customWidth="1"/>
    <col min="40" max="16382" width="9" style="38" customWidth="1"/>
    <col min="16383" max="16384" width="9" style="38"/>
  </cols>
  <sheetData>
    <row r="1" s="58" customFormat="1" ht="46" customHeight="1" spans="1:38">
      <c r="A1" s="74" t="s">
        <v>9</v>
      </c>
      <c r="B1" s="75" t="s">
        <v>10</v>
      </c>
      <c r="C1" s="74" t="s">
        <v>11</v>
      </c>
      <c r="D1" s="74" t="s">
        <v>12</v>
      </c>
      <c r="E1" s="76" t="s">
        <v>13</v>
      </c>
      <c r="F1" s="77" t="s">
        <v>14</v>
      </c>
      <c r="G1" s="78" t="s">
        <v>15</v>
      </c>
      <c r="H1" s="78" t="s">
        <v>4</v>
      </c>
      <c r="I1" s="79" t="s">
        <v>16</v>
      </c>
      <c r="J1" s="79" t="s">
        <v>17</v>
      </c>
      <c r="K1" s="80" t="s">
        <v>18</v>
      </c>
      <c r="L1" s="78" t="s">
        <v>19</v>
      </c>
      <c r="M1" s="81" t="s">
        <v>20</v>
      </c>
      <c r="N1" s="82" t="s">
        <v>21</v>
      </c>
      <c r="O1" s="78" t="s">
        <v>22</v>
      </c>
      <c r="P1" s="83" t="s">
        <v>23</v>
      </c>
      <c r="Q1" s="83" t="s">
        <v>24</v>
      </c>
      <c r="R1" s="83" t="s">
        <v>25</v>
      </c>
      <c r="S1" s="84" t="s">
        <v>26</v>
      </c>
      <c r="T1" s="85" t="s">
        <v>27</v>
      </c>
      <c r="U1" s="78" t="s">
        <v>103</v>
      </c>
      <c r="V1" s="78" t="s">
        <v>29</v>
      </c>
      <c r="W1" s="78" t="s">
        <v>30</v>
      </c>
      <c r="X1" s="79" t="s">
        <v>31</v>
      </c>
      <c r="Y1" s="86" t="s">
        <v>32</v>
      </c>
      <c r="Z1" s="87" t="s">
        <v>27</v>
      </c>
      <c r="AA1" s="78" t="s">
        <v>33</v>
      </c>
      <c r="AB1" s="79" t="s">
        <v>34</v>
      </c>
      <c r="AC1" s="88" t="s">
        <v>35</v>
      </c>
      <c r="AD1" s="88" t="s">
        <v>36</v>
      </c>
      <c r="AE1" s="88" t="s">
        <v>37</v>
      </c>
      <c r="AF1" s="88" t="s">
        <v>38</v>
      </c>
      <c r="AG1" s="88" t="s">
        <v>39</v>
      </c>
      <c r="AH1" s="88" t="s">
        <v>40</v>
      </c>
      <c r="AI1" s="89" t="s">
        <v>41</v>
      </c>
    </row>
    <row r="2" s="59" customFormat="1" ht="29" customHeight="1" spans="1:38">
      <c r="A2" s="90"/>
      <c r="B2" s="90"/>
      <c r="C2" s="91"/>
      <c r="D2" s="92"/>
      <c r="E2" s="92"/>
      <c r="F2" s="92"/>
      <c r="G2" s="92"/>
      <c r="H2" s="93"/>
      <c r="I2" s="92"/>
      <c r="J2" s="92"/>
      <c r="K2" s="94"/>
      <c r="L2" s="90"/>
      <c r="M2" s="95"/>
      <c r="N2" s="96"/>
      <c r="O2" s="90"/>
      <c r="P2" s="97"/>
      <c r="Q2" s="97"/>
      <c r="R2" s="98"/>
      <c r="S2" s="99"/>
      <c r="T2" s="100"/>
      <c r="U2" s="101"/>
      <c r="V2" s="102"/>
      <c r="W2" s="102"/>
      <c r="X2" s="103"/>
      <c r="Y2" s="103"/>
      <c r="Z2" s="104"/>
      <c r="AA2" s="105"/>
      <c r="AB2" s="103"/>
      <c r="AC2" s="103"/>
      <c r="AD2" s="103"/>
      <c r="AE2" s="103"/>
      <c r="AF2" s="103"/>
      <c r="AG2" s="103"/>
      <c r="AH2" s="103"/>
      <c r="AI2" s="103"/>
    </row>
    <row r="3" s="59" customFormat="1" ht="29" customHeight="1" spans="1:38">
      <c r="A3" s="90"/>
      <c r="B3" s="90"/>
      <c r="C3" s="91"/>
      <c r="D3" s="92"/>
      <c r="E3" s="92"/>
      <c r="F3" s="92"/>
      <c r="G3" s="92"/>
      <c r="H3" s="93"/>
      <c r="I3" s="92"/>
      <c r="J3" s="92"/>
      <c r="K3" s="94"/>
      <c r="L3" s="90"/>
      <c r="M3" s="95"/>
      <c r="N3" s="96"/>
      <c r="O3" s="90"/>
      <c r="P3" s="97"/>
      <c r="Q3" s="97"/>
      <c r="R3" s="98"/>
      <c r="S3" s="99"/>
      <c r="T3" s="100"/>
      <c r="U3" s="101"/>
      <c r="V3" s="102"/>
      <c r="W3" s="102"/>
      <c r="X3" s="103"/>
      <c r="Y3" s="103"/>
      <c r="Z3" s="104"/>
      <c r="AA3" s="105"/>
      <c r="AB3" s="103"/>
      <c r="AC3" s="103"/>
      <c r="AD3" s="103"/>
      <c r="AE3" s="103"/>
      <c r="AF3" s="103"/>
      <c r="AG3" s="103"/>
      <c r="AH3" s="103"/>
      <c r="AI3" s="103"/>
    </row>
    <row r="4" s="59" customFormat="1" ht="29" customHeight="1" spans="1:38">
      <c r="A4" s="90"/>
      <c r="B4" s="90"/>
      <c r="C4" s="91"/>
      <c r="D4" s="92"/>
      <c r="E4" s="92"/>
      <c r="F4" s="92"/>
      <c r="G4" s="92"/>
      <c r="H4" s="93"/>
      <c r="I4" s="92"/>
      <c r="J4" s="92"/>
      <c r="K4" s="94"/>
      <c r="L4" s="90"/>
      <c r="M4" s="95"/>
      <c r="N4" s="96"/>
      <c r="O4" s="90"/>
      <c r="P4" s="97"/>
      <c r="Q4" s="97"/>
      <c r="R4" s="98"/>
      <c r="S4" s="99"/>
      <c r="T4" s="100"/>
      <c r="U4" s="101"/>
      <c r="V4" s="102"/>
      <c r="W4" s="102"/>
      <c r="X4" s="103"/>
      <c r="Y4" s="103"/>
      <c r="Z4" s="104"/>
      <c r="AA4" s="105"/>
      <c r="AB4" s="103"/>
      <c r="AC4" s="103"/>
      <c r="AD4" s="103"/>
      <c r="AE4" s="103"/>
      <c r="AF4" s="103"/>
      <c r="AG4" s="103"/>
      <c r="AH4" s="103"/>
      <c r="AI4" s="103"/>
    </row>
    <row r="5" s="59" customFormat="1" ht="29" customHeight="1" spans="1:38">
      <c r="A5" s="90"/>
      <c r="B5" s="90"/>
      <c r="C5" s="91"/>
      <c r="D5" s="92"/>
      <c r="E5" s="92"/>
      <c r="F5" s="92"/>
      <c r="G5" s="92"/>
      <c r="H5" s="93"/>
      <c r="I5" s="92"/>
      <c r="J5" s="92"/>
      <c r="K5" s="94"/>
      <c r="L5" s="90"/>
      <c r="M5" s="95"/>
      <c r="N5" s="96"/>
      <c r="O5" s="90"/>
      <c r="P5" s="97"/>
      <c r="Q5" s="97"/>
      <c r="R5" s="98"/>
      <c r="S5" s="99"/>
      <c r="T5" s="100"/>
      <c r="U5" s="101"/>
      <c r="V5" s="102"/>
      <c r="W5" s="102"/>
      <c r="X5" s="103"/>
      <c r="Y5" s="103"/>
      <c r="Z5" s="104"/>
      <c r="AA5" s="105"/>
      <c r="AB5" s="103"/>
      <c r="AC5" s="103"/>
      <c r="AD5" s="103"/>
      <c r="AE5" s="103"/>
      <c r="AF5" s="103"/>
      <c r="AG5" s="103"/>
      <c r="AH5" s="103"/>
      <c r="AI5" s="103"/>
    </row>
    <row r="6" s="60" customFormat="1" ht="29" customHeight="1" spans="1:38">
      <c r="A6" s="106"/>
      <c r="B6" s="106"/>
      <c r="C6" s="107"/>
      <c r="D6" s="108"/>
      <c r="E6" s="108"/>
      <c r="F6" s="108"/>
      <c r="G6" s="108"/>
      <c r="H6" s="109"/>
      <c r="I6" s="108"/>
      <c r="J6" s="108"/>
      <c r="K6" s="110"/>
      <c r="L6" s="106"/>
      <c r="M6" s="95"/>
      <c r="N6" s="111"/>
      <c r="O6" s="106"/>
      <c r="P6" s="112"/>
      <c r="Q6" s="112"/>
      <c r="R6" s="104"/>
      <c r="S6" s="113"/>
      <c r="T6" s="114"/>
      <c r="U6" s="101"/>
      <c r="V6" s="115"/>
      <c r="W6" s="115"/>
      <c r="X6" s="116"/>
      <c r="Y6" s="116"/>
      <c r="Z6" s="104"/>
      <c r="AA6" s="117"/>
      <c r="AB6" s="116"/>
      <c r="AC6" s="118"/>
      <c r="AD6" s="119"/>
      <c r="AE6" s="119"/>
      <c r="AF6" s="119"/>
      <c r="AG6" s="119"/>
      <c r="AH6" s="119"/>
      <c r="AI6" s="119"/>
    </row>
    <row r="7" s="60" customFormat="1" ht="29" customHeight="1" spans="1:38">
      <c r="A7" s="106"/>
      <c r="B7" s="106"/>
      <c r="C7" s="106"/>
      <c r="D7" s="108"/>
      <c r="E7" s="108"/>
      <c r="F7" s="108"/>
      <c r="G7" s="107" t="s">
        <v>57</v>
      </c>
      <c r="H7" s="108">
        <f>SUM(H2:H6)</f>
        <v>0</v>
      </c>
      <c r="I7" s="108"/>
      <c r="J7" s="108"/>
      <c r="K7" s="110"/>
      <c r="L7" s="106"/>
      <c r="M7" s="95"/>
      <c r="N7" s="111"/>
      <c r="O7" s="106"/>
      <c r="P7" s="120"/>
      <c r="Q7" s="120"/>
      <c r="R7" s="119"/>
      <c r="S7" s="113"/>
      <c r="T7" s="121"/>
      <c r="U7" s="122"/>
      <c r="V7" s="123">
        <f>SUM(V2:V6)</f>
        <v>0</v>
      </c>
      <c r="W7" s="123">
        <f>SUM(W2:W6)</f>
        <v>0</v>
      </c>
      <c r="X7" s="116"/>
      <c r="Y7" s="116"/>
      <c r="Z7" s="104"/>
      <c r="AA7" s="117"/>
      <c r="AB7" s="116"/>
      <c r="AC7" s="118"/>
      <c r="AD7" s="119"/>
      <c r="AE7" s="119"/>
      <c r="AF7" s="119"/>
      <c r="AG7" s="119"/>
      <c r="AH7" s="119"/>
      <c r="AI7" s="119"/>
    </row>
    <row r="8" s="61" customFormat="1" ht="29" customHeight="1" spans="1:38">
      <c r="A8" s="124"/>
      <c r="B8" s="124"/>
      <c r="C8" s="124"/>
      <c r="D8" s="125"/>
      <c r="E8" s="125"/>
      <c r="F8" s="126"/>
      <c r="G8" s="125"/>
      <c r="H8" s="127"/>
      <c r="I8" s="125"/>
      <c r="J8" s="125"/>
      <c r="K8" s="128"/>
      <c r="L8" s="124"/>
      <c r="M8" s="129"/>
      <c r="N8" s="130"/>
      <c r="O8" s="124"/>
      <c r="P8" s="131"/>
      <c r="Q8" s="131"/>
      <c r="R8" s="132"/>
      <c r="S8" s="133"/>
      <c r="T8" s="134"/>
      <c r="U8" s="135"/>
      <c r="V8" s="136"/>
      <c r="W8" s="136"/>
      <c r="X8" s="132"/>
      <c r="Y8" s="132"/>
      <c r="Z8" s="137"/>
      <c r="AA8" s="138"/>
      <c r="AK8" s="139"/>
      <c r="AL8" s="139"/>
    </row>
    <row r="9" s="62" customFormat="1" ht="29" customHeight="1" spans="1:38">
      <c r="A9" s="140"/>
      <c r="B9" s="140"/>
      <c r="C9" s="140"/>
      <c r="D9" s="141"/>
      <c r="E9" s="141"/>
      <c r="F9" s="142"/>
      <c r="G9" s="141"/>
      <c r="H9" s="143"/>
      <c r="I9" s="141"/>
      <c r="J9" s="141"/>
      <c r="K9" s="144"/>
      <c r="L9" s="140"/>
      <c r="M9" s="145"/>
      <c r="N9" s="146"/>
      <c r="O9" s="140"/>
      <c r="P9" s="147"/>
      <c r="Q9" s="147"/>
      <c r="R9" s="148"/>
      <c r="S9" s="149"/>
      <c r="T9" s="150"/>
      <c r="U9" s="151"/>
      <c r="V9" s="152"/>
      <c r="W9" s="152"/>
      <c r="X9" s="148"/>
      <c r="Y9" s="148"/>
      <c r="Z9" s="153"/>
      <c r="AA9" s="154"/>
      <c r="AK9" s="155"/>
      <c r="AL9" s="155"/>
    </row>
    <row r="10" s="62" customFormat="1" ht="29" customHeight="1" spans="1:38">
      <c r="A10" s="140"/>
      <c r="B10" s="140"/>
      <c r="C10" s="140"/>
      <c r="D10" s="141"/>
      <c r="E10" s="141"/>
      <c r="F10" s="142"/>
      <c r="G10" s="141"/>
      <c r="H10" s="143"/>
      <c r="I10" s="141"/>
      <c r="J10" s="141"/>
      <c r="K10" s="144"/>
      <c r="L10" s="140"/>
      <c r="M10" s="145"/>
      <c r="N10" s="146"/>
      <c r="O10" s="140"/>
      <c r="P10" s="147"/>
      <c r="Q10" s="147"/>
      <c r="R10" s="148"/>
      <c r="S10" s="149"/>
      <c r="T10" s="150"/>
      <c r="U10" s="151"/>
      <c r="V10" s="152"/>
      <c r="W10" s="152"/>
      <c r="X10" s="148"/>
      <c r="Y10" s="148"/>
      <c r="Z10" s="153"/>
      <c r="AA10" s="154"/>
      <c r="AK10" s="155"/>
      <c r="AL10" s="155"/>
    </row>
    <row r="11" s="62" customFormat="1" ht="29" customHeight="1" spans="1:38">
      <c r="A11" s="140"/>
      <c r="B11" s="140"/>
      <c r="C11" s="140"/>
      <c r="D11" s="141"/>
      <c r="E11" s="141"/>
      <c r="F11" s="142"/>
      <c r="G11" s="141"/>
      <c r="H11" s="143"/>
      <c r="I11" s="141"/>
      <c r="J11" s="141"/>
      <c r="L11" s="140"/>
      <c r="M11" s="145"/>
      <c r="N11" s="146"/>
      <c r="O11" s="140"/>
      <c r="P11" s="147"/>
      <c r="Q11" s="147"/>
      <c r="R11" s="148"/>
      <c r="S11" s="149"/>
      <c r="T11" s="150"/>
      <c r="U11" s="151"/>
      <c r="V11" s="152"/>
      <c r="W11" s="152"/>
      <c r="X11" s="148"/>
      <c r="Y11" s="148"/>
      <c r="Z11" s="153"/>
      <c r="AA11" s="154"/>
      <c r="AK11" s="155"/>
      <c r="AL11" s="155"/>
    </row>
    <row r="12" s="61" customFormat="1" ht="29" customHeight="1" spans="1:38">
      <c r="A12" s="124"/>
      <c r="B12" s="124"/>
      <c r="C12" s="124"/>
      <c r="D12" s="125"/>
      <c r="E12" s="125"/>
      <c r="F12" s="126"/>
      <c r="G12" s="125"/>
      <c r="H12" s="125"/>
      <c r="I12" s="125"/>
      <c r="J12" s="125"/>
      <c r="K12" s="128"/>
      <c r="L12" s="124"/>
      <c r="M12" s="129"/>
      <c r="N12" s="130"/>
      <c r="O12" s="124"/>
      <c r="P12" s="131"/>
      <c r="Q12" s="131"/>
      <c r="R12" s="132"/>
      <c r="S12" s="133"/>
      <c r="T12" s="134"/>
      <c r="U12" s="135"/>
      <c r="V12" s="136"/>
      <c r="W12" s="136"/>
      <c r="X12" s="132"/>
      <c r="Y12" s="132"/>
      <c r="Z12" s="137"/>
      <c r="AA12" s="138"/>
      <c r="AK12" s="139"/>
      <c r="AL12" s="139"/>
    </row>
    <row r="13" s="61" customFormat="1" ht="29" customHeight="1" spans="1:38">
      <c r="A13" s="124"/>
      <c r="B13" s="124"/>
      <c r="C13" s="124"/>
      <c r="D13" s="125"/>
      <c r="E13" s="125"/>
      <c r="F13" s="126"/>
      <c r="G13" s="125"/>
      <c r="H13" s="125"/>
      <c r="I13" s="125"/>
      <c r="J13" s="125"/>
      <c r="K13" s="128"/>
      <c r="L13" s="124"/>
      <c r="M13" s="129"/>
      <c r="N13" s="130"/>
      <c r="O13" s="124"/>
      <c r="P13" s="131"/>
      <c r="Q13" s="131"/>
      <c r="R13" s="132"/>
      <c r="S13" s="133"/>
      <c r="T13" s="134"/>
      <c r="U13" s="135"/>
      <c r="V13" s="136"/>
      <c r="W13" s="136"/>
      <c r="X13" s="132"/>
      <c r="Y13" s="132"/>
      <c r="Z13" s="137"/>
      <c r="AA13" s="138"/>
      <c r="AK13" s="139"/>
      <c r="AL13" s="139"/>
    </row>
    <row r="14" s="61" customFormat="1" ht="29" customHeight="1" spans="1:38">
      <c r="A14" s="124"/>
      <c r="B14" s="124"/>
      <c r="C14" s="124"/>
      <c r="D14" s="125"/>
      <c r="E14" s="125"/>
      <c r="F14" s="126"/>
      <c r="G14" s="125"/>
      <c r="H14" s="125"/>
      <c r="I14" s="125"/>
      <c r="J14" s="125"/>
      <c r="K14" s="128"/>
      <c r="L14" s="124"/>
      <c r="M14" s="129"/>
      <c r="N14" s="130"/>
      <c r="O14" s="124"/>
      <c r="P14" s="131"/>
      <c r="Q14" s="131"/>
      <c r="R14" s="132"/>
      <c r="S14" s="133"/>
      <c r="T14" s="134"/>
      <c r="U14" s="135"/>
      <c r="V14" s="136"/>
      <c r="W14" s="136"/>
      <c r="X14" s="132"/>
      <c r="Y14" s="132"/>
      <c r="Z14" s="137"/>
      <c r="AA14" s="138"/>
      <c r="AK14" s="139"/>
      <c r="AL14" s="139"/>
    </row>
    <row r="15" s="61" customFormat="1" ht="29" customHeight="1" spans="1:38">
      <c r="A15" s="124"/>
      <c r="B15" s="124"/>
      <c r="C15" s="124"/>
      <c r="D15" s="125"/>
      <c r="E15" s="125"/>
      <c r="F15" s="126"/>
      <c r="G15" s="125"/>
      <c r="H15" s="125"/>
      <c r="I15" s="125"/>
      <c r="J15" s="125"/>
      <c r="K15" s="128"/>
      <c r="L15" s="124"/>
      <c r="M15" s="129"/>
      <c r="N15" s="130"/>
      <c r="O15" s="124"/>
      <c r="P15" s="131"/>
      <c r="Q15" s="131"/>
      <c r="R15" s="132"/>
      <c r="S15" s="133"/>
      <c r="T15" s="134"/>
      <c r="U15" s="135"/>
      <c r="V15" s="136"/>
      <c r="W15" s="136"/>
      <c r="X15" s="132"/>
      <c r="Y15" s="132"/>
      <c r="Z15" s="137"/>
      <c r="AA15" s="138"/>
      <c r="AK15" s="139"/>
      <c r="AL15" s="139"/>
    </row>
    <row r="16" s="61" customFormat="1" ht="29" customHeight="1" spans="1:38">
      <c r="A16" s="124"/>
      <c r="B16" s="124"/>
      <c r="C16" s="124"/>
      <c r="D16" s="125"/>
      <c r="E16" s="125"/>
      <c r="F16" s="126"/>
      <c r="G16" s="125"/>
      <c r="H16" s="125"/>
      <c r="I16" s="125"/>
      <c r="J16" s="125"/>
      <c r="K16" s="128"/>
      <c r="L16" s="124"/>
      <c r="M16" s="129"/>
      <c r="N16" s="130"/>
      <c r="O16" s="124"/>
      <c r="P16" s="131"/>
      <c r="Q16" s="131"/>
      <c r="R16" s="132"/>
      <c r="S16" s="133"/>
      <c r="T16" s="134"/>
      <c r="U16" s="135"/>
      <c r="V16" s="136"/>
      <c r="W16" s="136"/>
      <c r="X16" s="132"/>
      <c r="Y16" s="132"/>
      <c r="Z16" s="137"/>
      <c r="AA16" s="138"/>
      <c r="AK16" s="139"/>
      <c r="AL16" s="139"/>
    </row>
    <row r="17" s="61" customFormat="1" ht="29" customHeight="1" spans="1:38">
      <c r="A17" s="124"/>
      <c r="B17" s="124"/>
      <c r="C17" s="124"/>
      <c r="D17" s="125"/>
      <c r="E17" s="125"/>
      <c r="F17" s="126"/>
      <c r="G17" s="125"/>
      <c r="H17" s="125"/>
      <c r="I17" s="125"/>
      <c r="J17" s="125"/>
      <c r="K17" s="128"/>
      <c r="L17" s="124"/>
      <c r="M17" s="129"/>
      <c r="N17" s="130"/>
      <c r="O17" s="124"/>
      <c r="P17" s="131"/>
      <c r="Q17" s="131"/>
      <c r="R17" s="132"/>
      <c r="S17" s="133"/>
      <c r="T17" s="134"/>
      <c r="U17" s="135"/>
      <c r="V17" s="136"/>
      <c r="W17" s="136"/>
      <c r="X17" s="132"/>
      <c r="Y17" s="132"/>
      <c r="Z17" s="137"/>
      <c r="AA17" s="138"/>
      <c r="AK17" s="139"/>
      <c r="AL17" s="139"/>
    </row>
    <row r="18" s="61" customFormat="1" ht="29" customHeight="1" spans="1:38">
      <c r="A18" s="124"/>
      <c r="B18" s="124"/>
      <c r="C18" s="124"/>
      <c r="D18" s="125"/>
      <c r="E18" s="125"/>
      <c r="F18" s="125"/>
      <c r="G18" s="125"/>
      <c r="H18" s="127"/>
      <c r="I18" s="125"/>
      <c r="J18" s="125"/>
      <c r="K18" s="128"/>
      <c r="L18" s="124"/>
      <c r="M18" s="129"/>
      <c r="N18" s="130"/>
      <c r="O18" s="124"/>
      <c r="P18" s="131"/>
      <c r="Q18" s="131"/>
      <c r="R18" s="132"/>
      <c r="S18" s="133"/>
      <c r="T18" s="134"/>
      <c r="U18" s="135"/>
      <c r="V18" s="136"/>
      <c r="W18" s="136"/>
      <c r="X18" s="132"/>
      <c r="Y18" s="132"/>
      <c r="Z18" s="137"/>
      <c r="AA18" s="138"/>
      <c r="AK18" s="139"/>
      <c r="AL18" s="139"/>
    </row>
    <row r="19" s="61" customFormat="1" ht="29" customHeight="1" spans="1:38">
      <c r="A19" s="124"/>
      <c r="B19" s="124"/>
      <c r="C19" s="124"/>
      <c r="D19" s="125"/>
      <c r="E19" s="125"/>
      <c r="F19" s="125"/>
      <c r="G19" s="125"/>
      <c r="H19" s="127"/>
      <c r="I19" s="125"/>
      <c r="J19" s="125"/>
      <c r="K19" s="128"/>
      <c r="L19" s="124"/>
      <c r="M19" s="129"/>
      <c r="N19" s="130"/>
      <c r="O19" s="124"/>
      <c r="P19" s="131"/>
      <c r="Q19" s="131"/>
      <c r="R19" s="132"/>
      <c r="S19" s="133"/>
      <c r="T19" s="134"/>
      <c r="U19" s="135"/>
      <c r="V19" s="136"/>
      <c r="W19" s="136"/>
      <c r="X19" s="132"/>
      <c r="Y19" s="132"/>
      <c r="Z19" s="137"/>
      <c r="AA19" s="138"/>
      <c r="AK19" s="139"/>
      <c r="AL19" s="139"/>
    </row>
    <row r="20" s="61" customFormat="1" ht="29" customHeight="1" spans="1:38">
      <c r="A20" s="124"/>
      <c r="B20" s="124"/>
      <c r="C20" s="124"/>
      <c r="D20" s="125"/>
      <c r="E20" s="125"/>
      <c r="F20" s="125"/>
      <c r="G20" s="125"/>
      <c r="H20" s="127"/>
      <c r="I20" s="125"/>
      <c r="J20" s="125"/>
      <c r="K20" s="128"/>
      <c r="L20" s="124"/>
      <c r="M20" s="129"/>
      <c r="N20" s="156"/>
      <c r="O20" s="124"/>
      <c r="P20" s="157"/>
      <c r="Q20" s="157"/>
      <c r="R20" s="158"/>
      <c r="S20" s="159"/>
      <c r="T20" s="160"/>
      <c r="U20" s="135"/>
      <c r="V20" s="136"/>
      <c r="W20" s="136"/>
      <c r="X20" s="132"/>
      <c r="Y20" s="132"/>
      <c r="Z20" s="137"/>
      <c r="AA20" s="138"/>
      <c r="AB20" s="161"/>
      <c r="AC20" s="161"/>
      <c r="AD20" s="161"/>
      <c r="AE20" s="161"/>
      <c r="AF20" s="161"/>
      <c r="AG20" s="161"/>
      <c r="AH20" s="161"/>
      <c r="AK20" s="139"/>
      <c r="AL20" s="139"/>
    </row>
    <row r="21" s="61" customFormat="1" ht="29" customHeight="1" spans="1:38">
      <c r="A21" s="124"/>
      <c r="B21" s="124"/>
      <c r="C21" s="124"/>
      <c r="D21" s="125"/>
      <c r="E21" s="125"/>
      <c r="F21" s="125"/>
      <c r="G21" s="125"/>
      <c r="H21" s="127"/>
      <c r="I21" s="125"/>
      <c r="J21" s="125"/>
      <c r="K21" s="128"/>
      <c r="L21" s="124"/>
      <c r="M21" s="129"/>
      <c r="N21" s="156"/>
      <c r="O21" s="124"/>
      <c r="P21" s="157"/>
      <c r="Q21" s="157"/>
      <c r="R21" s="158"/>
      <c r="S21" s="159"/>
      <c r="T21" s="160"/>
      <c r="U21" s="135"/>
      <c r="V21" s="136"/>
      <c r="W21" s="136"/>
      <c r="X21" s="132"/>
      <c r="Y21" s="132"/>
      <c r="Z21" s="137"/>
      <c r="AA21" s="138"/>
      <c r="AB21" s="161"/>
      <c r="AC21" s="161"/>
      <c r="AD21" s="161"/>
      <c r="AE21" s="161"/>
      <c r="AF21" s="161"/>
      <c r="AG21" s="161"/>
      <c r="AH21" s="161"/>
      <c r="AK21" s="139"/>
      <c r="AL21" s="139"/>
    </row>
    <row r="22" s="61" customFormat="1" ht="29" customHeight="1" spans="1:38">
      <c r="A22" s="124"/>
      <c r="B22" s="124"/>
      <c r="C22" s="124"/>
      <c r="D22" s="125"/>
      <c r="E22" s="125"/>
      <c r="F22" s="125"/>
      <c r="G22" s="125"/>
      <c r="H22" s="127"/>
      <c r="I22" s="125"/>
      <c r="J22" s="125"/>
      <c r="K22" s="128"/>
      <c r="L22" s="124"/>
      <c r="M22" s="129"/>
      <c r="N22" s="156"/>
      <c r="O22" s="124"/>
      <c r="P22" s="157"/>
      <c r="Q22" s="157"/>
      <c r="R22" s="158"/>
      <c r="S22" s="159"/>
      <c r="T22" s="160"/>
      <c r="U22" s="135"/>
      <c r="V22" s="136"/>
      <c r="W22" s="136"/>
      <c r="X22" s="132"/>
      <c r="Y22" s="132"/>
      <c r="Z22" s="137"/>
      <c r="AA22" s="138"/>
      <c r="AB22" s="161"/>
      <c r="AC22" s="161"/>
      <c r="AD22" s="161"/>
      <c r="AE22" s="161"/>
      <c r="AF22" s="161"/>
      <c r="AG22" s="161"/>
      <c r="AH22" s="161"/>
      <c r="AK22" s="139"/>
      <c r="AL22" s="139"/>
    </row>
    <row r="23" s="61" customFormat="1" ht="29" customHeight="1" spans="1:38">
      <c r="A23" s="124"/>
      <c r="B23" s="124"/>
      <c r="C23" s="124"/>
      <c r="D23" s="125"/>
      <c r="E23" s="125"/>
      <c r="F23" s="125"/>
      <c r="G23" s="125"/>
      <c r="H23" s="127"/>
      <c r="I23" s="125"/>
      <c r="J23" s="125"/>
      <c r="K23" s="128"/>
      <c r="L23" s="124"/>
      <c r="M23" s="129"/>
      <c r="N23" s="156"/>
      <c r="O23" s="124"/>
      <c r="P23" s="157"/>
      <c r="Q23" s="157"/>
      <c r="R23" s="158"/>
      <c r="S23" s="159"/>
      <c r="T23" s="160"/>
      <c r="U23" s="135"/>
      <c r="V23" s="136"/>
      <c r="W23" s="136"/>
      <c r="X23" s="132"/>
      <c r="Y23" s="132"/>
      <c r="Z23" s="137"/>
      <c r="AA23" s="138"/>
      <c r="AB23" s="161"/>
      <c r="AC23" s="161"/>
      <c r="AD23" s="161"/>
      <c r="AE23" s="161"/>
      <c r="AF23" s="161"/>
      <c r="AG23" s="161"/>
      <c r="AH23" s="161"/>
      <c r="AK23" s="139"/>
      <c r="AL23" s="139"/>
    </row>
    <row r="24" s="61" customFormat="1" ht="29" customHeight="1" spans="1:38">
      <c r="A24" s="124"/>
      <c r="B24" s="124"/>
      <c r="C24" s="124"/>
      <c r="D24" s="125"/>
      <c r="E24" s="125"/>
      <c r="F24" s="125"/>
      <c r="G24" s="162"/>
      <c r="H24" s="127"/>
      <c r="I24" s="125"/>
      <c r="J24" s="125"/>
      <c r="K24" s="128"/>
      <c r="L24" s="124"/>
      <c r="M24" s="129"/>
      <c r="N24" s="156"/>
      <c r="O24" s="124"/>
      <c r="P24" s="157"/>
      <c r="Q24" s="157"/>
      <c r="R24" s="158"/>
      <c r="S24" s="159"/>
      <c r="T24" s="160"/>
      <c r="U24" s="135"/>
      <c r="V24" s="136"/>
      <c r="W24" s="136"/>
      <c r="X24" s="132"/>
      <c r="Y24" s="132"/>
      <c r="Z24" s="137"/>
      <c r="AA24" s="138"/>
      <c r="AB24" s="161"/>
      <c r="AC24" s="161"/>
      <c r="AD24" s="161"/>
      <c r="AE24" s="161"/>
      <c r="AF24" s="161"/>
      <c r="AG24" s="161"/>
      <c r="AH24" s="161"/>
      <c r="AK24" s="139"/>
      <c r="AL24" s="139"/>
    </row>
    <row r="25" s="61" customFormat="1" ht="29" customHeight="1" spans="1:38">
      <c r="A25" s="124"/>
      <c r="B25" s="124"/>
      <c r="C25" s="124"/>
      <c r="D25" s="125"/>
      <c r="E25" s="125"/>
      <c r="F25" s="125"/>
      <c r="G25" s="125"/>
      <c r="H25" s="127"/>
      <c r="I25" s="125"/>
      <c r="J25" s="125"/>
      <c r="K25" s="128"/>
      <c r="L25" s="124"/>
      <c r="M25" s="129"/>
      <c r="N25" s="156"/>
      <c r="O25" s="124"/>
      <c r="P25" s="157"/>
      <c r="Q25" s="157"/>
      <c r="R25" s="158"/>
      <c r="S25" s="159"/>
      <c r="T25" s="160"/>
      <c r="U25" s="135"/>
      <c r="V25" s="136"/>
      <c r="W25" s="136"/>
      <c r="X25" s="132"/>
      <c r="Y25" s="132"/>
      <c r="Z25" s="137"/>
      <c r="AA25" s="138"/>
      <c r="AB25" s="161"/>
      <c r="AC25" s="161"/>
      <c r="AD25" s="161"/>
      <c r="AE25" s="161"/>
      <c r="AF25" s="161"/>
      <c r="AG25" s="161"/>
      <c r="AH25" s="161"/>
      <c r="AK25" s="139"/>
      <c r="AL25" s="139"/>
    </row>
    <row r="26" s="61" customFormat="1" ht="29" customHeight="1" spans="1:38">
      <c r="A26" s="124"/>
      <c r="B26" s="124"/>
      <c r="C26" s="124"/>
      <c r="D26" s="125"/>
      <c r="E26" s="125"/>
      <c r="F26" s="125"/>
      <c r="G26" s="125"/>
      <c r="H26" s="127"/>
      <c r="I26" s="125"/>
      <c r="J26" s="125"/>
      <c r="K26" s="128"/>
      <c r="L26" s="124"/>
      <c r="M26" s="129"/>
      <c r="N26" s="156"/>
      <c r="O26" s="124"/>
      <c r="P26" s="157"/>
      <c r="Q26" s="157"/>
      <c r="R26" s="158"/>
      <c r="S26" s="159"/>
      <c r="T26" s="160"/>
      <c r="U26" s="135"/>
      <c r="V26" s="136"/>
      <c r="W26" s="136"/>
      <c r="X26" s="132"/>
      <c r="Y26" s="132"/>
      <c r="Z26" s="137"/>
      <c r="AA26" s="138"/>
      <c r="AB26" s="161"/>
      <c r="AC26" s="161"/>
      <c r="AD26" s="161"/>
      <c r="AE26" s="161"/>
      <c r="AF26" s="161"/>
      <c r="AG26" s="161"/>
      <c r="AH26" s="161"/>
      <c r="AK26" s="139"/>
      <c r="AL26" s="139"/>
    </row>
    <row r="27" s="61" customFormat="1" ht="29" customHeight="1" spans="1:38">
      <c r="A27" s="124"/>
      <c r="B27" s="124"/>
      <c r="C27" s="124"/>
      <c r="D27" s="125"/>
      <c r="E27" s="125"/>
      <c r="F27" s="125"/>
      <c r="G27" s="125"/>
      <c r="H27" s="127"/>
      <c r="I27" s="125"/>
      <c r="J27" s="125"/>
      <c r="K27" s="128"/>
      <c r="L27" s="124"/>
      <c r="M27" s="129"/>
      <c r="N27" s="156"/>
      <c r="O27" s="124"/>
      <c r="P27" s="157"/>
      <c r="Q27" s="157"/>
      <c r="R27" s="158"/>
      <c r="S27" s="159"/>
      <c r="T27" s="160"/>
      <c r="U27" s="135"/>
      <c r="V27" s="136"/>
      <c r="W27" s="136"/>
      <c r="X27" s="132"/>
      <c r="Y27" s="132"/>
      <c r="Z27" s="137"/>
      <c r="AA27" s="138"/>
      <c r="AB27" s="161"/>
      <c r="AC27" s="161"/>
      <c r="AD27" s="161"/>
      <c r="AE27" s="161"/>
      <c r="AF27" s="161"/>
      <c r="AG27" s="161"/>
      <c r="AH27" s="161"/>
      <c r="AK27" s="139"/>
      <c r="AL27" s="139"/>
    </row>
    <row r="28" s="63" customFormat="1" ht="29" customHeight="1" spans="1:38">
      <c r="A28" s="124"/>
      <c r="B28" s="124"/>
      <c r="C28" s="124"/>
      <c r="D28" s="125"/>
      <c r="E28" s="125"/>
      <c r="F28" s="125"/>
      <c r="G28" s="125"/>
      <c r="H28" s="125"/>
      <c r="I28" s="125"/>
      <c r="J28" s="125"/>
      <c r="K28" s="65"/>
      <c r="L28" s="124"/>
      <c r="M28" s="129"/>
      <c r="N28" s="156"/>
      <c r="O28" s="124"/>
      <c r="P28" s="157"/>
      <c r="Q28" s="157"/>
      <c r="R28" s="163"/>
      <c r="S28" s="159"/>
      <c r="T28" s="160"/>
      <c r="U28" s="65"/>
      <c r="V28" s="136"/>
      <c r="W28" s="65"/>
      <c r="X28" s="65"/>
      <c r="Y28" s="65"/>
      <c r="Z28" s="164"/>
      <c r="AA28" s="165"/>
      <c r="AB28" s="166"/>
      <c r="AC28" s="166"/>
      <c r="AD28" s="166"/>
      <c r="AE28" s="166"/>
      <c r="AF28" s="166"/>
      <c r="AG28" s="166"/>
      <c r="AH28" s="166"/>
      <c r="AK28" s="167"/>
      <c r="AL28" s="167"/>
    </row>
    <row r="29" s="64" customFormat="1" ht="29" customHeight="1" spans="1:38">
      <c r="A29" s="168"/>
      <c r="B29" s="168"/>
      <c r="C29" s="168"/>
      <c r="D29" s="169"/>
      <c r="E29" s="169"/>
      <c r="F29" s="169"/>
      <c r="G29" s="169"/>
      <c r="H29" s="169"/>
      <c r="I29" s="169"/>
      <c r="J29" s="169"/>
      <c r="K29" s="170"/>
      <c r="L29" s="168"/>
      <c r="M29" s="171"/>
      <c r="N29" s="172"/>
      <c r="O29" s="168"/>
      <c r="P29" s="173"/>
      <c r="Q29" s="173"/>
      <c r="R29" s="174"/>
      <c r="S29" s="175"/>
      <c r="T29" s="176"/>
      <c r="U29" s="170"/>
      <c r="V29" s="177"/>
      <c r="W29" s="170"/>
      <c r="X29" s="170"/>
      <c r="Y29" s="170"/>
      <c r="Z29" s="178"/>
      <c r="AA29" s="179"/>
      <c r="AB29" s="180"/>
      <c r="AC29" s="180"/>
      <c r="AD29" s="180"/>
      <c r="AE29" s="180"/>
      <c r="AF29" s="180"/>
      <c r="AG29" s="180"/>
      <c r="AH29" s="180"/>
      <c r="AK29" s="38"/>
      <c r="AL29" s="38"/>
    </row>
    <row r="30" s="64" customFormat="1" customHeight="1" spans="1:38">
      <c r="A30" s="181"/>
      <c r="B30" s="182"/>
      <c r="C30" s="183"/>
      <c r="D30" s="169"/>
      <c r="E30" s="169"/>
      <c r="F30" s="169"/>
      <c r="G30" s="169"/>
      <c r="H30" s="169"/>
      <c r="I30" s="169"/>
      <c r="J30" s="169"/>
      <c r="K30" s="170"/>
      <c r="L30" s="168"/>
      <c r="M30" s="171"/>
      <c r="N30" s="172"/>
      <c r="O30" s="168"/>
      <c r="P30" s="173"/>
      <c r="Q30" s="173"/>
      <c r="R30" s="174"/>
      <c r="S30" s="175"/>
      <c r="T30" s="176"/>
      <c r="U30" s="170"/>
      <c r="V30" s="177"/>
      <c r="W30" s="170"/>
      <c r="X30" s="170"/>
      <c r="Y30" s="170"/>
      <c r="Z30" s="178"/>
      <c r="AA30" s="179"/>
      <c r="AB30" s="180"/>
      <c r="AC30" s="180"/>
      <c r="AD30" s="180"/>
      <c r="AE30" s="180"/>
      <c r="AF30" s="180"/>
      <c r="AG30" s="180"/>
      <c r="AH30" s="180"/>
      <c r="AK30" s="38"/>
      <c r="AL30" s="38"/>
    </row>
    <row r="31" s="64" customFormat="1" customHeight="1" spans="1:38">
      <c r="A31" s="181"/>
      <c r="B31" s="184"/>
      <c r="C31" s="185"/>
      <c r="D31" s="186"/>
      <c r="E31" s="169"/>
      <c r="F31" s="169"/>
      <c r="G31" s="125"/>
      <c r="H31" s="125"/>
      <c r="I31" s="125"/>
      <c r="J31" s="169"/>
      <c r="K31" s="170"/>
      <c r="L31" s="168"/>
      <c r="M31" s="171"/>
      <c r="N31" s="172"/>
      <c r="O31" s="168"/>
      <c r="P31" s="173"/>
      <c r="Q31" s="173"/>
      <c r="R31" s="174"/>
      <c r="S31" s="175"/>
      <c r="T31" s="176"/>
      <c r="U31" s="170"/>
      <c r="V31" s="187"/>
      <c r="W31" s="170"/>
      <c r="X31" s="170"/>
      <c r="Y31" s="170"/>
      <c r="Z31" s="178"/>
      <c r="AA31" s="179"/>
      <c r="AB31" s="180"/>
      <c r="AC31" s="180"/>
      <c r="AD31" s="180"/>
      <c r="AE31" s="180"/>
      <c r="AF31" s="180"/>
      <c r="AG31" s="180"/>
      <c r="AH31" s="180"/>
      <c r="AK31" s="38"/>
      <c r="AL31" s="38"/>
    </row>
    <row r="32" s="64" customFormat="1" customHeight="1" spans="1:38">
      <c r="A32" s="181"/>
      <c r="B32" s="184"/>
      <c r="C32" s="183"/>
      <c r="D32" s="188"/>
      <c r="E32" s="189"/>
      <c r="F32" s="169"/>
      <c r="G32" s="169"/>
      <c r="H32" s="169"/>
      <c r="I32" s="169"/>
      <c r="J32" s="169"/>
      <c r="K32" s="170"/>
      <c r="L32" s="168"/>
      <c r="M32" s="171"/>
      <c r="N32" s="172"/>
      <c r="O32" s="168"/>
      <c r="P32" s="173"/>
      <c r="Q32" s="173"/>
      <c r="R32" s="174"/>
      <c r="S32" s="175"/>
      <c r="T32" s="176"/>
      <c r="U32" s="170"/>
      <c r="V32" s="187"/>
      <c r="W32" s="170"/>
      <c r="X32" s="170"/>
      <c r="Y32" s="170"/>
      <c r="Z32" s="178"/>
      <c r="AA32" s="179"/>
      <c r="AB32" s="180"/>
      <c r="AC32" s="180"/>
      <c r="AD32" s="180"/>
      <c r="AE32" s="180"/>
      <c r="AF32" s="180"/>
      <c r="AG32" s="180"/>
      <c r="AH32" s="180"/>
      <c r="AK32" s="38"/>
      <c r="AL32" s="38"/>
    </row>
    <row r="33" s="64" customFormat="1" customHeight="1" spans="1:38">
      <c r="A33" s="181"/>
      <c r="B33" s="184"/>
      <c r="C33" s="183"/>
      <c r="D33" s="169"/>
      <c r="E33" s="169"/>
      <c r="F33" s="169"/>
      <c r="G33" s="169"/>
      <c r="H33" s="125"/>
      <c r="I33" s="125"/>
      <c r="J33" s="169"/>
      <c r="K33" s="170"/>
      <c r="L33" s="168"/>
      <c r="M33" s="171"/>
      <c r="N33" s="172"/>
      <c r="O33" s="168"/>
      <c r="P33" s="173"/>
      <c r="Q33" s="173"/>
      <c r="R33" s="174"/>
      <c r="S33" s="175"/>
      <c r="T33" s="176"/>
      <c r="U33" s="170"/>
      <c r="V33" s="177"/>
      <c r="W33" s="170"/>
      <c r="X33" s="170"/>
      <c r="Y33" s="170"/>
      <c r="Z33" s="178"/>
      <c r="AA33" s="179"/>
      <c r="AB33" s="180"/>
      <c r="AC33" s="180"/>
      <c r="AD33" s="180"/>
      <c r="AE33" s="180"/>
      <c r="AF33" s="180"/>
      <c r="AG33" s="180"/>
      <c r="AH33" s="180"/>
      <c r="AK33" s="38"/>
      <c r="AL33" s="38"/>
    </row>
    <row r="34" s="64" customFormat="1" ht="39" customHeight="1" spans="1:38">
      <c r="A34" s="181"/>
      <c r="B34" s="184"/>
      <c r="C34" s="183"/>
      <c r="D34" s="169"/>
      <c r="E34" s="169"/>
      <c r="F34" s="169"/>
      <c r="G34" s="169"/>
      <c r="H34" s="169"/>
      <c r="I34" s="169"/>
      <c r="J34" s="169"/>
      <c r="K34" s="170"/>
      <c r="L34" s="168"/>
      <c r="M34" s="171"/>
      <c r="N34" s="172"/>
      <c r="O34" s="168"/>
      <c r="P34" s="173"/>
      <c r="Q34" s="173"/>
      <c r="R34" s="174"/>
      <c r="S34" s="175"/>
      <c r="T34" s="176"/>
      <c r="U34" s="170"/>
      <c r="V34" s="177"/>
      <c r="W34" s="170"/>
      <c r="X34" s="170"/>
      <c r="Y34" s="170"/>
      <c r="Z34" s="178"/>
      <c r="AA34" s="179"/>
      <c r="AB34" s="180"/>
      <c r="AC34" s="180"/>
      <c r="AD34" s="180"/>
      <c r="AE34" s="180"/>
      <c r="AF34" s="180"/>
      <c r="AG34" s="180"/>
      <c r="AH34" s="180"/>
      <c r="AK34" s="38"/>
      <c r="AL34" s="38"/>
    </row>
    <row r="35" s="64" customFormat="1" customHeight="1" spans="1:38">
      <c r="D35" s="169"/>
      <c r="E35" s="169"/>
      <c r="F35" s="169"/>
      <c r="G35" s="169"/>
      <c r="H35" s="169"/>
      <c r="I35" s="169"/>
      <c r="J35" s="169"/>
      <c r="K35" s="170"/>
      <c r="L35" s="168"/>
      <c r="M35" s="171"/>
      <c r="N35" s="172"/>
      <c r="O35" s="168"/>
      <c r="P35" s="173"/>
      <c r="Q35" s="173"/>
      <c r="R35" s="174"/>
      <c r="S35" s="175"/>
      <c r="T35" s="176"/>
      <c r="U35" s="170"/>
      <c r="V35" s="177"/>
      <c r="W35" s="170"/>
      <c r="X35" s="170"/>
      <c r="Y35" s="170"/>
      <c r="Z35" s="178"/>
      <c r="AA35" s="179"/>
      <c r="AB35" s="180"/>
      <c r="AC35" s="180"/>
      <c r="AD35" s="180"/>
      <c r="AE35" s="180"/>
      <c r="AF35" s="180"/>
      <c r="AG35" s="180"/>
      <c r="AH35" s="180"/>
      <c r="AK35" s="38"/>
      <c r="AL35" s="38"/>
    </row>
    <row r="36" s="63" customFormat="1" customHeight="1" spans="1:38">
      <c r="A36" s="124"/>
      <c r="B36" s="124"/>
      <c r="C36" s="124"/>
      <c r="D36" s="125"/>
      <c r="E36" s="125"/>
      <c r="F36" s="125"/>
      <c r="G36" s="125"/>
      <c r="H36" s="125"/>
      <c r="I36" s="125"/>
      <c r="J36" s="125"/>
      <c r="K36" s="65"/>
      <c r="L36" s="124"/>
      <c r="M36" s="129"/>
      <c r="N36" s="156"/>
      <c r="O36" s="124"/>
      <c r="P36" s="157"/>
      <c r="Q36" s="157"/>
      <c r="R36" s="163"/>
      <c r="S36" s="159"/>
      <c r="T36" s="160"/>
      <c r="U36" s="65"/>
      <c r="V36" s="136"/>
      <c r="W36" s="65"/>
      <c r="X36" s="65"/>
      <c r="Y36" s="65"/>
      <c r="Z36" s="164"/>
      <c r="AA36" s="165"/>
      <c r="AB36" s="166"/>
      <c r="AC36" s="166"/>
      <c r="AD36" s="166"/>
      <c r="AE36" s="166"/>
      <c r="AF36" s="166"/>
      <c r="AG36" s="166"/>
      <c r="AH36" s="166"/>
      <c r="AK36" s="167"/>
      <c r="AL36" s="167"/>
    </row>
    <row r="37" s="63" customFormat="1" customHeight="1" spans="1:38">
      <c r="A37" s="124"/>
      <c r="B37" s="124"/>
      <c r="C37" s="124"/>
      <c r="D37" s="125"/>
      <c r="E37" s="125"/>
      <c r="F37" s="125"/>
      <c r="G37" s="125"/>
      <c r="H37" s="125"/>
      <c r="I37" s="125"/>
      <c r="J37" s="125"/>
      <c r="K37" s="65"/>
      <c r="L37" s="124"/>
      <c r="M37" s="129"/>
      <c r="N37" s="156"/>
      <c r="O37" s="124"/>
      <c r="P37" s="157"/>
      <c r="Q37" s="157"/>
      <c r="R37" s="163"/>
      <c r="S37" s="159"/>
      <c r="T37" s="160"/>
      <c r="U37" s="65"/>
      <c r="V37" s="136"/>
      <c r="W37" s="65"/>
      <c r="X37" s="65"/>
      <c r="Y37" s="65"/>
      <c r="Z37" s="164"/>
      <c r="AA37" s="165"/>
      <c r="AB37" s="166"/>
      <c r="AC37" s="166"/>
      <c r="AD37" s="166"/>
      <c r="AE37" s="166"/>
      <c r="AF37" s="166"/>
      <c r="AG37" s="166"/>
      <c r="AH37" s="166"/>
      <c r="AK37" s="167"/>
      <c r="AL37" s="167"/>
    </row>
    <row r="38" s="63" customFormat="1" customHeight="1" spans="1:38">
      <c r="A38" s="124"/>
      <c r="B38" s="190"/>
      <c r="C38" s="124"/>
      <c r="D38" s="125"/>
      <c r="E38" s="125"/>
      <c r="F38" s="125"/>
      <c r="G38" s="125"/>
      <c r="H38" s="125"/>
      <c r="I38" s="125"/>
      <c r="J38" s="125"/>
      <c r="K38" s="65"/>
      <c r="L38" s="124"/>
      <c r="M38" s="129"/>
      <c r="N38" s="156"/>
      <c r="O38" s="124"/>
      <c r="P38" s="157"/>
      <c r="Q38" s="157"/>
      <c r="R38" s="163"/>
      <c r="S38" s="159"/>
      <c r="T38" s="160"/>
      <c r="U38" s="65"/>
      <c r="V38" s="136"/>
      <c r="W38" s="65"/>
      <c r="X38" s="65"/>
      <c r="Y38" s="65"/>
      <c r="Z38" s="164"/>
      <c r="AA38" s="165"/>
      <c r="AB38" s="166"/>
      <c r="AC38" s="166"/>
      <c r="AD38" s="166"/>
      <c r="AE38" s="166"/>
      <c r="AF38" s="166"/>
      <c r="AG38" s="166"/>
      <c r="AH38" s="166"/>
      <c r="AK38" s="167"/>
      <c r="AL38" s="167"/>
    </row>
    <row r="39" s="63" customFormat="1" customHeight="1" spans="1:38">
      <c r="A39" s="124"/>
      <c r="B39" s="190"/>
      <c r="C39" s="124"/>
      <c r="D39" s="125"/>
      <c r="E39" s="125"/>
      <c r="F39" s="125"/>
      <c r="G39" s="125"/>
      <c r="H39" s="125"/>
      <c r="I39" s="125"/>
      <c r="J39" s="125"/>
      <c r="K39" s="65"/>
      <c r="L39" s="124"/>
      <c r="M39" s="129"/>
      <c r="N39" s="156"/>
      <c r="O39" s="124"/>
      <c r="P39" s="157"/>
      <c r="Q39" s="157"/>
      <c r="R39" s="163"/>
      <c r="S39" s="159"/>
      <c r="T39" s="160"/>
      <c r="U39" s="65"/>
      <c r="V39" s="136"/>
      <c r="W39" s="65"/>
      <c r="X39" s="65"/>
      <c r="Y39" s="65"/>
      <c r="Z39" s="164"/>
      <c r="AA39" s="165"/>
      <c r="AB39" s="166"/>
      <c r="AC39" s="166"/>
      <c r="AD39" s="166"/>
      <c r="AE39" s="166"/>
      <c r="AF39" s="166"/>
      <c r="AG39" s="166"/>
      <c r="AH39" s="166"/>
      <c r="AK39" s="167"/>
      <c r="AL39" s="167"/>
    </row>
    <row r="40" s="63" customFormat="1" customHeight="1" spans="1:38">
      <c r="A40" s="124"/>
      <c r="B40" s="190"/>
      <c r="C40" s="124"/>
      <c r="D40" s="125"/>
      <c r="E40" s="125"/>
      <c r="F40" s="125"/>
      <c r="G40" s="125"/>
      <c r="H40" s="125"/>
      <c r="I40" s="125"/>
      <c r="J40" s="125"/>
      <c r="K40" s="65"/>
      <c r="L40" s="124"/>
      <c r="M40" s="129"/>
      <c r="N40" s="156"/>
      <c r="O40" s="124"/>
      <c r="P40" s="157"/>
      <c r="Q40" s="157"/>
      <c r="R40" s="163"/>
      <c r="S40" s="159"/>
      <c r="T40" s="160"/>
      <c r="U40" s="65"/>
      <c r="V40" s="136"/>
      <c r="W40" s="65"/>
      <c r="X40" s="65"/>
      <c r="Y40" s="65"/>
      <c r="Z40" s="164"/>
      <c r="AA40" s="165"/>
      <c r="AB40" s="166"/>
      <c r="AC40" s="166"/>
      <c r="AD40" s="166"/>
      <c r="AE40" s="166"/>
      <c r="AF40" s="166"/>
      <c r="AG40" s="166"/>
      <c r="AH40" s="166"/>
      <c r="AK40" s="167"/>
      <c r="AL40" s="167"/>
    </row>
    <row r="41" s="63" customFormat="1" customHeight="1" spans="1:38">
      <c r="A41" s="124"/>
      <c r="B41" s="190"/>
      <c r="C41" s="124"/>
      <c r="D41" s="125"/>
      <c r="E41" s="125"/>
      <c r="F41" s="125"/>
      <c r="G41" s="125"/>
      <c r="H41" s="125"/>
      <c r="I41" s="125"/>
      <c r="J41" s="125"/>
      <c r="K41" s="65"/>
      <c r="L41" s="124"/>
      <c r="M41" s="129"/>
      <c r="N41" s="156"/>
      <c r="O41" s="124"/>
      <c r="P41" s="157"/>
      <c r="Q41" s="157"/>
      <c r="R41" s="163"/>
      <c r="S41" s="159"/>
      <c r="T41" s="160"/>
      <c r="U41" s="65"/>
      <c r="V41" s="136"/>
      <c r="W41" s="65"/>
      <c r="X41" s="65"/>
      <c r="Y41" s="65"/>
      <c r="Z41" s="164"/>
      <c r="AA41" s="165"/>
      <c r="AB41" s="166"/>
      <c r="AC41" s="166"/>
      <c r="AD41" s="166"/>
      <c r="AE41" s="166"/>
      <c r="AF41" s="166"/>
      <c r="AG41" s="166"/>
      <c r="AH41" s="166"/>
      <c r="AK41" s="167"/>
      <c r="AL41" s="167"/>
    </row>
    <row r="42" s="63" customFormat="1" customHeight="1" spans="1:38">
      <c r="D42" s="125"/>
      <c r="E42" s="125"/>
      <c r="F42" s="125"/>
      <c r="G42" s="125"/>
      <c r="H42" s="125"/>
      <c r="I42" s="125"/>
      <c r="J42" s="125"/>
      <c r="K42" s="65"/>
      <c r="L42" s="124"/>
      <c r="M42" s="129"/>
      <c r="N42" s="156"/>
      <c r="O42" s="124"/>
      <c r="P42" s="157"/>
      <c r="Q42" s="157"/>
      <c r="R42" s="163"/>
      <c r="S42" s="159"/>
      <c r="T42" s="160"/>
      <c r="U42" s="65"/>
      <c r="V42" s="136"/>
      <c r="W42" s="65"/>
      <c r="X42" s="65"/>
      <c r="Y42" s="65"/>
      <c r="Z42" s="164"/>
      <c r="AA42" s="165"/>
      <c r="AB42" s="166"/>
      <c r="AC42" s="166"/>
      <c r="AD42" s="166"/>
      <c r="AE42" s="166"/>
      <c r="AF42" s="166"/>
      <c r="AG42" s="166"/>
      <c r="AH42" s="166"/>
      <c r="AK42" s="167"/>
      <c r="AL42" s="167"/>
    </row>
    <row r="43" s="63" customFormat="1" customHeight="1" spans="1:38">
      <c r="A43" s="124"/>
      <c r="B43" s="191"/>
      <c r="C43" s="124"/>
      <c r="D43" s="125"/>
      <c r="E43" s="125"/>
      <c r="F43" s="125"/>
      <c r="G43" s="125"/>
      <c r="H43" s="125"/>
      <c r="I43" s="125"/>
      <c r="J43" s="125"/>
      <c r="K43" s="65"/>
      <c r="L43" s="124"/>
      <c r="M43" s="129"/>
      <c r="N43" s="156"/>
      <c r="O43" s="124"/>
      <c r="P43" s="157"/>
      <c r="Q43" s="157"/>
      <c r="R43" s="163"/>
      <c r="S43" s="159"/>
      <c r="T43" s="160"/>
      <c r="U43" s="65"/>
      <c r="V43" s="136"/>
      <c r="W43" s="65"/>
      <c r="X43" s="65"/>
      <c r="Y43" s="65"/>
      <c r="Z43" s="164"/>
      <c r="AA43" s="165"/>
      <c r="AB43" s="166"/>
      <c r="AC43" s="166"/>
      <c r="AD43" s="166"/>
      <c r="AE43" s="166"/>
      <c r="AF43" s="166"/>
      <c r="AG43" s="166"/>
      <c r="AH43" s="166"/>
      <c r="AK43" s="167"/>
      <c r="AL43" s="167"/>
    </row>
    <row r="44" s="63" customFormat="1" customHeight="1" spans="1:38">
      <c r="A44" s="124"/>
      <c r="B44" s="190"/>
      <c r="C44" s="124"/>
      <c r="D44" s="125"/>
      <c r="E44" s="125"/>
      <c r="F44" s="125"/>
      <c r="G44" s="125"/>
      <c r="H44" s="125"/>
      <c r="I44" s="125"/>
      <c r="J44" s="125"/>
      <c r="K44" s="65"/>
      <c r="L44" s="124"/>
      <c r="M44" s="129"/>
      <c r="N44" s="156"/>
      <c r="O44" s="124"/>
      <c r="P44" s="157"/>
      <c r="Q44" s="157"/>
      <c r="R44" s="163"/>
      <c r="S44" s="159"/>
      <c r="T44" s="160"/>
      <c r="U44" s="65"/>
      <c r="V44" s="136"/>
      <c r="W44" s="65"/>
      <c r="X44" s="65"/>
      <c r="Y44" s="65"/>
      <c r="Z44" s="164"/>
      <c r="AA44" s="165"/>
      <c r="AB44" s="166"/>
      <c r="AC44" s="166"/>
      <c r="AD44" s="166"/>
      <c r="AE44" s="166"/>
      <c r="AF44" s="166"/>
      <c r="AG44" s="166"/>
      <c r="AH44" s="166"/>
      <c r="AK44" s="167"/>
      <c r="AL44" s="167"/>
    </row>
    <row r="45" s="63" customFormat="1" customHeight="1" spans="1:38">
      <c r="A45" s="124"/>
      <c r="B45" s="124"/>
      <c r="C45" s="124"/>
      <c r="D45" s="125"/>
      <c r="E45" s="125"/>
      <c r="F45" s="125"/>
      <c r="G45" s="125"/>
      <c r="H45" s="125"/>
      <c r="I45" s="125"/>
      <c r="J45" s="125"/>
      <c r="K45" s="65"/>
      <c r="L45" s="124"/>
      <c r="M45" s="129"/>
      <c r="N45" s="156"/>
      <c r="O45" s="124"/>
      <c r="P45" s="157"/>
      <c r="Q45" s="157"/>
      <c r="R45" s="163"/>
      <c r="S45" s="159"/>
      <c r="T45" s="160"/>
      <c r="U45" s="65"/>
      <c r="V45" s="136"/>
      <c r="W45" s="65"/>
      <c r="X45" s="65"/>
      <c r="Y45" s="65"/>
      <c r="Z45" s="164"/>
      <c r="AA45" s="165"/>
      <c r="AB45" s="166"/>
      <c r="AC45" s="166"/>
      <c r="AD45" s="166"/>
      <c r="AE45" s="166"/>
      <c r="AF45" s="166"/>
      <c r="AG45" s="166"/>
      <c r="AH45" s="166"/>
      <c r="AK45" s="167"/>
      <c r="AL45" s="167"/>
    </row>
    <row r="46" s="63" customFormat="1" customHeight="1" spans="1:38">
      <c r="A46" s="192"/>
      <c r="B46" s="132"/>
      <c r="C46" s="132"/>
      <c r="D46" s="125"/>
      <c r="E46" s="125"/>
      <c r="F46" s="125"/>
      <c r="G46" s="125"/>
      <c r="H46" s="125"/>
      <c r="I46" s="125"/>
      <c r="J46" s="125"/>
      <c r="K46" s="65"/>
      <c r="L46" s="124"/>
      <c r="M46" s="129"/>
      <c r="N46" s="156"/>
      <c r="O46" s="124"/>
      <c r="P46" s="157"/>
      <c r="Q46" s="157"/>
      <c r="R46" s="163"/>
      <c r="S46" s="159"/>
      <c r="T46" s="160"/>
      <c r="U46" s="65"/>
      <c r="V46" s="136"/>
      <c r="W46" s="65"/>
      <c r="X46" s="65"/>
      <c r="Y46" s="65"/>
      <c r="Z46" s="164"/>
      <c r="AA46" s="165"/>
      <c r="AB46" s="166"/>
      <c r="AC46" s="166"/>
      <c r="AD46" s="166"/>
      <c r="AE46" s="166"/>
      <c r="AF46" s="166"/>
      <c r="AG46" s="166"/>
      <c r="AH46" s="166"/>
      <c r="AK46" s="167"/>
      <c r="AL46" s="167"/>
    </row>
    <row r="47" s="63" customFormat="1" customHeight="1" spans="1:38">
      <c r="A47" s="193"/>
      <c r="B47" s="194"/>
      <c r="C47" s="195"/>
      <c r="D47" s="125"/>
      <c r="E47" s="125"/>
      <c r="F47" s="125"/>
      <c r="G47" s="125"/>
      <c r="H47" s="125"/>
      <c r="I47" s="125"/>
      <c r="J47" s="125"/>
      <c r="K47" s="65"/>
      <c r="L47" s="124"/>
      <c r="M47" s="129"/>
      <c r="N47" s="156"/>
      <c r="O47" s="124"/>
      <c r="P47" s="157"/>
      <c r="Q47" s="157"/>
      <c r="R47" s="163"/>
      <c r="S47" s="159"/>
      <c r="T47" s="160"/>
      <c r="U47" s="65"/>
      <c r="V47" s="136"/>
      <c r="W47" s="65"/>
      <c r="X47" s="65"/>
      <c r="Y47" s="65"/>
      <c r="Z47" s="164"/>
      <c r="AA47" s="165"/>
      <c r="AB47" s="166"/>
      <c r="AC47" s="166"/>
      <c r="AD47" s="166"/>
      <c r="AE47" s="166"/>
      <c r="AF47" s="166"/>
      <c r="AG47" s="166"/>
      <c r="AH47" s="166"/>
      <c r="AK47" s="167"/>
      <c r="AL47" s="167"/>
    </row>
    <row r="48" s="63" customFormat="1" customHeight="1" spans="1:38">
      <c r="A48" s="193"/>
      <c r="B48" s="194"/>
      <c r="C48" s="195"/>
      <c r="D48" s="125"/>
      <c r="E48" s="125"/>
      <c r="F48" s="125"/>
      <c r="G48" s="125"/>
      <c r="H48" s="125"/>
      <c r="I48" s="125"/>
      <c r="J48" s="125"/>
      <c r="K48" s="65"/>
      <c r="L48" s="124"/>
      <c r="M48" s="129"/>
      <c r="N48" s="156"/>
      <c r="O48" s="124"/>
      <c r="P48" s="157"/>
      <c r="Q48" s="157"/>
      <c r="R48" s="163"/>
      <c r="S48" s="159"/>
      <c r="T48" s="160"/>
      <c r="U48" s="65"/>
      <c r="V48" s="136"/>
      <c r="W48" s="65"/>
      <c r="X48" s="65"/>
      <c r="Y48" s="65"/>
      <c r="Z48" s="164"/>
      <c r="AA48" s="165"/>
      <c r="AB48" s="166"/>
      <c r="AC48" s="166"/>
      <c r="AD48" s="166"/>
      <c r="AE48" s="166"/>
      <c r="AF48" s="166"/>
      <c r="AG48" s="166"/>
      <c r="AH48" s="166"/>
      <c r="AK48" s="167"/>
      <c r="AL48" s="167"/>
    </row>
    <row r="49" s="63" customFormat="1" customHeight="1" spans="1:38">
      <c r="A49" s="196"/>
      <c r="B49" s="197"/>
      <c r="C49" s="198"/>
      <c r="D49" s="125"/>
      <c r="E49" s="125"/>
      <c r="F49" s="125"/>
      <c r="G49" s="125"/>
      <c r="H49" s="125"/>
      <c r="I49" s="125"/>
      <c r="J49" s="125"/>
      <c r="K49" s="65"/>
      <c r="L49" s="124"/>
      <c r="M49" s="129"/>
      <c r="N49" s="156"/>
      <c r="O49" s="124"/>
      <c r="P49" s="157"/>
      <c r="Q49" s="157"/>
      <c r="R49" s="163"/>
      <c r="S49" s="159"/>
      <c r="T49" s="160"/>
      <c r="U49" s="65"/>
      <c r="V49" s="136"/>
      <c r="W49" s="65"/>
      <c r="X49" s="65"/>
      <c r="Y49" s="65"/>
      <c r="Z49" s="164"/>
      <c r="AA49" s="165"/>
      <c r="AB49" s="166"/>
      <c r="AC49" s="166"/>
      <c r="AD49" s="166"/>
      <c r="AE49" s="166"/>
      <c r="AF49" s="166"/>
      <c r="AG49" s="166"/>
      <c r="AH49" s="166"/>
      <c r="AK49" s="167"/>
      <c r="AL49" s="167"/>
    </row>
    <row r="50" s="63" customFormat="1" customHeight="1" spans="1:38">
      <c r="A50" s="199"/>
      <c r="B50" s="200"/>
      <c r="C50" s="201"/>
      <c r="D50" s="125"/>
      <c r="E50" s="125"/>
      <c r="F50" s="125"/>
      <c r="G50" s="125"/>
      <c r="H50" s="125"/>
      <c r="I50" s="125"/>
      <c r="J50" s="125"/>
      <c r="K50" s="65"/>
      <c r="L50" s="124"/>
      <c r="M50" s="129"/>
      <c r="N50" s="156"/>
      <c r="O50" s="124"/>
      <c r="P50" s="157"/>
      <c r="Q50" s="157"/>
      <c r="R50" s="163"/>
      <c r="S50" s="159"/>
      <c r="T50" s="160"/>
      <c r="U50" s="65"/>
      <c r="V50" s="136"/>
      <c r="W50" s="65"/>
      <c r="X50" s="65"/>
      <c r="Y50" s="65"/>
      <c r="Z50" s="164"/>
      <c r="AA50" s="165"/>
      <c r="AB50" s="166"/>
      <c r="AC50" s="166"/>
      <c r="AD50" s="166"/>
      <c r="AE50" s="166"/>
      <c r="AF50" s="166"/>
      <c r="AG50" s="166"/>
      <c r="AH50" s="166"/>
      <c r="AK50" s="167"/>
      <c r="AL50" s="167"/>
    </row>
    <row r="51" s="63" customFormat="1" customHeight="1" spans="1:38">
      <c r="A51" s="202"/>
      <c r="B51" s="203"/>
      <c r="C51" s="204"/>
      <c r="D51" s="125"/>
      <c r="E51" s="125"/>
      <c r="F51" s="125"/>
      <c r="G51" s="125"/>
      <c r="H51" s="125"/>
      <c r="I51" s="125"/>
      <c r="J51" s="125"/>
      <c r="K51" s="65"/>
      <c r="L51" s="124"/>
      <c r="M51" s="129"/>
      <c r="N51" s="156"/>
      <c r="O51" s="124"/>
      <c r="P51" s="157"/>
      <c r="Q51" s="157"/>
      <c r="R51" s="163"/>
      <c r="S51" s="159"/>
      <c r="T51" s="160"/>
      <c r="U51" s="65"/>
      <c r="V51" s="136"/>
      <c r="W51" s="65"/>
      <c r="X51" s="65"/>
      <c r="Y51" s="65"/>
      <c r="Z51" s="164"/>
      <c r="AA51" s="165"/>
      <c r="AB51" s="166"/>
      <c r="AC51" s="166"/>
      <c r="AD51" s="166"/>
      <c r="AE51" s="166"/>
      <c r="AF51" s="166"/>
      <c r="AG51" s="166"/>
      <c r="AH51" s="166"/>
      <c r="AK51" s="167"/>
      <c r="AL51" s="167"/>
    </row>
    <row r="52" s="63" customFormat="1" customHeight="1" spans="1:38">
      <c r="A52" s="124"/>
      <c r="B52" s="124"/>
      <c r="C52" s="124"/>
      <c r="D52" s="125"/>
      <c r="E52" s="125"/>
      <c r="F52" s="125"/>
      <c r="G52" s="125"/>
      <c r="H52" s="125"/>
      <c r="I52" s="125"/>
      <c r="J52" s="125"/>
      <c r="K52" s="65"/>
      <c r="L52" s="124"/>
      <c r="M52" s="129"/>
      <c r="N52" s="156"/>
      <c r="O52" s="124"/>
      <c r="P52" s="157"/>
      <c r="Q52" s="157"/>
      <c r="R52" s="163"/>
      <c r="S52" s="159"/>
      <c r="T52" s="160"/>
      <c r="U52" s="65"/>
      <c r="V52" s="136"/>
      <c r="W52" s="65"/>
      <c r="X52" s="65"/>
      <c r="Y52" s="65"/>
      <c r="Z52" s="164"/>
      <c r="AA52" s="165"/>
      <c r="AB52" s="166"/>
      <c r="AC52" s="166"/>
      <c r="AD52" s="166"/>
      <c r="AE52" s="166"/>
      <c r="AF52" s="166"/>
      <c r="AG52" s="166"/>
      <c r="AH52" s="166"/>
      <c r="AK52" s="167"/>
      <c r="AL52" s="167"/>
    </row>
    <row r="53" s="63" customFormat="1" customHeight="1" spans="1:38">
      <c r="A53" s="124"/>
      <c r="B53" s="124"/>
      <c r="C53" s="124"/>
      <c r="D53" s="125"/>
      <c r="E53" s="125"/>
      <c r="F53" s="125"/>
      <c r="G53" s="125"/>
      <c r="H53" s="125"/>
      <c r="I53" s="125"/>
      <c r="J53" s="125"/>
      <c r="K53" s="65"/>
      <c r="L53" s="124"/>
      <c r="M53" s="129"/>
      <c r="N53" s="156"/>
      <c r="O53" s="124"/>
      <c r="P53" s="157"/>
      <c r="Q53" s="157"/>
      <c r="R53" s="163"/>
      <c r="S53" s="159"/>
      <c r="T53" s="160"/>
      <c r="U53" s="65"/>
      <c r="V53" s="136"/>
      <c r="W53" s="65"/>
      <c r="X53" s="65"/>
      <c r="Y53" s="65"/>
      <c r="Z53" s="164"/>
      <c r="AA53" s="165"/>
      <c r="AB53" s="166"/>
      <c r="AC53" s="166"/>
      <c r="AD53" s="166"/>
      <c r="AE53" s="166"/>
      <c r="AF53" s="166"/>
      <c r="AG53" s="166"/>
      <c r="AH53" s="166"/>
      <c r="AK53" s="167"/>
      <c r="AL53" s="167"/>
    </row>
    <row r="54" s="63" customFormat="1" customHeight="1" spans="1:38">
      <c r="A54" s="124"/>
      <c r="B54" s="124"/>
      <c r="C54" s="124"/>
      <c r="D54" s="125"/>
      <c r="E54" s="125"/>
      <c r="F54" s="125"/>
      <c r="G54" s="125"/>
      <c r="H54" s="125"/>
      <c r="I54" s="125"/>
      <c r="J54" s="125"/>
      <c r="K54" s="65"/>
      <c r="L54" s="124"/>
      <c r="M54" s="129"/>
      <c r="N54" s="156"/>
      <c r="O54" s="124"/>
      <c r="P54" s="157"/>
      <c r="Q54" s="157"/>
      <c r="R54" s="163"/>
      <c r="S54" s="159"/>
      <c r="T54" s="160"/>
      <c r="U54" s="65"/>
      <c r="V54" s="136"/>
      <c r="W54" s="65"/>
      <c r="X54" s="65"/>
      <c r="Y54" s="65"/>
      <c r="Z54" s="164"/>
      <c r="AA54" s="165"/>
      <c r="AB54" s="166"/>
      <c r="AC54" s="166"/>
      <c r="AD54" s="166"/>
      <c r="AE54" s="166"/>
      <c r="AF54" s="166"/>
      <c r="AG54" s="166"/>
      <c r="AH54" s="166"/>
      <c r="AK54" s="167"/>
      <c r="AL54" s="167"/>
    </row>
    <row r="55" s="63" customFormat="1" customHeight="1" spans="1:38">
      <c r="A55" s="124"/>
      <c r="B55" s="124"/>
      <c r="C55" s="124"/>
      <c r="D55" s="125"/>
      <c r="E55" s="125"/>
      <c r="F55" s="125"/>
      <c r="G55" s="125"/>
      <c r="H55" s="125"/>
      <c r="I55" s="125"/>
      <c r="J55" s="125"/>
      <c r="K55" s="65"/>
      <c r="L55" s="124"/>
      <c r="M55" s="129"/>
      <c r="N55" s="156"/>
      <c r="O55" s="124"/>
      <c r="P55" s="157"/>
      <c r="Q55" s="157"/>
      <c r="R55" s="163"/>
      <c r="S55" s="159"/>
      <c r="T55" s="160"/>
      <c r="U55" s="65"/>
      <c r="V55" s="136"/>
      <c r="W55" s="65"/>
      <c r="X55" s="65"/>
      <c r="Y55" s="65"/>
      <c r="Z55" s="164"/>
      <c r="AA55" s="165"/>
      <c r="AB55" s="166"/>
      <c r="AC55" s="166"/>
      <c r="AD55" s="166"/>
      <c r="AE55" s="166"/>
      <c r="AF55" s="166"/>
      <c r="AG55" s="166"/>
      <c r="AH55" s="166"/>
      <c r="AK55" s="167"/>
      <c r="AL55" s="167"/>
    </row>
    <row r="56" s="63" customFormat="1" customHeight="1" spans="1:38">
      <c r="A56" s="124"/>
      <c r="B56" s="124"/>
      <c r="C56" s="124"/>
      <c r="D56" s="125"/>
      <c r="E56" s="125"/>
      <c r="F56" s="125"/>
      <c r="G56" s="125"/>
      <c r="H56" s="125"/>
      <c r="I56" s="125"/>
      <c r="J56" s="125"/>
      <c r="K56" s="65"/>
      <c r="L56" s="124"/>
      <c r="M56" s="129"/>
      <c r="N56" s="156"/>
      <c r="O56" s="124"/>
      <c r="P56" s="157"/>
      <c r="Q56" s="157"/>
      <c r="R56" s="163"/>
      <c r="S56" s="159"/>
      <c r="T56" s="160"/>
      <c r="U56" s="65"/>
      <c r="V56" s="136"/>
      <c r="W56" s="65"/>
      <c r="X56" s="65"/>
      <c r="Y56" s="65"/>
      <c r="Z56" s="164"/>
      <c r="AA56" s="165"/>
      <c r="AB56" s="166"/>
      <c r="AC56" s="166"/>
      <c r="AD56" s="166"/>
      <c r="AE56" s="166"/>
      <c r="AF56" s="166"/>
      <c r="AG56" s="166"/>
      <c r="AH56" s="166"/>
      <c r="AK56" s="167"/>
      <c r="AL56" s="167"/>
    </row>
    <row r="57" s="65" customFormat="1" customHeight="1" spans="1:38">
      <c r="A57" s="205"/>
      <c r="B57" s="206"/>
      <c r="C57" s="205"/>
      <c r="D57" s="205"/>
      <c r="E57" s="207"/>
      <c r="F57" s="205"/>
      <c r="G57" s="208"/>
      <c r="H57" s="208"/>
      <c r="I57" s="208"/>
      <c r="J57" s="208"/>
      <c r="K57" s="208"/>
      <c r="L57" s="208"/>
      <c r="M57" s="209"/>
      <c r="N57" s="210"/>
      <c r="O57" s="208"/>
      <c r="P57" s="211"/>
      <c r="Q57" s="211"/>
      <c r="R57" s="211"/>
      <c r="S57" s="212"/>
      <c r="T57" s="213"/>
      <c r="U57" s="208"/>
      <c r="V57" s="208"/>
      <c r="W57" s="208"/>
      <c r="X57" s="208"/>
      <c r="Y57" s="208"/>
      <c r="Z57" s="208"/>
      <c r="AA57" s="214"/>
      <c r="AB57" s="215"/>
      <c r="AC57" s="215"/>
      <c r="AD57" s="215"/>
      <c r="AE57" s="215"/>
      <c r="AF57" s="215"/>
      <c r="AG57" s="215"/>
      <c r="AH57" s="216"/>
    </row>
    <row r="58" s="66" customFormat="1" customHeight="1" spans="1:38">
      <c r="A58" s="140"/>
      <c r="B58" s="217"/>
      <c r="C58" s="217"/>
      <c r="D58" s="141"/>
      <c r="E58" s="141"/>
      <c r="F58" s="141"/>
      <c r="G58" s="218"/>
      <c r="H58" s="218"/>
      <c r="I58" s="218"/>
      <c r="J58" s="218"/>
      <c r="K58" s="219"/>
      <c r="L58" s="217"/>
      <c r="M58" s="220"/>
      <c r="N58" s="221"/>
      <c r="O58" s="217"/>
      <c r="P58" s="222"/>
      <c r="Q58" s="222"/>
      <c r="R58" s="223"/>
      <c r="S58" s="224"/>
      <c r="T58" s="225"/>
      <c r="U58" s="219"/>
      <c r="V58" s="152"/>
      <c r="W58" s="151"/>
      <c r="X58" s="219"/>
      <c r="Y58" s="219"/>
      <c r="Z58" s="226"/>
      <c r="AA58" s="227"/>
      <c r="AB58" s="223"/>
      <c r="AC58" s="223"/>
      <c r="AD58" s="223"/>
      <c r="AE58" s="223"/>
      <c r="AF58" s="223"/>
      <c r="AG58" s="223"/>
      <c r="AH58" s="228"/>
      <c r="AK58" s="229"/>
      <c r="AL58" s="229"/>
    </row>
    <row r="59" s="66" customFormat="1" customHeight="1" spans="1:38">
      <c r="A59" s="140"/>
      <c r="B59" s="217"/>
      <c r="C59" s="217"/>
      <c r="D59" s="141"/>
      <c r="E59" s="141"/>
      <c r="F59" s="141"/>
      <c r="G59" s="218"/>
      <c r="H59" s="218"/>
      <c r="I59" s="218"/>
      <c r="J59" s="218"/>
      <c r="K59" s="219"/>
      <c r="L59" s="217"/>
      <c r="M59" s="220"/>
      <c r="N59" s="221"/>
      <c r="O59" s="217"/>
      <c r="P59" s="222"/>
      <c r="Q59" s="222"/>
      <c r="R59" s="223"/>
      <c r="S59" s="224"/>
      <c r="T59" s="225"/>
      <c r="U59" s="219"/>
      <c r="V59" s="152"/>
      <c r="W59" s="151"/>
      <c r="X59" s="219"/>
      <c r="Y59" s="219"/>
      <c r="Z59" s="226"/>
      <c r="AA59" s="227"/>
      <c r="AB59" s="223"/>
      <c r="AC59" s="223"/>
      <c r="AD59" s="223"/>
      <c r="AE59" s="223"/>
      <c r="AF59" s="223"/>
      <c r="AG59" s="223"/>
      <c r="AH59" s="228"/>
      <c r="AK59" s="229"/>
      <c r="AL59" s="229"/>
    </row>
    <row r="60" s="66" customFormat="1" customHeight="1" spans="1:38">
      <c r="A60" s="217"/>
      <c r="B60" s="217"/>
      <c r="C60" s="217"/>
      <c r="D60" s="218"/>
      <c r="E60" s="218"/>
      <c r="F60" s="218"/>
      <c r="G60" s="218"/>
      <c r="H60" s="218"/>
      <c r="I60" s="218"/>
      <c r="J60" s="218"/>
      <c r="K60" s="219"/>
      <c r="L60" s="217"/>
      <c r="M60" s="220"/>
      <c r="N60" s="221"/>
      <c r="O60" s="217"/>
      <c r="P60" s="222"/>
      <c r="Q60" s="222"/>
      <c r="R60" s="223"/>
      <c r="S60" s="224"/>
      <c r="T60" s="225"/>
      <c r="U60" s="219"/>
      <c r="V60" s="230"/>
      <c r="W60" s="230"/>
      <c r="X60" s="219"/>
      <c r="Y60" s="219"/>
      <c r="Z60" s="226"/>
      <c r="AA60" s="227"/>
      <c r="AB60" s="223"/>
      <c r="AC60" s="223"/>
      <c r="AD60" s="223"/>
      <c r="AE60" s="223"/>
      <c r="AF60" s="223"/>
      <c r="AG60" s="223"/>
      <c r="AH60" s="228"/>
      <c r="AK60" s="229"/>
      <c r="AL60" s="229"/>
    </row>
    <row r="61" s="66" customFormat="1" customHeight="1" spans="1:38">
      <c r="A61" s="217"/>
      <c r="B61" s="217"/>
      <c r="C61" s="217"/>
      <c r="D61" s="218"/>
      <c r="E61" s="218"/>
      <c r="F61" s="218"/>
      <c r="G61" s="218"/>
      <c r="H61" s="218"/>
      <c r="I61" s="218"/>
      <c r="J61" s="218"/>
      <c r="K61" s="219"/>
      <c r="L61" s="217"/>
      <c r="M61" s="220"/>
      <c r="N61" s="221"/>
      <c r="O61" s="217"/>
      <c r="P61" s="222"/>
      <c r="Q61" s="222"/>
      <c r="R61" s="223"/>
      <c r="S61" s="224"/>
      <c r="T61" s="225"/>
      <c r="U61" s="219"/>
      <c r="V61" s="230"/>
      <c r="W61" s="230"/>
      <c r="X61" s="219"/>
      <c r="Y61" s="219"/>
      <c r="Z61" s="226"/>
      <c r="AA61" s="227"/>
      <c r="AB61" s="223"/>
      <c r="AC61" s="223"/>
      <c r="AD61" s="223"/>
      <c r="AE61" s="223"/>
      <c r="AF61" s="223"/>
      <c r="AG61" s="223"/>
      <c r="AH61" s="228"/>
      <c r="AK61" s="229"/>
      <c r="AL61" s="229"/>
    </row>
    <row r="62" s="66" customFormat="1" customHeight="1" spans="1:38">
      <c r="A62" s="217"/>
      <c r="B62" s="217"/>
      <c r="C62" s="217"/>
      <c r="D62" s="218"/>
      <c r="E62" s="218"/>
      <c r="F62" s="218"/>
      <c r="G62" s="218"/>
      <c r="H62" s="218"/>
      <c r="I62" s="218"/>
      <c r="J62" s="218"/>
      <c r="K62" s="219"/>
      <c r="L62" s="217"/>
      <c r="M62" s="220"/>
      <c r="N62" s="221"/>
      <c r="O62" s="217"/>
      <c r="P62" s="222"/>
      <c r="Q62" s="222"/>
      <c r="R62" s="223"/>
      <c r="S62" s="224"/>
      <c r="T62" s="225"/>
      <c r="U62" s="219"/>
      <c r="V62" s="230"/>
      <c r="W62" s="230"/>
      <c r="X62" s="219"/>
      <c r="Y62" s="219"/>
      <c r="Z62" s="226"/>
      <c r="AA62" s="227"/>
      <c r="AB62" s="223"/>
      <c r="AC62" s="223"/>
      <c r="AD62" s="223"/>
      <c r="AE62" s="223"/>
      <c r="AF62" s="223"/>
      <c r="AG62" s="223"/>
      <c r="AH62" s="228"/>
      <c r="AK62" s="229"/>
      <c r="AL62" s="229"/>
    </row>
    <row r="63" s="67" customFormat="1" customHeight="1" spans="1:38">
      <c r="A63" s="231"/>
      <c r="B63" s="231"/>
      <c r="C63" s="231"/>
      <c r="D63" s="232"/>
      <c r="E63" s="232"/>
      <c r="F63" s="232"/>
      <c r="G63" s="232"/>
      <c r="H63" s="233"/>
      <c r="I63" s="233"/>
      <c r="J63" s="232"/>
      <c r="K63" s="234"/>
      <c r="L63" s="231"/>
      <c r="M63" s="235"/>
      <c r="N63" s="236"/>
      <c r="O63" s="231"/>
      <c r="P63" s="237"/>
      <c r="Q63" s="237"/>
      <c r="R63" s="238"/>
      <c r="S63" s="239"/>
      <c r="T63" s="240"/>
      <c r="U63" s="234"/>
      <c r="V63" s="241"/>
      <c r="W63" s="242"/>
      <c r="X63" s="234"/>
      <c r="Y63" s="234"/>
      <c r="Z63" s="243"/>
      <c r="AA63" s="227"/>
      <c r="AB63" s="238"/>
      <c r="AC63" s="238"/>
      <c r="AD63" s="238"/>
      <c r="AE63" s="238"/>
      <c r="AF63" s="238"/>
      <c r="AG63" s="238"/>
      <c r="AH63" s="244"/>
      <c r="AK63" s="245"/>
      <c r="AL63" s="245"/>
    </row>
    <row r="64" s="67" customFormat="1" customHeight="1" spans="1:38">
      <c r="A64" s="231"/>
      <c r="B64" s="231"/>
      <c r="C64" s="231"/>
      <c r="D64" s="232"/>
      <c r="E64" s="232"/>
      <c r="F64" s="232"/>
      <c r="G64" s="232"/>
      <c r="H64" s="233"/>
      <c r="I64" s="233"/>
      <c r="J64" s="232"/>
      <c r="K64" s="234"/>
      <c r="L64" s="231"/>
      <c r="M64" s="235"/>
      <c r="N64" s="236"/>
      <c r="O64" s="231"/>
      <c r="P64" s="237"/>
      <c r="Q64" s="237"/>
      <c r="R64" s="238"/>
      <c r="S64" s="239"/>
      <c r="T64" s="240"/>
      <c r="U64" s="234"/>
      <c r="V64" s="241"/>
      <c r="W64" s="242"/>
      <c r="X64" s="234"/>
      <c r="Y64" s="234"/>
      <c r="Z64" s="243"/>
      <c r="AA64" s="227"/>
      <c r="AB64" s="238"/>
      <c r="AC64" s="238"/>
      <c r="AD64" s="238"/>
      <c r="AE64" s="238"/>
      <c r="AF64" s="238"/>
      <c r="AG64" s="238"/>
      <c r="AH64" s="244"/>
      <c r="AK64" s="245"/>
      <c r="AL64" s="245"/>
    </row>
    <row r="65" s="68" customFormat="1" customHeight="1" spans="1:38">
      <c r="A65" s="217"/>
      <c r="B65" s="246"/>
      <c r="C65" s="246"/>
      <c r="D65" s="218"/>
      <c r="E65" s="232"/>
      <c r="F65" s="232"/>
      <c r="G65" s="232"/>
      <c r="H65" s="233"/>
      <c r="I65" s="233"/>
      <c r="J65" s="247"/>
      <c r="K65" s="248"/>
      <c r="L65" s="246"/>
      <c r="M65" s="249"/>
      <c r="N65" s="250"/>
      <c r="O65" s="246"/>
      <c r="P65" s="251"/>
      <c r="Q65" s="251"/>
      <c r="R65" s="252"/>
      <c r="S65" s="253"/>
      <c r="T65" s="254"/>
      <c r="U65" s="234"/>
      <c r="V65" s="241"/>
      <c r="W65" s="241"/>
      <c r="X65" s="248"/>
      <c r="Y65" s="234"/>
      <c r="Z65" s="255"/>
      <c r="AA65" s="227"/>
      <c r="AB65" s="252"/>
      <c r="AC65" s="252"/>
      <c r="AD65" s="252"/>
      <c r="AE65" s="252"/>
      <c r="AF65" s="252"/>
      <c r="AG65" s="252"/>
      <c r="AH65" s="256"/>
      <c r="AK65" s="257"/>
      <c r="AL65" s="257"/>
    </row>
    <row r="66" s="68" customFormat="1" customHeight="1" spans="1:38">
      <c r="A66" s="217"/>
      <c r="B66" s="246"/>
      <c r="C66" s="246"/>
      <c r="D66" s="218"/>
      <c r="E66" s="232"/>
      <c r="F66" s="232"/>
      <c r="G66" s="232"/>
      <c r="H66" s="233"/>
      <c r="I66" s="233"/>
      <c r="J66" s="247"/>
      <c r="K66" s="248"/>
      <c r="L66" s="246"/>
      <c r="M66" s="249"/>
      <c r="N66" s="250"/>
      <c r="O66" s="246"/>
      <c r="P66" s="251"/>
      <c r="Q66" s="251"/>
      <c r="R66" s="252"/>
      <c r="S66" s="253"/>
      <c r="T66" s="254"/>
      <c r="U66" s="234"/>
      <c r="V66" s="241"/>
      <c r="W66" s="241"/>
      <c r="X66" s="248"/>
      <c r="Y66" s="234"/>
      <c r="Z66" s="255"/>
      <c r="AA66" s="227"/>
      <c r="AB66" s="252"/>
      <c r="AC66" s="252"/>
      <c r="AD66" s="252"/>
      <c r="AE66" s="252"/>
      <c r="AF66" s="252"/>
      <c r="AG66" s="252"/>
      <c r="AH66" s="256"/>
      <c r="AK66" s="257"/>
      <c r="AL66" s="257"/>
    </row>
    <row r="67" s="68" customFormat="1" customHeight="1" spans="1:38">
      <c r="A67" s="217"/>
      <c r="B67" s="246"/>
      <c r="C67" s="246"/>
      <c r="D67" s="218"/>
      <c r="E67" s="247"/>
      <c r="F67" s="247"/>
      <c r="G67" s="218"/>
      <c r="H67" s="258"/>
      <c r="I67" s="258"/>
      <c r="J67" s="247"/>
      <c r="K67" s="248"/>
      <c r="L67" s="246"/>
      <c r="M67" s="249"/>
      <c r="N67" s="250"/>
      <c r="O67" s="246"/>
      <c r="P67" s="251"/>
      <c r="Q67" s="251"/>
      <c r="R67" s="252"/>
      <c r="S67" s="253"/>
      <c r="T67" s="254"/>
      <c r="U67" s="248"/>
      <c r="V67" s="259"/>
      <c r="W67" s="248"/>
      <c r="X67" s="248"/>
      <c r="Y67" s="248"/>
      <c r="Z67" s="255"/>
      <c r="AA67" s="260"/>
      <c r="AB67" s="252"/>
      <c r="AC67" s="252"/>
      <c r="AD67" s="252"/>
      <c r="AE67" s="252"/>
      <c r="AF67" s="252"/>
      <c r="AG67" s="252"/>
      <c r="AH67" s="256"/>
      <c r="AK67" s="257"/>
      <c r="AL67" s="257"/>
    </row>
    <row r="68" s="68" customFormat="1" customHeight="1" spans="1:38">
      <c r="A68" s="217"/>
      <c r="B68" s="246"/>
      <c r="C68" s="246"/>
      <c r="D68" s="218"/>
      <c r="E68" s="247"/>
      <c r="F68" s="247"/>
      <c r="G68" s="218"/>
      <c r="H68" s="258"/>
      <c r="I68" s="258"/>
      <c r="J68" s="247"/>
      <c r="K68" s="248"/>
      <c r="L68" s="246"/>
      <c r="M68" s="249"/>
      <c r="N68" s="250"/>
      <c r="O68" s="246"/>
      <c r="P68" s="251"/>
      <c r="Q68" s="251"/>
      <c r="R68" s="252"/>
      <c r="S68" s="253"/>
      <c r="T68" s="254"/>
      <c r="U68" s="248"/>
      <c r="V68" s="259"/>
      <c r="W68" s="248"/>
      <c r="X68" s="248"/>
      <c r="Y68" s="248"/>
      <c r="Z68" s="255"/>
      <c r="AA68" s="260"/>
      <c r="AB68" s="252"/>
      <c r="AC68" s="252"/>
      <c r="AD68" s="252"/>
      <c r="AE68" s="252"/>
      <c r="AF68" s="252"/>
      <c r="AG68" s="252"/>
      <c r="AH68" s="256"/>
      <c r="AK68" s="257"/>
      <c r="AL68" s="257"/>
    </row>
    <row r="69" s="68" customFormat="1" customHeight="1" spans="1:38">
      <c r="A69" s="217"/>
      <c r="B69" s="246"/>
      <c r="C69" s="246"/>
      <c r="D69" s="218"/>
      <c r="E69" s="247"/>
      <c r="F69" s="247"/>
      <c r="G69" s="218"/>
      <c r="H69" s="258"/>
      <c r="I69" s="258"/>
      <c r="J69" s="247"/>
      <c r="K69" s="248"/>
      <c r="L69" s="246"/>
      <c r="M69" s="249"/>
      <c r="N69" s="250"/>
      <c r="O69" s="246"/>
      <c r="P69" s="251"/>
      <c r="Q69" s="251"/>
      <c r="R69" s="252"/>
      <c r="S69" s="253"/>
      <c r="T69" s="254"/>
      <c r="U69" s="248"/>
      <c r="V69" s="259"/>
      <c r="W69" s="248"/>
      <c r="X69" s="248"/>
      <c r="Y69" s="248"/>
      <c r="Z69" s="255"/>
      <c r="AA69" s="260"/>
      <c r="AB69" s="252"/>
      <c r="AC69" s="252"/>
      <c r="AD69" s="252"/>
      <c r="AE69" s="252"/>
      <c r="AF69" s="252"/>
      <c r="AG69" s="252"/>
      <c r="AH69" s="256"/>
      <c r="AK69" s="257"/>
      <c r="AL69" s="257"/>
    </row>
    <row r="70" s="68" customFormat="1" customHeight="1" spans="1:38">
      <c r="A70" s="217"/>
      <c r="B70" s="246"/>
      <c r="C70" s="246"/>
      <c r="D70" s="218"/>
      <c r="E70" s="247"/>
      <c r="F70" s="247"/>
      <c r="G70" s="218"/>
      <c r="H70" s="258"/>
      <c r="I70" s="258"/>
      <c r="J70" s="247"/>
      <c r="K70" s="248"/>
      <c r="L70" s="246"/>
      <c r="M70" s="249"/>
      <c r="N70" s="250"/>
      <c r="O70" s="246"/>
      <c r="P70" s="251"/>
      <c r="Q70" s="251"/>
      <c r="R70" s="252"/>
      <c r="S70" s="253"/>
      <c r="T70" s="254"/>
      <c r="U70" s="248"/>
      <c r="V70" s="259"/>
      <c r="W70" s="248"/>
      <c r="X70" s="248"/>
      <c r="Y70" s="248"/>
      <c r="Z70" s="255"/>
      <c r="AA70" s="260"/>
      <c r="AB70" s="252"/>
      <c r="AC70" s="252"/>
      <c r="AD70" s="252"/>
      <c r="AE70" s="252"/>
      <c r="AF70" s="252"/>
      <c r="AG70" s="252"/>
      <c r="AH70" s="256"/>
      <c r="AK70" s="257"/>
      <c r="AL70" s="257"/>
    </row>
    <row r="71" s="68" customFormat="1" customHeight="1" spans="1:38">
      <c r="A71" s="246"/>
      <c r="B71" s="246"/>
      <c r="C71" s="246"/>
      <c r="D71" s="247"/>
      <c r="E71" s="247"/>
      <c r="F71" s="247"/>
      <c r="G71" s="247"/>
      <c r="H71" s="247"/>
      <c r="I71" s="247"/>
      <c r="J71" s="247"/>
      <c r="K71" s="248"/>
      <c r="L71" s="246"/>
      <c r="M71" s="249"/>
      <c r="N71" s="250"/>
      <c r="O71" s="246"/>
      <c r="P71" s="251"/>
      <c r="Q71" s="251"/>
      <c r="R71" s="252"/>
      <c r="S71" s="253"/>
      <c r="T71" s="254"/>
      <c r="U71" s="248"/>
      <c r="V71" s="261"/>
      <c r="W71" s="262"/>
      <c r="X71" s="248"/>
      <c r="Y71" s="248"/>
      <c r="Z71" s="255"/>
      <c r="AA71" s="260"/>
      <c r="AB71" s="252"/>
      <c r="AC71" s="252"/>
      <c r="AD71" s="252"/>
      <c r="AE71" s="252"/>
      <c r="AF71" s="252"/>
      <c r="AG71" s="252"/>
      <c r="AH71" s="256"/>
      <c r="AK71" s="257"/>
      <c r="AL71" s="257"/>
    </row>
    <row r="72" s="68" customFormat="1" customHeight="1" spans="1:38">
      <c r="A72" s="246"/>
      <c r="B72" s="246"/>
      <c r="C72" s="246"/>
      <c r="D72" s="247"/>
      <c r="E72" s="247"/>
      <c r="F72" s="247"/>
      <c r="G72" s="247"/>
      <c r="H72" s="247"/>
      <c r="I72" s="247"/>
      <c r="J72" s="247"/>
      <c r="K72" s="248"/>
      <c r="L72" s="246"/>
      <c r="M72" s="249"/>
      <c r="N72" s="250"/>
      <c r="O72" s="246"/>
      <c r="P72" s="251"/>
      <c r="Q72" s="251"/>
      <c r="R72" s="252"/>
      <c r="S72" s="253"/>
      <c r="T72" s="254"/>
      <c r="U72" s="248"/>
      <c r="V72" s="259"/>
      <c r="W72" s="248"/>
      <c r="X72" s="248"/>
      <c r="Y72" s="248"/>
      <c r="Z72" s="255"/>
      <c r="AA72" s="263"/>
      <c r="AB72" s="256"/>
      <c r="AC72" s="256"/>
      <c r="AD72" s="256"/>
      <c r="AE72" s="256"/>
      <c r="AF72" s="256"/>
      <c r="AG72" s="256"/>
      <c r="AH72" s="256"/>
      <c r="AK72" s="257"/>
      <c r="AL72" s="257"/>
    </row>
    <row r="73" s="68" customFormat="1" customHeight="1" spans="1:38">
      <c r="A73" s="246"/>
      <c r="B73" s="246"/>
      <c r="C73" s="246"/>
      <c r="D73" s="247"/>
      <c r="E73" s="247"/>
      <c r="F73" s="247"/>
      <c r="G73" s="247"/>
      <c r="H73" s="247"/>
      <c r="I73" s="247"/>
      <c r="J73" s="247"/>
      <c r="K73" s="248"/>
      <c r="L73" s="246"/>
      <c r="M73" s="249"/>
      <c r="N73" s="250"/>
      <c r="O73" s="246"/>
      <c r="P73" s="251"/>
      <c r="Q73" s="251"/>
      <c r="R73" s="252"/>
      <c r="S73" s="253"/>
      <c r="T73" s="254"/>
      <c r="U73" s="248"/>
      <c r="V73" s="259"/>
      <c r="W73" s="248"/>
      <c r="X73" s="248"/>
      <c r="Y73" s="248"/>
      <c r="Z73" s="255"/>
      <c r="AA73" s="263"/>
      <c r="AB73" s="256"/>
      <c r="AC73" s="256"/>
      <c r="AD73" s="256"/>
      <c r="AE73" s="256"/>
      <c r="AF73" s="256"/>
      <c r="AG73" s="256"/>
      <c r="AH73" s="256"/>
      <c r="AK73" s="257"/>
      <c r="AL73" s="257"/>
    </row>
    <row r="74" s="63" customFormat="1" customHeight="1" spans="1:38">
      <c r="A74" s="124"/>
      <c r="B74" s="124"/>
      <c r="C74" s="124"/>
      <c r="D74" s="125"/>
      <c r="E74" s="125"/>
      <c r="F74" s="125"/>
      <c r="G74" s="125"/>
      <c r="H74" s="125"/>
      <c r="I74" s="125"/>
      <c r="J74" s="125"/>
      <c r="K74" s="65"/>
      <c r="L74" s="124"/>
      <c r="M74" s="129"/>
      <c r="N74" s="156"/>
      <c r="O74" s="124"/>
      <c r="P74" s="157"/>
      <c r="Q74" s="157"/>
      <c r="R74" s="163"/>
      <c r="S74" s="159"/>
      <c r="T74" s="160"/>
      <c r="U74" s="65"/>
      <c r="V74" s="136"/>
      <c r="W74" s="65"/>
      <c r="X74" s="65"/>
      <c r="Y74" s="65"/>
      <c r="Z74" s="164"/>
      <c r="AA74" s="165"/>
      <c r="AB74" s="166"/>
      <c r="AC74" s="166"/>
      <c r="AD74" s="166"/>
      <c r="AE74" s="166"/>
      <c r="AF74" s="166"/>
      <c r="AG74" s="166"/>
      <c r="AH74" s="166"/>
      <c r="AK74" s="167"/>
      <c r="AL74" s="167"/>
    </row>
    <row r="75" s="63" customFormat="1" customHeight="1" spans="1:38">
      <c r="A75" s="124"/>
      <c r="B75" s="124"/>
      <c r="C75" s="124"/>
      <c r="D75" s="125"/>
      <c r="E75" s="125"/>
      <c r="F75" s="125"/>
      <c r="G75" s="125"/>
      <c r="H75" s="125"/>
      <c r="I75" s="125"/>
      <c r="J75" s="125"/>
      <c r="K75" s="65"/>
      <c r="L75" s="124"/>
      <c r="M75" s="129"/>
      <c r="N75" s="156"/>
      <c r="O75" s="124"/>
      <c r="P75" s="157"/>
      <c r="Q75" s="157"/>
      <c r="R75" s="163"/>
      <c r="S75" s="159"/>
      <c r="T75" s="160"/>
      <c r="U75" s="65"/>
      <c r="V75" s="136"/>
      <c r="W75" s="65"/>
      <c r="X75" s="65"/>
      <c r="Y75" s="65"/>
      <c r="Z75" s="164"/>
      <c r="AA75" s="165"/>
      <c r="AB75" s="166"/>
      <c r="AC75" s="166"/>
      <c r="AD75" s="166"/>
      <c r="AE75" s="166"/>
      <c r="AF75" s="166"/>
      <c r="AG75" s="166"/>
      <c r="AH75" s="166"/>
      <c r="AK75" s="167"/>
      <c r="AL75" s="167"/>
    </row>
    <row r="76" s="63" customFormat="1" customHeight="1" spans="1:38">
      <c r="A76" s="124"/>
      <c r="B76" s="124"/>
      <c r="C76" s="124"/>
      <c r="D76" s="125"/>
      <c r="E76" s="125"/>
      <c r="F76" s="125"/>
      <c r="G76" s="125"/>
      <c r="H76" s="125"/>
      <c r="I76" s="125"/>
      <c r="J76" s="125"/>
      <c r="K76" s="65"/>
      <c r="L76" s="124"/>
      <c r="M76" s="129"/>
      <c r="N76" s="156"/>
      <c r="O76" s="124"/>
      <c r="P76" s="157"/>
      <c r="Q76" s="157"/>
      <c r="R76" s="163"/>
      <c r="S76" s="159"/>
      <c r="T76" s="160"/>
      <c r="U76" s="65"/>
      <c r="V76" s="136"/>
      <c r="W76" s="65"/>
      <c r="X76" s="65"/>
      <c r="Y76" s="65"/>
      <c r="Z76" s="164"/>
      <c r="AA76" s="165"/>
      <c r="AB76" s="166"/>
      <c r="AC76" s="166"/>
      <c r="AD76" s="166"/>
      <c r="AE76" s="166"/>
      <c r="AF76" s="166"/>
      <c r="AG76" s="166"/>
      <c r="AH76" s="166"/>
      <c r="AK76" s="167"/>
      <c r="AL76" s="167"/>
    </row>
    <row r="77" s="63" customFormat="1" customHeight="1" spans="1:38">
      <c r="A77" s="124"/>
      <c r="B77" s="124"/>
      <c r="C77" s="124"/>
      <c r="D77" s="125"/>
      <c r="E77" s="125"/>
      <c r="F77" s="125"/>
      <c r="G77" s="125"/>
      <c r="H77" s="125"/>
      <c r="I77" s="125"/>
      <c r="J77" s="125"/>
      <c r="K77" s="65"/>
      <c r="L77" s="124"/>
      <c r="M77" s="129"/>
      <c r="N77" s="156"/>
      <c r="O77" s="124"/>
      <c r="P77" s="157"/>
      <c r="Q77" s="157"/>
      <c r="R77" s="163"/>
      <c r="S77" s="159"/>
      <c r="T77" s="160"/>
      <c r="U77" s="65"/>
      <c r="V77" s="136"/>
      <c r="W77" s="65"/>
      <c r="X77" s="65"/>
      <c r="Y77" s="65"/>
      <c r="Z77" s="164"/>
      <c r="AA77" s="165"/>
      <c r="AB77" s="166"/>
      <c r="AC77" s="166"/>
      <c r="AD77" s="166"/>
      <c r="AE77" s="166"/>
      <c r="AF77" s="166"/>
      <c r="AG77" s="166"/>
      <c r="AH77" s="166"/>
      <c r="AK77" s="167"/>
      <c r="AL77" s="167"/>
    </row>
    <row r="78" s="63" customFormat="1" customHeight="1" spans="1:38">
      <c r="A78" s="124"/>
      <c r="B78" s="124"/>
      <c r="C78" s="124"/>
      <c r="D78" s="125"/>
      <c r="E78" s="125"/>
      <c r="F78" s="125"/>
      <c r="G78" s="125"/>
      <c r="H78" s="125"/>
      <c r="I78" s="125"/>
      <c r="J78" s="125"/>
      <c r="K78" s="65"/>
      <c r="L78" s="124"/>
      <c r="M78" s="129"/>
      <c r="N78" s="156"/>
      <c r="O78" s="124"/>
      <c r="P78" s="157"/>
      <c r="Q78" s="157"/>
      <c r="R78" s="163"/>
      <c r="S78" s="159"/>
      <c r="T78" s="160"/>
      <c r="U78" s="65"/>
      <c r="V78" s="136"/>
      <c r="W78" s="65"/>
      <c r="X78" s="65"/>
      <c r="Y78" s="65"/>
      <c r="Z78" s="164"/>
      <c r="AA78" s="165"/>
      <c r="AB78" s="166"/>
      <c r="AC78" s="166"/>
      <c r="AD78" s="166"/>
      <c r="AE78" s="166"/>
      <c r="AF78" s="166"/>
      <c r="AG78" s="166"/>
      <c r="AH78" s="166"/>
      <c r="AK78" s="167"/>
      <c r="AL78" s="167"/>
    </row>
    <row r="79" s="63" customFormat="1" customHeight="1" spans="1:38">
      <c r="A79" s="124"/>
      <c r="B79" s="124"/>
      <c r="C79" s="124"/>
      <c r="D79" s="125"/>
      <c r="E79" s="125"/>
      <c r="F79" s="125"/>
      <c r="G79" s="125"/>
      <c r="H79" s="125"/>
      <c r="I79" s="125"/>
      <c r="J79" s="125"/>
      <c r="K79" s="65"/>
      <c r="L79" s="124"/>
      <c r="M79" s="129"/>
      <c r="N79" s="156"/>
      <c r="O79" s="124"/>
      <c r="P79" s="157"/>
      <c r="Q79" s="157"/>
      <c r="R79" s="163"/>
      <c r="S79" s="159"/>
      <c r="T79" s="160"/>
      <c r="U79" s="65"/>
      <c r="V79" s="136"/>
      <c r="W79" s="65"/>
      <c r="X79" s="65"/>
      <c r="Y79" s="65"/>
      <c r="Z79" s="164"/>
      <c r="AA79" s="165"/>
      <c r="AB79" s="166"/>
      <c r="AC79" s="166"/>
      <c r="AD79" s="166"/>
      <c r="AE79" s="166"/>
      <c r="AF79" s="166"/>
      <c r="AG79" s="166"/>
      <c r="AH79" s="166"/>
      <c r="AK79" s="167"/>
      <c r="AL79" s="167"/>
    </row>
    <row r="80" s="63" customFormat="1" customHeight="1" spans="1:38">
      <c r="A80" s="124"/>
      <c r="B80" s="124"/>
      <c r="C80" s="124"/>
      <c r="D80" s="125"/>
      <c r="E80" s="125"/>
      <c r="F80" s="125"/>
      <c r="G80" s="125"/>
      <c r="H80" s="125"/>
      <c r="I80" s="125"/>
      <c r="J80" s="125"/>
      <c r="K80" s="65"/>
      <c r="L80" s="124"/>
      <c r="M80" s="129"/>
      <c r="N80" s="156"/>
      <c r="O80" s="124"/>
      <c r="P80" s="157"/>
      <c r="Q80" s="157"/>
      <c r="R80" s="163"/>
      <c r="S80" s="159"/>
      <c r="T80" s="160"/>
      <c r="U80" s="65"/>
      <c r="V80" s="136"/>
      <c r="W80" s="65"/>
      <c r="X80" s="65"/>
      <c r="Y80" s="65"/>
      <c r="Z80" s="164"/>
      <c r="AA80" s="165"/>
      <c r="AB80" s="166"/>
      <c r="AC80" s="166"/>
      <c r="AD80" s="166"/>
      <c r="AE80" s="166"/>
      <c r="AF80" s="166"/>
      <c r="AG80" s="166"/>
      <c r="AH80" s="166"/>
      <c r="AK80" s="167"/>
      <c r="AL80" s="167"/>
    </row>
    <row r="81" s="63" customFormat="1" customHeight="1" spans="1:38">
      <c r="A81" s="124"/>
      <c r="B81" s="124"/>
      <c r="C81" s="124"/>
      <c r="D81" s="125"/>
      <c r="E81" s="125"/>
      <c r="F81" s="125"/>
      <c r="G81" s="125"/>
      <c r="H81" s="125"/>
      <c r="I81" s="125"/>
      <c r="J81" s="125"/>
      <c r="K81" s="65"/>
      <c r="L81" s="124"/>
      <c r="M81" s="129"/>
      <c r="N81" s="156"/>
      <c r="O81" s="124"/>
      <c r="P81" s="157"/>
      <c r="Q81" s="157"/>
      <c r="R81" s="163"/>
      <c r="S81" s="159"/>
      <c r="T81" s="160"/>
      <c r="U81" s="65"/>
      <c r="V81" s="136"/>
      <c r="W81" s="65"/>
      <c r="X81" s="65"/>
      <c r="Y81" s="65"/>
      <c r="Z81" s="164"/>
      <c r="AA81" s="165"/>
      <c r="AB81" s="166"/>
      <c r="AC81" s="166"/>
      <c r="AD81" s="166"/>
      <c r="AE81" s="166"/>
      <c r="AF81" s="166"/>
      <c r="AG81" s="166"/>
      <c r="AH81" s="166"/>
      <c r="AK81" s="167"/>
      <c r="AL81" s="167"/>
    </row>
    <row r="82" s="63" customFormat="1" customHeight="1" spans="1:38">
      <c r="A82" s="124"/>
      <c r="B82" s="124"/>
      <c r="C82" s="124"/>
      <c r="D82" s="125"/>
      <c r="E82" s="125"/>
      <c r="F82" s="125"/>
      <c r="G82" s="125"/>
      <c r="H82" s="125"/>
      <c r="I82" s="125"/>
      <c r="J82" s="125"/>
      <c r="K82" s="65"/>
      <c r="L82" s="124"/>
      <c r="M82" s="129"/>
      <c r="N82" s="156"/>
      <c r="O82" s="124"/>
      <c r="P82" s="157"/>
      <c r="Q82" s="157"/>
      <c r="R82" s="163"/>
      <c r="S82" s="159"/>
      <c r="T82" s="160"/>
      <c r="U82" s="65"/>
      <c r="V82" s="136"/>
      <c r="W82" s="65"/>
      <c r="X82" s="65"/>
      <c r="Y82" s="65"/>
      <c r="Z82" s="164"/>
      <c r="AA82" s="165"/>
      <c r="AB82" s="166"/>
      <c r="AC82" s="166"/>
      <c r="AD82" s="166"/>
      <c r="AE82" s="166"/>
      <c r="AF82" s="166"/>
      <c r="AG82" s="166"/>
      <c r="AH82" s="166"/>
      <c r="AK82" s="167"/>
      <c r="AL82" s="167"/>
    </row>
    <row r="83" s="63" customFormat="1" customHeight="1" spans="1:38">
      <c r="A83" s="124"/>
      <c r="B83" s="124"/>
      <c r="C83" s="124"/>
      <c r="D83" s="125"/>
      <c r="E83" s="125"/>
      <c r="F83" s="125"/>
      <c r="G83" s="125"/>
      <c r="H83" s="125"/>
      <c r="I83" s="125"/>
      <c r="J83" s="125"/>
      <c r="K83" s="65"/>
      <c r="L83" s="124"/>
      <c r="M83" s="129"/>
      <c r="N83" s="156"/>
      <c r="O83" s="124"/>
      <c r="P83" s="157"/>
      <c r="Q83" s="157"/>
      <c r="R83" s="163"/>
      <c r="S83" s="159"/>
      <c r="T83" s="160"/>
      <c r="U83" s="65"/>
      <c r="V83" s="136"/>
      <c r="W83" s="65"/>
      <c r="X83" s="65"/>
      <c r="Y83" s="65"/>
      <c r="Z83" s="164"/>
      <c r="AA83" s="165"/>
      <c r="AB83" s="166"/>
      <c r="AC83" s="166"/>
      <c r="AD83" s="166"/>
      <c r="AE83" s="166"/>
      <c r="AF83" s="166"/>
      <c r="AG83" s="166"/>
      <c r="AH83" s="166"/>
      <c r="AK83" s="167"/>
      <c r="AL83" s="167"/>
    </row>
    <row r="84" s="63" customFormat="1" customHeight="1" spans="1:38">
      <c r="A84" s="124"/>
      <c r="B84" s="124"/>
      <c r="C84" s="124"/>
      <c r="D84" s="125"/>
      <c r="E84" s="125"/>
      <c r="F84" s="125"/>
      <c r="G84" s="125"/>
      <c r="H84" s="125"/>
      <c r="I84" s="125"/>
      <c r="J84" s="125"/>
      <c r="K84" s="65"/>
      <c r="L84" s="124"/>
      <c r="M84" s="129"/>
      <c r="N84" s="156"/>
      <c r="O84" s="124"/>
      <c r="P84" s="157"/>
      <c r="Q84" s="157"/>
      <c r="R84" s="163"/>
      <c r="S84" s="159"/>
      <c r="T84" s="160"/>
      <c r="U84" s="65"/>
      <c r="V84" s="136"/>
      <c r="W84" s="65"/>
      <c r="X84" s="65"/>
      <c r="Y84" s="65"/>
      <c r="Z84" s="164"/>
      <c r="AA84" s="165"/>
      <c r="AB84" s="166"/>
      <c r="AC84" s="166"/>
      <c r="AD84" s="166"/>
      <c r="AE84" s="166"/>
      <c r="AF84" s="166"/>
      <c r="AG84" s="166"/>
      <c r="AH84" s="166"/>
      <c r="AK84" s="167"/>
      <c r="AL84" s="167"/>
    </row>
    <row r="85" s="63" customFormat="1" customHeight="1" spans="1:38">
      <c r="A85" s="124"/>
      <c r="B85" s="124"/>
      <c r="C85" s="124"/>
      <c r="D85" s="125"/>
      <c r="E85" s="125"/>
      <c r="F85" s="125"/>
      <c r="G85" s="125"/>
      <c r="H85" s="125"/>
      <c r="I85" s="125"/>
      <c r="J85" s="125"/>
      <c r="K85" s="65"/>
      <c r="L85" s="124"/>
      <c r="M85" s="129"/>
      <c r="N85" s="156"/>
      <c r="O85" s="124"/>
      <c r="P85" s="157"/>
      <c r="Q85" s="157"/>
      <c r="R85" s="163"/>
      <c r="S85" s="159"/>
      <c r="T85" s="160"/>
      <c r="U85" s="65"/>
      <c r="V85" s="136"/>
      <c r="W85" s="65"/>
      <c r="X85" s="65"/>
      <c r="Y85" s="65"/>
      <c r="Z85" s="164"/>
      <c r="AA85" s="165"/>
      <c r="AB85" s="166"/>
      <c r="AC85" s="166"/>
      <c r="AD85" s="166"/>
      <c r="AE85" s="166"/>
      <c r="AF85" s="166"/>
      <c r="AG85" s="166"/>
      <c r="AH85" s="166"/>
      <c r="AK85" s="167"/>
      <c r="AL85" s="167"/>
    </row>
    <row r="86" s="63" customFormat="1" customHeight="1" spans="1:38">
      <c r="A86" s="124"/>
      <c r="B86" s="124"/>
      <c r="C86" s="124"/>
      <c r="D86" s="125"/>
      <c r="E86" s="125"/>
      <c r="F86" s="125"/>
      <c r="G86" s="125"/>
      <c r="H86" s="125"/>
      <c r="I86" s="125"/>
      <c r="J86" s="125"/>
      <c r="K86" s="65"/>
      <c r="L86" s="124"/>
      <c r="M86" s="129"/>
      <c r="N86" s="156"/>
      <c r="O86" s="124"/>
      <c r="P86" s="157"/>
      <c r="Q86" s="157"/>
      <c r="R86" s="163"/>
      <c r="S86" s="159"/>
      <c r="T86" s="160"/>
      <c r="U86" s="65"/>
      <c r="V86" s="136"/>
      <c r="W86" s="65"/>
      <c r="X86" s="65"/>
      <c r="Y86" s="65"/>
      <c r="Z86" s="164"/>
      <c r="AA86" s="165"/>
      <c r="AB86" s="166"/>
      <c r="AC86" s="166"/>
      <c r="AD86" s="166"/>
      <c r="AE86" s="166"/>
      <c r="AF86" s="166"/>
      <c r="AG86" s="166"/>
      <c r="AH86" s="166"/>
      <c r="AK86" s="167"/>
      <c r="AL86" s="167"/>
    </row>
    <row r="87" s="63" customFormat="1" customHeight="1" spans="1:38">
      <c r="A87" s="124"/>
      <c r="B87" s="124"/>
      <c r="C87" s="124"/>
      <c r="D87" s="125"/>
      <c r="E87" s="125"/>
      <c r="F87" s="125"/>
      <c r="G87" s="125"/>
      <c r="H87" s="125"/>
      <c r="I87" s="125"/>
      <c r="J87" s="125"/>
      <c r="K87" s="65"/>
      <c r="L87" s="124"/>
      <c r="M87" s="129"/>
      <c r="N87" s="156"/>
      <c r="O87" s="124"/>
      <c r="P87" s="157"/>
      <c r="Q87" s="157"/>
      <c r="R87" s="163"/>
      <c r="S87" s="159"/>
      <c r="T87" s="160"/>
      <c r="U87" s="65"/>
      <c r="V87" s="136"/>
      <c r="W87" s="65"/>
      <c r="X87" s="65"/>
      <c r="Y87" s="65"/>
      <c r="Z87" s="164"/>
      <c r="AA87" s="165"/>
      <c r="AB87" s="166"/>
      <c r="AC87" s="166"/>
      <c r="AD87" s="166"/>
      <c r="AE87" s="166"/>
      <c r="AF87" s="166"/>
      <c r="AG87" s="166"/>
      <c r="AH87" s="166"/>
      <c r="AK87" s="167"/>
      <c r="AL87" s="167"/>
    </row>
    <row r="88" s="63" customFormat="1" customHeight="1" spans="1:38">
      <c r="A88" s="124"/>
      <c r="B88" s="124"/>
      <c r="C88" s="124"/>
      <c r="D88" s="125"/>
      <c r="E88" s="125"/>
      <c r="F88" s="125"/>
      <c r="G88" s="125"/>
      <c r="H88" s="125"/>
      <c r="I88" s="125"/>
      <c r="J88" s="125"/>
      <c r="K88" s="65"/>
      <c r="L88" s="124"/>
      <c r="M88" s="129"/>
      <c r="N88" s="156"/>
      <c r="O88" s="124"/>
      <c r="P88" s="157"/>
      <c r="Q88" s="157"/>
      <c r="R88" s="163"/>
      <c r="S88" s="159"/>
      <c r="T88" s="160"/>
      <c r="U88" s="65"/>
      <c r="V88" s="136"/>
      <c r="W88" s="65"/>
      <c r="X88" s="65"/>
      <c r="Y88" s="65"/>
      <c r="Z88" s="164"/>
      <c r="AA88" s="165"/>
      <c r="AB88" s="166"/>
      <c r="AC88" s="166"/>
      <c r="AD88" s="166"/>
      <c r="AE88" s="166"/>
      <c r="AF88" s="166"/>
      <c r="AG88" s="166"/>
      <c r="AH88" s="166"/>
      <c r="AK88" s="167"/>
      <c r="AL88" s="167"/>
    </row>
    <row r="89" s="63" customFormat="1" customHeight="1" spans="1:38">
      <c r="A89" s="124"/>
      <c r="B89" s="124"/>
      <c r="C89" s="124"/>
      <c r="D89" s="125"/>
      <c r="E89" s="125"/>
      <c r="F89" s="125"/>
      <c r="G89" s="125"/>
      <c r="H89" s="125"/>
      <c r="I89" s="125"/>
      <c r="J89" s="125"/>
      <c r="K89" s="65"/>
      <c r="L89" s="124"/>
      <c r="M89" s="129"/>
      <c r="N89" s="156"/>
      <c r="O89" s="124"/>
      <c r="P89" s="157"/>
      <c r="Q89" s="157"/>
      <c r="R89" s="163"/>
      <c r="S89" s="159"/>
      <c r="T89" s="160"/>
      <c r="U89" s="65"/>
      <c r="V89" s="136"/>
      <c r="W89" s="65"/>
      <c r="X89" s="65"/>
      <c r="Y89" s="65"/>
      <c r="Z89" s="164"/>
      <c r="AA89" s="165"/>
      <c r="AB89" s="166"/>
      <c r="AC89" s="166"/>
      <c r="AD89" s="166"/>
      <c r="AE89" s="166"/>
      <c r="AF89" s="166"/>
      <c r="AG89" s="166"/>
      <c r="AH89" s="166"/>
      <c r="AK89" s="167"/>
      <c r="AL89" s="167"/>
    </row>
    <row r="90" s="63" customFormat="1" customHeight="1" spans="1:38">
      <c r="A90" s="124"/>
      <c r="B90" s="124"/>
      <c r="C90" s="124"/>
      <c r="D90" s="125"/>
      <c r="E90" s="125"/>
      <c r="F90" s="125"/>
      <c r="G90" s="125"/>
      <c r="H90" s="125"/>
      <c r="I90" s="125"/>
      <c r="J90" s="125"/>
      <c r="K90" s="65"/>
      <c r="L90" s="124"/>
      <c r="M90" s="129"/>
      <c r="N90" s="156"/>
      <c r="O90" s="124"/>
      <c r="P90" s="157"/>
      <c r="Q90" s="157"/>
      <c r="R90" s="163"/>
      <c r="S90" s="159"/>
      <c r="T90" s="160"/>
      <c r="U90" s="65"/>
      <c r="V90" s="136"/>
      <c r="W90" s="65"/>
      <c r="X90" s="65"/>
      <c r="Y90" s="65"/>
      <c r="Z90" s="164"/>
      <c r="AA90" s="165"/>
      <c r="AB90" s="166"/>
      <c r="AC90" s="166"/>
      <c r="AD90" s="166"/>
      <c r="AE90" s="166"/>
      <c r="AF90" s="166"/>
      <c r="AG90" s="166"/>
      <c r="AH90" s="166"/>
      <c r="AK90" s="167"/>
      <c r="AL90" s="167"/>
    </row>
    <row r="91" s="63" customFormat="1" customHeight="1" spans="1:38">
      <c r="A91" s="124"/>
      <c r="B91" s="124"/>
      <c r="C91" s="124"/>
      <c r="D91" s="125"/>
      <c r="E91" s="125"/>
      <c r="F91" s="125"/>
      <c r="G91" s="125"/>
      <c r="H91" s="125"/>
      <c r="I91" s="125"/>
      <c r="J91" s="125"/>
      <c r="K91" s="65"/>
      <c r="L91" s="124"/>
      <c r="M91" s="129"/>
      <c r="N91" s="156"/>
      <c r="O91" s="124"/>
      <c r="P91" s="157"/>
      <c r="Q91" s="157"/>
      <c r="R91" s="163"/>
      <c r="S91" s="159"/>
      <c r="T91" s="160"/>
      <c r="U91" s="65"/>
      <c r="V91" s="136"/>
      <c r="W91" s="65"/>
      <c r="X91" s="65"/>
      <c r="Y91" s="65"/>
      <c r="Z91" s="164"/>
      <c r="AA91" s="165"/>
      <c r="AB91" s="166"/>
      <c r="AC91" s="166"/>
      <c r="AD91" s="166"/>
      <c r="AE91" s="166"/>
      <c r="AF91" s="166"/>
      <c r="AG91" s="166"/>
      <c r="AH91" s="166"/>
      <c r="AK91" s="167"/>
      <c r="AL91" s="167"/>
    </row>
    <row r="92" s="63" customFormat="1" customHeight="1" spans="1:38">
      <c r="A92" s="124"/>
      <c r="B92" s="124"/>
      <c r="C92" s="124"/>
      <c r="D92" s="125"/>
      <c r="E92" s="125"/>
      <c r="F92" s="125"/>
      <c r="G92" s="125"/>
      <c r="H92" s="125"/>
      <c r="I92" s="125"/>
      <c r="J92" s="125"/>
      <c r="K92" s="65"/>
      <c r="L92" s="124"/>
      <c r="M92" s="129"/>
      <c r="N92" s="156"/>
      <c r="O92" s="124"/>
      <c r="P92" s="157"/>
      <c r="Q92" s="157"/>
      <c r="R92" s="163"/>
      <c r="S92" s="159"/>
      <c r="T92" s="160"/>
      <c r="U92" s="65"/>
      <c r="V92" s="136"/>
      <c r="W92" s="65"/>
      <c r="X92" s="65"/>
      <c r="Y92" s="65"/>
      <c r="Z92" s="164"/>
      <c r="AA92" s="165"/>
      <c r="AB92" s="166"/>
      <c r="AC92" s="166"/>
      <c r="AD92" s="166"/>
      <c r="AE92" s="166"/>
      <c r="AF92" s="166"/>
      <c r="AG92" s="166"/>
      <c r="AH92" s="166"/>
      <c r="AK92" s="167"/>
      <c r="AL92" s="167"/>
    </row>
    <row r="93" s="63" customFormat="1" customHeight="1" spans="1:38">
      <c r="A93" s="124"/>
      <c r="B93" s="124"/>
      <c r="C93" s="124"/>
      <c r="D93" s="125"/>
      <c r="E93" s="125"/>
      <c r="F93" s="125"/>
      <c r="G93" s="125"/>
      <c r="H93" s="125"/>
      <c r="I93" s="125"/>
      <c r="J93" s="125"/>
      <c r="K93" s="65"/>
      <c r="L93" s="124"/>
      <c r="M93" s="129"/>
      <c r="N93" s="156"/>
      <c r="O93" s="124"/>
      <c r="P93" s="157"/>
      <c r="Q93" s="157"/>
      <c r="R93" s="163"/>
      <c r="S93" s="159"/>
      <c r="T93" s="160"/>
      <c r="U93" s="65"/>
      <c r="V93" s="136"/>
      <c r="W93" s="65"/>
      <c r="X93" s="65"/>
      <c r="Y93" s="65"/>
      <c r="Z93" s="164"/>
      <c r="AA93" s="165"/>
      <c r="AB93" s="166"/>
      <c r="AC93" s="166"/>
      <c r="AD93" s="166"/>
      <c r="AE93" s="166"/>
      <c r="AF93" s="166"/>
      <c r="AG93" s="166"/>
      <c r="AH93" s="166"/>
      <c r="AK93" s="167"/>
      <c r="AL93" s="167"/>
    </row>
    <row r="94" s="63" customFormat="1" customHeight="1" spans="1:38">
      <c r="A94" s="124"/>
      <c r="B94" s="124"/>
      <c r="C94" s="124"/>
      <c r="D94" s="125"/>
      <c r="E94" s="125"/>
      <c r="F94" s="125"/>
      <c r="G94" s="125"/>
      <c r="H94" s="125"/>
      <c r="I94" s="125"/>
      <c r="J94" s="125"/>
      <c r="K94" s="65"/>
      <c r="L94" s="124"/>
      <c r="M94" s="129"/>
      <c r="N94" s="156"/>
      <c r="O94" s="124"/>
      <c r="P94" s="157"/>
      <c r="Q94" s="157"/>
      <c r="R94" s="163"/>
      <c r="S94" s="159"/>
      <c r="T94" s="160"/>
      <c r="U94" s="65"/>
      <c r="V94" s="136"/>
      <c r="W94" s="65"/>
      <c r="X94" s="65"/>
      <c r="Y94" s="65"/>
      <c r="Z94" s="164"/>
      <c r="AA94" s="165"/>
      <c r="AB94" s="166"/>
      <c r="AC94" s="166"/>
      <c r="AD94" s="166"/>
      <c r="AE94" s="166"/>
      <c r="AF94" s="166"/>
      <c r="AG94" s="166"/>
      <c r="AH94" s="166"/>
      <c r="AK94" s="167"/>
      <c r="AL94" s="167"/>
    </row>
    <row r="95" s="64" customFormat="1" customHeight="1" spans="1:38">
      <c r="A95" s="168"/>
      <c r="B95" s="168"/>
      <c r="C95" s="168"/>
      <c r="D95" s="169"/>
      <c r="E95" s="169"/>
      <c r="F95" s="169"/>
      <c r="G95" s="169"/>
      <c r="H95" s="169"/>
      <c r="I95" s="169"/>
      <c r="J95" s="169"/>
      <c r="K95" s="170"/>
      <c r="L95" s="168"/>
      <c r="M95" s="171"/>
      <c r="N95" s="172"/>
      <c r="O95" s="168"/>
      <c r="P95" s="173"/>
      <c r="Q95" s="173"/>
      <c r="R95" s="174"/>
      <c r="S95" s="175"/>
      <c r="T95" s="176"/>
      <c r="U95" s="170"/>
      <c r="V95" s="177"/>
      <c r="W95" s="170"/>
      <c r="X95" s="170"/>
      <c r="Y95" s="170"/>
      <c r="Z95" s="178"/>
      <c r="AA95" s="179"/>
      <c r="AB95" s="180"/>
      <c r="AC95" s="180"/>
      <c r="AD95" s="180"/>
      <c r="AE95" s="180"/>
      <c r="AF95" s="180"/>
      <c r="AG95" s="180"/>
      <c r="AH95" s="180"/>
      <c r="AK95" s="38"/>
      <c r="AL95" s="38"/>
    </row>
    <row r="96" s="64" customFormat="1" customHeight="1" spans="1:38">
      <c r="A96" s="168"/>
      <c r="B96" s="168"/>
      <c r="C96" s="168"/>
      <c r="D96" s="169"/>
      <c r="E96" s="169"/>
      <c r="F96" s="169"/>
      <c r="G96" s="169"/>
      <c r="H96" s="169"/>
      <c r="I96" s="169"/>
      <c r="J96" s="169"/>
      <c r="K96" s="170"/>
      <c r="L96" s="168"/>
      <c r="M96" s="171"/>
      <c r="N96" s="172"/>
      <c r="O96" s="168"/>
      <c r="P96" s="173"/>
      <c r="Q96" s="173"/>
      <c r="R96" s="174"/>
      <c r="S96" s="175"/>
      <c r="T96" s="176"/>
      <c r="U96" s="170"/>
      <c r="V96" s="177"/>
      <c r="W96" s="170"/>
      <c r="X96" s="170"/>
      <c r="Y96" s="170"/>
      <c r="Z96" s="178"/>
      <c r="AA96" s="179"/>
      <c r="AB96" s="180"/>
      <c r="AC96" s="180"/>
      <c r="AD96" s="180"/>
      <c r="AE96" s="180"/>
      <c r="AF96" s="180"/>
      <c r="AG96" s="180"/>
      <c r="AH96" s="180"/>
      <c r="AK96" s="38"/>
      <c r="AL96" s="38"/>
    </row>
    <row r="97" s="64" customFormat="1" customHeight="1" spans="1:38">
      <c r="A97" s="168"/>
      <c r="B97" s="168"/>
      <c r="C97" s="168"/>
      <c r="D97" s="169"/>
      <c r="E97" s="169"/>
      <c r="F97" s="169"/>
      <c r="G97" s="169"/>
      <c r="H97" s="169"/>
      <c r="I97" s="169"/>
      <c r="J97" s="169"/>
      <c r="K97" s="170"/>
      <c r="L97" s="168"/>
      <c r="M97" s="171"/>
      <c r="N97" s="172"/>
      <c r="O97" s="168"/>
      <c r="P97" s="173"/>
      <c r="Q97" s="173"/>
      <c r="R97" s="174"/>
      <c r="S97" s="175"/>
      <c r="T97" s="176"/>
      <c r="U97" s="170"/>
      <c r="V97" s="177"/>
      <c r="W97" s="170"/>
      <c r="X97" s="170"/>
      <c r="Y97" s="170"/>
      <c r="Z97" s="178"/>
      <c r="AA97" s="179"/>
      <c r="AB97" s="180"/>
      <c r="AC97" s="180"/>
      <c r="AD97" s="180"/>
      <c r="AE97" s="180"/>
      <c r="AF97" s="180"/>
      <c r="AG97" s="180"/>
      <c r="AH97" s="180"/>
      <c r="AK97" s="38"/>
      <c r="AL97" s="38"/>
    </row>
    <row r="98" s="64" customFormat="1" customHeight="1" spans="1:38">
      <c r="A98" s="168"/>
      <c r="B98" s="168"/>
      <c r="C98" s="168"/>
      <c r="D98" s="169"/>
      <c r="E98" s="169"/>
      <c r="F98" s="169"/>
      <c r="G98" s="169"/>
      <c r="H98" s="169"/>
      <c r="I98" s="169"/>
      <c r="J98" s="169"/>
      <c r="K98" s="170"/>
      <c r="L98" s="168"/>
      <c r="M98" s="171"/>
      <c r="N98" s="172"/>
      <c r="O98" s="168"/>
      <c r="P98" s="173"/>
      <c r="Q98" s="173"/>
      <c r="R98" s="174"/>
      <c r="S98" s="175"/>
      <c r="T98" s="176"/>
      <c r="U98" s="170"/>
      <c r="V98" s="177"/>
      <c r="W98" s="170"/>
      <c r="X98" s="170"/>
      <c r="Y98" s="170"/>
      <c r="Z98" s="178"/>
      <c r="AA98" s="179"/>
      <c r="AB98" s="180"/>
      <c r="AC98" s="180"/>
      <c r="AD98" s="180"/>
      <c r="AE98" s="180"/>
      <c r="AF98" s="180"/>
      <c r="AG98" s="180"/>
      <c r="AH98" s="180"/>
      <c r="AK98" s="38"/>
      <c r="AL98" s="38"/>
    </row>
    <row r="99" s="64" customFormat="1" customHeight="1" spans="1:38">
      <c r="A99" s="168"/>
      <c r="B99" s="168"/>
      <c r="C99" s="168"/>
      <c r="D99" s="169"/>
      <c r="E99" s="169"/>
      <c r="F99" s="169"/>
      <c r="G99" s="169"/>
      <c r="H99" s="169"/>
      <c r="I99" s="169"/>
      <c r="J99" s="169"/>
      <c r="K99" s="170"/>
      <c r="L99" s="168"/>
      <c r="M99" s="171"/>
      <c r="N99" s="172"/>
      <c r="O99" s="168"/>
      <c r="P99" s="173"/>
      <c r="Q99" s="173"/>
      <c r="R99" s="174"/>
      <c r="S99" s="175"/>
      <c r="T99" s="176"/>
      <c r="U99" s="170"/>
      <c r="V99" s="177"/>
      <c r="W99" s="170"/>
      <c r="X99" s="170"/>
      <c r="Y99" s="170"/>
      <c r="Z99" s="178"/>
      <c r="AA99" s="179"/>
      <c r="AB99" s="180"/>
      <c r="AC99" s="180"/>
      <c r="AD99" s="180"/>
      <c r="AE99" s="180"/>
      <c r="AF99" s="180"/>
      <c r="AG99" s="180"/>
      <c r="AH99" s="180"/>
      <c r="AK99" s="38"/>
      <c r="AL99" s="38"/>
    </row>
    <row r="100" s="64" customFormat="1" customHeight="1" spans="1:38">
      <c r="A100" s="168"/>
      <c r="B100" s="168"/>
      <c r="C100" s="168"/>
      <c r="D100" s="169"/>
      <c r="E100" s="169"/>
      <c r="F100" s="169"/>
      <c r="G100" s="169"/>
      <c r="H100" s="169"/>
      <c r="I100" s="169"/>
      <c r="J100" s="169"/>
      <c r="K100" s="170"/>
      <c r="L100" s="168"/>
      <c r="M100" s="171"/>
      <c r="N100" s="172"/>
      <c r="O100" s="168"/>
      <c r="P100" s="173"/>
      <c r="Q100" s="173"/>
      <c r="R100" s="174"/>
      <c r="S100" s="175"/>
      <c r="T100" s="176"/>
      <c r="U100" s="170"/>
      <c r="V100" s="177"/>
      <c r="W100" s="170"/>
      <c r="X100" s="170"/>
      <c r="Y100" s="170"/>
      <c r="Z100" s="178"/>
      <c r="AA100" s="179"/>
      <c r="AB100" s="180"/>
      <c r="AC100" s="180"/>
      <c r="AD100" s="180"/>
      <c r="AE100" s="180"/>
      <c r="AF100" s="180"/>
      <c r="AG100" s="180"/>
      <c r="AH100" s="180"/>
      <c r="AK100" s="38"/>
      <c r="AL100" s="38"/>
    </row>
    <row r="101" s="64" customFormat="1" customHeight="1" spans="1:38">
      <c r="A101" s="168"/>
      <c r="B101" s="168"/>
      <c r="C101" s="168"/>
      <c r="D101" s="169"/>
      <c r="E101" s="169"/>
      <c r="F101" s="169"/>
      <c r="G101" s="169"/>
      <c r="H101" s="169"/>
      <c r="I101" s="169"/>
      <c r="J101" s="169"/>
      <c r="K101" s="170"/>
      <c r="L101" s="168"/>
      <c r="M101" s="171"/>
      <c r="N101" s="172"/>
      <c r="O101" s="168"/>
      <c r="P101" s="173"/>
      <c r="Q101" s="173"/>
      <c r="R101" s="174"/>
      <c r="S101" s="175"/>
      <c r="T101" s="176"/>
      <c r="U101" s="170"/>
      <c r="V101" s="177"/>
      <c r="W101" s="170"/>
      <c r="X101" s="170"/>
      <c r="Y101" s="170"/>
      <c r="Z101" s="178"/>
      <c r="AA101" s="179"/>
      <c r="AB101" s="180"/>
      <c r="AC101" s="180"/>
      <c r="AD101" s="180"/>
      <c r="AE101" s="180"/>
      <c r="AF101" s="180"/>
      <c r="AG101" s="180"/>
      <c r="AH101" s="180"/>
      <c r="AK101" s="38"/>
      <c r="AL101" s="38"/>
    </row>
  </sheetData>
  <sheetProtection formatCells="0" formatColumns="0" formatRows="0" insertRows="0" insertColumns="0" insertHyperlinks="0" deleteColumns="0" deleteRows="0" sort="0" autoFilter="0" pivotTables="0"/>
  <mergeCells count="5">
    <mergeCell ref="B47:C47"/>
    <mergeCell ref="B48:C48"/>
    <mergeCell ref="B49:C49"/>
    <mergeCell ref="B50:C50"/>
    <mergeCell ref="B51:C5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D38" sqref="D38"/>
    </sheetView>
  </sheetViews>
  <sheetFormatPr defaultColWidth="8.89166666666667" defaultRowHeight="13.5" outlineLevelCol="2"/>
  <cols>
    <col min="1" max="1" width="11.8916666666667" customWidth="1"/>
    <col min="2" max="2" width="16.4416666666667" customWidth="1"/>
    <col min="3" max="3" width="6.66666666666667" customWidth="1"/>
  </cols>
  <sheetData>
    <row r="1" ht="14.25" spans="1:3">
      <c r="A1" s="56" t="s">
        <v>14</v>
      </c>
      <c r="B1" s="57" t="s">
        <v>15</v>
      </c>
      <c r="C1" s="57" t="s">
        <v>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workbookViewId="0">
      <selection activeCell="D43" sqref="D43"/>
    </sheetView>
  </sheetViews>
  <sheetFormatPr defaultColWidth="8.9" defaultRowHeight="13.5"/>
  <cols>
    <col min="1" max="1" width="14.2416666666667" style="50" customWidth="1"/>
    <col min="2" max="11" width="11.3333333333333" style="50" customWidth="1"/>
    <col min="12" max="12" width="12.6666666666667" style="50" customWidth="1"/>
    <col min="13" max="13" width="11.9" style="50"/>
    <col min="14" max="14" width="12.6666666666667" style="50" customWidth="1"/>
    <col min="15" max="15" width="7.66666666666667" style="50" customWidth="1"/>
    <col min="16" max="16" width="12.6666666666667" style="50" customWidth="1"/>
    <col min="17" max="17" width="8.225" style="50" customWidth="1"/>
    <col min="18" max="18" width="24.5583333333333" style="39" customWidth="1"/>
    <col min="19" max="16384" width="8.9" style="39"/>
  </cols>
  <sheetData>
    <row r="1" s="39" customFormat="1" ht="36" customHeight="1" spans="1:18">
      <c r="A1" s="51" t="s">
        <v>104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2" t="s">
        <v>105</v>
      </c>
      <c r="B2" s="47" t="s">
        <v>106</v>
      </c>
      <c r="C2" s="52" t="s">
        <v>107</v>
      </c>
      <c r="D2" s="52" t="s">
        <v>108</v>
      </c>
      <c r="E2" s="52" t="s">
        <v>109</v>
      </c>
      <c r="F2" s="53" t="s">
        <v>110</v>
      </c>
      <c r="G2" s="53" t="s">
        <v>111</v>
      </c>
      <c r="H2" s="52" t="s">
        <v>112</v>
      </c>
      <c r="I2" s="52" t="s">
        <v>113</v>
      </c>
      <c r="J2" s="52" t="s">
        <v>114</v>
      </c>
      <c r="K2" s="52" t="s">
        <v>115</v>
      </c>
      <c r="L2" s="52" t="s">
        <v>116</v>
      </c>
      <c r="M2" s="52" t="s">
        <v>117</v>
      </c>
      <c r="N2" s="52" t="s">
        <v>118</v>
      </c>
      <c r="O2" s="52"/>
      <c r="P2" s="52" t="s">
        <v>119</v>
      </c>
      <c r="Q2" s="52"/>
      <c r="R2" s="54" t="s">
        <v>27</v>
      </c>
    </row>
    <row r="3" spans="1:18">
      <c r="A3" s="52" t="s">
        <v>120</v>
      </c>
      <c r="B3" s="55">
        <v>28200</v>
      </c>
      <c r="C3" s="55">
        <v>22200</v>
      </c>
      <c r="D3" s="55">
        <v>4590</v>
      </c>
      <c r="E3" s="55"/>
      <c r="F3" s="55"/>
      <c r="G3" s="55"/>
      <c r="H3" s="55"/>
      <c r="I3" s="55"/>
      <c r="J3" s="55"/>
      <c r="K3" s="55"/>
      <c r="L3" s="55"/>
      <c r="M3" s="50">
        <f t="shared" ref="M3:M14" si="0">SUM(B3:L3)</f>
        <v>54990</v>
      </c>
    </row>
    <row r="4" spans="1:18">
      <c r="A4" s="52" t="s">
        <v>121</v>
      </c>
      <c r="B4" s="55">
        <v>15600</v>
      </c>
      <c r="C4" s="55">
        <v>22200</v>
      </c>
      <c r="D4" s="55">
        <v>6270</v>
      </c>
      <c r="E4" s="55">
        <v>3564</v>
      </c>
      <c r="F4" s="55"/>
      <c r="G4" s="55"/>
      <c r="H4" s="55"/>
      <c r="I4" s="55">
        <v>4368</v>
      </c>
      <c r="J4" s="55"/>
      <c r="K4" s="55"/>
      <c r="L4" s="55"/>
      <c r="M4" s="50">
        <f t="shared" si="0"/>
        <v>52002</v>
      </c>
    </row>
    <row r="5" spans="1:18">
      <c r="A5" s="52" t="s">
        <v>122</v>
      </c>
      <c r="B5" s="55">
        <v>53100</v>
      </c>
      <c r="C5" s="55">
        <v>41304</v>
      </c>
      <c r="D5" s="55"/>
      <c r="E5" s="55"/>
      <c r="F5" s="55">
        <v>7008</v>
      </c>
      <c r="G5" s="55"/>
      <c r="H5" s="55"/>
      <c r="I5" s="55"/>
      <c r="J5" s="55"/>
      <c r="K5" s="55"/>
      <c r="L5" s="55"/>
      <c r="M5" s="50">
        <f t="shared" si="0"/>
        <v>101412</v>
      </c>
    </row>
    <row r="6" spans="1:18">
      <c r="A6" s="52" t="s">
        <v>123</v>
      </c>
      <c r="B6" s="55">
        <v>76020</v>
      </c>
      <c r="C6" s="55">
        <v>22200</v>
      </c>
      <c r="D6" s="55"/>
      <c r="E6" s="55"/>
      <c r="F6" s="55">
        <v>34968</v>
      </c>
      <c r="G6" s="55"/>
      <c r="H6" s="55"/>
      <c r="I6" s="55"/>
      <c r="J6" s="55"/>
      <c r="K6" s="55"/>
      <c r="L6" s="55"/>
      <c r="M6" s="50">
        <f t="shared" si="0"/>
        <v>133188</v>
      </c>
    </row>
    <row r="7" spans="1:18">
      <c r="A7" s="52" t="s">
        <v>124</v>
      </c>
      <c r="B7" s="55">
        <v>55134</v>
      </c>
      <c r="C7" s="55">
        <v>15552</v>
      </c>
      <c r="D7" s="55">
        <v>7320</v>
      </c>
      <c r="E7" s="55">
        <v>10956</v>
      </c>
      <c r="F7" s="55">
        <v>14004</v>
      </c>
      <c r="G7" s="55"/>
      <c r="H7" s="55">
        <v>888</v>
      </c>
      <c r="I7" s="55"/>
      <c r="J7" s="55">
        <v>11520</v>
      </c>
      <c r="K7" s="55">
        <v>10240</v>
      </c>
      <c r="L7" s="55"/>
      <c r="M7" s="50">
        <f t="shared" si="0"/>
        <v>125614</v>
      </c>
    </row>
    <row r="8" spans="1:18">
      <c r="A8" s="52" t="s">
        <v>125</v>
      </c>
      <c r="B8" s="55">
        <v>131007</v>
      </c>
      <c r="C8" s="55">
        <v>18504</v>
      </c>
      <c r="D8" s="55">
        <v>4920</v>
      </c>
      <c r="E8" s="55">
        <v>9720</v>
      </c>
      <c r="F8" s="55">
        <v>9000</v>
      </c>
      <c r="G8" s="55">
        <v>53928</v>
      </c>
      <c r="H8" s="55">
        <v>5010</v>
      </c>
      <c r="I8" s="55"/>
      <c r="J8" s="55">
        <v>15000</v>
      </c>
      <c r="K8" s="55"/>
      <c r="L8" s="55"/>
      <c r="M8" s="50">
        <f t="shared" si="0"/>
        <v>247089</v>
      </c>
    </row>
    <row r="9" spans="1:18">
      <c r="A9" s="52" t="s">
        <v>126</v>
      </c>
      <c r="B9" s="55">
        <v>75888</v>
      </c>
      <c r="C9" s="55">
        <v>54300</v>
      </c>
      <c r="D9" s="55">
        <v>12000</v>
      </c>
      <c r="E9" s="55">
        <v>5460</v>
      </c>
      <c r="F9" s="55">
        <v>34458</v>
      </c>
      <c r="G9" s="55">
        <v>59976</v>
      </c>
      <c r="H9" s="55"/>
      <c r="I9" s="55"/>
      <c r="J9" s="55"/>
      <c r="K9" s="55"/>
      <c r="L9" s="55">
        <v>8250</v>
      </c>
      <c r="M9" s="50">
        <f t="shared" si="0"/>
        <v>250332</v>
      </c>
    </row>
    <row r="10" spans="1:18">
      <c r="A10" s="52" t="s">
        <v>127</v>
      </c>
      <c r="B10" s="55">
        <v>37818</v>
      </c>
      <c r="C10" s="55">
        <v>36606</v>
      </c>
      <c r="D10" s="55">
        <v>34710</v>
      </c>
      <c r="E10" s="55">
        <v>10284</v>
      </c>
      <c r="F10" s="55">
        <v>35508</v>
      </c>
      <c r="G10" s="55">
        <v>11292</v>
      </c>
      <c r="H10" s="55">
        <v>2592</v>
      </c>
      <c r="I10" s="55"/>
      <c r="J10" s="55"/>
      <c r="K10" s="55"/>
      <c r="L10" s="55">
        <v>3702</v>
      </c>
      <c r="M10" s="50">
        <f t="shared" si="0"/>
        <v>172512</v>
      </c>
    </row>
    <row r="11" spans="1:18">
      <c r="A11" s="52" t="s">
        <v>128</v>
      </c>
      <c r="B11" s="55">
        <v>61518</v>
      </c>
      <c r="C11" s="55">
        <v>43530</v>
      </c>
      <c r="D11" s="55">
        <v>5520</v>
      </c>
      <c r="E11" s="55">
        <v>5400</v>
      </c>
      <c r="F11" s="55">
        <v>1500</v>
      </c>
      <c r="G11" s="55">
        <v>30036</v>
      </c>
      <c r="H11" s="55">
        <v>3408</v>
      </c>
      <c r="I11" s="55"/>
      <c r="J11" s="55"/>
      <c r="K11" s="55"/>
      <c r="L11" s="55"/>
      <c r="M11" s="50">
        <f t="shared" si="0"/>
        <v>150912</v>
      </c>
    </row>
    <row r="12" spans="1:18">
      <c r="A12" s="52" t="s">
        <v>129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0">
        <f t="shared" si="0"/>
        <v>0</v>
      </c>
    </row>
    <row r="13" spans="1:18">
      <c r="A13" s="52" t="s">
        <v>130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0">
        <f t="shared" si="0"/>
        <v>0</v>
      </c>
    </row>
    <row r="14" spans="1:18">
      <c r="A14" s="52" t="s">
        <v>131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0">
        <f t="shared" si="0"/>
        <v>0</v>
      </c>
    </row>
    <row r="15" spans="1:18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r="16" spans="1:18">
      <c r="A16" s="52" t="s">
        <v>97</v>
      </c>
      <c r="B16" s="55">
        <f t="shared" ref="B16:L16" si="1">SUM(B3:B15)</f>
        <v>534285</v>
      </c>
      <c r="C16" s="55">
        <f t="shared" si="1"/>
        <v>276396</v>
      </c>
      <c r="D16" s="55">
        <f t="shared" si="1"/>
        <v>75330</v>
      </c>
      <c r="E16" s="55">
        <f t="shared" si="1"/>
        <v>45384</v>
      </c>
      <c r="F16" s="55">
        <f t="shared" si="1"/>
        <v>136446</v>
      </c>
      <c r="G16" s="55">
        <f t="shared" si="1"/>
        <v>155232</v>
      </c>
      <c r="H16" s="55">
        <f t="shared" si="1"/>
        <v>11898</v>
      </c>
      <c r="I16" s="55">
        <f t="shared" si="1"/>
        <v>4368</v>
      </c>
      <c r="J16" s="55">
        <f t="shared" si="1"/>
        <v>26520</v>
      </c>
      <c r="K16" s="55">
        <f t="shared" si="1"/>
        <v>10240</v>
      </c>
      <c r="L16" s="55">
        <f t="shared" si="1"/>
        <v>11952</v>
      </c>
      <c r="M16" s="55">
        <f>SUM(B16:L16)</f>
        <v>1288051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R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5"/>
  <sheetViews>
    <sheetView topLeftCell="A12" workbookViewId="0">
      <selection activeCell="D43" sqref="D43"/>
    </sheetView>
  </sheetViews>
  <sheetFormatPr defaultColWidth="8.9" defaultRowHeight="13.5"/>
  <cols>
    <col min="1" max="1" width="12" style="38" customWidth="1"/>
    <col min="2" max="2" width="8.9" style="38"/>
    <col min="3" max="5" width="9.66666666666667" style="38"/>
    <col min="6" max="6" width="12.3333333333333" style="38" customWidth="1"/>
    <col min="7" max="7" width="8.9" style="38"/>
    <col min="8" max="8" width="9.66666666666667" style="38"/>
    <col min="9" max="13" width="8.9" style="38"/>
    <col min="14" max="14" width="12.9" style="38" customWidth="1"/>
    <col min="15" max="15" width="12.9" style="38"/>
    <col min="16" max="16" width="8.9" style="38"/>
    <col min="17" max="17" width="14.1" style="38"/>
    <col min="18" max="18" width="31.225" style="38" customWidth="1"/>
    <col min="19" max="16384" width="8.9" style="39"/>
  </cols>
  <sheetData>
    <row r="1" s="34" customFormat="1" ht="30" customHeight="1" spans="1:18">
      <c r="A1" s="40" t="s">
        <v>132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="35" customFormat="1" spans="1:18">
      <c r="A2" s="42" t="s">
        <v>133</v>
      </c>
      <c r="B2" s="43" t="s">
        <v>134</v>
      </c>
      <c r="C2" s="43" t="s">
        <v>107</v>
      </c>
      <c r="D2" s="43" t="s">
        <v>108</v>
      </c>
      <c r="E2" s="43" t="s">
        <v>109</v>
      </c>
      <c r="F2" s="44" t="s">
        <v>135</v>
      </c>
      <c r="G2" s="44"/>
      <c r="H2" s="43" t="s">
        <v>112</v>
      </c>
      <c r="I2" s="43" t="s">
        <v>113</v>
      </c>
      <c r="J2" s="43" t="s">
        <v>114</v>
      </c>
      <c r="K2" s="43" t="s">
        <v>115</v>
      </c>
      <c r="L2" s="43" t="s">
        <v>116</v>
      </c>
      <c r="M2" s="43" t="s">
        <v>117</v>
      </c>
      <c r="N2" s="43" t="s">
        <v>136</v>
      </c>
      <c r="O2" s="43"/>
      <c r="P2" s="43" t="s">
        <v>119</v>
      </c>
      <c r="Q2" s="43"/>
      <c r="R2" s="43" t="s">
        <v>27</v>
      </c>
    </row>
    <row r="3" s="35" customFormat="1" spans="1:18">
      <c r="A3" s="43" t="s">
        <v>120</v>
      </c>
      <c r="B3" s="36">
        <v>26.7</v>
      </c>
      <c r="C3" s="36">
        <v>35.8</v>
      </c>
      <c r="D3" s="36">
        <v>20</v>
      </c>
      <c r="E3" s="36">
        <v>6</v>
      </c>
      <c r="F3" s="36"/>
      <c r="G3" s="36"/>
      <c r="H3" s="36">
        <v>44</v>
      </c>
      <c r="I3" s="36"/>
      <c r="J3" s="36">
        <v>19</v>
      </c>
      <c r="K3" s="36"/>
      <c r="L3" s="36"/>
      <c r="M3" s="45">
        <f t="shared" ref="M3:M14" si="0">SUM(B3:L3)</f>
        <v>151.5</v>
      </c>
      <c r="N3" s="36">
        <v>19</v>
      </c>
      <c r="O3" s="46">
        <f t="shared" ref="O3:O14" si="1">N3/M3</f>
        <v>0.125412541254125</v>
      </c>
      <c r="P3" s="36">
        <f t="shared" ref="P3:P14" si="2">M3-N3</f>
        <v>132.5</v>
      </c>
      <c r="Q3" s="46">
        <f t="shared" ref="Q3:Q14" si="3">P3/M3</f>
        <v>0.874587458745875</v>
      </c>
      <c r="R3" s="36"/>
    </row>
    <row r="4" s="35" customFormat="1" spans="1:18">
      <c r="A4" s="43" t="s">
        <v>121</v>
      </c>
      <c r="B4" s="36"/>
      <c r="C4" s="36"/>
      <c r="D4" s="36">
        <v>14.7</v>
      </c>
      <c r="E4" s="36">
        <v>6.6</v>
      </c>
      <c r="F4" s="36"/>
      <c r="G4" s="36"/>
      <c r="H4" s="36">
        <v>13</v>
      </c>
      <c r="I4" s="36"/>
      <c r="J4" s="36"/>
      <c r="K4" s="36"/>
      <c r="L4" s="36"/>
      <c r="M4" s="45">
        <f t="shared" si="0"/>
        <v>34.3</v>
      </c>
      <c r="N4" s="36"/>
      <c r="O4" s="46">
        <f t="shared" si="1"/>
        <v>0</v>
      </c>
      <c r="P4" s="36">
        <f t="shared" si="2"/>
        <v>34.3</v>
      </c>
      <c r="Q4" s="46">
        <f t="shared" si="3"/>
        <v>1</v>
      </c>
      <c r="R4" s="36"/>
    </row>
    <row r="5" s="35" customFormat="1" spans="1:18">
      <c r="A5" s="43" t="s">
        <v>122</v>
      </c>
      <c r="B5" s="36"/>
      <c r="C5" s="36"/>
      <c r="D5" s="36"/>
      <c r="E5" s="36">
        <v>8.9</v>
      </c>
      <c r="F5" s="36"/>
      <c r="G5" s="36"/>
      <c r="H5" s="36"/>
      <c r="I5" s="36"/>
      <c r="J5" s="36"/>
      <c r="K5" s="36"/>
      <c r="L5" s="36"/>
      <c r="M5" s="45">
        <f t="shared" si="0"/>
        <v>8.9</v>
      </c>
      <c r="N5" s="36"/>
      <c r="O5" s="46">
        <f t="shared" si="1"/>
        <v>0</v>
      </c>
      <c r="P5" s="36">
        <f t="shared" si="2"/>
        <v>8.9</v>
      </c>
      <c r="Q5" s="46">
        <f t="shared" si="3"/>
        <v>1</v>
      </c>
      <c r="R5" s="36"/>
    </row>
    <row r="6" s="35" customFormat="1" spans="1:18">
      <c r="A6" s="43" t="s">
        <v>123</v>
      </c>
      <c r="B6" s="36"/>
      <c r="C6" s="36"/>
      <c r="D6" s="36"/>
      <c r="E6" s="36"/>
      <c r="F6" s="36"/>
      <c r="G6" s="36"/>
      <c r="H6" s="36">
        <v>16.7</v>
      </c>
      <c r="I6" s="36"/>
      <c r="J6" s="36">
        <v>19</v>
      </c>
      <c r="K6" s="36">
        <v>3.6</v>
      </c>
      <c r="L6" s="36"/>
      <c r="M6" s="45">
        <f t="shared" si="0"/>
        <v>39.3</v>
      </c>
      <c r="N6" s="36">
        <v>22.7</v>
      </c>
      <c r="O6" s="46">
        <f t="shared" si="1"/>
        <v>0.577608142493639</v>
      </c>
      <c r="P6" s="36">
        <f t="shared" si="2"/>
        <v>16.6</v>
      </c>
      <c r="Q6" s="46">
        <f t="shared" si="3"/>
        <v>0.422391857506361</v>
      </c>
      <c r="R6" s="36"/>
    </row>
    <row r="7" s="35" customFormat="1" spans="1:18">
      <c r="A7" s="43" t="s">
        <v>124</v>
      </c>
      <c r="B7" s="36">
        <v>54.4</v>
      </c>
      <c r="C7" s="36">
        <v>37</v>
      </c>
      <c r="D7" s="36"/>
      <c r="E7" s="36">
        <v>5.9</v>
      </c>
      <c r="F7" s="36"/>
      <c r="G7" s="36"/>
      <c r="H7" s="36"/>
      <c r="I7" s="36"/>
      <c r="J7" s="36"/>
      <c r="K7" s="36"/>
      <c r="L7" s="36"/>
      <c r="M7" s="45">
        <f t="shared" si="0"/>
        <v>97.3</v>
      </c>
      <c r="N7" s="36">
        <v>26</v>
      </c>
      <c r="O7" s="46">
        <f t="shared" si="1"/>
        <v>0.2672147995889</v>
      </c>
      <c r="P7" s="36">
        <f t="shared" si="2"/>
        <v>71.3</v>
      </c>
      <c r="Q7" s="46">
        <f t="shared" si="3"/>
        <v>0.7327852004111</v>
      </c>
      <c r="R7" s="36"/>
    </row>
    <row r="8" s="35" customFormat="1" spans="1:18">
      <c r="A8" s="43" t="s">
        <v>125</v>
      </c>
      <c r="B8" s="36">
        <v>31.5</v>
      </c>
      <c r="C8" s="36">
        <v>75.2</v>
      </c>
      <c r="D8" s="36"/>
      <c r="E8" s="36">
        <v>20</v>
      </c>
      <c r="F8" s="36"/>
      <c r="G8" s="36"/>
      <c r="H8" s="36">
        <v>10.9</v>
      </c>
      <c r="I8" s="36"/>
      <c r="J8" s="36"/>
      <c r="K8" s="36"/>
      <c r="L8" s="36">
        <v>40</v>
      </c>
      <c r="M8" s="45">
        <f t="shared" si="0"/>
        <v>177.6</v>
      </c>
      <c r="N8" s="36">
        <v>104</v>
      </c>
      <c r="O8" s="46">
        <f t="shared" si="1"/>
        <v>0.585585585585586</v>
      </c>
      <c r="P8" s="36">
        <f t="shared" si="2"/>
        <v>73.6</v>
      </c>
      <c r="Q8" s="46">
        <f t="shared" si="3"/>
        <v>0.414414414414414</v>
      </c>
      <c r="R8" s="36"/>
    </row>
    <row r="9" s="35" customFormat="1" spans="1:18">
      <c r="A9" s="43" t="s">
        <v>126</v>
      </c>
      <c r="B9" s="36">
        <v>43</v>
      </c>
      <c r="C9" s="36">
        <v>17</v>
      </c>
      <c r="D9" s="36"/>
      <c r="E9" s="36">
        <v>24.9</v>
      </c>
      <c r="F9" s="36"/>
      <c r="G9" s="36"/>
      <c r="H9" s="36"/>
      <c r="I9" s="36"/>
      <c r="J9" s="36"/>
      <c r="K9" s="36"/>
      <c r="L9" s="36"/>
      <c r="M9" s="45">
        <f t="shared" si="0"/>
        <v>84.9</v>
      </c>
      <c r="N9" s="36"/>
      <c r="O9" s="46">
        <f t="shared" si="1"/>
        <v>0</v>
      </c>
      <c r="P9" s="36">
        <f t="shared" si="2"/>
        <v>84.9</v>
      </c>
      <c r="Q9" s="46">
        <f t="shared" si="3"/>
        <v>1</v>
      </c>
      <c r="R9" s="36"/>
    </row>
    <row r="10" s="35" customFormat="1" spans="1:18">
      <c r="A10" s="43" t="s">
        <v>127</v>
      </c>
      <c r="B10" s="36">
        <v>67.5</v>
      </c>
      <c r="C10" s="36">
        <v>101.6</v>
      </c>
      <c r="D10" s="36">
        <v>65.5</v>
      </c>
      <c r="E10" s="36">
        <v>20</v>
      </c>
      <c r="F10" s="36"/>
      <c r="G10" s="36"/>
      <c r="H10" s="36">
        <v>13.3</v>
      </c>
      <c r="I10" s="36"/>
      <c r="J10" s="36">
        <v>25.6</v>
      </c>
      <c r="K10" s="36"/>
      <c r="L10" s="36">
        <v>8.4</v>
      </c>
      <c r="M10" s="45">
        <f t="shared" si="0"/>
        <v>301.9</v>
      </c>
      <c r="N10" s="36">
        <v>54.5</v>
      </c>
      <c r="O10" s="46">
        <f t="shared" si="1"/>
        <v>0.180523352103345</v>
      </c>
      <c r="P10" s="36">
        <f t="shared" si="2"/>
        <v>247.4</v>
      </c>
      <c r="Q10" s="46">
        <f t="shared" si="3"/>
        <v>0.819476647896655</v>
      </c>
      <c r="R10" s="36"/>
    </row>
    <row r="11" s="35" customFormat="1" spans="1:18">
      <c r="A11" s="43" t="s">
        <v>128</v>
      </c>
      <c r="B11" s="36">
        <v>23</v>
      </c>
      <c r="C11" s="36">
        <v>135</v>
      </c>
      <c r="D11" s="36">
        <v>79</v>
      </c>
      <c r="E11" s="36">
        <v>76</v>
      </c>
      <c r="F11" s="36">
        <v>12.9</v>
      </c>
      <c r="G11" s="36"/>
      <c r="H11" s="36">
        <v>17</v>
      </c>
      <c r="I11" s="36"/>
      <c r="J11" s="36">
        <v>17.9</v>
      </c>
      <c r="K11" s="36"/>
      <c r="L11" s="36">
        <v>8</v>
      </c>
      <c r="M11" s="45">
        <f t="shared" si="0"/>
        <v>368.8</v>
      </c>
      <c r="N11" s="36">
        <v>141</v>
      </c>
      <c r="O11" s="46">
        <f t="shared" si="1"/>
        <v>0.382321041214751</v>
      </c>
      <c r="P11" s="36">
        <f t="shared" si="2"/>
        <v>227.8</v>
      </c>
      <c r="Q11" s="46">
        <f t="shared" si="3"/>
        <v>0.617678958785249</v>
      </c>
      <c r="R11" s="36"/>
    </row>
    <row r="12" s="35" customFormat="1" spans="1:18">
      <c r="A12" s="43" t="s">
        <v>129</v>
      </c>
      <c r="B12" s="36">
        <v>75.2</v>
      </c>
      <c r="C12" s="36">
        <v>117</v>
      </c>
      <c r="D12" s="36">
        <v>110</v>
      </c>
      <c r="E12" s="36">
        <v>4</v>
      </c>
      <c r="F12" s="36"/>
      <c r="G12" s="36"/>
      <c r="H12" s="36">
        <v>53</v>
      </c>
      <c r="I12" s="36">
        <v>4.8</v>
      </c>
      <c r="J12" s="36"/>
      <c r="K12" s="36">
        <v>3.7</v>
      </c>
      <c r="L12" s="36">
        <v>47</v>
      </c>
      <c r="M12" s="45">
        <f t="shared" si="0"/>
        <v>414.7</v>
      </c>
      <c r="N12" s="36">
        <v>153.3</v>
      </c>
      <c r="O12" s="46">
        <f t="shared" si="1"/>
        <v>0.36966481794068</v>
      </c>
      <c r="P12" s="36">
        <f t="shared" si="2"/>
        <v>261.4</v>
      </c>
      <c r="Q12" s="46">
        <f t="shared" si="3"/>
        <v>0.63033518205932</v>
      </c>
      <c r="R12" s="36"/>
    </row>
    <row r="13" s="35" customFormat="1" spans="1:18">
      <c r="A13" s="43" t="s">
        <v>130</v>
      </c>
      <c r="B13" s="36">
        <v>17.6</v>
      </c>
      <c r="C13" s="36">
        <v>140.4</v>
      </c>
      <c r="D13" s="36"/>
      <c r="E13" s="36"/>
      <c r="F13" s="36"/>
      <c r="G13" s="36"/>
      <c r="H13" s="36">
        <v>37</v>
      </c>
      <c r="I13" s="36"/>
      <c r="J13" s="36"/>
      <c r="K13" s="36"/>
      <c r="L13" s="36"/>
      <c r="M13" s="45">
        <f t="shared" si="0"/>
        <v>195</v>
      </c>
      <c r="N13" s="36">
        <v>31.7</v>
      </c>
      <c r="O13" s="46">
        <f t="shared" si="1"/>
        <v>0.162564102564103</v>
      </c>
      <c r="P13" s="36">
        <f t="shared" si="2"/>
        <v>163.3</v>
      </c>
      <c r="Q13" s="46">
        <f t="shared" si="3"/>
        <v>0.837435897435898</v>
      </c>
      <c r="R13" s="36"/>
    </row>
    <row r="14" s="35" customFormat="1" spans="1:18">
      <c r="A14" s="43" t="s">
        <v>131</v>
      </c>
      <c r="B14" s="36">
        <v>11.2</v>
      </c>
      <c r="C14" s="36">
        <v>116</v>
      </c>
      <c r="D14" s="36"/>
      <c r="E14" s="36"/>
      <c r="F14" s="36"/>
      <c r="G14" s="36"/>
      <c r="H14" s="36">
        <v>34.8</v>
      </c>
      <c r="I14" s="36"/>
      <c r="J14" s="36"/>
      <c r="K14" s="36"/>
      <c r="L14" s="36"/>
      <c r="M14" s="45">
        <f t="shared" si="0"/>
        <v>162</v>
      </c>
      <c r="N14" s="36">
        <v>116</v>
      </c>
      <c r="O14" s="46">
        <f t="shared" si="1"/>
        <v>0.716049382716049</v>
      </c>
      <c r="P14" s="36">
        <f t="shared" si="2"/>
        <v>46</v>
      </c>
      <c r="Q14" s="46">
        <f t="shared" si="3"/>
        <v>0.283950617283951</v>
      </c>
      <c r="R14" s="36"/>
    </row>
    <row r="15" s="35" customFormat="1" spans="1:18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45"/>
      <c r="N15" s="36"/>
      <c r="O15" s="46"/>
      <c r="P15" s="36"/>
      <c r="Q15" s="46"/>
      <c r="R15" s="36"/>
    </row>
    <row r="16" s="35" customFormat="1" spans="1:18">
      <c r="A16" s="43" t="s">
        <v>97</v>
      </c>
      <c r="B16" s="36">
        <f t="shared" ref="B16:N16" si="4">SUM(B3:B15)</f>
        <v>350.1</v>
      </c>
      <c r="C16" s="36">
        <f t="shared" si="4"/>
        <v>775</v>
      </c>
      <c r="D16" s="36">
        <f t="shared" si="4"/>
        <v>289.2</v>
      </c>
      <c r="E16" s="36">
        <f t="shared" si="4"/>
        <v>172.3</v>
      </c>
      <c r="F16" s="36">
        <f t="shared" si="4"/>
        <v>12.9</v>
      </c>
      <c r="G16" s="36">
        <f t="shared" si="4"/>
        <v>0</v>
      </c>
      <c r="H16" s="36">
        <f t="shared" si="4"/>
        <v>239.7</v>
      </c>
      <c r="I16" s="36">
        <f t="shared" si="4"/>
        <v>4.8</v>
      </c>
      <c r="J16" s="36">
        <f t="shared" si="4"/>
        <v>81.5</v>
      </c>
      <c r="K16" s="36">
        <f t="shared" si="4"/>
        <v>7.3</v>
      </c>
      <c r="L16" s="36">
        <f t="shared" si="4"/>
        <v>103.4</v>
      </c>
      <c r="M16" s="45">
        <f t="shared" si="4"/>
        <v>2036.2</v>
      </c>
      <c r="N16" s="36">
        <f t="shared" si="4"/>
        <v>668.2</v>
      </c>
      <c r="O16" s="46">
        <f t="shared" ref="O16:O28" si="5">N16/M16</f>
        <v>0.328160298595423</v>
      </c>
      <c r="P16" s="36">
        <f t="shared" ref="P16:P28" si="6">M16-N16</f>
        <v>1368</v>
      </c>
      <c r="Q16" s="46">
        <f t="shared" ref="Q16:Q28" si="7">P16/M16</f>
        <v>0.671839701404577</v>
      </c>
      <c r="R16" s="36"/>
    </row>
    <row r="17" s="36" customFormat="1"/>
    <row r="18" s="37" customFormat="1" ht="30" customHeight="1" spans="1:18">
      <c r="A18" s="40" t="s">
        <v>137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36"/>
    </row>
    <row r="19" s="37" customFormat="1" spans="1:18">
      <c r="A19" s="42" t="s">
        <v>133</v>
      </c>
      <c r="B19" s="47" t="s">
        <v>106</v>
      </c>
      <c r="C19" s="43" t="s">
        <v>107</v>
      </c>
      <c r="D19" s="43" t="s">
        <v>108</v>
      </c>
      <c r="E19" s="43" t="s">
        <v>109</v>
      </c>
      <c r="F19" s="45" t="s">
        <v>110</v>
      </c>
      <c r="G19" s="45" t="s">
        <v>111</v>
      </c>
      <c r="H19" s="43" t="s">
        <v>112</v>
      </c>
      <c r="I19" s="43" t="s">
        <v>113</v>
      </c>
      <c r="J19" s="43" t="s">
        <v>114</v>
      </c>
      <c r="K19" s="43" t="s">
        <v>115</v>
      </c>
      <c r="L19" s="43" t="s">
        <v>116</v>
      </c>
      <c r="M19" s="43" t="s">
        <v>117</v>
      </c>
      <c r="N19" s="43" t="s">
        <v>136</v>
      </c>
      <c r="O19" s="43"/>
      <c r="P19" s="43" t="s">
        <v>119</v>
      </c>
      <c r="Q19" s="43"/>
      <c r="R19" s="43" t="s">
        <v>27</v>
      </c>
    </row>
    <row r="20" s="37" customFormat="1" spans="1:18">
      <c r="A20" s="43" t="s">
        <v>120</v>
      </c>
      <c r="B20" s="36">
        <v>49.7</v>
      </c>
      <c r="C20" s="36">
        <v>57.7</v>
      </c>
      <c r="D20" s="36">
        <v>13.6</v>
      </c>
      <c r="E20" s="36"/>
      <c r="F20" s="36"/>
      <c r="G20" s="36"/>
      <c r="H20" s="36"/>
      <c r="I20" s="36"/>
      <c r="J20" s="36"/>
      <c r="K20" s="36"/>
      <c r="L20" s="36"/>
      <c r="M20" s="45">
        <f t="shared" ref="M20:M28" si="8">SUM(B20:L20)</f>
        <v>121</v>
      </c>
      <c r="N20" s="36">
        <v>56</v>
      </c>
      <c r="O20" s="46">
        <f t="shared" si="5"/>
        <v>0.462809917355372</v>
      </c>
      <c r="P20" s="36">
        <f t="shared" si="6"/>
        <v>65</v>
      </c>
      <c r="Q20" s="46">
        <f t="shared" si="7"/>
        <v>0.537190082644628</v>
      </c>
      <c r="R20" s="36"/>
    </row>
    <row r="21" s="37" customFormat="1" spans="1:18">
      <c r="A21" s="43" t="s">
        <v>121</v>
      </c>
      <c r="B21" s="36">
        <v>27</v>
      </c>
      <c r="C21" s="36">
        <v>57.7</v>
      </c>
      <c r="D21" s="36">
        <v>18.8</v>
      </c>
      <c r="E21" s="36">
        <v>7.3</v>
      </c>
      <c r="F21" s="36"/>
      <c r="G21" s="36"/>
      <c r="H21" s="36"/>
      <c r="I21" s="36">
        <v>11</v>
      </c>
      <c r="J21" s="36"/>
      <c r="K21" s="36"/>
      <c r="L21" s="36"/>
      <c r="M21" s="45">
        <f t="shared" si="8"/>
        <v>121.8</v>
      </c>
      <c r="N21" s="36">
        <v>85</v>
      </c>
      <c r="O21" s="46">
        <f t="shared" si="5"/>
        <v>0.697865353037767</v>
      </c>
      <c r="P21" s="36">
        <f t="shared" si="6"/>
        <v>36.8</v>
      </c>
      <c r="Q21" s="46">
        <f t="shared" si="7"/>
        <v>0.302134646962233</v>
      </c>
      <c r="R21" s="36"/>
    </row>
    <row r="22" s="37" customFormat="1" spans="1:18">
      <c r="A22" s="43" t="s">
        <v>122</v>
      </c>
      <c r="B22" s="36">
        <v>93.3</v>
      </c>
      <c r="C22" s="36">
        <v>108.8</v>
      </c>
      <c r="D22" s="36"/>
      <c r="E22" s="36"/>
      <c r="F22" s="36">
        <v>16.4</v>
      </c>
      <c r="G22" s="36"/>
      <c r="H22" s="36"/>
      <c r="I22" s="36"/>
      <c r="J22" s="36"/>
      <c r="K22" s="36"/>
      <c r="L22" s="36"/>
      <c r="M22" s="45">
        <f t="shared" si="8"/>
        <v>218.5</v>
      </c>
      <c r="N22" s="36">
        <v>169.5</v>
      </c>
      <c r="O22" s="46">
        <f t="shared" si="5"/>
        <v>0.775743707093821</v>
      </c>
      <c r="P22" s="36">
        <f t="shared" si="6"/>
        <v>49</v>
      </c>
      <c r="Q22" s="46">
        <f t="shared" si="7"/>
        <v>0.224256292906178</v>
      </c>
      <c r="R22" s="36"/>
    </row>
    <row r="23" s="37" customFormat="1" spans="1:18">
      <c r="A23" s="43" t="s">
        <v>123</v>
      </c>
      <c r="B23" s="36">
        <v>134.7</v>
      </c>
      <c r="C23" s="36">
        <v>60</v>
      </c>
      <c r="D23" s="36"/>
      <c r="E23" s="36"/>
      <c r="F23" s="36">
        <v>82.9</v>
      </c>
      <c r="G23" s="36"/>
      <c r="H23" s="36"/>
      <c r="I23" s="36"/>
      <c r="J23" s="36"/>
      <c r="K23" s="36"/>
      <c r="L23" s="36"/>
      <c r="M23" s="45">
        <f t="shared" si="8"/>
        <v>277.6</v>
      </c>
      <c r="N23" s="36">
        <v>254</v>
      </c>
      <c r="O23" s="46">
        <f t="shared" si="5"/>
        <v>0.914985590778098</v>
      </c>
      <c r="P23" s="36">
        <f t="shared" si="6"/>
        <v>23.6</v>
      </c>
      <c r="Q23" s="46">
        <f t="shared" si="7"/>
        <v>0.0850144092219021</v>
      </c>
      <c r="R23" s="36"/>
    </row>
    <row r="24" s="37" customFormat="1" spans="1:18">
      <c r="A24" s="43" t="s">
        <v>124</v>
      </c>
      <c r="B24" s="36">
        <v>101.2</v>
      </c>
      <c r="C24" s="36">
        <v>42.4</v>
      </c>
      <c r="D24" s="36">
        <v>22.8</v>
      </c>
      <c r="E24" s="36">
        <v>23.5</v>
      </c>
      <c r="F24" s="36">
        <v>32.8</v>
      </c>
      <c r="G24" s="36"/>
      <c r="H24" s="36">
        <v>4.8</v>
      </c>
      <c r="I24" s="36"/>
      <c r="J24" s="36">
        <v>16</v>
      </c>
      <c r="K24" s="36">
        <v>3.7</v>
      </c>
      <c r="L24" s="36"/>
      <c r="M24" s="45">
        <f t="shared" si="8"/>
        <v>247.2</v>
      </c>
      <c r="N24" s="36">
        <v>19</v>
      </c>
      <c r="O24" s="46">
        <f t="shared" si="5"/>
        <v>0.0768608414239482</v>
      </c>
      <c r="P24" s="36">
        <f t="shared" si="6"/>
        <v>228.2</v>
      </c>
      <c r="Q24" s="46">
        <f t="shared" si="7"/>
        <v>0.923139158576052</v>
      </c>
      <c r="R24" s="36" t="s">
        <v>138</v>
      </c>
    </row>
    <row r="25" s="37" customFormat="1" spans="1:18">
      <c r="A25" s="43" t="s">
        <v>125</v>
      </c>
      <c r="B25" s="36">
        <v>228</v>
      </c>
      <c r="C25" s="36">
        <v>49.7</v>
      </c>
      <c r="D25" s="36">
        <v>15.3</v>
      </c>
      <c r="E25" s="36">
        <v>20.5</v>
      </c>
      <c r="F25" s="36">
        <v>21</v>
      </c>
      <c r="G25" s="36"/>
      <c r="H25" s="36"/>
      <c r="I25" s="36"/>
      <c r="J25" s="36">
        <v>20.8</v>
      </c>
      <c r="K25" s="36"/>
      <c r="L25" s="36"/>
      <c r="M25" s="45">
        <f t="shared" si="8"/>
        <v>355.3</v>
      </c>
      <c r="N25" s="36">
        <v>148.8</v>
      </c>
      <c r="O25" s="46">
        <f t="shared" si="5"/>
        <v>0.418801013228258</v>
      </c>
      <c r="P25" s="36">
        <f t="shared" si="6"/>
        <v>206.5</v>
      </c>
      <c r="Q25" s="46">
        <f t="shared" si="7"/>
        <v>0.581198986771742</v>
      </c>
      <c r="R25" s="36" t="s">
        <v>139</v>
      </c>
    </row>
    <row r="26" s="37" customFormat="1" spans="1:18">
      <c r="A26" s="43" t="s">
        <v>126</v>
      </c>
      <c r="B26" s="36">
        <v>132.6</v>
      </c>
      <c r="C26" s="36">
        <f>106+44.4</f>
        <v>150.4</v>
      </c>
      <c r="D26" s="36">
        <v>37.8</v>
      </c>
      <c r="E26" s="36">
        <v>11.6</v>
      </c>
      <c r="F26" s="36">
        <v>81.3</v>
      </c>
      <c r="G26" s="36">
        <f>88+29.6</f>
        <v>117.6</v>
      </c>
      <c r="H26" s="36">
        <v>27.3</v>
      </c>
      <c r="I26" s="36"/>
      <c r="J26" s="36"/>
      <c r="K26" s="36"/>
      <c r="L26" s="36">
        <v>22.3</v>
      </c>
      <c r="M26" s="45">
        <f t="shared" si="8"/>
        <v>580.9</v>
      </c>
      <c r="N26" s="36">
        <v>166</v>
      </c>
      <c r="O26" s="46">
        <f t="shared" si="5"/>
        <v>0.285763470476846</v>
      </c>
      <c r="P26" s="36">
        <f t="shared" si="6"/>
        <v>414.9</v>
      </c>
      <c r="Q26" s="46">
        <f t="shared" si="7"/>
        <v>0.714236529523154</v>
      </c>
      <c r="R26" s="36"/>
    </row>
    <row r="27" s="37" customFormat="1" spans="1:18">
      <c r="A27" s="43" t="s">
        <v>127</v>
      </c>
      <c r="B27" s="36">
        <v>42.8</v>
      </c>
      <c r="C27" s="36">
        <v>82.5</v>
      </c>
      <c r="D27" s="36">
        <v>44.4</v>
      </c>
      <c r="E27" s="36"/>
      <c r="F27" s="36">
        <v>73.4</v>
      </c>
      <c r="G27" s="36">
        <v>22</v>
      </c>
      <c r="H27" s="36"/>
      <c r="I27" s="36"/>
      <c r="J27" s="36"/>
      <c r="K27" s="36"/>
      <c r="L27" s="36">
        <v>10.2</v>
      </c>
      <c r="M27" s="45">
        <f t="shared" si="8"/>
        <v>275.3</v>
      </c>
      <c r="N27" s="36">
        <v>30</v>
      </c>
      <c r="O27" s="46">
        <f t="shared" si="5"/>
        <v>0.108972030512169</v>
      </c>
      <c r="P27" s="36">
        <f t="shared" si="6"/>
        <v>245.3</v>
      </c>
      <c r="Q27" s="46">
        <f t="shared" si="7"/>
        <v>0.891027969487831</v>
      </c>
      <c r="R27" s="36"/>
    </row>
    <row r="28" s="37" customFormat="1" spans="1:18">
      <c r="A28" s="43" t="s">
        <v>128</v>
      </c>
      <c r="B28" s="36">
        <v>110.8</v>
      </c>
      <c r="C28" s="36">
        <v>119.08</v>
      </c>
      <c r="D28" s="36">
        <v>17</v>
      </c>
      <c r="E28" s="36">
        <v>11.5</v>
      </c>
      <c r="F28" s="36">
        <v>3.5</v>
      </c>
      <c r="G28" s="36">
        <v>59</v>
      </c>
      <c r="H28" s="36">
        <v>18.8</v>
      </c>
      <c r="I28" s="36"/>
      <c r="J28" s="36"/>
      <c r="K28" s="36"/>
      <c r="L28" s="36"/>
      <c r="M28" s="45">
        <f t="shared" si="8"/>
        <v>339.68</v>
      </c>
      <c r="N28" s="36">
        <v>29</v>
      </c>
      <c r="O28" s="46">
        <f t="shared" si="5"/>
        <v>0.085374470089496</v>
      </c>
      <c r="P28" s="36">
        <f t="shared" si="6"/>
        <v>310.68</v>
      </c>
      <c r="Q28" s="46">
        <f t="shared" si="7"/>
        <v>0.914625529910504</v>
      </c>
      <c r="R28" s="36"/>
    </row>
    <row r="29" s="37" customFormat="1" spans="1:18">
      <c r="A29" s="43" t="s">
        <v>129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45"/>
      <c r="N29" s="36"/>
      <c r="O29" s="36"/>
      <c r="P29" s="36"/>
      <c r="Q29" s="36"/>
      <c r="R29" s="36"/>
    </row>
    <row r="30" s="37" customFormat="1" spans="1:18">
      <c r="A30" s="43" t="s">
        <v>130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45"/>
      <c r="N30" s="36"/>
      <c r="O30" s="36"/>
      <c r="P30" s="36"/>
      <c r="Q30" s="36"/>
      <c r="R30" s="36"/>
    </row>
    <row r="31" s="37" customFormat="1" spans="1:18">
      <c r="A31" s="43" t="s">
        <v>131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45"/>
      <c r="N31" s="36"/>
      <c r="O31" s="36"/>
      <c r="P31" s="36"/>
      <c r="Q31" s="36"/>
      <c r="R31" s="36"/>
    </row>
    <row r="32" s="37" customFormat="1" spans="1:1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45"/>
      <c r="N32" s="36"/>
      <c r="O32" s="36"/>
      <c r="P32" s="36"/>
      <c r="Q32" s="36"/>
      <c r="R32" s="36"/>
    </row>
    <row r="33" s="37" customFormat="1" spans="1:18">
      <c r="A33" s="43" t="s">
        <v>97</v>
      </c>
      <c r="B33" s="36">
        <f t="shared" ref="B33:N33" si="9">SUM(B20:B32)</f>
        <v>920.1</v>
      </c>
      <c r="C33" s="36">
        <f t="shared" si="9"/>
        <v>728.28</v>
      </c>
      <c r="D33" s="36">
        <f t="shared" si="9"/>
        <v>169.7</v>
      </c>
      <c r="E33" s="36">
        <f t="shared" si="9"/>
        <v>74.4</v>
      </c>
      <c r="F33" s="36">
        <f t="shared" si="9"/>
        <v>311.3</v>
      </c>
      <c r="G33" s="36">
        <f t="shared" si="9"/>
        <v>198.6</v>
      </c>
      <c r="H33" s="36">
        <f t="shared" si="9"/>
        <v>50.9</v>
      </c>
      <c r="I33" s="36">
        <f t="shared" si="9"/>
        <v>11</v>
      </c>
      <c r="J33" s="36">
        <f t="shared" si="9"/>
        <v>36.8</v>
      </c>
      <c r="K33" s="36">
        <f t="shared" si="9"/>
        <v>3.7</v>
      </c>
      <c r="L33" s="36">
        <f t="shared" si="9"/>
        <v>32.5</v>
      </c>
      <c r="M33" s="45">
        <f t="shared" si="9"/>
        <v>2537.28</v>
      </c>
      <c r="N33" s="36">
        <f t="shared" si="9"/>
        <v>957.3</v>
      </c>
      <c r="O33" s="46">
        <f>N33/M33</f>
        <v>0.377293794930004</v>
      </c>
      <c r="P33" s="36">
        <f>M33-N33</f>
        <v>1579.98</v>
      </c>
      <c r="Q33" s="46">
        <f>P33/M33</f>
        <v>0.622706205069996</v>
      </c>
      <c r="R33" s="36"/>
    </row>
    <row r="35" spans="1:18">
      <c r="B35" s="48">
        <f>B33-B16</f>
        <v>570</v>
      </c>
      <c r="C35" s="48">
        <f t="shared" ref="C35:Q35" si="10">C33-C16</f>
        <v>-46.72</v>
      </c>
      <c r="D35" s="48">
        <f t="shared" si="10"/>
        <v>-119.5</v>
      </c>
      <c r="E35" s="48">
        <f t="shared" si="10"/>
        <v>-97.9</v>
      </c>
      <c r="F35" s="48"/>
      <c r="G35" s="48"/>
      <c r="H35" s="48">
        <f t="shared" si="10"/>
        <v>-188.8</v>
      </c>
      <c r="I35" s="48">
        <f t="shared" si="10"/>
        <v>6.2</v>
      </c>
      <c r="J35" s="48">
        <f t="shared" si="10"/>
        <v>-44.7</v>
      </c>
      <c r="K35" s="48">
        <f t="shared" si="10"/>
        <v>-3.6</v>
      </c>
      <c r="L35" s="48">
        <f t="shared" si="10"/>
        <v>-70.9</v>
      </c>
      <c r="M35" s="48">
        <f t="shared" si="10"/>
        <v>501.08</v>
      </c>
      <c r="N35" s="48">
        <f t="shared" si="10"/>
        <v>289.1</v>
      </c>
      <c r="O35" s="49">
        <f t="shared" si="10"/>
        <v>0.0491334963345809</v>
      </c>
      <c r="P35" s="48">
        <f t="shared" si="10"/>
        <v>211.98</v>
      </c>
      <c r="Q35" s="49">
        <f t="shared" si="10"/>
        <v>-0.0491334963345809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1:Q1"/>
    <mergeCell ref="A17:XFD17"/>
    <mergeCell ref="A18:Q18"/>
  </mergeCells>
  <pageMargins left="0.75" right="0.75" top="1" bottom="1" header="0.5" footer="0.5"/>
  <pageSetup paperSize="9" scale="64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D43" sqref="D43"/>
    </sheetView>
  </sheetViews>
  <sheetFormatPr defaultColWidth="8.9" defaultRowHeight="13.5" outlineLevelCol="4"/>
  <cols>
    <col min="1" max="1" width="16" customWidth="1"/>
    <col min="2" max="2" width="15.6666666666667" customWidth="1"/>
    <col min="3" max="3" width="31.6666666666667" customWidth="1"/>
    <col min="4" max="4" width="15.5583333333333" customWidth="1"/>
    <col min="5" max="5" width="43" customWidth="1"/>
    <col min="6" max="6" width="11.1" customWidth="1"/>
  </cols>
  <sheetData>
    <row r="1" spans="1:5">
      <c r="A1" t="s">
        <v>140</v>
      </c>
    </row>
    <row r="6" s="23" customFormat="1" spans="1:5">
      <c r="A6" s="23" t="s">
        <v>141</v>
      </c>
      <c r="B6" s="23" t="s">
        <v>142</v>
      </c>
      <c r="C6" s="23" t="s">
        <v>143</v>
      </c>
      <c r="D6" s="23" t="s">
        <v>144</v>
      </c>
      <c r="E6" s="23" t="s">
        <v>145</v>
      </c>
    </row>
    <row r="7" ht="14.25" spans="1:5">
      <c r="B7" s="31"/>
    </row>
    <row r="8" ht="15" spans="1:5">
      <c r="B8" s="31" t="s">
        <v>146</v>
      </c>
    </row>
    <row r="9" ht="15" spans="1:5">
      <c r="A9" s="32">
        <v>44840</v>
      </c>
      <c r="B9" s="31" t="s">
        <v>147</v>
      </c>
    </row>
    <row r="10" ht="15" spans="1:5">
      <c r="B10" s="31" t="s">
        <v>148</v>
      </c>
      <c r="E10" t="s">
        <v>149</v>
      </c>
    </row>
    <row r="11" ht="15" spans="1:5">
      <c r="B11" s="31" t="s">
        <v>150</v>
      </c>
      <c r="E11" t="s">
        <v>151</v>
      </c>
    </row>
    <row r="12" ht="15" spans="1:5">
      <c r="B12" s="33"/>
      <c r="E12" t="s">
        <v>152</v>
      </c>
    </row>
    <row r="13" ht="15" spans="1:5">
      <c r="B13" s="31" t="s">
        <v>153</v>
      </c>
      <c r="E13" t="s">
        <v>154</v>
      </c>
    </row>
    <row r="14" ht="15" spans="1:5">
      <c r="B14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3"/>
  <sheetViews>
    <sheetView workbookViewId="0">
      <selection activeCell="D43" sqref="D43"/>
    </sheetView>
  </sheetViews>
  <sheetFormatPr defaultColWidth="8.9" defaultRowHeight="13.5"/>
  <cols>
    <col min="1" max="1" width="8.9" style="2"/>
    <col min="2" max="2" width="13.775" style="2" customWidth="1"/>
    <col min="3" max="3" width="16.9" style="2" customWidth="1"/>
    <col min="4" max="4" width="32.4416666666667" style="2" customWidth="1"/>
    <col min="5" max="5" width="14.4416666666667" style="2" customWidth="1"/>
    <col min="6" max="6" width="18.1" style="2" customWidth="1"/>
    <col min="7" max="7" width="11.1" style="2" customWidth="1"/>
    <col min="8" max="11" width="8.9" style="2"/>
    <col min="12" max="14" width="9.33333333333333" style="2"/>
    <col min="15" max="16380" width="8.9" style="2"/>
    <col min="16382" max="16384" width="8.9" style="2"/>
  </cols>
  <sheetData>
    <row r="1" ht="26" customHeight="1" spans="1:14 16381:16381">
      <c r="A1" s="3" t="s">
        <v>155</v>
      </c>
      <c r="B1" s="3"/>
      <c r="C1" s="3"/>
      <c r="D1" s="3"/>
      <c r="E1" s="3"/>
      <c r="F1" s="3"/>
      <c r="G1" s="3"/>
    </row>
    <row r="2" ht="24" customHeight="1" spans="1:14 16381:16381">
      <c r="A2" s="4" t="s">
        <v>156</v>
      </c>
      <c r="B2" s="5" t="s">
        <v>142</v>
      </c>
      <c r="C2" s="5" t="s">
        <v>157</v>
      </c>
      <c r="D2" s="5" t="s">
        <v>158</v>
      </c>
      <c r="E2" s="5" t="s">
        <v>159</v>
      </c>
      <c r="F2" s="5" t="s">
        <v>160</v>
      </c>
      <c r="G2" s="5" t="s">
        <v>27</v>
      </c>
      <c r="K2" s="6" t="s">
        <v>161</v>
      </c>
      <c r="L2" s="7" t="s">
        <v>162</v>
      </c>
      <c r="M2" s="7" t="s">
        <v>163</v>
      </c>
      <c r="N2" s="7" t="s">
        <v>164</v>
      </c>
    </row>
    <row r="3" ht="20" customHeight="1" spans="1:14 16381:16381">
      <c r="A3" s="8">
        <v>1</v>
      </c>
      <c r="B3" s="9" t="s">
        <v>165</v>
      </c>
      <c r="C3" s="10">
        <v>507130</v>
      </c>
      <c r="D3" s="11">
        <v>8961901</v>
      </c>
      <c r="E3" s="10">
        <v>343075</v>
      </c>
      <c r="F3" s="11">
        <v>6069050.92</v>
      </c>
      <c r="G3" s="12" t="s">
        <v>166</v>
      </c>
      <c r="K3" s="13" t="s">
        <v>167</v>
      </c>
      <c r="L3" s="14">
        <v>44813</v>
      </c>
      <c r="M3" s="14">
        <v>44816</v>
      </c>
      <c r="N3" s="14">
        <v>44817</v>
      </c>
    </row>
    <row r="4" ht="20" customHeight="1" spans="1:14 16381:16381">
      <c r="A4" s="8">
        <v>2</v>
      </c>
      <c r="B4" s="9" t="s">
        <v>108</v>
      </c>
      <c r="C4" s="10">
        <v>63222</v>
      </c>
      <c r="D4" s="11">
        <v>1950674.65</v>
      </c>
      <c r="E4" s="10">
        <v>14058</v>
      </c>
      <c r="F4" s="11">
        <v>428890.35</v>
      </c>
      <c r="G4" s="12" t="s">
        <v>166</v>
      </c>
      <c r="K4" s="15"/>
      <c r="L4"/>
      <c r="M4"/>
      <c r="N4"/>
    </row>
    <row r="5" ht="20" customHeight="1" spans="1:14 16381:16381">
      <c r="A5" s="8">
        <v>3</v>
      </c>
      <c r="B5" s="9" t="s">
        <v>168</v>
      </c>
      <c r="C5" s="10">
        <v>12138</v>
      </c>
      <c r="D5" s="11">
        <v>376293.64</v>
      </c>
      <c r="E5" s="10">
        <v>4128</v>
      </c>
      <c r="F5" s="11">
        <v>124834.848</v>
      </c>
      <c r="G5" s="12" t="s">
        <v>166</v>
      </c>
      <c r="K5" s="16" t="s">
        <v>169</v>
      </c>
      <c r="L5" s="7" t="s">
        <v>162</v>
      </c>
      <c r="M5" s="7" t="s">
        <v>163</v>
      </c>
      <c r="N5" s="7" t="s">
        <v>164</v>
      </c>
    </row>
    <row r="6" ht="20" customHeight="1" spans="1:14 16381:16381">
      <c r="A6" s="8">
        <v>4</v>
      </c>
      <c r="B6" s="9" t="s">
        <v>107</v>
      </c>
      <c r="C6" s="10">
        <f>251631+15024</f>
        <v>266655</v>
      </c>
      <c r="D6" s="11">
        <f>7356656.2-373918.125</f>
        <v>6982738.075</v>
      </c>
      <c r="E6" s="10">
        <v>134514</v>
      </c>
      <c r="F6" s="11">
        <v>3561485.796</v>
      </c>
      <c r="G6" s="12" t="s">
        <v>166</v>
      </c>
      <c r="K6" s="13" t="s">
        <v>167</v>
      </c>
      <c r="L6" s="14">
        <v>44835</v>
      </c>
      <c r="M6" s="14">
        <v>44841</v>
      </c>
      <c r="N6" s="14">
        <v>44842</v>
      </c>
    </row>
    <row r="7" ht="20" customHeight="1" spans="1:14 16381:16381">
      <c r="A7" s="8">
        <v>5</v>
      </c>
      <c r="B7" s="9" t="s">
        <v>109</v>
      </c>
      <c r="C7" s="10">
        <v>49452</v>
      </c>
      <c r="D7" s="11">
        <v>1072197.33</v>
      </c>
      <c r="E7" s="10">
        <v>9570</v>
      </c>
      <c r="F7" s="11">
        <v>308753.99</v>
      </c>
      <c r="G7" s="12" t="s">
        <v>166</v>
      </c>
      <c r="K7" s="17"/>
      <c r="L7"/>
      <c r="M7"/>
      <c r="N7"/>
    </row>
    <row r="8" ht="20" customHeight="1" spans="1:14 16381:16381">
      <c r="A8" s="8">
        <v>6</v>
      </c>
      <c r="B8" s="9" t="s">
        <v>170</v>
      </c>
      <c r="C8" s="10">
        <v>11898</v>
      </c>
      <c r="D8" s="11">
        <v>607573.65</v>
      </c>
      <c r="E8" s="10">
        <v>888</v>
      </c>
      <c r="F8" s="11">
        <v>48497.454</v>
      </c>
      <c r="G8" s="12" t="s">
        <v>166</v>
      </c>
    </row>
    <row r="9" ht="20" customHeight="1" spans="1:14 16381:16381">
      <c r="A9" s="8">
        <v>7</v>
      </c>
      <c r="B9" s="9" t="s">
        <v>111</v>
      </c>
      <c r="C9" s="10">
        <f>140855+15024</f>
        <v>155879</v>
      </c>
      <c r="D9" s="11">
        <f>3260151.28-373918.125</f>
        <v>2886233.155</v>
      </c>
      <c r="E9" s="10">
        <v>24408</v>
      </c>
      <c r="F9" s="11">
        <v>481228.128</v>
      </c>
      <c r="G9" s="12" t="s">
        <v>166</v>
      </c>
    </row>
    <row r="10" ht="20" customHeight="1" spans="1:14 16381:16381">
      <c r="A10" s="8">
        <v>8</v>
      </c>
      <c r="B10" s="9" t="s">
        <v>171</v>
      </c>
      <c r="C10" s="10">
        <v>136638</v>
      </c>
      <c r="D10" s="11">
        <v>3220140.96</v>
      </c>
      <c r="E10" s="10">
        <v>56052</v>
      </c>
      <c r="F10" s="11">
        <v>1318344.37</v>
      </c>
      <c r="G10" s="12" t="s">
        <v>166</v>
      </c>
    </row>
    <row r="11" ht="20" customHeight="1" spans="1:14 16381:16381">
      <c r="A11" s="8">
        <v>9</v>
      </c>
      <c r="B11" s="9" t="s">
        <v>116</v>
      </c>
      <c r="C11" s="10">
        <v>11952</v>
      </c>
      <c r="D11" s="11">
        <v>325566.96</v>
      </c>
      <c r="E11" s="10">
        <v>0</v>
      </c>
      <c r="F11" s="11">
        <v>0</v>
      </c>
      <c r="G11" s="12" t="s">
        <v>166</v>
      </c>
    </row>
    <row r="12" ht="20" customHeight="1" spans="1:14 16381:16381">
      <c r="A12" s="8">
        <v>10</v>
      </c>
      <c r="B12" s="9" t="s">
        <v>113</v>
      </c>
      <c r="C12" s="10">
        <v>4374</v>
      </c>
      <c r="D12" s="11">
        <v>112869.12</v>
      </c>
      <c r="E12" s="10">
        <v>4374</v>
      </c>
      <c r="F12" s="11">
        <v>112869.12</v>
      </c>
      <c r="G12" s="12" t="s">
        <v>166</v>
      </c>
    </row>
    <row r="13" s="1" customFormat="1" ht="20" customHeight="1" spans="1:14 16381:16381">
      <c r="A13" s="18"/>
      <c r="B13" s="19" t="s">
        <v>172</v>
      </c>
      <c r="C13" s="20">
        <f>SUM(C3:C12)</f>
        <v>1219338</v>
      </c>
      <c r="D13" s="21">
        <f>SUM(D3:D12)</f>
        <v>26496188.54</v>
      </c>
      <c r="E13" s="20">
        <f>SUM(E3:E12)</f>
        <v>591067</v>
      </c>
      <c r="F13" s="21">
        <f>SUM(F3:F12)</f>
        <v>12453954.976</v>
      </c>
      <c r="G13" s="22"/>
      <c r="H13" s="1"/>
      <c r="XFA13" s="23"/>
    </row>
    <row r="14" ht="20" customHeight="1" spans="1:14 16381:16381">
      <c r="A14" s="8">
        <v>11</v>
      </c>
      <c r="B14" s="9" t="s">
        <v>114</v>
      </c>
      <c r="C14" s="10">
        <v>26547</v>
      </c>
      <c r="D14" s="11">
        <v>367832.4</v>
      </c>
      <c r="E14" s="10">
        <v>26547</v>
      </c>
      <c r="F14" s="11">
        <v>367832.4</v>
      </c>
      <c r="G14" s="12" t="s">
        <v>173</v>
      </c>
    </row>
    <row r="15" ht="20" customHeight="1" spans="1:14 16381:16381">
      <c r="A15" s="8">
        <v>12</v>
      </c>
      <c r="B15" s="9" t="s">
        <v>174</v>
      </c>
      <c r="C15" s="10">
        <v>10240</v>
      </c>
      <c r="D15" s="11">
        <v>37376</v>
      </c>
      <c r="E15" s="10">
        <v>10240</v>
      </c>
      <c r="F15" s="11">
        <v>37376</v>
      </c>
      <c r="G15" s="12" t="s">
        <v>173</v>
      </c>
    </row>
    <row r="16" s="1" customFormat="1" ht="20" customHeight="1" spans="1:14 16381:16381">
      <c r="A16" s="18"/>
      <c r="B16" s="19" t="s">
        <v>172</v>
      </c>
      <c r="C16" s="20">
        <f t="shared" ref="C16:F16" si="0">SUM(C14:C15)</f>
        <v>36787</v>
      </c>
      <c r="D16" s="21">
        <f t="shared" si="0"/>
        <v>405208.4</v>
      </c>
      <c r="E16" s="20">
        <f t="shared" si="0"/>
        <v>36787</v>
      </c>
      <c r="F16" s="21">
        <f t="shared" si="0"/>
        <v>405208.4</v>
      </c>
      <c r="G16" s="22"/>
      <c r="H16" s="1"/>
      <c r="XFA16" s="23"/>
    </row>
    <row r="17" s="1" customFormat="1" ht="20" customHeight="1" spans="1:7 16381:16381">
      <c r="A17" s="18"/>
      <c r="B17" s="24" t="s">
        <v>175</v>
      </c>
      <c r="C17" s="25">
        <f>C13+C16</f>
        <v>1256125</v>
      </c>
      <c r="D17" s="26">
        <f>D13+D16</f>
        <v>26901396.94</v>
      </c>
      <c r="E17" s="25">
        <f>E13+E16</f>
        <v>627854</v>
      </c>
      <c r="F17" s="26">
        <f>F13+F16</f>
        <v>12859163.376</v>
      </c>
      <c r="G17" s="22"/>
      <c r="H17" s="1"/>
      <c r="XFA17" s="23"/>
    </row>
    <row r="28" ht="15" spans="1:7 16381:16381">
      <c r="B28" s="27"/>
      <c r="C28" s="27"/>
      <c r="D28" s="28"/>
    </row>
    <row r="29" ht="15" spans="1:7 16381:16381">
      <c r="B29" s="27"/>
      <c r="C29" s="27"/>
      <c r="D29" s="28"/>
    </row>
    <row r="30" ht="15" spans="1:7 16381:16381">
      <c r="B30" s="27"/>
      <c r="C30" s="27"/>
      <c r="D30" s="28"/>
    </row>
    <row r="31" ht="15" spans="1:7 16381:16381">
      <c r="B31" s="27"/>
      <c r="C31" s="27"/>
      <c r="D31" s="28"/>
    </row>
    <row r="32" ht="15" spans="1:7 16381:16381">
      <c r="B32" s="27"/>
      <c r="C32" s="29"/>
      <c r="D32" s="28"/>
    </row>
    <row r="33" spans="2:4">
      <c r="B33" s="30"/>
      <c r="C33" s="30"/>
      <c r="D33" s="30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A17" rgbClr="FF0000">
      <unresolved>
        <commentChain chainId="6cdf6e1061ac0efe99658f3164b973ba71a25edc">
          <item id="441092fb3eee1bf12f964364615f184bf1d736d2" isNormal="1">
            <s:text>
              <s:r>
                <s:t xml:space="preserve">Administrator:
下单之前客已支付IC费用：HK$21312.5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53194165069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3"/>
  <pixelatorList sheetStid="1"/>
  <pixelatorList sheetStid="12"/>
  <pixelatorList sheetStid="11"/>
  <pixelatorList sheetStid="14"/>
  <pixelatorList sheetStid="15"/>
  <pixelatorList sheetStid="9"/>
  <pixelatorList sheetStid="10"/>
  <pixelatorList sheetStid="5"/>
  <pixelatorList sheetStid="7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工模与其他</vt:lpstr>
      <vt:lpstr>总排期</vt:lpstr>
      <vt:lpstr>ITEM表</vt:lpstr>
      <vt:lpstr>出货</vt:lpstr>
      <vt:lpstr>取消单</vt:lpstr>
      <vt:lpstr>消库存</vt:lpstr>
      <vt:lpstr>2022年出货数量</vt:lpstr>
      <vt:lpstr>出货对比</vt:lpstr>
      <vt:lpstr>客询单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Misaya</cp:lastModifiedBy>
  <dcterms:created xsi:type="dcterms:W3CDTF">2022-01-04T01:23:00Z</dcterms:created>
  <dcterms:modified xsi:type="dcterms:W3CDTF">2026-02-07T08:19:00Z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2052-12.9.0.27482</vt:lpwstr>
  </property>
  <property fmtid="{D5CDD505-2E9C-101B-9397-08002B2CF9AE}" pid="3" name="KSOReadingLayout">
    <vt:bool>true</vt:bool>
  </property>
  <property fmtid="{D5CDD505-2E9C-101B-9397-08002B2CF9AE}" pid="4" name="ICV">
    <vt:lpwstr>6B6A9A7C525E49F8992B76605B644781_13</vt:lpwstr>
  </property>
  <property fmtid="{D5CDD505-2E9C-101B-9397-08002B2CF9AE}" pid="5" name="commondata">
    <vt:lpwstr>eyJoZGlkIjoiNGU5YTk2NWU3OTRhNTU0YjZlNWE0ODExMjY4YzM0MTgifQ==</vt:lpwstr>
  </property>
  <property fmtid="{D5CDD505-2E9C-101B-9397-08002B2CF9AE}" pid="6" name="CalculationRule">
    <vt:i4>0</vt:i4>
  </property>
</Properties>
</file>