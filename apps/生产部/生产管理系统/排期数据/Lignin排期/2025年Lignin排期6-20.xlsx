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userName="Unknown User" reservationPassword="CC0C"/>
  <workbookPr/>
  <bookViews>
    <workbookView windowWidth="28800" windowHeight="12465" tabRatio="923"/>
  </bookViews>
  <sheets>
    <sheet name="总接单" sheetId="47" r:id="rId1"/>
    <sheet name="总排期" sheetId="45" r:id="rId2"/>
    <sheet name="已走货" sheetId="49" r:id="rId3"/>
    <sheet name="取消单" sheetId="50" r:id="rId4"/>
    <sheet name="名称" sheetId="48" state="hidden" r:id="rId5"/>
  </sheets>
  <definedNames>
    <definedName name="_xlnm._FilterDatabase" localSheetId="0" hidden="1">总接单!$A$2:$N$10</definedName>
    <definedName name="_xlnm._FilterDatabase" localSheetId="1" hidden="1">总排期!$A$1:$AA$9</definedName>
    <definedName name="_xlnm._FilterDatabase" localSheetId="2" hidden="1">已走货!$A$1:$AA$8</definedName>
    <definedName name="_xlnm._FilterDatabase" localSheetId="3" hidden="1">取消单!$A$1:$AA$7</definedName>
    <definedName name="_xlnm._FilterDatabase" localSheetId="4" hidden="1">名称!$A$1:$C$102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<sst xmlns="http://schemas.openxmlformats.org/spreadsheetml/2006/main" count="417" uniqueCount="229">
  <si>
    <t>产品名称</t>
  </si>
  <si>
    <t>接单期</t>
  </si>
  <si>
    <t>出货期</t>
  </si>
  <si>
    <t>客PO</t>
  </si>
  <si>
    <t>PO号</t>
  </si>
  <si>
    <t>货号</t>
  </si>
  <si>
    <t>数量</t>
  </si>
  <si>
    <t>包装版本</t>
  </si>
  <si>
    <t>CS001</t>
  </si>
  <si>
    <t>单价(USD)</t>
  </si>
  <si>
    <t>金额USD</t>
  </si>
  <si>
    <t>金额HKD</t>
  </si>
  <si>
    <t>LD-CS001P</t>
  </si>
  <si>
    <t>合计：</t>
  </si>
  <si>
    <t>总接单：</t>
  </si>
  <si>
    <t>总排期：</t>
  </si>
  <si>
    <t>已走货：</t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</si>
  <si>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</si>
  <si>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</si>
  <si>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</si>
  <si>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</si>
  <si>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</si>
  <si>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</si>
  <si>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</si>
  <si>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</si>
  <si>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已完成</t>
  </si>
  <si>
    <t>粉色字体</t>
  </si>
  <si>
    <t>已出货</t>
  </si>
  <si>
    <t>红色字体</t>
  </si>
  <si>
    <t>取消单</t>
  </si>
  <si>
    <t>客名</t>
  </si>
  <si>
    <t>国家</t>
  </si>
  <si>
    <t>外箱</t>
  </si>
  <si>
    <t>总箱数</t>
  </si>
  <si>
    <t>客PO期</t>
  </si>
  <si>
    <t>验货期</t>
  </si>
  <si>
    <t>验货/抽板
地点</t>
  </si>
  <si>
    <t>验货结果</t>
  </si>
  <si>
    <t>船期SO</t>
  </si>
  <si>
    <t>箱唛</t>
  </si>
  <si>
    <t>贴纸</t>
  </si>
  <si>
    <t>客供物料</t>
  </si>
  <si>
    <t>日期码</t>
  </si>
  <si>
    <t>备注</t>
  </si>
  <si>
    <t>单价USD</t>
  </si>
  <si>
    <t>发票号</t>
  </si>
  <si>
    <t>是否入系统</t>
  </si>
  <si>
    <t>合计</t>
  </si>
  <si>
    <t>客贴纸</t>
  </si>
  <si>
    <t>BRIAN</t>
  </si>
  <si>
    <t>21808/21812</t>
  </si>
  <si>
    <r>
      <rPr>
        <sz val="10"/>
        <color theme="1"/>
        <rFont val="宋体"/>
        <charset val="134"/>
      </rPr>
      <t>货号</t>
    </r>
  </si>
  <si>
    <r>
      <rPr>
        <sz val="10"/>
        <color theme="1"/>
        <rFont val="宋体"/>
        <charset val="134"/>
      </rPr>
      <t>名称</t>
    </r>
  </si>
  <si>
    <r>
      <rPr>
        <sz val="10"/>
        <color theme="1"/>
        <rFont val="宋体"/>
        <charset val="134"/>
      </rPr>
      <t>系列</t>
    </r>
  </si>
  <si>
    <r>
      <rPr>
        <sz val="10"/>
        <color theme="1"/>
        <rFont val="宋体"/>
        <charset val="134"/>
      </rPr>
      <t>工具箱</t>
    </r>
  </si>
  <si>
    <t>ROB</t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</si>
  <si>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只公仔装</t>
    </r>
  </si>
  <si>
    <r>
      <rPr>
        <sz val="10"/>
        <color theme="1"/>
        <rFont val="宋体"/>
        <charset val="134"/>
      </rPr>
      <t>瞭望台</t>
    </r>
  </si>
  <si>
    <r>
      <rPr>
        <sz val="10"/>
        <color theme="1"/>
        <rFont val="Times New Roman"/>
        <charset val="134"/>
      </rPr>
      <t>Nerf</t>
    </r>
    <r>
      <rPr>
        <sz val="10"/>
        <color theme="1"/>
        <rFont val="宋体"/>
        <charset val="134"/>
      </rPr>
      <t>标靶</t>
    </r>
  </si>
  <si>
    <t>NER</t>
  </si>
  <si>
    <r>
      <rPr>
        <sz val="10"/>
        <color theme="1"/>
        <rFont val="宋体"/>
        <charset val="134"/>
      </rPr>
      <t>皮卡丘</t>
    </r>
  </si>
  <si>
    <t>PKW</t>
  </si>
  <si>
    <t>19820
（19821）</t>
  </si>
  <si>
    <r>
      <rPr>
        <sz val="10"/>
        <color theme="1"/>
        <rFont val="宋体"/>
        <charset val="134"/>
      </rPr>
      <t>时尚女孩</t>
    </r>
  </si>
  <si>
    <t>BLF0007</t>
  </si>
  <si>
    <r>
      <rPr>
        <sz val="10"/>
        <color theme="1"/>
        <rFont val="宋体"/>
        <charset val="134"/>
      </rPr>
      <t>麦克风</t>
    </r>
  </si>
  <si>
    <t>CMW</t>
  </si>
  <si>
    <t>CIF0001</t>
  </si>
  <si>
    <r>
      <rPr>
        <sz val="10"/>
        <color theme="1"/>
        <rFont val="宋体"/>
        <charset val="134"/>
      </rPr>
      <t>摇铃</t>
    </r>
  </si>
  <si>
    <t>CMI0011</t>
  </si>
  <si>
    <r>
      <rPr>
        <sz val="10"/>
        <color theme="1"/>
        <rFont val="宋体"/>
        <charset val="134"/>
      </rPr>
      <t>农场屋</t>
    </r>
  </si>
  <si>
    <t>CMI0013</t>
  </si>
  <si>
    <r>
      <rPr>
        <sz val="10"/>
        <color theme="1"/>
        <rFont val="宋体"/>
        <charset val="134"/>
      </rPr>
      <t>西瓜音乐箱</t>
    </r>
  </si>
  <si>
    <t>CMI0029</t>
  </si>
  <si>
    <t>西瓜音乐箱（WM货号）</t>
  </si>
  <si>
    <t>CMW0015</t>
  </si>
  <si>
    <r>
      <rPr>
        <sz val="10"/>
        <color theme="1"/>
        <rFont val="宋体"/>
        <charset val="134"/>
      </rPr>
      <t>校车巴士</t>
    </r>
  </si>
  <si>
    <t>CMW0023</t>
  </si>
  <si>
    <r>
      <rPr>
        <sz val="10"/>
        <color theme="1"/>
        <rFont val="宋体"/>
        <charset val="134"/>
      </rPr>
      <t>搪胶鱼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乌龟混装</t>
    </r>
  </si>
  <si>
    <t>CMW0029</t>
  </si>
  <si>
    <r>
      <rPr>
        <sz val="10"/>
        <color theme="1"/>
        <rFont val="宋体"/>
        <charset val="134"/>
      </rPr>
      <t>搪胶鱼</t>
    </r>
  </si>
  <si>
    <t>CMW0031</t>
  </si>
  <si>
    <t>CMW0035=CMW0169</t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</si>
  <si>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只公仔装</t>
    </r>
  </si>
  <si>
    <t>CMW0038</t>
  </si>
  <si>
    <r>
      <rPr>
        <sz val="10"/>
        <color theme="1"/>
        <rFont val="宋体"/>
        <charset val="134"/>
      </rPr>
      <t>拖车</t>
    </r>
  </si>
  <si>
    <t>CMW0044</t>
  </si>
  <si>
    <t>CMW0080</t>
  </si>
  <si>
    <r>
      <rPr>
        <sz val="10"/>
        <color theme="1"/>
        <rFont val="宋体"/>
        <charset val="134"/>
      </rPr>
      <t>火车</t>
    </r>
  </si>
  <si>
    <t>CMW0086</t>
  </si>
  <si>
    <r>
      <rPr>
        <sz val="10"/>
        <color theme="1"/>
        <rFont val="宋体"/>
        <charset val="134"/>
      </rPr>
      <t>搪胶鱼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乌龟</t>
    </r>
  </si>
  <si>
    <t>CMW0123</t>
  </si>
  <si>
    <t>校车巴士
（拉丁语IC）</t>
  </si>
  <si>
    <t>CMW0124</t>
  </si>
  <si>
    <t>校车巴士
（葡萄牙语IC）</t>
  </si>
  <si>
    <t>CMW0169</t>
  </si>
  <si>
    <t>CMW0170</t>
  </si>
  <si>
    <t>CMW0171</t>
  </si>
  <si>
    <r>
      <rPr>
        <sz val="10"/>
        <color theme="1"/>
        <rFont val="宋体"/>
        <charset val="134"/>
      </rPr>
      <t>盲盒装公仔</t>
    </r>
  </si>
  <si>
    <t>CMW0174</t>
  </si>
  <si>
    <r>
      <rPr>
        <sz val="10"/>
        <color theme="1"/>
        <rFont val="宋体"/>
        <charset val="134"/>
      </rPr>
      <t>盲盒公仔三代</t>
    </r>
  </si>
  <si>
    <t>CMW0182</t>
  </si>
  <si>
    <r>
      <rPr>
        <sz val="10"/>
        <color theme="1"/>
        <rFont val="宋体"/>
        <charset val="134"/>
      </rPr>
      <t>跳舞公仔</t>
    </r>
  </si>
  <si>
    <t>CMW0201</t>
  </si>
  <si>
    <r>
      <rPr>
        <sz val="10"/>
        <color theme="1"/>
        <rFont val="宋体"/>
        <charset val="134"/>
      </rPr>
      <t>纸盒装公仔</t>
    </r>
  </si>
  <si>
    <t>CMW0208</t>
  </si>
  <si>
    <t>4只公仔装（二代）</t>
  </si>
  <si>
    <t>CMW0209</t>
  </si>
  <si>
    <t>CMW0212</t>
  </si>
  <si>
    <t>8只公仔装
（亚马逊货号）</t>
  </si>
  <si>
    <t>CMW0297（CMW0174）</t>
  </si>
  <si>
    <t>CMW0352</t>
  </si>
  <si>
    <t>跳舞公仔（AMZ版）</t>
  </si>
  <si>
    <t>CMW0373</t>
  </si>
  <si>
    <t>两只公仔（散装）</t>
  </si>
  <si>
    <t>CMW0373B</t>
  </si>
  <si>
    <t>CMW0544</t>
  </si>
  <si>
    <t>跳舞公仔（WMT版）</t>
  </si>
  <si>
    <t>CMW0585（CMW0023）</t>
  </si>
  <si>
    <t>DIS0273A</t>
  </si>
  <si>
    <r>
      <rPr>
        <sz val="10"/>
        <color theme="1"/>
        <rFont val="宋体"/>
        <charset val="134"/>
      </rPr>
      <t>厨房</t>
    </r>
  </si>
  <si>
    <t>DIS0421A（CMW0420）</t>
  </si>
  <si>
    <r>
      <rPr>
        <sz val="10"/>
        <color theme="1"/>
        <rFont val="宋体"/>
        <charset val="134"/>
      </rPr>
      <t>拖车豪华版</t>
    </r>
  </si>
  <si>
    <t>DIS0457A（CMW0522）</t>
  </si>
  <si>
    <r>
      <rPr>
        <sz val="10"/>
        <color theme="1"/>
        <rFont val="宋体"/>
        <charset val="134"/>
      </rPr>
      <t>拖车豪华鸡屋版</t>
    </r>
  </si>
  <si>
    <t>FNT0079AK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</si>
  <si>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单只装公仔</t>
    </r>
  </si>
  <si>
    <t>FNT</t>
  </si>
  <si>
    <t>FNT0165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</si>
  <si>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电子版公仔</t>
    </r>
  </si>
  <si>
    <t>FNT0166</t>
  </si>
  <si>
    <t>FNT0184</t>
  </si>
  <si>
    <t>FNT0185</t>
  </si>
  <si>
    <t>FNT0208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</si>
  <si>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四只装公仔</t>
    </r>
  </si>
  <si>
    <t>FNT0428</t>
  </si>
  <si>
    <t>FNT0670</t>
  </si>
  <si>
    <t>FNT0831</t>
  </si>
  <si>
    <t>FNT0838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</si>
  <si>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四支装公仔</t>
    </r>
  </si>
  <si>
    <t>NER0150</t>
  </si>
  <si>
    <t>Nerf标靶（亚马逊版）</t>
  </si>
  <si>
    <t>NER0156</t>
  </si>
  <si>
    <t>NER0205</t>
  </si>
  <si>
    <r>
      <rPr>
        <sz val="10"/>
        <color theme="1"/>
        <rFont val="宋体"/>
        <charset val="134"/>
      </rPr>
      <t>二代标靶</t>
    </r>
  </si>
  <si>
    <t>NER0226</t>
  </si>
  <si>
    <t>NER0327</t>
  </si>
  <si>
    <r>
      <rPr>
        <sz val="10"/>
        <color theme="1"/>
        <rFont val="宋体"/>
        <charset val="134"/>
      </rPr>
      <t>组合版标靶</t>
    </r>
  </si>
  <si>
    <t>NER0339</t>
  </si>
  <si>
    <r>
      <rPr>
        <sz val="10"/>
        <color theme="1"/>
        <rFont val="宋体"/>
        <charset val="134"/>
      </rPr>
      <t>组合标靶</t>
    </r>
  </si>
  <si>
    <t>NER0340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</si>
  <si>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#1</t>
    </r>
  </si>
  <si>
    <t>NER0341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</si>
  <si>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#2</t>
    </r>
  </si>
  <si>
    <t>NER0342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</si>
  <si>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#3</t>
    </r>
  </si>
  <si>
    <t>NER0343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</si>
  <si>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#4</t>
    </r>
  </si>
  <si>
    <t>NER0344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</si>
  <si>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#5</t>
    </r>
  </si>
  <si>
    <t>NER0351</t>
  </si>
  <si>
    <r>
      <rPr>
        <sz val="10"/>
        <color theme="1"/>
        <rFont val="宋体"/>
        <charset val="134"/>
      </rPr>
      <t>射击标靶</t>
    </r>
  </si>
  <si>
    <t>PKW0030</t>
  </si>
  <si>
    <r>
      <rPr>
        <sz val="10"/>
        <color theme="1"/>
        <rFont val="宋体"/>
        <charset val="134"/>
      </rPr>
      <t>皮卡丘，伊贝混装</t>
    </r>
  </si>
  <si>
    <t>PKW0030（97759）</t>
  </si>
  <si>
    <t>PKW0031</t>
  </si>
  <si>
    <r>
      <rPr>
        <sz val="10"/>
        <color theme="1"/>
        <rFont val="宋体"/>
        <charset val="134"/>
      </rPr>
      <t>伊贝</t>
    </r>
  </si>
  <si>
    <t>ROB0243</t>
  </si>
  <si>
    <t>ROB0268</t>
  </si>
  <si>
    <r>
      <rPr>
        <sz val="10"/>
        <color theme="1"/>
        <rFont val="宋体"/>
        <charset val="134"/>
      </rPr>
      <t>混装公仔装</t>
    </r>
  </si>
  <si>
    <t>ROB0271</t>
  </si>
  <si>
    <r>
      <rPr>
        <sz val="10"/>
        <color theme="1"/>
        <rFont val="宋体"/>
        <charset val="134"/>
      </rPr>
      <t>单只公仔吸塑装</t>
    </r>
  </si>
  <si>
    <t>ROB0552</t>
  </si>
  <si>
    <t>SNF0145</t>
  </si>
  <si>
    <r>
      <rPr>
        <sz val="10"/>
        <color theme="1"/>
        <rFont val="宋体"/>
        <charset val="134"/>
      </rPr>
      <t>蜘蛛侠喷水公仔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只装</t>
    </r>
  </si>
  <si>
    <t>SNF</t>
  </si>
  <si>
    <t>SNF0146</t>
  </si>
  <si>
    <r>
      <rPr>
        <sz val="10"/>
        <color theme="1"/>
        <rFont val="宋体"/>
        <charset val="134"/>
      </rPr>
      <t>蜘蛛侠喷水公仔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只装</t>
    </r>
  </si>
  <si>
    <t>SNF0167</t>
  </si>
  <si>
    <r>
      <rPr>
        <sz val="10"/>
        <color theme="1"/>
        <rFont val="宋体"/>
        <charset val="134"/>
      </rPr>
      <t>蜘蛛侠赛车</t>
    </r>
  </si>
  <si>
    <t>SNF0181</t>
  </si>
  <si>
    <t>SNF0182</t>
  </si>
  <si>
    <t>SNF0184</t>
  </si>
  <si>
    <t>蜘蛛侠赛车（WM货号）</t>
  </si>
  <si>
    <t>SNF0201</t>
  </si>
  <si>
    <r>
      <rPr>
        <sz val="10"/>
        <color theme="1"/>
        <rFont val="宋体"/>
        <charset val="134"/>
      </rPr>
      <t>蜘蛛侠带电赛车</t>
    </r>
  </si>
  <si>
    <t>SNF0219</t>
  </si>
  <si>
    <r>
      <rPr>
        <sz val="10"/>
        <color theme="1"/>
        <rFont val="宋体"/>
        <charset val="134"/>
      </rPr>
      <t>蜘蛛侠单支装混装</t>
    </r>
  </si>
  <si>
    <t>SNF0220</t>
  </si>
  <si>
    <r>
      <rPr>
        <sz val="10"/>
        <color theme="1"/>
        <rFont val="宋体"/>
        <charset val="134"/>
      </rPr>
      <t>红人蜘蛛侠</t>
    </r>
  </si>
  <si>
    <t>SNF0221</t>
  </si>
  <si>
    <r>
      <rPr>
        <sz val="10"/>
        <color theme="1"/>
        <rFont val="宋体"/>
        <charset val="134"/>
      </rPr>
      <t>白人蜘蛛侠</t>
    </r>
  </si>
  <si>
    <t>SNF0222</t>
  </si>
  <si>
    <r>
      <rPr>
        <sz val="10"/>
        <color theme="1"/>
        <rFont val="宋体"/>
        <charset val="134"/>
      </rPr>
      <t>黑人蜘蛛侠</t>
    </r>
  </si>
  <si>
    <t>SNF0283</t>
  </si>
  <si>
    <t>蜘蛛侠带电赛车（墨西哥货号）</t>
  </si>
  <si>
    <t>CMW0108</t>
  </si>
  <si>
    <t>CMW0138</t>
  </si>
  <si>
    <t>拖车
（西班牙IC）</t>
  </si>
  <si>
    <t>CMW0252</t>
  </si>
  <si>
    <r>
      <rPr>
        <sz val="10"/>
        <color theme="1"/>
        <rFont val="Times New Roman"/>
        <charset val="134"/>
      </rPr>
      <t>JJ+</t>
    </r>
    <r>
      <rPr>
        <sz val="10"/>
        <color theme="1"/>
        <rFont val="宋体"/>
        <charset val="134"/>
      </rPr>
      <t>渔夫公仔</t>
    </r>
  </si>
  <si>
    <t>CMW0143</t>
  </si>
  <si>
    <t>火车
（葡萄牙语IC）</t>
  </si>
  <si>
    <t>CMW0118</t>
  </si>
  <si>
    <t>厨房（邮包盒）</t>
  </si>
  <si>
    <t>CMW0282</t>
  </si>
  <si>
    <r>
      <rPr>
        <sz val="10"/>
        <color theme="1"/>
        <rFont val="宋体"/>
        <charset val="134"/>
      </rPr>
      <t>俄语校车</t>
    </r>
  </si>
  <si>
    <t>CMW0283</t>
  </si>
  <si>
    <r>
      <rPr>
        <sz val="10"/>
        <color theme="1"/>
        <rFont val="宋体"/>
        <charset val="134"/>
      </rPr>
      <t>俄语拖车</t>
    </r>
  </si>
  <si>
    <t>CMW0285</t>
  </si>
  <si>
    <r>
      <rPr>
        <sz val="10"/>
        <color theme="1"/>
        <rFont val="宋体"/>
        <charset val="134"/>
      </rPr>
      <t>俄语火车</t>
    </r>
  </si>
  <si>
    <t>CMW0054</t>
  </si>
  <si>
    <t>CMW0048</t>
  </si>
  <si>
    <t>盲盒
（二代）</t>
  </si>
  <si>
    <t>CMW0048
（校车公仔）</t>
  </si>
  <si>
    <t>校车公仔（旧结构）</t>
  </si>
  <si>
    <t>CMW0048
（火车公仔）</t>
  </si>
  <si>
    <t>火车公仔（旧结构）</t>
  </si>
  <si>
    <t>CMW0048
（拖车公仔）</t>
  </si>
  <si>
    <t>拖车公仔（旧结构）</t>
  </si>
  <si>
    <t>CMW0654（CMW0182）</t>
  </si>
  <si>
    <t>CMW0137</t>
  </si>
  <si>
    <r>
      <rPr>
        <sz val="10"/>
        <color theme="1"/>
        <rFont val="宋体"/>
        <charset val="134"/>
      </rPr>
      <t>德语校车</t>
    </r>
  </si>
  <si>
    <t>PKW3901</t>
  </si>
  <si>
    <r>
      <rPr>
        <sz val="10"/>
        <color theme="1"/>
        <rFont val="宋体"/>
        <charset val="134"/>
      </rPr>
      <t>皮卡丘邮包盒</t>
    </r>
  </si>
  <si>
    <t>SNF0357</t>
  </si>
  <si>
    <r>
      <rPr>
        <sz val="10"/>
        <color theme="1"/>
        <rFont val="宋体"/>
        <charset val="134"/>
      </rPr>
      <t>挤水蜘蛛侠混装</t>
    </r>
  </si>
  <si>
    <t>SNF0355</t>
  </si>
  <si>
    <r>
      <rPr>
        <sz val="10"/>
        <color theme="1"/>
        <rFont val="宋体"/>
        <charset val="134"/>
      </rPr>
      <t>蜘蛛侠配蜘蛛网套装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</si>
</sst>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yyyy/m/d&quot;周&quot;aaa"/>
    <numFmt numFmtId="178" formatCode="0.000_ ;[Red]\-0.000\ "/>
    <numFmt numFmtId="179" formatCode="0.00_ ;[Red]\-0.00\ "/>
    <numFmt numFmtId="180" formatCode="m&quot;月&quot;d&quot;日&quot;\(aaa\)"/>
  </numFmts>
  <fonts count="35">
    <font>
      <sz val="12"/>
      <name val="宋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9"/>
      <name val="宋体"/>
      <charset val="134"/>
      <scheme val="major"/>
    </font>
    <font>
      <b/>
      <sz val="9"/>
      <color rgb="FFFF0000"/>
      <name val="宋体"/>
      <charset val="134"/>
      <scheme val="major"/>
    </font>
    <font>
      <sz val="9"/>
      <name val="宋体"/>
      <charset val="134"/>
    </font>
    <font>
      <sz val="9"/>
      <color rgb="FFFF00FF"/>
      <name val="宋体"/>
      <charset val="134"/>
      <scheme val="major"/>
    </font>
    <font>
      <b/>
      <sz val="10"/>
      <color rgb="FFFF0000"/>
      <name val="Times New Roman"/>
      <charset val="134"/>
    </font>
    <font>
      <sz val="9"/>
      <color rgb="FFFF00FF"/>
      <name val="宋体"/>
      <charset val="134"/>
    </font>
    <font>
      <b/>
      <sz val="9"/>
      <color rgb="FFFF0000"/>
      <name val="宋体"/>
      <charset val="134"/>
    </font>
    <font>
      <sz val="9"/>
      <color rgb="FF0000FF"/>
      <name val="宋体"/>
      <charset val="134"/>
      <scheme val="major"/>
    </font>
    <font>
      <sz val="9"/>
      <color rgb="FFFF0000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2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A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33" fillId="0" borderId="0"/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34" fillId="0" borderId="0"/>
    <xf numFmtId="176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73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178" fontId="3" fillId="0" borderId="0" xfId="0" applyNumberFormat="1" applyFont="1" applyFill="1" applyBorder="1" applyAlignment="1">
      <alignment horizontal="center" vertical="center" wrapText="1"/>
    </xf>
    <xf numFmtId="179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 shrinkToFit="1"/>
    </xf>
    <xf numFmtId="177" fontId="3" fillId="0" borderId="1" xfId="0" applyNumberFormat="1" applyFont="1" applyFill="1" applyBorder="1" applyAlignment="1">
      <alignment horizontal="center" vertical="center" shrinkToFit="1"/>
    </xf>
    <xf numFmtId="177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 shrinkToFit="1"/>
    </xf>
    <xf numFmtId="178" fontId="3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179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 shrinkToFit="1"/>
    </xf>
    <xf numFmtId="18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shrinkToFit="1"/>
    </xf>
    <xf numFmtId="0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 shrinkToFit="1"/>
    </xf>
    <xf numFmtId="178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 wrapText="1"/>
    </xf>
    <xf numFmtId="179" fontId="5" fillId="0" borderId="0" xfId="0" applyNumberFormat="1" applyFont="1" applyFill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7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79" fontId="8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Border="1" applyAlignment="1">
      <alignment horizontal="right" vertical="center" wrapText="1"/>
    </xf>
    <xf numFmtId="179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</cellXfs>
  <cellStyles count="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常规 6" xfId="51"/>
    <cellStyle name="Normal_Book1_INVOICE (Tray 2+ 3) 2003070091&amp;031212" xfId="52"/>
    <cellStyle name="常规 5 2" xfId="53"/>
    <cellStyle name="_ET_STYLE_NoName_00_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 2 2" xfId="61"/>
    <cellStyle name="常规 2 3" xfId="62"/>
    <cellStyle name="常规 2 3 2" xfId="63"/>
    <cellStyle name="常规 2" xfId="64"/>
    <cellStyle name="常规 2 3 2 2" xfId="65"/>
    <cellStyle name="常规 2 4" xfId="66"/>
    <cellStyle name="常规 2 4 2" xfId="67"/>
    <cellStyle name="常规 3" xfId="68"/>
    <cellStyle name="常规 3 2" xfId="69"/>
    <cellStyle name="常规 3 2 2" xfId="70"/>
    <cellStyle name="常规 3 3" xfId="71"/>
    <cellStyle name="常规 4" xfId="72"/>
    <cellStyle name="常规 4 2" xfId="73"/>
    <cellStyle name="常规 4 2 2" xfId="74"/>
    <cellStyle name="常规 4 3" xfId="75"/>
    <cellStyle name="常规 5" xfId="76"/>
    <cellStyle name="常规_2014年Basic Concepts合同评审表(3)" xfId="77"/>
    <cellStyle name="常规_Sheet3" xfId="78"/>
    <cellStyle name="常规_排期" xfId="79"/>
    <cellStyle name="千位分隔 2" xfId="80"/>
    <cellStyle name="千位分隔 2 2" xfId="81"/>
    <cellStyle name="千位分隔 2 2 2" xfId="82"/>
    <cellStyle name="千位分隔 2 4" xfId="83"/>
    <cellStyle name="千位分隔 2 2 2 2" xfId="84"/>
    <cellStyle name="千位分隔 2 2 3" xfId="85"/>
    <cellStyle name="千位分隔 2 3" xfId="86"/>
    <cellStyle name="千位分隔 2 3 2" xfId="87"/>
    <cellStyle name="样式 1" xfId="88"/>
    <cellStyle name="样式 1 2" xfId="89"/>
    <cellStyle name="样式 1 2 2 2" xfId="90"/>
    <cellStyle name="样式 1 3" xfId="91"/>
    <cellStyle name="样式 1 3 2" xfId="92"/>
    <cellStyle name="样式 1 4" xfId="9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1B1BFB"/>
      <color rgb="001552D1"/>
      <color rgb="00E82EE6"/>
      <color rgb="00FAE5F8"/>
      <color rgb="000000FF"/>
      <color rgb="00ECA7E6"/>
      <color rgb="00FF0000"/>
      <color rgb="00000000"/>
      <color rgb="00FFFF00"/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63" dbFileVersion="0" changeLogVersion="0">
    <open main="43" threadCnt="1"/>
    <sheetInfos>
      <sheetInfo cellCmpFml="16" sheetStid="47">
        <open main="1" threadCnt="1"/>
      </sheetInfo>
      <sheetInfo cellCmpFml="17" sheetStid="45">
        <open threadCnt="1"/>
      </sheetInfo>
      <sheetInfo cellCmpFml="17" sheetStid="49">
        <open threadCnt="1"/>
      </sheetInfo>
      <sheetInfo cellCmpFml="13" sheetStid="50">
        <open threadCnt="1"/>
      </sheetInfo>
      <sheetInfo cellCmpFml="0" sheetStid="48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pane xSplit="7" ySplit="2" topLeftCell="H3" activePane="bottomRight" state="frozen"/>
      <selection/>
      <selection pane="topRight"/>
      <selection pane="bottomLeft"/>
      <selection pane="bottomRight" activeCell="J17" sqref="J17"/>
    </sheetView>
  </sheetViews>
  <sheetFormatPr defaultColWidth="9" defaultRowHeight="25" customHeight="1"/>
  <cols>
    <col min="1" max="2" width="12.6" style="39" customWidth="1"/>
    <col min="3" max="4" width="12.6" style="40" customWidth="1"/>
    <col min="5" max="5" width="10.6" style="40" customWidth="1"/>
    <col min="6" max="6" width="8.625" style="43" customWidth="1"/>
    <col min="7" max="7" width="6.625" style="39" customWidth="1"/>
    <col min="8" max="11" width="10.625" style="39" customWidth="1"/>
    <col min="12" max="12" width="8.6" style="44" customWidth="1"/>
    <col min="13" max="14" width="12.6" style="45" customWidth="1"/>
    <col min="15" max="16384" width="9" style="39"/>
  </cols>
  <sheetData>
    <row r="1" s="39" customFormat="1" customHeight="1" spans="1:14">
      <c r="A1" s="46" t="s">
        <v>0</v>
      </c>
      <c r="B1" s="46"/>
      <c r="C1" s="46"/>
      <c r="D1" s="46"/>
      <c r="E1" s="46"/>
      <c r="F1" s="47"/>
      <c r="G1" s="46"/>
      <c r="H1" s="48"/>
      <c r="I1" s="15"/>
      <c r="J1" s="49"/>
      <c r="K1" s="49"/>
      <c r="L1" s="50"/>
      <c r="M1" s="51"/>
      <c r="N1" s="51"/>
    </row>
    <row r="2" s="40" customFormat="1" customHeight="1" spans="1:14">
      <c r="A2" s="18" t="s">
        <v>1</v>
      </c>
      <c r="B2" s="18" t="s">
        <v>2</v>
      </c>
      <c r="C2" s="14" t="s">
        <v>3</v>
      </c>
      <c r="D2" s="14" t="s">
        <v>4</v>
      </c>
      <c r="E2" s="14" t="s">
        <v>5</v>
      </c>
      <c r="F2" s="15" t="s">
        <v>6</v>
      </c>
      <c r="G2" s="18" t="s">
        <v>7</v>
      </c>
      <c r="H2" s="15" t="s">
        <v>8</v>
      </c>
      <c r="I2" s="15"/>
      <c r="J2" s="49"/>
      <c r="K2" s="49"/>
      <c r="L2" s="50" t="s">
        <v>9</v>
      </c>
      <c r="M2" s="51" t="s">
        <v>10</v>
      </c>
      <c r="N2" s="51" t="s">
        <v>11</v>
      </c>
    </row>
    <row r="3" s="41" customFormat="1" customHeight="1" spans="1:14">
      <c r="A3" s="28">
        <v>45650</v>
      </c>
      <c r="B3" s="33">
        <v>45672</v>
      </c>
      <c r="C3" s="52"/>
      <c r="D3" s="30" t="s">
        <v>12</v>
      </c>
      <c r="E3" s="30" t="s">
        <v>8</v>
      </c>
      <c r="F3" s="31">
        <v>15000</v>
      </c>
      <c r="G3" s="30"/>
      <c r="H3" s="53">
        <f>F3</f>
        <v>15000</v>
      </c>
      <c r="I3" s="53"/>
      <c r="J3" s="54"/>
      <c r="K3" s="54"/>
      <c r="L3" s="35">
        <v>0.63</v>
      </c>
      <c r="M3" s="55">
        <f t="shared" ref="M3:M8" si="0">SUM(H3:K3)*L3</f>
        <v>9450</v>
      </c>
      <c r="N3" s="55">
        <f t="shared" ref="N3:N8" si="1">M3*7.75</f>
        <v>73237.5</v>
      </c>
    </row>
    <row r="4" s="39" customFormat="1" customHeight="1" spans="1:14">
      <c r="A4" s="46"/>
      <c r="B4" s="46"/>
      <c r="C4" s="56"/>
      <c r="D4" s="49"/>
      <c r="E4" s="49"/>
      <c r="F4" s="57"/>
      <c r="G4" s="15"/>
      <c r="H4" s="49"/>
      <c r="I4" s="49"/>
      <c r="J4" s="47"/>
      <c r="K4" s="47"/>
      <c r="L4" s="50"/>
      <c r="M4" s="51">
        <f t="shared" si="0"/>
        <v>0</v>
      </c>
      <c r="N4" s="51">
        <f t="shared" si="1"/>
        <v>0</v>
      </c>
    </row>
    <row r="5" s="39" customFormat="1" customHeight="1" spans="1:14">
      <c r="A5" s="46"/>
      <c r="B5" s="46"/>
      <c r="C5" s="56"/>
      <c r="D5" s="49"/>
      <c r="E5" s="49"/>
      <c r="F5" s="57"/>
      <c r="G5" s="15"/>
      <c r="H5" s="49"/>
      <c r="I5" s="49"/>
      <c r="J5" s="47"/>
      <c r="K5" s="47"/>
      <c r="L5" s="50"/>
      <c r="M5" s="51">
        <f t="shared" si="0"/>
        <v>0</v>
      </c>
      <c r="N5" s="51">
        <f t="shared" si="1"/>
        <v>0</v>
      </c>
    </row>
    <row r="6" s="39" customFormat="1" customHeight="1" spans="1:14">
      <c r="A6" s="46"/>
      <c r="B6" s="46"/>
      <c r="C6" s="56"/>
      <c r="D6" s="49"/>
      <c r="E6" s="49"/>
      <c r="F6" s="57"/>
      <c r="G6" s="15"/>
      <c r="H6" s="49"/>
      <c r="I6" s="49"/>
      <c r="J6" s="47"/>
      <c r="K6" s="47"/>
      <c r="L6" s="50"/>
      <c r="M6" s="51">
        <f t="shared" si="0"/>
        <v>0</v>
      </c>
      <c r="N6" s="51">
        <f t="shared" si="1"/>
        <v>0</v>
      </c>
    </row>
    <row r="7" s="39" customFormat="1" customHeight="1" spans="1:14">
      <c r="A7" s="46"/>
      <c r="B7" s="46"/>
      <c r="C7" s="56"/>
      <c r="D7" s="49"/>
      <c r="E7" s="49"/>
      <c r="F7" s="57"/>
      <c r="G7" s="15"/>
      <c r="H7" s="49"/>
      <c r="I7" s="49"/>
      <c r="J7" s="47"/>
      <c r="K7" s="47"/>
      <c r="L7" s="50"/>
      <c r="M7" s="51">
        <f t="shared" si="0"/>
        <v>0</v>
      </c>
      <c r="N7" s="51">
        <f t="shared" si="1"/>
        <v>0</v>
      </c>
    </row>
    <row r="8" customHeight="1" spans="1:14">
      <c r="A8" s="46"/>
      <c r="B8" s="46"/>
      <c r="C8" s="56"/>
      <c r="D8" s="49"/>
      <c r="E8" s="49"/>
      <c r="F8" s="57"/>
      <c r="G8" s="49"/>
      <c r="H8" s="49"/>
      <c r="I8" s="49"/>
      <c r="J8" s="47"/>
      <c r="K8" s="47"/>
      <c r="L8" s="50"/>
      <c r="M8" s="51">
        <f t="shared" si="0"/>
        <v>0</v>
      </c>
      <c r="N8" s="51">
        <f t="shared" si="1"/>
        <v>0</v>
      </c>
    </row>
    <row r="9" s="42" customFormat="1" customHeight="1" spans="1:14">
      <c r="A9" s="58"/>
      <c r="B9" s="58"/>
      <c r="C9" s="59"/>
      <c r="D9" s="59"/>
      <c r="E9" s="59" t="s">
        <v>13</v>
      </c>
      <c r="F9" s="60">
        <f>SUM(F2:F8)</f>
        <v>15000</v>
      </c>
      <c r="G9" s="60">
        <f>F9-L9</f>
        <v>0</v>
      </c>
      <c r="H9" s="60">
        <f>SUM(H3:H8)</f>
        <v>15000</v>
      </c>
      <c r="I9" s="60">
        <f>SUM(I3:I8)</f>
        <v>0</v>
      </c>
      <c r="J9" s="60">
        <f>SUM(J3:J8)</f>
        <v>0</v>
      </c>
      <c r="K9" s="60">
        <f>SUM(K3:K8)</f>
        <v>0</v>
      </c>
      <c r="L9" s="61">
        <f>SUM(H9:K9)</f>
        <v>15000</v>
      </c>
      <c r="M9" s="61">
        <f>SUM(M2:M8)</f>
        <v>9450</v>
      </c>
      <c r="N9" s="61">
        <f>SUM(N2:N8)</f>
        <v>73237.5</v>
      </c>
    </row>
    <row r="10" customHeight="1" spans="1:14">
      <c r="F10" s="62"/>
    </row>
    <row r="13" customHeight="1" spans="1:14">
      <c r="A13" s="63" t="s">
        <v>14</v>
      </c>
      <c r="B13" s="64">
        <f>N9</f>
        <v>73237.5</v>
      </c>
    </row>
    <row r="14" customHeight="1" spans="1:14">
      <c r="A14" s="63" t="s">
        <v>15</v>
      </c>
      <c r="B14" s="64">
        <f>总排期!Y9</f>
        <v>0</v>
      </c>
    </row>
    <row r="15" customHeight="1" spans="1:14">
      <c r="A15" s="63" t="s">
        <v>16</v>
      </c>
      <c r="B15" s="64">
        <f>已走货!Y8</f>
        <v>73237.5</v>
      </c>
    </row>
    <row r="16" customHeight="1" spans="1:14">
      <c r="A16" s="63"/>
      <c r="B16" s="64">
        <f>B13-B14-B15</f>
        <v>0</v>
      </c>
    </row>
    <row r="17" customHeight="1" spans="1:2">
      <c r="A17" s="63"/>
      <c r="B17" s="64"/>
    </row>
    <row r="18" customHeight="1" spans="1:2">
      <c r="A18" s="65" t="s">
        <v>17</v>
      </c>
      <c r="B18" s="66"/>
    </row>
    <row r="19" customHeight="1" spans="1:2">
      <c r="A19" s="67" t="s">
        <v>18</v>
      </c>
      <c r="B19" s="67" t="s">
        <v>19</v>
      </c>
    </row>
    <row r="20" customHeight="1" spans="1:2">
      <c r="A20" s="68" t="s">
        <v>20</v>
      </c>
      <c r="B20" s="68" t="s">
        <v>21</v>
      </c>
    </row>
    <row r="21" customHeight="1" spans="1:2">
      <c r="A21" s="69" t="s">
        <v>22</v>
      </c>
      <c r="B21" s="69" t="s">
        <v>23</v>
      </c>
    </row>
    <row r="22" customHeight="1" spans="1:2">
      <c r="A22" s="70" t="s">
        <v>24</v>
      </c>
      <c r="B22" s="70" t="s">
        <v>25</v>
      </c>
    </row>
    <row r="23" customHeight="1" spans="1:2">
      <c r="A23" s="71" t="s">
        <v>26</v>
      </c>
      <c r="B23" s="71" t="s">
        <v>27</v>
      </c>
    </row>
    <row r="24" customHeight="1" spans="1:2">
      <c r="A24" s="72" t="s">
        <v>28</v>
      </c>
      <c r="B24" s="72" t="s">
        <v>29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N10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25" customHeight="1"/>
  <cols>
    <col min="1" max="1" width="12.6" style="6" customWidth="1"/>
    <col min="2" max="2" width="12.625" style="7" customWidth="1"/>
    <col min="3" max="3" width="8.625" style="7" customWidth="1"/>
    <col min="4" max="7" width="12.625" style="7" customWidth="1"/>
    <col min="8" max="8" width="8.625" style="7" customWidth="1"/>
    <col min="9" max="9" width="5.625" style="7" customWidth="1"/>
    <col min="10" max="10" width="5.625" style="8" customWidth="1"/>
    <col min="11" max="12" width="12.625" style="9" customWidth="1"/>
    <col min="13" max="13" width="12.625" style="9" hidden="1" customWidth="1"/>
    <col min="14" max="15" width="8.625" style="4" hidden="1" customWidth="1"/>
    <col min="16" max="17" width="12.625" style="9" hidden="1" customWidth="1"/>
    <col min="18" max="21" width="10.625" style="7" hidden="1" customWidth="1"/>
    <col min="22" max="22" width="20.625" style="9" customWidth="1"/>
    <col min="23" max="23" width="8.625" style="10" customWidth="1"/>
    <col min="24" max="25" width="12.625" style="11" customWidth="1"/>
    <col min="26" max="26" width="8.625" style="12" customWidth="1"/>
    <col min="27" max="27" width="8.625" style="9" customWidth="1"/>
    <col min="28" max="16384" width="9" style="4"/>
  </cols>
  <sheetData>
    <row r="1" s="4" customFormat="1" customHeight="1" spans="1:27">
      <c r="A1" s="13" t="s">
        <v>1</v>
      </c>
      <c r="B1" s="14" t="s">
        <v>30</v>
      </c>
      <c r="C1" s="14" t="s">
        <v>31</v>
      </c>
      <c r="D1" s="14" t="s">
        <v>3</v>
      </c>
      <c r="E1" s="14" t="s">
        <v>4</v>
      </c>
      <c r="F1" s="14" t="s">
        <v>5</v>
      </c>
      <c r="G1" s="15" t="s">
        <v>0</v>
      </c>
      <c r="H1" s="15" t="s">
        <v>6</v>
      </c>
      <c r="I1" s="15" t="s">
        <v>32</v>
      </c>
      <c r="J1" s="16" t="s">
        <v>33</v>
      </c>
      <c r="K1" s="17" t="s">
        <v>34</v>
      </c>
      <c r="L1" s="18" t="s">
        <v>2</v>
      </c>
      <c r="M1" s="18" t="s">
        <v>35</v>
      </c>
      <c r="N1" s="14" t="s">
        <v>36</v>
      </c>
      <c r="O1" s="14" t="s">
        <v>37</v>
      </c>
      <c r="P1" s="14" t="s">
        <v>38</v>
      </c>
      <c r="Q1" s="17" t="s">
        <v>39</v>
      </c>
      <c r="R1" s="14" t="s">
        <v>40</v>
      </c>
      <c r="S1" s="14" t="s">
        <v>41</v>
      </c>
      <c r="T1" s="14" t="s">
        <v>7</v>
      </c>
      <c r="U1" s="14" t="s">
        <v>42</v>
      </c>
      <c r="V1" s="22" t="s">
        <v>43</v>
      </c>
      <c r="W1" s="19" t="s">
        <v>44</v>
      </c>
      <c r="X1" s="20" t="s">
        <v>10</v>
      </c>
      <c r="Y1" s="20" t="s">
        <v>11</v>
      </c>
      <c r="Z1" s="21" t="s">
        <v>45</v>
      </c>
      <c r="AA1" s="22" t="s">
        <v>46</v>
      </c>
    </row>
    <row r="2" s="4" customFormat="1" customHeight="1" spans="1:27">
      <c r="A2" s="13"/>
      <c r="B2" s="23"/>
      <c r="C2" s="23"/>
      <c r="D2" s="15"/>
      <c r="E2" s="15"/>
      <c r="F2" s="15"/>
      <c r="G2" s="24"/>
      <c r="H2" s="24"/>
      <c r="I2" s="24"/>
      <c r="J2" s="16"/>
      <c r="K2" s="17"/>
      <c r="L2" s="17"/>
      <c r="M2" s="17"/>
      <c r="N2" s="14"/>
      <c r="O2" s="14"/>
      <c r="P2" s="17"/>
      <c r="Q2" s="17"/>
      <c r="R2" s="15"/>
      <c r="S2" s="15"/>
      <c r="T2" s="15"/>
      <c r="U2" s="15"/>
      <c r="V2" s="17"/>
      <c r="W2" s="19"/>
      <c r="X2" s="25">
        <f t="shared" ref="X2:X8" si="0">H2*W2</f>
        <v>0</v>
      </c>
      <c r="Y2" s="25">
        <f t="shared" ref="Y2:Y8" si="1">X2*7.75</f>
        <v>0</v>
      </c>
      <c r="Z2" s="38"/>
      <c r="AA2" s="17"/>
    </row>
    <row r="3" s="4" customFormat="1" customHeight="1" spans="1:27">
      <c r="A3" s="13"/>
      <c r="B3" s="23"/>
      <c r="C3" s="23"/>
      <c r="D3" s="15"/>
      <c r="E3" s="15"/>
      <c r="F3" s="15"/>
      <c r="G3" s="24"/>
      <c r="H3" s="24"/>
      <c r="I3" s="24"/>
      <c r="J3" s="16"/>
      <c r="K3" s="17"/>
      <c r="L3" s="17"/>
      <c r="M3" s="17"/>
      <c r="N3" s="14"/>
      <c r="O3" s="14"/>
      <c r="P3" s="17"/>
      <c r="Q3" s="17"/>
      <c r="R3" s="15"/>
      <c r="S3" s="15"/>
      <c r="T3" s="15"/>
      <c r="U3" s="15"/>
      <c r="V3" s="17"/>
      <c r="W3" s="19"/>
      <c r="X3" s="25">
        <f t="shared" si="0"/>
        <v>0</v>
      </c>
      <c r="Y3" s="25">
        <f t="shared" si="1"/>
        <v>0</v>
      </c>
      <c r="Z3" s="38"/>
      <c r="AA3" s="17"/>
    </row>
    <row r="4" s="4" customFormat="1" customHeight="1" spans="1:27">
      <c r="A4" s="13"/>
      <c r="B4" s="23"/>
      <c r="C4" s="23"/>
      <c r="D4" s="15"/>
      <c r="E4" s="15"/>
      <c r="F4" s="15"/>
      <c r="G4" s="24"/>
      <c r="H4" s="24"/>
      <c r="I4" s="24"/>
      <c r="J4" s="16"/>
      <c r="K4" s="17"/>
      <c r="L4" s="17"/>
      <c r="M4" s="17"/>
      <c r="N4" s="14"/>
      <c r="O4" s="14"/>
      <c r="P4" s="17"/>
      <c r="Q4" s="17"/>
      <c r="R4" s="15"/>
      <c r="S4" s="15"/>
      <c r="T4" s="15"/>
      <c r="U4" s="15"/>
      <c r="V4" s="17"/>
      <c r="W4" s="19"/>
      <c r="X4" s="25">
        <f t="shared" si="0"/>
        <v>0</v>
      </c>
      <c r="Y4" s="25">
        <f t="shared" si="1"/>
        <v>0</v>
      </c>
      <c r="Z4" s="38"/>
      <c r="AA4" s="17"/>
    </row>
    <row r="5" s="4" customFormat="1" customHeight="1" spans="1:27">
      <c r="A5" s="13"/>
      <c r="B5" s="23"/>
      <c r="C5" s="23"/>
      <c r="D5" s="15"/>
      <c r="E5" s="15"/>
      <c r="F5" s="15"/>
      <c r="G5" s="24"/>
      <c r="H5" s="24"/>
      <c r="I5" s="24"/>
      <c r="J5" s="16"/>
      <c r="K5" s="17"/>
      <c r="L5" s="17"/>
      <c r="M5" s="17"/>
      <c r="N5" s="14"/>
      <c r="O5" s="14"/>
      <c r="P5" s="17"/>
      <c r="Q5" s="17"/>
      <c r="R5" s="15"/>
      <c r="S5" s="15"/>
      <c r="T5" s="15"/>
      <c r="U5" s="15"/>
      <c r="V5" s="17"/>
      <c r="W5" s="19"/>
      <c r="X5" s="25">
        <f t="shared" si="0"/>
        <v>0</v>
      </c>
      <c r="Y5" s="25">
        <f t="shared" si="1"/>
        <v>0</v>
      </c>
      <c r="Z5" s="38"/>
      <c r="AA5" s="17"/>
    </row>
    <row r="6" s="4" customFormat="1" customHeight="1" spans="1:27">
      <c r="A6" s="13"/>
      <c r="B6" s="23"/>
      <c r="C6" s="23"/>
      <c r="D6" s="15"/>
      <c r="E6" s="15"/>
      <c r="F6" s="15"/>
      <c r="G6" s="24"/>
      <c r="H6" s="24"/>
      <c r="I6" s="24"/>
      <c r="J6" s="16"/>
      <c r="K6" s="17"/>
      <c r="L6" s="17"/>
      <c r="M6" s="17"/>
      <c r="N6" s="14"/>
      <c r="O6" s="14"/>
      <c r="P6" s="17"/>
      <c r="Q6" s="17"/>
      <c r="R6" s="15"/>
      <c r="S6" s="15"/>
      <c r="T6" s="15"/>
      <c r="U6" s="15"/>
      <c r="V6" s="17"/>
      <c r="W6" s="19"/>
      <c r="X6" s="25">
        <f t="shared" si="0"/>
        <v>0</v>
      </c>
      <c r="Y6" s="25">
        <f t="shared" si="1"/>
        <v>0</v>
      </c>
      <c r="Z6" s="38"/>
      <c r="AA6" s="17"/>
    </row>
    <row r="7" s="4" customFormat="1" customHeight="1" spans="1:27">
      <c r="A7" s="13"/>
      <c r="B7" s="23"/>
      <c r="C7" s="23"/>
      <c r="D7" s="15"/>
      <c r="E7" s="15"/>
      <c r="F7" s="15"/>
      <c r="G7" s="24"/>
      <c r="H7" s="24"/>
      <c r="I7" s="24"/>
      <c r="J7" s="16"/>
      <c r="K7" s="17"/>
      <c r="L7" s="17"/>
      <c r="M7" s="17"/>
      <c r="N7" s="14"/>
      <c r="O7" s="14"/>
      <c r="P7" s="17"/>
      <c r="Q7" s="17"/>
      <c r="R7" s="15"/>
      <c r="S7" s="15"/>
      <c r="T7" s="15"/>
      <c r="U7" s="15"/>
      <c r="V7" s="17"/>
      <c r="W7" s="19"/>
      <c r="X7" s="25">
        <f t="shared" si="0"/>
        <v>0</v>
      </c>
      <c r="Y7" s="25">
        <f t="shared" si="1"/>
        <v>0</v>
      </c>
      <c r="Z7" s="38"/>
      <c r="AA7" s="17"/>
    </row>
    <row r="8" s="4" customFormat="1" customHeight="1" spans="1:27">
      <c r="A8" s="13"/>
      <c r="B8" s="23"/>
      <c r="C8" s="23"/>
      <c r="D8" s="15"/>
      <c r="E8" s="15"/>
      <c r="F8" s="15"/>
      <c r="G8" s="24"/>
      <c r="H8" s="24"/>
      <c r="I8" s="24"/>
      <c r="J8" s="16"/>
      <c r="K8" s="17"/>
      <c r="L8" s="17"/>
      <c r="M8" s="17"/>
      <c r="N8" s="14"/>
      <c r="O8" s="14"/>
      <c r="P8" s="17"/>
      <c r="Q8" s="17"/>
      <c r="R8" s="15"/>
      <c r="S8" s="15"/>
      <c r="T8" s="15"/>
      <c r="U8" s="15"/>
      <c r="V8" s="17"/>
      <c r="W8" s="19"/>
      <c r="X8" s="25">
        <f t="shared" si="0"/>
        <v>0</v>
      </c>
      <c r="Y8" s="25">
        <f t="shared" si="1"/>
        <v>0</v>
      </c>
      <c r="Z8" s="38"/>
      <c r="AA8" s="17"/>
    </row>
    <row r="9" s="5" customFormat="1" customHeight="1" spans="1:27">
      <c r="A9" s="13"/>
      <c r="B9" s="15"/>
      <c r="C9" s="15"/>
      <c r="D9" s="15"/>
      <c r="E9" s="15"/>
      <c r="F9" s="15"/>
      <c r="G9" s="15" t="s">
        <v>47</v>
      </c>
      <c r="H9" s="15">
        <f>SUM(H2:H8)</f>
        <v>0</v>
      </c>
      <c r="I9" s="15"/>
      <c r="J9" s="16"/>
      <c r="K9" s="26"/>
      <c r="L9" s="26"/>
      <c r="M9" s="26"/>
      <c r="N9" s="22"/>
      <c r="O9" s="22"/>
      <c r="P9" s="26"/>
      <c r="Q9" s="26"/>
      <c r="R9" s="15"/>
      <c r="S9" s="15"/>
      <c r="T9" s="15"/>
      <c r="U9" s="15"/>
      <c r="V9" s="26"/>
      <c r="W9" s="19"/>
      <c r="X9" s="20">
        <f>SUM(X2:X8)</f>
        <v>0</v>
      </c>
      <c r="Y9" s="20">
        <f>SUM(Y2:Y8)</f>
        <v>0</v>
      </c>
      <c r="Z9" s="21"/>
      <c r="AA9" s="2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A9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AA8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Z3" sqref="Z3"/>
    </sheetView>
  </sheetViews>
  <sheetFormatPr defaultColWidth="9" defaultRowHeight="25" customHeight="1" outlineLevelRow="7"/>
  <cols>
    <col min="1" max="1" width="12.6" style="6" customWidth="1"/>
    <col min="2" max="2" width="12.625" style="7" hidden="1" customWidth="1"/>
    <col min="3" max="3" width="8.625" style="7" hidden="1" customWidth="1"/>
    <col min="4" max="6" width="12.625" style="7" customWidth="1"/>
    <col min="7" max="7" width="10.625" style="7" customWidth="1"/>
    <col min="8" max="8" width="8.625" style="7" customWidth="1"/>
    <col min="9" max="9" width="5.625" style="7" customWidth="1"/>
    <col min="10" max="10" width="5.625" style="8" customWidth="1"/>
    <col min="11" max="11" width="12.625" style="9" hidden="1" customWidth="1"/>
    <col min="12" max="12" width="12.625" style="9" customWidth="1"/>
    <col min="13" max="13" width="12.625" style="9" hidden="1" customWidth="1"/>
    <col min="14" max="15" width="8.625" style="4" hidden="1" customWidth="1"/>
    <col min="16" max="17" width="12.625" style="9" hidden="1" customWidth="1"/>
    <col min="18" max="19" width="10.625" style="7" hidden="1" customWidth="1"/>
    <col min="20" max="20" width="12.625" style="7" customWidth="1"/>
    <col min="21" max="21" width="12.625" style="7" hidden="1" customWidth="1"/>
    <col min="22" max="22" width="15.625" style="7" customWidth="1"/>
    <col min="23" max="23" width="8.625" style="10" customWidth="1"/>
    <col min="24" max="25" width="12.625" style="11" customWidth="1"/>
    <col min="26" max="26" width="8.625" style="12" customWidth="1"/>
    <col min="27" max="27" width="8.625" style="9" customWidth="1"/>
    <col min="28" max="16384" width="9" style="4"/>
  </cols>
  <sheetData>
    <row r="1" s="4" customFormat="1" customHeight="1" spans="1:27">
      <c r="A1" s="13" t="s">
        <v>1</v>
      </c>
      <c r="B1" s="14" t="s">
        <v>30</v>
      </c>
      <c r="C1" s="14" t="s">
        <v>31</v>
      </c>
      <c r="D1" s="14" t="s">
        <v>3</v>
      </c>
      <c r="E1" s="14" t="s">
        <v>4</v>
      </c>
      <c r="F1" s="14" t="s">
        <v>5</v>
      </c>
      <c r="G1" s="15" t="s">
        <v>0</v>
      </c>
      <c r="H1" s="15" t="s">
        <v>6</v>
      </c>
      <c r="I1" s="15" t="s">
        <v>32</v>
      </c>
      <c r="J1" s="16" t="s">
        <v>33</v>
      </c>
      <c r="K1" s="17" t="s">
        <v>34</v>
      </c>
      <c r="L1" s="18" t="s">
        <v>2</v>
      </c>
      <c r="M1" s="14" t="s">
        <v>35</v>
      </c>
      <c r="N1" s="14" t="s">
        <v>36</v>
      </c>
      <c r="O1" s="14" t="s">
        <v>37</v>
      </c>
      <c r="P1" s="14" t="s">
        <v>38</v>
      </c>
      <c r="Q1" s="17" t="s">
        <v>39</v>
      </c>
      <c r="R1" s="14" t="s">
        <v>48</v>
      </c>
      <c r="S1" s="14" t="s">
        <v>41</v>
      </c>
      <c r="T1" s="18" t="s">
        <v>7</v>
      </c>
      <c r="U1" s="18" t="s">
        <v>42</v>
      </c>
      <c r="V1" s="14" t="s">
        <v>43</v>
      </c>
      <c r="W1" s="19" t="s">
        <v>44</v>
      </c>
      <c r="X1" s="20" t="s">
        <v>10</v>
      </c>
      <c r="Y1" s="20" t="s">
        <v>11</v>
      </c>
      <c r="Z1" s="21" t="s">
        <v>45</v>
      </c>
      <c r="AA1" s="22" t="s">
        <v>46</v>
      </c>
    </row>
    <row r="2" s="27" customFormat="1" customHeight="1" spans="1:27">
      <c r="A2" s="28">
        <v>45650</v>
      </c>
      <c r="B2" s="29" t="s">
        <v>49</v>
      </c>
      <c r="C2" s="29"/>
      <c r="D2" s="30"/>
      <c r="E2" s="30" t="s">
        <v>12</v>
      </c>
      <c r="F2" s="30" t="s">
        <v>8</v>
      </c>
      <c r="G2" s="31"/>
      <c r="H2" s="31">
        <v>15000</v>
      </c>
      <c r="I2" s="31">
        <v>50</v>
      </c>
      <c r="J2" s="32">
        <f>H2/I2</f>
        <v>300</v>
      </c>
      <c r="K2" s="33">
        <v>45672</v>
      </c>
      <c r="L2" s="33">
        <f>K2-7</f>
        <v>45665</v>
      </c>
      <c r="M2" s="33"/>
      <c r="N2" s="34"/>
      <c r="O2" s="34"/>
      <c r="P2" s="33"/>
      <c r="Q2" s="33"/>
      <c r="R2" s="30"/>
      <c r="S2" s="30"/>
      <c r="T2" s="30"/>
      <c r="U2" s="30"/>
      <c r="V2" s="33"/>
      <c r="W2" s="35">
        <v>0.63</v>
      </c>
      <c r="X2" s="36">
        <f t="shared" ref="X2:X7" si="0">H2*W2</f>
        <v>9450</v>
      </c>
      <c r="Y2" s="36">
        <f t="shared" ref="Y2:Y7" si="1">X2*7.75</f>
        <v>73237.5</v>
      </c>
      <c r="Z2" s="37" t="s">
        <v>50</v>
      </c>
      <c r="AA2" s="33"/>
    </row>
    <row r="3" s="4" customFormat="1" customHeight="1" spans="1:27">
      <c r="A3" s="13"/>
      <c r="B3" s="23"/>
      <c r="C3" s="23"/>
      <c r="D3" s="15"/>
      <c r="E3" s="22"/>
      <c r="F3" s="15"/>
      <c r="G3" s="24"/>
      <c r="H3" s="24"/>
      <c r="I3" s="24"/>
      <c r="J3" s="16"/>
      <c r="K3" s="17"/>
      <c r="L3" s="17"/>
      <c r="M3" s="17"/>
      <c r="N3" s="14"/>
      <c r="O3" s="14"/>
      <c r="P3" s="17"/>
      <c r="Q3" s="17"/>
      <c r="R3" s="15"/>
      <c r="S3" s="15"/>
      <c r="T3" s="15"/>
      <c r="U3" s="15"/>
      <c r="V3" s="15"/>
      <c r="W3" s="19"/>
      <c r="X3" s="25">
        <f t="shared" si="0"/>
        <v>0</v>
      </c>
      <c r="Y3" s="25">
        <f t="shared" si="1"/>
        <v>0</v>
      </c>
      <c r="Z3" s="21"/>
      <c r="AA3" s="17"/>
    </row>
    <row r="4" s="4" customFormat="1" customHeight="1" spans="1:27">
      <c r="A4" s="13"/>
      <c r="B4" s="23"/>
      <c r="C4" s="23"/>
      <c r="D4" s="15"/>
      <c r="E4" s="22"/>
      <c r="F4" s="15"/>
      <c r="G4" s="24"/>
      <c r="H4" s="24"/>
      <c r="I4" s="24"/>
      <c r="J4" s="16"/>
      <c r="K4" s="17"/>
      <c r="L4" s="17"/>
      <c r="M4" s="17"/>
      <c r="N4" s="14"/>
      <c r="O4" s="14"/>
      <c r="P4" s="17"/>
      <c r="Q4" s="17"/>
      <c r="R4" s="15"/>
      <c r="S4" s="15"/>
      <c r="T4" s="15"/>
      <c r="U4" s="15"/>
      <c r="V4" s="15"/>
      <c r="W4" s="19"/>
      <c r="X4" s="25">
        <f t="shared" si="0"/>
        <v>0</v>
      </c>
      <c r="Y4" s="25">
        <f t="shared" si="1"/>
        <v>0</v>
      </c>
      <c r="Z4" s="21"/>
      <c r="AA4" s="17"/>
    </row>
    <row r="5" s="4" customFormat="1" customHeight="1" spans="1:27">
      <c r="A5" s="13"/>
      <c r="B5" s="23"/>
      <c r="C5" s="23"/>
      <c r="D5" s="15"/>
      <c r="E5" s="22"/>
      <c r="F5" s="15"/>
      <c r="G5" s="24"/>
      <c r="H5" s="24"/>
      <c r="I5" s="24"/>
      <c r="J5" s="16"/>
      <c r="K5" s="17"/>
      <c r="L5" s="17"/>
      <c r="M5" s="17"/>
      <c r="N5" s="14"/>
      <c r="O5" s="14"/>
      <c r="P5" s="17"/>
      <c r="Q5" s="17"/>
      <c r="R5" s="15"/>
      <c r="S5" s="15"/>
      <c r="T5" s="15"/>
      <c r="U5" s="15"/>
      <c r="V5" s="15"/>
      <c r="W5" s="19"/>
      <c r="X5" s="25">
        <f t="shared" si="0"/>
        <v>0</v>
      </c>
      <c r="Y5" s="25">
        <f t="shared" si="1"/>
        <v>0</v>
      </c>
      <c r="Z5" s="21"/>
      <c r="AA5" s="17"/>
    </row>
    <row r="6" s="4" customFormat="1" customHeight="1" spans="1:27">
      <c r="A6" s="13"/>
      <c r="B6" s="23"/>
      <c r="C6" s="23"/>
      <c r="D6" s="15"/>
      <c r="E6" s="22"/>
      <c r="F6" s="15"/>
      <c r="G6" s="24"/>
      <c r="H6" s="24"/>
      <c r="I6" s="24"/>
      <c r="J6" s="16"/>
      <c r="K6" s="17"/>
      <c r="L6" s="17"/>
      <c r="M6" s="17"/>
      <c r="N6" s="14"/>
      <c r="O6" s="14"/>
      <c r="P6" s="17"/>
      <c r="Q6" s="17"/>
      <c r="R6" s="15"/>
      <c r="S6" s="15"/>
      <c r="T6" s="15"/>
      <c r="U6" s="15"/>
      <c r="V6" s="15"/>
      <c r="W6" s="19"/>
      <c r="X6" s="25">
        <f t="shared" si="0"/>
        <v>0</v>
      </c>
      <c r="Y6" s="25">
        <f t="shared" si="1"/>
        <v>0</v>
      </c>
      <c r="Z6" s="21"/>
      <c r="AA6" s="17"/>
    </row>
    <row r="7" s="4" customFormat="1" customHeight="1" spans="1:27">
      <c r="A7" s="13"/>
      <c r="B7" s="23"/>
      <c r="C7" s="23"/>
      <c r="D7" s="15"/>
      <c r="E7" s="22"/>
      <c r="F7" s="15"/>
      <c r="G7" s="24"/>
      <c r="H7" s="24"/>
      <c r="I7" s="24"/>
      <c r="J7" s="16"/>
      <c r="K7" s="17"/>
      <c r="L7" s="17"/>
      <c r="M7" s="17"/>
      <c r="N7" s="14"/>
      <c r="O7" s="14"/>
      <c r="P7" s="17"/>
      <c r="Q7" s="17"/>
      <c r="R7" s="15"/>
      <c r="S7" s="15"/>
      <c r="T7" s="15"/>
      <c r="U7" s="15"/>
      <c r="V7" s="15"/>
      <c r="W7" s="19"/>
      <c r="X7" s="25">
        <f t="shared" si="0"/>
        <v>0</v>
      </c>
      <c r="Y7" s="25">
        <f t="shared" si="1"/>
        <v>0</v>
      </c>
      <c r="Z7" s="21"/>
      <c r="AA7" s="17"/>
    </row>
    <row r="8" s="5" customFormat="1" customHeight="1" spans="1:27">
      <c r="A8" s="13"/>
      <c r="B8" s="15"/>
      <c r="C8" s="15"/>
      <c r="D8" s="15"/>
      <c r="E8" s="15"/>
      <c r="F8" s="15"/>
      <c r="G8" s="15" t="s">
        <v>47</v>
      </c>
      <c r="H8" s="15">
        <f>SUM(H2:H7)</f>
        <v>15000</v>
      </c>
      <c r="I8" s="15"/>
      <c r="J8" s="16"/>
      <c r="K8" s="26"/>
      <c r="L8" s="26"/>
      <c r="M8" s="26"/>
      <c r="N8" s="22"/>
      <c r="O8" s="22"/>
      <c r="P8" s="26"/>
      <c r="Q8" s="26"/>
      <c r="R8" s="15"/>
      <c r="S8" s="15"/>
      <c r="T8" s="15"/>
      <c r="U8" s="15"/>
      <c r="V8" s="15"/>
      <c r="W8" s="19"/>
      <c r="X8" s="20">
        <f>SUM(X2:X7)</f>
        <v>9450</v>
      </c>
      <c r="Y8" s="20">
        <f>SUM(Y2:Y7)</f>
        <v>73237.5</v>
      </c>
      <c r="Z8" s="21"/>
      <c r="AA8" s="2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A8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A7"/>
  <sheetViews>
    <sheetView workbookViewId="0">
      <pane xSplit="8" ySplit="1" topLeftCell="V2" activePane="bottomRight" state="frozen"/>
      <selection/>
      <selection pane="topRight"/>
      <selection pane="bottomLeft"/>
      <selection pane="bottomRight" activeCell="H20" sqref="H20"/>
    </sheetView>
  </sheetViews>
  <sheetFormatPr defaultColWidth="9" defaultRowHeight="25" customHeight="1" outlineLevelRow="6"/>
  <cols>
    <col min="1" max="1" width="12.6" style="6" customWidth="1"/>
    <col min="2" max="2" width="12.625" style="7" customWidth="1"/>
    <col min="3" max="3" width="8.625" style="7" customWidth="1"/>
    <col min="4" max="6" width="12.625" style="7" customWidth="1"/>
    <col min="7" max="7" width="10.625" style="7" customWidth="1"/>
    <col min="8" max="8" width="8.625" style="7" customWidth="1"/>
    <col min="9" max="9" width="5.625" style="7" customWidth="1"/>
    <col min="10" max="10" width="5.625" style="8" customWidth="1"/>
    <col min="11" max="13" width="12.625" style="9" customWidth="1"/>
    <col min="14" max="15" width="8.625" style="4" customWidth="1"/>
    <col min="16" max="17" width="12.625" style="9" customWidth="1"/>
    <col min="18" max="19" width="10.625" style="7" customWidth="1"/>
    <col min="20" max="21" width="12.625" style="7" customWidth="1"/>
    <col min="22" max="22" width="15.625" style="7" customWidth="1"/>
    <col min="23" max="23" width="8.625" style="10" customWidth="1"/>
    <col min="24" max="25" width="12.625" style="11" customWidth="1"/>
    <col min="26" max="26" width="8.625" style="12" customWidth="1"/>
    <col min="27" max="27" width="8.625" style="9" customWidth="1"/>
    <col min="28" max="16384" width="9" style="4"/>
  </cols>
  <sheetData>
    <row r="1" s="4" customFormat="1" customHeight="1" spans="1:27">
      <c r="A1" s="13" t="s">
        <v>1</v>
      </c>
      <c r="B1" s="14" t="s">
        <v>30</v>
      </c>
      <c r="C1" s="14" t="s">
        <v>31</v>
      </c>
      <c r="D1" s="14" t="s">
        <v>3</v>
      </c>
      <c r="E1" s="14" t="s">
        <v>4</v>
      </c>
      <c r="F1" s="14" t="s">
        <v>5</v>
      </c>
      <c r="G1" s="15" t="s">
        <v>0</v>
      </c>
      <c r="H1" s="15" t="s">
        <v>6</v>
      </c>
      <c r="I1" s="15" t="s">
        <v>32</v>
      </c>
      <c r="J1" s="16" t="s">
        <v>33</v>
      </c>
      <c r="K1" s="17" t="s">
        <v>34</v>
      </c>
      <c r="L1" s="18" t="s">
        <v>2</v>
      </c>
      <c r="M1" s="14" t="s">
        <v>35</v>
      </c>
      <c r="N1" s="14" t="s">
        <v>36</v>
      </c>
      <c r="O1" s="14" t="s">
        <v>37</v>
      </c>
      <c r="P1" s="14" t="s">
        <v>38</v>
      </c>
      <c r="Q1" s="17" t="s">
        <v>39</v>
      </c>
      <c r="R1" s="14" t="s">
        <v>48</v>
      </c>
      <c r="S1" s="14" t="s">
        <v>41</v>
      </c>
      <c r="T1" s="18" t="s">
        <v>7</v>
      </c>
      <c r="U1" s="18" t="s">
        <v>42</v>
      </c>
      <c r="V1" s="14" t="s">
        <v>43</v>
      </c>
      <c r="W1" s="19" t="s">
        <v>44</v>
      </c>
      <c r="X1" s="20" t="s">
        <v>10</v>
      </c>
      <c r="Y1" s="20" t="s">
        <v>11</v>
      </c>
      <c r="Z1" s="21" t="s">
        <v>45</v>
      </c>
      <c r="AA1" s="22" t="s">
        <v>46</v>
      </c>
    </row>
    <row r="2" s="4" customFormat="1" customHeight="1" spans="1:27">
      <c r="A2" s="13"/>
      <c r="B2" s="23"/>
      <c r="C2" s="23"/>
      <c r="D2" s="15"/>
      <c r="E2" s="22"/>
      <c r="F2" s="15"/>
      <c r="G2" s="24"/>
      <c r="H2" s="24"/>
      <c r="I2" s="24"/>
      <c r="J2" s="16"/>
      <c r="K2" s="17"/>
      <c r="L2" s="17"/>
      <c r="M2" s="17"/>
      <c r="N2" s="14"/>
      <c r="O2" s="14"/>
      <c r="P2" s="17"/>
      <c r="Q2" s="17"/>
      <c r="R2" s="15"/>
      <c r="S2" s="15"/>
      <c r="T2" s="15"/>
      <c r="U2" s="15"/>
      <c r="V2" s="15"/>
      <c r="W2" s="19"/>
      <c r="X2" s="25">
        <f>H2*W2</f>
        <v>0</v>
      </c>
      <c r="Y2" s="25">
        <f>X2*7.75</f>
        <v>0</v>
      </c>
      <c r="Z2" s="21"/>
      <c r="AA2" s="17"/>
    </row>
    <row r="3" s="4" customFormat="1" customHeight="1" spans="1:27">
      <c r="A3" s="13"/>
      <c r="B3" s="23"/>
      <c r="C3" s="23"/>
      <c r="D3" s="15"/>
      <c r="E3" s="22"/>
      <c r="F3" s="15"/>
      <c r="G3" s="24"/>
      <c r="H3" s="24"/>
      <c r="I3" s="24"/>
      <c r="J3" s="16"/>
      <c r="K3" s="17"/>
      <c r="L3" s="17"/>
      <c r="M3" s="17"/>
      <c r="N3" s="14"/>
      <c r="O3" s="14"/>
      <c r="P3" s="17"/>
      <c r="Q3" s="17"/>
      <c r="R3" s="15"/>
      <c r="S3" s="15"/>
      <c r="T3" s="15"/>
      <c r="U3" s="15"/>
      <c r="V3" s="15"/>
      <c r="W3" s="19"/>
      <c r="X3" s="25">
        <f>H3*W3</f>
        <v>0</v>
      </c>
      <c r="Y3" s="25">
        <f>X3*7.75</f>
        <v>0</v>
      </c>
      <c r="Z3" s="21"/>
      <c r="AA3" s="17"/>
    </row>
    <row r="4" s="4" customFormat="1" customHeight="1" spans="1:27">
      <c r="A4" s="13"/>
      <c r="B4" s="23"/>
      <c r="C4" s="23"/>
      <c r="D4" s="15"/>
      <c r="E4" s="22"/>
      <c r="F4" s="15"/>
      <c r="G4" s="24"/>
      <c r="H4" s="24"/>
      <c r="I4" s="24"/>
      <c r="J4" s="16"/>
      <c r="K4" s="17"/>
      <c r="L4" s="17"/>
      <c r="M4" s="17"/>
      <c r="N4" s="14"/>
      <c r="O4" s="14"/>
      <c r="P4" s="17"/>
      <c r="Q4" s="17"/>
      <c r="R4" s="15"/>
      <c r="S4" s="15"/>
      <c r="T4" s="15"/>
      <c r="U4" s="15"/>
      <c r="V4" s="15"/>
      <c r="W4" s="19"/>
      <c r="X4" s="25">
        <f>H4*W4</f>
        <v>0</v>
      </c>
      <c r="Y4" s="25">
        <f>X4*7.75</f>
        <v>0</v>
      </c>
      <c r="Z4" s="21"/>
      <c r="AA4" s="17"/>
    </row>
    <row r="5" s="4" customFormat="1" customHeight="1" spans="1:27">
      <c r="A5" s="13"/>
      <c r="B5" s="23"/>
      <c r="C5" s="23"/>
      <c r="D5" s="15"/>
      <c r="E5" s="22"/>
      <c r="F5" s="15"/>
      <c r="G5" s="24"/>
      <c r="H5" s="24"/>
      <c r="I5" s="24"/>
      <c r="J5" s="16"/>
      <c r="K5" s="17"/>
      <c r="L5" s="17"/>
      <c r="M5" s="17"/>
      <c r="N5" s="14"/>
      <c r="O5" s="14"/>
      <c r="P5" s="17"/>
      <c r="Q5" s="17"/>
      <c r="R5" s="15"/>
      <c r="S5" s="15"/>
      <c r="T5" s="15"/>
      <c r="U5" s="15"/>
      <c r="V5" s="15"/>
      <c r="W5" s="19"/>
      <c r="X5" s="25">
        <f>H5*W5</f>
        <v>0</v>
      </c>
      <c r="Y5" s="25">
        <f>X5*7.75</f>
        <v>0</v>
      </c>
      <c r="Z5" s="21"/>
      <c r="AA5" s="17"/>
    </row>
    <row r="6" s="4" customFormat="1" customHeight="1" spans="1:27">
      <c r="A6" s="13"/>
      <c r="B6" s="23"/>
      <c r="C6" s="23"/>
      <c r="D6" s="15"/>
      <c r="E6" s="22"/>
      <c r="F6" s="15"/>
      <c r="G6" s="24"/>
      <c r="H6" s="24"/>
      <c r="I6" s="24"/>
      <c r="J6" s="16"/>
      <c r="K6" s="17"/>
      <c r="L6" s="17"/>
      <c r="M6" s="17"/>
      <c r="N6" s="14"/>
      <c r="O6" s="14"/>
      <c r="P6" s="17"/>
      <c r="Q6" s="17"/>
      <c r="R6" s="15"/>
      <c r="S6" s="15"/>
      <c r="T6" s="15"/>
      <c r="U6" s="15"/>
      <c r="V6" s="15"/>
      <c r="W6" s="19"/>
      <c r="X6" s="25">
        <f>H6*W6</f>
        <v>0</v>
      </c>
      <c r="Y6" s="25">
        <f>X6*7.75</f>
        <v>0</v>
      </c>
      <c r="Z6" s="21"/>
      <c r="AA6" s="17"/>
    </row>
    <row r="7" s="5" customFormat="1" customHeight="1" spans="1:27">
      <c r="A7" s="13"/>
      <c r="B7" s="15"/>
      <c r="C7" s="15"/>
      <c r="D7" s="15"/>
      <c r="E7" s="15"/>
      <c r="F7" s="15"/>
      <c r="G7" s="15" t="s">
        <v>47</v>
      </c>
      <c r="H7" s="15">
        <f>SUM(H2:H6)</f>
        <v>0</v>
      </c>
      <c r="I7" s="15"/>
      <c r="J7" s="16"/>
      <c r="K7" s="26"/>
      <c r="L7" s="26"/>
      <c r="M7" s="26"/>
      <c r="N7" s="22"/>
      <c r="O7" s="22"/>
      <c r="P7" s="26"/>
      <c r="Q7" s="26"/>
      <c r="R7" s="15"/>
      <c r="S7" s="15"/>
      <c r="T7" s="15"/>
      <c r="U7" s="15"/>
      <c r="V7" s="15"/>
      <c r="W7" s="19"/>
      <c r="X7" s="20">
        <f>SUM(X2:X6)</f>
        <v>0</v>
      </c>
      <c r="Y7" s="20">
        <f>SUM(Y2:Y6)</f>
        <v>0</v>
      </c>
      <c r="Z7" s="21"/>
      <c r="AA7" s="2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A7" etc:filterBottomFollowUsedRange="0"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"/>
  <sheetViews>
    <sheetView workbookViewId="0">
      <pane ySplit="1" topLeftCell="A88" activePane="bottomLeft" state="frozen"/>
      <selection/>
      <selection pane="bottomLeft" activeCell="G32" sqref="G32"/>
    </sheetView>
  </sheetViews>
  <sheetFormatPr defaultColWidth="9" defaultRowHeight="20.1" customHeight="1" outlineLevelCol="2"/>
  <cols>
    <col min="1" max="1" width="21" style="1" customWidth="1"/>
    <col min="2" max="2" width="25.6" style="1" customWidth="1"/>
    <col min="3" max="3" width="5.6" style="1" customWidth="1"/>
    <col min="4" max="16384" width="9" style="1"/>
  </cols>
  <sheetData>
    <row r="1" customHeight="1" spans="1:3">
      <c r="A1" s="1" t="s">
        <v>51</v>
      </c>
      <c r="B1" s="1" t="s">
        <v>52</v>
      </c>
      <c r="C1" s="1" t="s">
        <v>53</v>
      </c>
    </row>
    <row r="2" customHeight="1" spans="1:3">
      <c r="A2" s="1">
        <v>10727</v>
      </c>
      <c r="B2" s="1" t="s">
        <v>54</v>
      </c>
      <c r="C2" s="1" t="s">
        <v>55</v>
      </c>
    </row>
    <row r="3" customHeight="1" spans="1:3">
      <c r="A3" s="1">
        <v>10730</v>
      </c>
      <c r="B3" s="1" t="s">
        <v>56</v>
      </c>
      <c r="C3" s="1" t="s">
        <v>55</v>
      </c>
    </row>
    <row r="4" customHeight="1" spans="1:3">
      <c r="A4" s="1">
        <v>10740</v>
      </c>
      <c r="B4" s="1" t="s">
        <v>54</v>
      </c>
      <c r="C4" s="1" t="s">
        <v>55</v>
      </c>
    </row>
    <row r="5" customHeight="1" spans="1:3">
      <c r="A5" s="1">
        <v>10761</v>
      </c>
      <c r="B5" s="1" t="s">
        <v>57</v>
      </c>
      <c r="C5" s="1" t="s">
        <v>55</v>
      </c>
    </row>
    <row r="6" customHeight="1" spans="1:3">
      <c r="A6" s="1">
        <v>11588</v>
      </c>
      <c r="B6" s="1" t="s">
        <v>58</v>
      </c>
      <c r="C6" s="1" t="s">
        <v>59</v>
      </c>
    </row>
    <row r="7" customHeight="1" spans="1:3">
      <c r="A7" s="1">
        <v>19852</v>
      </c>
      <c r="C7" s="1" t="s">
        <v>55</v>
      </c>
    </row>
    <row r="8" customHeight="1" spans="1:3">
      <c r="A8" s="1">
        <v>97759</v>
      </c>
      <c r="B8" s="1" t="s">
        <v>60</v>
      </c>
      <c r="C8" s="1" t="s">
        <v>61</v>
      </c>
    </row>
    <row r="9" customHeight="1" spans="1:3">
      <c r="A9" s="1" t="s">
        <v>62</v>
      </c>
      <c r="B9" s="1" t="s">
        <v>63</v>
      </c>
      <c r="C9" s="1" t="s">
        <v>55</v>
      </c>
    </row>
    <row r="10" customHeight="1" spans="1:3">
      <c r="A10" s="1" t="s">
        <v>64</v>
      </c>
      <c r="B10" s="1" t="s">
        <v>65</v>
      </c>
      <c r="C10" s="1" t="s">
        <v>66</v>
      </c>
    </row>
    <row r="11" customHeight="1" spans="1:3">
      <c r="A11" s="1" t="s">
        <v>67</v>
      </c>
      <c r="B11" s="1" t="s">
        <v>68</v>
      </c>
      <c r="C11" s="1" t="s">
        <v>66</v>
      </c>
    </row>
    <row r="12" customHeight="1" spans="1:3">
      <c r="A12" s="1" t="s">
        <v>69</v>
      </c>
      <c r="B12" s="1" t="s">
        <v>70</v>
      </c>
      <c r="C12" s="1" t="s">
        <v>66</v>
      </c>
    </row>
    <row r="13" customHeight="1" spans="1:3">
      <c r="A13" s="1" t="s">
        <v>71</v>
      </c>
      <c r="B13" s="1" t="s">
        <v>72</v>
      </c>
      <c r="C13" s="1" t="s">
        <v>66</v>
      </c>
    </row>
    <row r="14" customHeight="1" spans="1:3">
      <c r="A14" s="1" t="s">
        <v>73</v>
      </c>
      <c r="B14" s="1" t="s">
        <v>74</v>
      </c>
      <c r="C14" s="1" t="s">
        <v>66</v>
      </c>
    </row>
    <row r="15" customHeight="1" spans="1:3">
      <c r="A15" s="1" t="s">
        <v>75</v>
      </c>
      <c r="B15" s="1" t="s">
        <v>76</v>
      </c>
      <c r="C15" s="1" t="s">
        <v>66</v>
      </c>
    </row>
    <row r="16" customHeight="1" spans="1:3">
      <c r="A16" s="1" t="s">
        <v>77</v>
      </c>
      <c r="B16" s="1" t="s">
        <v>78</v>
      </c>
      <c r="C16" s="1" t="s">
        <v>66</v>
      </c>
    </row>
    <row r="17" customHeight="1" spans="1:3">
      <c r="A17" s="1" t="s">
        <v>79</v>
      </c>
      <c r="B17" s="1" t="s">
        <v>80</v>
      </c>
      <c r="C17" s="1" t="s">
        <v>66</v>
      </c>
    </row>
    <row r="18" customHeight="1" spans="1:3">
      <c r="A18" s="1" t="s">
        <v>81</v>
      </c>
      <c r="B18" s="1" t="s">
        <v>76</v>
      </c>
      <c r="C18" s="1" t="s">
        <v>66</v>
      </c>
    </row>
    <row r="19" customHeight="1" spans="1:3">
      <c r="A19" s="1" t="s">
        <v>82</v>
      </c>
      <c r="B19" s="1" t="s">
        <v>83</v>
      </c>
      <c r="C19" s="1" t="s">
        <v>66</v>
      </c>
    </row>
    <row r="20" customHeight="1" spans="1:3">
      <c r="A20" s="1" t="s">
        <v>84</v>
      </c>
      <c r="B20" s="1" t="s">
        <v>85</v>
      </c>
      <c r="C20" s="1" t="s">
        <v>66</v>
      </c>
    </row>
    <row r="21" customHeight="1" spans="1:3">
      <c r="A21" s="1" t="s">
        <v>86</v>
      </c>
      <c r="B21" s="1" t="s">
        <v>85</v>
      </c>
      <c r="C21" s="1" t="s">
        <v>66</v>
      </c>
    </row>
    <row r="22" customHeight="1" spans="1:3">
      <c r="A22" s="1" t="s">
        <v>87</v>
      </c>
      <c r="B22" s="1" t="s">
        <v>88</v>
      </c>
      <c r="C22" s="1" t="s">
        <v>66</v>
      </c>
    </row>
    <row r="23" customHeight="1" spans="1:3">
      <c r="A23" s="1" t="s">
        <v>89</v>
      </c>
      <c r="B23" s="1" t="s">
        <v>90</v>
      </c>
      <c r="C23" s="1" t="s">
        <v>66</v>
      </c>
    </row>
    <row r="24" customHeight="1" spans="1:3">
      <c r="A24" s="1" t="s">
        <v>91</v>
      </c>
      <c r="B24" s="1" t="s">
        <v>92</v>
      </c>
      <c r="C24" s="1" t="s">
        <v>66</v>
      </c>
    </row>
    <row r="25" customHeight="1" spans="1:3">
      <c r="A25" s="1" t="s">
        <v>93</v>
      </c>
      <c r="B25" s="1" t="s">
        <v>94</v>
      </c>
      <c r="C25" s="1" t="s">
        <v>66</v>
      </c>
    </row>
    <row r="26" customHeight="1" spans="1:3">
      <c r="A26" s="1" t="s">
        <v>95</v>
      </c>
      <c r="B26" s="1" t="s">
        <v>83</v>
      </c>
      <c r="C26" s="1" t="s">
        <v>66</v>
      </c>
    </row>
    <row r="27" customHeight="1" spans="1:3">
      <c r="A27" s="1" t="s">
        <v>96</v>
      </c>
      <c r="B27" s="1" t="s">
        <v>56</v>
      </c>
      <c r="C27" s="1" t="s">
        <v>66</v>
      </c>
    </row>
    <row r="28" customHeight="1" spans="1:3">
      <c r="A28" s="1" t="s">
        <v>97</v>
      </c>
      <c r="B28" s="1" t="s">
        <v>98</v>
      </c>
      <c r="C28" s="1" t="s">
        <v>66</v>
      </c>
    </row>
    <row r="29" customHeight="1" spans="1:3">
      <c r="A29" s="1" t="s">
        <v>99</v>
      </c>
      <c r="B29" s="1" t="s">
        <v>100</v>
      </c>
      <c r="C29" s="1" t="s">
        <v>66</v>
      </c>
    </row>
    <row r="30" customHeight="1" spans="1:3">
      <c r="A30" s="1" t="s">
        <v>101</v>
      </c>
      <c r="B30" s="1" t="s">
        <v>102</v>
      </c>
      <c r="C30" s="1" t="s">
        <v>66</v>
      </c>
    </row>
    <row r="31" customHeight="1" spans="1:3">
      <c r="A31" s="1" t="s">
        <v>103</v>
      </c>
      <c r="B31" s="1" t="s">
        <v>104</v>
      </c>
      <c r="C31" s="1" t="s">
        <v>66</v>
      </c>
    </row>
    <row r="32" customHeight="1" spans="1:3">
      <c r="A32" s="1" t="s">
        <v>105</v>
      </c>
      <c r="B32" s="1" t="s">
        <v>106</v>
      </c>
      <c r="C32" s="1" t="s">
        <v>66</v>
      </c>
    </row>
    <row r="33" customHeight="1" spans="1:3">
      <c r="A33" s="1" t="s">
        <v>107</v>
      </c>
      <c r="B33" s="1" t="s">
        <v>83</v>
      </c>
      <c r="C33" s="1" t="s">
        <v>66</v>
      </c>
    </row>
    <row r="34" customHeight="1" spans="1:3">
      <c r="A34" s="1" t="s">
        <v>108</v>
      </c>
      <c r="B34" s="1" t="s">
        <v>109</v>
      </c>
      <c r="C34" s="1" t="s">
        <v>66</v>
      </c>
    </row>
    <row r="35" customHeight="1" spans="1:3">
      <c r="A35" s="1" t="s">
        <v>110</v>
      </c>
      <c r="B35" s="1" t="s">
        <v>100</v>
      </c>
      <c r="C35" s="1" t="s">
        <v>66</v>
      </c>
    </row>
    <row r="36" customHeight="1" spans="1:3">
      <c r="A36" s="1" t="s">
        <v>111</v>
      </c>
      <c r="B36" s="2" t="s">
        <v>112</v>
      </c>
      <c r="C36" s="1" t="s">
        <v>66</v>
      </c>
    </row>
    <row r="37" customHeight="1" spans="1:3">
      <c r="A37" s="1" t="s">
        <v>113</v>
      </c>
      <c r="B37" s="1" t="s">
        <v>114</v>
      </c>
      <c r="C37" s="1" t="s">
        <v>66</v>
      </c>
    </row>
    <row r="38" customHeight="1" spans="1:3">
      <c r="A38" s="1" t="s">
        <v>115</v>
      </c>
      <c r="B38" s="1" t="s">
        <v>114</v>
      </c>
      <c r="C38" s="1" t="s">
        <v>66</v>
      </c>
    </row>
    <row r="39" customHeight="1" spans="1:3">
      <c r="A39" s="1" t="s">
        <v>116</v>
      </c>
      <c r="B39" s="2" t="s">
        <v>117</v>
      </c>
      <c r="C39" s="1" t="s">
        <v>66</v>
      </c>
    </row>
    <row r="40" customHeight="1" spans="1:3">
      <c r="A40" s="1" t="s">
        <v>118</v>
      </c>
      <c r="B40" s="1" t="s">
        <v>78</v>
      </c>
      <c r="C40" s="1" t="s">
        <v>66</v>
      </c>
    </row>
    <row r="41" customHeight="1" spans="1:3">
      <c r="A41" s="1" t="s">
        <v>119</v>
      </c>
      <c r="B41" s="1" t="s">
        <v>120</v>
      </c>
      <c r="C41" s="1" t="s">
        <v>66</v>
      </c>
    </row>
    <row r="42" customHeight="1" spans="1:3">
      <c r="A42" s="1" t="s">
        <v>121</v>
      </c>
      <c r="B42" s="1" t="s">
        <v>122</v>
      </c>
      <c r="C42" s="1" t="s">
        <v>66</v>
      </c>
    </row>
    <row r="43" customHeight="1" spans="1:3">
      <c r="A43" s="1" t="s">
        <v>123</v>
      </c>
      <c r="B43" s="1" t="s">
        <v>124</v>
      </c>
      <c r="C43" s="1" t="s">
        <v>66</v>
      </c>
    </row>
    <row r="44" customHeight="1" spans="1:3">
      <c r="A44" s="1" t="s">
        <v>125</v>
      </c>
      <c r="B44" s="1" t="s">
        <v>126</v>
      </c>
      <c r="C44" s="1" t="s">
        <v>127</v>
      </c>
    </row>
    <row r="45" customHeight="1" spans="1:3">
      <c r="A45" s="1" t="s">
        <v>128</v>
      </c>
      <c r="B45" s="1" t="s">
        <v>129</v>
      </c>
      <c r="C45" s="1" t="s">
        <v>127</v>
      </c>
    </row>
    <row r="46" customHeight="1" spans="1:3">
      <c r="A46" s="1" t="s">
        <v>130</v>
      </c>
      <c r="B46" s="1" t="s">
        <v>129</v>
      </c>
      <c r="C46" s="1" t="s">
        <v>127</v>
      </c>
    </row>
    <row r="47" customHeight="1" spans="1:3">
      <c r="A47" s="1" t="s">
        <v>131</v>
      </c>
      <c r="B47" s="1" t="s">
        <v>126</v>
      </c>
      <c r="C47" s="1" t="s">
        <v>127</v>
      </c>
    </row>
    <row r="48" customHeight="1" spans="1:3">
      <c r="A48" s="1" t="s">
        <v>132</v>
      </c>
      <c r="B48" s="1" t="s">
        <v>126</v>
      </c>
      <c r="C48" s="1" t="s">
        <v>127</v>
      </c>
    </row>
    <row r="49" customHeight="1" spans="1:3">
      <c r="A49" s="1" t="s">
        <v>133</v>
      </c>
      <c r="B49" s="1" t="s">
        <v>134</v>
      </c>
      <c r="C49" s="1" t="s">
        <v>127</v>
      </c>
    </row>
    <row r="50" customHeight="1" spans="1:3">
      <c r="A50" s="1" t="s">
        <v>135</v>
      </c>
      <c r="B50" s="1" t="s">
        <v>126</v>
      </c>
      <c r="C50" s="1" t="s">
        <v>127</v>
      </c>
    </row>
    <row r="51" customHeight="1" spans="1:3">
      <c r="A51" s="1" t="s">
        <v>136</v>
      </c>
      <c r="B51" s="1" t="s">
        <v>126</v>
      </c>
      <c r="C51" s="1" t="s">
        <v>127</v>
      </c>
    </row>
    <row r="52" customHeight="1" spans="1:3">
      <c r="A52" s="1" t="s">
        <v>137</v>
      </c>
      <c r="B52" s="1" t="s">
        <v>126</v>
      </c>
      <c r="C52" s="1" t="s">
        <v>127</v>
      </c>
    </row>
    <row r="53" customHeight="1" spans="1:3">
      <c r="A53" s="1" t="s">
        <v>138</v>
      </c>
      <c r="B53" s="1" t="s">
        <v>139</v>
      </c>
      <c r="C53" s="1" t="s">
        <v>127</v>
      </c>
    </row>
    <row r="54" customHeight="1" spans="1:3">
      <c r="A54" s="1" t="s">
        <v>140</v>
      </c>
      <c r="B54" s="1" t="s">
        <v>141</v>
      </c>
      <c r="C54" s="1" t="s">
        <v>59</v>
      </c>
    </row>
    <row r="55" customHeight="1" spans="1:3">
      <c r="A55" s="1" t="s">
        <v>142</v>
      </c>
      <c r="B55" s="1" t="s">
        <v>58</v>
      </c>
      <c r="C55" s="1" t="s">
        <v>59</v>
      </c>
    </row>
    <row r="56" customHeight="1" spans="1:3">
      <c r="A56" s="1" t="s">
        <v>143</v>
      </c>
      <c r="B56" s="1" t="s">
        <v>144</v>
      </c>
      <c r="C56" s="1" t="s">
        <v>59</v>
      </c>
    </row>
    <row r="57" customHeight="1" spans="1:3">
      <c r="A57" s="1" t="s">
        <v>145</v>
      </c>
      <c r="B57" s="1" t="s">
        <v>144</v>
      </c>
      <c r="C57" s="1" t="s">
        <v>59</v>
      </c>
    </row>
    <row r="58" customHeight="1" spans="1:3">
      <c r="A58" s="1" t="s">
        <v>146</v>
      </c>
      <c r="B58" s="1" t="s">
        <v>147</v>
      </c>
      <c r="C58" s="1" t="s">
        <v>59</v>
      </c>
    </row>
    <row r="59" customHeight="1" spans="1:3">
      <c r="A59" s="1" t="s">
        <v>148</v>
      </c>
      <c r="B59" s="1" t="s">
        <v>149</v>
      </c>
      <c r="C59" s="1" t="s">
        <v>59</v>
      </c>
    </row>
    <row r="60" customHeight="1" spans="1:3">
      <c r="A60" s="1" t="s">
        <v>150</v>
      </c>
      <c r="B60" s="1" t="s">
        <v>151</v>
      </c>
      <c r="C60" s="1" t="s">
        <v>59</v>
      </c>
    </row>
    <row r="61" customHeight="1" spans="1:3">
      <c r="A61" s="1" t="s">
        <v>152</v>
      </c>
      <c r="B61" s="1" t="s">
        <v>153</v>
      </c>
      <c r="C61" s="1" t="s">
        <v>59</v>
      </c>
    </row>
    <row r="62" customHeight="1" spans="1:3">
      <c r="A62" s="1" t="s">
        <v>154</v>
      </c>
      <c r="B62" s="1" t="s">
        <v>155</v>
      </c>
      <c r="C62" s="1" t="s">
        <v>59</v>
      </c>
    </row>
    <row r="63" customHeight="1" spans="1:3">
      <c r="A63" s="1" t="s">
        <v>156</v>
      </c>
      <c r="B63" s="1" t="s">
        <v>157</v>
      </c>
      <c r="C63" s="1" t="s">
        <v>59</v>
      </c>
    </row>
    <row r="64" customHeight="1" spans="1:3">
      <c r="A64" s="1" t="s">
        <v>158</v>
      </c>
      <c r="B64" s="1" t="s">
        <v>159</v>
      </c>
      <c r="C64" s="1" t="s">
        <v>59</v>
      </c>
    </row>
    <row r="65" customHeight="1" spans="1:3">
      <c r="A65" s="1" t="s">
        <v>160</v>
      </c>
      <c r="B65" s="1" t="s">
        <v>161</v>
      </c>
      <c r="C65" s="1" t="s">
        <v>59</v>
      </c>
    </row>
    <row r="66" customHeight="1" spans="1:3">
      <c r="A66" s="1" t="s">
        <v>162</v>
      </c>
      <c r="B66" s="1" t="s">
        <v>163</v>
      </c>
      <c r="C66" s="1" t="s">
        <v>61</v>
      </c>
    </row>
    <row r="67" customHeight="1" spans="1:3">
      <c r="A67" s="1" t="s">
        <v>164</v>
      </c>
      <c r="B67" s="1" t="s">
        <v>60</v>
      </c>
      <c r="C67" s="1" t="s">
        <v>61</v>
      </c>
    </row>
    <row r="68" customHeight="1" spans="1:3">
      <c r="A68" s="1" t="s">
        <v>165</v>
      </c>
      <c r="B68" s="1" t="s">
        <v>166</v>
      </c>
      <c r="C68" s="1" t="s">
        <v>61</v>
      </c>
    </row>
    <row r="69" customHeight="1" spans="1:3">
      <c r="A69" s="1" t="s">
        <v>167</v>
      </c>
      <c r="B69" s="1" t="s">
        <v>56</v>
      </c>
      <c r="C69" s="1" t="s">
        <v>55</v>
      </c>
    </row>
    <row r="70" customHeight="1" spans="1:3">
      <c r="A70" s="1" t="s">
        <v>168</v>
      </c>
      <c r="B70" s="1" t="s">
        <v>169</v>
      </c>
      <c r="C70" s="1" t="s">
        <v>55</v>
      </c>
    </row>
    <row r="71" customHeight="1" spans="1:3">
      <c r="A71" s="1" t="s">
        <v>170</v>
      </c>
      <c r="B71" s="1" t="s">
        <v>171</v>
      </c>
      <c r="C71" s="1" t="s">
        <v>55</v>
      </c>
    </row>
    <row r="72" customHeight="1" spans="1:3">
      <c r="A72" s="1" t="s">
        <v>172</v>
      </c>
      <c r="B72" s="1" t="s">
        <v>56</v>
      </c>
      <c r="C72" s="1" t="s">
        <v>55</v>
      </c>
    </row>
    <row r="73" customHeight="1" spans="1:3">
      <c r="A73" s="1" t="s">
        <v>173</v>
      </c>
      <c r="B73" s="1" t="s">
        <v>174</v>
      </c>
      <c r="C73" s="1" t="s">
        <v>175</v>
      </c>
    </row>
    <row r="74" customHeight="1" spans="1:3">
      <c r="A74" s="1" t="s">
        <v>176</v>
      </c>
      <c r="B74" s="1" t="s">
        <v>177</v>
      </c>
      <c r="C74" s="1" t="s">
        <v>175</v>
      </c>
    </row>
    <row r="75" customHeight="1" spans="1:3">
      <c r="A75" s="1" t="s">
        <v>178</v>
      </c>
      <c r="B75" s="1" t="s">
        <v>179</v>
      </c>
      <c r="C75" s="1" t="s">
        <v>175</v>
      </c>
    </row>
    <row r="76" customHeight="1" spans="1:3">
      <c r="A76" s="1" t="s">
        <v>180</v>
      </c>
      <c r="B76" s="1" t="s">
        <v>174</v>
      </c>
      <c r="C76" s="1" t="s">
        <v>175</v>
      </c>
    </row>
    <row r="77" customHeight="1" spans="1:3">
      <c r="A77" s="1" t="s">
        <v>181</v>
      </c>
      <c r="B77" s="1" t="s">
        <v>177</v>
      </c>
      <c r="C77" s="1" t="s">
        <v>175</v>
      </c>
    </row>
    <row r="78" customHeight="1" spans="1:3">
      <c r="A78" s="1" t="s">
        <v>182</v>
      </c>
      <c r="B78" s="1" t="s">
        <v>183</v>
      </c>
      <c r="C78" s="1" t="s">
        <v>175</v>
      </c>
    </row>
    <row r="79" customHeight="1" spans="1:3">
      <c r="A79" s="1" t="s">
        <v>184</v>
      </c>
      <c r="B79" s="1" t="s">
        <v>185</v>
      </c>
      <c r="C79" s="1" t="s">
        <v>175</v>
      </c>
    </row>
    <row r="80" customHeight="1" spans="1:3">
      <c r="A80" s="1" t="s">
        <v>186</v>
      </c>
      <c r="B80" s="1" t="s">
        <v>187</v>
      </c>
      <c r="C80" s="1" t="s">
        <v>175</v>
      </c>
    </row>
    <row r="81" customHeight="1" spans="1:3">
      <c r="A81" s="1" t="s">
        <v>188</v>
      </c>
      <c r="B81" s="1" t="s">
        <v>189</v>
      </c>
      <c r="C81" s="1" t="s">
        <v>175</v>
      </c>
    </row>
    <row r="82" customHeight="1" spans="1:3">
      <c r="A82" s="1" t="s">
        <v>190</v>
      </c>
      <c r="B82" s="1" t="s">
        <v>191</v>
      </c>
      <c r="C82" s="1" t="s">
        <v>175</v>
      </c>
    </row>
    <row r="83" customHeight="1" spans="1:3">
      <c r="A83" s="1" t="s">
        <v>192</v>
      </c>
      <c r="B83" s="1" t="s">
        <v>193</v>
      </c>
      <c r="C83" s="1" t="s">
        <v>175</v>
      </c>
    </row>
    <row r="84" customHeight="1" spans="1:3">
      <c r="A84" s="1" t="s">
        <v>194</v>
      </c>
      <c r="B84" s="2" t="s">
        <v>195</v>
      </c>
      <c r="C84" s="1" t="s">
        <v>175</v>
      </c>
    </row>
    <row r="85" customHeight="1" spans="1:3">
      <c r="A85" s="1" t="s">
        <v>196</v>
      </c>
      <c r="B85" s="1" t="s">
        <v>120</v>
      </c>
      <c r="C85" s="1" t="s">
        <v>66</v>
      </c>
    </row>
    <row r="86" customHeight="1" spans="1:3">
      <c r="A86" s="1" t="s">
        <v>197</v>
      </c>
      <c r="B86" s="1" t="s">
        <v>198</v>
      </c>
      <c r="C86" s="1" t="s">
        <v>66</v>
      </c>
    </row>
    <row r="87" customHeight="1" spans="1:3">
      <c r="A87" s="1" t="s">
        <v>199</v>
      </c>
      <c r="B87" s="1" t="s">
        <v>200</v>
      </c>
      <c r="C87" s="1" t="s">
        <v>66</v>
      </c>
    </row>
    <row r="88" customHeight="1" spans="1:3">
      <c r="A88" s="1" t="s">
        <v>201</v>
      </c>
      <c r="B88" s="3" t="s">
        <v>202</v>
      </c>
      <c r="C88" s="1" t="s">
        <v>66</v>
      </c>
    </row>
    <row r="89" customHeight="1" spans="1:3">
      <c r="A89" s="1" t="s">
        <v>203</v>
      </c>
      <c r="B89" s="1" t="s">
        <v>204</v>
      </c>
      <c r="C89" s="1" t="s">
        <v>66</v>
      </c>
    </row>
    <row r="90" customHeight="1" spans="1:3">
      <c r="A90" s="1" t="s">
        <v>205</v>
      </c>
      <c r="B90" s="1" t="s">
        <v>206</v>
      </c>
      <c r="C90" s="1" t="s">
        <v>66</v>
      </c>
    </row>
    <row r="91" customHeight="1" spans="1:3">
      <c r="A91" s="1" t="s">
        <v>207</v>
      </c>
      <c r="B91" s="1" t="s">
        <v>208</v>
      </c>
      <c r="C91" s="1" t="s">
        <v>66</v>
      </c>
    </row>
    <row r="92" customHeight="1" spans="1:3">
      <c r="A92" s="1" t="s">
        <v>209</v>
      </c>
      <c r="B92" s="1" t="s">
        <v>210</v>
      </c>
      <c r="C92" s="1" t="s">
        <v>66</v>
      </c>
    </row>
    <row r="93" customHeight="1" spans="1:3">
      <c r="A93" s="1" t="s">
        <v>211</v>
      </c>
      <c r="B93" s="1" t="s">
        <v>85</v>
      </c>
      <c r="C93" s="1" t="s">
        <v>66</v>
      </c>
    </row>
    <row r="94" customHeight="1" spans="1:3">
      <c r="A94" s="1" t="s">
        <v>212</v>
      </c>
      <c r="B94" s="1" t="s">
        <v>213</v>
      </c>
      <c r="C94" s="1" t="s">
        <v>66</v>
      </c>
    </row>
    <row r="95" customHeight="1" spans="1:3">
      <c r="A95" s="1" t="s">
        <v>214</v>
      </c>
      <c r="B95" s="1" t="s">
        <v>215</v>
      </c>
      <c r="C95" s="1" t="s">
        <v>66</v>
      </c>
    </row>
    <row r="96" customHeight="1" spans="1:3">
      <c r="A96" s="1" t="s">
        <v>216</v>
      </c>
      <c r="B96" s="1" t="s">
        <v>217</v>
      </c>
      <c r="C96" s="1" t="s">
        <v>66</v>
      </c>
    </row>
    <row r="97" customHeight="1" spans="1:3">
      <c r="A97" s="1" t="s">
        <v>218</v>
      </c>
      <c r="B97" s="1" t="s">
        <v>219</v>
      </c>
      <c r="C97" s="1" t="s">
        <v>66</v>
      </c>
    </row>
    <row r="98" customHeight="1" spans="1:3">
      <c r="A98" s="1" t="s">
        <v>220</v>
      </c>
      <c r="B98" s="1" t="s">
        <v>102</v>
      </c>
      <c r="C98" s="1" t="s">
        <v>66</v>
      </c>
    </row>
    <row r="99" customHeight="1" spans="1:3">
      <c r="A99" s="1" t="s">
        <v>221</v>
      </c>
      <c r="B99" s="1" t="s">
        <v>222</v>
      </c>
      <c r="C99" s="1" t="s">
        <v>66</v>
      </c>
    </row>
    <row r="100" customHeight="1" spans="1:3">
      <c r="A100" s="1" t="s">
        <v>223</v>
      </c>
      <c r="B100" s="1" t="s">
        <v>224</v>
      </c>
      <c r="C100" s="1" t="s">
        <v>61</v>
      </c>
    </row>
    <row r="101" customHeight="1" spans="1:3">
      <c r="A101" s="1" t="s">
        <v>225</v>
      </c>
      <c r="B101" s="1" t="s">
        <v>226</v>
      </c>
      <c r="C101" s="1" t="s">
        <v>175</v>
      </c>
    </row>
    <row r="102" customHeight="1" spans="1:3">
      <c r="A102" s="1" t="s">
        <v>227</v>
      </c>
      <c r="B102" s="1" t="s">
        <v>228</v>
      </c>
      <c r="C102" s="1" t="s">
        <v>175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102" etc:filterBottomFollowUsedRange="0">
    <extLst/>
  </autoFilter>
  <conditionalFormatting sqref="A$1:A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7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49" interlineOnOff="0" interlineColor="0" isDbSheet="0" isDashBoardSheet="0" isDbDashBoardSheet="0" isFlexPaperSheet="0">
      <cellprotection/>
      <appEtDbRelations/>
    </woSheetProps>
    <woSheetProps sheetStid="50" interlineOnOff="0" interlineColor="0" isDbSheet="0" isDashBoardSheet="0" isDbDashBoardSheet="0" isFlexPaperSheet="0">
      <cellprotection/>
      <appEtDbRelations/>
    </woSheetProps>
    <woSheetProps sheetStid="48" interlineOnOff="0" interlineColor="0" isDbSheet="0" isDashBoardSheet="0" isDbDashBoardSheet="0" isFlexPaperSheet="0">
      <cellprotection/>
      <appEtDbRelations/>
    </woSheetProps>
  </woSheetsProps>
  <woBookProps>
    <bookSettings fileId="53234441982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47"/>
  <pixelatorList sheetStid="45"/>
  <pixelatorList sheetStid="49"/>
  <pixelatorList sheetStid="50"/>
  <pixelatorList sheetStid="48"/>
  <pixelatorList sheetStid="5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总接单</vt:lpstr>
      <vt:lpstr>总排期</vt:lpstr>
      <vt:lpstr>已走货</vt:lpstr>
      <vt:lpstr>取消单</vt:lpstr>
      <vt:lpstr>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张宇婕</cp:lastModifiedBy>
  <dcterms:created xsi:type="dcterms:W3CDTF">1996-12-17T09:32:00Z</dcterms:created>
  <cp:lastPrinted>2018-12-13T17:58:00Z</cp:lastPrinted>
  <dcterms:modified xsi:type="dcterms:W3CDTF">2026-01-04T08:50:00Z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2052-12.9.0.26953</vt:lpwstr>
  </property>
  <property fmtid="{D5CDD505-2E9C-101B-9397-08002B2CF9AE}" pid="3" name="ICV">
    <vt:lpwstr>3B3A2AC3DD744DE58CACD202E25E762A_13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