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fileSharing userName="Unknown User" reservationPassword="CC48"/>
  <workbookPr/>
  <bookViews>
    <workbookView windowWidth="28800" windowHeight="12465" firstSheet="1" activeTab="2"/>
  </bookViews>
  <sheets>
    <sheet name="名称" sheetId="10" state="hidden" r:id="rId1"/>
    <sheet name="总接单" sheetId="3" r:id="rId2"/>
    <sheet name="总排期" sheetId="1" r:id="rId3"/>
    <sheet name="样办排期" sheetId="14" r:id="rId4"/>
    <sheet name="已走货" sheetId="8" r:id="rId5"/>
    <sheet name="已完成样办" sheetId="12" r:id="rId6"/>
    <sheet name="取消单" sheetId="9" r:id="rId7"/>
    <sheet name="工模与其他" sheetId="7" r:id="rId8"/>
    <sheet name="货名" sheetId="11" r:id="rId9"/>
  </sheets>
  <definedNames>
    <definedName name="_xlnm._FilterDatabase" localSheetId="0" hidden="1">名称!$A$1:$B$39</definedName>
    <definedName name="_xlnm._FilterDatabase" localSheetId="1" hidden="1">总接单!$A$1:$AQ$270</definedName>
    <definedName name="_xlnm._FilterDatabase" localSheetId="2" hidden="1">总排期!$A$1:$AS$140</definedName>
    <definedName name="_xlnm._FilterDatabase" localSheetId="3" hidden="1">样办排期!$A$1:$AY$109</definedName>
    <definedName name="_xlnm._FilterDatabase" localSheetId="4" hidden="1">已走货!$A$1:$AQ$112</definedName>
    <definedName name="_xlnm._FilterDatabase" localSheetId="5" hidden="1">已完成样办!$A$1:$AR$59</definedName>
    <definedName name="_xlnm._FilterDatabase" localSheetId="6" hidden="1">取消单!$A$1:$AR$7</definedName>
    <definedName name="_xlnm._FilterDatabase" localSheetId="7" hidden="1">工模与其他!$A$1:$I$1</definedName>
    <definedName name="_xlnm._FilterDatabase" localSheetId="8" hidden="1">货名!$A$1:$B$40</definedName>
    <definedName name="_xlnm.Print_Area" localSheetId="2">总排期!$A$1:$L$6</definedName>
    <definedName name="_xlnm.Print_Titles" localSheetId="2">总排期!$1:$1</definedName>
    <definedName name="_xlnm.Criteria" localSheetId="1">总接单!$A$3:$AQ$183</definedName>
    <definedName name="_xlnm.Criteria" localSheetId="2">总排期!$A$2:$AS$8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G3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2200992 6/30 1896pcs 欣泰C1区
备品2箱 </t>
        </r>
      </text>
    </comment>
    <comment ref="AG4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22012121 7/3 1806pcs 顶均A3区
2201222 7/6 90pcs 欣泰C5区</t>
        </r>
      </text>
    </comment>
    <comment ref="AG5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2201234 7/7 4584pcs 欣泰B3区
2201291 7/10 2520pcs 应兴B8区
1001742 7/22 606pcs 欣泰A3区
1001797 7/24 294pcs 欣泰B3区</t>
        </r>
      </text>
    </comment>
    <comment ref="AG6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3002881 7/8 2340pcs 欣泰B3区
3002889 7/9 468pcs 欣泰B3区
3002880 7/9 1404pcs 欣泰B3区
3002932 7/11 468pcs 欣泰A7区</t>
        </r>
      </text>
    </comment>
    <comment ref="AG7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3002893 7/10 3168pcs 欣泰E3区
3003048 7/14 102pcs 新泰E3区
3003060 7/15 732pcs 新泰E3区</t>
        </r>
      </text>
    </comment>
    <comment ref="AG9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1001796 7/23 3000pcs 欣泰B6区
1001796 7/23 6pcs 欣泰A5区</t>
        </r>
      </text>
    </comment>
    <comment ref="AG10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1000004 6/20 504pcs 欣泰C4区
1000009 6/20 36pcs 欣泰C4区</t>
        </r>
      </text>
    </comment>
    <comment ref="AG11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1000647 6/25 336pcs 顶均C2区</t>
        </r>
      </text>
    </comment>
    <comment ref="AG12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1001872 7/18 4104pcs 钜顺A4区
1001834 7/18 3612pcs 欣泰A1区
1001707 7/25 1356pcs
1001712 7/25 138pcs</t>
        </r>
      </text>
    </comment>
    <comment ref="AG14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3001668 7/25 1260pcs
3001674 7/25 1680pcs 
3001676 7/25 840pcs
3003231 7/27 1680pcs 馥通F1区</t>
        </r>
      </text>
    </comment>
    <comment ref="AG15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3003186 7/21 1056pcs 钜顺C4区
3003202 7/22 2112pcs 欣泰B1区
3003211 7/22 2292pcs 欣泰C1区</t>
        </r>
      </text>
    </comment>
    <comment ref="AG16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3004807 7/31 3024pcs
3004730 8/1 2520pcs 欣泰A4区
3004737 8/1 504pcs 欣泰A4区
3004718 8/3 2520pcs 馥通D2区 
3004748 8/3 3024pcs 应兴A8区
3004757 8/4 1008pcs 馥通C4区
3003967 8/4 600pcs 欣泰A4区</t>
        </r>
      </text>
    </comment>
    <comment ref="AG17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3004800 7/31 6552pcs
3004808 7/31 1512pcs
3004730 8/1 504pcs 欣泰A7区
3004712 8/1 1008pcs 欣泰A7区
3003911 8/6 444pcs 欣泰A7区</t>
        </r>
      </text>
    </comment>
    <comment ref="AG18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3003973 8/4 360pcs B栋四楼B9区
3004817 8/5 504pcs 欣泰C6区
3003097 8/6 2016pcs 欣泰D5区
3003902 8/5 1512pcs 馥通A7区
3003922 8/7 504pcs 馥通D1区
3003245 8/11 90pcs 欣泰A5区
3003817 8/12 294pcs 欣泰A6区
</t>
        </r>
      </text>
    </comment>
    <comment ref="L19" authorId="0">
      <text>
        <r>
          <rPr>
            <b/>
            <sz val="9"/>
            <rFont val="宋体"/>
            <charset val="0"/>
          </rPr>
          <t>陈龙:</t>
        </r>
        <r>
          <rPr>
            <sz val="9"/>
            <rFont val="宋体"/>
            <charset val="0"/>
          </rPr>
          <t xml:space="preserve">
面壳颜色色差</t>
        </r>
      </text>
    </comment>
    <comment ref="AG19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1001621 7/31 4152pcs
1001310 8/7 774pcs 欣泰F2区
1001374 8/17 78pcs</t>
        </r>
      </text>
    </comment>
    <comment ref="AG21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3003905 8/5 336pcs 馥通A9区
3004817 8/5 672pcs 欣泰D7区 改单1004pcs
3003099 8/6 672pcs 欣泰D7区
3003922 8/7 2352pcs 馥通D8区
以上返工
3003937 8/8 3696pcs 欣泰F7区
3003616 8/14 340pcs</t>
        </r>
      </text>
    </comment>
    <comment ref="AG23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3004730 8/1 528pcs 欣泰A4区
3003097 8/6 294pcs 欣泰A4区
3003811 8/12 4224pcs 欣泰B1区
3003828 8/13 414pcs 直走</t>
        </r>
      </text>
    </comment>
    <comment ref="AG25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3003928 8/7 252pcs 应兴A5区
3003809 8/8 2520pcs 欣泰B5区
3003804 8/10 2016pcs 欣泰C4区
3003828 8/13 252pcs 馥通A11区</t>
        </r>
      </text>
    </comment>
    <comment ref="AG26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1001501 8/10 2988pcs 欣泰A4区
1001462 8/11 12pcs 欣泰A4区
备两箱</t>
        </r>
      </text>
    </comment>
    <comment ref="AG27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3003822 8/12 504pcs 欣泰D3区
3003824 8/13 2016pcs 欣泰F6区
3003828 8/13 1512pcs 馥通A11区
3003616 8/14 2016pcs
3003623 8/14 2520pcs 欣泰E6区
3003625 8/15 3024pcs
3003606 8/15 768pcs</t>
        </r>
      </text>
    </comment>
    <comment ref="AG28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3003822 8/12 504pcs 欣泰A6区
3003615 8/14 2016pcs
3003616 8/14 504pcs
3003606 8/15 1008pcs
3004007 8/15 948pcs</t>
        </r>
      </text>
    </comment>
    <comment ref="AG29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3003822 8/12 1944pcs 欣泰A6区
3003824 8/13 1008pcs 欣泰D6区
3003828 8/13 1368pcs 馥通A11区
3003615 8/14 1080pcs</t>
        </r>
      </text>
    </comment>
    <comment ref="AG30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1001464 8/11 4470pcs 钜顺B5区
1001448 8/12 30pcs 矩顺B4区
备一箱</t>
        </r>
      </text>
    </comment>
    <comment ref="AG31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1001567 8/5 2520pcs 欣泰E3区
1001535 8/6 3480pcs 欣泰E3区
1001527 8/8 954pcs 欣泰D4区
1001433 8/12 48pcs 欣泰E4区</t>
        </r>
      </text>
    </comment>
    <comment ref="AG33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1001374 8/17 4572pcs</t>
        </r>
      </text>
    </comment>
    <comment ref="AG34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3004800 7/31 4752pcs
3004808 7/31 1584pcs
3004722 8/1 1056pcs 欣泰B1区
3004730 8/1 528pcs 欣泰A5区
3004712 8/1 90pcs 欣泰A5区</t>
        </r>
      </text>
    </comment>
    <comment ref="AG35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3003245 8/11 2520pcs 欣泰E1区
3003822 8/12 450pcs 欣泰E1区
3003828 8/13 30pcs 馥通C1区</t>
        </r>
      </text>
    </comment>
    <comment ref="AG37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3003623 8/14 1008pcs 欣泰A5区
3003625 8/15 1008pcs
3003606 8/15 504pcs</t>
        </r>
      </text>
    </comment>
    <comment ref="AG38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1001404 8/15 1758pcs</t>
        </r>
      </text>
    </comment>
    <comment ref="AG39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1001374 8/17 1650pcs</t>
        </r>
      </text>
    </comment>
    <comment ref="AG41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1001374 8/17 600pcs</t>
        </r>
      </text>
    </comment>
    <comment ref="AG43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1001384 8/15 1752pcs</t>
        </r>
      </text>
    </comment>
    <comment ref="AG44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1001374 8/17 1650pcs</t>
        </r>
      </text>
    </comment>
    <comment ref="AG46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1001374 8/17 600pcs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T3" authorId="0">
      <text>
        <r>
          <rPr>
            <b/>
            <sz val="9"/>
            <rFont val="宋体"/>
            <charset val="0"/>
          </rPr>
          <t>陈龙:</t>
        </r>
        <r>
          <rPr>
            <sz val="9"/>
            <rFont val="宋体"/>
            <charset val="0"/>
          </rPr>
          <t xml:space="preserve">
第三方跟客人各签回了1PCS</t>
        </r>
      </text>
    </comment>
    <comment ref="R7" authorId="0">
      <text>
        <r>
          <rPr>
            <b/>
            <sz val="9"/>
            <rFont val="宋体"/>
            <charset val="0"/>
          </rPr>
          <t>陈龙:</t>
        </r>
        <r>
          <rPr>
            <sz val="9"/>
            <rFont val="宋体"/>
            <charset val="0"/>
          </rPr>
          <t xml:space="preserve">
样办由车间准备</t>
        </r>
      </text>
    </comment>
    <comment ref="T8" authorId="0">
      <text>
        <r>
          <rPr>
            <b/>
            <sz val="9"/>
            <rFont val="宋体"/>
            <charset val="0"/>
          </rPr>
          <t>陈龙:</t>
        </r>
        <r>
          <rPr>
            <sz val="9"/>
            <rFont val="宋体"/>
            <charset val="0"/>
          </rPr>
          <t xml:space="preserve">
客人签回彩盒/说明书</t>
        </r>
      </text>
    </comment>
    <comment ref="T10" authorId="0">
      <text>
        <r>
          <rPr>
            <b/>
            <sz val="9"/>
            <rFont val="宋体"/>
            <charset val="0"/>
          </rPr>
          <t>陈龙:</t>
        </r>
        <r>
          <rPr>
            <sz val="9"/>
            <rFont val="宋体"/>
            <charset val="0"/>
          </rPr>
          <t xml:space="preserve">
谭生带回彩盒及说明书</t>
        </r>
      </text>
    </comment>
    <comment ref="AM13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3003146 7/18 12pcs</t>
        </r>
      </text>
    </comment>
    <comment ref="AM14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3003051 7/14 4pcs</t>
        </r>
      </text>
    </comment>
    <comment ref="AM16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3003207 7/22 12pcs</t>
        </r>
      </text>
    </comment>
    <comment ref="AM18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3002677 7/29 18pcs</t>
        </r>
      </text>
    </comment>
    <comment ref="AM21" authorId="0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3003207 7/22 6pcs</t>
        </r>
      </text>
    </comment>
  </commentList>
</comments>
</file>

<file path=xl/comments3.xml><?xml version="1.0" encoding="utf-8"?>
<comments xmlns="http://schemas.openxmlformats.org/spreadsheetml/2006/main">
  <authors>
    <author>Administrator</author>
    <author>dell</author>
    <author>Unknown User</author>
  </authors>
  <commentList>
    <comment ref="AG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1600096 12/26 6000pcs B4楼C8区</t>
        </r>
      </text>
    </comment>
    <comment ref="A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1600096 12/26 5004pcs B4楼B7区
12/29退回返工-版本用错
1600957 1/3 5004pcs B4楼A8区 </t>
        </r>
      </text>
    </comment>
    <comment ref="AG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3000542 12/11 4002pcs B4楼A5区
备品1箱</t>
        </r>
      </text>
    </comment>
    <comment ref="AG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1200959 12/16 3000pcs B4楼C7区
备品2箱</t>
        </r>
      </text>
    </comment>
    <comment ref="AG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1200791 12/15 3834pcs B4楼B8区
1200974 12/17 2454pcs B4楼A8区
1200965 12/17 1716pcs B4楼B8区
备品1箱</t>
        </r>
      </text>
    </comment>
    <comment ref="AG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1601022 1/7 10170pcs B4楼C8区
1601037 1/6  2430pcs B4楼B8区
备品2件</t>
        </r>
      </text>
    </comment>
    <comment ref="AJ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12/18 上比卡超电池箱利宝 37800pcs
      上GROUP A贴纸 12800pcs
      上GROUP B贴纸 12800pcs</t>
        </r>
      </text>
    </comment>
    <comment ref="AG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1600967 1/4   60pcs B4楼A9区
1601058 1/9 4944pcs B4楼B4区</t>
        </r>
      </text>
    </comment>
    <comment ref="AG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1601147 1/14 4002pcs B4楼C9区
备品2箱</t>
        </r>
      </text>
    </comment>
    <comment ref="AG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1601247 1/22   56pcs  B4楼C7区
1601205 1/22 5946pcs  B4楼C7区
备品1pcs </t>
        </r>
      </text>
    </comment>
    <comment ref="AG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1601247 1/22 1974pcs B4楼C8区
1601281 1/23   30pcs B4楼C8区</t>
        </r>
      </text>
    </comment>
    <comment ref="AG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1601139 1/24 1488pcs B4楼C9区
1405706 1/29  12pcs  B4楼C8区
备品2箱</t>
        </r>
      </text>
    </comment>
    <comment ref="AG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1601139 1/24 1086pcs B4楼A9区
1405706 1/29 18pcs  B4楼A10区
备品1箱</t>
        </r>
      </text>
    </comment>
    <comment ref="AG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5000250 1/27 1470pcs B4楼A6区
1405654  2/2   30pcs 已走货</t>
        </r>
      </text>
    </comment>
    <comment ref="AG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5000250 1/27 702pcs B4楼A9区
1405654  2/3 402pcs 已走货</t>
        </r>
      </text>
    </comment>
    <comment ref="AG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5000251 1/27 2172pcs B4楼B6区
1405706 1/29  36pcs  B4楼B6区</t>
        </r>
      </text>
    </comment>
    <comment ref="AG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1405516 2/25 13584pcs  B4楼A6区
1405518 2/26    36pcs  B4楼A6区</t>
        </r>
      </text>
    </comment>
    <comment ref="AG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1405578 2/5 9072pcs B4楼B3区
1405565 2/6 1890pcs B4楼B3区
1405562 2/7  228pcs
备品1箱
2/9 退回返工
1405524 2/28 11190pcs B4楼C3区
备品1箱 </t>
        </r>
      </text>
    </comment>
    <comment ref="AG29" authorId="0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1405276 3/18 2520pcs B栋四楼B4区
1405278 3/19 3462pcs B栋四楼B4区
1405255 3/20 3456pcs
1405256 3/20 4374pcs B栋四楼A2区
1405261 3/20 858pcs B栋三楼23区 
1405265 3/21 30pcs B栋三楼23区</t>
        </r>
      </text>
    </comment>
    <comment ref="AG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1405980 4/11 4748pcs
1405949 4/11 3574pcs 新仓库B14区
以上退回返工
1405897 4/16 6840pcs B栋四楼C7区
1406312 4/17 3330pcs B栋四楼C7区
1403777 4/18 3060pcs B栋四楼C7区
1403791 4/20 1080pcs  B栋四楼B9区
1403799 4/21 3240pcs B栋四楼B10区
1403833 4/22 3574pcs B栋四楼B10区
1403884 4/25 1508pcs B栋四楼B9区 
1403884 4/25 516pcs B栋四楼B9区
1403662 4/28 2250pcs B栋四楼B10区 
1403667 4/28 6120pcs B栋四楼B10区
1403690 4/29 3240pcs B栋四楼C8区
1403742 5/2 1080pcs B栋四楼B10区  
1403726 5/2 8174pcs B栋四楼C8区
1403386 5/5 4336pcs B栋四楼C4区
1403756 5/6 3400pcs B栋四楼C4区
备13箱</t>
        </r>
      </text>
    </comment>
    <comment ref="AG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1405331 4/9 2664pcs B栋四楼B8区
1405338 4/9 36pcs  B栋四楼B8区</t>
        </r>
      </text>
    </comment>
    <comment ref="AG42" authorId="0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1405423 3/31 1296pcs 新仓库B14区
1405426 4/1 1704pcs 新仓库B14区
备两箱</t>
        </r>
      </text>
    </comment>
    <comment ref="AG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1403443 5/9 5832pcs B栋四楼C8区
1403525 5/12 7128pcs B栋四楼A4区
1403510 5/14 2640pcs B栋四楼A4区
备两箱</t>
        </r>
      </text>
    </comment>
    <comment ref="AG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1405886 5/14 1440pcs B栋四楼B2区
1403539 5/15 4830pcs B栋四楼B2区
1403581 5/16 30pcs B栋四楼B2区</t>
        </r>
      </text>
    </comment>
    <comment ref="AG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2800003 5/26 840pcs 顶均A14区
2800007 5/27 1758pcs B栋四楼A10区
2800036 5/27 354pcs B栋四楼C10区
2800088 5/30 48pcs </t>
        </r>
      </text>
    </comment>
    <comment ref="AG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1403348 5/25 2100pcs B栋四楼C4区
1403336 5/26 336pcs 顶均B8区 
2800036 5/27 66pcs B栋四楼C4区</t>
        </r>
      </text>
    </comment>
    <comment ref="AG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1000022 5/9 1332pcs 新仓库三楼A3区
3001628 5/13 168pcs 新仓库三楼A3区
3001635 5/14 12pcs
备品</t>
        </r>
      </text>
    </comment>
    <comment ref="AG49" authorId="0">
      <text>
        <r>
          <rPr>
            <b/>
            <sz val="10"/>
            <rFont val="宋体"/>
            <charset val="134"/>
          </rPr>
          <t>Administrator:</t>
        </r>
        <r>
          <rPr>
            <sz val="10"/>
            <rFont val="宋体"/>
            <charset val="134"/>
          </rPr>
          <t xml:space="preserve">
1000573 5/29 5004pcs B栋四楼A3区
</t>
        </r>
      </text>
    </comment>
    <comment ref="AG50" authorId="0">
      <text>
        <r>
          <rPr>
            <sz val="9"/>
            <rFont val="宋体"/>
            <charset val="0"/>
          </rPr>
          <t>Administrator:
1000475 6/10 2112pcs 欣泰C4区
1000445 6/12 2640pcs
1000120 6/13 1584pcs
1000128 6/13 1584pcs
1000112 6/13 1530pcs
1000091 6/15 2112pcs</t>
        </r>
        <r>
          <rPr>
            <b/>
            <sz val="9"/>
            <rFont val="宋体"/>
            <charset val="0"/>
          </rPr>
          <t xml:space="preserve">
龙丽娟:</t>
        </r>
        <r>
          <rPr>
            <sz val="9"/>
            <rFont val="宋体"/>
            <charset val="0"/>
          </rPr>
          <t xml:space="preserve">
2640 欣泰C4区</t>
        </r>
        <r>
          <rPr>
            <b/>
            <sz val="9"/>
            <rFont val="宋体"/>
            <charset val="0"/>
          </rPr>
          <t xml:space="preserve">
龙丽娟:</t>
        </r>
        <r>
          <rPr>
            <sz val="9"/>
            <rFont val="宋体"/>
            <charset val="0"/>
          </rPr>
          <t xml:space="preserve">
1584 欣泰C4区</t>
        </r>
        <r>
          <rPr>
            <b/>
            <sz val="9"/>
            <rFont val="宋体"/>
            <charset val="0"/>
          </rPr>
          <t xml:space="preserve">
龙丽娟:</t>
        </r>
        <r>
          <rPr>
            <sz val="9"/>
            <rFont val="宋体"/>
            <charset val="0"/>
          </rPr>
          <t xml:space="preserve">
1530 顶均A7区</t>
        </r>
        <r>
          <rPr>
            <b/>
            <sz val="9"/>
            <rFont val="宋体"/>
            <charset val="0"/>
          </rPr>
          <t xml:space="preserve">
龙丽娟:</t>
        </r>
        <r>
          <rPr>
            <sz val="9"/>
            <rFont val="宋体"/>
            <charset val="0"/>
          </rPr>
          <t xml:space="preserve">
1584 顶均A7区</t>
        </r>
        <r>
          <rPr>
            <b/>
            <sz val="9"/>
            <rFont val="宋体"/>
            <charset val="0"/>
          </rPr>
          <t xml:space="preserve">
龙丽娟:</t>
        </r>
        <r>
          <rPr>
            <sz val="9"/>
            <rFont val="宋体"/>
            <charset val="0"/>
          </rPr>
          <t xml:space="preserve">
1000076 6/18 438pcs</t>
        </r>
      </text>
    </comment>
    <comment ref="AG51" authorId="0">
      <text>
        <r>
          <rPr>
            <b/>
            <sz val="10"/>
            <rFont val="宋体"/>
            <charset val="134"/>
          </rPr>
          <t>Administrator:</t>
        </r>
        <r>
          <rPr>
            <sz val="10"/>
            <rFont val="宋体"/>
            <charset val="134"/>
          </rPr>
          <t xml:space="preserve">
1000529 6/8 5280pcs 顶均A5区
1000511 6/8 1920pcs 欣泰D3区
1000490 6/9 1800pcs 欣泰D3区</t>
        </r>
      </text>
    </comment>
    <comment ref="AG5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1403314 5/22 420pcs B栋四楼A8区
1403334 5/26 8346pcs B栋四楼A5区
280003 5/26 2520pcs B栋四楼A4区 
2800036 5/27 714pcs B栋四楼A4区
备两箱</t>
        </r>
      </text>
    </comment>
    <comment ref="AG57" authorId="0">
      <text>
        <r>
          <rPr>
            <b/>
            <sz val="10"/>
            <rFont val="宋体"/>
            <charset val="134"/>
          </rPr>
          <t>Administrator:</t>
        </r>
        <r>
          <rPr>
            <sz val="10"/>
            <rFont val="宋体"/>
            <charset val="134"/>
          </rPr>
          <t xml:space="preserve">
2801137 6/6 6120pcs 顶军A9区
2801176 6/9 360pcs 顶均A9区 
2801196 6/10 360pcs 顶均A9区 
2801223 6/11 162pcs 顶均A9区</t>
        </r>
      </text>
    </comment>
    <comment ref="AG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1403334 5/26 1002pcs B栋四楼C4区</t>
        </r>
      </text>
    </comment>
    <comment ref="AG59" authorId="0">
      <text>
        <r>
          <rPr>
            <b/>
            <sz val="10"/>
            <rFont val="宋体"/>
            <charset val="134"/>
          </rPr>
          <t>Administrator:</t>
        </r>
        <r>
          <rPr>
            <sz val="10"/>
            <rFont val="宋体"/>
            <charset val="134"/>
          </rPr>
          <t xml:space="preserve">
1403266 5/21 3804pcs B栋四楼B10区
备两箱</t>
        </r>
      </text>
    </comment>
    <comment ref="X60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混有加拿大说明书，自己返工</t>
        </r>
      </text>
    </comment>
    <comment ref="AG6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1000395 5/30 528pcs 顶均B5区
1000402 5/30 1056pcs 顶均C4区
1000564 6/1 4224pcs 顶均A1区
1000570 6/2 528pcs 顶均A1区
1000549 6/2 5424pcs  欣泰A4区</t>
        </r>
      </text>
    </comment>
    <comment ref="L61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返工增加贴纸</t>
        </r>
      </text>
    </comment>
    <comment ref="AG61" authorId="0">
      <text>
        <r>
          <rPr>
            <b/>
            <sz val="10"/>
            <rFont val="宋体"/>
            <charset val="134"/>
          </rPr>
          <t>Administrator:</t>
        </r>
        <r>
          <rPr>
            <sz val="10"/>
            <rFont val="宋体"/>
            <charset val="134"/>
          </rPr>
          <t xml:space="preserve">
1403266 5/21 3948pcs B栋四楼B4区
1403275 5/21 54pcs B栋四楼B4区</t>
        </r>
      </text>
    </comment>
    <comment ref="L62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返工增加贴纸</t>
        </r>
      </text>
    </comment>
    <comment ref="AG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1403334 5/26 1002pcs B栋四楼B8区</t>
        </r>
      </text>
    </comment>
    <comment ref="AG63" authorId="0">
      <text>
        <r>
          <rPr>
            <sz val="9"/>
            <rFont val="宋体"/>
            <charset val="0"/>
          </rPr>
          <t>Administrator:
2801249 6/13 2988pcs</t>
        </r>
        <r>
          <rPr>
            <b/>
            <sz val="9"/>
            <rFont val="宋体"/>
            <charset val="0"/>
          </rPr>
          <t xml:space="preserve">
龙丽娟:</t>
        </r>
        <r>
          <rPr>
            <sz val="9"/>
            <rFont val="宋体"/>
            <charset val="0"/>
          </rPr>
          <t xml:space="preserve">
2988 顶均A1区</t>
        </r>
        <r>
          <rPr>
            <b/>
            <sz val="9"/>
            <rFont val="宋体"/>
            <charset val="0"/>
          </rPr>
          <t xml:space="preserve">
龙丽娟:</t>
        </r>
        <r>
          <rPr>
            <sz val="9"/>
            <rFont val="宋体"/>
            <charset val="0"/>
          </rPr>
          <t xml:space="preserve">
2201093 6/20 12pcs 顶均A1区</t>
        </r>
      </text>
    </comment>
    <comment ref="AG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1000415 5/30 1008pcs 顶均A1区
1000540 6/4 2772ppcs 欣泰C3区
1000522 6/5 216pcs 欣泰C3区</t>
        </r>
      </text>
    </comment>
    <comment ref="AG68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1000611 6/23 1512pcs 欣泰D6区
1000617 6/23 1008pcs 欣泰D6区
1000620 6/23 1008pcs 欣泰D6区
1000633 6/24 504pcs 欣泰D5区
1000635 6/24 504pcs 欣泰D5区
1000314 6/27 150pcs
1000199 6/29 30pcs 直走
1000336 6/27 384pcs 欣泰D6区</t>
        </r>
      </text>
    </comment>
    <comment ref="AG69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1000076 6/18 2112pcs 顶钧A5区
1000053 6/20 2640pcs 欣泰A5区
1000060 6/20 528pcs 欣泰A4区
1000004 6/20 1056pcs 欣泰A5区
1000009 6/20 1056pcs 欣泰A4区
1000605 6/22 2640pcs 顶均A18区
1000609 6/22 528pcs 欣泰A4区
1000611 6/23 1056pcs 欣泰A4区
1000633 6/24 528pcs 欣泰A4区
1000641 6/25 480pcs 欣泰A4区</t>
        </r>
      </text>
    </comment>
    <comment ref="L70" authorId="2">
      <text>
        <r>
          <rPr>
            <b/>
            <sz val="9"/>
            <rFont val="宋体"/>
            <charset val="0"/>
          </rPr>
          <t>陈龙:</t>
        </r>
        <r>
          <rPr>
            <sz val="9"/>
            <rFont val="宋体"/>
            <charset val="0"/>
          </rPr>
          <t xml:space="preserve">
验货发现4PCS死机，车间自行返工</t>
        </r>
      </text>
    </comment>
    <comment ref="AG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3001644 5/23 528pcs 顶钧A5区
3001648 5/23 3168pcs 顶钧A5区
3002526 5/26 1764pcs 顶均</t>
        </r>
      </text>
    </comment>
    <comment ref="AG72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1000314 6/27 1008pcs
1000320 6/29 1512pcs 欣泰A5区
1000197 6/29 1374pcs 顶均A12区
1000182 7/1 714pcs 欣泰A4区
1000162 7/2 72pcs</t>
        </r>
      </text>
    </comment>
    <comment ref="L73" authorId="2">
      <text>
        <r>
          <rPr>
            <b/>
            <sz val="9"/>
            <rFont val="宋体"/>
            <charset val="0"/>
          </rPr>
          <t>陈龙:</t>
        </r>
        <r>
          <rPr>
            <sz val="9"/>
            <rFont val="宋体"/>
            <charset val="0"/>
          </rPr>
          <t xml:space="preserve">
验货发现地图有几个按键无功能，自行返工后6/26重验</t>
        </r>
      </text>
    </comment>
    <comment ref="L74" authorId="2">
      <text>
        <r>
          <rPr>
            <b/>
            <sz val="9"/>
            <rFont val="宋体"/>
            <charset val="0"/>
          </rPr>
          <t>陈龙:</t>
        </r>
        <r>
          <rPr>
            <sz val="9"/>
            <rFont val="宋体"/>
            <charset val="0"/>
          </rPr>
          <t xml:space="preserve">
验货发现地图有几个按键无功能，自行返工后6/26重验</t>
        </r>
      </text>
    </comment>
    <comment ref="AG75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2200970 6/27 420pcs 顶均A6区
2201205 7/3 9822pcs
2201245 7/8 78pcs</t>
        </r>
      </text>
    </comment>
    <comment ref="L76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返工增加贴纸</t>
        </r>
      </text>
    </comment>
    <comment ref="AG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1403363 5/23 60pcs B栋四楼B10区
1403309 5/22 3942pcs B栋四楼B10区</t>
        </r>
      </text>
    </comment>
    <comment ref="T77" authorId="2">
      <text>
        <r>
          <rPr>
            <b/>
            <sz val="9"/>
            <rFont val="宋体"/>
            <charset val="0"/>
          </rPr>
          <t>陈龙:</t>
        </r>
        <r>
          <rPr>
            <sz val="9"/>
            <rFont val="宋体"/>
            <charset val="0"/>
          </rPr>
          <t xml:space="preserve">
已签回更新后的包装</t>
        </r>
      </text>
    </comment>
    <comment ref="AG77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2201196 7/2 2454pcs 欣泰B2区
2201186 7/2 1134pcs
2201234 7/7 12pcs 欣泰B4区</t>
        </r>
      </text>
    </comment>
    <comment ref="AG78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2201008 6/30 8790pcs 欣泰C1区
7/4退回返工
2201277 7/9 810pcs 备两箱
                       8784pcs 直走</t>
        </r>
      </text>
    </comment>
    <comment ref="AG80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1000641 6/25 1056pcs 欣泰F5区
1000638 6/26 2640pcs 欣泰F5区
1000589 6/26 2112pcs 顶均A2区
1000202 6/30 1584pcs 顶均A9区
1000184 6/30 528pcs 欣泰A3区
1000193 6/30 528pcs 欣泰A3区
1000171 7/1 1056pcs 欣泰A3区
1000176 7/1 528pcs 欣泰A3区
1000144 7/3 528pcs 顶均A7区
3002517 7/4 1056pcs 欣泰A3区
1000132 7/4 1584pcs 欣泰A3区
3001695 7/7 1800pcs 欣泰A3区</t>
        </r>
      </text>
    </comment>
    <comment ref="L81" authorId="1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更换说明书</t>
        </r>
      </text>
    </comment>
    <comment ref="AG8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1403334 5/26 1968pcs B栋四楼B10区
1403335 5/26 36pcs 王军仓库</t>
        </r>
      </text>
    </comment>
    <comment ref="L82" authorId="2">
      <text>
        <r>
          <rPr>
            <b/>
            <sz val="9"/>
            <rFont val="宋体"/>
            <charset val="0"/>
          </rPr>
          <t>陈龙:</t>
        </r>
        <r>
          <rPr>
            <sz val="9"/>
            <rFont val="宋体"/>
            <charset val="0"/>
          </rPr>
          <t xml:space="preserve">
说明书颜色问题推期</t>
        </r>
      </text>
    </comment>
    <comment ref="AG82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2200992 6/30 1800pcs 欣泰C1区
备品1箱</t>
        </r>
      </text>
    </comment>
    <comment ref="AG84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3002901 7/10 2808pcs 欣泰B3区
3002906 7/11 936pcs 钜顺B5区
3002910 7/11 468pcs 欣泰B3区
3003048 7/14 642pcs 新泰B3区
3003067 7/16 126pcs 应兴A5区
3003122 7/17 18pcs</t>
        </r>
      </text>
    </comment>
    <comment ref="AG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3002526 5/26 390pcs 转顶均</t>
        </r>
      </text>
    </comment>
    <comment ref="AG86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3003033 7/13 528pcs 矩顺A5区
3003036 7/13 1056pcs 矩顺A2区
3003048 7/14 1884pcs 新泰B6区
3003060 7/15 1056pcs 新泰B6区
3003067 7/16 924pcs 应兴A7区
3003139 7/18/ 312pcs</t>
        </r>
      </text>
    </comment>
    <comment ref="AG88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1001919 7/11 5040pcs 新泰B2区
1001894 7/16 4422pcs 欣泰B3区
1001911 7/17 1296pcs
1001796 7/23 222pcs 欣泰B1区</t>
        </r>
      </text>
    </comment>
    <comment ref="AG89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2201026 7/1 7128pcs 欣泰A5区
2201204 7/3 6480pcs 欣泰B3区
2201205 7/3 1992pcs 欣泰A5区
2201222 7/6 12pcs 备一箱 欣泰C5区</t>
        </r>
      </text>
    </comment>
    <comment ref="L91" authorId="2">
      <text>
        <r>
          <rPr>
            <b/>
            <sz val="9"/>
            <rFont val="宋体"/>
            <charset val="0"/>
          </rPr>
          <t>陈龙:</t>
        </r>
        <r>
          <rPr>
            <sz val="9"/>
            <rFont val="宋体"/>
            <charset val="0"/>
          </rPr>
          <t xml:space="preserve">
按制不灵敏</t>
        </r>
      </text>
    </comment>
    <comment ref="AG91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1001872 7/18 996pcs 钜顺A4区
1001796 7/23 396pcs 欣泰A1区
1001712 7/25 108pcs</t>
        </r>
      </text>
    </comment>
    <comment ref="L92" authorId="2">
      <text>
        <r>
          <rPr>
            <b/>
            <sz val="9"/>
            <rFont val="宋体"/>
            <charset val="0"/>
          </rPr>
          <t>陈龙:</t>
        </r>
        <r>
          <rPr>
            <sz val="9"/>
            <rFont val="宋体"/>
            <charset val="0"/>
          </rPr>
          <t xml:space="preserve">
按制不灵敏</t>
        </r>
      </text>
    </comment>
    <comment ref="AG92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1001872 7/18 2268pcs 钜顺A4区
1001757 7/22 678pcs 欣泰A4区
1001707 7/25 24pcs
1001712 7/25 30pcs</t>
        </r>
      </text>
    </comment>
    <comment ref="AG93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2200970 6/27 1704pcs 顶均A6区</t>
        </r>
      </text>
    </comment>
    <comment ref="AG94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3002889 7/9 924pcs 欣泰F4区
3002901 7/10 2244pcs 欣泰F4区
3002927 7/11 528pcs 钜顺B1区
3003060 7/15 306pcs 新泰F4区</t>
        </r>
      </text>
    </comment>
    <comment ref="AG95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3003139 7/18 2640pcs
3003143 7/18 1584pcs
3003150 7/18 1584pcs
3003156 7/18 1584pcs
3003190 7/21 612pcs 钜顺A2区</t>
        </r>
      </text>
    </comment>
    <comment ref="AG96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2200970 6/27 2946pcs 顶均A5区
2201204 7/3 30pcs 欣泰B3区
2201222 7/6 24pcs 欣泰C5区</t>
        </r>
      </text>
    </comment>
    <comment ref="AG97" authorId="0">
      <text>
        <r>
          <rPr>
            <b/>
            <sz val="10"/>
            <rFont val="宋体"/>
            <charset val="134"/>
          </rPr>
          <t>Administrator:</t>
        </r>
        <r>
          <rPr>
            <sz val="10"/>
            <rFont val="宋体"/>
            <charset val="134"/>
          </rPr>
          <t xml:space="preserve">
2801137 6/6 6120pcs 顶军A9区
2801176 6/9 360pcs 顶均A9区 
2801196 6/10 360pcs 顶均A9区 
2801223 6/11 162pcs 顶均A9区</t>
        </r>
      </text>
    </comment>
    <comment ref="AG98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2201221 7/6 2016pcs 欣泰B7区
2201233 7/6 138pcs 欣泰B7区
2801292 7/11 822pcs 欣泰B7区
1001840 7/21 24pcs 钜顺A1区</t>
        </r>
      </text>
    </comment>
    <comment ref="AG99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3003067 7/16 600pcs 应兴A7区</t>
        </r>
      </text>
    </comment>
    <comment ref="L100" authorId="2">
      <text>
        <r>
          <rPr>
            <b/>
            <sz val="9"/>
            <rFont val="宋体"/>
            <charset val="0"/>
          </rPr>
          <t>陈龙:</t>
        </r>
        <r>
          <rPr>
            <sz val="9"/>
            <rFont val="宋体"/>
            <charset val="0"/>
          </rPr>
          <t xml:space="preserve">
第三方QC验货发现每箱产品有两个彩盒压变形</t>
        </r>
      </text>
    </comment>
    <comment ref="AG100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1000620 6/23 504pcs 欣泰F2区
1000633 6/24 504pcs 欣泰F2区
1000635 6/24 1512pcs 欣泰F2区
1000641 6/25 504pcs 欣泰F2区
1000647 6/25 180pcs 顶均C3区</t>
        </r>
      </text>
    </comment>
    <comment ref="AG101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3002927 7/11 1584pcs 钜顺B1区
3003048 7/14 162pcs 新泰A5区
3003072 7/16 1056pcs 欣泰A2区
3003125 7/17 2598pcs</t>
        </r>
      </text>
    </comment>
    <comment ref="AG102" authorId="2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2201221 7/6 6984pcs 欣泰B5区
2201222 7/6 7488pcs 欣泰A5区
2201234 7/7 1602pcs 欣泰B1区
2201285 7/10 3936pcs 应兴A3区</t>
        </r>
      </text>
    </comment>
  </commentList>
</comments>
</file>

<file path=xl/comments4.xml><?xml version="1.0" encoding="utf-8"?>
<comments xmlns="http://schemas.openxmlformats.org/spreadsheetml/2006/main">
  <authors>
    <author>Administrator</author>
    <author>Unknown User</author>
  </authors>
  <commentList>
    <comment ref="AH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16001192 1/19 3pcs</t>
        </r>
      </text>
    </comment>
    <comment ref="AH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1601192 1/19 3pcs</t>
        </r>
      </text>
    </comment>
    <comment ref="AH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1601155 1/16 6pcs</t>
        </r>
      </text>
    </comment>
    <comment ref="AH19" authorId="0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1405426 4/1 2964pcs 新仓库B14区
1405396 4/2 36pcs 新仓库B14区
备3箱</t>
        </r>
      </text>
    </comment>
    <comment ref="AH20" authorId="0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1405383 4/3 3000pcs 新仓库B14区
备两箱</t>
        </r>
      </text>
    </comment>
    <comment ref="AH21" authorId="0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1405423 3/31 1296pcs 新仓库B14区
1405426 4/1 1704pcs 新仓库B14区
备两箱</t>
        </r>
      </text>
    </comment>
    <comment ref="AH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1405412 4/8 12pcs B栋四楼A9区</t>
        </r>
      </text>
    </comment>
    <comment ref="AH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1405980 4/11 18pcs
以上退回
1403833 4/22 18pcs</t>
        </r>
      </text>
    </comment>
    <comment ref="AH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1000697 4/14 6pcs 新仓库A1区</t>
        </r>
      </text>
    </comment>
    <comment ref="AH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1405338 4/9 8pcs B栋四楼B8区</t>
        </r>
      </text>
    </comment>
    <comment ref="AH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1403590 5/16 6pcs</t>
        </r>
      </text>
    </comment>
    <comment ref="AH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1403602 5/18 6pcs
QC不通过2pcs</t>
        </r>
      </text>
    </comment>
    <comment ref="AH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1403314 5/22 420pcs B栋四楼A8区
1403334 5/26 8346pcs
280003 5/26 2520pcs
2800036 5/27 714pcs
备两箱</t>
        </r>
      </text>
    </comment>
    <comment ref="AH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L44" authorId="1">
      <text>
        <r>
          <rPr>
            <b/>
            <sz val="9"/>
            <rFont val="宋体"/>
            <charset val="0"/>
          </rPr>
          <t>陈龙:</t>
        </r>
        <r>
          <rPr>
            <sz val="9"/>
            <rFont val="宋体"/>
            <charset val="0"/>
          </rPr>
          <t xml:space="preserve">
说明书颜色问题推期</t>
        </r>
      </text>
    </comment>
    <comment ref="AS44" authorId="1">
      <text>
        <r>
          <rPr>
            <b/>
            <sz val="9"/>
            <rFont val="宋体"/>
            <charset val="0"/>
          </rPr>
          <t>陈龙:</t>
        </r>
        <r>
          <rPr>
            <sz val="9"/>
            <rFont val="宋体"/>
            <charset val="0"/>
          </rPr>
          <t xml:space="preserve">
说明书7/11日签回</t>
        </r>
      </text>
    </comment>
    <comment ref="AH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1000022 5/9 1332pcs 新仓库三楼A3区
3001628 5/13 168pcs 新仓库三楼A3区
3001635 5/14 12pcs
备品</t>
        </r>
      </text>
    </comment>
    <comment ref="AH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3001660 5/25 8pcs
3002549 5/27 8pcs</t>
        </r>
      </text>
    </comment>
    <comment ref="AH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1000542 6/4 18pcs
</t>
        </r>
      </text>
    </comment>
    <comment ref="AH48" authorId="0">
      <text>
        <r>
          <rPr>
            <b/>
            <sz val="10"/>
            <rFont val="宋体"/>
            <charset val="134"/>
          </rPr>
          <t>Administrator:</t>
        </r>
        <r>
          <rPr>
            <sz val="10"/>
            <rFont val="宋体"/>
            <charset val="134"/>
          </rPr>
          <t xml:space="preserve">
1000479 6/11 9pcs</t>
        </r>
      </text>
    </comment>
    <comment ref="AH51" authorId="1">
      <text>
        <r>
          <rPr>
            <b/>
            <sz val="9"/>
            <rFont val="宋体"/>
            <charset val="0"/>
          </rPr>
          <t>龙丽娟:</t>
        </r>
        <r>
          <rPr>
            <sz val="9"/>
            <rFont val="宋体"/>
            <charset val="0"/>
          </rPr>
          <t xml:space="preserve">
2201008 6/30 8790pcs 欣泰C1区
7/4退回返工</t>
        </r>
      </text>
    </comment>
    <comment ref="AS52" authorId="1">
      <text>
        <r>
          <rPr>
            <b/>
            <sz val="9"/>
            <rFont val="宋体"/>
            <charset val="0"/>
          </rPr>
          <t>陈龙:</t>
        </r>
        <r>
          <rPr>
            <sz val="9"/>
            <rFont val="宋体"/>
            <charset val="0"/>
          </rPr>
          <t xml:space="preserve">
两套，一套客上客签办</t>
        </r>
      </text>
    </comment>
  </commentList>
</comments>
</file>

<file path=xl/sharedStrings.xml><?xml version="1.0" encoding="utf-8"?>
<sst xmlns="http://schemas.openxmlformats.org/spreadsheetml/2006/main" count="5015" uniqueCount="1227">
  <si>
    <t>ITEM</t>
  </si>
  <si>
    <t>新款四角星（OMTS)</t>
  </si>
  <si>
    <t>复仇者联盟游戏机</t>
  </si>
  <si>
    <t>转盘游戏机-EN</t>
  </si>
  <si>
    <t>红色比卡超-EN</t>
  </si>
  <si>
    <t>新点读笔地图</t>
  </si>
  <si>
    <t>绿波比卡超 EN</t>
  </si>
  <si>
    <t>PTE 比卡超圆形游戏机</t>
  </si>
  <si>
    <t>转盘游戏机-ES</t>
  </si>
  <si>
    <t>圆形灯-SL</t>
  </si>
  <si>
    <t>橙色超级男仔小精灵-SE</t>
  </si>
  <si>
    <t>魔镜-SE</t>
  </si>
  <si>
    <t>转盘游戏机-SE</t>
  </si>
  <si>
    <t>橙色超级男仔小精灵（四方彩盒版本）</t>
  </si>
  <si>
    <t>橙色超级男仔小精灵-CZ（四方盒）</t>
  </si>
  <si>
    <t>转盘游戏机-CZ</t>
  </si>
  <si>
    <t>橙色超级男仔小精灵-HU</t>
  </si>
  <si>
    <t>五角星-HU</t>
  </si>
  <si>
    <t>小孩五角星-HU</t>
  </si>
  <si>
    <t>转盘游戏机</t>
  </si>
  <si>
    <t>橙色超级男仔小精灵（六边彩盒版本）</t>
  </si>
  <si>
    <t>圆形灯</t>
  </si>
  <si>
    <t>1121118-
US</t>
  </si>
  <si>
    <t>金属色比卡超-EN</t>
  </si>
  <si>
    <t>1123103-
US-TAR</t>
  </si>
  <si>
    <t>红色比卡超-EN-US</t>
  </si>
  <si>
    <t>1124138-
UK</t>
  </si>
  <si>
    <t>1125103-
US-MIL</t>
  </si>
  <si>
    <t>1125106-
US-MIL</t>
  </si>
  <si>
    <t>紫波比卡超-EN-US</t>
  </si>
  <si>
    <t>1125110-
US-MIL</t>
  </si>
  <si>
    <t>四角星抢答器 EN US</t>
  </si>
  <si>
    <t>1125117-
US-MIL</t>
  </si>
  <si>
    <t>比卡超手表 EN-US</t>
  </si>
  <si>
    <t>1125118-
US-MIL</t>
  </si>
  <si>
    <t>金属色比卡超-EN-US</t>
  </si>
  <si>
    <t>1125124-
US-MIL</t>
  </si>
  <si>
    <t>白色比卡超 EN-US</t>
  </si>
  <si>
    <t>1125130-
US</t>
  </si>
  <si>
    <t>1125151-
US-MIL</t>
  </si>
  <si>
    <t>绿波比卡超 EN-US</t>
  </si>
  <si>
    <t>1125155-
UK</t>
  </si>
  <si>
    <t>1125155-
US</t>
  </si>
  <si>
    <t>1125159-
UK</t>
  </si>
  <si>
    <t>新款五角星-UK</t>
  </si>
  <si>
    <t>产品名称</t>
  </si>
  <si>
    <t>四角星</t>
  </si>
  <si>
    <t>游戏机</t>
  </si>
  <si>
    <t>魔镜</t>
  </si>
  <si>
    <t>小精灵</t>
  </si>
  <si>
    <t>五角星</t>
  </si>
  <si>
    <t>比卡超精灵球</t>
  </si>
  <si>
    <t>地图</t>
  </si>
  <si>
    <t>速度头</t>
  </si>
  <si>
    <t>蓝精灵</t>
  </si>
  <si>
    <t>超级精灵球</t>
  </si>
  <si>
    <t>米奇老鼠头</t>
  </si>
  <si>
    <t>足球</t>
  </si>
  <si>
    <t>接单日期</t>
  </si>
  <si>
    <t>国家</t>
  </si>
  <si>
    <t>PO号</t>
  </si>
  <si>
    <t>CUSTOMER PO</t>
  </si>
  <si>
    <t>数量</t>
  </si>
  <si>
    <t>验货期</t>
  </si>
  <si>
    <t>四角星抢答器</t>
  </si>
  <si>
    <t>涡轮四角星</t>
  </si>
  <si>
    <t>城市游戏机</t>
  </si>
  <si>
    <t>小孩五角星</t>
  </si>
  <si>
    <t>新款五角星</t>
  </si>
  <si>
    <t>米奇五角星</t>
  </si>
  <si>
    <t>比卡超手表</t>
  </si>
  <si>
    <t>绿波比卡超</t>
  </si>
  <si>
    <t>金属色比卡超</t>
  </si>
  <si>
    <t>红色比卡超</t>
  </si>
  <si>
    <t>紫波比卡超</t>
  </si>
  <si>
    <t>灰红波比卡超</t>
  </si>
  <si>
    <t>白色比卡超</t>
  </si>
  <si>
    <t>平板地图</t>
  </si>
  <si>
    <t>世界地图</t>
  </si>
  <si>
    <t>动物地图</t>
  </si>
  <si>
    <t>迪士尼米奇头</t>
  </si>
  <si>
    <t>单价USD</t>
  </si>
  <si>
    <t>金额USD</t>
  </si>
  <si>
    <t>金额HKD</t>
  </si>
  <si>
    <t>德国</t>
  </si>
  <si>
    <t>PO-25101302</t>
  </si>
  <si>
    <t>红色比卡超-DE</t>
  </si>
  <si>
    <t>PTE 比卡超圆形游戏机-DE</t>
  </si>
  <si>
    <t>法国</t>
  </si>
  <si>
    <t>PO-25101601</t>
  </si>
  <si>
    <t>PTE 圆型游戏机</t>
  </si>
  <si>
    <t>波兰</t>
  </si>
  <si>
    <t>PO-25102401</t>
  </si>
  <si>
    <t>希腊</t>
  </si>
  <si>
    <t>PO-25110501</t>
  </si>
  <si>
    <t>转盘游戏机 GR</t>
  </si>
  <si>
    <t>PO-25110502</t>
  </si>
  <si>
    <t>足球 GR</t>
  </si>
  <si>
    <t>克罗地亚</t>
  </si>
  <si>
    <t>PO-25111001</t>
  </si>
  <si>
    <t>足球 CR</t>
  </si>
  <si>
    <t>样品</t>
  </si>
  <si>
    <t>罗马尼亚</t>
  </si>
  <si>
    <t>PO-25111401</t>
  </si>
  <si>
    <t>足球 RO</t>
  </si>
  <si>
    <t>意大利</t>
  </si>
  <si>
    <t>签办</t>
  </si>
  <si>
    <t>PO-25111701</t>
  </si>
  <si>
    <t>足球 IT</t>
  </si>
  <si>
    <t>美国</t>
  </si>
  <si>
    <t>PO-25112401</t>
  </si>
  <si>
    <t>红色比卡超 EN-US</t>
  </si>
  <si>
    <t>新西兰</t>
  </si>
  <si>
    <t>PO-25112503</t>
  </si>
  <si>
    <t>足球 EN(黑色外壳）</t>
  </si>
  <si>
    <t>PO-25112601</t>
  </si>
  <si>
    <t>保加利亚</t>
  </si>
  <si>
    <t>PO-25112603</t>
  </si>
  <si>
    <t>橙色超级男仔小精灵</t>
  </si>
  <si>
    <t>新点读笔地图-BU/EN</t>
  </si>
  <si>
    <t>澳大利亚</t>
  </si>
  <si>
    <t>PO-25120101</t>
  </si>
  <si>
    <t>1121118-
AU</t>
  </si>
  <si>
    <t>巴西</t>
  </si>
  <si>
    <t>PO-25120501</t>
  </si>
  <si>
    <t>斯洛文尼亚</t>
  </si>
  <si>
    <t>PO-25120803</t>
  </si>
  <si>
    <t>红色比卡超-SL</t>
  </si>
  <si>
    <t>斯洛文尼亚（克罗地亚）</t>
  </si>
  <si>
    <t>红色比卡超-CR</t>
  </si>
  <si>
    <t>PO-25121001</t>
  </si>
  <si>
    <t>红色比卡超-FR</t>
  </si>
  <si>
    <t>PO-25121002</t>
  </si>
  <si>
    <t>PTE 圆型游戏机-FR</t>
  </si>
  <si>
    <t>PO-25121004</t>
  </si>
  <si>
    <t>PO-25121003</t>
  </si>
  <si>
    <t>足球-FR</t>
  </si>
  <si>
    <t>欧洲</t>
  </si>
  <si>
    <t>PO-25121201</t>
  </si>
  <si>
    <t>红色比卡超-IT</t>
  </si>
  <si>
    <t>四角星抢答器-IT</t>
  </si>
  <si>
    <t>匈牙利</t>
  </si>
  <si>
    <t>PO-25121801</t>
  </si>
  <si>
    <t>转盘游戏机-HU</t>
  </si>
  <si>
    <t>PO-26010501</t>
  </si>
  <si>
    <t>1126103-US</t>
  </si>
  <si>
    <t>PO-26011501</t>
  </si>
  <si>
    <t>3816003-
0106</t>
  </si>
  <si>
    <t>动物地图 RO</t>
  </si>
  <si>
    <t>3816097-
0106</t>
  </si>
  <si>
    <t>速度头 RO</t>
  </si>
  <si>
    <t>PO-26020301</t>
  </si>
  <si>
    <t>西班牙</t>
  </si>
  <si>
    <t>PO-26020203</t>
  </si>
  <si>
    <t>蓝精灵-ES</t>
  </si>
  <si>
    <t>大货办</t>
  </si>
  <si>
    <t>PO-26020201</t>
  </si>
  <si>
    <t>PTE 圆型游戏机-SW</t>
  </si>
  <si>
    <t>PO-26020202</t>
  </si>
  <si>
    <t>PTE 圆型游戏机-DA</t>
  </si>
  <si>
    <t>PO-26020901</t>
  </si>
  <si>
    <t>灰红波比卡超  EN-AU</t>
  </si>
  <si>
    <t>PO-26021601</t>
  </si>
  <si>
    <t>1121118-US</t>
  </si>
  <si>
    <t>PO-26021602</t>
  </si>
  <si>
    <t>1121118-US-DG</t>
  </si>
  <si>
    <t>1122117-
AU-NEW</t>
  </si>
  <si>
    <t>比卡超手表 EN-AU</t>
  </si>
  <si>
    <t>PO-26022001</t>
  </si>
  <si>
    <t>蓝精灵-EN</t>
  </si>
  <si>
    <t>PO-26022601</t>
  </si>
  <si>
    <t>PTE 圆型游戏机- PL</t>
  </si>
  <si>
    <t>PO-26022602</t>
  </si>
  <si>
    <t>超级精灵球- PL</t>
  </si>
  <si>
    <t>塞尔维亚</t>
  </si>
  <si>
    <t>PO-26022303</t>
  </si>
  <si>
    <t>五角星-SE</t>
  </si>
  <si>
    <t>新款四角星-SE</t>
  </si>
  <si>
    <t>足球-SE</t>
  </si>
  <si>
    <t>PO-26022603</t>
  </si>
  <si>
    <t>PO-26030203</t>
  </si>
  <si>
    <t>超级精灵球-EN</t>
  </si>
  <si>
    <t>PO-26022702</t>
  </si>
  <si>
    <t>新款五角星-HU</t>
  </si>
  <si>
    <t>PO-26022701</t>
  </si>
  <si>
    <t>蓝精灵-HU</t>
  </si>
  <si>
    <t>涡轮四角星-HU</t>
  </si>
  <si>
    <t>比利时(保加利亚）</t>
  </si>
  <si>
    <t>PO-26030601</t>
  </si>
  <si>
    <t>足球- BU</t>
  </si>
  <si>
    <t>PO-26030603</t>
  </si>
  <si>
    <t>PO-26030901</t>
  </si>
  <si>
    <t>1126146-
US</t>
  </si>
  <si>
    <t>蓝精灵-EN-US</t>
  </si>
  <si>
    <t>PO-26030905</t>
  </si>
  <si>
    <t>1126156-
US</t>
  </si>
  <si>
    <t>迪士尼游戏机-EN-US</t>
  </si>
  <si>
    <t>PO-26030904</t>
  </si>
  <si>
    <t>1126164-
US</t>
  </si>
  <si>
    <t>迪士尼米奇头-EN-US</t>
  </si>
  <si>
    <t>PO-26030902</t>
  </si>
  <si>
    <t>1126168-
US</t>
  </si>
  <si>
    <t>涡轮四角星- EN-US</t>
  </si>
  <si>
    <t>PO-26030903</t>
  </si>
  <si>
    <t>1126169-
US</t>
  </si>
  <si>
    <t>超级精灵球-EN-US</t>
  </si>
  <si>
    <t>PO-26031301</t>
  </si>
  <si>
    <t>超级精灵球-FR</t>
  </si>
  <si>
    <t>PO-26031201</t>
  </si>
  <si>
    <t>蓝精灵-PL</t>
  </si>
  <si>
    <t>波兰(匈牙利）</t>
  </si>
  <si>
    <t>超级精灵球-HU</t>
  </si>
  <si>
    <t>PO-26031303</t>
  </si>
  <si>
    <t>1125110-US-MIL</t>
  </si>
  <si>
    <t>四角星抢答器-EN US</t>
  </si>
  <si>
    <t>1125117-US-MIL</t>
  </si>
  <si>
    <t>比卡超手表-EN US</t>
  </si>
  <si>
    <t>PO-26031603</t>
  </si>
  <si>
    <t>加拿大</t>
  </si>
  <si>
    <t>PO-26031601</t>
  </si>
  <si>
    <t>1126146-US</t>
  </si>
  <si>
    <t>PO-26031602</t>
  </si>
  <si>
    <t>1126156-US</t>
  </si>
  <si>
    <t>1126164-US</t>
  </si>
  <si>
    <t>1126168-US</t>
  </si>
  <si>
    <t>涡轮四角星-EN-US</t>
  </si>
  <si>
    <t>1126169-US</t>
  </si>
  <si>
    <t>PO-26031901</t>
  </si>
  <si>
    <t>平板地图-USA EN</t>
  </si>
  <si>
    <t>PO-26032001</t>
  </si>
  <si>
    <t>灰红波比卡超-EN-AU</t>
  </si>
  <si>
    <t>PO-26032302</t>
  </si>
  <si>
    <t>PO-26032303</t>
  </si>
  <si>
    <t>PO-26032301</t>
  </si>
  <si>
    <t>蓝精灵-RO</t>
  </si>
  <si>
    <t>涡轮四角星-RO</t>
  </si>
  <si>
    <t>阿根廷</t>
  </si>
  <si>
    <t>PO-26032401</t>
  </si>
  <si>
    <t>PTE 圆型游戏机- ES</t>
  </si>
  <si>
    <t>PO-26032404</t>
  </si>
  <si>
    <t>四角星抢答器-PL</t>
  </si>
  <si>
    <t>PO-26032503</t>
  </si>
  <si>
    <t>蓝精灵-SL</t>
  </si>
  <si>
    <t>PO-26032504</t>
  </si>
  <si>
    <t>转盘游戏机-SL</t>
  </si>
  <si>
    <t>PO-26032507</t>
  </si>
  <si>
    <t>涡轮四角星-GR</t>
  </si>
  <si>
    <t>PO-26032603</t>
  </si>
  <si>
    <t>红色比卡超-GR</t>
  </si>
  <si>
    <t>四角星抢答器-GR</t>
  </si>
  <si>
    <t>迪士尼米奇头-GR</t>
  </si>
  <si>
    <t>PO-26033001</t>
  </si>
  <si>
    <t>新款四角星-GR</t>
  </si>
  <si>
    <t>PO-26040203</t>
  </si>
  <si>
    <t>圆形灯-PL</t>
  </si>
  <si>
    <t>PO-26040201</t>
  </si>
  <si>
    <t>PO-26040205</t>
  </si>
  <si>
    <t>PO-26040206</t>
  </si>
  <si>
    <t>PO-26040207</t>
  </si>
  <si>
    <t>PO-26040202</t>
  </si>
  <si>
    <t>PO-26040204</t>
  </si>
  <si>
    <t>四角星抢答器-FR</t>
  </si>
  <si>
    <t>PO-26040208</t>
  </si>
  <si>
    <t>PO-26040802</t>
  </si>
  <si>
    <t>迪士尼米奇头-RO</t>
  </si>
  <si>
    <t>PO-26040803</t>
  </si>
  <si>
    <t>圆形灯-RO</t>
  </si>
  <si>
    <t>转盘游戏机-RO</t>
  </si>
  <si>
    <t>土耳其</t>
  </si>
  <si>
    <t>PO-26040801</t>
  </si>
  <si>
    <t>蓝精灵-TU</t>
  </si>
  <si>
    <t>迪士尼米奇头-TU</t>
  </si>
  <si>
    <t>PO-26041301</t>
  </si>
  <si>
    <t>瑞典(丹麦)</t>
  </si>
  <si>
    <t>PO-26042401</t>
  </si>
  <si>
    <t>迪士尼游戏机</t>
  </si>
  <si>
    <t>PO-26042802</t>
  </si>
  <si>
    <t>蓝精灵-GR</t>
  </si>
  <si>
    <t>PO-26042801</t>
  </si>
  <si>
    <t>转盘游戏机-GR</t>
  </si>
  <si>
    <t>足球-GR</t>
  </si>
  <si>
    <t>PO-26042901</t>
  </si>
  <si>
    <t>蓝精灵-CR</t>
  </si>
  <si>
    <t>PO-26050601</t>
  </si>
  <si>
    <t>新款四角星-IT</t>
  </si>
  <si>
    <t>PO-26050501</t>
  </si>
  <si>
    <t>迪士尼游戏机-IT</t>
  </si>
  <si>
    <t>PO-26050602</t>
  </si>
  <si>
    <t>PO-26050703</t>
  </si>
  <si>
    <t>迪士尼游戏机-ES</t>
  </si>
  <si>
    <t>PO-26050702</t>
  </si>
  <si>
    <t>红色比卡超-PO</t>
  </si>
  <si>
    <t>PO-26050701</t>
  </si>
  <si>
    <t>超级精灵球-ES</t>
  </si>
  <si>
    <t>PO-26051503</t>
  </si>
  <si>
    <t>涡轮四角星- ES</t>
  </si>
  <si>
    <t>PO-26051501</t>
  </si>
  <si>
    <t>城市套装游戏机-FR</t>
  </si>
  <si>
    <t>PO-26051502</t>
  </si>
  <si>
    <t>城市套装游戏机-ES</t>
  </si>
  <si>
    <t>PO-26051802</t>
  </si>
  <si>
    <t>蓝精灵-SE</t>
  </si>
  <si>
    <t>PO-26051803</t>
  </si>
  <si>
    <t>圆形灯-CR</t>
  </si>
  <si>
    <t>PO-26051801</t>
  </si>
  <si>
    <t>红色比卡超-EN-US(Target)</t>
  </si>
  <si>
    <t>PO-26052001</t>
  </si>
  <si>
    <t>1126155-US</t>
  </si>
  <si>
    <t>PTE 圆型游戏机-EN-US</t>
  </si>
  <si>
    <t>捷克共和国</t>
  </si>
  <si>
    <t>PO-26052004</t>
  </si>
  <si>
    <t>足球-CZ</t>
  </si>
  <si>
    <t>PO-26052103</t>
  </si>
  <si>
    <t>蓝精灵-LA</t>
  </si>
  <si>
    <t>英国</t>
  </si>
  <si>
    <t>PO-26052202</t>
  </si>
  <si>
    <t>PTE 圆型游戏机-EN-UK</t>
  </si>
  <si>
    <t>PO-26052201</t>
  </si>
  <si>
    <t>新款五角星-IT</t>
  </si>
  <si>
    <t>2026/7/24周五</t>
  </si>
  <si>
    <t>迪士尼米奇头-IT</t>
  </si>
  <si>
    <t>超级精灵球-IT</t>
  </si>
  <si>
    <t>PO-26052702</t>
  </si>
  <si>
    <t>PO-26061201</t>
  </si>
  <si>
    <t>PO-26061101</t>
  </si>
  <si>
    <t>红色比卡超EN-US</t>
  </si>
  <si>
    <t>紫波比卡超EN-US</t>
  </si>
  <si>
    <t>金属色比卡超 EN-US</t>
  </si>
  <si>
    <t>PTE 圆型游戏机EN-US</t>
  </si>
  <si>
    <t>PO-26061102</t>
  </si>
  <si>
    <t>比卡超手表EN-US</t>
  </si>
  <si>
    <t>金属色比卡超EN-US</t>
  </si>
  <si>
    <t>1125155-
US-MIL</t>
  </si>
  <si>
    <t>PO-20260225-013</t>
  </si>
  <si>
    <t>PO-26061601</t>
  </si>
  <si>
    <t>PO-26061803</t>
  </si>
  <si>
    <t>PO-26061802</t>
  </si>
  <si>
    <t>PO-26061801</t>
  </si>
  <si>
    <t>PO-26061804</t>
  </si>
  <si>
    <t>PO-26062701</t>
  </si>
  <si>
    <t>1126169-
US-MIL</t>
  </si>
  <si>
    <t>PO-26070301</t>
  </si>
  <si>
    <t>PTE 圆型游戏机-EN</t>
  </si>
  <si>
    <t>PO-26071002</t>
  </si>
  <si>
    <t>PO-26071001</t>
  </si>
  <si>
    <t>PO-26071601</t>
  </si>
  <si>
    <t>转盘游戏机-BU</t>
  </si>
  <si>
    <t>PO-26080402</t>
  </si>
  <si>
    <t>1126155-
US-TRG</t>
  </si>
  <si>
    <t>PTE 圆型游戏机-EN-US-TRG</t>
  </si>
  <si>
    <t>PO-26080401</t>
  </si>
  <si>
    <t>PO-26080501</t>
  </si>
  <si>
    <t>合计：</t>
  </si>
  <si>
    <t>25年库存金额：</t>
  </si>
  <si>
    <t>总接单：</t>
  </si>
  <si>
    <t>总排期：</t>
  </si>
  <si>
    <t>已走货：</t>
  </si>
  <si>
    <t>以下标注内容区分识别备注：</t>
  </si>
  <si>
    <t>类型</t>
  </si>
  <si>
    <t>内容</t>
  </si>
  <si>
    <t>黄色填充</t>
  </si>
  <si>
    <t>新加单或更改</t>
  </si>
  <si>
    <t>粉色填充</t>
  </si>
  <si>
    <t>扣单/转单</t>
  </si>
  <si>
    <t>蓝色字体</t>
  </si>
  <si>
    <t>已经完成订单</t>
  </si>
  <si>
    <t>粉色字体</t>
  </si>
  <si>
    <t>已经出货</t>
  </si>
  <si>
    <t>红色字体</t>
  </si>
  <si>
    <t>取消单</t>
  </si>
  <si>
    <t>接单期</t>
  </si>
  <si>
    <t>第三客户名称</t>
  </si>
  <si>
    <t>客PO号</t>
  </si>
  <si>
    <t>PO</t>
  </si>
  <si>
    <t>货名</t>
  </si>
  <si>
    <t>装箱数</t>
  </si>
  <si>
    <t>总箱数</t>
  </si>
  <si>
    <t>客确认验货期</t>
  </si>
  <si>
    <t>第三方验货期</t>
  </si>
  <si>
    <t>是否安排自检</t>
  </si>
  <si>
    <t>船期SO</t>
  </si>
  <si>
    <t>计划走货期</t>
  </si>
  <si>
    <t>签办进度</t>
  </si>
  <si>
    <t>客贴纸</t>
  </si>
  <si>
    <t>客供物料（IC）</t>
  </si>
  <si>
    <t>包装进度</t>
  </si>
  <si>
    <t>箱唛移印资料</t>
  </si>
  <si>
    <t>日期码</t>
  </si>
  <si>
    <t>PCBA/MCU/Flash  IC</t>
  </si>
  <si>
    <t>备注</t>
  </si>
  <si>
    <t>发票号</t>
  </si>
  <si>
    <t>是否入系统</t>
  </si>
  <si>
    <t>做货车间</t>
  </si>
  <si>
    <t>生产车间</t>
  </si>
  <si>
    <t>下单明细</t>
  </si>
  <si>
    <t>送回数量</t>
  </si>
  <si>
    <t>欠数</t>
  </si>
  <si>
    <t>送货日期</t>
  </si>
  <si>
    <t>掉期天数</t>
  </si>
  <si>
    <t>纸箱</t>
  </si>
  <si>
    <t>贴纸</t>
  </si>
  <si>
    <t>预计完成时间</t>
  </si>
  <si>
    <t>彩盒样品寄出时间</t>
  </si>
  <si>
    <t>说明书样品寄出时间</t>
  </si>
  <si>
    <t>彩盒打稿OK时间</t>
  </si>
  <si>
    <t>说明书打稿OK时间</t>
  </si>
  <si>
    <t>整体签板</t>
  </si>
  <si>
    <t>收到包装日期</t>
  </si>
  <si>
    <t>Felyx</t>
  </si>
  <si>
    <t>待确认</t>
  </si>
  <si>
    <t>翻单25041001</t>
  </si>
  <si>
    <t>打稿中</t>
  </si>
  <si>
    <t>260221BU</t>
  </si>
  <si>
    <t>World Tour Map: XM25QH128C BU/EN</t>
  </si>
  <si>
    <t>中英文版本，不含电池，带有地图，OID笔，手册和纸张插入</t>
  </si>
  <si>
    <t>已入系统</t>
  </si>
  <si>
    <t>B</t>
  </si>
  <si>
    <t>东莞</t>
  </si>
  <si>
    <t>GP Italy</t>
  </si>
  <si>
    <t>翻单25121201</t>
  </si>
  <si>
    <t>6/3确认移印箱唛</t>
  </si>
  <si>
    <t>261821IT</t>
  </si>
  <si>
    <t>PKM Kanto
PCBA: ZPK028A(IT)</t>
  </si>
  <si>
    <t>带电，GP意大利包装</t>
  </si>
  <si>
    <t>邵阳</t>
  </si>
  <si>
    <t>系统出单</t>
  </si>
  <si>
    <t>PKM Trivia 
Flash: ZPT011A(IT)
MCU: ZPT001D</t>
  </si>
  <si>
    <t>OMTS新款四角星-IT</t>
  </si>
  <si>
    <t>5/27确认文档</t>
  </si>
  <si>
    <t>Flash: AMSFX032CHX-043
MCU: AM32A070A-046</t>
  </si>
  <si>
    <t>Gialamas - Greece</t>
  </si>
  <si>
    <t>4/29确认文档</t>
  </si>
  <si>
    <t>6/11确认移印，7/1确认箱唛</t>
  </si>
  <si>
    <t>261821GR</t>
  </si>
  <si>
    <t>IC Factory part no.
Flash: AMSFX128DHX-P06
MCU: AM32A070A-050</t>
  </si>
  <si>
    <t>带电，
希腊包装</t>
  </si>
  <si>
    <t>新邵</t>
  </si>
  <si>
    <t>TM Toys -Poland</t>
  </si>
  <si>
    <t>ok</t>
  </si>
  <si>
    <t>4/10确认文档</t>
  </si>
  <si>
    <t>4/10确认移印，4/30确认箱</t>
  </si>
  <si>
    <t>261821PL</t>
  </si>
  <si>
    <t>PCBA: ZZT003A(PL)</t>
  </si>
  <si>
    <t>波兰版，带电,注意区分箱唛</t>
  </si>
  <si>
    <t>7/14补齐尾数</t>
  </si>
  <si>
    <t>5/21确认彩盒，6/22确认说明书</t>
  </si>
  <si>
    <t>261821HU</t>
  </si>
  <si>
    <t>PCBA: ZPU004A(HU)</t>
  </si>
  <si>
    <t>匈牙利版，带电</t>
  </si>
  <si>
    <t>Pillowtex - Brazil</t>
  </si>
  <si>
    <t>巴西（葡萄牙）</t>
  </si>
  <si>
    <t>四角星抢答器 BR</t>
  </si>
  <si>
    <t>1/29收到包装</t>
  </si>
  <si>
    <t>1/21确认箱唛，1/14确认移印</t>
  </si>
  <si>
    <t>260701BR</t>
  </si>
  <si>
    <t>Flash: ZPT012A(BR)
MCU: ZPT001D</t>
  </si>
  <si>
    <t>带电，新包装</t>
  </si>
  <si>
    <t>GP France_Amazon</t>
  </si>
  <si>
    <t>6/30收到外箱贴纸</t>
  </si>
  <si>
    <t>4/20</t>
  </si>
  <si>
    <t>翻单跟25121003</t>
  </si>
  <si>
    <t>4/30确认箱唛移印</t>
  </si>
  <si>
    <t>261821FR</t>
  </si>
  <si>
    <t>IC Factory part no.:
Flash: ZFZ002E(FR)
MCU: ZFZ001A</t>
  </si>
  <si>
    <t>带电，法国GP包装，贴亚马逊外箱贴纸</t>
  </si>
  <si>
    <t>7/21收到</t>
  </si>
  <si>
    <t>Orbico</t>
  </si>
  <si>
    <t>4/2确认包装</t>
  </si>
  <si>
    <t>4/2确认箱唛移印</t>
  </si>
  <si>
    <t>Flash: ZPE009A(PL)
MCU: ZPE001A</t>
  </si>
  <si>
    <t>带电，波兰新包装</t>
  </si>
  <si>
    <t>5/21确认彩盒,7/3确认说明书</t>
  </si>
  <si>
    <t>5/25确认箱，5/21确认移印</t>
  </si>
  <si>
    <t>PCBA: ZPU003A(PL)</t>
  </si>
  <si>
    <t>CAFFARO - Argentina</t>
  </si>
  <si>
    <t>6/10确认文档</t>
  </si>
  <si>
    <t>6/1确认箱唛移印</t>
  </si>
  <si>
    <t>261821ES</t>
  </si>
  <si>
    <t>PCBA: ZZT010A(LA)</t>
  </si>
  <si>
    <t xml:space="preserve">西班牙语
阿根廷（西班牙）包装，带电（用客指定 Vinnic 电池）
</t>
  </si>
  <si>
    <t>Talent Show</t>
  </si>
  <si>
    <t>4/30确认文档</t>
  </si>
  <si>
    <t>5/6确认箱唛移印</t>
  </si>
  <si>
    <t>261821HR</t>
  </si>
  <si>
    <t>PCBA: ZZT008A(CR)</t>
  </si>
  <si>
    <t>带电，克罗地亚包装</t>
  </si>
  <si>
    <t>Ultra Pro</t>
  </si>
  <si>
    <t>CMA – 8/5
, CIS – 8/6，8/10返验</t>
  </si>
  <si>
    <t>6/3收到包装</t>
  </si>
  <si>
    <t>5/11确认箱唛,6/5确认移印</t>
  </si>
  <si>
    <t>DONGGUAN 07/2026 EN</t>
  </si>
  <si>
    <t>PCBA: ZDG001A(EN)</t>
  </si>
  <si>
    <t>带电，喷金属油+闪粉
-外箱增加上下平咭，客ITEM号：10307</t>
  </si>
  <si>
    <t>Educa</t>
  </si>
  <si>
    <t>Customer Educa 8/4</t>
  </si>
  <si>
    <t>外箱贴纸 20677-73455</t>
  </si>
  <si>
    <t>7/9确认彩盒，7/13确认说明书</t>
  </si>
  <si>
    <t>6/12确认箱唛,6/22确认移印</t>
  </si>
  <si>
    <t>Flash: AMSFX128DHS-P09
MCU: AM32A070A-050</t>
  </si>
  <si>
    <t>带电，西班牙包装，客PO:73455 ,包装上增加一第客供贴纸
包装需要备品 2%（彩盒+纸箱）</t>
  </si>
  <si>
    <t>CMA – 8/5
, CIS – 8/6，8/14返验</t>
  </si>
  <si>
    <t>包装跟美国US</t>
  </si>
  <si>
    <t>5/8确认箱唛，6/5确认移印</t>
  </si>
  <si>
    <t>Disney Guess
PCBA: ZDG001A(EN)</t>
  </si>
  <si>
    <t>Proludis Giocattoli - Italy</t>
  </si>
  <si>
    <t>6/3确认文档</t>
  </si>
  <si>
    <t>6/15确认箱唛及移印</t>
  </si>
  <si>
    <t>262171IT</t>
  </si>
  <si>
    <t>FOF Ultimate 
Flash: ZFU009A(IT)，MCU: ZFU001A</t>
  </si>
  <si>
    <t>带电，意大利包装</t>
  </si>
  <si>
    <t>预计7/31</t>
  </si>
  <si>
    <t>5/4收到包装，7/3确认说明书</t>
  </si>
  <si>
    <t>PMK Ultimate
PCBA: ZPU005A(IT)</t>
  </si>
  <si>
    <t>Customer Educa 8/12</t>
  </si>
  <si>
    <t>外箱贴纸 20668-73434</t>
  </si>
  <si>
    <t>6/5确认文档</t>
  </si>
  <si>
    <t>6/12确认箱唛,6/15确认移印</t>
  </si>
  <si>
    <t>Flash: AMSFX128DHS-P08
MCU: AM32A070A-051</t>
  </si>
  <si>
    <t>带电，西班牙包装，客PO:73434 
包装需要备品 2%（彩盒+纸箱）</t>
  </si>
  <si>
    <t>Toy Partner</t>
  </si>
  <si>
    <t>5/28确认包装</t>
  </si>
  <si>
    <t>6/16确认箱唛，6/25确认移印</t>
  </si>
  <si>
    <t>262171ES</t>
  </si>
  <si>
    <t>PCBA: ZPU006A(ES)</t>
  </si>
  <si>
    <t>带电，西班牙包装</t>
  </si>
  <si>
    <t>Dexy</t>
  </si>
  <si>
    <t>6/25</t>
  </si>
  <si>
    <t>5/19确认文档</t>
  </si>
  <si>
    <t>5/26确认箱唛移印</t>
  </si>
  <si>
    <t>261821SE</t>
  </si>
  <si>
    <t>PCBA: ZZT007A(SE)</t>
  </si>
  <si>
    <t>带电，塞尔维亚包装</t>
  </si>
  <si>
    <t>GP France</t>
  </si>
  <si>
    <t>迪士尼游戏机-FR</t>
  </si>
  <si>
    <t>6/26确认文档</t>
  </si>
  <si>
    <t>6/25确认移印箱唛</t>
  </si>
  <si>
    <t>262171FR</t>
  </si>
  <si>
    <t>IC Factory part no.
Flash: ZDT002A(FR)
MCU: ZDT001A</t>
  </si>
  <si>
    <t>带电，GP法国包装</t>
  </si>
  <si>
    <t>Asmodee - CZ</t>
  </si>
  <si>
    <t>5/22确认包装</t>
  </si>
  <si>
    <t>7/16确认箱唛移印</t>
  </si>
  <si>
    <t>262171CZ</t>
  </si>
  <si>
    <t>Flash: ZFZ007C(CZ)
MCU: ZFZ001A</t>
  </si>
  <si>
    <t>带电，捷克包装</t>
  </si>
  <si>
    <t>西班牙（葡萄牙语）</t>
  </si>
  <si>
    <t>7/9确认包装</t>
  </si>
  <si>
    <t>262171PO</t>
  </si>
  <si>
    <t>PCBA: ZPK041A(PO)</t>
  </si>
  <si>
    <t>带电，（无隔电片）
葡萄牙语版包装</t>
  </si>
  <si>
    <t>CMA – 8/13
, CIS – 8/14</t>
  </si>
  <si>
    <t>Flash: ZDT001A(EN)
MCU: ZDT001A</t>
  </si>
  <si>
    <t>带电，美国US包装
-外箱增加上下平咭
客ITEM:10308</t>
  </si>
  <si>
    <t>CMA – 8/13
, CIS – 8/17</t>
  </si>
  <si>
    <t>Disney Trivia
Flash: ZDT001A(EN)
MCU: ZDT001A</t>
  </si>
  <si>
    <t>Sunman - Romania</t>
  </si>
  <si>
    <t>7/3确认彩盒，7/10确认说明书</t>
  </si>
  <si>
    <t>6/17确认箱唛，移印待确认</t>
  </si>
  <si>
    <t>262171RO</t>
  </si>
  <si>
    <t>IC Factory part no.
PCBA: ZDG004A(RO)</t>
  </si>
  <si>
    <t>带电，喷金属油+闪粉，罗马尼亚包装</t>
  </si>
  <si>
    <t>7/8确认包装</t>
  </si>
  <si>
    <t>262171GR</t>
  </si>
  <si>
    <t>Pokemon Kanto GR 
PCBA - ZPK040A(GR)</t>
  </si>
  <si>
    <t>带电，无隔电片，
希腊包装</t>
  </si>
  <si>
    <t>Golden Bear</t>
  </si>
  <si>
    <t>6/15确认彩盒，拼图更新2026，6/24确认说明书</t>
  </si>
  <si>
    <t>262171EN</t>
  </si>
  <si>
    <t>Flash: ZPE001A(EN)
MCU: ZPE001A</t>
  </si>
  <si>
    <t>英国版-有盖版彩盒，带电池， x 4C双面游戏板(50CM)，包装需要使用FSC纸张（内卡/彩盒/说明书/拼图），请注意：外箱封一条长胶带密封纸箱。補回120pcs遊戲版給美國客戶</t>
  </si>
  <si>
    <t>6/23确认文档</t>
  </si>
  <si>
    <t>6/22确认箱唛，6/25确认移印</t>
  </si>
  <si>
    <t xml:space="preserve">IC Factory part no.
Flash: ZDT004A(ES) 
MCU: ZDT001A </t>
  </si>
  <si>
    <t>6/25确认文档</t>
  </si>
  <si>
    <t>Pokemon Trainer Trivia GR 
Flash - ZPT013A(GR)
MCU: ZPT001D</t>
  </si>
  <si>
    <t>带电，
希腊包装,留意面壳LGOG移印跟彩盒LOGO一样</t>
  </si>
  <si>
    <t>Sunman - Turkey</t>
  </si>
  <si>
    <t>4/9确认文档</t>
  </si>
  <si>
    <t>5/14确认移印，5/8箱唛确认</t>
  </si>
  <si>
    <t>261821TU</t>
  </si>
  <si>
    <t>Magic Tim PCBA: ZZT012A(TU)</t>
  </si>
  <si>
    <t>带电，土耳其包装</t>
  </si>
  <si>
    <t>7/14确认包装</t>
  </si>
  <si>
    <t>Disney Guess 
PCBA: ZDG005A(IT)</t>
  </si>
  <si>
    <t>带电，喷金属油+闪粉，意大利包装</t>
  </si>
  <si>
    <t>7/6确认彩盒，7/10确认说明书</t>
  </si>
  <si>
    <t>Disney Guess GR 
PCBA - ZDG002A(GR)</t>
  </si>
  <si>
    <t>带电，
希腊包装，喷金属油+闪粉</t>
  </si>
  <si>
    <t>7/6确认彩盒，7/13确认说明书</t>
  </si>
  <si>
    <t>移印待确认，5/8箱唛确认</t>
  </si>
  <si>
    <t>Disney Guess PCBA : ZDG003A(TU)</t>
  </si>
  <si>
    <t>带电，喷金属油+闪粉，土耳其包装</t>
  </si>
  <si>
    <t>Flat River</t>
  </si>
  <si>
    <t>7/15确认包装</t>
  </si>
  <si>
    <t>7/24确认箱唛，7/13确认移印，7/27确认邮包盒唛头</t>
  </si>
  <si>
    <t>DONGGUAN 08/2026 EN</t>
  </si>
  <si>
    <t xml:space="preserve">PKM Kanto: ZPK001B(EN) </t>
  </si>
  <si>
    <t>带电，无隔电片，
新包装（彩盒+邮包盒）</t>
  </si>
  <si>
    <t>PKM Ash: ZPK013A(EN)</t>
  </si>
  <si>
    <t>说明书翻单26031303，彩盒7/15更新</t>
  </si>
  <si>
    <t xml:space="preserve">PKM Mission:ZPD001A(EN) </t>
  </si>
  <si>
    <t>不带电，
新包装（彩盒+邮包盒）</t>
  </si>
  <si>
    <t xml:space="preserve">PKM Legacy: ZPK017A(EN) </t>
  </si>
  <si>
    <t>PKM Expert: MCU: ZPE001A + Flash: ZPE001A(EN)</t>
  </si>
  <si>
    <t>带电，
新包装（彩盒+邮包盒）</t>
  </si>
  <si>
    <t>PKM Kanto: ZPK001B(EN)</t>
  </si>
  <si>
    <t>PKM Mission:ZPD001A(EN)</t>
  </si>
  <si>
    <t>PKM Legacy: ZPK017A(EN)</t>
  </si>
  <si>
    <t>Dumel</t>
  </si>
  <si>
    <t>翻单25052301</t>
  </si>
  <si>
    <t>6/29确认箱唛移印</t>
  </si>
  <si>
    <t>262171PL</t>
  </si>
  <si>
    <t>Mirror: ZZA008A(PL)</t>
  </si>
  <si>
    <t>有3节AAA电池给我试试
-新包装，小册子，手册（1页）</t>
  </si>
  <si>
    <t>7/13收到包装 ,跟澳洲版</t>
  </si>
  <si>
    <t>PKM Ultimate 
PCBA: ZPU001A(EN</t>
  </si>
  <si>
    <t>带电，彩盒+邮包盒装</t>
  </si>
  <si>
    <t>U. Games</t>
  </si>
  <si>
    <t>跟PO#26061101</t>
  </si>
  <si>
    <t>7/28确认箱唛移印</t>
  </si>
  <si>
    <t>PKM Kanto PCBA: ZPK001B(EN)</t>
  </si>
  <si>
    <t>带电，无隔电片，
标准Zanzoon英文包装（与美国不一样），包装，将使用亚马逊美国订单包装)</t>
  </si>
  <si>
    <t>PKM Expert: Flash - ZPE001A(EN) / MCU - ZPE001A</t>
  </si>
  <si>
    <t>带电，（带盖子的包）（游戏板- 50厘米）
-标准Zanzoon英文包装（与美国不一样）
包装，将使用亚马逊美国订单包装)</t>
  </si>
  <si>
    <t>7/15确认包装 ,跟澳洲版</t>
  </si>
  <si>
    <t>PKM Ultimate PCBA: ZPU001A(EN)</t>
  </si>
  <si>
    <t>带电
-标准Zanzoon英文包装（与美国不一样）
包装，将使用亚马逊美国订单包装)</t>
  </si>
  <si>
    <t>橙色超级男仔小精灵-BU</t>
  </si>
  <si>
    <t>12/12确认箱唛移印</t>
  </si>
  <si>
    <t xml:space="preserve">IC Factory part no.
SMJ PCBA: ZZE008A(BU)
</t>
  </si>
  <si>
    <t>使用矩形盒子，手指\脚指\胸部有喷油/移印,带电</t>
  </si>
  <si>
    <t>西班牙（法国版）</t>
  </si>
  <si>
    <t>外箱贴纸 20690-73788</t>
  </si>
  <si>
    <t>包装跟26051501更新Batch code:73788</t>
  </si>
  <si>
    <t>8/12确认箱唛及移印</t>
  </si>
  <si>
    <t>262451FR</t>
  </si>
  <si>
    <t>Brainopolis FR
Flash: AMSFX128DHS-P07
MCU: AM32A070A-052</t>
  </si>
  <si>
    <t>客PO：73788
-带电，法文版包装，有外箱贴纸，包装需要备品 2%（彩盒+纸箱）</t>
  </si>
  <si>
    <t>外箱贴纸 20668-73788</t>
  </si>
  <si>
    <t>包装跟26051502更新Batch code:73788</t>
  </si>
  <si>
    <t>262451ES</t>
  </si>
  <si>
    <t>Brainopolis ES
Flash: AMSFX128DHS-P08
MCU: AM32A070A-052</t>
  </si>
  <si>
    <t>客PO：73788
-带电，西班牙版包装，有外箱贴纸，包装需要备品 2%（彩盒+纸箱）</t>
  </si>
  <si>
    <t>外箱贴纸 20677-73790</t>
  </si>
  <si>
    <t>包装跟26051503更新Batch code:73790</t>
  </si>
  <si>
    <t>Turbo Trivia ES
Flash: AMSFX128DHS-P09
MCU: AM32A070A-050</t>
  </si>
  <si>
    <t>客PO：:73790 
-带电，西班牙版包装，有外箱贴纸，包装需要备品 2%（彩盒+纸箱）</t>
  </si>
  <si>
    <t>7/29确认箱唛移印</t>
  </si>
  <si>
    <t>262451BU</t>
  </si>
  <si>
    <t>Wheel U Dare BU
MCU: AM32A070A-043
SPI: AMSFX032CHX-023</t>
  </si>
  <si>
    <t>带电，希腊包装
-将与订单号25112603 /超级魔法精灵一起发货
BU - 2,508件</t>
  </si>
  <si>
    <t>翻单26030903</t>
  </si>
  <si>
    <t>DONGGUAN 09/2026 EN</t>
  </si>
  <si>
    <t>带电，美国US包装，PKM Ultimate - 10309
-外箱增加上下平咭</t>
  </si>
  <si>
    <t>Ultra Pro / PSI</t>
  </si>
  <si>
    <t>PO-20260728-008</t>
  </si>
  <si>
    <t xml:space="preserve"> 翻单26052001更新客ITEM:10305-TRG</t>
  </si>
  <si>
    <t>Flash - ZPE001A(EN) 
MCU - ZPE001A</t>
  </si>
  <si>
    <t>客： PO号码PO-20260728-008 （Target USA）
缩小版包装（无翻盖），英文版拼图49CM，客ITEM:10305-TRG
带电，外箱增加上下平咭</t>
  </si>
  <si>
    <t>翻单26050701</t>
  </si>
  <si>
    <t>客户项目编号50240
-有4个AAA电池，包括试用我
-整箱装运
-目标检查日期：2026年9月25日</t>
  </si>
  <si>
    <t>PO-20260225-014</t>
  </si>
  <si>
    <t>翻单26030904</t>
  </si>
  <si>
    <t>PO-20260225-015</t>
  </si>
  <si>
    <t>翻单26030905</t>
  </si>
  <si>
    <t>Ultra Pro - Canada</t>
  </si>
  <si>
    <t>PO-20260225-019</t>
  </si>
  <si>
    <t>Modell &amp; Hobby</t>
  </si>
  <si>
    <t>翻单待客人确认</t>
  </si>
  <si>
    <t>MCU: AM32A070A-042
SPI: AMSFX032CHX-020</t>
  </si>
  <si>
    <t>带电-匈牙利版包装</t>
  </si>
  <si>
    <t>MCU: ZFU001A
Flash: ZFU002A(HU)</t>
  </si>
  <si>
    <t>PO-20260225-016</t>
  </si>
  <si>
    <t>DONGGUAN 12/2026 EN</t>
  </si>
  <si>
    <t>待复</t>
  </si>
  <si>
    <t>暂停备料</t>
  </si>
  <si>
    <t>欠</t>
  </si>
  <si>
    <t>Flash: ZDT003A(IT)
MCU: ZDT001A</t>
  </si>
  <si>
    <t>合计</t>
  </si>
  <si>
    <t>.</t>
  </si>
  <si>
    <t>交办日期</t>
  </si>
  <si>
    <t>样办回来日期</t>
  </si>
  <si>
    <t>样办寄出日期</t>
  </si>
  <si>
    <t>签回日期</t>
  </si>
  <si>
    <t>电子交期</t>
  </si>
  <si>
    <t>塑胶交期</t>
  </si>
  <si>
    <t>包装交期</t>
  </si>
  <si>
    <t>样板交期</t>
  </si>
  <si>
    <t>7/11寄出5PCS</t>
  </si>
  <si>
    <t>Flash: AMSFX128DHS-P03
MCU: AM32A070A-050</t>
  </si>
  <si>
    <t>带电，匈牙利包装</t>
  </si>
  <si>
    <t>OK</t>
  </si>
  <si>
    <t>大货办+签办</t>
  </si>
  <si>
    <t>7/8寄出2PCS,7/20补寄4PCS</t>
  </si>
  <si>
    <t>7/8寄出3PCS,其余质量问题</t>
  </si>
  <si>
    <t>Apollo - Slovenia</t>
  </si>
  <si>
    <t>7/11寄出5PCS,7/15寄出10PCS</t>
  </si>
  <si>
    <t>261821SL</t>
  </si>
  <si>
    <t>IC Factory part no. ZZT009A(SL)</t>
  </si>
  <si>
    <t>带电，跟PO-26032504拼柜走货</t>
  </si>
  <si>
    <t>7/15寄出28PCS</t>
  </si>
  <si>
    <t>带电，缩小版包装（无翻盖）。外箱增加上下平咭</t>
  </si>
  <si>
    <t>7/10寄出</t>
  </si>
  <si>
    <t>7/15寄出4PCS</t>
  </si>
  <si>
    <t>PCBA: ZZT005A(HU)</t>
  </si>
  <si>
    <t>7/20寄出</t>
  </si>
  <si>
    <t>CR
Flash: AMSFX032BHX-011
MCU: AM32A070A-021</t>
  </si>
  <si>
    <t>不带电，克罗地亚包装</t>
  </si>
  <si>
    <t>7/17寄出15PCS退回，7/21寄出7PCS</t>
  </si>
  <si>
    <t>7/22寄出</t>
  </si>
  <si>
    <t>7/21寄出5PCS，7/29寄出3PCS</t>
  </si>
  <si>
    <t>7月7号已交5535</t>
  </si>
  <si>
    <t>7月10号交</t>
  </si>
  <si>
    <t>7/30寄出2PCS，8/5补6PCS</t>
  </si>
  <si>
    <t>7/28寄出3PCS，8/5补3PCS</t>
  </si>
  <si>
    <t>签办工程已安排，大货办需要2箱</t>
  </si>
  <si>
    <t>需大货办2箱，要有正箱，签办7/27寄出4PCS</t>
  </si>
  <si>
    <t>带电，西班牙包装，客PO:73455 ,包装上增加一第客供贴纸
包装需要备品 2%</t>
  </si>
  <si>
    <t>7月16号开始交</t>
  </si>
  <si>
    <t>8/1寄出</t>
  </si>
  <si>
    <t>7/25 寄出</t>
  </si>
  <si>
    <t>7/25 寄出3PCS</t>
  </si>
  <si>
    <t>已交2240</t>
  </si>
  <si>
    <t>需大货办2箱,8/7寄出，签办7/27寄出4PCS</t>
  </si>
  <si>
    <t>带电，西班牙包装，客PO:73434 
包装需要备品 2%</t>
  </si>
  <si>
    <t>东莞寄2套，湖南8/1寄 6PCS</t>
  </si>
  <si>
    <t>签办工程已安排，大货办需要3箱</t>
  </si>
  <si>
    <t>DONGGUAN 06/2026 EN</t>
  </si>
  <si>
    <t>8/6 寄出</t>
  </si>
  <si>
    <t>湖南8/5寄4PCS，8/13寄4PCS</t>
  </si>
  <si>
    <t>带电，（无隔电片）
（葡萄牙语版包装）</t>
  </si>
  <si>
    <t>8/8寄出 4PCS</t>
  </si>
  <si>
    <t>欠6PCS</t>
  </si>
  <si>
    <t>8/12寄出 5PCS，8/15寄6PCS,，客人退回4PCS</t>
  </si>
  <si>
    <t>带电，罗马尼亚包装</t>
  </si>
  <si>
    <t>8/10寄出 5PCS 8/14寄出6PCS</t>
  </si>
  <si>
    <t>8/12寄出 5PCS</t>
  </si>
  <si>
    <t>8/16寄出</t>
  </si>
  <si>
    <t>8/1寄出4PCS测试办，8/11寄测试办2PCS</t>
  </si>
  <si>
    <t>8/14寄出</t>
  </si>
  <si>
    <t>第三方PO</t>
  </si>
  <si>
    <t>Cust. PO NO.</t>
  </si>
  <si>
    <t>出货期</t>
  </si>
  <si>
    <t>追客新资料期</t>
  </si>
  <si>
    <t>包装核对</t>
  </si>
  <si>
    <t>箱唛资料</t>
  </si>
  <si>
    <t>单价(USD)</t>
  </si>
  <si>
    <t>Asmodee Germany</t>
  </si>
  <si>
    <t>红色比卡超 DE</t>
  </si>
  <si>
    <t>翻单25050602</t>
  </si>
  <si>
    <t>10/24确认箱唛移印</t>
  </si>
  <si>
    <t>253601DE</t>
  </si>
  <si>
    <t>PCBA: ZPK009A(DE)</t>
  </si>
  <si>
    <t>带电,带隔电片</t>
  </si>
  <si>
    <t>FH20220282</t>
  </si>
  <si>
    <t>PTE 比卡超圆形游戏机 DE</t>
  </si>
  <si>
    <t>MCU: ZPE001A 
Flash: ZPE003A(DE)</t>
  </si>
  <si>
    <t>带电</t>
  </si>
  <si>
    <t>翻单25041905彩盒/说明书新档案11/20确认</t>
  </si>
  <si>
    <t>11/13确认箱唛移印</t>
  </si>
  <si>
    <t>253601FR</t>
  </si>
  <si>
    <t>IC Factory part no.
PCBA: ZPK004A(FR)</t>
  </si>
  <si>
    <t>带电池，包装上印有Triman标志，包装：GP法国pkg + I/S（带法国标志），带隔电片</t>
  </si>
  <si>
    <t>FH20220283</t>
  </si>
  <si>
    <t>翻单25041905地图/彩盒及说明书新档案11/20确认</t>
  </si>
  <si>
    <t>IC Factory part no.:
PCBA: ZPD002A(FR</t>
  </si>
  <si>
    <t>不带电池，包装上印有Triman标志，包装：GP法国pkg + I/S（带法国标志）</t>
  </si>
  <si>
    <t>翻单25041905彩盒及拼图/说明书新档案11/20确认</t>
  </si>
  <si>
    <t>IC Factory part no.
MCU: ZPE001A 
Flash: ZPE002A(FR)</t>
  </si>
  <si>
    <t>带电池，包装上印有Triman标志，包装：GP法国pkg + I/S（带法国标志）</t>
  </si>
  <si>
    <t>Target</t>
  </si>
  <si>
    <t>翻单25052901</t>
  </si>
  <si>
    <t>12/11确认箱唛移印</t>
  </si>
  <si>
    <t>DONGGUAN 01/2026 EN</t>
  </si>
  <si>
    <t>PCBA:ZPK001B(EN)</t>
  </si>
  <si>
    <t>没有隔电片，带电，額外的貼紙(可移贴纸(2pcs)+ 胶袋包装)，MIC:带针咪头，有Try Me功能，外箱增加上下平咭</t>
  </si>
  <si>
    <t>FH20220284</t>
  </si>
  <si>
    <t>GP Greece</t>
  </si>
  <si>
    <t>翻单24062313</t>
  </si>
  <si>
    <t>11/20确认箱唛移印</t>
  </si>
  <si>
    <t>260061GR</t>
  </si>
  <si>
    <t>MCU: AM32A070A-042
Flash: AMSFX032CHX-031</t>
  </si>
  <si>
    <t>带电，包装希腊GP版</t>
  </si>
  <si>
    <t>FH20220285</t>
  </si>
  <si>
    <t>包装11/17确认</t>
  </si>
  <si>
    <t>移印工程跟进，11/20确认箱唛</t>
  </si>
  <si>
    <t xml:space="preserve">Flash: ZFZ014A(GE)
MCU: ZFZ001A </t>
  </si>
  <si>
    <t>12/30确认</t>
  </si>
  <si>
    <t>260221HR</t>
  </si>
  <si>
    <t xml:space="preserve">Flash:  ZFZ005C(CR)
MCU: ZFZ001A </t>
  </si>
  <si>
    <t>FH20220286</t>
  </si>
  <si>
    <t>足球 PL</t>
  </si>
  <si>
    <t>1/7确认</t>
  </si>
  <si>
    <t>12/1确认箱唛移印</t>
  </si>
  <si>
    <t>260221PL</t>
  </si>
  <si>
    <t>Flash: ZFZ004C(PL)
MCU: ZFZ001B</t>
  </si>
  <si>
    <t>波兰版包装
-带电（ 3个2AA电池）,主纸箱有特殊的点线（只封一条胶纸，胶纸不能超过虚线）</t>
  </si>
  <si>
    <t>FH20220287</t>
  </si>
  <si>
    <t>翻单25101601</t>
  </si>
  <si>
    <t>12/18确认移印箱唛</t>
  </si>
  <si>
    <t>260221FR</t>
  </si>
  <si>
    <t>PCBA: ZPK004A(FR)</t>
  </si>
  <si>
    <t>FH20220288</t>
  </si>
  <si>
    <t>MCU: ZPE001A 
Flash: ZPE002A(FR)</t>
  </si>
  <si>
    <t>Flash: ZFZ002E(FR)
MCU: MCU: ZFZ001A</t>
  </si>
  <si>
    <t>Grandi Giochi - Italy</t>
  </si>
  <si>
    <t>12/8确认</t>
  </si>
  <si>
    <t>11/25确认移印，11/20确认箱唛</t>
  </si>
  <si>
    <t>260221IT</t>
  </si>
  <si>
    <t xml:space="preserve">Flash: ZFZ006F(IT)
MCU: ZFZ001A </t>
  </si>
  <si>
    <t>FH20220289</t>
  </si>
  <si>
    <t>GP - Italy</t>
  </si>
  <si>
    <t>12/23确认</t>
  </si>
  <si>
    <t>12/30确认箱唛,1/5确认移印</t>
  </si>
  <si>
    <t>PCBA: ZPK028A(IT)</t>
  </si>
  <si>
    <t>带电,无隔电片</t>
  </si>
  <si>
    <t>FH20220290</t>
  </si>
  <si>
    <t xml:space="preserve">Flash: ZPT011A(IT)
MCU: ZPT001D </t>
  </si>
  <si>
    <t>1/8确认</t>
  </si>
  <si>
    <t>12/18确认箱唛，12/15确认移印</t>
  </si>
  <si>
    <t>260221EN</t>
  </si>
  <si>
    <t>PCBA: ZPK017A(EN)</t>
  </si>
  <si>
    <t>标准Zanzoon英文包装,无隔电片，带电</t>
  </si>
  <si>
    <t>FH20220291</t>
  </si>
  <si>
    <t>1/5确认</t>
  </si>
  <si>
    <t>Flash: ZFZ001G(EN)
MCU: ZFZ001A</t>
  </si>
  <si>
    <t>带电，标准Zanzoon英文包装</t>
  </si>
  <si>
    <t>Altex</t>
  </si>
  <si>
    <t>12/30确认箱唛移印</t>
  </si>
  <si>
    <t>260221RO</t>
  </si>
  <si>
    <t xml:space="preserve">Flash: ZFZ003B(RO) 
MCU: ZFZ001A </t>
  </si>
  <si>
    <t>FH20220292</t>
  </si>
  <si>
    <t>新包装1/13确认</t>
  </si>
  <si>
    <t>1/9确认移印箱唛</t>
  </si>
  <si>
    <t>DONGGUAN 03/2026 EN</t>
  </si>
  <si>
    <t>没有隔电片，带电，不需要額外的貼紙，MIC:带针咪头，有Try Me功能，外箱增加上下平咭</t>
  </si>
  <si>
    <t>FH20220293</t>
  </si>
  <si>
    <t>U Games / Warehouse</t>
  </si>
  <si>
    <t>12/15确认箱唛，移印跟PO-25120101</t>
  </si>
  <si>
    <t>FH20220294</t>
  </si>
  <si>
    <t>FH20220295</t>
  </si>
  <si>
    <t>翻单24112501</t>
  </si>
  <si>
    <t>1/14确认移印箱唛</t>
  </si>
  <si>
    <t>260641HU</t>
  </si>
  <si>
    <t>FH20220296</t>
  </si>
  <si>
    <t>US-WM</t>
  </si>
  <si>
    <t>翻单25012206,更新ITEM号</t>
  </si>
  <si>
    <t>2/5确认移印箱唛</t>
  </si>
  <si>
    <t>Flash - ZPE001A(EN)
MCU - ZPE001A</t>
  </si>
  <si>
    <t>带电池，纸箱的顶部和底部添加硬纸板，贴 RFID贴纸（客供）</t>
  </si>
  <si>
    <t>FH20220297</t>
  </si>
  <si>
    <t>FH20220298</t>
  </si>
  <si>
    <t>Network One</t>
  </si>
  <si>
    <t>工厂自行采购</t>
  </si>
  <si>
    <t>2/6收到包装</t>
  </si>
  <si>
    <t>1/25确认移印箱唛</t>
  </si>
  <si>
    <t>260701RO</t>
  </si>
  <si>
    <t>MCU: TRD16P101A-ZA40  Flash: SPI16M-ZA41(TR1605F48-4_16M)</t>
  </si>
  <si>
    <t>带电
罗马尼亚包装</t>
  </si>
  <si>
    <t>FH20220299</t>
  </si>
  <si>
    <t>车间</t>
  </si>
  <si>
    <t>MCU用库存1951PCS，Flash 1/30</t>
  </si>
  <si>
    <t xml:space="preserve">Flash: ZSD010A(RO)
MCU: ZSD001B </t>
  </si>
  <si>
    <t>带电(三档开关）
罗马尼亚包装</t>
  </si>
  <si>
    <t>PTG Kanto SL: ZPK038A(SL)</t>
  </si>
  <si>
    <t>口袋妖怪关东（没有拉标签）
-口袋妖怪教练猜关东版在克罗地亚版本和
斯洛文尼亚版，用1 × 20英尺的集装箱运往斯洛文尼亚
- 3个AAA电池包括试用我
-每个需要16个签名样品</t>
  </si>
  <si>
    <t>FH20220300</t>
  </si>
  <si>
    <t>PTG Kanto CR: ZPK039A(CR)</t>
  </si>
  <si>
    <t>PKM Mission: ZPD001A(EN)</t>
  </si>
  <si>
    <t>3 × AAA电池包括口袋妖怪教练猜
试试我的冠军
没有电池的口袋妖怪训练师任务
-标准Zanzoon英文包装
-需要12个签名样品作为PKM任务样品
-船1 × 20</t>
  </si>
  <si>
    <t>FH20220301</t>
  </si>
  <si>
    <t>PKM Champions: ZPK030A(EN)</t>
  </si>
  <si>
    <t>Flash: ZFZ015A(BU)</t>
  </si>
  <si>
    <t>保加利亚版的3 × AA电池包括尝试我
-需要6个装运样品。</t>
  </si>
  <si>
    <t>FH20220302</t>
  </si>
  <si>
    <t>Dollar General</t>
  </si>
  <si>
    <t>有</t>
  </si>
  <si>
    <t>3/11确认文档，打版中</t>
  </si>
  <si>
    <t>3/13确认移印,3/16确认箱唛</t>
  </si>
  <si>
    <t>DONGGUAN 04/2026 EN</t>
  </si>
  <si>
    <t xml:space="preserve"> ZPK017A(EN)</t>
  </si>
  <si>
    <t>无隔电片，带电，贴价钱贴纸
外箱增加上下平咭</t>
  </si>
  <si>
    <t>FH20220303</t>
  </si>
  <si>
    <t>3/11确认文档</t>
  </si>
  <si>
    <t>无隔电片，带电，
外箱增加上下平咭</t>
  </si>
  <si>
    <t>FH20220304</t>
  </si>
  <si>
    <t>IC Factory part no. ZPK017A(EN)</t>
  </si>
  <si>
    <t xml:space="preserve">项目编号10312
—无复位拉卡
-配有3节AAA电池
-遵守美国法规
-口袋妖怪Trianer Guess Legacy EN，包装上有特殊的文字，新的项目编号和EAN代码（适用于Dollar General），
2电脑包
-包装上印有Dollar General价格票，大批量印刷前需进行防印
-需要2个包装+ Dollar General价格标签+ 2个纸板
（像正常的UP运输一样），额外费用US$0.074（2件包装和贴纸）+ $0.0136（纸板）。
-需要18个装运样品
-可能需要客户特殊的质量控制（如取样）
</t>
  </si>
  <si>
    <t>FH20220305</t>
  </si>
  <si>
    <t>FH20220306</t>
  </si>
  <si>
    <t>红色比卡超  BR</t>
  </si>
  <si>
    <t>PCBA: ZPK037A(BR)</t>
  </si>
  <si>
    <t>带电，新包装，无隔电片</t>
  </si>
  <si>
    <t>FH20220307</t>
  </si>
  <si>
    <t>翻25112401更新日期2026</t>
  </si>
  <si>
    <t>3/13确认移印箱唛</t>
  </si>
  <si>
    <t>DONGGUAN 05/2026 EN</t>
  </si>
  <si>
    <t>ZPK001B(EN)</t>
  </si>
  <si>
    <t>FH20220308</t>
  </si>
  <si>
    <t>翻单PO-26020901</t>
  </si>
  <si>
    <t>3/25确认移印箱唛</t>
  </si>
  <si>
    <t>261521EN</t>
  </si>
  <si>
    <t>与3 × AAA电池包括口袋妖怪教练猜
试试我的冠军
-标准Zanzoon英文包装</t>
  </si>
  <si>
    <t>FH20220309</t>
  </si>
  <si>
    <t>6/2 CMA验80% 6/4 CIS验 100%</t>
  </si>
  <si>
    <t>4/20确认文档</t>
  </si>
  <si>
    <t>5/11确认箱唛，4/30确认移印</t>
  </si>
  <si>
    <t xml:space="preserve"> ZPU001A(EN)</t>
  </si>
  <si>
    <t>带电，美国US包装
-外箱增加上下平咭</t>
  </si>
  <si>
    <t>FH20220319</t>
  </si>
  <si>
    <t>IC工厂自行采购</t>
  </si>
  <si>
    <t>翻单23051801</t>
  </si>
  <si>
    <t>3/9确认移印箱唛</t>
  </si>
  <si>
    <t>261521SE</t>
  </si>
  <si>
    <t>Flash IC CODE: TR1506F58-7-SER_64M@
MCU IC CODE: TR1405S07-127(Production).OTP</t>
  </si>
  <si>
    <t>带电,塞尔维亚包装</t>
  </si>
  <si>
    <t>FH20220317</t>
  </si>
  <si>
    <t>OMTS 新款四角星-SE</t>
  </si>
  <si>
    <t>翻单25051201</t>
  </si>
  <si>
    <t>Flash: AMSFX032CHX-041
MCU: AM32A070A-047</t>
  </si>
  <si>
    <t>3/11确认</t>
  </si>
  <si>
    <t xml:space="preserve">Flash: ZFZ009A(B)/(SE)
MCU: ZFZ001A </t>
  </si>
  <si>
    <t>带电，法国GP包装。</t>
  </si>
  <si>
    <t>FH20220318</t>
  </si>
  <si>
    <t>TM Toys - Poland</t>
  </si>
  <si>
    <t>4/15确认文档</t>
  </si>
  <si>
    <t>261521PL</t>
  </si>
  <si>
    <t>Magic Tim
PCBA: ZZT003A(PL)</t>
  </si>
  <si>
    <t>FH20220320</t>
  </si>
  <si>
    <t>4/27确认文档</t>
  </si>
  <si>
    <t>Flash: ZPT008B(PL)
MCU: ZPT001D</t>
  </si>
  <si>
    <t>带电，更新包装，留意面壳LGOG移印跟彩盒LOGO一样</t>
  </si>
  <si>
    <t>FH20220321</t>
  </si>
  <si>
    <t>Lakeshore</t>
  </si>
  <si>
    <t>外箱贴纸</t>
  </si>
  <si>
    <t>3/25确认</t>
  </si>
  <si>
    <t>E26</t>
  </si>
  <si>
    <t>Main MCU: TRD16P161B-ZA53
SPI Flash: SPI32M-ZA54</t>
  </si>
  <si>
    <t>外箱条码贴纸一张，每张贴纸有流水号，所有物料可按照 3K备料</t>
  </si>
  <si>
    <t>FH20220314</t>
  </si>
  <si>
    <t>FH20220315</t>
  </si>
  <si>
    <t>SIDJ</t>
  </si>
  <si>
    <t>5/19确认说明书，5/14确认彩盒</t>
  </si>
  <si>
    <t>4/16确认箱唛移印</t>
  </si>
  <si>
    <t>2100626</t>
  </si>
  <si>
    <t>PCBA: ZPU002A(FR)</t>
  </si>
  <si>
    <t>带电，法文版，空运</t>
  </si>
  <si>
    <t>FH20220316</t>
  </si>
  <si>
    <t>6/1 CMA验 6/3 CIS验100%</t>
  </si>
  <si>
    <t>0K</t>
  </si>
  <si>
    <t>4/24确认文档</t>
  </si>
  <si>
    <t>箱唛打稿中，4/30确认移印</t>
  </si>
  <si>
    <t>PCBA: ZZT001A(EN)</t>
  </si>
  <si>
    <t>FH20220313</t>
  </si>
  <si>
    <t>GP - Greece</t>
  </si>
  <si>
    <t>4/20确认箱唛移印</t>
  </si>
  <si>
    <t>261521GR</t>
  </si>
  <si>
    <t>IC Factory part no.
Flash: AMSFX032CHX-044
MCU: AM32A070A-046</t>
  </si>
  <si>
    <t>带电
客ITEM：GPN00202
希腊GP包装</t>
  </si>
  <si>
    <t>FH20220312</t>
  </si>
  <si>
    <t>3/24确认邮包装及外箱箱唛/移印</t>
  </si>
  <si>
    <t>MCU: ZPT001D 
Flash: ZPT001D(EN)</t>
  </si>
  <si>
    <t>带电，4C彩盒+邮包盒（有唛头）,开关打在OFF档</t>
  </si>
  <si>
    <t>FH20220311</t>
  </si>
  <si>
    <t>PCBA: ZPD001A(EN)</t>
  </si>
  <si>
    <t>不带电，4C彩盒+邮包盒（有唛头）</t>
  </si>
  <si>
    <t>Bizak - Spain</t>
  </si>
  <si>
    <t>3/26确认文档</t>
  </si>
  <si>
    <t>3/18确认移印，4/30确认箱唛</t>
  </si>
  <si>
    <t>261521ES</t>
  </si>
  <si>
    <t>IC Factory part no. 
PCBA - ZZT002A(ES)</t>
  </si>
  <si>
    <t>带电,西班牙包装</t>
  </si>
  <si>
    <t>FH20220310</t>
  </si>
  <si>
    <t>Proxy - Sweden</t>
  </si>
  <si>
    <t>瑞典</t>
  </si>
  <si>
    <t>4/1确认，拼图缩小49CM英文版</t>
  </si>
  <si>
    <t>4/27确认移印箱唛</t>
  </si>
  <si>
    <t>Flash: ZPE007A(SW) 
MCU - ZPE001A</t>
  </si>
  <si>
    <t>带电
-新包装（缩小版，彩盒无盖）</t>
  </si>
  <si>
    <t>FH20220322</t>
  </si>
  <si>
    <t>跟PO-26020202一样</t>
  </si>
  <si>
    <t>261521DK</t>
  </si>
  <si>
    <t>Flash: ZPE008A(DA) 
MCU - ZPE001A</t>
  </si>
  <si>
    <t>IC Factory part no.
MCU: ZPT001D 
Flash: ZPT002B(FR)</t>
  </si>
  <si>
    <t>带电，法国GP包装,留意面壳LGOG移印跟彩盒LOGO一样</t>
  </si>
  <si>
    <t>FH20220323</t>
  </si>
  <si>
    <t>2026/2/25周三</t>
  </si>
  <si>
    <t>2026/6/9周二</t>
  </si>
  <si>
    <t>2026/6/16周二</t>
  </si>
  <si>
    <t>3/31确认文档</t>
  </si>
  <si>
    <t>3/31确认移印箱唛</t>
  </si>
  <si>
    <t>带电
-标准Zanzoon英文包装</t>
  </si>
  <si>
    <t>FH20220324</t>
  </si>
  <si>
    <t>4/14收到包装</t>
  </si>
  <si>
    <t>Flash: AMSFX128DHX-P01
MCU: AM32A070A-050</t>
  </si>
  <si>
    <t>6/23 CIS</t>
  </si>
  <si>
    <t>包装跟PO-26030903美国US</t>
  </si>
  <si>
    <t>5/8确认箱唛，4/30确认移印</t>
  </si>
  <si>
    <t>带电，
-外箱增加上下平咭</t>
  </si>
  <si>
    <t>FH20220325</t>
  </si>
  <si>
    <t>6/24 CIS</t>
  </si>
  <si>
    <t>Turbo Trivia 
Flash: AMSFX128DHX-P01
MCU: AM32A070A-050</t>
  </si>
  <si>
    <t>ADC Blackfire - Romania</t>
  </si>
  <si>
    <t>4/17确认文档</t>
  </si>
  <si>
    <t>261821RO</t>
  </si>
  <si>
    <t>Magic Tim 
PCBA: ZZT006A(RO)</t>
  </si>
  <si>
    <t>FH20220326</t>
  </si>
  <si>
    <t>Magic Tim 
PCBA: ZZT001A(EN)</t>
  </si>
  <si>
    <t>FH20220327</t>
  </si>
  <si>
    <t>CMA 6/23，CIS 6/24</t>
  </si>
  <si>
    <t>4/22确认档案,6/2更新说明书</t>
  </si>
  <si>
    <t>FH20220328</t>
  </si>
  <si>
    <t>Turbo Trivia
Flash: AMSFX128DHX-P05
MCU: M32A070A-050</t>
  </si>
  <si>
    <t>FH20220329</t>
  </si>
  <si>
    <t>翻单26031901</t>
  </si>
  <si>
    <t>F26</t>
  </si>
  <si>
    <t>Main MCU: TRD16P161B-ZA53 (TR2301S067-7 )
SPI Flash: SPI32M-ZA54</t>
  </si>
  <si>
    <t>外箱条码贴纸一张，每张贴纸有流水号</t>
  </si>
  <si>
    <t>FH20220330</t>
  </si>
  <si>
    <t>myTouch USA EN with try me
EAN : 3760145060426</t>
  </si>
  <si>
    <t>FH20220331</t>
  </si>
  <si>
    <t>翻单25101301</t>
  </si>
  <si>
    <t>3/5确认移印箱唛</t>
  </si>
  <si>
    <t xml:space="preserve">Flash - ZFJ008B(HU)
MCU - ZFJ001C </t>
  </si>
  <si>
    <t>包括3节AA电池
与上次订单相同的包装图案</t>
  </si>
  <si>
    <t>FH20220332</t>
  </si>
  <si>
    <t>Proxy / Salling Group - Denmark</t>
  </si>
  <si>
    <t>丹麦</t>
  </si>
  <si>
    <t>FH20220334</t>
  </si>
  <si>
    <t>6/2确认箱唛，6/11确认移印</t>
  </si>
  <si>
    <t>Word Fever
MCU: 
AM32A070A-019
Flash: 
AMSFX032BHX-007</t>
  </si>
  <si>
    <t>不带电，包装是否更新待客确认</t>
  </si>
  <si>
    <t>FH20220335</t>
  </si>
  <si>
    <t>Wheel U Dare
MCU: AM32A070A-042
Flash: AMSFX032CHX-027</t>
  </si>
  <si>
    <t>带电，包装是否更新待客确认</t>
  </si>
  <si>
    <t>7/4退回返工</t>
  </si>
  <si>
    <t>SIDJ - France</t>
  </si>
  <si>
    <t>IC Factory part no.
PCBA: ZPU002A(FR)</t>
  </si>
  <si>
    <t>带电
-产品及包装上的特殊日期编码格式：2DDMMYY （DD）
=日期，MM =月，YY =年)，需要10PCS 纸箱备品一起装柜</t>
  </si>
  <si>
    <t>FH20220333</t>
  </si>
  <si>
    <t>IC Factory part no.
Magic Tim
PCBA: ZZT003A(PL)</t>
  </si>
  <si>
    <t>FH20220336</t>
  </si>
  <si>
    <t>Tapimovil - Argentina</t>
  </si>
  <si>
    <t>6/11自检</t>
  </si>
  <si>
    <t>4/28确认,拼图缩小49CM英文版</t>
  </si>
  <si>
    <t>Flash: ZPE006A(ES)
MCU: ZPE001A</t>
  </si>
  <si>
    <t>FH20220337</t>
  </si>
  <si>
    <t>翻单更新日期2026，5/5彩盒更新文档</t>
  </si>
  <si>
    <t>5/14确认箱唛,5/12确认移印</t>
  </si>
  <si>
    <t>261821EN</t>
  </si>
  <si>
    <t>带电，无隔电片，
-标准Zanzoon英文包装</t>
  </si>
  <si>
    <t>FH20220338</t>
  </si>
  <si>
    <t>4/27确认移印,6/12确认箱唛</t>
  </si>
  <si>
    <t>FH20220339</t>
  </si>
  <si>
    <t>7/5自检</t>
  </si>
  <si>
    <t>FH20220340</t>
  </si>
  <si>
    <t>Bizak</t>
  </si>
  <si>
    <t>翻单26020203</t>
  </si>
  <si>
    <t>6/5确认箱唛移印</t>
  </si>
  <si>
    <t>PCBA - ZZT002A(ES)</t>
  </si>
  <si>
    <t>FH20220341</t>
  </si>
  <si>
    <t>FH20220342</t>
  </si>
  <si>
    <t xml:space="preserve"> PO-20260518-004</t>
  </si>
  <si>
    <t>CIS 7/20</t>
  </si>
  <si>
    <t>4/17确认文档,，拼图英文49CM</t>
  </si>
  <si>
    <t>6/11确认箱唛及移印</t>
  </si>
  <si>
    <t>FH20220343</t>
  </si>
  <si>
    <t xml:space="preserve"> PO-20260514-019</t>
  </si>
  <si>
    <t>CIS 7/16</t>
  </si>
  <si>
    <t>翻单26030603</t>
  </si>
  <si>
    <t>6/8确认箱唛及移印</t>
  </si>
  <si>
    <t>FH20220344</t>
  </si>
  <si>
    <t>西班牙(法文版）</t>
  </si>
  <si>
    <t>CMA 7/27,Customer Educa 7/28</t>
  </si>
  <si>
    <t>外箱贴纸 20690-73438</t>
  </si>
  <si>
    <t>6/5确认文档,工程跟进</t>
  </si>
  <si>
    <t>Flash: AMSFX128DHS-P07
MCU: AM32A070A-052</t>
  </si>
  <si>
    <t>带电，法文包装,客PO:73438 
包装需要备品 2%（彩盒+纸箱）</t>
  </si>
  <si>
    <t>FH20220345</t>
  </si>
  <si>
    <t>克罗地亚（斯洛文尼亚）</t>
  </si>
  <si>
    <t>6/9</t>
  </si>
  <si>
    <t>翻单25032801</t>
  </si>
  <si>
    <t>6/22确认箱唛移印</t>
  </si>
  <si>
    <t>SL
Flash: AMSFX032BHX-012
MCU: AM32A070A-022</t>
  </si>
  <si>
    <t>不带电，斯洛文尼亚包装</t>
  </si>
  <si>
    <t>FH20220346</t>
  </si>
  <si>
    <t>系统货号1522113已入系统</t>
  </si>
  <si>
    <t>翻单PO-25050201</t>
  </si>
  <si>
    <t>4/27确认移印，5/6确认箱唛</t>
  </si>
  <si>
    <t>IC Factory part no.
Wheel U Dare SL
Flash: AMSFX032CHX-A21
MCU: AM32A070A-042</t>
  </si>
  <si>
    <t>带电，跟PO-26032503拼柜走货</t>
  </si>
  <si>
    <t>FH20220348</t>
  </si>
  <si>
    <t>6/8</t>
  </si>
  <si>
    <t>3/5确认文档</t>
  </si>
  <si>
    <t>FH20220349</t>
  </si>
  <si>
    <t>欠眼睛</t>
  </si>
  <si>
    <t>彩盒更新资料，说明书翻单</t>
  </si>
  <si>
    <t>261551HU</t>
  </si>
  <si>
    <t>带电，匈牙利包装有更新</t>
  </si>
  <si>
    <t>FH20220350</t>
  </si>
  <si>
    <t>5/22</t>
  </si>
  <si>
    <t>翻单25110501</t>
  </si>
  <si>
    <t>5/25确认箱唛移印</t>
  </si>
  <si>
    <t>带电，GP希腊包装</t>
  </si>
  <si>
    <t>PCBA: ZZT011A(GR)</t>
  </si>
  <si>
    <t>5/27</t>
  </si>
  <si>
    <t>翻单25110502</t>
  </si>
  <si>
    <t>Flash: ZFZ014A(GE)
MCU: ZFZ001A</t>
  </si>
  <si>
    <t>IC Factory part no. 
PCBA: ZZT011A(GR）</t>
  </si>
  <si>
    <t>EPEE - Poland</t>
  </si>
  <si>
    <t>翻单25042401</t>
  </si>
  <si>
    <t>4/14确认箱唛及移印</t>
  </si>
  <si>
    <t>IC Factory part no.
MCU: 
AM32A070A-016
Flash: 
AMSFX032-BHX-004</t>
  </si>
  <si>
    <t>与上次订单一样，主纸箱有特殊的点线（只封一条胶纸，胶纸不能超过虚线），开窗盒子，没有塑料膜，不带电，有1675PCS的纸箱跟柜走货</t>
  </si>
  <si>
    <t>FH20220351</t>
  </si>
  <si>
    <t>寄出样办日期</t>
  </si>
  <si>
    <t>发票号(快递单号）</t>
  </si>
  <si>
    <t>1/12寄：SF1566079446972</t>
  </si>
  <si>
    <t>可先做半成品</t>
  </si>
  <si>
    <t>1/9寄：SF1566079446945</t>
  </si>
  <si>
    <t>1/14寄：SF1566079445059</t>
  </si>
  <si>
    <t>1/14寄：SF1566079445101</t>
  </si>
  <si>
    <t>1/20寄：SF1566079445165</t>
  </si>
  <si>
    <t>1/20寄：SF1566079445235</t>
  </si>
  <si>
    <t>1/26寄：SF1566079445323</t>
  </si>
  <si>
    <t>签办+化验办</t>
  </si>
  <si>
    <t>3/20寄：SF1566079445792</t>
  </si>
  <si>
    <t>3/10寄：SF1566079445756</t>
  </si>
  <si>
    <t>2/5收到包装</t>
  </si>
  <si>
    <t>12/15确认箱唛，3/2确认移印</t>
  </si>
  <si>
    <t>260641SL</t>
  </si>
  <si>
    <t xml:space="preserve"> ZPK038A(SL)</t>
  </si>
  <si>
    <t>2/10收到包装</t>
  </si>
  <si>
    <t>260641HR</t>
  </si>
  <si>
    <t>ZPK039A(CR)</t>
  </si>
  <si>
    <t>U. Gamaes</t>
  </si>
  <si>
    <t>签办+大货办</t>
  </si>
  <si>
    <t>新资料3/12确认</t>
  </si>
  <si>
    <t>260701EN</t>
  </si>
  <si>
    <t>ZPK030A(EN)</t>
  </si>
  <si>
    <t>4/15寄：SF1566030077697</t>
  </si>
  <si>
    <t xml:space="preserve"> ZPD001A(EN)</t>
  </si>
  <si>
    <t>标准Zanzoon英文包装</t>
  </si>
  <si>
    <t>4/14寄：SF1566030077572(寄了6PCS</t>
  </si>
  <si>
    <t>3/9确认</t>
  </si>
  <si>
    <t>3/12确认移印箱唛</t>
  </si>
  <si>
    <t>261121BU</t>
  </si>
  <si>
    <t>Flash: ZFZ015A(BU)
MCU: ZFZ001A</t>
  </si>
  <si>
    <t>保加利亚版包装，带电</t>
  </si>
  <si>
    <t>4/20确认文档,打版中</t>
  </si>
  <si>
    <t>5/5寄SF1566030078188</t>
  </si>
  <si>
    <t>工程签办</t>
  </si>
  <si>
    <t>4/24确认文档，打版中</t>
  </si>
  <si>
    <t>4/22收到，确认档案，打版中</t>
  </si>
  <si>
    <t>样办提前2周完成</t>
  </si>
  <si>
    <t>SF1566002014951/SF1566002014711</t>
  </si>
  <si>
    <t>SF1566002013269</t>
  </si>
  <si>
    <t>SF1566002013657</t>
  </si>
  <si>
    <t>5/18寄SF1566030078803</t>
  </si>
  <si>
    <t>5/22寄SF1566002014050</t>
  </si>
  <si>
    <t>PKM Trivia
MCU: ZPT001D 
Flash: ZPT001D(EN)</t>
  </si>
  <si>
    <t>5/25寄SF1566002014193</t>
  </si>
  <si>
    <t>4/22收到，确认档案</t>
  </si>
  <si>
    <t>SF1566002014563</t>
  </si>
  <si>
    <t>SF1566002014951</t>
  </si>
  <si>
    <t>SF1566117242147</t>
  </si>
  <si>
    <t>SF1566079446220</t>
  </si>
  <si>
    <t>SF1566002013878</t>
  </si>
  <si>
    <t>PO-26032601</t>
  </si>
  <si>
    <t>米奇五角星-EN</t>
  </si>
  <si>
    <t>米奇老鼠头-EN</t>
  </si>
  <si>
    <t>城市套装游戏机-HU</t>
  </si>
  <si>
    <t>Flash: AMSFX128DHS-P04
MCU: AM32A070A-051</t>
  </si>
  <si>
    <t>名称</t>
  </si>
  <si>
    <t>USD单价</t>
  </si>
  <si>
    <t>USD金额</t>
  </si>
  <si>
    <t>HK$金额</t>
  </si>
  <si>
    <t>DN 发票号</t>
  </si>
  <si>
    <t>英文名称</t>
  </si>
  <si>
    <t>中文名称</t>
  </si>
  <si>
    <t>Pokemon Trainer Expert</t>
  </si>
  <si>
    <t>Wheel U Dare</t>
  </si>
  <si>
    <t>Wheel U Dare EN with try me</t>
  </si>
  <si>
    <t>Pokemon Trainer Challenge</t>
  </si>
  <si>
    <t>One More /OMTS</t>
  </si>
  <si>
    <t>新款四角星</t>
  </si>
  <si>
    <t>Farct or Fake Ultimate</t>
  </si>
  <si>
    <t>Fact or Fake Junior</t>
  </si>
  <si>
    <t>Fact or Fake</t>
  </si>
  <si>
    <t>Pokemon Trainer Guess Kanto</t>
  </si>
  <si>
    <t>Pokemon Trainer Guess Unova</t>
  </si>
  <si>
    <t>Pokemon Trainer Guess Champions</t>
  </si>
  <si>
    <t>Pokemon Trainer Guess ASH</t>
  </si>
  <si>
    <t>Pokemon Trainer Guess Sinnoh</t>
  </si>
  <si>
    <t>Pokemon Trainer Guess Johto</t>
  </si>
  <si>
    <t>蓝波比卡超</t>
  </si>
  <si>
    <t>Pokemon Trainer Guess Legacy</t>
  </si>
  <si>
    <t>Pokemon Trainer Trivia</t>
  </si>
  <si>
    <t>Pokemon Trainer Mission</t>
  </si>
  <si>
    <t>myMap World</t>
  </si>
  <si>
    <t>myMap Animals</t>
  </si>
  <si>
    <t>myMap Poland</t>
  </si>
  <si>
    <t>波兰地图</t>
  </si>
  <si>
    <t>myMap Worid Tour</t>
  </si>
  <si>
    <t>Super Magic Jinn HU NEW</t>
  </si>
  <si>
    <t>Super Magic Jinn CR NEW PACK</t>
  </si>
  <si>
    <t>橙色超级男仔小精灵(六角形彩盒版本)</t>
  </si>
  <si>
    <t>Max FR</t>
  </si>
  <si>
    <t>故事机</t>
  </si>
  <si>
    <t>Motor ELECTRIC</t>
  </si>
  <si>
    <t>马达加线</t>
  </si>
  <si>
    <t>TONE GENERATOR</t>
  </si>
  <si>
    <t>信号发声器</t>
  </si>
  <si>
    <t>Word Fever</t>
  </si>
  <si>
    <t>Enchanted Mirror</t>
  </si>
  <si>
    <t>Fanzone GR</t>
  </si>
  <si>
    <t>Fanzone International EN</t>
  </si>
  <si>
    <t>myMap Animals RO</t>
  </si>
  <si>
    <t>Speedy Doc RO</t>
  </si>
  <si>
    <t>Magic Tim ES</t>
  </si>
  <si>
    <t>Turbo Trivia EN</t>
  </si>
  <si>
    <t>Pokemon Trainer Guess Ultimate</t>
  </si>
  <si>
    <t>Brainopolis</t>
  </si>
  <si>
    <t>城市套装游戏机</t>
  </si>
  <si>
    <t>Disney Trivia</t>
  </si>
  <si>
    <t>Disney Guess</t>
  </si>
  <si>
    <t>myTouch USA EN with try 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</si>
</sst>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  <numFmt numFmtId="177" formatCode="0_ ;[Red]\-0\ "/>
    <numFmt numFmtId="178" formatCode="0.000_ ;[Red]\-0.000\ "/>
    <numFmt numFmtId="179" formatCode="0.00_ ;[Red]\-0.00\ "/>
    <numFmt numFmtId="180" formatCode="yyyy/m/d&quot;周&quot;aaa"/>
    <numFmt numFmtId="181" formatCode="m/d;@"/>
    <numFmt numFmtId="182" formatCode="0_ "/>
    <numFmt numFmtId="183" formatCode="m&quot;月&quot;d&quot;日&quot;;@"/>
  </numFmts>
  <fonts count="6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9"/>
      <name val="宋体"/>
      <charset val="134"/>
      <scheme val="major"/>
    </font>
    <font>
      <sz val="9"/>
      <color theme="1"/>
      <name val="宋体"/>
      <charset val="134"/>
      <scheme val="major"/>
    </font>
    <font>
      <b/>
      <sz val="9"/>
      <color indexed="10"/>
      <name val="宋体"/>
      <charset val="134"/>
      <scheme val="major"/>
    </font>
    <font>
      <sz val="9"/>
      <name val="宋体"/>
      <charset val="134"/>
      <scheme val="major"/>
    </font>
    <font>
      <strike/>
      <sz val="9"/>
      <color rgb="FFFF0000"/>
      <name val="宋体"/>
      <charset val="134"/>
    </font>
    <font>
      <b/>
      <sz val="9"/>
      <color rgb="FFFF0000"/>
      <name val="宋体"/>
      <charset val="134"/>
      <scheme val="major"/>
    </font>
    <font>
      <sz val="9"/>
      <name val="宋体"/>
      <charset val="134"/>
    </font>
    <font>
      <b/>
      <strike/>
      <sz val="9"/>
      <color rgb="FFFF0000"/>
      <name val="宋体"/>
      <charset val="134"/>
    </font>
    <font>
      <sz val="9"/>
      <color theme="4" tint="-0.25"/>
      <name val="宋体"/>
      <charset val="134"/>
      <scheme val="major"/>
    </font>
    <font>
      <sz val="9"/>
      <color rgb="FF0000FF"/>
      <name val="宋体"/>
      <charset val="134"/>
    </font>
    <font>
      <sz val="9"/>
      <color rgb="FF2A1AFC"/>
      <name val="宋体"/>
      <charset val="134"/>
    </font>
    <font>
      <sz val="9"/>
      <color rgb="FF000000"/>
      <name val="宋体"/>
      <charset val="134"/>
    </font>
    <font>
      <b/>
      <sz val="9"/>
      <color rgb="FF0000FF"/>
      <name val="宋体"/>
      <charset val="134"/>
    </font>
    <font>
      <b/>
      <sz val="9"/>
      <color rgb="FF2A1AFC"/>
      <name val="宋体"/>
      <charset val="134"/>
    </font>
    <font>
      <sz val="9"/>
      <color theme="1"/>
      <name val="宋体"/>
      <charset val="134"/>
    </font>
    <font>
      <sz val="9"/>
      <color rgb="FFFF0000"/>
      <name val="宋体"/>
      <charset val="134"/>
    </font>
    <font>
      <sz val="9"/>
      <color rgb="FFFF00FF"/>
      <name val="宋体"/>
      <charset val="134"/>
    </font>
    <font>
      <b/>
      <sz val="9"/>
      <color rgb="FFFF0000"/>
      <name val="宋体"/>
      <charset val="134"/>
    </font>
    <font>
      <b/>
      <sz val="9"/>
      <color rgb="FFFF0000"/>
      <name val="Times New Roman"/>
      <charset val="134"/>
    </font>
    <font>
      <sz val="9"/>
      <color rgb="FFE82EE6"/>
      <name val="宋体"/>
      <charset val="134"/>
    </font>
    <font>
      <sz val="9"/>
      <color rgb="FFFF00FF"/>
      <name val="宋体"/>
      <charset val="134"/>
      <scheme val="major"/>
    </font>
    <font>
      <sz val="24"/>
      <color rgb="FFFF00FF"/>
      <name val="宋体"/>
      <charset val="134"/>
    </font>
    <font>
      <b/>
      <sz val="9"/>
      <color rgb="FFFF00FF"/>
      <name val="宋体"/>
      <charset val="134"/>
    </font>
    <font>
      <b/>
      <sz val="9"/>
      <color rgb="FF7030A0"/>
      <name val="宋体"/>
      <charset val="134"/>
    </font>
    <font>
      <sz val="9"/>
      <color rgb="FF2A1AFC"/>
      <name val="宋体"/>
      <charset val="134"/>
      <scheme val="minor"/>
    </font>
    <font>
      <sz val="11"/>
      <color rgb="FF2A1AFC"/>
      <name val="宋体"/>
      <charset val="134"/>
      <scheme val="minor"/>
    </font>
    <font>
      <b/>
      <sz val="9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9"/>
      <color theme="4" tint="-0.25"/>
      <name val="宋体"/>
      <charset val="134"/>
    </font>
    <font>
      <sz val="9"/>
      <color rgb="FF0000FF"/>
      <name val="宋体"/>
      <charset val="134"/>
      <scheme val="minor"/>
    </font>
    <font>
      <sz val="9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0"/>
    </font>
    <font>
      <sz val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0"/>
    </font>
    <font>
      <b/>
      <sz val="9"/>
      <name val="宋体"/>
      <charset val="0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5" borderId="22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6" borderId="25" applyNumberFormat="0" applyAlignment="0" applyProtection="0">
      <alignment vertical="center"/>
    </xf>
    <xf numFmtId="0" fontId="43" fillId="7" borderId="26" applyNumberFormat="0" applyAlignment="0" applyProtection="0">
      <alignment vertical="center"/>
    </xf>
    <xf numFmtId="0" fontId="44" fillId="7" borderId="25" applyNumberFormat="0" applyAlignment="0" applyProtection="0">
      <alignment vertical="center"/>
    </xf>
    <xf numFmtId="0" fontId="45" fillId="8" borderId="27" applyNumberFormat="0" applyAlignment="0" applyProtection="0">
      <alignment vertical="center"/>
    </xf>
    <xf numFmtId="0" fontId="46" fillId="0" borderId="28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3" fillId="0" borderId="0"/>
  </cellStyleXfs>
  <cellXfs count="90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77" fontId="4" fillId="0" borderId="0" xfId="0" applyNumberFormat="1" applyFont="1" applyBorder="1" applyAlignment="1">
      <alignment horizontal="center" vertical="center" wrapText="1"/>
    </xf>
    <xf numFmtId="178" fontId="4" fillId="0" borderId="0" xfId="0" applyNumberFormat="1" applyFont="1" applyBorder="1" applyAlignment="1">
      <alignment horizontal="center" vertical="center" wrapText="1"/>
    </xf>
    <xf numFmtId="179" fontId="4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180" fontId="6" fillId="0" borderId="1" xfId="0" applyNumberFormat="1" applyFont="1" applyFill="1" applyBorder="1" applyAlignment="1">
      <alignment horizontal="center" vertical="center" wrapText="1" shrinkToFit="1"/>
    </xf>
    <xf numFmtId="181" fontId="6" fillId="0" borderId="1" xfId="52" applyNumberFormat="1" applyFont="1" applyFill="1" applyBorder="1" applyAlignment="1" applyProtection="1">
      <alignment horizontal="center" vertical="center" wrapText="1"/>
    </xf>
    <xf numFmtId="181" fontId="6" fillId="0" borderId="1" xfId="52" applyNumberFormat="1" applyFont="1" applyFill="1" applyBorder="1" applyAlignment="1" applyProtection="1">
      <alignment horizontal="center" vertical="center"/>
    </xf>
    <xf numFmtId="0" fontId="6" fillId="0" borderId="1" xfId="52" applyFont="1" applyFill="1" applyBorder="1" applyAlignment="1" applyProtection="1">
      <alignment horizontal="center" vertical="center" wrapText="1"/>
    </xf>
    <xf numFmtId="177" fontId="6" fillId="0" borderId="1" xfId="52" applyNumberFormat="1" applyFont="1" applyFill="1" applyBorder="1" applyAlignment="1" applyProtection="1">
      <alignment horizontal="center" vertical="center" wrapText="1"/>
    </xf>
    <xf numFmtId="0" fontId="6" fillId="0" borderId="1" xfId="52" applyFont="1" applyFill="1" applyBorder="1" applyAlignment="1" applyProtection="1">
      <alignment horizontal="center" vertical="center"/>
    </xf>
    <xf numFmtId="0" fontId="6" fillId="0" borderId="1" xfId="52" applyFont="1" applyFill="1" applyBorder="1" applyAlignment="1" applyProtection="1">
      <alignment horizontal="center" vertical="center" wrapText="1" shrinkToFit="1"/>
      <protection locked="0"/>
    </xf>
    <xf numFmtId="49" fontId="6" fillId="0" borderId="1" xfId="52" applyNumberFormat="1" applyFont="1" applyFill="1" applyBorder="1" applyAlignment="1" applyProtection="1">
      <alignment horizontal="center" vertical="center" wrapText="1" shrinkToFit="1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52" applyFont="1" applyFill="1" applyBorder="1" applyAlignment="1" applyProtection="1">
      <alignment horizontal="center" vertical="center" wrapText="1"/>
      <protection locked="0"/>
    </xf>
    <xf numFmtId="0" fontId="6" fillId="0" borderId="1" xfId="51" applyFont="1" applyFill="1" applyBorder="1" applyAlignment="1" applyProtection="1">
      <alignment horizontal="center" vertical="center" wrapText="1" shrinkToFit="1"/>
      <protection locked="0"/>
    </xf>
    <xf numFmtId="178" fontId="9" fillId="0" borderId="1" xfId="0" applyNumberFormat="1" applyFont="1" applyFill="1" applyBorder="1" applyAlignment="1">
      <alignment horizontal="center" vertical="center" wrapText="1"/>
    </xf>
    <xf numFmtId="179" fontId="9" fillId="0" borderId="1" xfId="0" applyNumberFormat="1" applyFont="1" applyFill="1" applyBorder="1" applyAlignment="1">
      <alignment horizontal="center" vertical="center" wrapText="1"/>
    </xf>
    <xf numFmtId="0" fontId="8" fillId="0" borderId="1" xfId="52" applyFont="1" applyFill="1" applyBorder="1" applyAlignment="1" applyProtection="1">
      <alignment horizontal="center" vertical="center"/>
    </xf>
    <xf numFmtId="0" fontId="6" fillId="0" borderId="1" xfId="52" applyFont="1" applyFill="1" applyBorder="1" applyAlignment="1" applyProtection="1">
      <alignment horizontal="center" vertical="center"/>
      <protection locked="0"/>
    </xf>
    <xf numFmtId="180" fontId="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0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 applyProtection="1">
      <alignment horizontal="center" vertical="center"/>
    </xf>
    <xf numFmtId="180" fontId="7" fillId="0" borderId="2" xfId="0" applyNumberFormat="1" applyFont="1" applyFill="1" applyBorder="1" applyAlignment="1" applyProtection="1">
      <alignment horizontal="center" vertical="center" shrinkToFit="1"/>
    </xf>
    <xf numFmtId="0" fontId="7" fillId="0" borderId="2" xfId="51" applyFont="1" applyFill="1" applyBorder="1" applyAlignment="1" applyProtection="1">
      <alignment horizontal="center" vertical="center" wrapText="1" shrinkToFit="1"/>
    </xf>
    <xf numFmtId="177" fontId="7" fillId="0" borderId="2" xfId="51" applyNumberFormat="1" applyFont="1" applyFill="1" applyBorder="1" applyAlignment="1" applyProtection="1">
      <alignment horizontal="center" vertical="center" wrapText="1" shrinkToFit="1"/>
    </xf>
    <xf numFmtId="0" fontId="7" fillId="0" borderId="2" xfId="51" applyFont="1" applyFill="1" applyBorder="1" applyAlignment="1" applyProtection="1">
      <alignment horizontal="center" vertical="center" shrinkToFit="1"/>
    </xf>
    <xf numFmtId="182" fontId="7" fillId="0" borderId="1" xfId="0" applyNumberFormat="1" applyFont="1" applyFill="1" applyBorder="1" applyAlignment="1" applyProtection="1">
      <alignment horizontal="center" vertical="center" wrapText="1"/>
    </xf>
    <xf numFmtId="180" fontId="7" fillId="0" borderId="1" xfId="0" applyNumberFormat="1" applyFont="1" applyFill="1" applyBorder="1" applyAlignment="1" applyProtection="1">
      <alignment horizontal="center" vertical="center" shrinkToFit="1"/>
    </xf>
    <xf numFmtId="181" fontId="7" fillId="0" borderId="2" xfId="0" applyNumberFormat="1" applyFont="1" applyFill="1" applyBorder="1" applyAlignment="1" applyProtection="1">
      <alignment horizontal="center" vertical="center" shrinkToFit="1"/>
    </xf>
    <xf numFmtId="180" fontId="7" fillId="0" borderId="2" xfId="0" applyNumberFormat="1" applyFont="1" applyFill="1" applyBorder="1" applyAlignment="1" applyProtection="1">
      <alignment horizontal="center" vertical="center" shrinkToFit="1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81" fontId="7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7" fillId="0" borderId="2" xfId="0" applyFont="1" applyFill="1" applyBorder="1" applyAlignment="1" applyProtection="1">
      <alignment horizontal="center" vertical="center" wrapText="1"/>
      <protection locked="0"/>
    </xf>
    <xf numFmtId="49" fontId="7" fillId="0" borderId="2" xfId="51" applyNumberFormat="1" applyFont="1" applyFill="1" applyBorder="1" applyAlignment="1" applyProtection="1">
      <alignment horizontal="center" vertical="center" wrapText="1" shrinkToFit="1"/>
      <protection locked="0"/>
    </xf>
    <xf numFmtId="0" fontId="7" fillId="0" borderId="2" xfId="51" applyFont="1" applyFill="1" applyBorder="1" applyAlignment="1" applyProtection="1">
      <alignment horizontal="center" vertical="center" wrapText="1" shrinkToFit="1"/>
      <protection locked="0"/>
    </xf>
    <xf numFmtId="178" fontId="7" fillId="0" borderId="2" xfId="0" applyNumberFormat="1" applyFont="1" applyFill="1" applyBorder="1" applyAlignment="1" applyProtection="1">
      <alignment horizontal="center" vertical="center" wrapText="1"/>
    </xf>
    <xf numFmtId="179" fontId="7" fillId="0" borderId="1" xfId="51" applyNumberFormat="1" applyFont="1" applyFill="1" applyBorder="1" applyAlignment="1" applyProtection="1">
      <alignment horizontal="center" vertical="center" wrapText="1" shrinkToFit="1"/>
    </xf>
    <xf numFmtId="179" fontId="7" fillId="0" borderId="1" xfId="0" applyNumberFormat="1" applyFont="1" applyFill="1" applyBorder="1" applyAlignment="1" applyProtection="1">
      <alignment horizontal="center" vertical="center" wrapText="1"/>
    </xf>
    <xf numFmtId="0" fontId="10" fillId="0" borderId="2" xfId="0" applyFont="1" applyFill="1" applyBorder="1" applyAlignment="1" applyProtection="1">
      <alignment horizontal="center" vertical="center"/>
    </xf>
    <xf numFmtId="58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center" vertical="center"/>
    </xf>
    <xf numFmtId="181" fontId="7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7" fillId="0" borderId="1" xfId="51" applyFont="1" applyFill="1" applyBorder="1" applyAlignment="1" applyProtection="1">
      <alignment horizontal="center" vertical="center" shrinkToFit="1"/>
    </xf>
    <xf numFmtId="182" fontId="7" fillId="0" borderId="1" xfId="0" applyNumberFormat="1" applyFont="1" applyFill="1" applyBorder="1" applyAlignment="1" applyProtection="1">
      <alignment horizontal="center" vertical="center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181" fontId="7" fillId="0" borderId="2" xfId="0" applyNumberFormat="1" applyFont="1" applyFill="1" applyBorder="1" applyAlignment="1" applyProtection="1">
      <alignment horizontal="center" vertical="center" shrinkToFit="1"/>
      <protection locked="0"/>
    </xf>
    <xf numFmtId="0" fontId="7" fillId="0" borderId="2" xfId="51" applyNumberFormat="1" applyFont="1" applyFill="1" applyBorder="1" applyAlignment="1" applyProtection="1">
      <alignment horizontal="center" vertical="center" shrinkToFit="1"/>
      <protection locked="0"/>
    </xf>
    <xf numFmtId="0" fontId="7" fillId="0" borderId="1" xfId="51" applyNumberFormat="1" applyFont="1" applyFill="1" applyBorder="1" applyAlignment="1" applyProtection="1">
      <alignment horizontal="center" vertical="center" shrinkToFit="1"/>
      <protection locked="0"/>
    </xf>
    <xf numFmtId="178" fontId="7" fillId="0" borderId="1" xfId="0" applyNumberFormat="1" applyFont="1" applyFill="1" applyBorder="1" applyAlignment="1" applyProtection="1">
      <alignment horizontal="center" vertical="center"/>
    </xf>
    <xf numFmtId="179" fontId="7" fillId="0" borderId="1" xfId="51" applyNumberFormat="1" applyFont="1" applyFill="1" applyBorder="1" applyAlignment="1" applyProtection="1">
      <alignment horizontal="center" vertical="center" shrinkToFit="1"/>
    </xf>
    <xf numFmtId="179" fontId="7" fillId="0" borderId="1" xfId="0" applyNumberFormat="1" applyFont="1" applyFill="1" applyBorder="1" applyAlignment="1" applyProtection="1">
      <alignment horizontal="center" vertical="center"/>
    </xf>
    <xf numFmtId="0" fontId="10" fillId="0" borderId="2" xfId="0" applyNumberFormat="1" applyFont="1" applyFill="1" applyBorder="1" applyAlignment="1" applyProtection="1">
      <alignment horizontal="center" vertical="center"/>
    </xf>
    <xf numFmtId="58" fontId="7" fillId="0" borderId="2" xfId="0" applyNumberFormat="1" applyFont="1" applyFill="1" applyBorder="1" applyAlignment="1" applyProtection="1">
      <alignment horizontal="center" vertical="center"/>
      <protection locked="0"/>
    </xf>
    <xf numFmtId="58" fontId="7" fillId="0" borderId="1" xfId="0" applyNumberFormat="1" applyFont="1" applyFill="1" applyBorder="1" applyAlignment="1" applyProtection="1">
      <alignment horizontal="center" vertical="center"/>
      <protection locked="0"/>
    </xf>
    <xf numFmtId="177" fontId="7" fillId="0" borderId="1" xfId="51" applyNumberFormat="1" applyFont="1" applyFill="1" applyBorder="1" applyAlignment="1" applyProtection="1">
      <alignment horizontal="center" vertical="center" shrinkToFit="1"/>
    </xf>
    <xf numFmtId="18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Font="1" applyFill="1" applyBorder="1" applyAlignment="1" applyProtection="1">
      <alignment horizontal="center" vertical="center"/>
    </xf>
    <xf numFmtId="0" fontId="6" fillId="0" borderId="1" xfId="51" applyFont="1" applyFill="1" applyBorder="1" applyAlignment="1" applyProtection="1">
      <alignment horizontal="center" vertical="center" wrapText="1" shrinkToFit="1"/>
    </xf>
    <xf numFmtId="177" fontId="6" fillId="0" borderId="1" xfId="51" applyNumberFormat="1" applyFont="1" applyFill="1" applyBorder="1" applyAlignment="1" applyProtection="1">
      <alignment horizontal="center" vertical="center" wrapText="1" shrinkToFit="1"/>
    </xf>
    <xf numFmtId="0" fontId="6" fillId="0" borderId="1" xfId="51" applyFont="1" applyFill="1" applyBorder="1" applyAlignment="1" applyProtection="1">
      <alignment horizontal="center" vertical="center" shrinkToFit="1"/>
    </xf>
    <xf numFmtId="0" fontId="6" fillId="0" borderId="1" xfId="0" applyFont="1" applyFill="1" applyBorder="1" applyAlignment="1" applyProtection="1">
      <alignment horizontal="center" vertical="center" wrapText="1"/>
    </xf>
    <xf numFmtId="180" fontId="6" fillId="0" borderId="1" xfId="0" applyNumberFormat="1" applyFont="1" applyFill="1" applyBorder="1" applyAlignment="1" applyProtection="1">
      <alignment horizontal="center" vertical="center" shrinkToFit="1"/>
      <protection locked="0"/>
    </xf>
    <xf numFmtId="49" fontId="6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51" applyNumberFormat="1" applyFont="1" applyFill="1" applyBorder="1" applyAlignment="1" applyProtection="1">
      <alignment horizontal="center" vertical="center" wrapText="1" shrinkToFit="1"/>
      <protection locked="0"/>
    </xf>
    <xf numFmtId="178" fontId="6" fillId="0" borderId="1" xfId="0" applyNumberFormat="1" applyFont="1" applyFill="1" applyBorder="1" applyAlignment="1" applyProtection="1">
      <alignment horizontal="center" vertical="center" wrapText="1"/>
    </xf>
    <xf numFmtId="179" fontId="6" fillId="0" borderId="1" xfId="51" applyNumberFormat="1" applyFont="1" applyFill="1" applyBorder="1" applyAlignment="1" applyProtection="1">
      <alignment horizontal="center" vertical="center" wrapText="1" shrinkToFit="1"/>
    </xf>
    <xf numFmtId="179" fontId="6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/>
    </xf>
    <xf numFmtId="58" fontId="6" fillId="0" borderId="1" xfId="0" applyNumberFormat="1" applyFont="1" applyFill="1" applyBorder="1" applyAlignment="1" applyProtection="1">
      <alignment horizontal="center" vertical="center"/>
      <protection locked="0"/>
    </xf>
    <xf numFmtId="58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80" fontId="6" fillId="0" borderId="0" xfId="0" applyNumberFormat="1" applyFont="1" applyFill="1" applyBorder="1" applyAlignment="1" applyProtection="1">
      <alignment horizontal="center" vertical="center" shrinkToFit="1"/>
    </xf>
    <xf numFmtId="180" fontId="6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51" applyFont="1" applyFill="1" applyBorder="1" applyAlignment="1" applyProtection="1">
      <alignment horizontal="center" vertical="center" wrapText="1" shrinkToFit="1"/>
    </xf>
    <xf numFmtId="177" fontId="6" fillId="0" borderId="0" xfId="51" applyNumberFormat="1" applyFont="1" applyFill="1" applyBorder="1" applyAlignment="1" applyProtection="1">
      <alignment horizontal="center" vertical="center" wrapText="1" shrinkToFit="1"/>
    </xf>
    <xf numFmtId="0" fontId="6" fillId="0" borderId="0" xfId="51" applyFont="1" applyFill="1" applyBorder="1" applyAlignment="1" applyProtection="1">
      <alignment horizontal="center" vertical="center" shrinkToFit="1"/>
    </xf>
    <xf numFmtId="0" fontId="6" fillId="0" borderId="0" xfId="0" applyFont="1" applyFill="1" applyBorder="1" applyAlignment="1" applyProtection="1">
      <alignment horizontal="center" vertical="center" wrapText="1"/>
    </xf>
    <xf numFmtId="180" fontId="6" fillId="0" borderId="0" xfId="0" applyNumberFormat="1" applyFont="1" applyFill="1" applyBorder="1" applyAlignment="1" applyProtection="1">
      <alignment horizontal="center" vertical="center" shrinkToFit="1"/>
      <protection locked="0"/>
    </xf>
    <xf numFmtId="49" fontId="6" fillId="0" borderId="0" xfId="0" applyNumberFormat="1" applyFont="1" applyFill="1" applyBorder="1" applyAlignment="1" applyProtection="1">
      <alignment horizontal="center" vertical="center" shrinkToFit="1"/>
      <protection locked="0"/>
    </xf>
    <xf numFmtId="0" fontId="4" fillId="0" borderId="0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51" applyNumberFormat="1" applyFont="1" applyFill="1" applyBorder="1" applyAlignment="1" applyProtection="1">
      <alignment horizontal="center" vertical="center" wrapText="1" shrinkToFit="1"/>
      <protection locked="0"/>
    </xf>
    <xf numFmtId="178" fontId="4" fillId="0" borderId="0" xfId="0" applyNumberFormat="1" applyFont="1" applyFill="1" applyBorder="1" applyAlignment="1" applyProtection="1">
      <alignment horizontal="center" vertical="center" wrapText="1"/>
    </xf>
    <xf numFmtId="179" fontId="6" fillId="0" borderId="0" xfId="51" applyNumberFormat="1" applyFont="1" applyFill="1" applyBorder="1" applyAlignment="1" applyProtection="1">
      <alignment horizontal="center" vertical="center" wrapText="1" shrinkToFit="1"/>
    </xf>
    <xf numFmtId="179" fontId="6" fillId="0" borderId="0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>
      <alignment horizontal="center" vertical="center"/>
    </xf>
    <xf numFmtId="58" fontId="6" fillId="0" borderId="0" xfId="0" applyNumberFormat="1" applyFont="1" applyFill="1" applyBorder="1" applyAlignment="1" applyProtection="1">
      <alignment horizontal="center" vertical="center"/>
      <protection locked="0"/>
    </xf>
    <xf numFmtId="58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49" fontId="6" fillId="0" borderId="0" xfId="51" applyNumberFormat="1" applyFont="1" applyFill="1" applyBorder="1" applyAlignment="1" applyProtection="1">
      <alignment horizontal="center" vertical="center" wrapText="1" shrinkToFit="1"/>
      <protection locked="0"/>
    </xf>
    <xf numFmtId="0" fontId="6" fillId="0" borderId="0" xfId="51" applyFont="1" applyFill="1" applyBorder="1" applyAlignment="1" applyProtection="1">
      <alignment horizontal="center" vertical="center" wrapText="1" shrinkToFit="1"/>
      <protection locked="0"/>
    </xf>
    <xf numFmtId="179" fontId="4" fillId="0" borderId="0" xfId="0" applyNumberFormat="1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80" fontId="14" fillId="0" borderId="1" xfId="0" applyNumberFormat="1" applyFont="1" applyFill="1" applyBorder="1" applyAlignment="1">
      <alignment horizontal="center" vertical="center" wrapText="1" shrinkToFit="1"/>
    </xf>
    <xf numFmtId="0" fontId="6" fillId="0" borderId="1" xfId="0" applyFont="1" applyFill="1" applyBorder="1" applyAlignment="1">
      <alignment horizontal="center" vertical="center"/>
    </xf>
    <xf numFmtId="180" fontId="12" fillId="0" borderId="1" xfId="0" applyNumberFormat="1" applyFont="1" applyFill="1" applyBorder="1" applyAlignment="1" applyProtection="1">
      <alignment horizontal="center" vertical="center" shrinkToFit="1"/>
    </xf>
    <xf numFmtId="180" fontId="12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12" fillId="0" borderId="1" xfId="0" applyFont="1" applyFill="1" applyBorder="1" applyAlignment="1" applyProtection="1">
      <alignment horizontal="center" vertical="center"/>
    </xf>
    <xf numFmtId="0" fontId="12" fillId="0" borderId="1" xfId="51" applyFont="1" applyFill="1" applyBorder="1" applyAlignment="1" applyProtection="1">
      <alignment horizontal="center" vertical="center" wrapText="1" shrinkToFit="1"/>
    </xf>
    <xf numFmtId="177" fontId="12" fillId="0" borderId="1" xfId="51" applyNumberFormat="1" applyFont="1" applyFill="1" applyBorder="1" applyAlignment="1" applyProtection="1">
      <alignment horizontal="center" vertical="center" wrapText="1" shrinkToFit="1"/>
    </xf>
    <xf numFmtId="0" fontId="12" fillId="0" borderId="1" xfId="51" applyFont="1" applyFill="1" applyBorder="1" applyAlignment="1" applyProtection="1">
      <alignment horizontal="center" vertical="center" shrinkToFit="1"/>
    </xf>
    <xf numFmtId="182" fontId="12" fillId="0" borderId="1" xfId="0" applyNumberFormat="1" applyFont="1" applyFill="1" applyBorder="1" applyAlignment="1" applyProtection="1">
      <alignment horizontal="center" vertical="center" wrapText="1"/>
    </xf>
    <xf numFmtId="180" fontId="12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12" fillId="0" borderId="1" xfId="0" applyNumberFormat="1" applyFont="1" applyFill="1" applyBorder="1" applyAlignment="1" applyProtection="1">
      <alignment horizontal="center" vertical="center"/>
      <protection locked="0"/>
    </xf>
    <xf numFmtId="181" fontId="12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1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51" applyNumberFormat="1" applyFont="1" applyFill="1" applyBorder="1" applyAlignment="1" applyProtection="1">
      <alignment horizontal="center" vertical="center" wrapText="1" shrinkToFit="1"/>
      <protection locked="0"/>
    </xf>
    <xf numFmtId="178" fontId="12" fillId="0" borderId="1" xfId="0" applyNumberFormat="1" applyFont="1" applyFill="1" applyBorder="1" applyAlignment="1" applyProtection="1">
      <alignment horizontal="center" vertical="center" wrapText="1"/>
    </xf>
    <xf numFmtId="179" fontId="12" fillId="0" borderId="1" xfId="51" applyNumberFormat="1" applyFont="1" applyFill="1" applyBorder="1" applyAlignment="1" applyProtection="1">
      <alignment horizontal="center" vertical="center" wrapText="1" shrinkToFit="1"/>
    </xf>
    <xf numFmtId="179" fontId="12" fillId="0" borderId="1" xfId="0" applyNumberFormat="1" applyFont="1" applyFill="1" applyBorder="1" applyAlignment="1" applyProtection="1">
      <alignment horizontal="center" vertical="center" wrapText="1"/>
    </xf>
    <xf numFmtId="0" fontId="15" fillId="0" borderId="1" xfId="0" applyNumberFormat="1" applyFont="1" applyFill="1" applyBorder="1" applyAlignment="1" applyProtection="1">
      <alignment horizontal="center" vertical="center"/>
    </xf>
    <xf numFmtId="58" fontId="12" fillId="0" borderId="1" xfId="0" applyNumberFormat="1" applyFont="1" applyFill="1" applyBorder="1" applyAlignment="1" applyProtection="1">
      <alignment horizontal="center" vertical="center"/>
      <protection locked="0"/>
    </xf>
    <xf numFmtId="58" fontId="1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58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80" fontId="13" fillId="0" borderId="1" xfId="0" applyNumberFormat="1" applyFont="1" applyFill="1" applyBorder="1" applyAlignment="1" applyProtection="1">
      <alignment horizontal="center" vertical="center" shrinkToFit="1"/>
    </xf>
    <xf numFmtId="180" fontId="1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13" fillId="0" borderId="1" xfId="0" applyFont="1" applyFill="1" applyBorder="1" applyAlignment="1" applyProtection="1">
      <alignment horizontal="center" vertical="center"/>
    </xf>
    <xf numFmtId="0" fontId="13" fillId="0" borderId="1" xfId="51" applyFont="1" applyFill="1" applyBorder="1" applyAlignment="1" applyProtection="1">
      <alignment horizontal="center" vertical="center" wrapText="1" shrinkToFit="1"/>
    </xf>
    <xf numFmtId="177" fontId="13" fillId="0" borderId="1" xfId="51" applyNumberFormat="1" applyFont="1" applyFill="1" applyBorder="1" applyAlignment="1" applyProtection="1">
      <alignment horizontal="center" vertical="center" wrapText="1" shrinkToFit="1"/>
    </xf>
    <xf numFmtId="0" fontId="13" fillId="0" borderId="1" xfId="51" applyFont="1" applyFill="1" applyBorder="1" applyAlignment="1" applyProtection="1">
      <alignment horizontal="center" vertical="center" shrinkToFit="1"/>
    </xf>
    <xf numFmtId="182" fontId="13" fillId="0" borderId="1" xfId="0" applyNumberFormat="1" applyFont="1" applyFill="1" applyBorder="1" applyAlignment="1" applyProtection="1">
      <alignment horizontal="center" vertical="center" wrapText="1"/>
    </xf>
    <xf numFmtId="181" fontId="13" fillId="0" borderId="1" xfId="0" applyNumberFormat="1" applyFont="1" applyFill="1" applyBorder="1" applyAlignment="1" applyProtection="1">
      <alignment horizontal="center" vertical="center" shrinkToFit="1"/>
    </xf>
    <xf numFmtId="180" fontId="13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13" fillId="0" borderId="1" xfId="0" applyNumberFormat="1" applyFont="1" applyFill="1" applyBorder="1" applyAlignment="1" applyProtection="1">
      <alignment horizontal="center" vertical="center"/>
      <protection locked="0"/>
    </xf>
    <xf numFmtId="181" fontId="1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1" xfId="51" applyNumberFormat="1" applyFont="1" applyFill="1" applyBorder="1" applyAlignment="1" applyProtection="1">
      <alignment horizontal="center" vertical="center" wrapText="1" shrinkToFit="1"/>
      <protection locked="0"/>
    </xf>
    <xf numFmtId="178" fontId="13" fillId="0" borderId="1" xfId="0" applyNumberFormat="1" applyFont="1" applyFill="1" applyBorder="1" applyAlignment="1" applyProtection="1">
      <alignment horizontal="center" vertical="center" wrapText="1"/>
    </xf>
    <xf numFmtId="179" fontId="13" fillId="0" borderId="1" xfId="51" applyNumberFormat="1" applyFont="1" applyFill="1" applyBorder="1" applyAlignment="1" applyProtection="1">
      <alignment horizontal="center" vertical="center" wrapText="1" shrinkToFit="1"/>
    </xf>
    <xf numFmtId="179" fontId="13" fillId="0" borderId="1" xfId="0" applyNumberFormat="1" applyFont="1" applyFill="1" applyBorder="1" applyAlignment="1" applyProtection="1">
      <alignment horizontal="center" vertical="center" wrapText="1"/>
    </xf>
    <xf numFmtId="0" fontId="16" fillId="0" borderId="1" xfId="0" applyNumberFormat="1" applyFont="1" applyFill="1" applyBorder="1" applyAlignment="1" applyProtection="1">
      <alignment horizontal="center" vertical="center"/>
    </xf>
    <xf numFmtId="58" fontId="13" fillId="0" borderId="1" xfId="0" applyNumberFormat="1" applyFont="1" applyFill="1" applyBorder="1" applyAlignment="1" applyProtection="1">
      <alignment horizontal="center" vertical="center"/>
      <protection locked="0"/>
    </xf>
    <xf numFmtId="58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Fill="1" applyBorder="1" applyAlignment="1" applyProtection="1">
      <alignment horizontal="center" vertical="center"/>
      <protection locked="0"/>
    </xf>
    <xf numFmtId="58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49" fontId="13" fillId="0" borderId="1" xfId="51" applyNumberFormat="1" applyFont="1" applyFill="1" applyBorder="1" applyAlignment="1" applyProtection="1">
      <alignment horizontal="center" vertical="center" wrapText="1" shrinkToFit="1"/>
      <protection locked="0"/>
    </xf>
    <xf numFmtId="180" fontId="13" fillId="0" borderId="1" xfId="0" applyNumberFormat="1" applyFont="1" applyFill="1" applyBorder="1" applyAlignment="1">
      <alignment horizontal="center" vertical="center" wrapText="1"/>
    </xf>
    <xf numFmtId="177" fontId="13" fillId="2" borderId="1" xfId="51" applyNumberFormat="1" applyFont="1" applyFill="1" applyBorder="1" applyAlignment="1" applyProtection="1">
      <alignment horizontal="center" vertical="center" wrapText="1" shrinkToFit="1"/>
    </xf>
    <xf numFmtId="0" fontId="13" fillId="0" borderId="1" xfId="51" applyFont="1" applyFill="1" applyBorder="1" applyAlignment="1" applyProtection="1">
      <alignment horizontal="center" vertical="center" wrapText="1" shrinkToFit="1"/>
      <protection locked="0"/>
    </xf>
    <xf numFmtId="181" fontId="12" fillId="0" borderId="1" xfId="0" applyNumberFormat="1" applyFont="1" applyFill="1" applyBorder="1" applyAlignment="1" applyProtection="1">
      <alignment horizontal="center" vertical="center" shrinkToFit="1"/>
    </xf>
    <xf numFmtId="180" fontId="13" fillId="3" borderId="1" xfId="0" applyNumberFormat="1" applyFont="1" applyFill="1" applyBorder="1" applyAlignment="1" applyProtection="1">
      <alignment horizontal="center" vertical="center" shrinkToFit="1"/>
    </xf>
    <xf numFmtId="58" fontId="16" fillId="0" borderId="1" xfId="0" applyNumberFormat="1" applyFont="1" applyFill="1" applyBorder="1" applyAlignment="1" applyProtection="1">
      <alignment horizontal="center" vertical="center"/>
    </xf>
    <xf numFmtId="58" fontId="16" fillId="0" borderId="2" xfId="0" applyNumberFormat="1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 applyProtection="1">
      <alignment horizontal="center" vertical="center" wrapText="1"/>
    </xf>
    <xf numFmtId="0" fontId="13" fillId="0" borderId="2" xfId="0" applyFont="1" applyFill="1" applyBorder="1" applyAlignment="1" applyProtection="1">
      <alignment horizontal="center" vertical="center" wrapText="1"/>
      <protection locked="0"/>
    </xf>
    <xf numFmtId="49" fontId="13" fillId="0" borderId="2" xfId="51" applyNumberFormat="1" applyFont="1" applyFill="1" applyBorder="1" applyAlignment="1" applyProtection="1">
      <alignment horizontal="center" vertical="center" wrapText="1" shrinkToFit="1"/>
      <protection locked="0"/>
    </xf>
    <xf numFmtId="0" fontId="15" fillId="0" borderId="2" xfId="0" applyNumberFormat="1" applyFont="1" applyFill="1" applyBorder="1" applyAlignment="1" applyProtection="1">
      <alignment horizontal="center" vertical="center"/>
    </xf>
    <xf numFmtId="180" fontId="12" fillId="3" borderId="2" xfId="0" applyNumberFormat="1" applyFont="1" applyFill="1" applyBorder="1" applyAlignment="1" applyProtection="1">
      <alignment horizontal="center" vertical="center" shrinkToFit="1"/>
    </xf>
    <xf numFmtId="181" fontId="12" fillId="0" borderId="2" xfId="0" applyNumberFormat="1" applyFont="1" applyFill="1" applyBorder="1" applyAlignment="1" applyProtection="1">
      <alignment horizontal="center" vertical="center" shrinkToFit="1"/>
    </xf>
    <xf numFmtId="181" fontId="12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12" fillId="0" borderId="2" xfId="51" applyNumberFormat="1" applyFont="1" applyFill="1" applyBorder="1" applyAlignment="1" applyProtection="1">
      <alignment horizontal="center" vertical="center" wrapText="1" shrinkToFit="1"/>
      <protection locked="0"/>
    </xf>
    <xf numFmtId="180" fontId="13" fillId="2" borderId="1" xfId="0" applyNumberFormat="1" applyFont="1" applyFill="1" applyBorder="1" applyAlignment="1" applyProtection="1">
      <alignment horizontal="center" vertical="center" shrinkToFit="1"/>
    </xf>
    <xf numFmtId="58" fontId="17" fillId="0" borderId="1" xfId="0" applyNumberFormat="1" applyFont="1" applyFill="1" applyBorder="1" applyAlignment="1" applyProtection="1">
      <alignment horizontal="center" vertical="center" wrapText="1"/>
      <protection locked="0"/>
    </xf>
    <xf numFmtId="181" fontId="13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58" fontId="12" fillId="0" borderId="0" xfId="0" applyNumberFormat="1" applyFont="1" applyFill="1" applyBorder="1" applyAlignment="1">
      <alignment horizontal="center" vertical="center"/>
    </xf>
    <xf numFmtId="180" fontId="13" fillId="0" borderId="2" xfId="0" applyNumberFormat="1" applyFont="1" applyFill="1" applyBorder="1" applyAlignment="1" applyProtection="1">
      <alignment horizontal="center" vertical="center" shrinkToFit="1"/>
    </xf>
    <xf numFmtId="180" fontId="13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13" fillId="0" borderId="2" xfId="0" applyFont="1" applyFill="1" applyBorder="1" applyAlignment="1" applyProtection="1">
      <alignment horizontal="center" vertical="center"/>
    </xf>
    <xf numFmtId="0" fontId="13" fillId="0" borderId="2" xfId="51" applyFont="1" applyFill="1" applyBorder="1" applyAlignment="1" applyProtection="1">
      <alignment horizontal="center" vertical="center" wrapText="1" shrinkToFit="1"/>
    </xf>
    <xf numFmtId="3" fontId="13" fillId="2" borderId="1" xfId="51" applyNumberFormat="1" applyFont="1" applyFill="1" applyBorder="1" applyAlignment="1" applyProtection="1">
      <alignment horizontal="center" vertical="center" shrinkToFit="1"/>
    </xf>
    <xf numFmtId="0" fontId="13" fillId="0" borderId="2" xfId="51" applyFont="1" applyFill="1" applyBorder="1" applyAlignment="1" applyProtection="1">
      <alignment horizontal="center" vertical="center" shrinkToFit="1"/>
    </xf>
    <xf numFmtId="181" fontId="13" fillId="0" borderId="2" xfId="0" applyNumberFormat="1" applyFont="1" applyFill="1" applyBorder="1" applyAlignment="1" applyProtection="1">
      <alignment horizontal="center" vertical="center" shrinkToFit="1"/>
    </xf>
    <xf numFmtId="180" fontId="13" fillId="0" borderId="2" xfId="0" applyNumberFormat="1" applyFont="1" applyFill="1" applyBorder="1" applyAlignment="1" applyProtection="1">
      <alignment horizontal="center" vertical="center" shrinkToFit="1"/>
      <protection locked="0"/>
    </xf>
    <xf numFmtId="0" fontId="13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2" xfId="51" applyNumberFormat="1" applyFont="1" applyFill="1" applyBorder="1" applyAlignment="1" applyProtection="1">
      <alignment horizontal="center" vertical="center" wrapText="1" shrinkToFit="1"/>
      <protection locked="0"/>
    </xf>
    <xf numFmtId="178" fontId="13" fillId="0" borderId="2" xfId="0" applyNumberFormat="1" applyFont="1" applyFill="1" applyBorder="1" applyAlignment="1" applyProtection="1">
      <alignment horizontal="center" vertical="center" wrapText="1"/>
    </xf>
    <xf numFmtId="58" fontId="13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2" xfId="0" applyNumberFormat="1" applyFont="1" applyFill="1" applyBorder="1" applyAlignment="1" applyProtection="1">
      <alignment horizontal="center" vertical="center" wrapText="1"/>
      <protection locked="0"/>
    </xf>
    <xf numFmtId="180" fontId="12" fillId="2" borderId="1" xfId="0" applyNumberFormat="1" applyFont="1" applyFill="1" applyBorder="1" applyAlignment="1" applyProtection="1">
      <alignment horizontal="center" vertical="center" shrinkToFit="1"/>
    </xf>
    <xf numFmtId="180" fontId="12" fillId="0" borderId="2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 applyProtection="1">
      <alignment horizontal="center" vertical="center" wrapText="1"/>
    </xf>
    <xf numFmtId="180" fontId="12" fillId="0" borderId="2" xfId="0" applyNumberFormat="1" applyFont="1" applyFill="1" applyBorder="1" applyAlignment="1" applyProtection="1">
      <alignment horizontal="center" vertical="center" shrinkToFit="1"/>
    </xf>
    <xf numFmtId="0" fontId="12" fillId="0" borderId="2" xfId="0" applyFont="1" applyFill="1" applyBorder="1" applyAlignment="1" applyProtection="1">
      <alignment horizontal="center" vertical="center"/>
    </xf>
    <xf numFmtId="0" fontId="12" fillId="0" borderId="2" xfId="51" applyFont="1" applyFill="1" applyBorder="1" applyAlignment="1" applyProtection="1">
      <alignment horizontal="center" vertical="center" wrapText="1" shrinkToFit="1"/>
    </xf>
    <xf numFmtId="177" fontId="12" fillId="0" borderId="2" xfId="51" applyNumberFormat="1" applyFont="1" applyFill="1" applyBorder="1" applyAlignment="1" applyProtection="1">
      <alignment horizontal="center" vertical="center" wrapText="1" shrinkToFit="1"/>
    </xf>
    <xf numFmtId="0" fontId="12" fillId="0" borderId="2" xfId="51" applyFont="1" applyFill="1" applyBorder="1" applyAlignment="1" applyProtection="1">
      <alignment horizontal="center" vertical="center" shrinkToFit="1"/>
    </xf>
    <xf numFmtId="180" fontId="12" fillId="2" borderId="2" xfId="0" applyNumberFormat="1" applyFont="1" applyFill="1" applyBorder="1" applyAlignment="1" applyProtection="1">
      <alignment horizontal="center" vertical="center" shrinkToFit="1"/>
    </xf>
    <xf numFmtId="181" fontId="12" fillId="0" borderId="5" xfId="0" applyNumberFormat="1" applyFont="1" applyFill="1" applyBorder="1" applyAlignment="1" applyProtection="1">
      <alignment horizontal="center" vertical="center" shrinkToFit="1"/>
    </xf>
    <xf numFmtId="180" fontId="12" fillId="0" borderId="2" xfId="0" applyNumberFormat="1" applyFont="1" applyFill="1" applyBorder="1" applyAlignment="1" applyProtection="1">
      <alignment horizontal="center" vertical="center" shrinkToFit="1"/>
      <protection locked="0"/>
    </xf>
    <xf numFmtId="0" fontId="12" fillId="0" borderId="2" xfId="0" applyFont="1" applyFill="1" applyBorder="1" applyAlignment="1" applyProtection="1">
      <alignment horizontal="center" vertical="center"/>
      <protection locked="0"/>
    </xf>
    <xf numFmtId="49" fontId="12" fillId="0" borderId="2" xfId="51" applyNumberFormat="1" applyFont="1" applyFill="1" applyBorder="1" applyAlignment="1" applyProtection="1">
      <alignment horizontal="center" vertical="center" wrapText="1" shrinkToFit="1"/>
      <protection locked="0"/>
    </xf>
    <xf numFmtId="0" fontId="12" fillId="0" borderId="2" xfId="51" applyFont="1" applyFill="1" applyBorder="1" applyAlignment="1" applyProtection="1">
      <alignment horizontal="center" vertical="center" wrapText="1" shrinkToFit="1"/>
      <protection locked="0"/>
    </xf>
    <xf numFmtId="178" fontId="12" fillId="0" borderId="2" xfId="0" applyNumberFormat="1" applyFont="1" applyFill="1" applyBorder="1" applyAlignment="1" applyProtection="1">
      <alignment horizontal="center" vertical="center" wrapText="1"/>
    </xf>
    <xf numFmtId="58" fontId="12" fillId="0" borderId="2" xfId="0" applyNumberFormat="1" applyFont="1" applyFill="1" applyBorder="1" applyAlignment="1" applyProtection="1">
      <alignment horizontal="center" vertical="center"/>
      <protection locked="0"/>
    </xf>
    <xf numFmtId="0" fontId="12" fillId="0" borderId="2" xfId="0" applyNumberFormat="1" applyFont="1" applyFill="1" applyBorder="1" applyAlignment="1" applyProtection="1">
      <alignment horizontal="center" vertical="center"/>
      <protection locked="0"/>
    </xf>
    <xf numFmtId="0" fontId="12" fillId="0" borderId="2" xfId="0" applyFont="1" applyFill="1" applyBorder="1" applyAlignment="1" applyProtection="1">
      <alignment horizontal="center" vertical="center" wrapText="1"/>
      <protection locked="0"/>
    </xf>
    <xf numFmtId="0" fontId="12" fillId="0" borderId="2" xfId="0" applyNumberFormat="1" applyFont="1" applyFill="1" applyBorder="1" applyAlignment="1" applyProtection="1">
      <alignment horizontal="center" vertical="center" wrapText="1"/>
      <protection locked="0"/>
    </xf>
    <xf numFmtId="177" fontId="12" fillId="2" borderId="2" xfId="51" applyNumberFormat="1" applyFont="1" applyFill="1" applyBorder="1" applyAlignment="1" applyProtection="1">
      <alignment horizontal="center" vertical="center" wrapText="1" shrinkToFit="1"/>
    </xf>
    <xf numFmtId="0" fontId="12" fillId="0" borderId="1" xfId="51" applyFont="1" applyFill="1" applyBorder="1" applyAlignment="1" applyProtection="1">
      <alignment horizontal="center" vertical="center" wrapText="1" shrinkToFit="1"/>
      <protection locked="0"/>
    </xf>
    <xf numFmtId="58" fontId="12" fillId="0" borderId="2" xfId="0" applyNumberFormat="1" applyFont="1" applyFill="1" applyBorder="1" applyAlignment="1" applyProtection="1">
      <alignment horizontal="center" vertical="center" wrapText="1"/>
      <protection locked="0"/>
    </xf>
    <xf numFmtId="180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/>
    </xf>
    <xf numFmtId="49" fontId="12" fillId="0" borderId="1" xfId="51" applyNumberFormat="1" applyFont="1" applyFill="1" applyBorder="1" applyAlignment="1" applyProtection="1">
      <alignment horizontal="center" vertical="center" wrapText="1" shrinkToFit="1"/>
      <protection locked="0"/>
    </xf>
    <xf numFmtId="58" fontId="15" fillId="0" borderId="1" xfId="0" applyNumberFormat="1" applyFont="1" applyFill="1" applyBorder="1" applyAlignment="1" applyProtection="1">
      <alignment horizontal="center" vertical="center"/>
    </xf>
    <xf numFmtId="180" fontId="12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15" fillId="0" borderId="2" xfId="0" applyFont="1" applyFill="1" applyBorder="1" applyAlignment="1" applyProtection="1">
      <alignment horizontal="center" vertical="center"/>
    </xf>
    <xf numFmtId="0" fontId="12" fillId="0" borderId="0" xfId="0" applyFont="1" applyFill="1" applyBorder="1" applyAlignment="1" applyProtection="1">
      <alignment horizontal="center" vertical="center" wrapText="1"/>
      <protection locked="0"/>
    </xf>
    <xf numFmtId="180" fontId="9" fillId="0" borderId="1" xfId="0" applyNumberFormat="1" applyFont="1" applyFill="1" applyBorder="1" applyAlignment="1" applyProtection="1">
      <alignment horizontal="center" vertical="center" shrinkToFit="1"/>
    </xf>
    <xf numFmtId="180" fontId="9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9" fillId="0" borderId="1" xfId="0" applyFont="1" applyFill="1" applyBorder="1" applyAlignment="1" applyProtection="1">
      <alignment horizontal="center" vertical="center"/>
    </xf>
    <xf numFmtId="0" fontId="9" fillId="0" borderId="1" xfId="51" applyFont="1" applyFill="1" applyBorder="1" applyAlignment="1" applyProtection="1">
      <alignment horizontal="center" vertical="center" wrapText="1" shrinkToFit="1"/>
    </xf>
    <xf numFmtId="177" fontId="9" fillId="0" borderId="1" xfId="51" applyNumberFormat="1" applyFont="1" applyFill="1" applyBorder="1" applyAlignment="1" applyProtection="1">
      <alignment horizontal="center" vertical="center" wrapText="1" shrinkToFit="1"/>
    </xf>
    <xf numFmtId="0" fontId="9" fillId="0" borderId="1" xfId="51" applyFont="1" applyFill="1" applyBorder="1" applyAlignment="1" applyProtection="1">
      <alignment horizontal="center" vertical="center" shrinkToFit="1"/>
    </xf>
    <xf numFmtId="182" fontId="9" fillId="0" borderId="1" xfId="0" applyNumberFormat="1" applyFont="1" applyFill="1" applyBorder="1" applyAlignment="1" applyProtection="1">
      <alignment horizontal="center" vertical="center" wrapText="1"/>
    </xf>
    <xf numFmtId="183" fontId="18" fillId="0" borderId="1" xfId="0" applyNumberFormat="1" applyFont="1" applyFill="1" applyBorder="1" applyAlignment="1" applyProtection="1">
      <alignment horizontal="center" vertical="center" shrinkToFit="1"/>
    </xf>
    <xf numFmtId="180" fontId="9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81" fontId="9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51" applyNumberFormat="1" applyFont="1" applyFill="1" applyBorder="1" applyAlignment="1" applyProtection="1">
      <alignment horizontal="center" vertical="center" wrapText="1" shrinkToFit="1"/>
      <protection locked="0"/>
    </xf>
    <xf numFmtId="178" fontId="9" fillId="0" borderId="1" xfId="0" applyNumberFormat="1" applyFont="1" applyFill="1" applyBorder="1" applyAlignment="1" applyProtection="1">
      <alignment horizontal="center" vertical="center" wrapText="1"/>
    </xf>
    <xf numFmtId="179" fontId="19" fillId="0" borderId="1" xfId="51" applyNumberFormat="1" applyFont="1" applyFill="1" applyBorder="1" applyAlignment="1" applyProtection="1">
      <alignment horizontal="center" vertical="center" wrapText="1" shrinkToFit="1"/>
    </xf>
    <xf numFmtId="179" fontId="19" fillId="0" borderId="1" xfId="0" applyNumberFormat="1" applyFont="1" applyFill="1" applyBorder="1" applyAlignment="1" applyProtection="1">
      <alignment horizontal="center" vertical="center" wrapText="1"/>
    </xf>
    <xf numFmtId="0" fontId="20" fillId="0" borderId="1" xfId="0" applyNumberFormat="1" applyFont="1" applyFill="1" applyBorder="1" applyAlignment="1" applyProtection="1">
      <alignment horizontal="center" vertical="center"/>
    </xf>
    <xf numFmtId="58" fontId="9" fillId="0" borderId="1" xfId="0" applyNumberFormat="1" applyFont="1" applyFill="1" applyBorder="1" applyAlignment="1" applyProtection="1">
      <alignment horizontal="center" vertical="center"/>
      <protection locked="0"/>
    </xf>
    <xf numFmtId="58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>
      <alignment horizontal="center" vertical="center"/>
    </xf>
    <xf numFmtId="180" fontId="6" fillId="0" borderId="1" xfId="0" applyNumberFormat="1" applyFont="1" applyFill="1" applyBorder="1" applyAlignment="1" applyProtection="1">
      <alignment horizontal="center" vertical="center" wrapText="1" shrinkToFit="1"/>
    </xf>
    <xf numFmtId="0" fontId="21" fillId="0" borderId="1" xfId="0" applyFont="1" applyBorder="1" applyAlignment="1">
      <alignment horizontal="center" vertical="center"/>
    </xf>
    <xf numFmtId="180" fontId="6" fillId="0" borderId="0" xfId="0" applyNumberFormat="1" applyFont="1" applyFill="1" applyBorder="1" applyAlignment="1" applyProtection="1">
      <alignment horizontal="center" vertical="center" wrapText="1" shrinkToFit="1"/>
    </xf>
    <xf numFmtId="0" fontId="22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80" fontId="22" fillId="0" borderId="1" xfId="0" applyNumberFormat="1" applyFont="1" applyFill="1" applyBorder="1" applyAlignment="1" applyProtection="1">
      <alignment horizontal="center" vertical="center" shrinkToFit="1"/>
    </xf>
    <xf numFmtId="180" fontId="22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22" fillId="0" borderId="1" xfId="0" applyFont="1" applyFill="1" applyBorder="1" applyAlignment="1" applyProtection="1">
      <alignment horizontal="center" vertical="center"/>
    </xf>
    <xf numFmtId="0" fontId="22" fillId="0" borderId="1" xfId="51" applyFont="1" applyFill="1" applyBorder="1" applyAlignment="1" applyProtection="1">
      <alignment horizontal="center" vertical="center" wrapText="1" shrinkToFit="1"/>
    </xf>
    <xf numFmtId="177" fontId="22" fillId="0" borderId="1" xfId="51" applyNumberFormat="1" applyFont="1" applyFill="1" applyBorder="1" applyAlignment="1" applyProtection="1">
      <alignment horizontal="center" vertical="center" wrapText="1" shrinkToFit="1"/>
    </xf>
    <xf numFmtId="0" fontId="22" fillId="0" borderId="1" xfId="51" applyFont="1" applyFill="1" applyBorder="1" applyAlignment="1" applyProtection="1">
      <alignment horizontal="center" vertical="center" shrinkToFit="1"/>
    </xf>
    <xf numFmtId="182" fontId="22" fillId="0" borderId="1" xfId="0" applyNumberFormat="1" applyFont="1" applyFill="1" applyBorder="1" applyAlignment="1" applyProtection="1">
      <alignment horizontal="center" vertical="center" wrapText="1"/>
    </xf>
    <xf numFmtId="183" fontId="22" fillId="0" borderId="1" xfId="0" applyNumberFormat="1" applyFont="1" applyFill="1" applyBorder="1" applyAlignment="1" applyProtection="1">
      <alignment horizontal="center" vertical="center" shrinkToFit="1"/>
    </xf>
    <xf numFmtId="180" fontId="22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181" fontId="22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2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1" xfId="51" applyNumberFormat="1" applyFont="1" applyFill="1" applyBorder="1" applyAlignment="1" applyProtection="1">
      <alignment horizontal="center" vertical="center" wrapText="1" shrinkToFit="1"/>
      <protection locked="0"/>
    </xf>
    <xf numFmtId="178" fontId="22" fillId="0" borderId="1" xfId="0" applyNumberFormat="1" applyFont="1" applyFill="1" applyBorder="1" applyAlignment="1" applyProtection="1">
      <alignment horizontal="center" vertical="center" wrapText="1"/>
    </xf>
    <xf numFmtId="179" fontId="22" fillId="0" borderId="1" xfId="51" applyNumberFormat="1" applyFont="1" applyFill="1" applyBorder="1" applyAlignment="1" applyProtection="1">
      <alignment horizontal="center" vertical="center" wrapText="1" shrinkToFit="1"/>
    </xf>
    <xf numFmtId="179" fontId="22" fillId="0" borderId="1" xfId="0" applyNumberFormat="1" applyFont="1" applyFill="1" applyBorder="1" applyAlignment="1" applyProtection="1">
      <alignment horizontal="center" vertical="center" wrapText="1"/>
    </xf>
    <xf numFmtId="58" fontId="22" fillId="0" borderId="1" xfId="0" applyNumberFormat="1" applyFont="1" applyFill="1" applyBorder="1" applyAlignment="1" applyProtection="1">
      <alignment horizontal="center" vertical="center"/>
      <protection locked="0"/>
    </xf>
    <xf numFmtId="58" fontId="2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1" xfId="0" applyFont="1" applyFill="1" applyBorder="1" applyAlignment="1" applyProtection="1">
      <alignment horizontal="center" vertical="center" wrapText="1"/>
      <protection locked="0"/>
    </xf>
    <xf numFmtId="0" fontId="22" fillId="0" borderId="1" xfId="0" applyFont="1" applyFill="1" applyBorder="1" applyAlignment="1" applyProtection="1">
      <alignment horizontal="center" vertical="center"/>
      <protection locked="0"/>
    </xf>
    <xf numFmtId="180" fontId="22" fillId="0" borderId="1" xfId="0" applyNumberFormat="1" applyFont="1" applyFill="1" applyBorder="1" applyAlignment="1" applyProtection="1">
      <alignment horizontal="center" vertical="center" wrapText="1" shrinkToFit="1"/>
    </xf>
    <xf numFmtId="180" fontId="19" fillId="0" borderId="1" xfId="0" applyNumberFormat="1" applyFont="1" applyFill="1" applyBorder="1" applyAlignment="1" applyProtection="1">
      <alignment horizontal="center" vertical="center" shrinkToFit="1"/>
    </xf>
    <xf numFmtId="180" fontId="19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19" fillId="0" borderId="1" xfId="0" applyFont="1" applyFill="1" applyBorder="1" applyAlignment="1" applyProtection="1">
      <alignment horizontal="center" vertical="center"/>
    </xf>
    <xf numFmtId="0" fontId="19" fillId="0" borderId="1" xfId="51" applyFont="1" applyFill="1" applyBorder="1" applyAlignment="1" applyProtection="1">
      <alignment horizontal="center" vertical="center" wrapText="1" shrinkToFit="1"/>
    </xf>
    <xf numFmtId="177" fontId="19" fillId="0" borderId="1" xfId="51" applyNumberFormat="1" applyFont="1" applyFill="1" applyBorder="1" applyAlignment="1" applyProtection="1">
      <alignment horizontal="center" vertical="center" wrapText="1" shrinkToFit="1"/>
    </xf>
    <xf numFmtId="0" fontId="19" fillId="0" borderId="1" xfId="51" applyFont="1" applyFill="1" applyBorder="1" applyAlignment="1" applyProtection="1">
      <alignment horizontal="center" vertical="center" shrinkToFit="1"/>
    </xf>
    <xf numFmtId="182" fontId="19" fillId="0" borderId="1" xfId="0" applyNumberFormat="1" applyFont="1" applyFill="1" applyBorder="1" applyAlignment="1" applyProtection="1">
      <alignment horizontal="center" vertical="center" wrapText="1"/>
    </xf>
    <xf numFmtId="181" fontId="19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0" fontId="19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19" fillId="0" borderId="1" xfId="0" applyNumberFormat="1" applyFont="1" applyFill="1" applyBorder="1" applyAlignment="1" applyProtection="1">
      <alignment horizontal="center" vertical="center"/>
      <protection locked="0"/>
    </xf>
    <xf numFmtId="0" fontId="1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1" xfId="51" applyNumberFormat="1" applyFont="1" applyFill="1" applyBorder="1" applyAlignment="1" applyProtection="1">
      <alignment horizontal="center" vertical="center" wrapText="1" shrinkToFit="1"/>
      <protection locked="0"/>
    </xf>
    <xf numFmtId="178" fontId="19" fillId="0" borderId="1" xfId="0" applyNumberFormat="1" applyFont="1" applyFill="1" applyBorder="1" applyAlignment="1" applyProtection="1">
      <alignment horizontal="center" vertical="center" wrapText="1"/>
    </xf>
    <xf numFmtId="58" fontId="19" fillId="0" borderId="1" xfId="0" applyNumberFormat="1" applyFont="1" applyFill="1" applyBorder="1" applyAlignment="1" applyProtection="1">
      <alignment horizontal="center" vertical="center"/>
      <protection locked="0"/>
    </xf>
    <xf numFmtId="58" fontId="1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1" xfId="0" applyFont="1" applyFill="1" applyBorder="1" applyAlignment="1" applyProtection="1">
      <alignment horizontal="center" vertical="center" wrapText="1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181" fontId="22" fillId="0" borderId="1" xfId="0" applyNumberFormat="1" applyFont="1" applyFill="1" applyBorder="1" applyAlignment="1" applyProtection="1">
      <alignment horizontal="center" vertical="center" shrinkToFit="1"/>
    </xf>
    <xf numFmtId="181" fontId="19" fillId="0" borderId="1" xfId="0" applyNumberFormat="1" applyFont="1" applyFill="1" applyBorder="1" applyAlignment="1" applyProtection="1">
      <alignment horizontal="center" vertical="center" shrinkToFit="1"/>
    </xf>
    <xf numFmtId="180" fontId="19" fillId="0" borderId="2" xfId="0" applyNumberFormat="1" applyFont="1" applyFill="1" applyBorder="1" applyAlignment="1" applyProtection="1">
      <alignment horizontal="center" vertical="center" shrinkToFit="1"/>
    </xf>
    <xf numFmtId="180" fontId="19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19" fillId="0" borderId="2" xfId="0" applyFont="1" applyFill="1" applyBorder="1" applyAlignment="1" applyProtection="1">
      <alignment horizontal="center" vertical="center"/>
    </xf>
    <xf numFmtId="0" fontId="19" fillId="0" borderId="2" xfId="51" applyFont="1" applyFill="1" applyBorder="1" applyAlignment="1" applyProtection="1">
      <alignment horizontal="center" vertical="center" wrapText="1" shrinkToFit="1"/>
    </xf>
    <xf numFmtId="177" fontId="19" fillId="0" borderId="2" xfId="51" applyNumberFormat="1" applyFont="1" applyFill="1" applyBorder="1" applyAlignment="1" applyProtection="1">
      <alignment horizontal="center" vertical="center" wrapText="1" shrinkToFit="1"/>
    </xf>
    <xf numFmtId="0" fontId="19" fillId="0" borderId="2" xfId="51" applyFont="1" applyFill="1" applyBorder="1" applyAlignment="1" applyProtection="1">
      <alignment horizontal="center" vertical="center" shrinkToFit="1"/>
    </xf>
    <xf numFmtId="182" fontId="19" fillId="0" borderId="2" xfId="0" applyNumberFormat="1" applyFont="1" applyFill="1" applyBorder="1" applyAlignment="1" applyProtection="1">
      <alignment horizontal="center" vertical="center" wrapText="1"/>
    </xf>
    <xf numFmtId="181" fontId="19" fillId="0" borderId="2" xfId="0" applyNumberFormat="1" applyFont="1" applyFill="1" applyBorder="1" applyAlignment="1" applyProtection="1">
      <alignment horizontal="center" vertical="center" shrinkToFit="1"/>
    </xf>
    <xf numFmtId="180" fontId="19" fillId="0" borderId="2" xfId="0" applyNumberFormat="1" applyFont="1" applyFill="1" applyBorder="1" applyAlignment="1" applyProtection="1">
      <alignment horizontal="center" vertical="center" shrinkToFit="1"/>
      <protection locked="0"/>
    </xf>
    <xf numFmtId="0" fontId="19" fillId="0" borderId="2" xfId="0" applyNumberFormat="1" applyFont="1" applyFill="1" applyBorder="1" applyAlignment="1" applyProtection="1">
      <alignment horizontal="center" vertical="center"/>
      <protection locked="0"/>
    </xf>
    <xf numFmtId="181" fontId="19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19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2" xfId="51" applyNumberFormat="1" applyFont="1" applyFill="1" applyBorder="1" applyAlignment="1" applyProtection="1">
      <alignment horizontal="center" vertical="center" wrapText="1" shrinkToFit="1"/>
      <protection locked="0"/>
    </xf>
    <xf numFmtId="178" fontId="19" fillId="0" borderId="2" xfId="0" applyNumberFormat="1" applyFont="1" applyFill="1" applyBorder="1" applyAlignment="1" applyProtection="1">
      <alignment horizontal="center" vertical="center" wrapText="1"/>
    </xf>
    <xf numFmtId="179" fontId="19" fillId="0" borderId="2" xfId="51" applyNumberFormat="1" applyFont="1" applyFill="1" applyBorder="1" applyAlignment="1" applyProtection="1">
      <alignment horizontal="center" vertical="center" wrapText="1" shrinkToFit="1"/>
    </xf>
    <xf numFmtId="179" fontId="19" fillId="0" borderId="2" xfId="0" applyNumberFormat="1" applyFont="1" applyFill="1" applyBorder="1" applyAlignment="1" applyProtection="1">
      <alignment horizontal="center" vertical="center" wrapText="1"/>
    </xf>
    <xf numFmtId="0" fontId="20" fillId="0" borderId="2" xfId="0" applyNumberFormat="1" applyFont="1" applyFill="1" applyBorder="1" applyAlignment="1" applyProtection="1">
      <alignment horizontal="center" vertical="center"/>
    </xf>
    <xf numFmtId="58" fontId="19" fillId="0" borderId="2" xfId="0" applyNumberFormat="1" applyFont="1" applyFill="1" applyBorder="1" applyAlignment="1" applyProtection="1">
      <alignment horizontal="center" vertical="center"/>
      <protection locked="0"/>
    </xf>
    <xf numFmtId="58" fontId="19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2" xfId="0" applyFont="1" applyFill="1" applyBorder="1" applyAlignment="1" applyProtection="1">
      <alignment horizontal="center" vertical="center" wrapText="1"/>
      <protection locked="0"/>
    </xf>
    <xf numFmtId="0" fontId="19" fillId="0" borderId="2" xfId="0" applyFont="1" applyFill="1" applyBorder="1" applyAlignment="1" applyProtection="1">
      <alignment horizontal="center" vertical="center"/>
      <protection locked="0"/>
    </xf>
    <xf numFmtId="180" fontId="19" fillId="2" borderId="1" xfId="0" applyNumberFormat="1" applyFont="1" applyFill="1" applyBorder="1" applyAlignment="1" applyProtection="1">
      <alignment horizontal="center" vertical="center" shrinkToFit="1"/>
    </xf>
    <xf numFmtId="0" fontId="19" fillId="2" borderId="1" xfId="51" applyNumberFormat="1" applyFont="1" applyFill="1" applyBorder="1" applyAlignment="1" applyProtection="1">
      <alignment horizontal="center" vertical="center" wrapText="1" shrinkToFit="1"/>
      <protection locked="0"/>
    </xf>
    <xf numFmtId="180" fontId="22" fillId="2" borderId="1" xfId="0" applyNumberFormat="1" applyFont="1" applyFill="1" applyBorder="1" applyAlignment="1" applyProtection="1">
      <alignment horizontal="center" vertical="center" shrinkToFit="1"/>
    </xf>
    <xf numFmtId="0" fontId="22" fillId="2" borderId="1" xfId="51" applyNumberFormat="1" applyFont="1" applyFill="1" applyBorder="1" applyAlignment="1" applyProtection="1">
      <alignment horizontal="center" vertical="center" wrapText="1" shrinkToFit="1"/>
      <protection locked="0"/>
    </xf>
    <xf numFmtId="0" fontId="2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180" fontId="19" fillId="0" borderId="1" xfId="0" applyNumberFormat="1" applyFont="1" applyFill="1" applyBorder="1" applyAlignment="1">
      <alignment horizontal="center" vertical="center" shrinkToFit="1"/>
    </xf>
    <xf numFmtId="180" fontId="24" fillId="0" borderId="1" xfId="0" applyNumberFormat="1" applyFont="1" applyFill="1" applyBorder="1" applyAlignment="1" applyProtection="1">
      <alignment horizontal="center" vertical="center" shrinkToFit="1"/>
    </xf>
    <xf numFmtId="180" fontId="19" fillId="0" borderId="6" xfId="0" applyNumberFormat="1" applyFont="1" applyFill="1" applyBorder="1" applyAlignment="1" applyProtection="1">
      <alignment horizontal="center" vertical="center" shrinkToFit="1"/>
    </xf>
    <xf numFmtId="180" fontId="19" fillId="0" borderId="6" xfId="0" applyNumberFormat="1" applyFont="1" applyFill="1" applyBorder="1" applyAlignment="1" applyProtection="1">
      <alignment horizontal="center" vertical="center" wrapText="1" shrinkToFit="1"/>
      <protection locked="0"/>
    </xf>
    <xf numFmtId="0" fontId="19" fillId="0" borderId="6" xfId="0" applyFont="1" applyFill="1" applyBorder="1" applyAlignment="1" applyProtection="1">
      <alignment horizontal="center" vertical="center"/>
    </xf>
    <xf numFmtId="0" fontId="19" fillId="0" borderId="6" xfId="51" applyFont="1" applyFill="1" applyBorder="1" applyAlignment="1" applyProtection="1">
      <alignment horizontal="center" vertical="center" wrapText="1" shrinkToFit="1"/>
    </xf>
    <xf numFmtId="177" fontId="19" fillId="0" borderId="6" xfId="51" applyNumberFormat="1" applyFont="1" applyFill="1" applyBorder="1" applyAlignment="1" applyProtection="1">
      <alignment horizontal="center" vertical="center" wrapText="1" shrinkToFit="1"/>
    </xf>
    <xf numFmtId="0" fontId="19" fillId="0" borderId="6" xfId="51" applyFont="1" applyFill="1" applyBorder="1" applyAlignment="1" applyProtection="1">
      <alignment horizontal="center" vertical="center" shrinkToFit="1"/>
    </xf>
    <xf numFmtId="182" fontId="19" fillId="0" borderId="6" xfId="0" applyNumberFormat="1" applyFont="1" applyFill="1" applyBorder="1" applyAlignment="1" applyProtection="1">
      <alignment horizontal="center" vertical="center" wrapText="1"/>
    </xf>
    <xf numFmtId="181" fontId="19" fillId="0" borderId="6" xfId="0" applyNumberFormat="1" applyFont="1" applyFill="1" applyBorder="1" applyAlignment="1" applyProtection="1">
      <alignment horizontal="center" vertical="center" shrinkToFit="1"/>
    </xf>
    <xf numFmtId="180" fontId="19" fillId="0" borderId="6" xfId="0" applyNumberFormat="1" applyFont="1" applyFill="1" applyBorder="1" applyAlignment="1" applyProtection="1">
      <alignment horizontal="center" vertical="center" shrinkToFit="1"/>
      <protection locked="0"/>
    </xf>
    <xf numFmtId="0" fontId="19" fillId="0" borderId="6" xfId="0" applyNumberFormat="1" applyFont="1" applyFill="1" applyBorder="1" applyAlignment="1" applyProtection="1">
      <alignment horizontal="center" vertical="center"/>
      <protection locked="0"/>
    </xf>
    <xf numFmtId="181" fontId="19" fillId="0" borderId="6" xfId="0" applyNumberFormat="1" applyFont="1" applyFill="1" applyBorder="1" applyAlignment="1" applyProtection="1">
      <alignment horizontal="center" vertical="center" wrapText="1" shrinkToFit="1"/>
      <protection locked="0"/>
    </xf>
    <xf numFmtId="58" fontId="19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6" xfId="51" applyNumberFormat="1" applyFont="1" applyFill="1" applyBorder="1" applyAlignment="1" applyProtection="1">
      <alignment horizontal="center" vertical="center" wrapText="1" shrinkToFit="1"/>
      <protection locked="0"/>
    </xf>
    <xf numFmtId="178" fontId="19" fillId="2" borderId="6" xfId="0" applyNumberFormat="1" applyFont="1" applyFill="1" applyBorder="1" applyAlignment="1" applyProtection="1">
      <alignment horizontal="center" vertical="center" wrapText="1"/>
    </xf>
    <xf numFmtId="179" fontId="19" fillId="0" borderId="6" xfId="51" applyNumberFormat="1" applyFont="1" applyFill="1" applyBorder="1" applyAlignment="1" applyProtection="1">
      <alignment horizontal="center" vertical="center" wrapText="1" shrinkToFit="1"/>
    </xf>
    <xf numFmtId="179" fontId="19" fillId="0" borderId="6" xfId="0" applyNumberFormat="1" applyFont="1" applyFill="1" applyBorder="1" applyAlignment="1" applyProtection="1">
      <alignment horizontal="center" vertical="center" wrapText="1"/>
    </xf>
    <xf numFmtId="58" fontId="19" fillId="0" borderId="6" xfId="0" applyNumberFormat="1" applyFont="1" applyFill="1" applyBorder="1" applyAlignment="1" applyProtection="1">
      <alignment horizontal="center" vertical="center"/>
      <protection locked="0"/>
    </xf>
    <xf numFmtId="0" fontId="19" fillId="0" borderId="6" xfId="0" applyFont="1" applyFill="1" applyBorder="1" applyAlignment="1" applyProtection="1">
      <alignment horizontal="center" vertical="center" wrapText="1"/>
      <protection locked="0"/>
    </xf>
    <xf numFmtId="180" fontId="19" fillId="0" borderId="1" xfId="0" applyNumberFormat="1" applyFont="1" applyFill="1" applyBorder="1" applyAlignment="1">
      <alignment horizontal="center" vertical="center" wrapText="1"/>
    </xf>
    <xf numFmtId="49" fontId="19" fillId="0" borderId="1" xfId="51" applyNumberFormat="1" applyFont="1" applyFill="1" applyBorder="1" applyAlignment="1" applyProtection="1">
      <alignment horizontal="center" vertical="center" wrapText="1" shrinkToFit="1"/>
      <protection locked="0"/>
    </xf>
    <xf numFmtId="0" fontId="19" fillId="0" borderId="1" xfId="51" applyFont="1" applyFill="1" applyBorder="1" applyAlignment="1" applyProtection="1">
      <alignment horizontal="center" vertical="center" wrapText="1" shrinkToFit="1"/>
      <protection locked="0"/>
    </xf>
    <xf numFmtId="3" fontId="19" fillId="0" borderId="1" xfId="51" applyNumberFormat="1" applyFont="1" applyFill="1" applyBorder="1" applyAlignment="1" applyProtection="1">
      <alignment horizontal="center" vertical="center" shrinkToFit="1"/>
    </xf>
    <xf numFmtId="49" fontId="19" fillId="0" borderId="2" xfId="51" applyNumberFormat="1" applyFont="1" applyFill="1" applyBorder="1" applyAlignment="1" applyProtection="1">
      <alignment horizontal="center" vertical="center" wrapText="1" shrinkToFit="1"/>
      <protection locked="0"/>
    </xf>
    <xf numFmtId="0" fontId="19" fillId="0" borderId="1" xfId="0" applyFont="1" applyFill="1" applyBorder="1" applyAlignment="1" applyProtection="1">
      <alignment horizontal="center" vertical="center" wrapText="1"/>
    </xf>
    <xf numFmtId="180" fontId="19" fillId="0" borderId="2" xfId="0" applyNumberFormat="1" applyFont="1" applyFill="1" applyBorder="1" applyAlignment="1">
      <alignment horizontal="center" vertical="center" wrapText="1"/>
    </xf>
    <xf numFmtId="0" fontId="19" fillId="0" borderId="2" xfId="0" applyFont="1" applyFill="1" applyBorder="1" applyAlignment="1" applyProtection="1">
      <alignment horizontal="center" vertical="center" wrapText="1"/>
    </xf>
    <xf numFmtId="0" fontId="19" fillId="0" borderId="2" xfId="51" applyFont="1" applyFill="1" applyBorder="1" applyAlignment="1" applyProtection="1">
      <alignment horizontal="center" vertical="center" wrapText="1" shrinkToFit="1"/>
      <protection locked="0"/>
    </xf>
    <xf numFmtId="179" fontId="25" fillId="0" borderId="1" xfId="51" applyNumberFormat="1" applyFont="1" applyFill="1" applyBorder="1" applyAlignment="1" applyProtection="1">
      <alignment horizontal="center" vertical="center" shrinkToFit="1"/>
    </xf>
    <xf numFmtId="0" fontId="19" fillId="0" borderId="0" xfId="0" applyNumberFormat="1" applyFont="1" applyFill="1" applyBorder="1" applyAlignment="1" applyProtection="1">
      <alignment horizontal="center" vertical="center" wrapText="1"/>
      <protection locked="0"/>
    </xf>
    <xf numFmtId="181" fontId="19" fillId="0" borderId="7" xfId="0" applyNumberFormat="1" applyFont="1" applyFill="1" applyBorder="1" applyAlignment="1" applyProtection="1">
      <alignment horizontal="center" vertical="center" wrapText="1" shrinkToFit="1"/>
    </xf>
    <xf numFmtId="181" fontId="19" fillId="0" borderId="7" xfId="0" applyNumberFormat="1" applyFont="1" applyFill="1" applyBorder="1" applyAlignment="1" applyProtection="1">
      <alignment horizontal="center" vertical="center" wrapText="1" shrinkToFit="1"/>
      <protection locked="0"/>
    </xf>
    <xf numFmtId="180" fontId="19" fillId="0" borderId="5" xfId="0" applyNumberFormat="1" applyFont="1" applyFill="1" applyBorder="1" applyAlignment="1">
      <alignment horizontal="center" vertical="center" wrapText="1"/>
    </xf>
    <xf numFmtId="0" fontId="19" fillId="0" borderId="5" xfId="0" applyFont="1" applyFill="1" applyBorder="1" applyAlignment="1" applyProtection="1">
      <alignment horizontal="center" vertical="center"/>
    </xf>
    <xf numFmtId="180" fontId="19" fillId="0" borderId="5" xfId="0" applyNumberFormat="1" applyFont="1" applyFill="1" applyBorder="1" applyAlignment="1" applyProtection="1">
      <alignment horizontal="center" vertical="center" shrinkToFit="1"/>
    </xf>
    <xf numFmtId="0" fontId="19" fillId="0" borderId="5" xfId="51" applyFont="1" applyFill="1" applyBorder="1" applyAlignment="1" applyProtection="1">
      <alignment horizontal="center" vertical="center" wrapText="1" shrinkToFit="1"/>
    </xf>
    <xf numFmtId="177" fontId="19" fillId="0" borderId="5" xfId="51" applyNumberFormat="1" applyFont="1" applyFill="1" applyBorder="1" applyAlignment="1" applyProtection="1">
      <alignment horizontal="center" vertical="center" wrapText="1" shrinkToFit="1"/>
    </xf>
    <xf numFmtId="0" fontId="19" fillId="0" borderId="5" xfId="51" applyFont="1" applyFill="1" applyBorder="1" applyAlignment="1" applyProtection="1">
      <alignment horizontal="center" vertical="center" shrinkToFit="1"/>
    </xf>
    <xf numFmtId="182" fontId="19" fillId="0" borderId="8" xfId="0" applyNumberFormat="1" applyFont="1" applyFill="1" applyBorder="1" applyAlignment="1" applyProtection="1">
      <alignment horizontal="center" vertical="center" wrapText="1"/>
    </xf>
    <xf numFmtId="181" fontId="19" fillId="0" borderId="5" xfId="0" applyNumberFormat="1" applyFont="1" applyFill="1" applyBorder="1" applyAlignment="1" applyProtection="1">
      <alignment horizontal="center" vertical="center" shrinkToFit="1"/>
    </xf>
    <xf numFmtId="180" fontId="19" fillId="0" borderId="5" xfId="0" applyNumberFormat="1" applyFont="1" applyFill="1" applyBorder="1" applyAlignment="1" applyProtection="1">
      <alignment horizontal="center" vertical="center" shrinkToFit="1"/>
      <protection locked="0"/>
    </xf>
    <xf numFmtId="180" fontId="19" fillId="0" borderId="9" xfId="0" applyNumberFormat="1" applyFont="1" applyFill="1" applyBorder="1" applyAlignment="1" applyProtection="1">
      <alignment horizontal="center" vertical="center" shrinkToFit="1"/>
    </xf>
    <xf numFmtId="0" fontId="19" fillId="0" borderId="8" xfId="0" applyFont="1" applyFill="1" applyBorder="1" applyAlignment="1" applyProtection="1">
      <alignment horizontal="center" vertical="center"/>
      <protection locked="0"/>
    </xf>
    <xf numFmtId="0" fontId="19" fillId="0" borderId="5" xfId="0" applyNumberFormat="1" applyFont="1" applyFill="1" applyBorder="1" applyAlignment="1" applyProtection="1">
      <alignment horizontal="center" vertical="center" wrapText="1"/>
      <protection locked="0"/>
    </xf>
    <xf numFmtId="180" fontId="19" fillId="0" borderId="5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0" borderId="5" xfId="51" applyNumberFormat="1" applyFont="1" applyFill="1" applyBorder="1" applyAlignment="1" applyProtection="1">
      <alignment horizontal="center" vertical="center" wrapText="1" shrinkToFit="1"/>
      <protection locked="0"/>
    </xf>
    <xf numFmtId="0" fontId="19" fillId="0" borderId="5" xfId="51" applyFont="1" applyFill="1" applyBorder="1" applyAlignment="1" applyProtection="1">
      <alignment horizontal="center" vertical="center" wrapText="1" shrinkToFit="1"/>
      <protection locked="0"/>
    </xf>
    <xf numFmtId="178" fontId="19" fillId="0" borderId="5" xfId="0" applyNumberFormat="1" applyFont="1" applyFill="1" applyBorder="1" applyAlignment="1" applyProtection="1">
      <alignment horizontal="center" vertical="center" wrapText="1"/>
    </xf>
    <xf numFmtId="179" fontId="19" fillId="0" borderId="4" xfId="51" applyNumberFormat="1" applyFont="1" applyFill="1" applyBorder="1" applyAlignment="1" applyProtection="1">
      <alignment horizontal="center" vertical="center" wrapText="1" shrinkToFit="1"/>
    </xf>
    <xf numFmtId="179" fontId="19" fillId="0" borderId="4" xfId="0" applyNumberFormat="1" applyFont="1" applyFill="1" applyBorder="1" applyAlignment="1" applyProtection="1">
      <alignment horizontal="center" vertical="center" wrapText="1"/>
    </xf>
    <xf numFmtId="0" fontId="19" fillId="0" borderId="5" xfId="0" applyFont="1" applyFill="1" applyBorder="1" applyAlignment="1" applyProtection="1">
      <alignment horizontal="center" vertical="center"/>
      <protection locked="0"/>
    </xf>
    <xf numFmtId="58" fontId="19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5" xfId="0" applyFont="1" applyFill="1" applyBorder="1" applyAlignment="1" applyProtection="1">
      <alignment horizontal="center" vertical="center" wrapText="1"/>
      <protection locked="0"/>
    </xf>
    <xf numFmtId="0" fontId="12" fillId="0" borderId="5" xfId="0" applyNumberFormat="1" applyFont="1" applyFill="1" applyBorder="1" applyAlignment="1" applyProtection="1">
      <alignment horizontal="center" vertical="center"/>
      <protection locked="0"/>
    </xf>
    <xf numFmtId="0" fontId="12" fillId="0" borderId="5" xfId="0" applyFont="1" applyFill="1" applyBorder="1" applyAlignment="1" applyProtection="1">
      <alignment horizontal="center" vertical="center"/>
      <protection locked="0"/>
    </xf>
    <xf numFmtId="181" fontId="19" fillId="0" borderId="1" xfId="0" applyNumberFormat="1" applyFont="1" applyFill="1" applyBorder="1" applyAlignment="1" applyProtection="1">
      <alignment horizontal="center" vertical="center" wrapText="1" shrinkToFit="1"/>
    </xf>
    <xf numFmtId="0" fontId="19" fillId="0" borderId="0" xfId="0" applyFont="1" applyFill="1" applyBorder="1" applyAlignment="1" applyProtection="1">
      <alignment horizontal="center" vertical="center"/>
    </xf>
    <xf numFmtId="181" fontId="19" fillId="0" borderId="2" xfId="0" applyNumberFormat="1" applyFont="1" applyFill="1" applyBorder="1" applyAlignment="1" applyProtection="1">
      <alignment horizontal="center" vertical="center" shrinkToFit="1"/>
      <protection locked="0"/>
    </xf>
    <xf numFmtId="181" fontId="19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19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 applyProtection="1">
      <alignment horizontal="center" vertical="center"/>
      <protection locked="0"/>
    </xf>
    <xf numFmtId="0" fontId="19" fillId="0" borderId="2" xfId="51" applyFont="1" applyFill="1" applyBorder="1" applyAlignment="1" applyProtection="1">
      <alignment horizontal="center" vertical="center" shrinkToFit="1"/>
      <protection locked="0"/>
    </xf>
    <xf numFmtId="182" fontId="19" fillId="0" borderId="1" xfId="0" applyNumberFormat="1" applyFont="1" applyFill="1" applyBorder="1" applyAlignment="1" applyProtection="1">
      <alignment horizontal="center" vertical="center" wrapText="1"/>
      <protection locked="0"/>
    </xf>
    <xf numFmtId="181" fontId="19" fillId="0" borderId="2" xfId="0" applyNumberFormat="1" applyFont="1" applyFill="1" applyBorder="1" applyAlignment="1" applyProtection="1">
      <alignment horizontal="center" vertical="center" wrapText="1" shrinkToFit="1"/>
    </xf>
    <xf numFmtId="0" fontId="19" fillId="0" borderId="2" xfId="0" applyFont="1" applyFill="1" applyBorder="1" applyAlignment="1">
      <alignment horizontal="center" vertical="center" wrapText="1"/>
    </xf>
    <xf numFmtId="180" fontId="19" fillId="0" borderId="2" xfId="0" applyNumberFormat="1" applyFont="1" applyFill="1" applyBorder="1" applyAlignment="1">
      <alignment horizontal="center" vertical="center" shrinkToFit="1"/>
    </xf>
    <xf numFmtId="0" fontId="14" fillId="0" borderId="0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17" fillId="0" borderId="8" xfId="0" applyFont="1" applyFill="1" applyBorder="1" applyAlignment="1" applyProtection="1">
      <alignment horizontal="center" vertical="center"/>
      <protection locked="0"/>
    </xf>
    <xf numFmtId="0" fontId="17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  <xf numFmtId="177" fontId="17" fillId="0" borderId="0" xfId="0" applyNumberFormat="1" applyFont="1" applyFill="1" applyBorder="1" applyAlignment="1">
      <alignment horizontal="center" vertical="center" wrapText="1"/>
    </xf>
    <xf numFmtId="181" fontId="17" fillId="0" borderId="0" xfId="0" applyNumberFormat="1" applyFont="1" applyFill="1" applyBorder="1" applyAlignment="1">
      <alignment horizontal="center" vertical="center" wrapText="1"/>
    </xf>
    <xf numFmtId="178" fontId="17" fillId="0" borderId="0" xfId="0" applyNumberFormat="1" applyFont="1" applyFill="1" applyBorder="1" applyAlignment="1">
      <alignment horizontal="center" vertical="center" wrapText="1"/>
    </xf>
    <xf numFmtId="179" fontId="17" fillId="0" borderId="0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/>
    </xf>
    <xf numFmtId="180" fontId="9" fillId="0" borderId="1" xfId="0" applyNumberFormat="1" applyFont="1" applyFill="1" applyBorder="1" applyAlignment="1">
      <alignment horizontal="center" vertical="center" wrapText="1" shrinkToFit="1"/>
    </xf>
    <xf numFmtId="180" fontId="9" fillId="0" borderId="1" xfId="0" applyNumberFormat="1" applyFont="1" applyFill="1" applyBorder="1" applyAlignment="1" applyProtection="1">
      <alignment horizontal="center" vertical="center" wrapText="1" shrinkToFit="1"/>
    </xf>
    <xf numFmtId="181" fontId="9" fillId="0" borderId="1" xfId="52" applyNumberFormat="1" applyFont="1" applyFill="1" applyBorder="1" applyAlignment="1" applyProtection="1">
      <alignment horizontal="center" vertical="center"/>
    </xf>
    <xf numFmtId="0" fontId="9" fillId="0" borderId="1" xfId="52" applyFont="1" applyFill="1" applyBorder="1" applyAlignment="1" applyProtection="1">
      <alignment horizontal="center" vertical="center" wrapText="1"/>
    </xf>
    <xf numFmtId="177" fontId="9" fillId="0" borderId="1" xfId="52" applyNumberFormat="1" applyFont="1" applyFill="1" applyBorder="1" applyAlignment="1" applyProtection="1">
      <alignment horizontal="center" vertical="center" wrapText="1"/>
    </xf>
    <xf numFmtId="0" fontId="9" fillId="0" borderId="1" xfId="52" applyFont="1" applyFill="1" applyBorder="1" applyAlignment="1" applyProtection="1">
      <alignment horizontal="center" vertical="center"/>
    </xf>
    <xf numFmtId="0" fontId="9" fillId="0" borderId="1" xfId="52" applyFont="1" applyFill="1" applyBorder="1" applyAlignment="1" applyProtection="1">
      <alignment horizontal="center" vertical="center" wrapText="1" shrinkToFit="1"/>
      <protection locked="0"/>
    </xf>
    <xf numFmtId="0" fontId="14" fillId="0" borderId="1" xfId="52" applyFont="1" applyFill="1" applyBorder="1" applyAlignment="1" applyProtection="1">
      <alignment horizontal="center" vertical="center"/>
    </xf>
    <xf numFmtId="181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52" applyFont="1" applyFill="1" applyBorder="1" applyAlignment="1" applyProtection="1">
      <alignment horizontal="center" vertical="center" wrapText="1"/>
      <protection locked="0"/>
    </xf>
    <xf numFmtId="0" fontId="9" fillId="0" borderId="1" xfId="51" applyFont="1" applyFill="1" applyBorder="1" applyAlignment="1" applyProtection="1">
      <alignment horizontal="center" vertical="center" wrapText="1" shrinkToFit="1"/>
      <protection locked="0"/>
    </xf>
    <xf numFmtId="0" fontId="20" fillId="0" borderId="1" xfId="52" applyFont="1" applyFill="1" applyBorder="1" applyAlignment="1" applyProtection="1">
      <alignment horizontal="center" vertical="center"/>
    </xf>
    <xf numFmtId="0" fontId="9" fillId="0" borderId="1" xfId="52" applyFont="1" applyFill="1" applyBorder="1" applyAlignment="1" applyProtection="1">
      <alignment horizontal="center" vertical="center"/>
      <protection locked="0"/>
    </xf>
    <xf numFmtId="180" fontId="14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0" fontId="2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0" fontId="13" fillId="0" borderId="8" xfId="0" applyNumberFormat="1" applyFont="1" applyFill="1" applyBorder="1" applyAlignment="1" applyProtection="1">
      <alignment horizontal="center" vertical="center" shrinkToFit="1"/>
    </xf>
    <xf numFmtId="180" fontId="13" fillId="0" borderId="8" xfId="0" applyNumberFormat="1" applyFont="1" applyFill="1" applyBorder="1" applyAlignment="1" applyProtection="1">
      <alignment horizontal="center" vertical="center" wrapText="1" shrinkToFit="1"/>
      <protection locked="0"/>
    </xf>
    <xf numFmtId="0" fontId="13" fillId="0" borderId="8" xfId="0" applyFont="1" applyFill="1" applyBorder="1" applyAlignment="1" applyProtection="1">
      <alignment horizontal="center" vertical="center"/>
    </xf>
    <xf numFmtId="0" fontId="13" fillId="0" borderId="8" xfId="51" applyFont="1" applyFill="1" applyBorder="1" applyAlignment="1" applyProtection="1">
      <alignment horizontal="center" vertical="center" wrapText="1" shrinkToFit="1"/>
    </xf>
    <xf numFmtId="0" fontId="13" fillId="0" borderId="8" xfId="51" applyFont="1" applyFill="1" applyBorder="1" applyAlignment="1" applyProtection="1">
      <alignment horizontal="center" vertical="center" shrinkToFit="1"/>
    </xf>
    <xf numFmtId="182" fontId="13" fillId="0" borderId="8" xfId="0" applyNumberFormat="1" applyFont="1" applyFill="1" applyBorder="1" applyAlignment="1" applyProtection="1">
      <alignment horizontal="center" vertical="center" wrapText="1"/>
    </xf>
    <xf numFmtId="180" fontId="13" fillId="0" borderId="8" xfId="0" applyNumberFormat="1" applyFont="1" applyFill="1" applyBorder="1" applyAlignment="1" applyProtection="1">
      <alignment horizontal="center" vertical="center" shrinkToFit="1"/>
      <protection locked="0"/>
    </xf>
    <xf numFmtId="0" fontId="13" fillId="0" borderId="8" xfId="0" applyNumberFormat="1" applyFont="1" applyFill="1" applyBorder="1" applyAlignment="1" applyProtection="1">
      <alignment horizontal="center" vertical="center" shrinkToFit="1"/>
    </xf>
    <xf numFmtId="0" fontId="13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8" xfId="51" applyNumberFormat="1" applyFont="1" applyFill="1" applyBorder="1" applyAlignment="1" applyProtection="1">
      <alignment horizontal="center" vertical="center" wrapText="1" shrinkToFit="1"/>
      <protection locked="0"/>
    </xf>
    <xf numFmtId="178" fontId="13" fillId="0" borderId="8" xfId="0" applyNumberFormat="1" applyFont="1" applyFill="1" applyBorder="1" applyAlignment="1" applyProtection="1">
      <alignment horizontal="center" vertical="center" wrapText="1"/>
    </xf>
    <xf numFmtId="179" fontId="13" fillId="0" borderId="8" xfId="51" applyNumberFormat="1" applyFont="1" applyFill="1" applyBorder="1" applyAlignment="1" applyProtection="1">
      <alignment horizontal="center" vertical="center" wrapText="1" shrinkToFit="1"/>
    </xf>
    <xf numFmtId="179" fontId="13" fillId="0" borderId="8" xfId="0" applyNumberFormat="1" applyFont="1" applyFill="1" applyBorder="1" applyAlignment="1" applyProtection="1">
      <alignment horizontal="center" vertical="center" wrapText="1"/>
    </xf>
    <xf numFmtId="0" fontId="16" fillId="0" borderId="8" xfId="0" applyNumberFormat="1" applyFont="1" applyFill="1" applyBorder="1" applyAlignment="1" applyProtection="1">
      <alignment horizontal="center" vertical="center"/>
    </xf>
    <xf numFmtId="58" fontId="13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8" xfId="0" applyFont="1" applyFill="1" applyBorder="1" applyAlignment="1" applyProtection="1">
      <alignment horizontal="center" vertical="center"/>
      <protection locked="0"/>
    </xf>
    <xf numFmtId="0" fontId="27" fillId="4" borderId="8" xfId="0" applyFont="1" applyFill="1" applyBorder="1" applyAlignment="1" applyProtection="1">
      <alignment horizontal="center" vertical="center"/>
      <protection locked="0"/>
    </xf>
    <xf numFmtId="58" fontId="13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NumberFormat="1" applyFont="1" applyFill="1" applyBorder="1" applyAlignment="1" applyProtection="1">
      <alignment horizontal="center" vertical="center" wrapText="1"/>
      <protection locked="0"/>
    </xf>
    <xf numFmtId="180" fontId="13" fillId="0" borderId="2" xfId="0" applyNumberFormat="1" applyFont="1" applyFill="1" applyBorder="1" applyAlignment="1">
      <alignment horizontal="center" vertical="center" wrapText="1"/>
    </xf>
    <xf numFmtId="177" fontId="13" fillId="0" borderId="2" xfId="51" applyNumberFormat="1" applyFont="1" applyFill="1" applyBorder="1" applyAlignment="1" applyProtection="1">
      <alignment horizontal="center" vertical="center" wrapText="1" shrinkToFit="1"/>
    </xf>
    <xf numFmtId="0" fontId="13" fillId="0" borderId="2" xfId="0" applyNumberFormat="1" applyFont="1" applyFill="1" applyBorder="1" applyAlignment="1" applyProtection="1">
      <alignment horizontal="center" vertical="center" shrinkToFit="1"/>
    </xf>
    <xf numFmtId="0" fontId="13" fillId="0" borderId="2" xfId="51" applyFont="1" applyFill="1" applyBorder="1" applyAlignment="1" applyProtection="1">
      <alignment horizontal="center" vertical="center" wrapText="1" shrinkToFit="1"/>
      <protection locked="0"/>
    </xf>
    <xf numFmtId="0" fontId="16" fillId="0" borderId="2" xfId="0" applyFont="1" applyFill="1" applyBorder="1" applyAlignment="1" applyProtection="1">
      <alignment horizontal="center" vertical="center"/>
    </xf>
    <xf numFmtId="0" fontId="27" fillId="4" borderId="5" xfId="0" applyFont="1" applyFill="1" applyBorder="1" applyAlignment="1" applyProtection="1">
      <alignment horizontal="center" vertical="center" wrapText="1"/>
      <protection locked="0"/>
    </xf>
    <xf numFmtId="58" fontId="1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2" xfId="0" applyFont="1" applyFill="1" applyBorder="1" applyAlignment="1" applyProtection="1">
      <alignment horizontal="center" vertical="center" wrapText="1"/>
    </xf>
    <xf numFmtId="0" fontId="27" fillId="4" borderId="5" xfId="0" applyFont="1" applyFill="1" applyBorder="1" applyAlignment="1" applyProtection="1">
      <alignment horizontal="center" vertical="center"/>
      <protection locked="0"/>
    </xf>
    <xf numFmtId="180" fontId="13" fillId="4" borderId="2" xfId="0" applyNumberFormat="1" applyFont="1" applyFill="1" applyBorder="1" applyAlignment="1" applyProtection="1">
      <alignment horizontal="center" vertical="center" shrinkToFit="1"/>
    </xf>
    <xf numFmtId="3" fontId="13" fillId="0" borderId="2" xfId="51" applyNumberFormat="1" applyFont="1" applyFill="1" applyBorder="1" applyAlignment="1" applyProtection="1">
      <alignment horizontal="center" vertical="center" shrinkToFit="1"/>
    </xf>
    <xf numFmtId="0" fontId="16" fillId="0" borderId="2" xfId="0" applyNumberFormat="1" applyFont="1" applyFill="1" applyBorder="1" applyAlignment="1" applyProtection="1">
      <alignment horizontal="center" vertical="center"/>
    </xf>
    <xf numFmtId="0" fontId="13" fillId="0" borderId="5" xfId="0" applyFont="1" applyFill="1" applyBorder="1" applyAlignment="1" applyProtection="1">
      <alignment horizontal="center" vertical="center"/>
      <protection locked="0"/>
    </xf>
    <xf numFmtId="58" fontId="27" fillId="4" borderId="5" xfId="0" applyNumberFormat="1" applyFont="1" applyFill="1" applyBorder="1" applyAlignment="1" applyProtection="1">
      <alignment horizontal="center" vertical="center"/>
      <protection locked="0"/>
    </xf>
    <xf numFmtId="180" fontId="27" fillId="0" borderId="2" xfId="0" applyNumberFormat="1" applyFont="1" applyFill="1" applyBorder="1" applyAlignment="1">
      <alignment horizontal="center" vertical="center" shrinkToFit="1"/>
    </xf>
    <xf numFmtId="180" fontId="27" fillId="0" borderId="2" xfId="0" applyNumberFormat="1" applyFont="1" applyFill="1" applyBorder="1" applyAlignment="1">
      <alignment horizontal="center" vertical="center" wrapText="1" shrinkToFit="1"/>
    </xf>
    <xf numFmtId="0" fontId="27" fillId="0" borderId="2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 wrapText="1" shrinkToFit="1"/>
    </xf>
    <xf numFmtId="177" fontId="27" fillId="0" borderId="2" xfId="0" applyNumberFormat="1" applyFont="1" applyFill="1" applyBorder="1" applyAlignment="1">
      <alignment horizontal="center" vertical="center" wrapText="1" shrinkToFit="1"/>
    </xf>
    <xf numFmtId="0" fontId="27" fillId="0" borderId="2" xfId="0" applyFont="1" applyFill="1" applyBorder="1" applyAlignment="1">
      <alignment horizontal="center" vertical="center" shrinkToFit="1"/>
    </xf>
    <xf numFmtId="182" fontId="27" fillId="0" borderId="1" xfId="0" applyNumberFormat="1" applyFont="1" applyFill="1" applyBorder="1" applyAlignment="1">
      <alignment horizontal="center" vertical="center" wrapText="1"/>
    </xf>
    <xf numFmtId="180" fontId="27" fillId="0" borderId="2" xfId="0" applyNumberFormat="1" applyFont="1" applyFill="1" applyBorder="1" applyAlignment="1" applyProtection="1">
      <alignment horizontal="center" vertical="center" shrinkToFit="1"/>
      <protection locked="0"/>
    </xf>
    <xf numFmtId="0" fontId="13" fillId="0" borderId="2" xfId="0" applyFont="1" applyFill="1" applyBorder="1" applyAlignment="1">
      <alignment horizontal="center" vertical="center"/>
    </xf>
    <xf numFmtId="58" fontId="27" fillId="0" borderId="2" xfId="0" applyNumberFormat="1" applyFont="1" applyFill="1" applyBorder="1" applyAlignment="1">
      <alignment horizontal="center" vertical="center"/>
    </xf>
    <xf numFmtId="0" fontId="27" fillId="0" borderId="2" xfId="0" applyFont="1" applyFill="1" applyBorder="1" applyAlignment="1" applyProtection="1">
      <alignment horizontal="center" vertical="center" wrapText="1" shrinkToFit="1"/>
      <protection locked="0"/>
    </xf>
    <xf numFmtId="0" fontId="27" fillId="0" borderId="1" xfId="0" applyFont="1" applyFill="1" applyBorder="1" applyAlignment="1" applyProtection="1">
      <alignment horizontal="center" vertical="center" wrapText="1" shrinkToFit="1"/>
      <protection locked="0"/>
    </xf>
    <xf numFmtId="178" fontId="27" fillId="0" borderId="2" xfId="0" applyNumberFormat="1" applyFont="1" applyFill="1" applyBorder="1" applyAlignment="1">
      <alignment horizontal="center" vertical="center" wrapText="1"/>
    </xf>
    <xf numFmtId="179" fontId="13" fillId="0" borderId="1" xfId="51" applyNumberFormat="1" applyFont="1" applyFill="1" applyBorder="1" applyAlignment="1" applyProtection="1">
      <alignment horizontal="center" vertical="center" wrapText="1" shrinkToFit="1"/>
      <protection locked="0"/>
    </xf>
    <xf numFmtId="179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58" fontId="27" fillId="0" borderId="2" xfId="0" applyNumberFormat="1" applyFont="1" applyFill="1" applyBorder="1" applyAlignment="1" applyProtection="1">
      <alignment horizontal="center" vertical="center"/>
      <protection locked="0"/>
    </xf>
    <xf numFmtId="0" fontId="27" fillId="0" borderId="1" xfId="0" applyFont="1" applyFill="1" applyBorder="1" applyAlignment="1" applyProtection="1">
      <alignment horizontal="center" vertical="center" wrapText="1"/>
      <protection locked="0"/>
    </xf>
    <xf numFmtId="0" fontId="27" fillId="0" borderId="2" xfId="0" applyFont="1" applyFill="1" applyBorder="1" applyAlignment="1" applyProtection="1">
      <alignment horizontal="center" vertical="center" wrapText="1"/>
      <protection locked="0"/>
    </xf>
    <xf numFmtId="0" fontId="27" fillId="0" borderId="2" xfId="0" applyFont="1" applyFill="1" applyBorder="1" applyAlignment="1" applyProtection="1">
      <alignment horizontal="center" vertical="center"/>
      <protection locked="0"/>
    </xf>
    <xf numFmtId="58" fontId="27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8" fillId="0" borderId="8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180" fontId="14" fillId="0" borderId="2" xfId="0" applyNumberFormat="1" applyFont="1" applyFill="1" applyBorder="1" applyAlignment="1" applyProtection="1">
      <alignment horizontal="center" vertical="center" shrinkToFit="1"/>
    </xf>
    <xf numFmtId="180" fontId="14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180" fontId="14" fillId="0" borderId="1" xfId="0" applyNumberFormat="1" applyFont="1" applyFill="1" applyBorder="1" applyAlignment="1" applyProtection="1">
      <alignment horizontal="center" vertical="center" shrinkToFit="1"/>
    </xf>
    <xf numFmtId="0" fontId="14" fillId="0" borderId="2" xfId="0" applyFont="1" applyFill="1" applyBorder="1" applyAlignment="1" applyProtection="1">
      <alignment horizontal="center" vertical="center"/>
    </xf>
    <xf numFmtId="0" fontId="14" fillId="0" borderId="2" xfId="51" applyFont="1" applyFill="1" applyBorder="1" applyAlignment="1" applyProtection="1">
      <alignment horizontal="center" vertical="center" wrapText="1" shrinkToFit="1"/>
    </xf>
    <xf numFmtId="0" fontId="14" fillId="2" borderId="2" xfId="51" applyFont="1" applyFill="1" applyBorder="1" applyAlignment="1" applyProtection="1">
      <alignment horizontal="center" vertical="center" shrinkToFit="1"/>
    </xf>
    <xf numFmtId="0" fontId="14" fillId="0" borderId="2" xfId="51" applyFont="1" applyFill="1" applyBorder="1" applyAlignment="1" applyProtection="1">
      <alignment horizontal="center" vertical="center" shrinkToFit="1"/>
    </xf>
    <xf numFmtId="182" fontId="14" fillId="0" borderId="1" xfId="0" applyNumberFormat="1" applyFont="1" applyFill="1" applyBorder="1" applyAlignment="1" applyProtection="1">
      <alignment horizontal="center" vertical="center" wrapText="1"/>
    </xf>
    <xf numFmtId="180" fontId="14" fillId="0" borderId="2" xfId="0" applyNumberFormat="1" applyFont="1" applyFill="1" applyBorder="1" applyAlignment="1" applyProtection="1">
      <alignment horizontal="center" vertical="center" shrinkToFit="1"/>
      <protection locked="0"/>
    </xf>
    <xf numFmtId="180" fontId="14" fillId="2" borderId="8" xfId="0" applyNumberFormat="1" applyFont="1" applyFill="1" applyBorder="1" applyAlignment="1" applyProtection="1">
      <alignment horizontal="center" vertical="center" shrinkToFit="1"/>
    </xf>
    <xf numFmtId="0" fontId="14" fillId="0" borderId="2" xfId="0" applyNumberFormat="1" applyFont="1" applyFill="1" applyBorder="1" applyAlignment="1" applyProtection="1">
      <alignment horizontal="center" vertical="center"/>
      <protection locked="0"/>
    </xf>
    <xf numFmtId="181" fontId="14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4" fillId="0" borderId="2" xfId="51" applyNumberFormat="1" applyFont="1" applyFill="1" applyBorder="1" applyAlignment="1" applyProtection="1">
      <alignment horizontal="center" vertical="center" wrapText="1" shrinkToFit="1"/>
      <protection locked="0"/>
    </xf>
    <xf numFmtId="0" fontId="14" fillId="0" borderId="2" xfId="51" applyNumberFormat="1" applyFont="1" applyFill="1" applyBorder="1" applyAlignment="1" applyProtection="1">
      <alignment horizontal="center" vertical="center" wrapText="1" shrinkToFit="1"/>
      <protection locked="0"/>
    </xf>
    <xf numFmtId="0" fontId="14" fillId="0" borderId="2" xfId="51" applyFont="1" applyFill="1" applyBorder="1" applyAlignment="1" applyProtection="1">
      <alignment horizontal="center" vertical="center" wrapText="1" shrinkToFit="1"/>
      <protection locked="0"/>
    </xf>
    <xf numFmtId="178" fontId="14" fillId="0" borderId="2" xfId="0" applyNumberFormat="1" applyFont="1" applyFill="1" applyBorder="1" applyAlignment="1" applyProtection="1">
      <alignment horizontal="center" vertical="center" wrapText="1"/>
    </xf>
    <xf numFmtId="179" fontId="14" fillId="0" borderId="1" xfId="51" applyNumberFormat="1" applyFont="1" applyFill="1" applyBorder="1" applyAlignment="1" applyProtection="1">
      <alignment horizontal="center" vertical="center" wrapText="1" shrinkToFit="1"/>
    </xf>
    <xf numFmtId="179" fontId="14" fillId="0" borderId="1" xfId="0" applyNumberFormat="1" applyFont="1" applyFill="1" applyBorder="1" applyAlignment="1" applyProtection="1">
      <alignment horizontal="center" vertical="center" wrapText="1"/>
    </xf>
    <xf numFmtId="0" fontId="29" fillId="0" borderId="2" xfId="0" applyNumberFormat="1" applyFont="1" applyFill="1" applyBorder="1" applyAlignment="1" applyProtection="1">
      <alignment horizontal="center" vertical="center"/>
    </xf>
    <xf numFmtId="58" fontId="14" fillId="0" borderId="2" xfId="0" applyNumberFormat="1" applyFont="1" applyFill="1" applyBorder="1" applyAlignment="1" applyProtection="1">
      <alignment horizontal="center" vertical="center"/>
      <protection locked="0"/>
    </xf>
    <xf numFmtId="58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" xfId="0" applyFont="1" applyFill="1" applyBorder="1" applyAlignment="1" applyProtection="1">
      <alignment horizontal="center" vertical="center"/>
      <protection locked="0"/>
    </xf>
    <xf numFmtId="0" fontId="14" fillId="0" borderId="2" xfId="0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 applyProtection="1">
      <alignment horizontal="center" vertical="center"/>
      <protection locked="0"/>
    </xf>
    <xf numFmtId="0" fontId="14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Fill="1" applyBorder="1" applyAlignment="1" applyProtection="1">
      <alignment horizontal="center" vertical="center"/>
      <protection locked="0"/>
    </xf>
    <xf numFmtId="0" fontId="12" fillId="0" borderId="2" xfId="0" applyFont="1" applyFill="1" applyBorder="1" applyAlignment="1">
      <alignment horizontal="center" vertical="center" wrapText="1"/>
    </xf>
    <xf numFmtId="180" fontId="9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 applyProtection="1">
      <alignment horizontal="center" vertical="center"/>
    </xf>
    <xf numFmtId="0" fontId="9" fillId="0" borderId="2" xfId="51" applyFont="1" applyFill="1" applyBorder="1" applyAlignment="1" applyProtection="1">
      <alignment horizontal="center" vertical="center" shrinkToFit="1"/>
    </xf>
    <xf numFmtId="177" fontId="9" fillId="0" borderId="2" xfId="51" applyNumberFormat="1" applyFont="1" applyFill="1" applyBorder="1" applyAlignment="1" applyProtection="1">
      <alignment horizontal="center" vertical="center" wrapText="1" shrinkToFit="1"/>
    </xf>
    <xf numFmtId="180" fontId="9" fillId="0" borderId="2" xfId="0" applyNumberFormat="1" applyFont="1" applyFill="1" applyBorder="1" applyAlignment="1" applyProtection="1">
      <alignment horizontal="center" vertical="center" shrinkToFit="1"/>
    </xf>
    <xf numFmtId="180" fontId="9" fillId="0" borderId="2" xfId="0" applyNumberFormat="1" applyFont="1" applyFill="1" applyBorder="1" applyAlignment="1" applyProtection="1">
      <alignment horizontal="center" vertical="center" shrinkToFit="1"/>
      <protection locked="0"/>
    </xf>
    <xf numFmtId="0" fontId="17" fillId="0" borderId="2" xfId="0" applyFont="1" applyFill="1" applyBorder="1" applyAlignment="1" applyProtection="1">
      <alignment horizontal="center" vertical="center"/>
      <protection locked="0"/>
    </xf>
    <xf numFmtId="49" fontId="9" fillId="0" borderId="2" xfId="51" applyNumberFormat="1" applyFont="1" applyFill="1" applyBorder="1" applyAlignment="1" applyProtection="1">
      <alignment horizontal="center" vertical="center" wrapText="1" shrinkToFit="1"/>
      <protection locked="0"/>
    </xf>
    <xf numFmtId="0" fontId="9" fillId="0" borderId="2" xfId="51" applyFont="1" applyFill="1" applyBorder="1" applyAlignment="1" applyProtection="1">
      <alignment horizontal="center" vertical="center" wrapText="1" shrinkToFit="1"/>
      <protection locked="0"/>
    </xf>
    <xf numFmtId="179" fontId="9" fillId="0" borderId="1" xfId="51" applyNumberFormat="1" applyFont="1" applyFill="1" applyBorder="1" applyAlignment="1" applyProtection="1">
      <alignment horizontal="center" vertical="center" wrapText="1" shrinkToFit="1"/>
    </xf>
    <xf numFmtId="179" fontId="9" fillId="0" borderId="1" xfId="0" applyNumberFormat="1" applyFont="1" applyFill="1" applyBorder="1" applyAlignment="1" applyProtection="1">
      <alignment horizontal="center" vertical="center" wrapText="1"/>
    </xf>
    <xf numFmtId="0" fontId="20" fillId="0" borderId="2" xfId="0" applyFont="1" applyFill="1" applyBorder="1" applyAlignment="1" applyProtection="1">
      <alignment horizontal="center" vertical="center"/>
    </xf>
    <xf numFmtId="0" fontId="17" fillId="0" borderId="2" xfId="0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30" fillId="0" borderId="8" xfId="0" applyFont="1" applyBorder="1" applyAlignment="1">
      <alignment horizontal="center" vertical="center"/>
    </xf>
    <xf numFmtId="0" fontId="13" fillId="0" borderId="2" xfId="51" applyFont="1" applyFill="1" applyBorder="1" applyAlignment="1" applyProtection="1">
      <alignment horizontal="center" vertical="center" shrinkToFit="1"/>
      <protection locked="0"/>
    </xf>
    <xf numFmtId="182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 applyProtection="1">
      <alignment horizontal="center" vertical="center"/>
    </xf>
    <xf numFmtId="180" fontId="9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9" fillId="0" borderId="2" xfId="51" applyFont="1" applyFill="1" applyBorder="1" applyAlignment="1" applyProtection="1">
      <alignment horizontal="center" vertical="center" wrapText="1" shrinkToFit="1"/>
    </xf>
    <xf numFmtId="0" fontId="14" fillId="0" borderId="1" xfId="51" applyFont="1" applyFill="1" applyBorder="1" applyAlignment="1" applyProtection="1">
      <alignment horizontal="center" vertical="center" wrapText="1" shrinkToFit="1"/>
    </xf>
    <xf numFmtId="0" fontId="9" fillId="2" borderId="1" xfId="51" applyFont="1" applyFill="1" applyBorder="1" applyAlignment="1" applyProtection="1">
      <alignment horizontal="center" vertical="center" shrinkToFit="1"/>
    </xf>
    <xf numFmtId="180" fontId="9" fillId="0" borderId="10" xfId="0" applyNumberFormat="1" applyFont="1" applyFill="1" applyBorder="1" applyAlignment="1" applyProtection="1">
      <alignment horizontal="center" vertical="center" shrinkToFit="1"/>
    </xf>
    <xf numFmtId="180" fontId="9" fillId="0" borderId="8" xfId="0" applyNumberFormat="1" applyFont="1" applyFill="1" applyBorder="1" applyAlignment="1" applyProtection="1">
      <alignment horizontal="center" vertical="center" shrinkToFit="1"/>
    </xf>
    <xf numFmtId="0" fontId="9" fillId="0" borderId="11" xfId="0" applyNumberFormat="1" applyFont="1" applyFill="1" applyBorder="1" applyAlignment="1" applyProtection="1">
      <alignment horizontal="center" vertical="center"/>
      <protection locked="0"/>
    </xf>
    <xf numFmtId="0" fontId="9" fillId="0" borderId="2" xfId="51" applyNumberFormat="1" applyFont="1" applyFill="1" applyBorder="1" applyAlignment="1" applyProtection="1">
      <alignment horizontal="center" vertical="center" wrapText="1" shrinkToFit="1"/>
      <protection locked="0"/>
    </xf>
    <xf numFmtId="58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Fill="1" applyBorder="1" applyAlignment="1" applyProtection="1">
      <alignment horizontal="center" vertical="center" wrapText="1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182" fontId="13" fillId="0" borderId="2" xfId="0" applyNumberFormat="1" applyFont="1" applyFill="1" applyBorder="1" applyAlignment="1" applyProtection="1">
      <alignment horizontal="center" vertical="center" wrapText="1"/>
    </xf>
    <xf numFmtId="180" fontId="13" fillId="0" borderId="10" xfId="0" applyNumberFormat="1" applyFont="1" applyFill="1" applyBorder="1" applyAlignment="1" applyProtection="1">
      <alignment horizontal="center" vertical="center" shrinkToFit="1"/>
    </xf>
    <xf numFmtId="0" fontId="13" fillId="0" borderId="11" xfId="0" applyFont="1" applyFill="1" applyBorder="1" applyAlignment="1" applyProtection="1">
      <alignment horizontal="center" vertical="center"/>
      <protection locked="0"/>
    </xf>
    <xf numFmtId="179" fontId="13" fillId="0" borderId="2" xfId="51" applyNumberFormat="1" applyFont="1" applyFill="1" applyBorder="1" applyAlignment="1" applyProtection="1">
      <alignment horizontal="center" vertical="center" wrapText="1" shrinkToFit="1"/>
    </xf>
    <xf numFmtId="179" fontId="13" fillId="0" borderId="2" xfId="0" applyNumberFormat="1" applyFont="1" applyFill="1" applyBorder="1" applyAlignment="1" applyProtection="1">
      <alignment horizontal="center" vertical="center" wrapText="1"/>
    </xf>
    <xf numFmtId="180" fontId="13" fillId="0" borderId="8" xfId="0" applyNumberFormat="1" applyFont="1" applyFill="1" applyBorder="1" applyAlignment="1">
      <alignment horizontal="center" vertical="center" wrapText="1"/>
    </xf>
    <xf numFmtId="177" fontId="13" fillId="0" borderId="8" xfId="51" applyNumberFormat="1" applyFont="1" applyFill="1" applyBorder="1" applyAlignment="1" applyProtection="1">
      <alignment horizontal="center" vertical="center" wrapText="1" shrinkToFit="1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49" fontId="13" fillId="0" borderId="12" xfId="51" applyNumberFormat="1" applyFont="1" applyFill="1" applyBorder="1" applyAlignment="1" applyProtection="1">
      <alignment horizontal="center" vertical="center" wrapText="1" shrinkToFit="1"/>
      <protection locked="0"/>
    </xf>
    <xf numFmtId="49" fontId="13" fillId="0" borderId="8" xfId="51" applyNumberFormat="1" applyFont="1" applyFill="1" applyBorder="1" applyAlignment="1" applyProtection="1">
      <alignment horizontal="center" vertical="center" wrapText="1" shrinkToFit="1"/>
      <protection locked="0"/>
    </xf>
    <xf numFmtId="0" fontId="13" fillId="0" borderId="8" xfId="51" applyFont="1" applyFill="1" applyBorder="1" applyAlignment="1" applyProtection="1">
      <alignment horizontal="center" vertical="center" wrapText="1" shrinkToFit="1"/>
      <protection locked="0"/>
    </xf>
    <xf numFmtId="0" fontId="16" fillId="0" borderId="8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 applyProtection="1">
      <alignment horizontal="center" vertical="center" wrapText="1"/>
      <protection locked="0"/>
    </xf>
    <xf numFmtId="180" fontId="9" fillId="0" borderId="8" xfId="0" applyNumberFormat="1" applyFont="1" applyFill="1" applyBorder="1" applyAlignment="1">
      <alignment horizontal="center" vertical="center" wrapText="1"/>
    </xf>
    <xf numFmtId="0" fontId="9" fillId="0" borderId="8" xfId="0" applyFont="1" applyFill="1" applyBorder="1" applyAlignment="1" applyProtection="1">
      <alignment horizontal="center" vertical="center" wrapText="1"/>
    </xf>
    <xf numFmtId="180" fontId="9" fillId="0" borderId="8" xfId="0" applyNumberFormat="1" applyFont="1" applyFill="1" applyBorder="1" applyAlignment="1" applyProtection="1">
      <alignment horizontal="center" vertical="center" wrapText="1" shrinkToFit="1"/>
      <protection locked="0"/>
    </xf>
    <xf numFmtId="0" fontId="9" fillId="0" borderId="8" xfId="0" applyFont="1" applyFill="1" applyBorder="1" applyAlignment="1" applyProtection="1">
      <alignment horizontal="center" vertical="center"/>
    </xf>
    <xf numFmtId="0" fontId="9" fillId="0" borderId="8" xfId="51" applyFont="1" applyFill="1" applyBorder="1" applyAlignment="1" applyProtection="1">
      <alignment horizontal="center" vertical="center" shrinkToFit="1"/>
    </xf>
    <xf numFmtId="0" fontId="14" fillId="0" borderId="8" xfId="51" applyFont="1" applyFill="1" applyBorder="1" applyAlignment="1" applyProtection="1">
      <alignment horizontal="center" vertical="center" wrapText="1" shrinkToFit="1"/>
    </xf>
    <xf numFmtId="177" fontId="9" fillId="2" borderId="8" xfId="51" applyNumberFormat="1" applyFont="1" applyFill="1" applyBorder="1" applyAlignment="1" applyProtection="1">
      <alignment horizontal="center" vertical="center" wrapText="1" shrinkToFit="1"/>
    </xf>
    <xf numFmtId="182" fontId="9" fillId="0" borderId="8" xfId="0" applyNumberFormat="1" applyFont="1" applyFill="1" applyBorder="1" applyAlignment="1" applyProtection="1">
      <alignment horizontal="center" vertical="center" wrapText="1"/>
    </xf>
    <xf numFmtId="180" fontId="9" fillId="0" borderId="8" xfId="0" applyNumberFormat="1" applyFont="1" applyFill="1" applyBorder="1" applyAlignment="1" applyProtection="1">
      <alignment horizontal="center" vertical="center" shrinkToFit="1"/>
      <protection locked="0"/>
    </xf>
    <xf numFmtId="0" fontId="17" fillId="0" borderId="12" xfId="0" applyFont="1" applyFill="1" applyBorder="1" applyAlignment="1" applyProtection="1">
      <alignment horizontal="center" vertical="center"/>
      <protection locked="0"/>
    </xf>
    <xf numFmtId="49" fontId="9" fillId="0" borderId="8" xfId="51" applyNumberFormat="1" applyFont="1" applyFill="1" applyBorder="1" applyAlignment="1" applyProtection="1">
      <alignment horizontal="center" vertical="center" wrapText="1" shrinkToFit="1"/>
      <protection locked="0"/>
    </xf>
    <xf numFmtId="0" fontId="9" fillId="0" borderId="8" xfId="0" applyFont="1" applyFill="1" applyBorder="1" applyAlignment="1">
      <alignment horizontal="center" vertical="center" wrapText="1"/>
    </xf>
    <xf numFmtId="0" fontId="9" fillId="0" borderId="8" xfId="51" applyFont="1" applyFill="1" applyBorder="1" applyAlignment="1" applyProtection="1">
      <alignment horizontal="center" vertical="center" wrapText="1" shrinkToFit="1"/>
      <protection locked="0"/>
    </xf>
    <xf numFmtId="178" fontId="9" fillId="0" borderId="8" xfId="0" applyNumberFormat="1" applyFont="1" applyFill="1" applyBorder="1" applyAlignment="1" applyProtection="1">
      <alignment horizontal="center" vertical="center" wrapText="1"/>
    </xf>
    <xf numFmtId="179" fontId="9" fillId="0" borderId="8" xfId="51" applyNumberFormat="1" applyFont="1" applyFill="1" applyBorder="1" applyAlignment="1" applyProtection="1">
      <alignment horizontal="center" vertical="center" wrapText="1" shrinkToFit="1"/>
    </xf>
    <xf numFmtId="179" fontId="9" fillId="0" borderId="8" xfId="0" applyNumberFormat="1" applyFont="1" applyFill="1" applyBorder="1" applyAlignment="1" applyProtection="1">
      <alignment horizontal="center" vertical="center" wrapText="1"/>
    </xf>
    <xf numFmtId="0" fontId="20" fillId="0" borderId="8" xfId="0" applyFont="1" applyFill="1" applyBorder="1" applyAlignment="1" applyProtection="1">
      <alignment horizontal="center" vertical="center"/>
    </xf>
    <xf numFmtId="0" fontId="14" fillId="0" borderId="8" xfId="0" applyFont="1" applyFill="1" applyBorder="1" applyAlignment="1" applyProtection="1">
      <alignment horizontal="center" vertical="center"/>
      <protection locked="0"/>
    </xf>
    <xf numFmtId="58" fontId="9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8" xfId="0" applyNumberFormat="1" applyFont="1" applyFill="1" applyBorder="1" applyAlignment="1" applyProtection="1">
      <alignment horizontal="center" vertical="center"/>
      <protection locked="0"/>
    </xf>
    <xf numFmtId="0" fontId="17" fillId="0" borderId="8" xfId="0" applyFont="1" applyFill="1" applyBorder="1" applyAlignment="1" applyProtection="1">
      <alignment horizontal="center" vertical="center" wrapText="1"/>
      <protection locked="0"/>
    </xf>
    <xf numFmtId="180" fontId="13" fillId="0" borderId="6" xfId="0" applyNumberFormat="1" applyFont="1" applyFill="1" applyBorder="1" applyAlignment="1" applyProtection="1">
      <alignment horizontal="center" vertical="center" shrinkToFit="1"/>
    </xf>
    <xf numFmtId="0" fontId="9" fillId="0" borderId="2" xfId="0" applyFont="1" applyFill="1" applyBorder="1" applyAlignment="1" applyProtection="1">
      <alignment horizontal="center" vertical="center" wrapText="1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49" fontId="9" fillId="0" borderId="1" xfId="51" applyNumberFormat="1" applyFont="1" applyFill="1" applyBorder="1" applyAlignment="1" applyProtection="1">
      <alignment horizontal="center" vertical="center" wrapText="1" shrinkToFit="1"/>
      <protection locked="0"/>
    </xf>
    <xf numFmtId="178" fontId="17" fillId="0" borderId="1" xfId="0" applyNumberFormat="1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 applyProtection="1">
      <alignment horizontal="center" vertical="center"/>
      <protection locked="0"/>
    </xf>
    <xf numFmtId="58" fontId="13" fillId="0" borderId="2" xfId="0" applyNumberFormat="1" applyFont="1" applyFill="1" applyBorder="1" applyAlignment="1" applyProtection="1">
      <alignment horizontal="center" vertical="center" shrinkToFit="1"/>
    </xf>
    <xf numFmtId="0" fontId="14" fillId="0" borderId="1" xfId="0" applyFont="1" applyFill="1" applyBorder="1" applyAlignment="1">
      <alignment horizontal="center" vertical="center" wrapText="1"/>
    </xf>
    <xf numFmtId="180" fontId="14" fillId="0" borderId="8" xfId="0" applyNumberFormat="1" applyFont="1" applyFill="1" applyBorder="1" applyAlignment="1" applyProtection="1">
      <alignment horizontal="center" vertical="center" wrapText="1" shrinkToFit="1"/>
      <protection locked="0"/>
    </xf>
    <xf numFmtId="0" fontId="14" fillId="0" borderId="8" xfId="0" applyFont="1" applyFill="1" applyBorder="1" applyAlignment="1" applyProtection="1">
      <alignment horizontal="center" vertical="center"/>
    </xf>
    <xf numFmtId="177" fontId="9" fillId="0" borderId="8" xfId="51" applyNumberFormat="1" applyFont="1" applyFill="1" applyBorder="1" applyAlignment="1" applyProtection="1">
      <alignment horizontal="center" vertical="center" wrapText="1" shrinkToFi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8" xfId="51" applyFont="1" applyFill="1" applyBorder="1" applyAlignment="1" applyProtection="1">
      <alignment horizontal="center" vertical="center" wrapText="1" shrinkToFit="1"/>
      <protection locked="0"/>
    </xf>
    <xf numFmtId="0" fontId="14" fillId="0" borderId="2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Fill="1" applyBorder="1" applyAlignment="1" applyProtection="1">
      <alignment horizontal="center" vertical="center"/>
      <protection locked="0"/>
    </xf>
    <xf numFmtId="180" fontId="9" fillId="0" borderId="6" xfId="0" applyNumberFormat="1" applyFont="1" applyFill="1" applyBorder="1" applyAlignment="1" applyProtection="1">
      <alignment horizontal="center" vertical="center" shrinkToFit="1"/>
    </xf>
    <xf numFmtId="58" fontId="17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2" xfId="51" applyFont="1" applyFill="1" applyBorder="1" applyAlignment="1" applyProtection="1">
      <alignment horizontal="center" vertical="center" shrinkToFit="1"/>
      <protection locked="0"/>
    </xf>
    <xf numFmtId="0" fontId="14" fillId="0" borderId="1" xfId="51" applyFont="1" applyFill="1" applyBorder="1" applyAlignment="1" applyProtection="1">
      <alignment horizontal="center" vertical="center" wrapText="1" shrinkToFit="1"/>
      <protection locked="0"/>
    </xf>
    <xf numFmtId="177" fontId="9" fillId="0" borderId="1" xfId="51" applyNumberFormat="1" applyFont="1" applyFill="1" applyBorder="1" applyAlignment="1" applyProtection="1">
      <alignment horizontal="center" vertical="center" wrapText="1" shrinkToFit="1"/>
      <protection locked="0"/>
    </xf>
    <xf numFmtId="0" fontId="9" fillId="0" borderId="8" xfId="51" applyFont="1" applyFill="1" applyBorder="1" applyAlignment="1" applyProtection="1">
      <alignment horizontal="center" vertical="center" shrinkToFit="1"/>
      <protection locked="0"/>
    </xf>
    <xf numFmtId="182" fontId="9" fillId="0" borderId="8" xfId="0" applyNumberFormat="1" applyFont="1" applyFill="1" applyBorder="1" applyAlignment="1" applyProtection="1">
      <alignment horizontal="center" vertical="center" wrapText="1"/>
      <protection locked="0"/>
    </xf>
    <xf numFmtId="181" fontId="17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8" xfId="0" applyFont="1" applyFill="1" applyBorder="1" applyAlignment="1" applyProtection="1">
      <alignment horizontal="center" vertical="center" wrapText="1"/>
      <protection locked="0"/>
    </xf>
    <xf numFmtId="178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9" fillId="0" borderId="8" xfId="51" applyNumberFormat="1" applyFont="1" applyFill="1" applyBorder="1" applyAlignment="1" applyProtection="1">
      <alignment horizontal="center" vertical="center" wrapText="1" shrinkToFit="1"/>
      <protection locked="0"/>
    </xf>
    <xf numFmtId="179" fontId="9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8" xfId="0" applyFont="1" applyFill="1" applyBorder="1" applyAlignment="1" applyProtection="1">
      <alignment horizontal="center" vertical="center"/>
      <protection locked="0"/>
    </xf>
    <xf numFmtId="180" fontId="18" fillId="0" borderId="8" xfId="0" applyNumberFormat="1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9" fillId="0" borderId="8" xfId="51" applyFont="1" applyFill="1" applyBorder="1" applyAlignment="1" applyProtection="1">
      <alignment horizontal="center" vertical="center" wrapText="1" shrinkToFit="1"/>
    </xf>
    <xf numFmtId="0" fontId="17" fillId="0" borderId="8" xfId="0" applyFont="1" applyFill="1" applyBorder="1" applyAlignment="1" applyProtection="1">
      <alignment horizontal="center" vertical="center" wrapText="1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81" fontId="9" fillId="0" borderId="8" xfId="0" applyNumberFormat="1" applyFont="1" applyFill="1" applyBorder="1" applyAlignment="1" applyProtection="1">
      <alignment horizontal="center" vertical="center" wrapText="1" shrinkToFit="1"/>
      <protection locked="0"/>
    </xf>
    <xf numFmtId="0" fontId="9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8" xfId="51" applyNumberFormat="1" applyFont="1" applyFill="1" applyBorder="1" applyAlignment="1" applyProtection="1">
      <alignment horizontal="center" vertical="center" wrapText="1" shrinkToFit="1"/>
      <protection locked="0"/>
    </xf>
    <xf numFmtId="179" fontId="17" fillId="0" borderId="8" xfId="0" applyNumberFormat="1" applyFont="1" applyFill="1" applyBorder="1" applyAlignment="1" applyProtection="1">
      <alignment horizontal="center" vertical="center" wrapText="1"/>
    </xf>
    <xf numFmtId="0" fontId="9" fillId="0" borderId="8" xfId="0" applyFont="1" applyFill="1" applyBorder="1" applyAlignment="1" applyProtection="1">
      <alignment horizontal="center" vertical="center"/>
      <protection locked="0"/>
    </xf>
    <xf numFmtId="0" fontId="9" fillId="0" borderId="8" xfId="0" applyFont="1" applyFill="1" applyBorder="1" applyAlignment="1" applyProtection="1">
      <alignment horizontal="center" vertical="center" wrapText="1"/>
      <protection locked="0"/>
    </xf>
    <xf numFmtId="180" fontId="9" fillId="0" borderId="4" xfId="0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 applyProtection="1">
      <alignment horizontal="center" vertical="center"/>
    </xf>
    <xf numFmtId="180" fontId="9" fillId="0" borderId="4" xfId="0" applyNumberFormat="1" applyFont="1" applyFill="1" applyBorder="1" applyAlignment="1" applyProtection="1">
      <alignment horizontal="center" vertical="center" shrinkToFit="1"/>
    </xf>
    <xf numFmtId="0" fontId="9" fillId="0" borderId="4" xfId="51" applyFont="1" applyFill="1" applyBorder="1" applyAlignment="1" applyProtection="1">
      <alignment horizontal="center" vertical="center" wrapText="1" shrinkToFit="1"/>
    </xf>
    <xf numFmtId="0" fontId="14" fillId="0" borderId="4" xfId="0" applyFont="1" applyFill="1" applyBorder="1" applyAlignment="1" applyProtection="1">
      <alignment horizontal="center" vertical="center" wrapText="1"/>
    </xf>
    <xf numFmtId="177" fontId="9" fillId="0" borderId="4" xfId="51" applyNumberFormat="1" applyFont="1" applyFill="1" applyBorder="1" applyAlignment="1" applyProtection="1">
      <alignment horizontal="center" vertical="center" wrapText="1" shrinkToFit="1"/>
    </xf>
    <xf numFmtId="0" fontId="9" fillId="0" borderId="4" xfId="51" applyFont="1" applyFill="1" applyBorder="1" applyAlignment="1" applyProtection="1">
      <alignment horizontal="center" vertical="center" shrinkToFit="1"/>
    </xf>
    <xf numFmtId="0" fontId="17" fillId="0" borderId="4" xfId="0" applyFont="1" applyFill="1" applyBorder="1" applyAlignment="1" applyProtection="1">
      <alignment horizontal="center" vertical="center" wrapText="1"/>
    </xf>
    <xf numFmtId="180" fontId="9" fillId="0" borderId="4" xfId="0" applyNumberFormat="1" applyFont="1" applyFill="1" applyBorder="1" applyAlignment="1" applyProtection="1">
      <alignment horizontal="center" vertical="center" shrinkToFit="1"/>
      <protection locked="0"/>
    </xf>
    <xf numFmtId="0" fontId="17" fillId="0" borderId="4" xfId="0" applyNumberFormat="1" applyFont="1" applyFill="1" applyBorder="1" applyAlignment="1" applyProtection="1">
      <alignment horizontal="center" vertical="center"/>
      <protection locked="0"/>
    </xf>
    <xf numFmtId="181" fontId="9" fillId="0" borderId="4" xfId="0" applyNumberFormat="1" applyFont="1" applyFill="1" applyBorder="1" applyAlignment="1" applyProtection="1">
      <alignment horizontal="center" vertical="center" wrapText="1" shrinkToFit="1"/>
      <protection locked="0"/>
    </xf>
    <xf numFmtId="0" fontId="17" fillId="0" borderId="4" xfId="0" applyNumberFormat="1" applyFont="1" applyFill="1" applyBorder="1" applyAlignment="1" applyProtection="1">
      <alignment horizontal="center" vertical="center" wrapText="1"/>
      <protection locked="0"/>
    </xf>
    <xf numFmtId="180" fontId="9" fillId="0" borderId="4" xfId="0" applyNumberFormat="1" applyFont="1" applyFill="1" applyBorder="1" applyAlignment="1" applyProtection="1">
      <alignment horizontal="center" vertical="center" wrapText="1" shrinkToFit="1"/>
      <protection locked="0"/>
    </xf>
    <xf numFmtId="0" fontId="9" fillId="0" borderId="4" xfId="51" applyNumberFormat="1" applyFont="1" applyFill="1" applyBorder="1" applyAlignment="1" applyProtection="1">
      <alignment horizontal="center" vertical="center" wrapText="1" shrinkToFit="1"/>
      <protection locked="0"/>
    </xf>
    <xf numFmtId="178" fontId="17" fillId="0" borderId="4" xfId="0" applyNumberFormat="1" applyFont="1" applyFill="1" applyBorder="1" applyAlignment="1" applyProtection="1">
      <alignment horizontal="center" vertical="center" wrapText="1"/>
    </xf>
    <xf numFmtId="179" fontId="17" fillId="0" borderId="4" xfId="0" applyNumberFormat="1" applyFont="1" applyFill="1" applyBorder="1" applyAlignment="1" applyProtection="1">
      <alignment horizontal="center" vertical="center" wrapText="1"/>
    </xf>
    <xf numFmtId="0" fontId="20" fillId="0" borderId="4" xfId="0" applyFont="1" applyFill="1" applyBorder="1" applyAlignment="1" applyProtection="1">
      <alignment horizontal="center" vertical="center"/>
    </xf>
    <xf numFmtId="0" fontId="9" fillId="0" borderId="4" xfId="0" applyFont="1" applyFill="1" applyBorder="1" applyAlignment="1" applyProtection="1">
      <alignment horizontal="center" vertical="center"/>
      <protection locked="0"/>
    </xf>
    <xf numFmtId="0" fontId="9" fillId="0" borderId="4" xfId="0" applyFont="1" applyFill="1" applyBorder="1" applyAlignment="1" applyProtection="1">
      <alignment horizontal="center" vertical="center" wrapText="1"/>
      <protection locked="0"/>
    </xf>
    <xf numFmtId="0" fontId="31" fillId="0" borderId="4" xfId="0" applyFont="1" applyFill="1" applyBorder="1" applyAlignment="1" applyProtection="1">
      <alignment horizontal="center" vertical="center" wrapText="1"/>
      <protection locked="0"/>
    </xf>
    <xf numFmtId="180" fontId="12" fillId="0" borderId="0" xfId="0" applyNumberFormat="1" applyFont="1" applyFill="1" applyBorder="1" applyAlignment="1">
      <alignment horizontal="center" vertical="center" wrapText="1"/>
    </xf>
    <xf numFmtId="180" fontId="9" fillId="0" borderId="0" xfId="0" applyNumberFormat="1" applyFont="1" applyFill="1" applyBorder="1" applyAlignment="1" applyProtection="1">
      <alignment horizontal="center" vertical="center" shrinkToFit="1"/>
    </xf>
    <xf numFmtId="0" fontId="9" fillId="0" borderId="0" xfId="0" applyFont="1" applyFill="1" applyBorder="1" applyAlignment="1" applyProtection="1">
      <alignment horizontal="center" vertical="center"/>
    </xf>
    <xf numFmtId="0" fontId="9" fillId="0" borderId="0" xfId="51" applyFont="1" applyFill="1" applyBorder="1" applyAlignment="1" applyProtection="1">
      <alignment horizontal="center" vertical="center" wrapText="1" shrinkToFit="1"/>
    </xf>
    <xf numFmtId="0" fontId="17" fillId="0" borderId="0" xfId="0" applyFont="1" applyFill="1" applyBorder="1" applyAlignment="1" applyProtection="1">
      <alignment horizontal="center" vertical="center" wrapText="1"/>
    </xf>
    <xf numFmtId="177" fontId="9" fillId="0" borderId="0" xfId="51" applyNumberFormat="1" applyFont="1" applyFill="1" applyBorder="1" applyAlignment="1" applyProtection="1">
      <alignment horizontal="center" vertical="center" wrapText="1" shrinkToFit="1"/>
    </xf>
    <xf numFmtId="0" fontId="9" fillId="0" borderId="0" xfId="51" applyFont="1" applyFill="1" applyBorder="1" applyAlignment="1" applyProtection="1">
      <alignment horizontal="center" vertical="center" shrinkToFit="1"/>
    </xf>
    <xf numFmtId="180" fontId="9" fillId="0" borderId="0" xfId="0" applyNumberFormat="1" applyFont="1" applyFill="1" applyBorder="1" applyAlignment="1" applyProtection="1">
      <alignment horizontal="center" vertical="center" shrinkToFit="1"/>
      <protection locked="0"/>
    </xf>
    <xf numFmtId="0" fontId="17" fillId="0" borderId="0" xfId="0" applyFont="1" applyFill="1" applyBorder="1" applyAlignment="1" applyProtection="1">
      <alignment horizontal="center" vertical="center"/>
      <protection locked="0"/>
    </xf>
    <xf numFmtId="181" fontId="9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0" fontId="17" fillId="0" borderId="0" xfId="0" applyFont="1" applyFill="1" applyBorder="1" applyAlignment="1" applyProtection="1">
      <alignment horizontal="center" vertical="center" wrapText="1"/>
      <protection locked="0"/>
    </xf>
    <xf numFmtId="180" fontId="9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49" fontId="9" fillId="0" borderId="0" xfId="51" applyNumberFormat="1" applyFont="1" applyFill="1" applyBorder="1" applyAlignment="1" applyProtection="1">
      <alignment horizontal="center" vertical="center" wrapText="1" shrinkToFit="1"/>
      <protection locked="0"/>
    </xf>
    <xf numFmtId="0" fontId="9" fillId="0" borderId="0" xfId="51" applyFont="1" applyFill="1" applyBorder="1" applyAlignment="1" applyProtection="1">
      <alignment horizontal="center" vertical="center" wrapText="1" shrinkToFit="1"/>
      <protection locked="0"/>
    </xf>
    <xf numFmtId="178" fontId="17" fillId="0" borderId="0" xfId="0" applyNumberFormat="1" applyFont="1" applyFill="1" applyBorder="1" applyAlignment="1" applyProtection="1">
      <alignment horizontal="center" vertical="center" wrapText="1"/>
    </xf>
    <xf numFmtId="179" fontId="9" fillId="0" borderId="0" xfId="51" applyNumberFormat="1" applyFont="1" applyFill="1" applyBorder="1" applyAlignment="1" applyProtection="1">
      <alignment horizontal="center" vertical="center" wrapText="1" shrinkToFit="1"/>
    </xf>
    <xf numFmtId="179" fontId="17" fillId="0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 vertical="center" wrapText="1"/>
      <protection locked="0"/>
    </xf>
    <xf numFmtId="180" fontId="9" fillId="0" borderId="0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20" fillId="0" borderId="0" xfId="51" applyFont="1" applyFill="1" applyBorder="1" applyAlignment="1" applyProtection="1">
      <alignment horizontal="center" vertical="center" shrinkToFit="1"/>
    </xf>
    <xf numFmtId="180" fontId="9" fillId="0" borderId="0" xfId="0" applyNumberFormat="1" applyFont="1" applyFill="1" applyAlignment="1">
      <alignment horizontal="left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51" applyNumberFormat="1" applyFont="1" applyFill="1" applyBorder="1" applyAlignment="1" applyProtection="1">
      <alignment horizontal="center" vertical="center" wrapText="1" shrinkToFit="1"/>
      <protection locked="0"/>
    </xf>
    <xf numFmtId="178" fontId="9" fillId="0" borderId="0" xfId="0" applyNumberFormat="1" applyFont="1" applyFill="1" applyBorder="1" applyAlignment="1" applyProtection="1">
      <alignment horizontal="center" vertical="center" wrapText="1"/>
    </xf>
    <xf numFmtId="182" fontId="9" fillId="0" borderId="0" xfId="0" applyNumberFormat="1" applyFont="1" applyFill="1" applyBorder="1" applyAlignment="1" applyProtection="1">
      <alignment horizontal="center" vertical="center" wrapText="1"/>
    </xf>
    <xf numFmtId="179" fontId="9" fillId="0" borderId="0" xfId="0" applyNumberFormat="1" applyFont="1" applyFill="1" applyBorder="1" applyAlignment="1" applyProtection="1">
      <alignment horizontal="center" vertical="center" wrapText="1"/>
    </xf>
    <xf numFmtId="58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180" fontId="18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180" fontId="9" fillId="0" borderId="1" xfId="0" applyNumberFormat="1" applyFont="1" applyFill="1" applyBorder="1" applyAlignment="1">
      <alignment horizontal="center" vertical="center" wrapText="1"/>
    </xf>
    <xf numFmtId="0" fontId="14" fillId="0" borderId="0" xfId="51" applyFont="1" applyFill="1" applyBorder="1" applyAlignment="1" applyProtection="1">
      <alignment horizontal="center" vertical="center" shrinkToFit="1"/>
    </xf>
    <xf numFmtId="179" fontId="20" fillId="0" borderId="0" xfId="51" applyNumberFormat="1" applyFont="1" applyFill="1" applyBorder="1" applyAlignment="1" applyProtection="1">
      <alignment horizontal="center" vertical="center" shrinkToFit="1"/>
    </xf>
    <xf numFmtId="181" fontId="17" fillId="0" borderId="0" xfId="0" applyNumberFormat="1" applyFont="1" applyFill="1" applyBorder="1" applyAlignment="1">
      <alignment horizontal="center" vertical="center"/>
    </xf>
    <xf numFmtId="181" fontId="9" fillId="0" borderId="1" xfId="0" applyNumberFormat="1" applyFont="1" applyFill="1" applyBorder="1" applyAlignment="1">
      <alignment horizontal="center" vertical="center" wrapText="1" shrinkToFit="1"/>
    </xf>
    <xf numFmtId="181" fontId="9" fillId="0" borderId="2" xfId="0" applyNumberFormat="1" applyFont="1" applyFill="1" applyBorder="1" applyAlignment="1" applyProtection="1">
      <alignment horizontal="center" vertical="center" shrinkToFit="1"/>
    </xf>
    <xf numFmtId="181" fontId="9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178" fontId="9" fillId="0" borderId="2" xfId="0" applyNumberFormat="1" applyFont="1" applyFill="1" applyBorder="1" applyAlignment="1" applyProtection="1">
      <alignment horizontal="center" vertical="center" wrapText="1"/>
    </xf>
    <xf numFmtId="0" fontId="15" fillId="0" borderId="1" xfId="0" applyFont="1" applyFill="1" applyBorder="1" applyAlignment="1" applyProtection="1">
      <alignment horizontal="center" vertical="center"/>
    </xf>
    <xf numFmtId="181" fontId="12" fillId="0" borderId="2" xfId="0" applyNumberFormat="1" applyFont="1" applyFill="1" applyBorder="1" applyAlignment="1" applyProtection="1">
      <alignment horizontal="center" vertical="center" shrinkToFit="1"/>
      <protection locked="0"/>
    </xf>
    <xf numFmtId="181" fontId="12" fillId="0" borderId="1" xfId="0" applyNumberFormat="1" applyFont="1" applyFill="1" applyBorder="1" applyAlignment="1" applyProtection="1">
      <alignment horizontal="center" vertical="center" shrinkToFit="1"/>
      <protection locked="0"/>
    </xf>
    <xf numFmtId="181" fontId="13" fillId="0" borderId="2" xfId="0" applyNumberFormat="1" applyFont="1" applyFill="1" applyBorder="1" applyAlignment="1" applyProtection="1">
      <alignment horizontal="center" vertical="center" shrinkToFit="1"/>
      <protection locked="0"/>
    </xf>
    <xf numFmtId="181" fontId="13" fillId="0" borderId="5" xfId="0" applyNumberFormat="1" applyFont="1" applyFill="1" applyBorder="1" applyAlignment="1" applyProtection="1">
      <alignment horizontal="center" vertical="center" shrinkToFit="1"/>
    </xf>
    <xf numFmtId="3" fontId="12" fillId="0" borderId="2" xfId="51" applyNumberFormat="1" applyFont="1" applyFill="1" applyBorder="1" applyAlignment="1" applyProtection="1">
      <alignment horizontal="center" vertical="center" shrinkToFit="1"/>
    </xf>
    <xf numFmtId="180" fontId="32" fillId="0" borderId="2" xfId="0" applyNumberFormat="1" applyFont="1" applyFill="1" applyBorder="1" applyAlignment="1">
      <alignment horizontal="center" vertical="center" shrinkToFit="1"/>
    </xf>
    <xf numFmtId="180" fontId="32" fillId="0" borderId="2" xfId="0" applyNumberFormat="1" applyFont="1" applyFill="1" applyBorder="1" applyAlignment="1">
      <alignment horizontal="center" vertical="center" wrapText="1" shrinkToFit="1"/>
    </xf>
    <xf numFmtId="0" fontId="32" fillId="0" borderId="2" xfId="0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center" vertical="center" wrapText="1" shrinkToFit="1"/>
    </xf>
    <xf numFmtId="177" fontId="32" fillId="0" borderId="2" xfId="0" applyNumberFormat="1" applyFont="1" applyFill="1" applyBorder="1" applyAlignment="1">
      <alignment horizontal="center" vertical="center" wrapText="1" shrinkToFit="1"/>
    </xf>
    <xf numFmtId="0" fontId="32" fillId="0" borderId="2" xfId="0" applyFont="1" applyFill="1" applyBorder="1" applyAlignment="1" applyProtection="1">
      <alignment horizontal="center" vertical="center" shrinkToFit="1"/>
      <protection locked="0"/>
    </xf>
    <xf numFmtId="182" fontId="32" fillId="0" borderId="1" xfId="0" applyNumberFormat="1" applyFont="1" applyFill="1" applyBorder="1" applyAlignment="1" applyProtection="1">
      <alignment horizontal="center" vertical="center" wrapText="1"/>
      <protection locked="0"/>
    </xf>
    <xf numFmtId="181" fontId="32" fillId="0" borderId="2" xfId="0" applyNumberFormat="1" applyFont="1" applyFill="1" applyBorder="1" applyAlignment="1">
      <alignment horizontal="center" vertical="center" shrinkToFit="1"/>
    </xf>
    <xf numFmtId="180" fontId="32" fillId="0" borderId="2" xfId="0" applyNumberFormat="1" applyFont="1" applyFill="1" applyBorder="1" applyAlignment="1" applyProtection="1">
      <alignment horizontal="center" vertical="center" shrinkToFit="1"/>
      <protection locked="0"/>
    </xf>
    <xf numFmtId="181" fontId="32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58" fontId="32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2" xfId="0" applyFont="1" applyFill="1" applyBorder="1" applyAlignment="1" applyProtection="1">
      <alignment horizontal="center" vertical="center" wrapText="1"/>
      <protection locked="0"/>
    </xf>
    <xf numFmtId="0" fontId="32" fillId="0" borderId="2" xfId="0" applyFont="1" applyFill="1" applyBorder="1" applyAlignment="1" applyProtection="1">
      <alignment horizontal="center" vertical="center" wrapText="1" shrinkToFit="1"/>
      <protection locked="0"/>
    </xf>
    <xf numFmtId="178" fontId="32" fillId="0" borderId="2" xfId="0" applyNumberFormat="1" applyFont="1" applyFill="1" applyBorder="1" applyAlignment="1">
      <alignment horizontal="center" vertical="center" wrapText="1"/>
    </xf>
    <xf numFmtId="179" fontId="12" fillId="0" borderId="1" xfId="51" applyNumberFormat="1" applyFont="1" applyFill="1" applyBorder="1" applyAlignment="1" applyProtection="1">
      <alignment horizontal="center" vertical="center" wrapText="1" shrinkToFit="1"/>
      <protection locked="0"/>
    </xf>
    <xf numFmtId="179" fontId="12" fillId="0" borderId="1" xfId="0" applyNumberFormat="1" applyFont="1" applyFill="1" applyBorder="1" applyAlignment="1" applyProtection="1">
      <alignment horizontal="center" vertical="center" wrapText="1"/>
      <protection locked="0"/>
    </xf>
    <xf numFmtId="58" fontId="32" fillId="0" borderId="2" xfId="0" applyNumberFormat="1" applyFont="1" applyFill="1" applyBorder="1" applyAlignment="1">
      <alignment horizontal="center" vertical="center"/>
    </xf>
    <xf numFmtId="58" fontId="32" fillId="0" borderId="2" xfId="0" applyNumberFormat="1" applyFont="1" applyFill="1" applyBorder="1" applyAlignment="1" applyProtection="1">
      <alignment horizontal="center" vertical="center"/>
      <protection locked="0"/>
    </xf>
    <xf numFmtId="0" fontId="32" fillId="0" borderId="1" xfId="0" applyFont="1" applyFill="1" applyBorder="1" applyAlignment="1" applyProtection="1">
      <alignment horizontal="center" vertical="center" wrapText="1"/>
      <protection locked="0"/>
    </xf>
    <xf numFmtId="0" fontId="32" fillId="0" borderId="2" xfId="0" applyFont="1" applyFill="1" applyBorder="1" applyAlignment="1" applyProtection="1">
      <alignment horizontal="center" vertical="center"/>
      <protection locked="0"/>
    </xf>
    <xf numFmtId="0" fontId="12" fillId="0" borderId="2" xfId="51" applyFont="1" applyFill="1" applyBorder="1" applyAlignment="1" applyProtection="1">
      <alignment horizontal="center" vertical="center" shrinkToFit="1"/>
      <protection locked="0"/>
    </xf>
    <xf numFmtId="182" fontId="1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" xfId="0" applyFont="1" applyFill="1" applyBorder="1" applyAlignment="1">
      <alignment horizontal="center" vertical="center"/>
    </xf>
    <xf numFmtId="181" fontId="13" fillId="0" borderId="2" xfId="0" applyNumberFormat="1" applyFont="1" applyFill="1" applyBorder="1" applyAlignment="1" applyProtection="1">
      <alignment horizontal="center" vertical="center" wrapText="1" shrinkToFit="1"/>
    </xf>
    <xf numFmtId="182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181" fontId="18" fillId="0" borderId="2" xfId="0" applyNumberFormat="1" applyFont="1" applyFill="1" applyBorder="1" applyAlignment="1" applyProtection="1">
      <alignment horizontal="center" vertical="center" shrinkToFit="1"/>
    </xf>
    <xf numFmtId="0" fontId="14" fillId="0" borderId="2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 applyProtection="1">
      <alignment horizontal="center" vertical="center"/>
      <protection locked="0"/>
    </xf>
    <xf numFmtId="182" fontId="1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8" xfId="51" applyFont="1" applyFill="1" applyBorder="1" applyAlignment="1" applyProtection="1">
      <alignment horizontal="center" vertical="center" shrinkToFit="1"/>
      <protection locked="0"/>
    </xf>
    <xf numFmtId="182" fontId="13" fillId="0" borderId="8" xfId="0" applyNumberFormat="1" applyFont="1" applyFill="1" applyBorder="1" applyAlignment="1" applyProtection="1">
      <alignment horizontal="center" vertical="center" wrapText="1"/>
      <protection locked="0"/>
    </xf>
    <xf numFmtId="181" fontId="13" fillId="0" borderId="8" xfId="0" applyNumberFormat="1" applyFont="1" applyFill="1" applyBorder="1" applyAlignment="1" applyProtection="1">
      <alignment horizontal="center" vertical="center" shrinkToFit="1"/>
    </xf>
    <xf numFmtId="181" fontId="13" fillId="0" borderId="8" xfId="0" applyNumberFormat="1" applyFont="1" applyFill="1" applyBorder="1" applyAlignment="1" applyProtection="1">
      <alignment horizontal="center" vertical="center" wrapText="1" shrinkToFit="1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180" fontId="13" fillId="0" borderId="5" xfId="0" applyNumberFormat="1" applyFont="1" applyFill="1" applyBorder="1" applyAlignment="1" applyProtection="1">
      <alignment horizontal="center" vertical="center" shrinkToFit="1"/>
    </xf>
    <xf numFmtId="180" fontId="13" fillId="0" borderId="5" xfId="0" applyNumberFormat="1" applyFont="1" applyFill="1" applyBorder="1" applyAlignment="1" applyProtection="1">
      <alignment horizontal="center" vertical="center" wrapText="1" shrinkToFit="1"/>
      <protection locked="0"/>
    </xf>
    <xf numFmtId="0" fontId="13" fillId="0" borderId="5" xfId="0" applyFont="1" applyFill="1" applyBorder="1" applyAlignment="1" applyProtection="1">
      <alignment horizontal="center" vertical="center"/>
    </xf>
    <xf numFmtId="0" fontId="13" fillId="0" borderId="5" xfId="51" applyFont="1" applyFill="1" applyBorder="1" applyAlignment="1" applyProtection="1">
      <alignment horizontal="center" vertical="center" wrapText="1" shrinkToFit="1"/>
    </xf>
    <xf numFmtId="3" fontId="13" fillId="0" borderId="5" xfId="51" applyNumberFormat="1" applyFont="1" applyFill="1" applyBorder="1" applyAlignment="1" applyProtection="1">
      <alignment horizontal="center" vertical="center" shrinkToFit="1"/>
    </xf>
    <xf numFmtId="0" fontId="13" fillId="0" borderId="5" xfId="51" applyFont="1" applyFill="1" applyBorder="1" applyAlignment="1" applyProtection="1">
      <alignment horizontal="center" vertical="center" shrinkToFit="1"/>
      <protection locked="0"/>
    </xf>
    <xf numFmtId="182" fontId="13" fillId="0" borderId="5" xfId="0" applyNumberFormat="1" applyFont="1" applyFill="1" applyBorder="1" applyAlignment="1" applyProtection="1">
      <alignment horizontal="center" vertical="center" wrapText="1"/>
      <protection locked="0"/>
    </xf>
    <xf numFmtId="181" fontId="13" fillId="0" borderId="5" xfId="0" applyNumberFormat="1" applyFont="1" applyFill="1" applyBorder="1" applyAlignment="1" applyProtection="1">
      <alignment horizontal="center" vertical="center" wrapText="1" shrinkToFit="1"/>
    </xf>
    <xf numFmtId="180" fontId="13" fillId="0" borderId="5" xfId="0" applyNumberFormat="1" applyFont="1" applyFill="1" applyBorder="1" applyAlignment="1" applyProtection="1">
      <alignment horizontal="center" vertical="center" shrinkToFit="1"/>
      <protection locked="0"/>
    </xf>
    <xf numFmtId="0" fontId="13" fillId="0" borderId="5" xfId="0" applyNumberFormat="1" applyFont="1" applyFill="1" applyBorder="1" applyAlignment="1" applyProtection="1">
      <alignment horizontal="center" vertical="center"/>
      <protection locked="0"/>
    </xf>
    <xf numFmtId="181" fontId="13" fillId="0" borderId="5" xfId="0" applyNumberFormat="1" applyFont="1" applyFill="1" applyBorder="1" applyAlignment="1" applyProtection="1">
      <alignment horizontal="center" vertical="center" wrapText="1" shrinkToFit="1"/>
      <protection locked="0"/>
    </xf>
    <xf numFmtId="0" fontId="13" fillId="0" borderId="5" xfId="0" applyNumberFormat="1" applyFont="1" applyFill="1" applyBorder="1" applyAlignment="1" applyProtection="1">
      <alignment horizontal="center" vertical="center" wrapText="1"/>
      <protection locked="0"/>
    </xf>
    <xf numFmtId="49" fontId="13" fillId="0" borderId="5" xfId="51" applyNumberFormat="1" applyFont="1" applyFill="1" applyBorder="1" applyAlignment="1" applyProtection="1">
      <alignment horizontal="center" vertical="center" wrapText="1" shrinkToFit="1"/>
      <protection locked="0"/>
    </xf>
    <xf numFmtId="0" fontId="13" fillId="0" borderId="5" xfId="51" applyNumberFormat="1" applyFont="1" applyFill="1" applyBorder="1" applyAlignment="1" applyProtection="1">
      <alignment horizontal="center" vertical="center" wrapText="1" shrinkToFit="1"/>
      <protection locked="0"/>
    </xf>
    <xf numFmtId="0" fontId="13" fillId="0" borderId="5" xfId="51" applyFont="1" applyFill="1" applyBorder="1" applyAlignment="1" applyProtection="1">
      <alignment horizontal="center" vertical="center" wrapText="1" shrinkToFit="1"/>
      <protection locked="0"/>
    </xf>
    <xf numFmtId="178" fontId="13" fillId="0" borderId="5" xfId="0" applyNumberFormat="1" applyFont="1" applyFill="1" applyBorder="1" applyAlignment="1" applyProtection="1">
      <alignment horizontal="center" vertical="center" wrapText="1"/>
    </xf>
    <xf numFmtId="179" fontId="13" fillId="0" borderId="5" xfId="51" applyNumberFormat="1" applyFont="1" applyFill="1" applyBorder="1" applyAlignment="1" applyProtection="1">
      <alignment horizontal="center" vertical="center" wrapText="1" shrinkToFit="1"/>
    </xf>
    <xf numFmtId="179" fontId="13" fillId="0" borderId="5" xfId="0" applyNumberFormat="1" applyFont="1" applyFill="1" applyBorder="1" applyAlignment="1" applyProtection="1">
      <alignment horizontal="center" vertical="center" wrapText="1"/>
    </xf>
    <xf numFmtId="0" fontId="16" fillId="0" borderId="5" xfId="0" applyNumberFormat="1" applyFont="1" applyFill="1" applyBorder="1" applyAlignment="1" applyProtection="1">
      <alignment horizontal="center" vertical="center"/>
    </xf>
    <xf numFmtId="58" fontId="13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5" xfId="0" applyFont="1" applyFill="1" applyBorder="1" applyAlignment="1" applyProtection="1">
      <alignment horizontal="center" vertical="center" wrapText="1"/>
      <protection locked="0"/>
    </xf>
    <xf numFmtId="0" fontId="13" fillId="0" borderId="9" xfId="0" applyNumberFormat="1" applyFont="1" applyFill="1" applyBorder="1" applyAlignment="1" applyProtection="1">
      <alignment horizontal="center" vertical="center"/>
      <protection locked="0"/>
    </xf>
    <xf numFmtId="0" fontId="13" fillId="0" borderId="8" xfId="0" applyNumberFormat="1" applyFont="1" applyFill="1" applyBorder="1" applyAlignment="1" applyProtection="1">
      <alignment horizontal="center" vertical="center" wrapText="1"/>
      <protection locked="0"/>
    </xf>
    <xf numFmtId="181" fontId="13" fillId="0" borderId="8" xfId="0" applyNumberFormat="1" applyFont="1" applyFill="1" applyBorder="1" applyAlignment="1" applyProtection="1">
      <alignment horizontal="center" vertical="center" wrapText="1" shrinkToFit="1"/>
    </xf>
    <xf numFmtId="0" fontId="13" fillId="0" borderId="8" xfId="0" applyFont="1" applyFill="1" applyBorder="1" applyAlignment="1" applyProtection="1">
      <alignment horizontal="center" vertical="center" wrapText="1"/>
    </xf>
    <xf numFmtId="178" fontId="13" fillId="2" borderId="8" xfId="0" applyNumberFormat="1" applyFont="1" applyFill="1" applyBorder="1" applyAlignment="1" applyProtection="1">
      <alignment horizontal="center" vertical="center" wrapText="1"/>
    </xf>
    <xf numFmtId="181" fontId="18" fillId="0" borderId="8" xfId="0" applyNumberFormat="1" applyFont="1" applyFill="1" applyBorder="1" applyAlignment="1" applyProtection="1">
      <alignment horizontal="center" vertical="center" shrinkToFit="1"/>
    </xf>
    <xf numFmtId="0" fontId="13" fillId="0" borderId="8" xfId="0" applyFont="1" applyFill="1" applyBorder="1" applyAlignment="1">
      <alignment horizontal="center" vertical="center" wrapText="1"/>
    </xf>
    <xf numFmtId="180" fontId="9" fillId="0" borderId="5" xfId="0" applyNumberFormat="1" applyFont="1" applyFill="1" applyBorder="1" applyAlignment="1" applyProtection="1">
      <alignment horizontal="center" vertical="center" shrinkToFit="1"/>
    </xf>
    <xf numFmtId="178" fontId="17" fillId="0" borderId="8" xfId="0" applyNumberFormat="1" applyFont="1" applyFill="1" applyBorder="1" applyAlignment="1" applyProtection="1">
      <alignment horizontal="center" vertical="center" wrapText="1"/>
    </xf>
    <xf numFmtId="0" fontId="17" fillId="0" borderId="13" xfId="0" applyFont="1" applyFill="1" applyBorder="1" applyAlignment="1" applyProtection="1">
      <alignment horizontal="center" vertical="center"/>
      <protection locked="0"/>
    </xf>
    <xf numFmtId="0" fontId="33" fillId="0" borderId="8" xfId="0" applyFont="1" applyFill="1" applyBorder="1" applyAlignment="1" applyProtection="1">
      <alignment horizontal="center" vertical="center" wrapText="1"/>
      <protection locked="0"/>
    </xf>
    <xf numFmtId="180" fontId="12" fillId="0" borderId="8" xfId="0" applyNumberFormat="1" applyFont="1" applyFill="1" applyBorder="1" applyAlignment="1">
      <alignment horizontal="center" vertical="center" wrapText="1"/>
    </xf>
    <xf numFmtId="0" fontId="12" fillId="0" borderId="8" xfId="0" applyFont="1" applyFill="1" applyBorder="1" applyAlignment="1" applyProtection="1">
      <alignment horizontal="center" vertical="center" wrapText="1"/>
    </xf>
    <xf numFmtId="180" fontId="12" fillId="0" borderId="8" xfId="0" applyNumberFormat="1" applyFont="1" applyFill="1" applyBorder="1" applyAlignment="1" applyProtection="1">
      <alignment horizontal="center" vertical="center" shrinkToFit="1"/>
    </xf>
    <xf numFmtId="0" fontId="12" fillId="0" borderId="8" xfId="0" applyFont="1" applyFill="1" applyBorder="1" applyAlignment="1" applyProtection="1">
      <alignment horizontal="center" vertical="center"/>
    </xf>
    <xf numFmtId="0" fontId="12" fillId="0" borderId="8" xfId="51" applyFont="1" applyFill="1" applyBorder="1" applyAlignment="1" applyProtection="1">
      <alignment horizontal="center" vertical="center" wrapText="1" shrinkToFit="1"/>
    </xf>
    <xf numFmtId="177" fontId="12" fillId="0" borderId="8" xfId="51" applyNumberFormat="1" applyFont="1" applyFill="1" applyBorder="1" applyAlignment="1" applyProtection="1">
      <alignment horizontal="center" vertical="center" wrapText="1" shrinkToFit="1"/>
    </xf>
    <xf numFmtId="0" fontId="12" fillId="0" borderId="8" xfId="51" applyFont="1" applyFill="1" applyBorder="1" applyAlignment="1" applyProtection="1">
      <alignment horizontal="center" vertical="center" shrinkToFit="1"/>
      <protection locked="0"/>
    </xf>
    <xf numFmtId="182" fontId="12" fillId="0" borderId="8" xfId="0" applyNumberFormat="1" applyFont="1" applyFill="1" applyBorder="1" applyAlignment="1" applyProtection="1">
      <alignment horizontal="center" vertical="center" wrapText="1"/>
      <protection locked="0"/>
    </xf>
    <xf numFmtId="180" fontId="12" fillId="0" borderId="5" xfId="0" applyNumberFormat="1" applyFont="1" applyFill="1" applyBorder="1" applyAlignment="1" applyProtection="1">
      <alignment horizontal="center" vertical="center" shrinkToFit="1"/>
    </xf>
    <xf numFmtId="180" fontId="12" fillId="0" borderId="8" xfId="0" applyNumberFormat="1" applyFont="1" applyFill="1" applyBorder="1" applyAlignment="1" applyProtection="1">
      <alignment horizontal="center" vertical="center" shrinkToFit="1"/>
      <protection locked="0"/>
    </xf>
    <xf numFmtId="0" fontId="12" fillId="0" borderId="8" xfId="0" applyFont="1" applyFill="1" applyBorder="1" applyAlignment="1" applyProtection="1">
      <alignment horizontal="center" vertical="center"/>
      <protection locked="0"/>
    </xf>
    <xf numFmtId="181" fontId="12" fillId="0" borderId="8" xfId="0" applyNumberFormat="1" applyFont="1" applyFill="1" applyBorder="1" applyAlignment="1" applyProtection="1">
      <alignment horizontal="center" vertical="center" wrapText="1" shrinkToFit="1"/>
      <protection locked="0"/>
    </xf>
    <xf numFmtId="0" fontId="12" fillId="0" borderId="8" xfId="0" applyNumberFormat="1" applyFont="1" applyFill="1" applyBorder="1" applyAlignment="1" applyProtection="1">
      <alignment horizontal="center" vertical="center" wrapText="1"/>
      <protection locked="0"/>
    </xf>
    <xf numFmtId="180" fontId="12" fillId="0" borderId="8" xfId="0" applyNumberFormat="1" applyFont="1" applyFill="1" applyBorder="1" applyAlignment="1" applyProtection="1">
      <alignment horizontal="center" vertical="center" wrapText="1" shrinkToFit="1"/>
      <protection locked="0"/>
    </xf>
    <xf numFmtId="0" fontId="12" fillId="0" borderId="8" xfId="51" applyFont="1" applyFill="1" applyBorder="1" applyAlignment="1" applyProtection="1">
      <alignment horizontal="center" vertical="center" wrapText="1" shrinkToFit="1"/>
      <protection locked="0"/>
    </xf>
    <xf numFmtId="178" fontId="12" fillId="0" borderId="8" xfId="0" applyNumberFormat="1" applyFont="1" applyFill="1" applyBorder="1" applyAlignment="1" applyProtection="1">
      <alignment horizontal="center" vertical="center" wrapText="1"/>
    </xf>
    <xf numFmtId="179" fontId="12" fillId="0" borderId="8" xfId="51" applyNumberFormat="1" applyFont="1" applyFill="1" applyBorder="1" applyAlignment="1" applyProtection="1">
      <alignment horizontal="center" vertical="center" wrapText="1" shrinkToFit="1"/>
    </xf>
    <xf numFmtId="179" fontId="12" fillId="0" borderId="8" xfId="0" applyNumberFormat="1" applyFont="1" applyFill="1" applyBorder="1" applyAlignment="1" applyProtection="1">
      <alignment horizontal="center" vertical="center" wrapText="1"/>
    </xf>
    <xf numFmtId="0" fontId="15" fillId="0" borderId="8" xfId="0" applyFont="1" applyFill="1" applyBorder="1" applyAlignment="1" applyProtection="1">
      <alignment horizontal="center" vertical="center"/>
    </xf>
    <xf numFmtId="58" fontId="12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8" xfId="0" applyFont="1" applyFill="1" applyBorder="1" applyAlignment="1" applyProtection="1">
      <alignment horizontal="center" vertical="center" wrapText="1"/>
      <protection locked="0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178" fontId="9" fillId="2" borderId="8" xfId="0" applyNumberFormat="1" applyFont="1" applyFill="1" applyBorder="1" applyAlignment="1" applyProtection="1">
      <alignment horizontal="center" vertical="center" wrapText="1"/>
    </xf>
    <xf numFmtId="58" fontId="17" fillId="0" borderId="8" xfId="0" applyNumberFormat="1" applyFont="1" applyFill="1" applyBorder="1" applyAlignment="1" applyProtection="1">
      <alignment horizontal="center" vertical="center" wrapText="1"/>
      <protection locked="0"/>
    </xf>
    <xf numFmtId="180" fontId="9" fillId="0" borderId="6" xfId="0" applyNumberFormat="1" applyFont="1" applyFill="1" applyBorder="1" applyAlignment="1">
      <alignment horizontal="center" vertical="center" wrapText="1"/>
    </xf>
    <xf numFmtId="0" fontId="9" fillId="0" borderId="6" xfId="0" applyFont="1" applyFill="1" applyBorder="1" applyAlignment="1" applyProtection="1">
      <alignment horizontal="center" vertical="center" wrapText="1"/>
    </xf>
    <xf numFmtId="0" fontId="9" fillId="0" borderId="6" xfId="0" applyFont="1" applyFill="1" applyBorder="1" applyAlignment="1" applyProtection="1">
      <alignment horizontal="center" vertical="center"/>
    </xf>
    <xf numFmtId="0" fontId="14" fillId="0" borderId="6" xfId="0" applyFont="1" applyFill="1" applyBorder="1" applyAlignment="1" applyProtection="1">
      <alignment horizontal="center" vertical="center"/>
    </xf>
    <xf numFmtId="0" fontId="9" fillId="0" borderId="6" xfId="51" applyFont="1" applyFill="1" applyBorder="1" applyAlignment="1" applyProtection="1">
      <alignment horizontal="center" vertical="center" wrapText="1" shrinkToFit="1"/>
    </xf>
    <xf numFmtId="0" fontId="14" fillId="0" borderId="4" xfId="51" applyFont="1" applyFill="1" applyBorder="1" applyAlignment="1" applyProtection="1">
      <alignment horizontal="center" vertical="center" wrapText="1" shrinkToFit="1"/>
    </xf>
    <xf numFmtId="0" fontId="9" fillId="0" borderId="6" xfId="51" applyFont="1" applyFill="1" applyBorder="1" applyAlignment="1" applyProtection="1">
      <alignment horizontal="center" vertical="center" shrinkToFit="1"/>
      <protection locked="0"/>
    </xf>
    <xf numFmtId="182" fontId="9" fillId="0" borderId="4" xfId="0" applyNumberFormat="1" applyFont="1" applyFill="1" applyBorder="1" applyAlignment="1" applyProtection="1">
      <alignment horizontal="center" vertical="center" wrapText="1"/>
      <protection locked="0"/>
    </xf>
    <xf numFmtId="180" fontId="9" fillId="0" borderId="6" xfId="0" applyNumberFormat="1" applyFont="1" applyFill="1" applyBorder="1" applyAlignment="1" applyProtection="1">
      <alignment horizontal="center" vertical="center" shrinkToFit="1"/>
      <protection locked="0"/>
    </xf>
    <xf numFmtId="0" fontId="17" fillId="0" borderId="6" xfId="0" applyFont="1" applyFill="1" applyBorder="1" applyAlignment="1" applyProtection="1">
      <alignment horizontal="center" vertical="center"/>
      <protection locked="0"/>
    </xf>
    <xf numFmtId="181" fontId="9" fillId="0" borderId="6" xfId="0" applyNumberFormat="1" applyFont="1" applyFill="1" applyBorder="1" applyAlignment="1" applyProtection="1">
      <alignment horizontal="center" vertical="center" wrapText="1" shrinkToFit="1"/>
      <protection locked="0"/>
    </xf>
    <xf numFmtId="49" fontId="9" fillId="0" borderId="4" xfId="51" applyNumberFormat="1" applyFont="1" applyFill="1" applyBorder="1" applyAlignment="1" applyProtection="1">
      <alignment horizontal="center" vertical="center" wrapText="1" shrinkToFit="1"/>
      <protection locked="0"/>
    </xf>
    <xf numFmtId="0" fontId="9" fillId="0" borderId="6" xfId="51" applyFont="1" applyFill="1" applyBorder="1" applyAlignment="1" applyProtection="1">
      <alignment horizontal="center" vertical="center" wrapText="1" shrinkToFit="1"/>
      <protection locked="0"/>
    </xf>
    <xf numFmtId="179" fontId="9" fillId="0" borderId="4" xfId="51" applyNumberFormat="1" applyFont="1" applyFill="1" applyBorder="1" applyAlignment="1" applyProtection="1">
      <alignment horizontal="center" vertical="center" wrapText="1" shrinkToFit="1"/>
    </xf>
    <xf numFmtId="179" fontId="9" fillId="0" borderId="4" xfId="0" applyNumberFormat="1" applyFont="1" applyFill="1" applyBorder="1" applyAlignment="1" applyProtection="1">
      <alignment horizontal="center" vertical="center" wrapText="1"/>
    </xf>
    <xf numFmtId="0" fontId="20" fillId="0" borderId="6" xfId="0" applyFont="1" applyFill="1" applyBorder="1" applyAlignment="1" applyProtection="1">
      <alignment horizontal="center" vertical="center"/>
    </xf>
    <xf numFmtId="0" fontId="9" fillId="0" borderId="6" xfId="0" applyFont="1" applyFill="1" applyBorder="1" applyAlignment="1" applyProtection="1">
      <alignment horizontal="center" vertical="center"/>
      <protection locked="0"/>
    </xf>
    <xf numFmtId="58" fontId="9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6" xfId="0" applyFont="1" applyFill="1" applyBorder="1" applyAlignment="1" applyProtection="1">
      <alignment horizontal="center" vertical="center" wrapText="1"/>
      <protection locked="0"/>
    </xf>
    <xf numFmtId="0" fontId="14" fillId="0" borderId="4" xfId="0" applyFont="1" applyFill="1" applyBorder="1" applyAlignment="1" applyProtection="1">
      <alignment horizontal="center" vertical="center"/>
      <protection locked="0"/>
    </xf>
    <xf numFmtId="0" fontId="12" fillId="0" borderId="6" xfId="0" applyNumberFormat="1" applyFont="1" applyFill="1" applyBorder="1" applyAlignment="1" applyProtection="1">
      <alignment horizontal="center" vertical="center"/>
      <protection locked="0"/>
    </xf>
    <xf numFmtId="0" fontId="17" fillId="0" borderId="6" xfId="0" applyFont="1" applyFill="1" applyBorder="1" applyAlignment="1" applyProtection="1">
      <alignment horizontal="center" vertical="center" wrapText="1"/>
      <protection locked="0"/>
    </xf>
    <xf numFmtId="180" fontId="9" fillId="0" borderId="5" xfId="0" applyNumberFormat="1" applyFont="1" applyFill="1" applyBorder="1" applyAlignment="1" applyProtection="1">
      <alignment horizontal="center" vertical="center" shrinkToFit="1"/>
      <protection locked="0"/>
    </xf>
    <xf numFmtId="0" fontId="14" fillId="0" borderId="8" xfId="0" applyNumberFormat="1" applyFont="1" applyFill="1" applyBorder="1" applyAlignment="1" applyProtection="1">
      <alignment horizontal="center" vertical="center" wrapText="1"/>
      <protection locked="0"/>
    </xf>
    <xf numFmtId="181" fontId="18" fillId="0" borderId="8" xfId="0" applyNumberFormat="1" applyFont="1" applyFill="1" applyBorder="1" applyAlignment="1" applyProtection="1">
      <alignment horizontal="center" vertical="center" shrinkToFit="1"/>
      <protection locked="0"/>
    </xf>
    <xf numFmtId="0" fontId="14" fillId="0" borderId="1" xfId="0" applyFont="1" applyFill="1" applyBorder="1" applyAlignment="1" applyProtection="1">
      <alignment horizontal="center" vertical="center"/>
    </xf>
    <xf numFmtId="182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179" fontId="9" fillId="0" borderId="2" xfId="51" applyNumberFormat="1" applyFont="1" applyFill="1" applyBorder="1" applyAlignment="1" applyProtection="1">
      <alignment horizontal="center" vertical="center" wrapText="1" shrinkToFit="1"/>
    </xf>
    <xf numFmtId="179" fontId="9" fillId="0" borderId="2" xfId="0" applyNumberFormat="1" applyFont="1" applyFill="1" applyBorder="1" applyAlignment="1" applyProtection="1">
      <alignment horizontal="center" vertical="center" wrapText="1"/>
    </xf>
    <xf numFmtId="0" fontId="14" fillId="0" borderId="3" xfId="0" applyFont="1" applyFill="1" applyBorder="1" applyAlignment="1" applyProtection="1">
      <alignment horizontal="center" vertical="center"/>
      <protection locked="0"/>
    </xf>
    <xf numFmtId="49" fontId="14" fillId="0" borderId="8" xfId="51" applyNumberFormat="1" applyFont="1" applyFill="1" applyBorder="1" applyAlignment="1" applyProtection="1">
      <alignment horizontal="center" vertical="center" wrapText="1" shrinkToFit="1"/>
      <protection locked="0"/>
    </xf>
    <xf numFmtId="58" fontId="9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Fill="1" applyBorder="1" applyAlignment="1" applyProtection="1">
      <alignment horizontal="center" vertical="center" wrapText="1"/>
      <protection locked="0"/>
    </xf>
    <xf numFmtId="58" fontId="9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0" xfId="0" applyFont="1" applyFill="1" applyBorder="1" applyAlignment="1" applyProtection="1">
      <alignment horizontal="center" vertical="center" wrapText="1"/>
      <protection locked="0"/>
    </xf>
    <xf numFmtId="180" fontId="14" fillId="0" borderId="4" xfId="0" applyNumberFormat="1" applyFont="1" applyFill="1" applyBorder="1" applyAlignment="1" applyProtection="1">
      <alignment horizontal="center" vertical="center" wrapText="1" shrinkToFit="1"/>
      <protection locked="0"/>
    </xf>
    <xf numFmtId="0" fontId="9" fillId="0" borderId="6" xfId="51" applyFont="1" applyFill="1" applyBorder="1" applyAlignment="1" applyProtection="1">
      <alignment horizontal="center" vertical="center" shrinkToFit="1"/>
    </xf>
    <xf numFmtId="0" fontId="14" fillId="0" borderId="6" xfId="51" applyFont="1" applyFill="1" applyBorder="1" applyAlignment="1" applyProtection="1">
      <alignment horizontal="center" vertical="center" wrapText="1" shrinkToFit="1"/>
    </xf>
    <xf numFmtId="0" fontId="14" fillId="0" borderId="6" xfId="0" applyNumberFormat="1" applyFont="1" applyFill="1" applyBorder="1" applyAlignment="1" applyProtection="1">
      <alignment horizontal="center" vertical="center" wrapText="1"/>
      <protection locked="0"/>
    </xf>
    <xf numFmtId="49" fontId="14" fillId="0" borderId="6" xfId="51" applyNumberFormat="1" applyFont="1" applyFill="1" applyBorder="1" applyAlignment="1" applyProtection="1">
      <alignment horizontal="center" vertical="center" wrapText="1" shrinkToFit="1"/>
      <protection locked="0"/>
    </xf>
    <xf numFmtId="0" fontId="14" fillId="0" borderId="4" xfId="0" applyFont="1" applyFill="1" applyBorder="1" applyAlignment="1">
      <alignment horizontal="center" vertical="center" wrapText="1"/>
    </xf>
    <xf numFmtId="0" fontId="14" fillId="0" borderId="6" xfId="51" applyFont="1" applyFill="1" applyBorder="1" applyAlignment="1" applyProtection="1">
      <alignment horizontal="center" vertical="center" wrapText="1" shrinkToFit="1"/>
      <protection locked="0"/>
    </xf>
    <xf numFmtId="178" fontId="9" fillId="0" borderId="4" xfId="0" applyNumberFormat="1" applyFont="1" applyFill="1" applyBorder="1" applyAlignment="1" applyProtection="1">
      <alignment horizontal="center" vertical="center" wrapText="1"/>
    </xf>
    <xf numFmtId="0" fontId="9" fillId="0" borderId="3" xfId="0" applyFont="1" applyFill="1" applyBorder="1" applyAlignment="1" applyProtection="1">
      <alignment horizontal="center" vertical="center"/>
      <protection locked="0"/>
    </xf>
    <xf numFmtId="181" fontId="14" fillId="0" borderId="8" xfId="0" applyNumberFormat="1" applyFont="1" applyFill="1" applyBorder="1" applyAlignment="1" applyProtection="1">
      <alignment horizontal="center" vertical="center" wrapText="1" shrinkToFit="1"/>
      <protection locked="0"/>
    </xf>
    <xf numFmtId="0" fontId="17" fillId="0" borderId="10" xfId="0" applyFont="1" applyFill="1" applyBorder="1" applyAlignment="1" applyProtection="1">
      <alignment horizontal="center" vertical="center"/>
      <protection locked="0"/>
    </xf>
    <xf numFmtId="180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181" fontId="17" fillId="0" borderId="8" xfId="0" applyNumberFormat="1" applyFont="1" applyFill="1" applyBorder="1" applyAlignment="1" applyProtection="1">
      <alignment horizontal="center" vertical="center"/>
      <protection locked="0"/>
    </xf>
    <xf numFmtId="181" fontId="17" fillId="0" borderId="6" xfId="0" applyNumberFormat="1" applyFont="1" applyFill="1" applyBorder="1" applyAlignment="1" applyProtection="1">
      <alignment horizontal="center" vertical="center" wrapText="1"/>
      <protection locked="0"/>
    </xf>
    <xf numFmtId="179" fontId="9" fillId="0" borderId="1" xfId="51" applyNumberFormat="1" applyFont="1" applyFill="1" applyBorder="1" applyAlignment="1" applyProtection="1">
      <alignment horizontal="center" vertical="center" wrapText="1" shrinkToFit="1"/>
      <protection locked="0"/>
    </xf>
    <xf numFmtId="179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2" xfId="0" applyFont="1" applyFill="1" applyBorder="1" applyAlignment="1" applyProtection="1">
      <alignment horizontal="center" vertical="center"/>
      <protection locked="0"/>
    </xf>
    <xf numFmtId="181" fontId="17" fillId="0" borderId="2" xfId="0" applyNumberFormat="1" applyFont="1" applyFill="1" applyBorder="1" applyAlignment="1" applyProtection="1">
      <alignment horizontal="center" vertical="center"/>
      <protection locked="0"/>
    </xf>
    <xf numFmtId="181" fontId="17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0" xfId="0" applyFont="1" applyFill="1" applyBorder="1" applyAlignment="1" applyProtection="1">
      <alignment horizontal="center" vertical="center"/>
      <protection locked="0"/>
    </xf>
    <xf numFmtId="177" fontId="9" fillId="0" borderId="2" xfId="51" applyNumberFormat="1" applyFont="1" applyFill="1" applyBorder="1" applyAlignment="1" applyProtection="1">
      <alignment horizontal="center" vertical="center" wrapText="1" shrinkToFit="1"/>
      <protection locked="0"/>
    </xf>
    <xf numFmtId="178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179" fontId="9" fillId="0" borderId="2" xfId="51" applyNumberFormat="1" applyFont="1" applyFill="1" applyBorder="1" applyAlignment="1" applyProtection="1">
      <alignment horizontal="center" vertical="center" wrapText="1" shrinkToFit="1"/>
      <protection locked="0"/>
    </xf>
    <xf numFmtId="179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180" fontId="9" fillId="0" borderId="8" xfId="0" applyNumberFormat="1" applyFont="1" applyFill="1" applyBorder="1" applyAlignment="1" applyProtection="1">
      <alignment horizontal="center" vertical="center" wrapText="1"/>
      <protection locked="0"/>
    </xf>
    <xf numFmtId="177" fontId="9" fillId="0" borderId="8" xfId="51" applyNumberFormat="1" applyFont="1" applyFill="1" applyBorder="1" applyAlignment="1" applyProtection="1">
      <alignment horizontal="center" vertical="center" wrapText="1" shrinkToFit="1"/>
      <protection locked="0"/>
    </xf>
    <xf numFmtId="0" fontId="17" fillId="0" borderId="15" xfId="0" applyFont="1" applyFill="1" applyBorder="1" applyAlignment="1" applyProtection="1">
      <alignment horizontal="center" vertical="center"/>
      <protection locked="0"/>
    </xf>
    <xf numFmtId="0" fontId="14" fillId="0" borderId="8" xfId="51" applyNumberFormat="1" applyFont="1" applyFill="1" applyBorder="1" applyAlignment="1" applyProtection="1">
      <alignment horizontal="center" vertical="center" wrapText="1" shrinkToFit="1"/>
      <protection locked="0"/>
    </xf>
    <xf numFmtId="178" fontId="9" fillId="0" borderId="8" xfId="0" applyNumberFormat="1" applyFont="1" applyFill="1" applyBorder="1" applyAlignment="1" applyProtection="1">
      <alignment horizontal="center" vertical="center" wrapText="1"/>
      <protection locked="0"/>
    </xf>
    <xf numFmtId="181" fontId="9" fillId="0" borderId="8" xfId="0" applyNumberFormat="1" applyFont="1" applyFill="1" applyBorder="1" applyAlignment="1" applyProtection="1">
      <alignment horizontal="center" vertical="center" shrinkToFit="1"/>
    </xf>
    <xf numFmtId="180" fontId="9" fillId="0" borderId="15" xfId="0" applyNumberFormat="1" applyFont="1" applyFill="1" applyBorder="1" applyAlignment="1" applyProtection="1">
      <alignment horizontal="center" vertical="center" shrinkToFit="1"/>
    </xf>
    <xf numFmtId="0" fontId="20" fillId="0" borderId="8" xfId="0" applyNumberFormat="1" applyFont="1" applyFill="1" applyBorder="1" applyAlignment="1" applyProtection="1">
      <alignment horizontal="center" vertical="center"/>
    </xf>
    <xf numFmtId="58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4" fillId="2" borderId="8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Fill="1" applyBorder="1" applyAlignment="1" applyProtection="1">
      <alignment horizontal="center" vertical="center"/>
      <protection locked="0"/>
    </xf>
    <xf numFmtId="0" fontId="17" fillId="0" borderId="16" xfId="0" applyFont="1" applyFill="1" applyBorder="1" applyAlignment="1" applyProtection="1">
      <alignment horizontal="center" vertical="center"/>
      <protection locked="0"/>
    </xf>
    <xf numFmtId="0" fontId="14" fillId="0" borderId="6" xfId="0" applyFont="1" applyFill="1" applyBorder="1" applyAlignment="1" applyProtection="1">
      <alignment horizontal="center" vertical="center"/>
      <protection locked="0"/>
    </xf>
    <xf numFmtId="177" fontId="9" fillId="0" borderId="17" xfId="51" applyNumberFormat="1" applyFont="1" applyFill="1" applyBorder="1" applyAlignment="1" applyProtection="1">
      <alignment horizontal="center" vertical="center" wrapText="1" shrinkToFit="1"/>
      <protection locked="0"/>
    </xf>
    <xf numFmtId="181" fontId="17" fillId="0" borderId="6" xfId="0" applyNumberFormat="1" applyFont="1" applyFill="1" applyBorder="1" applyAlignment="1" applyProtection="1">
      <alignment horizontal="center" vertical="center"/>
      <protection locked="0"/>
    </xf>
    <xf numFmtId="0" fontId="17" fillId="0" borderId="17" xfId="0" applyFont="1" applyFill="1" applyBorder="1" applyAlignment="1" applyProtection="1">
      <alignment horizontal="center" vertical="center"/>
      <protection locked="0"/>
    </xf>
    <xf numFmtId="181" fontId="17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6" xfId="0" applyFont="1" applyFill="1" applyBorder="1" applyAlignment="1" applyProtection="1">
      <alignment horizontal="center" vertical="center" wrapText="1"/>
      <protection locked="0"/>
    </xf>
    <xf numFmtId="178" fontId="9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16" xfId="0" applyFont="1" applyFill="1" applyBorder="1" applyAlignment="1" applyProtection="1">
      <alignment horizontal="center" vertical="center"/>
      <protection locked="0"/>
    </xf>
    <xf numFmtId="0" fontId="9" fillId="0" borderId="16" xfId="0" applyFont="1" applyFill="1" applyBorder="1" applyAlignment="1" applyProtection="1">
      <alignment horizontal="center" vertical="center" wrapText="1"/>
      <protection locked="0"/>
    </xf>
    <xf numFmtId="0" fontId="14" fillId="0" borderId="18" xfId="0" applyFont="1" applyFill="1" applyBorder="1" applyAlignment="1" applyProtection="1">
      <alignment horizontal="center" vertical="center"/>
      <protection locked="0"/>
    </xf>
    <xf numFmtId="177" fontId="9" fillId="0" borderId="3" xfId="51" applyNumberFormat="1" applyFont="1" applyFill="1" applyBorder="1" applyAlignment="1" applyProtection="1">
      <alignment horizontal="center" vertical="center" wrapText="1" shrinkToFit="1"/>
      <protection locked="0"/>
    </xf>
    <xf numFmtId="182" fontId="9" fillId="2" borderId="8" xfId="0" applyNumberFormat="1" applyFont="1" applyFill="1" applyBorder="1" applyAlignment="1" applyProtection="1">
      <alignment horizontal="center" vertical="center" wrapText="1"/>
      <protection locked="0"/>
    </xf>
    <xf numFmtId="178" fontId="9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12" xfId="0" applyFont="1" applyFill="1" applyBorder="1" applyAlignment="1" applyProtection="1">
      <alignment horizontal="center" vertical="center"/>
      <protection locked="0"/>
    </xf>
    <xf numFmtId="182" fontId="9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8" xfId="51" applyFont="1" applyFill="1" applyBorder="1" applyAlignment="1" applyProtection="1">
      <alignment horizontal="center" vertical="center" shrinkToFit="1"/>
    </xf>
    <xf numFmtId="0" fontId="14" fillId="0" borderId="8" xfId="0" applyFont="1" applyFill="1" applyBorder="1" applyAlignment="1">
      <alignment horizontal="center" vertical="center"/>
    </xf>
    <xf numFmtId="0" fontId="14" fillId="2" borderId="8" xfId="0" applyFont="1" applyFill="1" applyBorder="1" applyAlignment="1" applyProtection="1">
      <alignment horizontal="center" vertical="center"/>
      <protection locked="0"/>
    </xf>
    <xf numFmtId="180" fontId="14" fillId="2" borderId="1" xfId="0" applyNumberFormat="1" applyFont="1" applyFill="1" applyBorder="1" applyAlignment="1" applyProtection="1">
      <alignment horizontal="center" vertical="center" shrinkToFit="1"/>
    </xf>
    <xf numFmtId="181" fontId="14" fillId="0" borderId="8" xfId="0" applyNumberFormat="1" applyFont="1" applyFill="1" applyBorder="1" applyAlignment="1" applyProtection="1">
      <alignment horizontal="center" vertical="center" shrinkToFit="1"/>
    </xf>
    <xf numFmtId="181" fontId="9" fillId="0" borderId="4" xfId="0" applyNumberFormat="1" applyFont="1" applyFill="1" applyBorder="1" applyAlignment="1" applyProtection="1">
      <alignment horizontal="center" vertical="center" shrinkToFit="1"/>
    </xf>
    <xf numFmtId="181" fontId="9" fillId="0" borderId="0" xfId="0" applyNumberFormat="1" applyFont="1" applyFill="1" applyBorder="1" applyAlignment="1" applyProtection="1">
      <alignment horizontal="center" vertical="center" shrinkToFit="1"/>
    </xf>
    <xf numFmtId="0" fontId="9" fillId="0" borderId="0" xfId="0" applyFont="1" applyFill="1">
      <alignment vertical="center"/>
    </xf>
    <xf numFmtId="0" fontId="22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 wrapText="1"/>
    </xf>
    <xf numFmtId="178" fontId="17" fillId="0" borderId="0" xfId="0" applyNumberFormat="1" applyFont="1" applyFill="1" applyAlignment="1">
      <alignment horizontal="center" vertical="center" wrapText="1"/>
    </xf>
    <xf numFmtId="179" fontId="17" fillId="0" borderId="0" xfId="0" applyNumberFormat="1" applyFont="1" applyFill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3" xfId="51" applyFont="1" applyFill="1" applyBorder="1" applyAlignment="1">
      <alignment horizontal="center" vertical="center" wrapText="1" shrinkToFit="1"/>
    </xf>
    <xf numFmtId="0" fontId="9" fillId="0" borderId="20" xfId="51" applyFont="1" applyFill="1" applyBorder="1" applyAlignment="1">
      <alignment horizontal="center" vertical="center" wrapText="1" shrinkToFit="1"/>
    </xf>
    <xf numFmtId="0" fontId="9" fillId="0" borderId="21" xfId="51" applyFont="1" applyFill="1" applyBorder="1" applyAlignment="1">
      <alignment horizontal="center" vertical="center" wrapText="1" shrinkToFit="1"/>
    </xf>
    <xf numFmtId="181" fontId="9" fillId="0" borderId="1" xfId="52" applyNumberFormat="1" applyFont="1" applyFill="1" applyBorder="1" applyAlignment="1">
      <alignment horizontal="center" vertical="center" wrapText="1"/>
    </xf>
    <xf numFmtId="0" fontId="9" fillId="0" borderId="1" xfId="52" applyFont="1" applyFill="1" applyBorder="1" applyAlignment="1">
      <alignment horizontal="center" vertical="center" wrapText="1"/>
    </xf>
    <xf numFmtId="0" fontId="9" fillId="0" borderId="1" xfId="51" applyFont="1" applyFill="1" applyBorder="1" applyAlignment="1">
      <alignment horizontal="center" vertical="center" wrapText="1" shrinkToFit="1"/>
    </xf>
    <xf numFmtId="0" fontId="14" fillId="0" borderId="1" xfId="51" applyFont="1" applyFill="1" applyBorder="1" applyAlignment="1">
      <alignment horizontal="center" vertical="center" wrapText="1" shrinkToFit="1"/>
    </xf>
    <xf numFmtId="180" fontId="22" fillId="0" borderId="1" xfId="0" applyNumberFormat="1" applyFont="1" applyFill="1" applyBorder="1" applyAlignment="1">
      <alignment horizontal="center" vertical="center" shrinkToFit="1"/>
    </xf>
    <xf numFmtId="0" fontId="22" fillId="0" borderId="1" xfId="0" applyFont="1" applyFill="1" applyBorder="1" applyAlignment="1">
      <alignment horizontal="center" vertical="center" wrapText="1"/>
    </xf>
    <xf numFmtId="179" fontId="22" fillId="0" borderId="1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179" fontId="19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77" fontId="14" fillId="0" borderId="1" xfId="51" applyNumberFormat="1" applyFont="1" applyFill="1" applyBorder="1" applyAlignment="1" applyProtection="1">
      <alignment horizontal="center" vertical="center" wrapText="1" shrinkToFit="1"/>
    </xf>
    <xf numFmtId="178" fontId="14" fillId="0" borderId="1" xfId="0" applyNumberFormat="1" applyFont="1" applyFill="1" applyBorder="1" applyAlignment="1" applyProtection="1">
      <alignment horizontal="center" vertical="center" wrapText="1"/>
    </xf>
    <xf numFmtId="179" fontId="14" fillId="0" borderId="1" xfId="0" applyNumberFormat="1" applyFont="1" applyFill="1" applyBorder="1" applyAlignment="1">
      <alignment horizontal="center" vertical="center" wrapText="1"/>
    </xf>
    <xf numFmtId="180" fontId="9" fillId="0" borderId="1" xfId="0" applyNumberFormat="1" applyFont="1" applyFill="1" applyBorder="1" applyAlignment="1">
      <alignment horizontal="center" vertical="center" shrinkToFit="1"/>
    </xf>
    <xf numFmtId="3" fontId="19" fillId="0" borderId="1" xfId="0" applyNumberFormat="1" applyFont="1" applyFill="1" applyBorder="1" applyAlignment="1">
      <alignment horizontal="center" vertical="center" wrapText="1"/>
    </xf>
    <xf numFmtId="0" fontId="19" fillId="0" borderId="0" xfId="51" applyFont="1" applyFill="1" applyBorder="1" applyAlignment="1" applyProtection="1">
      <alignment horizontal="center" vertical="center" wrapText="1" shrinkToFit="1"/>
    </xf>
    <xf numFmtId="0" fontId="19" fillId="0" borderId="1" xfId="51" applyFont="1" applyFill="1" applyBorder="1" applyAlignment="1">
      <alignment horizontal="center" vertical="center" wrapText="1" shrinkToFit="1"/>
    </xf>
    <xf numFmtId="0" fontId="19" fillId="0" borderId="1" xfId="51" applyFont="1" applyFill="1" applyBorder="1" applyAlignment="1">
      <alignment horizontal="center" vertical="center" shrinkToFit="1"/>
    </xf>
    <xf numFmtId="178" fontId="19" fillId="0" borderId="1" xfId="0" applyNumberFormat="1" applyFont="1" applyFill="1" applyBorder="1" applyAlignment="1">
      <alignment horizontal="center" vertical="center" wrapText="1"/>
    </xf>
    <xf numFmtId="178" fontId="17" fillId="0" borderId="2" xfId="0" applyNumberFormat="1" applyFont="1" applyFill="1" applyBorder="1" applyAlignment="1" applyProtection="1">
      <alignment horizontal="center" vertical="center" wrapText="1"/>
    </xf>
    <xf numFmtId="178" fontId="9" fillId="2" borderId="1" xfId="0" applyNumberFormat="1" applyFont="1" applyFill="1" applyBorder="1" applyAlignment="1" applyProtection="1">
      <alignment horizontal="center" vertical="center" wrapText="1"/>
    </xf>
    <xf numFmtId="180" fontId="19" fillId="0" borderId="1" xfId="0" applyNumberFormat="1" applyFont="1" applyFill="1" applyBorder="1" applyAlignment="1" applyProtection="1">
      <alignment horizontal="center" vertical="center" wrapText="1" shrinkToFit="1"/>
    </xf>
    <xf numFmtId="0" fontId="20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180" fontId="20" fillId="0" borderId="0" xfId="0" applyNumberFormat="1" applyFont="1" applyFill="1" applyBorder="1" applyAlignment="1">
      <alignment horizontal="right" vertical="center" wrapText="1"/>
    </xf>
    <xf numFmtId="179" fontId="20" fillId="0" borderId="0" xfId="0" applyNumberFormat="1" applyFont="1" applyFill="1" applyBorder="1" applyAlignment="1">
      <alignment horizontal="center" vertical="center" wrapText="1"/>
    </xf>
    <xf numFmtId="180" fontId="20" fillId="0" borderId="0" xfId="0" applyNumberFormat="1" applyFont="1" applyFill="1" applyBorder="1" applyAlignment="1" applyProtection="1">
      <alignment horizontal="center" vertical="center" shrinkToFit="1"/>
    </xf>
    <xf numFmtId="179" fontId="20" fillId="0" borderId="0" xfId="0" applyNumberFormat="1" applyFont="1" applyFill="1" applyBorder="1" applyAlignment="1" applyProtection="1">
      <alignment horizontal="center" vertical="center" wrapText="1" shrinkToFit="1"/>
    </xf>
    <xf numFmtId="180" fontId="9" fillId="0" borderId="0" xfId="0" applyNumberFormat="1" applyFont="1" applyFill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11年华登制品HK应收未收" xfId="49"/>
    <cellStyle name="常规_Sheet2" xfId="50"/>
    <cellStyle name="常规_排期" xfId="51"/>
    <cellStyle name="常规_评审表" xfId="52"/>
    <cellStyle name="常规_小精灵排期" xfId="53"/>
    <cellStyle name="样式 1" xfId="54"/>
  </cellStyles>
  <tableStyles count="0" defaultTableStyle="TableStyleMedium2" defaultPivotStyle="PivotStyleLight16"/>
  <colors>
    <mruColors>
      <color rgb="00ECA7E6"/>
      <color rgb="00E82EE6"/>
      <color rgb="00FF00FF"/>
      <color rgb="00FF0000"/>
      <color rgb="002A1AFC"/>
      <color rgb="000000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652" dbFileVersion="0" changeLogVersion="0">
    <open main="80" threadCnt="1"/>
    <sheetInfos>
      <sheetInfo cellCmpFml="0" sheetStid="10">
        <open threadCnt="1"/>
      </sheetInfo>
      <sheetInfo cellCmpFml="247" sheetStid="3">
        <open main="7" threadCnt="1"/>
      </sheetInfo>
      <sheetInfo cellCmpFml="64" sheetStid="1">
        <open main="16" threadCnt="1"/>
      </sheetInfo>
      <sheetInfo cellCmpFml="206" sheetStid="14">
        <open main="6" threadCnt="1"/>
      </sheetInfo>
      <sheetInfo cellCmpFml="95" sheetStid="8">
        <open main="14" threadCnt="1"/>
      </sheetInfo>
      <sheetInfo cellCmpFml="30" sheetStid="12">
        <open main="6" threadCnt="1"/>
      </sheetInfo>
      <sheetInfo cellCmpFml="10" sheetStid="9">
        <open main="1" threadCnt="1"/>
      </sheetInfo>
      <sheetInfo cellCmpFml="0" sheetStid="7">
        <open threadCnt="1"/>
      </sheetInfo>
      <sheetInfo cellCmpFml="0" sheetStid="1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www.wps.cn/officeDocument/2023/relationships/woinfos" Target="woinfos.xml"/><Relationship Id="rId17" Type="http://schemas.openxmlformats.org/officeDocument/2006/relationships/styles" Target="styles.xml"/><Relationship Id="rId16" Type="http://schemas.openxmlformats.org/officeDocument/2006/relationships/customXml" Target="../customXml/item5.xml"/><Relationship Id="rId15" Type="http://schemas.openxmlformats.org/officeDocument/2006/relationships/customXml" Target="../customXml/item4.xml"/><Relationship Id="rId14" Type="http://schemas.openxmlformats.org/officeDocument/2006/relationships/customXml" Target="../customXml/item3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"/>
  <sheetViews>
    <sheetView topLeftCell="A10" workbookViewId="0">
      <selection activeCell="G42" sqref="G42"/>
    </sheetView>
  </sheetViews>
  <sheetFormatPr defaultColWidth="20.6416666666667" defaultRowHeight="15" customHeight="1" outlineLevelCol="1"/>
  <cols>
    <col min="1" max="1" width="20.6416666666667" style="1" customWidth="1"/>
    <col min="2" max="2" width="35.6583333333333" style="1" customWidth="1"/>
    <col min="3" max="16384" width="20.6416666666667" style="1" customWidth="1"/>
  </cols>
  <sheetData>
    <row r="1" customHeight="1" spans="1:2">
      <c r="A1" s="1" t="s">
        <v>0</v>
      </c>
    </row>
    <row r="2" customHeight="1" spans="1:2">
      <c r="A2" s="906">
        <v>1025130</v>
      </c>
      <c r="B2" s="1" t="s">
        <v>1</v>
      </c>
    </row>
    <row r="3" customHeight="1" spans="1:2">
      <c r="A3" s="1">
        <v>1124135</v>
      </c>
      <c r="B3" s="1" t="s">
        <v>2</v>
      </c>
    </row>
    <row r="4" customHeight="1" spans="1:2">
      <c r="A4" s="1">
        <v>1124138</v>
      </c>
      <c r="B4" s="1" t="s">
        <v>3</v>
      </c>
    </row>
    <row r="5" customHeight="1" spans="1:2">
      <c r="A5" s="1">
        <v>1125103</v>
      </c>
      <c r="B5" s="1" t="s">
        <v>4</v>
      </c>
    </row>
    <row r="6" customHeight="1" spans="1:2">
      <c r="A6" s="1">
        <v>1125115</v>
      </c>
      <c r="B6" s="1" t="s">
        <v>5</v>
      </c>
    </row>
    <row r="7" customHeight="1" spans="1:2">
      <c r="A7" s="1">
        <v>1125130</v>
      </c>
      <c r="B7" s="1" t="s">
        <v>1</v>
      </c>
    </row>
    <row r="8" customHeight="1" spans="1:2">
      <c r="A8" s="1">
        <v>1125151</v>
      </c>
      <c r="B8" s="1" t="s">
        <v>6</v>
      </c>
    </row>
    <row r="9" customHeight="1" spans="1:2">
      <c r="A9" s="1">
        <v>1125155</v>
      </c>
      <c r="B9" s="1" t="s">
        <v>7</v>
      </c>
    </row>
    <row r="10" customHeight="1" spans="1:2">
      <c r="A10" s="906">
        <v>1224138</v>
      </c>
      <c r="B10" s="1" t="s">
        <v>8</v>
      </c>
    </row>
    <row r="11" customHeight="1" spans="1:2">
      <c r="A11" s="1">
        <v>1425130</v>
      </c>
      <c r="B11" s="1" t="s">
        <v>1</v>
      </c>
    </row>
    <row r="12" customHeight="1" spans="1:2">
      <c r="A12" s="906">
        <v>1522113</v>
      </c>
      <c r="B12" s="1" t="s">
        <v>9</v>
      </c>
    </row>
    <row r="13" customHeight="1" spans="1:2">
      <c r="A13" s="906">
        <v>3021070</v>
      </c>
      <c r="B13" s="1" t="s">
        <v>10</v>
      </c>
    </row>
    <row r="14" customHeight="1" spans="1:2">
      <c r="A14" s="906">
        <v>3024041</v>
      </c>
      <c r="B14" s="1" t="s">
        <v>11</v>
      </c>
    </row>
    <row r="15" customHeight="1" spans="1:2">
      <c r="A15" s="906">
        <v>3024138</v>
      </c>
      <c r="B15" s="1" t="s">
        <v>12</v>
      </c>
    </row>
    <row r="16" customHeight="1" spans="1:2">
      <c r="A16" s="906">
        <v>3117070</v>
      </c>
      <c r="B16" s="1" t="s">
        <v>13</v>
      </c>
    </row>
    <row r="17" customHeight="1" spans="1:2">
      <c r="A17" s="906">
        <v>3519070</v>
      </c>
      <c r="B17" s="1" t="s">
        <v>14</v>
      </c>
    </row>
    <row r="18" customHeight="1" spans="1:2">
      <c r="A18" s="906">
        <v>3525138</v>
      </c>
      <c r="B18" s="1" t="s">
        <v>15</v>
      </c>
    </row>
    <row r="19" customHeight="1" spans="1:2">
      <c r="A19" s="1">
        <v>4520070</v>
      </c>
      <c r="B19" s="1" t="s">
        <v>16</v>
      </c>
    </row>
    <row r="20" customHeight="1" spans="1:2">
      <c r="A20" s="906">
        <v>4522072</v>
      </c>
      <c r="B20" s="1" t="s">
        <v>17</v>
      </c>
    </row>
    <row r="21" customHeight="1" spans="1:2">
      <c r="A21" s="1">
        <v>4522098</v>
      </c>
      <c r="B21" s="1" t="s">
        <v>18</v>
      </c>
    </row>
    <row r="22" customHeight="1" spans="1:2">
      <c r="A22" s="1">
        <v>4524138</v>
      </c>
      <c r="B22" s="1" t="s">
        <v>19</v>
      </c>
    </row>
    <row r="23" customHeight="1" spans="1:2">
      <c r="A23" s="1">
        <v>4525115</v>
      </c>
      <c r="B23" s="1" t="s">
        <v>5</v>
      </c>
    </row>
    <row r="24" customHeight="1" spans="1:2">
      <c r="A24" s="1">
        <v>4721070</v>
      </c>
      <c r="B24" s="1" t="s">
        <v>20</v>
      </c>
    </row>
    <row r="25" customHeight="1" spans="1:2">
      <c r="A25" s="1">
        <v>4724113</v>
      </c>
      <c r="B25" s="1" t="s">
        <v>21</v>
      </c>
    </row>
    <row r="26" customHeight="1" spans="1:2">
      <c r="A26" s="906" t="s">
        <v>22</v>
      </c>
      <c r="B26" s="1" t="s">
        <v>23</v>
      </c>
    </row>
    <row r="27" customHeight="1" spans="1:2">
      <c r="A27" s="906" t="s">
        <v>24</v>
      </c>
      <c r="B27" s="1" t="s">
        <v>25</v>
      </c>
    </row>
    <row r="28" customHeight="1" spans="1:2">
      <c r="A28" s="1" t="s">
        <v>26</v>
      </c>
      <c r="B28" s="1" t="s">
        <v>19</v>
      </c>
    </row>
    <row r="29" customHeight="1" spans="1:2">
      <c r="A29" s="906" t="s">
        <v>27</v>
      </c>
      <c r="B29" s="1" t="s">
        <v>25</v>
      </c>
    </row>
    <row r="30" customHeight="1" spans="1:2">
      <c r="A30" s="906" t="s">
        <v>28</v>
      </c>
      <c r="B30" s="1" t="s">
        <v>29</v>
      </c>
    </row>
    <row r="31" customHeight="1" spans="1:2">
      <c r="A31" s="906" t="s">
        <v>30</v>
      </c>
      <c r="B31" s="1" t="s">
        <v>31</v>
      </c>
    </row>
    <row r="32" customHeight="1" spans="1:2">
      <c r="A32" s="906" t="s">
        <v>32</v>
      </c>
      <c r="B32" s="1" t="s">
        <v>33</v>
      </c>
    </row>
    <row r="33" customHeight="1" spans="1:2">
      <c r="A33" s="906" t="s">
        <v>34</v>
      </c>
      <c r="B33" s="1" t="s">
        <v>35</v>
      </c>
    </row>
    <row r="34" customHeight="1" spans="1:2">
      <c r="A34" s="906" t="s">
        <v>36</v>
      </c>
      <c r="B34" s="1" t="s">
        <v>37</v>
      </c>
    </row>
    <row r="35" customHeight="1" spans="1:2">
      <c r="A35" s="1" t="s">
        <v>38</v>
      </c>
      <c r="B35" s="1" t="s">
        <v>1</v>
      </c>
    </row>
    <row r="36" customHeight="1" spans="1:2">
      <c r="A36" s="906" t="s">
        <v>39</v>
      </c>
      <c r="B36" s="1" t="s">
        <v>40</v>
      </c>
    </row>
    <row r="37" customHeight="1" spans="1:2">
      <c r="A37" s="906" t="s">
        <v>41</v>
      </c>
      <c r="B37" s="1" t="s">
        <v>7</v>
      </c>
    </row>
    <row r="38" customHeight="1" spans="1:2">
      <c r="A38" s="1" t="s">
        <v>42</v>
      </c>
      <c r="B38" s="1" t="s">
        <v>7</v>
      </c>
    </row>
    <row r="39" customHeight="1" spans="1:2">
      <c r="A39" s="1" t="s">
        <v>43</v>
      </c>
      <c r="B39" s="1" t="s">
        <v>44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B39" etc:filterBottomFollowUsedRange="0"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70"/>
  <sheetViews>
    <sheetView workbookViewId="0">
      <pane xSplit="8" ySplit="2" topLeftCell="AP239" activePane="bottomRight" state="frozen"/>
      <selection/>
      <selection pane="topRight"/>
      <selection pane="bottomLeft"/>
      <selection pane="bottomRight" activeCell="H239" sqref="H239:H241"/>
    </sheetView>
  </sheetViews>
  <sheetFormatPr defaultColWidth="9" defaultRowHeight="25" customHeight="1"/>
  <cols>
    <col min="1" max="1" width="12.6416666666667" style="861" customWidth="1"/>
    <col min="2" max="2" width="12.6416666666667" style="865" customWidth="1"/>
    <col min="3" max="3" width="10.6416666666667" style="861" customWidth="1"/>
    <col min="4" max="4" width="12.6416666666667" style="861" customWidth="1"/>
    <col min="5" max="5" width="12.0416666666667" style="865" customWidth="1"/>
    <col min="6" max="6" width="16.2583333333333" style="865" customWidth="1"/>
    <col min="7" max="7" width="6.65833333333333" style="861" customWidth="1"/>
    <col min="8" max="8" width="13.3583333333333" style="861" customWidth="1"/>
    <col min="9" max="17" width="8.64166666666667" style="865" customWidth="1"/>
    <col min="18" max="18" width="11.8916666666667" style="865" customWidth="1"/>
    <col min="19" max="19" width="14.4416666666667" style="865" customWidth="1"/>
    <col min="20" max="40" width="8.64166666666667" style="865" customWidth="1"/>
    <col min="41" max="41" width="8.64166666666667" style="866" customWidth="1"/>
    <col min="42" max="43" width="12.6416666666667" style="867" customWidth="1"/>
    <col min="44" max="16384" width="9" style="861"/>
  </cols>
  <sheetData>
    <row r="1" s="858" customFormat="1" customHeight="1" spans="1:43">
      <c r="A1" s="661" t="s">
        <v>45</v>
      </c>
      <c r="B1" s="661"/>
      <c r="C1" s="661"/>
      <c r="D1" s="661"/>
      <c r="E1" s="661"/>
      <c r="F1" s="661"/>
      <c r="G1" s="868"/>
      <c r="H1" s="661"/>
      <c r="I1" s="869" t="s">
        <v>46</v>
      </c>
      <c r="J1" s="870"/>
      <c r="K1" s="871"/>
      <c r="L1" s="869" t="s">
        <v>47</v>
      </c>
      <c r="M1" s="870"/>
      <c r="N1" s="870"/>
      <c r="O1" s="870"/>
      <c r="P1" s="872" t="s">
        <v>21</v>
      </c>
      <c r="Q1" s="872" t="s">
        <v>48</v>
      </c>
      <c r="R1" s="869" t="s">
        <v>49</v>
      </c>
      <c r="S1" s="870"/>
      <c r="T1" s="869" t="s">
        <v>50</v>
      </c>
      <c r="U1" s="870"/>
      <c r="V1" s="870"/>
      <c r="W1" s="870"/>
      <c r="X1" s="869" t="s">
        <v>51</v>
      </c>
      <c r="Y1" s="870"/>
      <c r="Z1" s="870"/>
      <c r="AA1" s="870"/>
      <c r="AB1" s="870"/>
      <c r="AC1" s="870"/>
      <c r="AD1" s="870"/>
      <c r="AE1" s="871"/>
      <c r="AF1" s="873" t="s">
        <v>52</v>
      </c>
      <c r="AG1" s="874"/>
      <c r="AH1" s="875"/>
      <c r="AI1" s="872" t="s">
        <v>5</v>
      </c>
      <c r="AJ1" s="875" t="s">
        <v>53</v>
      </c>
      <c r="AK1" s="875" t="s">
        <v>54</v>
      </c>
      <c r="AL1" s="875" t="s">
        <v>55</v>
      </c>
      <c r="AM1" s="875" t="s">
        <v>56</v>
      </c>
      <c r="AN1" s="872" t="s">
        <v>57</v>
      </c>
      <c r="AO1" s="31"/>
      <c r="AP1" s="32"/>
      <c r="AQ1" s="32"/>
    </row>
    <row r="2" s="649" customFormat="1" ht="39" customHeight="1" spans="1:43">
      <c r="A2" s="876" t="s">
        <v>58</v>
      </c>
      <c r="B2" s="876" t="s">
        <v>59</v>
      </c>
      <c r="C2" s="407" t="s">
        <v>60</v>
      </c>
      <c r="D2" s="407" t="s">
        <v>61</v>
      </c>
      <c r="E2" s="876" t="s">
        <v>0</v>
      </c>
      <c r="F2" s="409" t="s">
        <v>45</v>
      </c>
      <c r="G2" s="877" t="s">
        <v>62</v>
      </c>
      <c r="H2" s="406" t="s">
        <v>63</v>
      </c>
      <c r="I2" s="872" t="s">
        <v>64</v>
      </c>
      <c r="J2" s="872" t="s">
        <v>65</v>
      </c>
      <c r="K2" s="872" t="s">
        <v>1</v>
      </c>
      <c r="L2" s="872" t="s">
        <v>7</v>
      </c>
      <c r="M2" s="872" t="s">
        <v>66</v>
      </c>
      <c r="N2" s="872" t="s">
        <v>2</v>
      </c>
      <c r="O2" s="872" t="s">
        <v>19</v>
      </c>
      <c r="P2" s="878" t="s">
        <v>21</v>
      </c>
      <c r="Q2" s="872" t="s">
        <v>48</v>
      </c>
      <c r="R2" s="872" t="s">
        <v>13</v>
      </c>
      <c r="S2" s="872" t="s">
        <v>20</v>
      </c>
      <c r="T2" s="872" t="s">
        <v>50</v>
      </c>
      <c r="U2" s="872" t="s">
        <v>67</v>
      </c>
      <c r="V2" s="872" t="s">
        <v>68</v>
      </c>
      <c r="W2" s="872" t="s">
        <v>69</v>
      </c>
      <c r="X2" s="872" t="s">
        <v>70</v>
      </c>
      <c r="Y2" s="872" t="s">
        <v>71</v>
      </c>
      <c r="Z2" s="872" t="s">
        <v>72</v>
      </c>
      <c r="AA2" s="872" t="s">
        <v>73</v>
      </c>
      <c r="AB2" s="872" t="s">
        <v>74</v>
      </c>
      <c r="AC2" s="872" t="s">
        <v>72</v>
      </c>
      <c r="AD2" s="872" t="s">
        <v>75</v>
      </c>
      <c r="AE2" s="872" t="s">
        <v>76</v>
      </c>
      <c r="AF2" s="878" t="s">
        <v>77</v>
      </c>
      <c r="AG2" s="878" t="s">
        <v>78</v>
      </c>
      <c r="AH2" s="878" t="s">
        <v>79</v>
      </c>
      <c r="AI2" s="872" t="s">
        <v>5</v>
      </c>
      <c r="AJ2" s="878" t="s">
        <v>53</v>
      </c>
      <c r="AK2" s="878" t="s">
        <v>54</v>
      </c>
      <c r="AL2" s="878" t="s">
        <v>55</v>
      </c>
      <c r="AM2" s="879" t="s">
        <v>80</v>
      </c>
      <c r="AN2" s="878" t="s">
        <v>57</v>
      </c>
      <c r="AO2" s="31" t="s">
        <v>81</v>
      </c>
      <c r="AP2" s="32" t="s">
        <v>82</v>
      </c>
      <c r="AQ2" s="32" t="s">
        <v>83</v>
      </c>
    </row>
    <row r="3" s="859" customFormat="1" customHeight="1" spans="1:43">
      <c r="A3" s="880">
        <v>45943</v>
      </c>
      <c r="B3" s="259" t="s">
        <v>84</v>
      </c>
      <c r="C3" s="259"/>
      <c r="D3" s="261" t="s">
        <v>85</v>
      </c>
      <c r="E3" s="262">
        <v>1825103</v>
      </c>
      <c r="F3" s="262" t="s">
        <v>86</v>
      </c>
      <c r="G3" s="263">
        <v>6000</v>
      </c>
      <c r="H3" s="259">
        <v>46023</v>
      </c>
      <c r="I3" s="881"/>
      <c r="J3" s="881"/>
      <c r="K3" s="881"/>
      <c r="L3" s="881"/>
      <c r="M3" s="881"/>
      <c r="N3" s="881"/>
      <c r="O3" s="881"/>
      <c r="P3" s="881"/>
      <c r="Q3" s="881"/>
      <c r="R3" s="881"/>
      <c r="S3" s="881"/>
      <c r="T3" s="881"/>
      <c r="U3" s="881"/>
      <c r="V3" s="881"/>
      <c r="W3" s="881"/>
      <c r="X3" s="881"/>
      <c r="Y3" s="881"/>
      <c r="Z3" s="881"/>
      <c r="AA3" s="881">
        <f>G3</f>
        <v>6000</v>
      </c>
      <c r="AB3" s="881"/>
      <c r="AC3" s="881"/>
      <c r="AD3" s="881"/>
      <c r="AE3" s="881"/>
      <c r="AF3" s="881"/>
      <c r="AG3" s="881"/>
      <c r="AH3" s="881"/>
      <c r="AI3" s="881"/>
      <c r="AJ3" s="881"/>
      <c r="AK3" s="881"/>
      <c r="AL3" s="881"/>
      <c r="AM3" s="881"/>
      <c r="AN3" s="881"/>
      <c r="AO3" s="272">
        <v>2.119</v>
      </c>
      <c r="AP3" s="882">
        <f t="shared" ref="AP3:AP66" si="0">SUM(I3:AN3)*AO3</f>
        <v>12714</v>
      </c>
      <c r="AQ3" s="882">
        <f t="shared" ref="AQ3:AQ66" si="1">AP3*7.75</f>
        <v>98533.5</v>
      </c>
    </row>
    <row r="4" s="859" customFormat="1" customHeight="1" spans="1:43">
      <c r="A4" s="880">
        <v>45943</v>
      </c>
      <c r="B4" s="259" t="s">
        <v>84</v>
      </c>
      <c r="C4" s="259"/>
      <c r="D4" s="261" t="s">
        <v>85</v>
      </c>
      <c r="E4" s="262">
        <v>1825155</v>
      </c>
      <c r="F4" s="262" t="s">
        <v>87</v>
      </c>
      <c r="G4" s="263">
        <v>5004</v>
      </c>
      <c r="H4" s="259">
        <v>46023</v>
      </c>
      <c r="I4" s="881"/>
      <c r="J4" s="881"/>
      <c r="K4" s="881"/>
      <c r="L4" s="881">
        <f>G4</f>
        <v>5004</v>
      </c>
      <c r="M4" s="881"/>
      <c r="N4" s="881"/>
      <c r="O4" s="881"/>
      <c r="P4" s="881"/>
      <c r="Q4" s="881"/>
      <c r="R4" s="881"/>
      <c r="S4" s="881"/>
      <c r="T4" s="881"/>
      <c r="U4" s="881"/>
      <c r="V4" s="881"/>
      <c r="W4" s="881"/>
      <c r="X4" s="881"/>
      <c r="Y4" s="881"/>
      <c r="Z4" s="881"/>
      <c r="AA4" s="881"/>
      <c r="AB4" s="881"/>
      <c r="AC4" s="881"/>
      <c r="AD4" s="881"/>
      <c r="AE4" s="881"/>
      <c r="AF4" s="881"/>
      <c r="AG4" s="881"/>
      <c r="AH4" s="881"/>
      <c r="AI4" s="881"/>
      <c r="AJ4" s="881"/>
      <c r="AK4" s="881"/>
      <c r="AL4" s="881"/>
      <c r="AM4" s="881"/>
      <c r="AN4" s="881"/>
      <c r="AO4" s="272">
        <v>4.516</v>
      </c>
      <c r="AP4" s="882">
        <f t="shared" si="0"/>
        <v>22598.06</v>
      </c>
      <c r="AQ4" s="882">
        <f t="shared" si="1"/>
        <v>175134.97</v>
      </c>
    </row>
    <row r="5" s="859" customFormat="1" customHeight="1" spans="1:43">
      <c r="A5" s="880">
        <v>45954</v>
      </c>
      <c r="B5" s="259" t="s">
        <v>88</v>
      </c>
      <c r="C5" s="259"/>
      <c r="D5" s="259" t="s">
        <v>89</v>
      </c>
      <c r="E5" s="261">
        <v>1025103</v>
      </c>
      <c r="F5" s="262" t="s">
        <v>73</v>
      </c>
      <c r="G5" s="263">
        <v>4002</v>
      </c>
      <c r="H5" s="259">
        <v>46007</v>
      </c>
      <c r="I5" s="881"/>
      <c r="J5" s="881"/>
      <c r="K5" s="881"/>
      <c r="L5" s="881"/>
      <c r="M5" s="881"/>
      <c r="N5" s="881"/>
      <c r="O5" s="881"/>
      <c r="P5" s="881"/>
      <c r="Q5" s="881"/>
      <c r="R5" s="881"/>
      <c r="S5" s="881"/>
      <c r="T5" s="881"/>
      <c r="U5" s="881"/>
      <c r="V5" s="881"/>
      <c r="W5" s="881"/>
      <c r="X5" s="881"/>
      <c r="Y5" s="881"/>
      <c r="Z5" s="881"/>
      <c r="AA5" s="881">
        <f>G5</f>
        <v>4002</v>
      </c>
      <c r="AB5" s="881"/>
      <c r="AC5" s="881"/>
      <c r="AD5" s="881"/>
      <c r="AE5" s="881"/>
      <c r="AF5" s="881"/>
      <c r="AG5" s="881"/>
      <c r="AH5" s="881"/>
      <c r="AI5" s="881"/>
      <c r="AJ5" s="881"/>
      <c r="AK5" s="881"/>
      <c r="AL5" s="881"/>
      <c r="AM5" s="881"/>
      <c r="AN5" s="881"/>
      <c r="AO5" s="272">
        <v>2.119</v>
      </c>
      <c r="AP5" s="882">
        <f t="shared" si="0"/>
        <v>8480.24</v>
      </c>
      <c r="AQ5" s="882">
        <f t="shared" si="1"/>
        <v>65721.86</v>
      </c>
    </row>
    <row r="6" s="859" customFormat="1" customHeight="1" spans="1:43">
      <c r="A6" s="880">
        <v>45954</v>
      </c>
      <c r="B6" s="259" t="s">
        <v>88</v>
      </c>
      <c r="C6" s="259"/>
      <c r="D6" s="259" t="s">
        <v>89</v>
      </c>
      <c r="E6" s="261">
        <v>1025117</v>
      </c>
      <c r="F6" s="262" t="s">
        <v>70</v>
      </c>
      <c r="G6" s="263">
        <v>3000</v>
      </c>
      <c r="H6" s="259">
        <v>46007</v>
      </c>
      <c r="I6" s="881"/>
      <c r="J6" s="881"/>
      <c r="K6" s="881"/>
      <c r="L6" s="881"/>
      <c r="M6" s="881"/>
      <c r="N6" s="881"/>
      <c r="O6" s="881"/>
      <c r="P6" s="881"/>
      <c r="Q6" s="881"/>
      <c r="R6" s="881"/>
      <c r="S6" s="881"/>
      <c r="T6" s="881"/>
      <c r="U6" s="881"/>
      <c r="V6" s="881"/>
      <c r="W6" s="881"/>
      <c r="X6" s="881">
        <f>G6</f>
        <v>3000</v>
      </c>
      <c r="Y6" s="881"/>
      <c r="Z6" s="881"/>
      <c r="AA6" s="881"/>
      <c r="AB6" s="881"/>
      <c r="AC6" s="881"/>
      <c r="AD6" s="881"/>
      <c r="AE6" s="881"/>
      <c r="AF6" s="881"/>
      <c r="AG6" s="881"/>
      <c r="AH6" s="881"/>
      <c r="AI6" s="881"/>
      <c r="AJ6" s="881"/>
      <c r="AK6" s="881"/>
      <c r="AL6" s="881"/>
      <c r="AM6" s="881"/>
      <c r="AN6" s="881"/>
      <c r="AO6" s="272">
        <v>2.656</v>
      </c>
      <c r="AP6" s="882">
        <f t="shared" si="0"/>
        <v>7968</v>
      </c>
      <c r="AQ6" s="882">
        <f t="shared" si="1"/>
        <v>61752</v>
      </c>
    </row>
    <row r="7" s="859" customFormat="1" customHeight="1" spans="1:43">
      <c r="A7" s="880">
        <v>45954</v>
      </c>
      <c r="B7" s="259" t="s">
        <v>88</v>
      </c>
      <c r="C7" s="259"/>
      <c r="D7" s="259" t="s">
        <v>89</v>
      </c>
      <c r="E7" s="261">
        <v>1025155</v>
      </c>
      <c r="F7" s="262" t="s">
        <v>90</v>
      </c>
      <c r="G7" s="263">
        <v>8004</v>
      </c>
      <c r="H7" s="259">
        <v>46007</v>
      </c>
      <c r="I7" s="881"/>
      <c r="J7" s="881"/>
      <c r="K7" s="881"/>
      <c r="L7" s="881">
        <f>G7</f>
        <v>8004</v>
      </c>
      <c r="M7" s="881"/>
      <c r="N7" s="881"/>
      <c r="O7" s="881"/>
      <c r="P7" s="881"/>
      <c r="Q7" s="881"/>
      <c r="R7" s="881"/>
      <c r="S7" s="881"/>
      <c r="T7" s="881"/>
      <c r="U7" s="881"/>
      <c r="V7" s="881"/>
      <c r="W7" s="881"/>
      <c r="X7" s="881"/>
      <c r="Y7" s="881"/>
      <c r="Z7" s="881"/>
      <c r="AA7" s="881"/>
      <c r="AB7" s="881"/>
      <c r="AC7" s="881"/>
      <c r="AD7" s="881"/>
      <c r="AE7" s="881"/>
      <c r="AF7" s="881"/>
      <c r="AG7" s="881"/>
      <c r="AH7" s="881"/>
      <c r="AI7" s="881"/>
      <c r="AJ7" s="881"/>
      <c r="AK7" s="881"/>
      <c r="AL7" s="881"/>
      <c r="AM7" s="881"/>
      <c r="AN7" s="881"/>
      <c r="AO7" s="272">
        <v>4.516</v>
      </c>
      <c r="AP7" s="882">
        <f t="shared" si="0"/>
        <v>36146.06</v>
      </c>
      <c r="AQ7" s="882">
        <f t="shared" si="1"/>
        <v>280131.97</v>
      </c>
    </row>
    <row r="8" s="860" customFormat="1" customHeight="1" spans="1:43">
      <c r="A8" s="327">
        <v>45954</v>
      </c>
      <c r="B8" s="280" t="s">
        <v>91</v>
      </c>
      <c r="C8" s="280"/>
      <c r="D8" s="282" t="s">
        <v>92</v>
      </c>
      <c r="E8" s="283">
        <v>1426107</v>
      </c>
      <c r="F8" s="283" t="s">
        <v>57</v>
      </c>
      <c r="G8" s="284">
        <v>15</v>
      </c>
      <c r="H8" s="280">
        <v>46034</v>
      </c>
      <c r="I8" s="883"/>
      <c r="J8" s="883"/>
      <c r="K8" s="883"/>
      <c r="L8" s="883"/>
      <c r="M8" s="883"/>
      <c r="N8" s="883"/>
      <c r="O8" s="883"/>
      <c r="P8" s="883"/>
      <c r="Q8" s="883"/>
      <c r="R8" s="883"/>
      <c r="S8" s="883"/>
      <c r="T8" s="883"/>
      <c r="U8" s="883"/>
      <c r="V8" s="883"/>
      <c r="W8" s="883"/>
      <c r="X8" s="883"/>
      <c r="Y8" s="883"/>
      <c r="Z8" s="883"/>
      <c r="AA8" s="883"/>
      <c r="AB8" s="883"/>
      <c r="AC8" s="883"/>
      <c r="AD8" s="883"/>
      <c r="AE8" s="883"/>
      <c r="AF8" s="883"/>
      <c r="AG8" s="883"/>
      <c r="AH8" s="883"/>
      <c r="AI8" s="883"/>
      <c r="AJ8" s="883"/>
      <c r="AK8" s="883"/>
      <c r="AL8" s="883"/>
      <c r="AM8" s="883"/>
      <c r="AN8" s="883">
        <f>G8</f>
        <v>15</v>
      </c>
      <c r="AO8" s="292">
        <v>0</v>
      </c>
      <c r="AP8" s="884">
        <f t="shared" si="0"/>
        <v>0</v>
      </c>
      <c r="AQ8" s="884">
        <f t="shared" si="1"/>
        <v>0</v>
      </c>
    </row>
    <row r="9" s="861" customFormat="1" customHeight="1" spans="1:43">
      <c r="A9" s="880">
        <v>45954</v>
      </c>
      <c r="B9" s="259" t="s">
        <v>91</v>
      </c>
      <c r="C9" s="259"/>
      <c r="D9" s="261" t="s">
        <v>92</v>
      </c>
      <c r="E9" s="262">
        <v>1426107</v>
      </c>
      <c r="F9" s="262" t="s">
        <v>57</v>
      </c>
      <c r="G9" s="263">
        <v>8520</v>
      </c>
      <c r="H9" s="259">
        <v>46041</v>
      </c>
      <c r="I9" s="881"/>
      <c r="J9" s="881"/>
      <c r="K9" s="881"/>
      <c r="L9" s="881"/>
      <c r="M9" s="881"/>
      <c r="N9" s="881"/>
      <c r="O9" s="881"/>
      <c r="P9" s="881"/>
      <c r="Q9" s="881"/>
      <c r="R9" s="881"/>
      <c r="S9" s="881"/>
      <c r="T9" s="881"/>
      <c r="U9" s="881"/>
      <c r="V9" s="881"/>
      <c r="W9" s="881"/>
      <c r="X9" s="881"/>
      <c r="Y9" s="881"/>
      <c r="Z9" s="881"/>
      <c r="AA9" s="881"/>
      <c r="AB9" s="881"/>
      <c r="AC9" s="881"/>
      <c r="AD9" s="881"/>
      <c r="AE9" s="881"/>
      <c r="AF9" s="881"/>
      <c r="AG9" s="881"/>
      <c r="AH9" s="881"/>
      <c r="AI9" s="881"/>
      <c r="AJ9" s="881"/>
      <c r="AK9" s="881"/>
      <c r="AL9" s="881"/>
      <c r="AM9" s="881"/>
      <c r="AN9" s="881">
        <f>G9</f>
        <v>8520</v>
      </c>
      <c r="AO9" s="272">
        <v>3.912</v>
      </c>
      <c r="AP9" s="882">
        <f t="shared" si="0"/>
        <v>33330.24</v>
      </c>
      <c r="AQ9" s="882">
        <f t="shared" si="1"/>
        <v>258309.36</v>
      </c>
    </row>
    <row r="10" s="859" customFormat="1" customHeight="1" spans="1:43">
      <c r="A10" s="259">
        <v>45968</v>
      </c>
      <c r="B10" s="259" t="s">
        <v>93</v>
      </c>
      <c r="C10" s="261"/>
      <c r="D10" s="261" t="s">
        <v>94</v>
      </c>
      <c r="E10" s="262">
        <v>1324138</v>
      </c>
      <c r="F10" s="262" t="s">
        <v>95</v>
      </c>
      <c r="G10" s="263">
        <v>5004</v>
      </c>
      <c r="H10" s="259">
        <v>46021</v>
      </c>
      <c r="I10" s="881"/>
      <c r="J10" s="881"/>
      <c r="K10" s="881"/>
      <c r="L10" s="881"/>
      <c r="M10" s="881"/>
      <c r="N10" s="881"/>
      <c r="O10" s="872">
        <f>G10</f>
        <v>5004</v>
      </c>
      <c r="P10" s="881"/>
      <c r="Q10" s="881"/>
      <c r="R10" s="881"/>
      <c r="S10" s="881"/>
      <c r="T10" s="881"/>
      <c r="U10" s="881"/>
      <c r="V10" s="881"/>
      <c r="W10" s="881"/>
      <c r="X10" s="881"/>
      <c r="Y10" s="881"/>
      <c r="Z10" s="881"/>
      <c r="AA10" s="881"/>
      <c r="AB10" s="881"/>
      <c r="AC10" s="881"/>
      <c r="AD10" s="881"/>
      <c r="AE10" s="881"/>
      <c r="AF10" s="881"/>
      <c r="AG10" s="881"/>
      <c r="AH10" s="881"/>
      <c r="AI10" s="881"/>
      <c r="AJ10" s="881"/>
      <c r="AK10" s="881"/>
      <c r="AL10" s="881"/>
      <c r="AM10" s="881"/>
      <c r="AN10" s="881"/>
      <c r="AO10" s="272">
        <v>3.865</v>
      </c>
      <c r="AP10" s="882">
        <f t="shared" si="0"/>
        <v>19340.46</v>
      </c>
      <c r="AQ10" s="882">
        <f t="shared" si="1"/>
        <v>149888.57</v>
      </c>
    </row>
    <row r="11" s="859" customFormat="1" customHeight="1" spans="1:43">
      <c r="A11" s="259">
        <v>45968</v>
      </c>
      <c r="B11" s="259" t="s">
        <v>93</v>
      </c>
      <c r="C11" s="261"/>
      <c r="D11" s="261" t="s">
        <v>96</v>
      </c>
      <c r="E11" s="262">
        <v>1325107</v>
      </c>
      <c r="F11" s="262" t="s">
        <v>97</v>
      </c>
      <c r="G11" s="263">
        <v>6000</v>
      </c>
      <c r="H11" s="259">
        <v>46021</v>
      </c>
      <c r="I11" s="881"/>
      <c r="J11" s="881"/>
      <c r="K11" s="881"/>
      <c r="L11" s="881"/>
      <c r="M11" s="881"/>
      <c r="N11" s="881"/>
      <c r="O11" s="881"/>
      <c r="P11" s="881"/>
      <c r="Q11" s="881"/>
      <c r="R11" s="881"/>
      <c r="S11" s="881"/>
      <c r="T11" s="881"/>
      <c r="U11" s="881"/>
      <c r="V11" s="881"/>
      <c r="W11" s="881"/>
      <c r="X11" s="881"/>
      <c r="Y11" s="881"/>
      <c r="Z11" s="881"/>
      <c r="AA11" s="881"/>
      <c r="AB11" s="881"/>
      <c r="AC11" s="881"/>
      <c r="AD11" s="881"/>
      <c r="AE11" s="881"/>
      <c r="AF11" s="881"/>
      <c r="AG11" s="881"/>
      <c r="AH11" s="881"/>
      <c r="AI11" s="881"/>
      <c r="AJ11" s="881"/>
      <c r="AK11" s="881"/>
      <c r="AL11" s="881"/>
      <c r="AM11" s="881"/>
      <c r="AN11" s="881">
        <f t="shared" ref="AN11:AN20" si="2">G11</f>
        <v>6000</v>
      </c>
      <c r="AO11" s="272">
        <v>3.912</v>
      </c>
      <c r="AP11" s="882">
        <f t="shared" si="0"/>
        <v>23472</v>
      </c>
      <c r="AQ11" s="882">
        <f t="shared" si="1"/>
        <v>181908</v>
      </c>
    </row>
    <row r="12" s="860" customFormat="1" customHeight="1" spans="1:43">
      <c r="A12" s="280">
        <v>45968</v>
      </c>
      <c r="B12" s="280" t="s">
        <v>93</v>
      </c>
      <c r="C12" s="282"/>
      <c r="D12" s="282" t="s">
        <v>96</v>
      </c>
      <c r="E12" s="283">
        <v>1325107</v>
      </c>
      <c r="F12" s="283" t="s">
        <v>97</v>
      </c>
      <c r="G12" s="284">
        <v>6</v>
      </c>
      <c r="H12" s="280">
        <v>46021</v>
      </c>
      <c r="I12" s="883"/>
      <c r="J12" s="883"/>
      <c r="K12" s="883"/>
      <c r="L12" s="883"/>
      <c r="M12" s="883"/>
      <c r="N12" s="883"/>
      <c r="O12" s="883"/>
      <c r="P12" s="883"/>
      <c r="Q12" s="883"/>
      <c r="R12" s="883"/>
      <c r="S12" s="883"/>
      <c r="T12" s="883"/>
      <c r="U12" s="883"/>
      <c r="V12" s="883"/>
      <c r="W12" s="883"/>
      <c r="X12" s="883"/>
      <c r="Y12" s="883"/>
      <c r="Z12" s="883"/>
      <c r="AA12" s="883"/>
      <c r="AB12" s="883"/>
      <c r="AC12" s="883"/>
      <c r="AD12" s="883"/>
      <c r="AE12" s="883"/>
      <c r="AF12" s="883"/>
      <c r="AG12" s="883"/>
      <c r="AH12" s="883"/>
      <c r="AI12" s="883"/>
      <c r="AJ12" s="883"/>
      <c r="AK12" s="883"/>
      <c r="AL12" s="883"/>
      <c r="AM12" s="883"/>
      <c r="AN12" s="883">
        <f t="shared" si="2"/>
        <v>6</v>
      </c>
      <c r="AO12" s="292">
        <v>0</v>
      </c>
      <c r="AP12" s="884">
        <f t="shared" si="0"/>
        <v>0</v>
      </c>
      <c r="AQ12" s="884">
        <f t="shared" si="1"/>
        <v>0</v>
      </c>
    </row>
    <row r="13" s="860" customFormat="1" customHeight="1" spans="1:43">
      <c r="A13" s="280">
        <v>45968</v>
      </c>
      <c r="B13" s="280" t="s">
        <v>93</v>
      </c>
      <c r="C13" s="282"/>
      <c r="D13" s="282" t="s">
        <v>96</v>
      </c>
      <c r="E13" s="283">
        <v>1325107</v>
      </c>
      <c r="F13" s="283" t="s">
        <v>97</v>
      </c>
      <c r="G13" s="284">
        <v>10</v>
      </c>
      <c r="H13" s="280">
        <v>46021</v>
      </c>
      <c r="I13" s="883"/>
      <c r="J13" s="883"/>
      <c r="K13" s="883"/>
      <c r="L13" s="883"/>
      <c r="M13" s="883"/>
      <c r="N13" s="883"/>
      <c r="O13" s="883"/>
      <c r="P13" s="883"/>
      <c r="Q13" s="883"/>
      <c r="R13" s="883"/>
      <c r="S13" s="883"/>
      <c r="T13" s="883"/>
      <c r="U13" s="883"/>
      <c r="V13" s="883"/>
      <c r="W13" s="883"/>
      <c r="X13" s="883"/>
      <c r="Y13" s="883"/>
      <c r="Z13" s="883"/>
      <c r="AA13" s="883"/>
      <c r="AB13" s="883"/>
      <c r="AC13" s="883"/>
      <c r="AD13" s="883"/>
      <c r="AE13" s="883"/>
      <c r="AF13" s="883"/>
      <c r="AG13" s="883"/>
      <c r="AH13" s="883"/>
      <c r="AI13" s="883"/>
      <c r="AJ13" s="883"/>
      <c r="AK13" s="883"/>
      <c r="AL13" s="883"/>
      <c r="AM13" s="883"/>
      <c r="AN13" s="883">
        <f t="shared" si="2"/>
        <v>10</v>
      </c>
      <c r="AO13" s="292">
        <v>0</v>
      </c>
      <c r="AP13" s="884">
        <f t="shared" si="0"/>
        <v>0</v>
      </c>
      <c r="AQ13" s="884">
        <f t="shared" si="1"/>
        <v>0</v>
      </c>
    </row>
    <row r="14" s="859" customFormat="1" customHeight="1" spans="1:43">
      <c r="A14" s="880">
        <v>45972</v>
      </c>
      <c r="B14" s="259" t="s">
        <v>98</v>
      </c>
      <c r="C14" s="261"/>
      <c r="D14" s="261" t="s">
        <v>99</v>
      </c>
      <c r="E14" s="262">
        <v>4726107</v>
      </c>
      <c r="F14" s="262" t="s">
        <v>100</v>
      </c>
      <c r="G14" s="263">
        <v>5076</v>
      </c>
      <c r="H14" s="259">
        <v>45683</v>
      </c>
      <c r="I14" s="881"/>
      <c r="J14" s="881"/>
      <c r="K14" s="881"/>
      <c r="L14" s="881"/>
      <c r="M14" s="881"/>
      <c r="N14" s="881"/>
      <c r="O14" s="881"/>
      <c r="P14" s="881"/>
      <c r="Q14" s="881"/>
      <c r="R14" s="881"/>
      <c r="S14" s="881"/>
      <c r="T14" s="881"/>
      <c r="U14" s="881"/>
      <c r="V14" s="881"/>
      <c r="W14" s="881"/>
      <c r="X14" s="881"/>
      <c r="Y14" s="881"/>
      <c r="Z14" s="881"/>
      <c r="AA14" s="881"/>
      <c r="AB14" s="881"/>
      <c r="AC14" s="881"/>
      <c r="AD14" s="881"/>
      <c r="AE14" s="881"/>
      <c r="AF14" s="881"/>
      <c r="AG14" s="881"/>
      <c r="AH14" s="881"/>
      <c r="AI14" s="881"/>
      <c r="AJ14" s="881"/>
      <c r="AK14" s="881"/>
      <c r="AL14" s="881"/>
      <c r="AM14" s="881"/>
      <c r="AN14" s="881">
        <f t="shared" si="2"/>
        <v>5076</v>
      </c>
      <c r="AO14" s="272">
        <v>3.912</v>
      </c>
      <c r="AP14" s="882">
        <f t="shared" si="0"/>
        <v>19857.31</v>
      </c>
      <c r="AQ14" s="882">
        <f t="shared" si="1"/>
        <v>153894.15</v>
      </c>
    </row>
    <row r="15" s="860" customFormat="1" customHeight="1" spans="1:43">
      <c r="A15" s="327">
        <v>45972</v>
      </c>
      <c r="B15" s="280" t="s">
        <v>98</v>
      </c>
      <c r="C15" s="282" t="s">
        <v>101</v>
      </c>
      <c r="D15" s="282" t="s">
        <v>99</v>
      </c>
      <c r="E15" s="283">
        <v>4726107</v>
      </c>
      <c r="F15" s="283" t="s">
        <v>100</v>
      </c>
      <c r="G15" s="284">
        <v>10</v>
      </c>
      <c r="H15" s="280">
        <v>45683</v>
      </c>
      <c r="I15" s="883"/>
      <c r="J15" s="883"/>
      <c r="K15" s="883"/>
      <c r="L15" s="883"/>
      <c r="M15" s="883"/>
      <c r="N15" s="883"/>
      <c r="O15" s="883"/>
      <c r="P15" s="883"/>
      <c r="Q15" s="883"/>
      <c r="R15" s="883"/>
      <c r="S15" s="883"/>
      <c r="T15" s="883"/>
      <c r="U15" s="883"/>
      <c r="V15" s="883"/>
      <c r="W15" s="883"/>
      <c r="X15" s="883"/>
      <c r="Y15" s="883"/>
      <c r="Z15" s="883"/>
      <c r="AA15" s="883"/>
      <c r="AB15" s="883"/>
      <c r="AC15" s="883"/>
      <c r="AD15" s="883"/>
      <c r="AE15" s="883"/>
      <c r="AF15" s="883"/>
      <c r="AG15" s="883"/>
      <c r="AH15" s="883"/>
      <c r="AI15" s="883"/>
      <c r="AJ15" s="883"/>
      <c r="AK15" s="883"/>
      <c r="AL15" s="883"/>
      <c r="AM15" s="883"/>
      <c r="AN15" s="883">
        <f t="shared" si="2"/>
        <v>10</v>
      </c>
      <c r="AO15" s="292">
        <v>0</v>
      </c>
      <c r="AP15" s="884">
        <f t="shared" si="0"/>
        <v>0</v>
      </c>
      <c r="AQ15" s="884">
        <f t="shared" si="1"/>
        <v>0</v>
      </c>
    </row>
    <row r="16" s="860" customFormat="1" customHeight="1" spans="1:43">
      <c r="A16" s="280">
        <v>45975</v>
      </c>
      <c r="B16" s="280" t="s">
        <v>102</v>
      </c>
      <c r="C16" s="282"/>
      <c r="D16" s="282" t="s">
        <v>103</v>
      </c>
      <c r="E16" s="283">
        <v>3826107</v>
      </c>
      <c r="F16" s="283" t="s">
        <v>104</v>
      </c>
      <c r="G16" s="284">
        <v>6168</v>
      </c>
      <c r="H16" s="280">
        <v>46037</v>
      </c>
      <c r="I16" s="883"/>
      <c r="J16" s="883"/>
      <c r="K16" s="883"/>
      <c r="L16" s="883"/>
      <c r="M16" s="883"/>
      <c r="N16" s="883"/>
      <c r="O16" s="883"/>
      <c r="P16" s="883"/>
      <c r="Q16" s="883"/>
      <c r="R16" s="883"/>
      <c r="S16" s="883"/>
      <c r="T16" s="883"/>
      <c r="U16" s="883"/>
      <c r="V16" s="883"/>
      <c r="W16" s="883"/>
      <c r="X16" s="883"/>
      <c r="Y16" s="883"/>
      <c r="Z16" s="883"/>
      <c r="AA16" s="883"/>
      <c r="AB16" s="883"/>
      <c r="AC16" s="883"/>
      <c r="AD16" s="883"/>
      <c r="AE16" s="883"/>
      <c r="AF16" s="883"/>
      <c r="AG16" s="883"/>
      <c r="AH16" s="883"/>
      <c r="AI16" s="883"/>
      <c r="AJ16" s="883"/>
      <c r="AK16" s="883"/>
      <c r="AL16" s="883"/>
      <c r="AM16" s="883"/>
      <c r="AN16" s="883">
        <f t="shared" si="2"/>
        <v>6168</v>
      </c>
      <c r="AO16" s="292">
        <v>3.912</v>
      </c>
      <c r="AP16" s="884">
        <f t="shared" si="0"/>
        <v>24129.22</v>
      </c>
      <c r="AQ16" s="884">
        <f t="shared" si="1"/>
        <v>187001.46</v>
      </c>
    </row>
    <row r="17" s="860" customFormat="1" customHeight="1" spans="1:43">
      <c r="A17" s="280">
        <v>45975</v>
      </c>
      <c r="B17" s="280" t="s">
        <v>102</v>
      </c>
      <c r="C17" s="282"/>
      <c r="D17" s="282" t="s">
        <v>103</v>
      </c>
      <c r="E17" s="283">
        <v>3826107</v>
      </c>
      <c r="F17" s="283" t="s">
        <v>104</v>
      </c>
      <c r="G17" s="284">
        <v>10</v>
      </c>
      <c r="H17" s="280">
        <v>46045</v>
      </c>
      <c r="I17" s="883"/>
      <c r="J17" s="883"/>
      <c r="K17" s="883"/>
      <c r="L17" s="883"/>
      <c r="M17" s="883"/>
      <c r="N17" s="883"/>
      <c r="O17" s="883"/>
      <c r="P17" s="883"/>
      <c r="Q17" s="883"/>
      <c r="R17" s="883"/>
      <c r="S17" s="883"/>
      <c r="T17" s="883"/>
      <c r="U17" s="883"/>
      <c r="V17" s="883"/>
      <c r="W17" s="883"/>
      <c r="X17" s="883"/>
      <c r="Y17" s="883"/>
      <c r="Z17" s="883"/>
      <c r="AA17" s="883"/>
      <c r="AB17" s="883"/>
      <c r="AC17" s="883"/>
      <c r="AD17" s="883"/>
      <c r="AE17" s="883"/>
      <c r="AF17" s="883"/>
      <c r="AG17" s="883"/>
      <c r="AH17" s="883"/>
      <c r="AI17" s="883"/>
      <c r="AJ17" s="883"/>
      <c r="AK17" s="883"/>
      <c r="AL17" s="883"/>
      <c r="AM17" s="883"/>
      <c r="AN17" s="883">
        <f t="shared" si="2"/>
        <v>10</v>
      </c>
      <c r="AO17" s="292">
        <v>0</v>
      </c>
      <c r="AP17" s="884">
        <f t="shared" si="0"/>
        <v>0</v>
      </c>
      <c r="AQ17" s="884">
        <f t="shared" si="1"/>
        <v>0</v>
      </c>
    </row>
    <row r="18" s="860" customFormat="1" customHeight="1" spans="1:43">
      <c r="A18" s="280">
        <v>45978</v>
      </c>
      <c r="B18" s="280" t="s">
        <v>105</v>
      </c>
      <c r="C18" s="282" t="s">
        <v>106</v>
      </c>
      <c r="D18" s="282" t="s">
        <v>107</v>
      </c>
      <c r="E18" s="283">
        <v>3225107</v>
      </c>
      <c r="F18" s="283" t="s">
        <v>108</v>
      </c>
      <c r="G18" s="284">
        <v>3</v>
      </c>
      <c r="H18" s="280">
        <v>46021</v>
      </c>
      <c r="I18" s="883"/>
      <c r="J18" s="883"/>
      <c r="K18" s="883"/>
      <c r="L18" s="883"/>
      <c r="M18" s="883"/>
      <c r="N18" s="883"/>
      <c r="O18" s="883"/>
      <c r="P18" s="883"/>
      <c r="Q18" s="883"/>
      <c r="R18" s="883"/>
      <c r="S18" s="883"/>
      <c r="T18" s="883"/>
      <c r="U18" s="883"/>
      <c r="V18" s="883"/>
      <c r="W18" s="883"/>
      <c r="X18" s="883"/>
      <c r="Y18" s="883"/>
      <c r="Z18" s="883"/>
      <c r="AA18" s="883"/>
      <c r="AB18" s="883"/>
      <c r="AC18" s="883"/>
      <c r="AD18" s="883"/>
      <c r="AE18" s="883"/>
      <c r="AF18" s="883"/>
      <c r="AG18" s="883"/>
      <c r="AH18" s="883"/>
      <c r="AI18" s="883"/>
      <c r="AJ18" s="883"/>
      <c r="AK18" s="883"/>
      <c r="AL18" s="883"/>
      <c r="AM18" s="883"/>
      <c r="AN18" s="883">
        <f t="shared" si="2"/>
        <v>3</v>
      </c>
      <c r="AO18" s="292">
        <v>0</v>
      </c>
      <c r="AP18" s="884">
        <f t="shared" si="0"/>
        <v>0</v>
      </c>
      <c r="AQ18" s="884">
        <f t="shared" si="1"/>
        <v>0</v>
      </c>
    </row>
    <row r="19" s="860" customFormat="1" customHeight="1" spans="1:43">
      <c r="A19" s="280">
        <v>45978</v>
      </c>
      <c r="B19" s="280" t="s">
        <v>105</v>
      </c>
      <c r="C19" s="282"/>
      <c r="D19" s="282" t="s">
        <v>107</v>
      </c>
      <c r="E19" s="283">
        <v>3225107</v>
      </c>
      <c r="F19" s="283" t="s">
        <v>108</v>
      </c>
      <c r="G19" s="284">
        <v>7200</v>
      </c>
      <c r="H19" s="280">
        <v>46038</v>
      </c>
      <c r="I19" s="883"/>
      <c r="J19" s="883"/>
      <c r="K19" s="883"/>
      <c r="L19" s="883"/>
      <c r="M19" s="883"/>
      <c r="N19" s="883"/>
      <c r="O19" s="883"/>
      <c r="P19" s="883"/>
      <c r="Q19" s="883"/>
      <c r="R19" s="883"/>
      <c r="S19" s="883"/>
      <c r="T19" s="883"/>
      <c r="U19" s="883"/>
      <c r="V19" s="883"/>
      <c r="W19" s="883"/>
      <c r="X19" s="883"/>
      <c r="Y19" s="883"/>
      <c r="Z19" s="883"/>
      <c r="AA19" s="883"/>
      <c r="AB19" s="883"/>
      <c r="AC19" s="883"/>
      <c r="AD19" s="883"/>
      <c r="AE19" s="883"/>
      <c r="AF19" s="883"/>
      <c r="AG19" s="883"/>
      <c r="AH19" s="883"/>
      <c r="AI19" s="883"/>
      <c r="AJ19" s="883"/>
      <c r="AK19" s="883"/>
      <c r="AL19" s="883"/>
      <c r="AM19" s="883"/>
      <c r="AN19" s="883">
        <f t="shared" si="2"/>
        <v>7200</v>
      </c>
      <c r="AO19" s="292">
        <v>3.912</v>
      </c>
      <c r="AP19" s="884">
        <f t="shared" si="0"/>
        <v>28166.4</v>
      </c>
      <c r="AQ19" s="884">
        <f t="shared" si="1"/>
        <v>218289.6</v>
      </c>
    </row>
    <row r="20" s="860" customFormat="1" customHeight="1" spans="1:43">
      <c r="A20" s="280">
        <v>45978</v>
      </c>
      <c r="B20" s="280" t="s">
        <v>105</v>
      </c>
      <c r="C20" s="282"/>
      <c r="D20" s="282" t="s">
        <v>107</v>
      </c>
      <c r="E20" s="283">
        <v>3225107</v>
      </c>
      <c r="F20" s="283" t="s">
        <v>108</v>
      </c>
      <c r="G20" s="284">
        <v>10</v>
      </c>
      <c r="H20" s="280">
        <v>46038</v>
      </c>
      <c r="I20" s="883"/>
      <c r="J20" s="883"/>
      <c r="K20" s="883"/>
      <c r="L20" s="883"/>
      <c r="M20" s="883"/>
      <c r="N20" s="883"/>
      <c r="O20" s="883"/>
      <c r="P20" s="883"/>
      <c r="Q20" s="883"/>
      <c r="R20" s="883"/>
      <c r="S20" s="883"/>
      <c r="T20" s="883"/>
      <c r="U20" s="883"/>
      <c r="V20" s="883"/>
      <c r="W20" s="883"/>
      <c r="X20" s="883"/>
      <c r="Y20" s="883"/>
      <c r="Z20" s="883"/>
      <c r="AA20" s="883"/>
      <c r="AB20" s="883"/>
      <c r="AC20" s="883"/>
      <c r="AD20" s="883"/>
      <c r="AE20" s="883"/>
      <c r="AF20" s="883"/>
      <c r="AG20" s="883"/>
      <c r="AH20" s="883"/>
      <c r="AI20" s="883"/>
      <c r="AJ20" s="883"/>
      <c r="AK20" s="883"/>
      <c r="AL20" s="883"/>
      <c r="AM20" s="883"/>
      <c r="AN20" s="883">
        <f t="shared" si="2"/>
        <v>10</v>
      </c>
      <c r="AO20" s="292">
        <v>0</v>
      </c>
      <c r="AP20" s="884">
        <f t="shared" si="0"/>
        <v>0</v>
      </c>
      <c r="AQ20" s="884">
        <f t="shared" si="1"/>
        <v>0</v>
      </c>
    </row>
    <row r="21" s="859" customFormat="1" customHeight="1" spans="1:43">
      <c r="A21" s="259">
        <v>45985</v>
      </c>
      <c r="B21" s="259" t="s">
        <v>109</v>
      </c>
      <c r="C21" s="261"/>
      <c r="D21" s="261" t="s">
        <v>110</v>
      </c>
      <c r="E21" s="262" t="s">
        <v>24</v>
      </c>
      <c r="F21" s="262" t="s">
        <v>111</v>
      </c>
      <c r="G21" s="263">
        <v>12600</v>
      </c>
      <c r="H21" s="259">
        <v>46034</v>
      </c>
      <c r="I21" s="881"/>
      <c r="J21" s="881"/>
      <c r="K21" s="881"/>
      <c r="L21" s="881"/>
      <c r="M21" s="881"/>
      <c r="N21" s="881"/>
      <c r="O21" s="881"/>
      <c r="P21" s="881"/>
      <c r="Q21" s="881"/>
      <c r="R21" s="881"/>
      <c r="S21" s="881"/>
      <c r="T21" s="881"/>
      <c r="U21" s="881"/>
      <c r="V21" s="881"/>
      <c r="W21" s="881"/>
      <c r="X21" s="881"/>
      <c r="Y21" s="881"/>
      <c r="Z21" s="881"/>
      <c r="AA21" s="881">
        <f>G21</f>
        <v>12600</v>
      </c>
      <c r="AB21" s="881"/>
      <c r="AC21" s="881"/>
      <c r="AD21" s="881"/>
      <c r="AE21" s="881"/>
      <c r="AF21" s="881"/>
      <c r="AG21" s="881"/>
      <c r="AH21" s="881"/>
      <c r="AI21" s="881"/>
      <c r="AJ21" s="881"/>
      <c r="AK21" s="881"/>
      <c r="AL21" s="881"/>
      <c r="AM21" s="881"/>
      <c r="AN21" s="881"/>
      <c r="AO21" s="272">
        <v>2.089</v>
      </c>
      <c r="AP21" s="882">
        <f t="shared" si="0"/>
        <v>26321.4</v>
      </c>
      <c r="AQ21" s="882">
        <f t="shared" si="1"/>
        <v>203990.85</v>
      </c>
    </row>
    <row r="22" s="860" customFormat="1" customHeight="1" spans="1:43">
      <c r="A22" s="280">
        <v>45988</v>
      </c>
      <c r="B22" s="280" t="s">
        <v>112</v>
      </c>
      <c r="C22" s="282"/>
      <c r="D22" s="282" t="s">
        <v>113</v>
      </c>
      <c r="E22" s="283">
        <v>1126148</v>
      </c>
      <c r="F22" s="283" t="s">
        <v>114</v>
      </c>
      <c r="G22" s="284">
        <v>822</v>
      </c>
      <c r="H22" s="280">
        <v>46045</v>
      </c>
      <c r="I22" s="883"/>
      <c r="J22" s="883"/>
      <c r="K22" s="883"/>
      <c r="L22" s="883"/>
      <c r="M22" s="883"/>
      <c r="N22" s="883"/>
      <c r="O22" s="883"/>
      <c r="P22" s="883"/>
      <c r="Q22" s="883"/>
      <c r="R22" s="883"/>
      <c r="S22" s="883"/>
      <c r="T22" s="883"/>
      <c r="U22" s="883"/>
      <c r="V22" s="883"/>
      <c r="W22" s="883"/>
      <c r="X22" s="883"/>
      <c r="Y22" s="883"/>
      <c r="Z22" s="883"/>
      <c r="AA22" s="883"/>
      <c r="AB22" s="883"/>
      <c r="AC22" s="883"/>
      <c r="AD22" s="883"/>
      <c r="AE22" s="883"/>
      <c r="AF22" s="883"/>
      <c r="AG22" s="883"/>
      <c r="AH22" s="883"/>
      <c r="AI22" s="883"/>
      <c r="AJ22" s="883"/>
      <c r="AK22" s="883"/>
      <c r="AL22" s="883"/>
      <c r="AM22" s="883"/>
      <c r="AN22" s="883">
        <f>G22</f>
        <v>822</v>
      </c>
      <c r="AO22" s="292">
        <v>3.912</v>
      </c>
      <c r="AP22" s="884">
        <f t="shared" si="0"/>
        <v>3215.66</v>
      </c>
      <c r="AQ22" s="884">
        <f t="shared" si="1"/>
        <v>24921.37</v>
      </c>
    </row>
    <row r="23" s="859" customFormat="1" customHeight="1" spans="1:43">
      <c r="A23" s="259">
        <v>45988</v>
      </c>
      <c r="B23" s="259" t="s">
        <v>112</v>
      </c>
      <c r="C23" s="261"/>
      <c r="D23" s="261" t="s">
        <v>115</v>
      </c>
      <c r="E23" s="262">
        <v>1126148</v>
      </c>
      <c r="F23" s="262" t="s">
        <v>114</v>
      </c>
      <c r="G23" s="263">
        <v>426</v>
      </c>
      <c r="H23" s="259">
        <v>46045</v>
      </c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1"/>
      <c r="AN23" s="881">
        <f>G23</f>
        <v>426</v>
      </c>
      <c r="AO23" s="272">
        <v>3.912</v>
      </c>
      <c r="AP23" s="882">
        <f t="shared" si="0"/>
        <v>1666.51</v>
      </c>
      <c r="AQ23" s="882">
        <f t="shared" si="1"/>
        <v>12915.45</v>
      </c>
    </row>
    <row r="24" s="861" customFormat="1" customHeight="1" spans="1:43">
      <c r="A24" s="229">
        <v>45988</v>
      </c>
      <c r="B24" s="229" t="s">
        <v>116</v>
      </c>
      <c r="C24" s="231"/>
      <c r="D24" s="231" t="s">
        <v>117</v>
      </c>
      <c r="E24" s="232">
        <v>3117070</v>
      </c>
      <c r="F24" s="232" t="s">
        <v>118</v>
      </c>
      <c r="G24" s="233">
        <v>2508</v>
      </c>
      <c r="H24" s="229">
        <v>46045</v>
      </c>
      <c r="I24" s="885"/>
      <c r="J24" s="885"/>
      <c r="K24" s="885"/>
      <c r="L24" s="885"/>
      <c r="M24" s="885"/>
      <c r="N24" s="885"/>
      <c r="O24" s="885"/>
      <c r="P24" s="885"/>
      <c r="Q24" s="885"/>
      <c r="R24" s="885">
        <f>G24</f>
        <v>2508</v>
      </c>
      <c r="S24" s="885"/>
      <c r="T24" s="885"/>
      <c r="U24" s="885"/>
      <c r="V24" s="885"/>
      <c r="W24" s="885"/>
      <c r="X24" s="885"/>
      <c r="Y24" s="885"/>
      <c r="Z24" s="885"/>
      <c r="AA24" s="885"/>
      <c r="AB24" s="885"/>
      <c r="AC24" s="885"/>
      <c r="AD24" s="885"/>
      <c r="AE24" s="885"/>
      <c r="AF24" s="885"/>
      <c r="AG24" s="885"/>
      <c r="AH24" s="885"/>
      <c r="AI24" s="885"/>
      <c r="AJ24" s="885"/>
      <c r="AK24" s="885"/>
      <c r="AL24" s="885"/>
      <c r="AM24" s="885"/>
      <c r="AN24" s="885"/>
      <c r="AO24" s="242">
        <v>2.77</v>
      </c>
      <c r="AP24" s="32">
        <f t="shared" si="0"/>
        <v>6947.16</v>
      </c>
      <c r="AQ24" s="32">
        <f t="shared" si="1"/>
        <v>53840.49</v>
      </c>
    </row>
    <row r="25" s="861" customFormat="1" customHeight="1" spans="1:43">
      <c r="A25" s="229">
        <v>45988</v>
      </c>
      <c r="B25" s="229" t="s">
        <v>116</v>
      </c>
      <c r="C25" s="231"/>
      <c r="D25" s="231" t="s">
        <v>117</v>
      </c>
      <c r="E25" s="232">
        <v>3124115</v>
      </c>
      <c r="F25" s="232" t="s">
        <v>119</v>
      </c>
      <c r="G25" s="233">
        <v>1500</v>
      </c>
      <c r="H25" s="229">
        <v>46045</v>
      </c>
      <c r="I25" s="885"/>
      <c r="J25" s="885"/>
      <c r="K25" s="885"/>
      <c r="L25" s="885"/>
      <c r="M25" s="885"/>
      <c r="N25" s="885"/>
      <c r="O25" s="885"/>
      <c r="P25" s="885"/>
      <c r="Q25" s="885"/>
      <c r="R25" s="885"/>
      <c r="S25" s="885"/>
      <c r="T25" s="885"/>
      <c r="U25" s="885"/>
      <c r="V25" s="885"/>
      <c r="W25" s="885"/>
      <c r="X25" s="885"/>
      <c r="Y25" s="885"/>
      <c r="Z25" s="885"/>
      <c r="AA25" s="885"/>
      <c r="AB25" s="885"/>
      <c r="AC25" s="885"/>
      <c r="AD25" s="885"/>
      <c r="AE25" s="885"/>
      <c r="AF25" s="885"/>
      <c r="AG25" s="885"/>
      <c r="AH25" s="885"/>
      <c r="AI25" s="885">
        <f>G25</f>
        <v>1500</v>
      </c>
      <c r="AJ25" s="885"/>
      <c r="AK25" s="885"/>
      <c r="AL25" s="885"/>
      <c r="AM25" s="885"/>
      <c r="AN25" s="885"/>
      <c r="AO25" s="242">
        <v>4.132</v>
      </c>
      <c r="AP25" s="32">
        <f t="shared" si="0"/>
        <v>6198</v>
      </c>
      <c r="AQ25" s="32">
        <f t="shared" si="1"/>
        <v>48034.5</v>
      </c>
    </row>
    <row r="26" s="860" customFormat="1" customHeight="1" spans="1:43">
      <c r="A26" s="280">
        <v>45992</v>
      </c>
      <c r="B26" s="280" t="s">
        <v>120</v>
      </c>
      <c r="C26" s="282"/>
      <c r="D26" s="282" t="s">
        <v>121</v>
      </c>
      <c r="E26" s="283">
        <v>1126148</v>
      </c>
      <c r="F26" s="283" t="s">
        <v>114</v>
      </c>
      <c r="G26" s="284">
        <v>1500</v>
      </c>
      <c r="H26" s="280">
        <v>46045</v>
      </c>
      <c r="I26" s="883"/>
      <c r="J26" s="883"/>
      <c r="K26" s="883"/>
      <c r="L26" s="883"/>
      <c r="M26" s="883"/>
      <c r="N26" s="883"/>
      <c r="O26" s="883"/>
      <c r="P26" s="883"/>
      <c r="Q26" s="883"/>
      <c r="R26" s="883"/>
      <c r="S26" s="883"/>
      <c r="T26" s="883"/>
      <c r="U26" s="883"/>
      <c r="V26" s="883"/>
      <c r="W26" s="883"/>
      <c r="X26" s="883"/>
      <c r="Y26" s="883"/>
      <c r="Z26" s="883"/>
      <c r="AA26" s="883"/>
      <c r="AB26" s="883"/>
      <c r="AC26" s="883"/>
      <c r="AD26" s="883"/>
      <c r="AE26" s="883"/>
      <c r="AF26" s="883"/>
      <c r="AG26" s="883"/>
      <c r="AH26" s="883"/>
      <c r="AI26" s="883"/>
      <c r="AJ26" s="883"/>
      <c r="AK26" s="883"/>
      <c r="AL26" s="883"/>
      <c r="AM26" s="883"/>
      <c r="AN26" s="883">
        <f>G26</f>
        <v>1500</v>
      </c>
      <c r="AO26" s="292">
        <v>3.912</v>
      </c>
      <c r="AP26" s="884">
        <f t="shared" si="0"/>
        <v>5868</v>
      </c>
      <c r="AQ26" s="884">
        <f t="shared" si="1"/>
        <v>45477</v>
      </c>
    </row>
    <row r="27" s="860" customFormat="1" customHeight="1" spans="1:43">
      <c r="A27" s="280">
        <v>45992</v>
      </c>
      <c r="B27" s="280" t="s">
        <v>120</v>
      </c>
      <c r="C27" s="282"/>
      <c r="D27" s="282" t="s">
        <v>121</v>
      </c>
      <c r="E27" s="283">
        <v>1126148</v>
      </c>
      <c r="F27" s="283" t="s">
        <v>114</v>
      </c>
      <c r="G27" s="284">
        <v>12</v>
      </c>
      <c r="H27" s="280">
        <v>46045</v>
      </c>
      <c r="I27" s="883"/>
      <c r="J27" s="883"/>
      <c r="K27" s="883"/>
      <c r="L27" s="883"/>
      <c r="M27" s="883"/>
      <c r="N27" s="883"/>
      <c r="O27" s="883"/>
      <c r="P27" s="883"/>
      <c r="Q27" s="883"/>
      <c r="R27" s="883"/>
      <c r="S27" s="883"/>
      <c r="T27" s="883"/>
      <c r="U27" s="883"/>
      <c r="V27" s="883"/>
      <c r="W27" s="883"/>
      <c r="X27" s="883"/>
      <c r="Y27" s="883"/>
      <c r="Z27" s="883"/>
      <c r="AA27" s="883"/>
      <c r="AB27" s="883"/>
      <c r="AC27" s="883"/>
      <c r="AD27" s="883"/>
      <c r="AE27" s="883"/>
      <c r="AF27" s="883"/>
      <c r="AG27" s="883"/>
      <c r="AH27" s="883"/>
      <c r="AI27" s="883"/>
      <c r="AJ27" s="883"/>
      <c r="AK27" s="883"/>
      <c r="AL27" s="883"/>
      <c r="AM27" s="883"/>
      <c r="AN27" s="883">
        <f>G27</f>
        <v>12</v>
      </c>
      <c r="AO27" s="292">
        <v>0</v>
      </c>
      <c r="AP27" s="884">
        <f t="shared" si="0"/>
        <v>0</v>
      </c>
      <c r="AQ27" s="884">
        <f t="shared" si="1"/>
        <v>0</v>
      </c>
    </row>
    <row r="28" s="861" customFormat="1" customHeight="1" spans="1:43">
      <c r="A28" s="259">
        <v>45992</v>
      </c>
      <c r="B28" s="259" t="s">
        <v>120</v>
      </c>
      <c r="C28" s="261"/>
      <c r="D28" s="261" t="s">
        <v>121</v>
      </c>
      <c r="E28" s="262" t="s">
        <v>122</v>
      </c>
      <c r="F28" s="262" t="s">
        <v>72</v>
      </c>
      <c r="G28" s="263">
        <v>2208</v>
      </c>
      <c r="H28" s="259">
        <v>46045</v>
      </c>
      <c r="I28" s="881"/>
      <c r="J28" s="881"/>
      <c r="K28" s="881"/>
      <c r="L28" s="881"/>
      <c r="M28" s="881"/>
      <c r="N28" s="881"/>
      <c r="O28" s="881"/>
      <c r="P28" s="881"/>
      <c r="Q28" s="881"/>
      <c r="R28" s="881"/>
      <c r="S28" s="881"/>
      <c r="T28" s="881"/>
      <c r="U28" s="881"/>
      <c r="V28" s="881"/>
      <c r="W28" s="881"/>
      <c r="X28" s="881"/>
      <c r="Y28" s="881"/>
      <c r="Z28" s="881">
        <f>G28</f>
        <v>2208</v>
      </c>
      <c r="AA28" s="881"/>
      <c r="AB28" s="881"/>
      <c r="AC28" s="881"/>
      <c r="AD28" s="881"/>
      <c r="AE28" s="881"/>
      <c r="AF28" s="881"/>
      <c r="AG28" s="881"/>
      <c r="AH28" s="881"/>
      <c r="AI28" s="881"/>
      <c r="AJ28" s="881"/>
      <c r="AK28" s="881"/>
      <c r="AL28" s="881"/>
      <c r="AM28" s="881"/>
      <c r="AN28" s="881"/>
      <c r="AO28" s="272">
        <v>2.09</v>
      </c>
      <c r="AP28" s="882">
        <f t="shared" si="0"/>
        <v>4614.72</v>
      </c>
      <c r="AQ28" s="882">
        <f t="shared" si="1"/>
        <v>35764.08</v>
      </c>
    </row>
    <row r="29" s="861" customFormat="1" customHeight="1" spans="1:43">
      <c r="A29" s="259">
        <v>45992</v>
      </c>
      <c r="B29" s="259" t="s">
        <v>120</v>
      </c>
      <c r="C29" s="261"/>
      <c r="D29" s="261" t="s">
        <v>121</v>
      </c>
      <c r="E29" s="262" t="s">
        <v>122</v>
      </c>
      <c r="F29" s="262" t="s">
        <v>72</v>
      </c>
      <c r="G29" s="263">
        <v>12</v>
      </c>
      <c r="H29" s="259">
        <v>46045</v>
      </c>
      <c r="I29" s="881"/>
      <c r="J29" s="881"/>
      <c r="K29" s="881"/>
      <c r="L29" s="881"/>
      <c r="M29" s="881"/>
      <c r="N29" s="881"/>
      <c r="O29" s="881"/>
      <c r="P29" s="881"/>
      <c r="Q29" s="881"/>
      <c r="R29" s="881"/>
      <c r="S29" s="881"/>
      <c r="T29" s="881"/>
      <c r="U29" s="881"/>
      <c r="V29" s="881"/>
      <c r="W29" s="881"/>
      <c r="X29" s="881"/>
      <c r="Y29" s="881"/>
      <c r="Z29" s="881">
        <f>G29</f>
        <v>12</v>
      </c>
      <c r="AA29" s="881"/>
      <c r="AB29" s="881"/>
      <c r="AC29" s="881"/>
      <c r="AD29" s="881"/>
      <c r="AE29" s="881"/>
      <c r="AF29" s="881"/>
      <c r="AG29" s="881"/>
      <c r="AH29" s="881"/>
      <c r="AI29" s="881"/>
      <c r="AJ29" s="881"/>
      <c r="AK29" s="881"/>
      <c r="AL29" s="881"/>
      <c r="AM29" s="881"/>
      <c r="AN29" s="881"/>
      <c r="AO29" s="272">
        <v>0</v>
      </c>
      <c r="AP29" s="882">
        <f t="shared" si="0"/>
        <v>0</v>
      </c>
      <c r="AQ29" s="882">
        <f t="shared" si="1"/>
        <v>0</v>
      </c>
    </row>
    <row r="30" s="860" customFormat="1" customHeight="1" spans="1:43">
      <c r="A30" s="280">
        <v>45999</v>
      </c>
      <c r="B30" s="280" t="s">
        <v>123</v>
      </c>
      <c r="C30" s="282"/>
      <c r="D30" s="282" t="s">
        <v>124</v>
      </c>
      <c r="E30" s="283">
        <v>3325103</v>
      </c>
      <c r="F30" s="283" t="s">
        <v>73</v>
      </c>
      <c r="G30" s="284">
        <v>3000</v>
      </c>
      <c r="H30" s="280">
        <v>46059</v>
      </c>
      <c r="I30" s="883"/>
      <c r="J30" s="883"/>
      <c r="K30" s="883"/>
      <c r="L30" s="883"/>
      <c r="M30" s="883"/>
      <c r="N30" s="883"/>
      <c r="O30" s="883"/>
      <c r="P30" s="883"/>
      <c r="Q30" s="883"/>
      <c r="R30" s="883"/>
      <c r="S30" s="883"/>
      <c r="T30" s="883"/>
      <c r="U30" s="883"/>
      <c r="V30" s="883"/>
      <c r="W30" s="883"/>
      <c r="X30" s="883"/>
      <c r="Y30" s="883"/>
      <c r="Z30" s="883"/>
      <c r="AA30" s="883">
        <f>G30</f>
        <v>3000</v>
      </c>
      <c r="AB30" s="883"/>
      <c r="AC30" s="883"/>
      <c r="AD30" s="883"/>
      <c r="AE30" s="883"/>
      <c r="AF30" s="883"/>
      <c r="AG30" s="883"/>
      <c r="AH30" s="883"/>
      <c r="AI30" s="883"/>
      <c r="AJ30" s="883"/>
      <c r="AK30" s="883"/>
      <c r="AL30" s="883"/>
      <c r="AM30" s="883"/>
      <c r="AN30" s="883"/>
      <c r="AO30" s="292">
        <v>2.176</v>
      </c>
      <c r="AP30" s="884">
        <f t="shared" si="0"/>
        <v>6528</v>
      </c>
      <c r="AQ30" s="884">
        <f t="shared" si="1"/>
        <v>50592</v>
      </c>
    </row>
    <row r="31" s="860" customFormat="1" customHeight="1" spans="1:43">
      <c r="A31" s="280">
        <v>45999</v>
      </c>
      <c r="B31" s="280" t="s">
        <v>123</v>
      </c>
      <c r="C31" s="282"/>
      <c r="D31" s="282" t="s">
        <v>124</v>
      </c>
      <c r="E31" s="283">
        <v>3325103</v>
      </c>
      <c r="F31" s="283" t="s">
        <v>73</v>
      </c>
      <c r="G31" s="284">
        <v>18</v>
      </c>
      <c r="H31" s="280">
        <v>46059</v>
      </c>
      <c r="I31" s="883"/>
      <c r="J31" s="883"/>
      <c r="K31" s="883"/>
      <c r="L31" s="883"/>
      <c r="M31" s="883"/>
      <c r="N31" s="883"/>
      <c r="O31" s="883"/>
      <c r="P31" s="883"/>
      <c r="Q31" s="883"/>
      <c r="R31" s="883"/>
      <c r="S31" s="883"/>
      <c r="T31" s="883"/>
      <c r="U31" s="883"/>
      <c r="V31" s="883"/>
      <c r="W31" s="883"/>
      <c r="X31" s="883"/>
      <c r="Y31" s="883"/>
      <c r="Z31" s="883"/>
      <c r="AA31" s="883">
        <f>G31</f>
        <v>18</v>
      </c>
      <c r="AB31" s="883"/>
      <c r="AC31" s="883"/>
      <c r="AD31" s="883"/>
      <c r="AE31" s="883"/>
      <c r="AF31" s="883"/>
      <c r="AG31" s="883"/>
      <c r="AH31" s="883"/>
      <c r="AI31" s="883"/>
      <c r="AJ31" s="883"/>
      <c r="AK31" s="883"/>
      <c r="AL31" s="883"/>
      <c r="AM31" s="883"/>
      <c r="AN31" s="883"/>
      <c r="AO31" s="292">
        <v>0</v>
      </c>
      <c r="AP31" s="884">
        <f t="shared" si="0"/>
        <v>0</v>
      </c>
      <c r="AQ31" s="884">
        <f t="shared" si="1"/>
        <v>0</v>
      </c>
    </row>
    <row r="32" s="862" customFormat="1" customHeight="1" spans="1:43">
      <c r="A32" s="479">
        <v>45999</v>
      </c>
      <c r="B32" s="479" t="s">
        <v>123</v>
      </c>
      <c r="C32" s="790"/>
      <c r="D32" s="790" t="s">
        <v>124</v>
      </c>
      <c r="E32" s="525">
        <v>3325110</v>
      </c>
      <c r="F32" s="525" t="s">
        <v>64</v>
      </c>
      <c r="G32" s="886">
        <v>3000</v>
      </c>
      <c r="H32" s="479">
        <v>46059</v>
      </c>
      <c r="I32" s="576">
        <f>G32</f>
        <v>3000</v>
      </c>
      <c r="J32" s="576"/>
      <c r="K32" s="576"/>
      <c r="L32" s="576"/>
      <c r="M32" s="576"/>
      <c r="N32" s="576"/>
      <c r="O32" s="576"/>
      <c r="P32" s="576"/>
      <c r="Q32" s="576"/>
      <c r="R32" s="576"/>
      <c r="S32" s="576"/>
      <c r="T32" s="576"/>
      <c r="U32" s="576"/>
      <c r="V32" s="576"/>
      <c r="W32" s="576"/>
      <c r="X32" s="576"/>
      <c r="Y32" s="576"/>
      <c r="Z32" s="576"/>
      <c r="AA32" s="576"/>
      <c r="AB32" s="576"/>
      <c r="AC32" s="576"/>
      <c r="AD32" s="576"/>
      <c r="AE32" s="576"/>
      <c r="AF32" s="576"/>
      <c r="AG32" s="576"/>
      <c r="AH32" s="576"/>
      <c r="AI32" s="576"/>
      <c r="AJ32" s="576"/>
      <c r="AK32" s="576"/>
      <c r="AL32" s="576"/>
      <c r="AM32" s="576"/>
      <c r="AN32" s="576"/>
      <c r="AO32" s="887">
        <v>3.361</v>
      </c>
      <c r="AP32" s="888">
        <f t="shared" si="0"/>
        <v>10083</v>
      </c>
      <c r="AQ32" s="888">
        <f t="shared" si="1"/>
        <v>78143.25</v>
      </c>
    </row>
    <row r="33" s="862" customFormat="1" customHeight="1" spans="1:43">
      <c r="A33" s="479">
        <v>45999</v>
      </c>
      <c r="B33" s="479" t="s">
        <v>123</v>
      </c>
      <c r="C33" s="790"/>
      <c r="D33" s="790" t="s">
        <v>124</v>
      </c>
      <c r="E33" s="525">
        <v>3325110</v>
      </c>
      <c r="F33" s="525" t="s">
        <v>64</v>
      </c>
      <c r="G33" s="886">
        <v>18</v>
      </c>
      <c r="H33" s="479">
        <v>46059</v>
      </c>
      <c r="I33" s="576">
        <f>G33</f>
        <v>18</v>
      </c>
      <c r="J33" s="576"/>
      <c r="K33" s="576"/>
      <c r="L33" s="576"/>
      <c r="M33" s="576"/>
      <c r="N33" s="576"/>
      <c r="O33" s="576"/>
      <c r="P33" s="576"/>
      <c r="Q33" s="576"/>
      <c r="R33" s="576"/>
      <c r="S33" s="576"/>
      <c r="T33" s="576"/>
      <c r="U33" s="576"/>
      <c r="V33" s="576"/>
      <c r="W33" s="576"/>
      <c r="X33" s="576"/>
      <c r="Y33" s="576"/>
      <c r="Z33" s="576"/>
      <c r="AA33" s="576"/>
      <c r="AB33" s="576"/>
      <c r="AC33" s="576"/>
      <c r="AD33" s="576"/>
      <c r="AE33" s="576"/>
      <c r="AF33" s="576"/>
      <c r="AG33" s="576"/>
      <c r="AH33" s="576"/>
      <c r="AI33" s="576"/>
      <c r="AJ33" s="576"/>
      <c r="AK33" s="576"/>
      <c r="AL33" s="576"/>
      <c r="AM33" s="576"/>
      <c r="AN33" s="576"/>
      <c r="AO33" s="887">
        <v>0</v>
      </c>
      <c r="AP33" s="888">
        <f t="shared" si="0"/>
        <v>0</v>
      </c>
      <c r="AQ33" s="888">
        <f t="shared" si="1"/>
        <v>0</v>
      </c>
    </row>
    <row r="34" s="860" customFormat="1" customHeight="1" spans="1:43">
      <c r="A34" s="280">
        <v>46000</v>
      </c>
      <c r="B34" s="280" t="s">
        <v>125</v>
      </c>
      <c r="C34" s="282"/>
      <c r="D34" s="282" t="s">
        <v>126</v>
      </c>
      <c r="E34" s="283">
        <v>1526103</v>
      </c>
      <c r="F34" s="283" t="s">
        <v>127</v>
      </c>
      <c r="G34" s="284">
        <v>3000</v>
      </c>
      <c r="H34" s="280">
        <v>46091</v>
      </c>
      <c r="I34" s="883"/>
      <c r="J34" s="883"/>
      <c r="K34" s="883"/>
      <c r="L34" s="883"/>
      <c r="M34" s="883"/>
      <c r="N34" s="883"/>
      <c r="O34" s="883"/>
      <c r="P34" s="883"/>
      <c r="Q34" s="883"/>
      <c r="R34" s="883"/>
      <c r="S34" s="883"/>
      <c r="T34" s="883"/>
      <c r="U34" s="883"/>
      <c r="V34" s="883"/>
      <c r="W34" s="883"/>
      <c r="X34" s="883"/>
      <c r="Y34" s="883"/>
      <c r="Z34" s="883"/>
      <c r="AA34" s="883">
        <f>G34</f>
        <v>3000</v>
      </c>
      <c r="AB34" s="883"/>
      <c r="AC34" s="883"/>
      <c r="AD34" s="883"/>
      <c r="AE34" s="883"/>
      <c r="AF34" s="883"/>
      <c r="AG34" s="883"/>
      <c r="AH34" s="883"/>
      <c r="AI34" s="883"/>
      <c r="AJ34" s="883"/>
      <c r="AK34" s="883"/>
      <c r="AL34" s="883"/>
      <c r="AM34" s="883"/>
      <c r="AN34" s="883"/>
      <c r="AO34" s="292">
        <v>1.937</v>
      </c>
      <c r="AP34" s="884">
        <f t="shared" si="0"/>
        <v>5811</v>
      </c>
      <c r="AQ34" s="884">
        <f t="shared" si="1"/>
        <v>45035.25</v>
      </c>
    </row>
    <row r="35" s="860" customFormat="1" customHeight="1" spans="1:43">
      <c r="A35" s="280">
        <v>46000</v>
      </c>
      <c r="B35" s="280" t="s">
        <v>125</v>
      </c>
      <c r="C35" s="282"/>
      <c r="D35" s="282" t="s">
        <v>126</v>
      </c>
      <c r="E35" s="283">
        <v>1526103</v>
      </c>
      <c r="F35" s="283" t="s">
        <v>127</v>
      </c>
      <c r="G35" s="284">
        <v>16</v>
      </c>
      <c r="H35" s="280">
        <v>46091</v>
      </c>
      <c r="I35" s="883"/>
      <c r="J35" s="883"/>
      <c r="K35" s="883"/>
      <c r="L35" s="883"/>
      <c r="M35" s="883"/>
      <c r="N35" s="883"/>
      <c r="O35" s="883"/>
      <c r="P35" s="883"/>
      <c r="Q35" s="883"/>
      <c r="R35" s="883"/>
      <c r="S35" s="883"/>
      <c r="T35" s="883"/>
      <c r="U35" s="883"/>
      <c r="V35" s="883"/>
      <c r="W35" s="883"/>
      <c r="X35" s="883"/>
      <c r="Y35" s="883"/>
      <c r="Z35" s="883"/>
      <c r="AA35" s="883">
        <f>G35</f>
        <v>16</v>
      </c>
      <c r="AB35" s="883"/>
      <c r="AC35" s="883"/>
      <c r="AD35" s="883"/>
      <c r="AE35" s="883"/>
      <c r="AF35" s="883"/>
      <c r="AG35" s="883"/>
      <c r="AH35" s="883"/>
      <c r="AI35" s="883"/>
      <c r="AJ35" s="883"/>
      <c r="AK35" s="883"/>
      <c r="AL35" s="883"/>
      <c r="AM35" s="883"/>
      <c r="AN35" s="883"/>
      <c r="AO35" s="292">
        <v>0</v>
      </c>
      <c r="AP35" s="884">
        <f t="shared" si="0"/>
        <v>0</v>
      </c>
      <c r="AQ35" s="884">
        <f t="shared" si="1"/>
        <v>0</v>
      </c>
    </row>
    <row r="36" s="860" customFormat="1" customHeight="1" spans="1:43">
      <c r="A36" s="280">
        <v>46000</v>
      </c>
      <c r="B36" s="280" t="s">
        <v>128</v>
      </c>
      <c r="C36" s="282"/>
      <c r="D36" s="282" t="s">
        <v>126</v>
      </c>
      <c r="E36" s="283">
        <v>4726103</v>
      </c>
      <c r="F36" s="283" t="s">
        <v>129</v>
      </c>
      <c r="G36" s="284">
        <v>3000</v>
      </c>
      <c r="H36" s="280">
        <v>46091</v>
      </c>
      <c r="I36" s="883"/>
      <c r="J36" s="883"/>
      <c r="K36" s="883"/>
      <c r="L36" s="883"/>
      <c r="M36" s="883"/>
      <c r="N36" s="883"/>
      <c r="O36" s="883"/>
      <c r="P36" s="883"/>
      <c r="Q36" s="883"/>
      <c r="R36" s="883"/>
      <c r="S36" s="883"/>
      <c r="T36" s="883"/>
      <c r="U36" s="883"/>
      <c r="V36" s="883"/>
      <c r="W36" s="883"/>
      <c r="X36" s="883"/>
      <c r="Y36" s="883"/>
      <c r="Z36" s="883"/>
      <c r="AA36" s="883">
        <f>G36</f>
        <v>3000</v>
      </c>
      <c r="AB36" s="883"/>
      <c r="AC36" s="883"/>
      <c r="AD36" s="883"/>
      <c r="AE36" s="883"/>
      <c r="AF36" s="883"/>
      <c r="AG36" s="883"/>
      <c r="AH36" s="883"/>
      <c r="AI36" s="883"/>
      <c r="AJ36" s="883"/>
      <c r="AK36" s="883"/>
      <c r="AL36" s="883"/>
      <c r="AM36" s="883"/>
      <c r="AN36" s="883"/>
      <c r="AO36" s="292">
        <v>1.937</v>
      </c>
      <c r="AP36" s="884">
        <f t="shared" si="0"/>
        <v>5811</v>
      </c>
      <c r="AQ36" s="884">
        <f t="shared" si="1"/>
        <v>45035.25</v>
      </c>
    </row>
    <row r="37" s="860" customFormat="1" customHeight="1" spans="1:43">
      <c r="A37" s="280">
        <v>46000</v>
      </c>
      <c r="B37" s="280" t="s">
        <v>128</v>
      </c>
      <c r="C37" s="282"/>
      <c r="D37" s="282" t="s">
        <v>126</v>
      </c>
      <c r="E37" s="283">
        <v>4726103</v>
      </c>
      <c r="F37" s="283" t="s">
        <v>129</v>
      </c>
      <c r="G37" s="284">
        <v>16</v>
      </c>
      <c r="H37" s="280">
        <v>46091</v>
      </c>
      <c r="I37" s="883"/>
      <c r="J37" s="883"/>
      <c r="K37" s="883"/>
      <c r="L37" s="883"/>
      <c r="M37" s="883"/>
      <c r="N37" s="883"/>
      <c r="O37" s="883"/>
      <c r="P37" s="883"/>
      <c r="Q37" s="883"/>
      <c r="R37" s="883"/>
      <c r="S37" s="883"/>
      <c r="T37" s="883"/>
      <c r="U37" s="883"/>
      <c r="V37" s="883"/>
      <c r="W37" s="883"/>
      <c r="X37" s="883"/>
      <c r="Y37" s="883"/>
      <c r="Z37" s="883"/>
      <c r="AA37" s="883">
        <f>G37</f>
        <v>16</v>
      </c>
      <c r="AB37" s="883"/>
      <c r="AC37" s="883"/>
      <c r="AD37" s="883"/>
      <c r="AE37" s="883"/>
      <c r="AF37" s="883"/>
      <c r="AG37" s="883"/>
      <c r="AH37" s="883"/>
      <c r="AI37" s="883"/>
      <c r="AJ37" s="883"/>
      <c r="AK37" s="883"/>
      <c r="AL37" s="883"/>
      <c r="AM37" s="883"/>
      <c r="AN37" s="883"/>
      <c r="AO37" s="292">
        <v>0</v>
      </c>
      <c r="AP37" s="884">
        <f t="shared" si="0"/>
        <v>0</v>
      </c>
      <c r="AQ37" s="884">
        <f t="shared" si="1"/>
        <v>0</v>
      </c>
    </row>
    <row r="38" s="859" customFormat="1" customHeight="1" spans="1:43">
      <c r="A38" s="259">
        <v>46001</v>
      </c>
      <c r="B38" s="259" t="s">
        <v>88</v>
      </c>
      <c r="C38" s="261"/>
      <c r="D38" s="261" t="s">
        <v>130</v>
      </c>
      <c r="E38" s="262">
        <v>1025103</v>
      </c>
      <c r="F38" s="262" t="s">
        <v>131</v>
      </c>
      <c r="G38" s="263">
        <v>4002</v>
      </c>
      <c r="H38" s="259">
        <v>46045</v>
      </c>
      <c r="I38" s="881"/>
      <c r="J38" s="881"/>
      <c r="K38" s="881"/>
      <c r="L38" s="881"/>
      <c r="M38" s="881"/>
      <c r="N38" s="881"/>
      <c r="O38" s="881"/>
      <c r="P38" s="881"/>
      <c r="Q38" s="881"/>
      <c r="R38" s="881"/>
      <c r="S38" s="881"/>
      <c r="T38" s="881"/>
      <c r="U38" s="881"/>
      <c r="V38" s="881"/>
      <c r="W38" s="881"/>
      <c r="X38" s="881"/>
      <c r="Y38" s="881"/>
      <c r="Z38" s="881"/>
      <c r="AA38" s="881">
        <f>G38</f>
        <v>4002</v>
      </c>
      <c r="AB38" s="881"/>
      <c r="AC38" s="881"/>
      <c r="AD38" s="881"/>
      <c r="AE38" s="881"/>
      <c r="AF38" s="881"/>
      <c r="AG38" s="881"/>
      <c r="AH38" s="881"/>
      <c r="AI38" s="881"/>
      <c r="AJ38" s="881"/>
      <c r="AK38" s="881"/>
      <c r="AL38" s="881"/>
      <c r="AM38" s="881"/>
      <c r="AN38" s="881"/>
      <c r="AO38" s="272">
        <v>2.119</v>
      </c>
      <c r="AP38" s="882">
        <f t="shared" si="0"/>
        <v>8480.24</v>
      </c>
      <c r="AQ38" s="882">
        <f t="shared" si="1"/>
        <v>65721.86</v>
      </c>
    </row>
    <row r="39" s="859" customFormat="1" customHeight="1" spans="1:43">
      <c r="A39" s="259">
        <v>46001</v>
      </c>
      <c r="B39" s="259" t="s">
        <v>88</v>
      </c>
      <c r="C39" s="261"/>
      <c r="D39" s="261" t="s">
        <v>132</v>
      </c>
      <c r="E39" s="262">
        <v>1025155</v>
      </c>
      <c r="F39" s="262" t="s">
        <v>133</v>
      </c>
      <c r="G39" s="263">
        <v>6000</v>
      </c>
      <c r="H39" s="259">
        <v>46045</v>
      </c>
      <c r="I39" s="881"/>
      <c r="J39" s="881"/>
      <c r="K39" s="881"/>
      <c r="L39" s="881">
        <f>G39</f>
        <v>6000</v>
      </c>
      <c r="M39" s="881"/>
      <c r="N39" s="881"/>
      <c r="O39" s="881"/>
      <c r="P39" s="881"/>
      <c r="Q39" s="881"/>
      <c r="R39" s="881"/>
      <c r="S39" s="881"/>
      <c r="T39" s="881"/>
      <c r="U39" s="881"/>
      <c r="V39" s="881"/>
      <c r="W39" s="881"/>
      <c r="X39" s="881"/>
      <c r="Y39" s="881"/>
      <c r="Z39" s="881"/>
      <c r="AA39" s="881"/>
      <c r="AB39" s="881"/>
      <c r="AC39" s="881"/>
      <c r="AD39" s="881"/>
      <c r="AE39" s="881"/>
      <c r="AF39" s="881"/>
      <c r="AG39" s="881"/>
      <c r="AH39" s="881"/>
      <c r="AI39" s="881"/>
      <c r="AJ39" s="881"/>
      <c r="AK39" s="881"/>
      <c r="AL39" s="881"/>
      <c r="AM39" s="881"/>
      <c r="AN39" s="881"/>
      <c r="AO39" s="272">
        <v>4.516</v>
      </c>
      <c r="AP39" s="882">
        <f t="shared" si="0"/>
        <v>27096</v>
      </c>
      <c r="AQ39" s="882">
        <f t="shared" si="1"/>
        <v>209994</v>
      </c>
    </row>
    <row r="40" s="860" customFormat="1" customHeight="1" spans="1:43">
      <c r="A40" s="280">
        <v>46001</v>
      </c>
      <c r="B40" s="280" t="s">
        <v>88</v>
      </c>
      <c r="C40" s="282"/>
      <c r="D40" s="282" t="s">
        <v>132</v>
      </c>
      <c r="E40" s="283">
        <v>1025155</v>
      </c>
      <c r="F40" s="283" t="s">
        <v>133</v>
      </c>
      <c r="G40" s="284">
        <v>6</v>
      </c>
      <c r="H40" s="280">
        <v>46045</v>
      </c>
      <c r="I40" s="883"/>
      <c r="J40" s="883"/>
      <c r="K40" s="883"/>
      <c r="L40" s="883">
        <f>G40</f>
        <v>6</v>
      </c>
      <c r="M40" s="883"/>
      <c r="N40" s="883"/>
      <c r="O40" s="883"/>
      <c r="P40" s="883"/>
      <c r="Q40" s="883"/>
      <c r="R40" s="883"/>
      <c r="S40" s="883"/>
      <c r="T40" s="883"/>
      <c r="U40" s="883"/>
      <c r="V40" s="883"/>
      <c r="W40" s="883"/>
      <c r="X40" s="883"/>
      <c r="Y40" s="883"/>
      <c r="Z40" s="883"/>
      <c r="AA40" s="883"/>
      <c r="AB40" s="883"/>
      <c r="AC40" s="883"/>
      <c r="AD40" s="883"/>
      <c r="AE40" s="883"/>
      <c r="AF40" s="883"/>
      <c r="AG40" s="883"/>
      <c r="AH40" s="883"/>
      <c r="AI40" s="883"/>
      <c r="AJ40" s="883"/>
      <c r="AK40" s="883"/>
      <c r="AL40" s="883"/>
      <c r="AM40" s="883"/>
      <c r="AN40" s="883"/>
      <c r="AO40" s="292">
        <v>0</v>
      </c>
      <c r="AP40" s="884">
        <f t="shared" si="0"/>
        <v>0</v>
      </c>
      <c r="AQ40" s="884">
        <f t="shared" si="1"/>
        <v>0</v>
      </c>
    </row>
    <row r="41" s="859" customFormat="1" customHeight="1" spans="1:43">
      <c r="A41" s="880">
        <v>46001</v>
      </c>
      <c r="B41" s="260" t="s">
        <v>88</v>
      </c>
      <c r="C41" s="259"/>
      <c r="D41" s="261" t="s">
        <v>134</v>
      </c>
      <c r="E41" s="262">
        <v>1025155</v>
      </c>
      <c r="F41" s="262" t="s">
        <v>133</v>
      </c>
      <c r="G41" s="263">
        <v>2004</v>
      </c>
      <c r="H41" s="259">
        <v>46045</v>
      </c>
      <c r="I41" s="881"/>
      <c r="J41" s="881"/>
      <c r="K41" s="881"/>
      <c r="L41" s="881">
        <f>G41</f>
        <v>2004</v>
      </c>
      <c r="M41" s="881"/>
      <c r="N41" s="881"/>
      <c r="O41" s="881"/>
      <c r="P41" s="881"/>
      <c r="Q41" s="881"/>
      <c r="R41" s="881"/>
      <c r="S41" s="881"/>
      <c r="T41" s="881"/>
      <c r="U41" s="881"/>
      <c r="V41" s="881"/>
      <c r="W41" s="881"/>
      <c r="X41" s="881"/>
      <c r="Y41" s="881"/>
      <c r="Z41" s="881"/>
      <c r="AA41" s="881"/>
      <c r="AB41" s="881"/>
      <c r="AC41" s="881"/>
      <c r="AD41" s="881"/>
      <c r="AE41" s="881"/>
      <c r="AF41" s="881"/>
      <c r="AG41" s="881"/>
      <c r="AH41" s="881"/>
      <c r="AI41" s="881"/>
      <c r="AJ41" s="881"/>
      <c r="AK41" s="881"/>
      <c r="AL41" s="881"/>
      <c r="AM41" s="881"/>
      <c r="AN41" s="881"/>
      <c r="AO41" s="272">
        <v>4.516</v>
      </c>
      <c r="AP41" s="882">
        <f t="shared" si="0"/>
        <v>9050.06</v>
      </c>
      <c r="AQ41" s="882">
        <f t="shared" si="1"/>
        <v>70137.97</v>
      </c>
    </row>
    <row r="42" s="861" customFormat="1" customHeight="1" spans="1:43">
      <c r="A42" s="259">
        <v>46001</v>
      </c>
      <c r="B42" s="259" t="s">
        <v>88</v>
      </c>
      <c r="C42" s="261"/>
      <c r="D42" s="261" t="s">
        <v>135</v>
      </c>
      <c r="E42" s="262">
        <v>1026107</v>
      </c>
      <c r="F42" s="262" t="s">
        <v>136</v>
      </c>
      <c r="G42" s="263">
        <v>6000</v>
      </c>
      <c r="H42" s="259">
        <v>46045</v>
      </c>
      <c r="I42" s="881"/>
      <c r="J42" s="881"/>
      <c r="K42" s="881"/>
      <c r="L42" s="881"/>
      <c r="M42" s="881"/>
      <c r="N42" s="881"/>
      <c r="O42" s="881"/>
      <c r="P42" s="881"/>
      <c r="Q42" s="881"/>
      <c r="R42" s="881"/>
      <c r="S42" s="881"/>
      <c r="T42" s="881"/>
      <c r="U42" s="881"/>
      <c r="V42" s="881"/>
      <c r="W42" s="881"/>
      <c r="X42" s="881"/>
      <c r="Y42" s="881"/>
      <c r="Z42" s="881"/>
      <c r="AA42" s="881"/>
      <c r="AB42" s="881"/>
      <c r="AC42" s="881"/>
      <c r="AD42" s="881"/>
      <c r="AE42" s="881"/>
      <c r="AF42" s="881"/>
      <c r="AG42" s="881"/>
      <c r="AH42" s="881"/>
      <c r="AI42" s="881"/>
      <c r="AJ42" s="881"/>
      <c r="AK42" s="881"/>
      <c r="AL42" s="881"/>
      <c r="AM42" s="881"/>
      <c r="AN42" s="881">
        <f>G42</f>
        <v>6000</v>
      </c>
      <c r="AO42" s="272">
        <v>3.912</v>
      </c>
      <c r="AP42" s="882">
        <f t="shared" si="0"/>
        <v>23472</v>
      </c>
      <c r="AQ42" s="882">
        <f t="shared" si="1"/>
        <v>181908</v>
      </c>
    </row>
    <row r="43" s="860" customFormat="1" customHeight="1" spans="1:43">
      <c r="A43" s="280">
        <v>46001</v>
      </c>
      <c r="B43" s="280" t="s">
        <v>88</v>
      </c>
      <c r="C43" s="282"/>
      <c r="D43" s="282" t="s">
        <v>135</v>
      </c>
      <c r="E43" s="283">
        <v>1026107</v>
      </c>
      <c r="F43" s="283" t="s">
        <v>136</v>
      </c>
      <c r="G43" s="284">
        <v>6</v>
      </c>
      <c r="H43" s="280">
        <v>46045</v>
      </c>
      <c r="I43" s="883"/>
      <c r="J43" s="883"/>
      <c r="K43" s="883"/>
      <c r="L43" s="883"/>
      <c r="M43" s="883"/>
      <c r="N43" s="883"/>
      <c r="O43" s="883"/>
      <c r="P43" s="883"/>
      <c r="Q43" s="883"/>
      <c r="R43" s="883"/>
      <c r="S43" s="883"/>
      <c r="T43" s="883"/>
      <c r="U43" s="883"/>
      <c r="V43" s="883"/>
      <c r="W43" s="883"/>
      <c r="X43" s="883"/>
      <c r="Y43" s="883"/>
      <c r="Z43" s="883"/>
      <c r="AA43" s="883"/>
      <c r="AB43" s="883"/>
      <c r="AC43" s="883"/>
      <c r="AD43" s="883"/>
      <c r="AE43" s="883"/>
      <c r="AF43" s="883"/>
      <c r="AG43" s="883"/>
      <c r="AH43" s="883"/>
      <c r="AI43" s="883"/>
      <c r="AJ43" s="883"/>
      <c r="AK43" s="883"/>
      <c r="AL43" s="883"/>
      <c r="AM43" s="883"/>
      <c r="AN43" s="883">
        <f>G43</f>
        <v>6</v>
      </c>
      <c r="AO43" s="292">
        <v>0</v>
      </c>
      <c r="AP43" s="884">
        <f t="shared" si="0"/>
        <v>0</v>
      </c>
      <c r="AQ43" s="884">
        <f t="shared" si="1"/>
        <v>0</v>
      </c>
    </row>
    <row r="44" s="859" customFormat="1" customHeight="1" spans="1:43">
      <c r="A44" s="880">
        <v>46003</v>
      </c>
      <c r="B44" s="260" t="s">
        <v>137</v>
      </c>
      <c r="C44" s="259"/>
      <c r="D44" s="261" t="s">
        <v>138</v>
      </c>
      <c r="E44" s="262">
        <v>3222103</v>
      </c>
      <c r="F44" s="262" t="s">
        <v>139</v>
      </c>
      <c r="G44" s="263">
        <v>1500</v>
      </c>
      <c r="H44" s="259">
        <v>46042</v>
      </c>
      <c r="I44" s="881"/>
      <c r="J44" s="881"/>
      <c r="K44" s="881"/>
      <c r="L44" s="881"/>
      <c r="M44" s="881"/>
      <c r="N44" s="881"/>
      <c r="O44" s="881"/>
      <c r="P44" s="881"/>
      <c r="Q44" s="881"/>
      <c r="R44" s="881"/>
      <c r="S44" s="881"/>
      <c r="T44" s="881"/>
      <c r="U44" s="881"/>
      <c r="V44" s="881"/>
      <c r="W44" s="881"/>
      <c r="X44" s="881"/>
      <c r="Y44" s="881"/>
      <c r="Z44" s="881"/>
      <c r="AA44" s="881">
        <f>G44</f>
        <v>1500</v>
      </c>
      <c r="AB44" s="881"/>
      <c r="AC44" s="881"/>
      <c r="AD44" s="881"/>
      <c r="AE44" s="881"/>
      <c r="AF44" s="881"/>
      <c r="AG44" s="881"/>
      <c r="AH44" s="881"/>
      <c r="AI44" s="881"/>
      <c r="AJ44" s="881"/>
      <c r="AK44" s="881"/>
      <c r="AL44" s="881"/>
      <c r="AM44" s="881"/>
      <c r="AN44" s="881"/>
      <c r="AO44" s="272">
        <v>1.937</v>
      </c>
      <c r="AP44" s="882">
        <f t="shared" si="0"/>
        <v>2905.5</v>
      </c>
      <c r="AQ44" s="882">
        <f t="shared" si="1"/>
        <v>22517.63</v>
      </c>
    </row>
    <row r="45" s="859" customFormat="1" customHeight="1" spans="1:43">
      <c r="A45" s="880">
        <v>46003</v>
      </c>
      <c r="B45" s="260" t="s">
        <v>137</v>
      </c>
      <c r="C45" s="259"/>
      <c r="D45" s="261" t="s">
        <v>138</v>
      </c>
      <c r="E45" s="262">
        <v>3222103</v>
      </c>
      <c r="F45" s="262" t="s">
        <v>139</v>
      </c>
      <c r="G45" s="263">
        <v>1104</v>
      </c>
      <c r="H45" s="259">
        <v>46042</v>
      </c>
      <c r="I45" s="881"/>
      <c r="J45" s="881"/>
      <c r="K45" s="881"/>
      <c r="L45" s="881"/>
      <c r="M45" s="881"/>
      <c r="N45" s="881"/>
      <c r="O45" s="881"/>
      <c r="P45" s="881"/>
      <c r="Q45" s="881"/>
      <c r="R45" s="881"/>
      <c r="S45" s="881"/>
      <c r="T45" s="881"/>
      <c r="U45" s="881"/>
      <c r="V45" s="881"/>
      <c r="W45" s="881"/>
      <c r="X45" s="881"/>
      <c r="Y45" s="881"/>
      <c r="Z45" s="881"/>
      <c r="AA45" s="881">
        <f>G45</f>
        <v>1104</v>
      </c>
      <c r="AB45" s="881"/>
      <c r="AC45" s="881"/>
      <c r="AD45" s="881"/>
      <c r="AE45" s="881"/>
      <c r="AF45" s="881"/>
      <c r="AG45" s="881"/>
      <c r="AH45" s="881"/>
      <c r="AI45" s="881"/>
      <c r="AJ45" s="881"/>
      <c r="AK45" s="881"/>
      <c r="AL45" s="881"/>
      <c r="AM45" s="881"/>
      <c r="AN45" s="881"/>
      <c r="AO45" s="272">
        <v>1.937</v>
      </c>
      <c r="AP45" s="882">
        <f t="shared" si="0"/>
        <v>2138.45</v>
      </c>
      <c r="AQ45" s="882">
        <f t="shared" si="1"/>
        <v>16572.99</v>
      </c>
    </row>
    <row r="46" s="859" customFormat="1" customHeight="1" spans="1:43">
      <c r="A46" s="880">
        <v>46003</v>
      </c>
      <c r="B46" s="260" t="s">
        <v>137</v>
      </c>
      <c r="C46" s="259"/>
      <c r="D46" s="261" t="s">
        <v>138</v>
      </c>
      <c r="E46" s="262">
        <v>3222110</v>
      </c>
      <c r="F46" s="262" t="s">
        <v>140</v>
      </c>
      <c r="G46" s="263">
        <v>1500</v>
      </c>
      <c r="H46" s="259">
        <v>46042</v>
      </c>
      <c r="I46" s="881">
        <f>G46</f>
        <v>1500</v>
      </c>
      <c r="J46" s="881"/>
      <c r="K46" s="881"/>
      <c r="L46" s="881"/>
      <c r="M46" s="881"/>
      <c r="N46" s="881"/>
      <c r="O46" s="881"/>
      <c r="P46" s="881"/>
      <c r="Q46" s="881"/>
      <c r="R46" s="881"/>
      <c r="S46" s="881"/>
      <c r="T46" s="881"/>
      <c r="U46" s="881"/>
      <c r="V46" s="881"/>
      <c r="W46" s="881"/>
      <c r="X46" s="881"/>
      <c r="Y46" s="881"/>
      <c r="Z46" s="881"/>
      <c r="AA46" s="881"/>
      <c r="AB46" s="881"/>
      <c r="AC46" s="881"/>
      <c r="AD46" s="881"/>
      <c r="AE46" s="881"/>
      <c r="AF46" s="881"/>
      <c r="AG46" s="881"/>
      <c r="AH46" s="881"/>
      <c r="AI46" s="881"/>
      <c r="AJ46" s="881"/>
      <c r="AK46" s="881"/>
      <c r="AL46" s="881"/>
      <c r="AM46" s="881"/>
      <c r="AN46" s="881"/>
      <c r="AO46" s="272">
        <v>3.06</v>
      </c>
      <c r="AP46" s="882">
        <f t="shared" si="0"/>
        <v>4590</v>
      </c>
      <c r="AQ46" s="882">
        <f t="shared" si="1"/>
        <v>35572.5</v>
      </c>
    </row>
    <row r="47" s="859" customFormat="1" customHeight="1" spans="1:43">
      <c r="A47" s="880">
        <v>46003</v>
      </c>
      <c r="B47" s="260" t="s">
        <v>137</v>
      </c>
      <c r="C47" s="259"/>
      <c r="D47" s="261" t="s">
        <v>138</v>
      </c>
      <c r="E47" s="262">
        <v>3222110</v>
      </c>
      <c r="F47" s="262" t="s">
        <v>140</v>
      </c>
      <c r="G47" s="263">
        <v>1104</v>
      </c>
      <c r="H47" s="259">
        <v>46042</v>
      </c>
      <c r="I47" s="881">
        <f>G47</f>
        <v>1104</v>
      </c>
      <c r="J47" s="881"/>
      <c r="K47" s="881"/>
      <c r="L47" s="881"/>
      <c r="M47" s="881"/>
      <c r="N47" s="881"/>
      <c r="O47" s="881"/>
      <c r="P47" s="881"/>
      <c r="Q47" s="881"/>
      <c r="R47" s="881"/>
      <c r="S47" s="881"/>
      <c r="T47" s="881"/>
      <c r="U47" s="881"/>
      <c r="V47" s="881"/>
      <c r="W47" s="881"/>
      <c r="X47" s="881"/>
      <c r="Y47" s="881"/>
      <c r="Z47" s="881"/>
      <c r="AA47" s="881"/>
      <c r="AB47" s="881"/>
      <c r="AC47" s="881"/>
      <c r="AD47" s="881"/>
      <c r="AE47" s="881"/>
      <c r="AF47" s="881"/>
      <c r="AG47" s="881"/>
      <c r="AH47" s="881"/>
      <c r="AI47" s="881"/>
      <c r="AJ47" s="881"/>
      <c r="AK47" s="881"/>
      <c r="AL47" s="881"/>
      <c r="AM47" s="881"/>
      <c r="AN47" s="881"/>
      <c r="AO47" s="272">
        <v>3.06</v>
      </c>
      <c r="AP47" s="882">
        <f t="shared" si="0"/>
        <v>3378.24</v>
      </c>
      <c r="AQ47" s="882">
        <f t="shared" si="1"/>
        <v>26181.36</v>
      </c>
    </row>
    <row r="48" s="859" customFormat="1" customHeight="1" spans="1:43">
      <c r="A48" s="880">
        <v>46009</v>
      </c>
      <c r="B48" s="260" t="s">
        <v>141</v>
      </c>
      <c r="C48" s="259"/>
      <c r="D48" s="261" t="s">
        <v>142</v>
      </c>
      <c r="E48" s="262">
        <v>4524138</v>
      </c>
      <c r="F48" s="262" t="s">
        <v>143</v>
      </c>
      <c r="G48" s="263">
        <v>11190</v>
      </c>
      <c r="H48" s="259">
        <v>6</v>
      </c>
      <c r="I48" s="881"/>
      <c r="J48" s="881"/>
      <c r="K48" s="881"/>
      <c r="L48" s="881"/>
      <c r="M48" s="881"/>
      <c r="N48" s="881"/>
      <c r="O48" s="872">
        <f>G48</f>
        <v>11190</v>
      </c>
      <c r="P48" s="881"/>
      <c r="Q48" s="881"/>
      <c r="R48" s="881"/>
      <c r="S48" s="881"/>
      <c r="T48" s="881"/>
      <c r="U48" s="881"/>
      <c r="V48" s="881"/>
      <c r="W48" s="881"/>
      <c r="X48" s="881"/>
      <c r="Y48" s="881"/>
      <c r="Z48" s="881"/>
      <c r="AA48" s="881"/>
      <c r="AB48" s="881"/>
      <c r="AC48" s="881"/>
      <c r="AD48" s="881"/>
      <c r="AE48" s="881"/>
      <c r="AF48" s="881"/>
      <c r="AG48" s="881"/>
      <c r="AH48" s="881"/>
      <c r="AI48" s="881"/>
      <c r="AJ48" s="881"/>
      <c r="AK48" s="881"/>
      <c r="AL48" s="881"/>
      <c r="AM48" s="881"/>
      <c r="AN48" s="881"/>
      <c r="AO48" s="272">
        <v>3.865</v>
      </c>
      <c r="AP48" s="882">
        <f t="shared" si="0"/>
        <v>43249.35</v>
      </c>
      <c r="AQ48" s="882">
        <f t="shared" si="1"/>
        <v>335182.46</v>
      </c>
    </row>
    <row r="49" s="859" customFormat="1" customHeight="1" spans="1:43">
      <c r="A49" s="880">
        <v>46027</v>
      </c>
      <c r="B49" s="260" t="s">
        <v>109</v>
      </c>
      <c r="C49" s="259"/>
      <c r="D49" s="261" t="s">
        <v>144</v>
      </c>
      <c r="E49" s="262" t="s">
        <v>145</v>
      </c>
      <c r="F49" s="262" t="s">
        <v>111</v>
      </c>
      <c r="G49" s="263">
        <v>13620</v>
      </c>
      <c r="H49" s="259">
        <v>46086</v>
      </c>
      <c r="I49" s="881"/>
      <c r="J49" s="881"/>
      <c r="K49" s="881"/>
      <c r="L49" s="881"/>
      <c r="M49" s="881"/>
      <c r="N49" s="881"/>
      <c r="O49" s="881"/>
      <c r="P49" s="881"/>
      <c r="Q49" s="881"/>
      <c r="R49" s="881"/>
      <c r="S49" s="881"/>
      <c r="T49" s="881"/>
      <c r="U49" s="881"/>
      <c r="V49" s="881"/>
      <c r="W49" s="881"/>
      <c r="X49" s="881"/>
      <c r="Y49" s="881"/>
      <c r="Z49" s="881"/>
      <c r="AA49" s="881">
        <f>G49</f>
        <v>13620</v>
      </c>
      <c r="AB49" s="881"/>
      <c r="AC49" s="881"/>
      <c r="AD49" s="881"/>
      <c r="AE49" s="881"/>
      <c r="AF49" s="881"/>
      <c r="AG49" s="881"/>
      <c r="AH49" s="881"/>
      <c r="AI49" s="881"/>
      <c r="AJ49" s="881"/>
      <c r="AK49" s="881"/>
      <c r="AL49" s="881"/>
      <c r="AM49" s="881"/>
      <c r="AN49" s="881"/>
      <c r="AO49" s="272">
        <v>1.913</v>
      </c>
      <c r="AP49" s="882">
        <f t="shared" si="0"/>
        <v>26055.06</v>
      </c>
      <c r="AQ49" s="882">
        <f t="shared" si="1"/>
        <v>201926.72</v>
      </c>
    </row>
    <row r="50" s="860" customFormat="1" customHeight="1" spans="1:43">
      <c r="A50" s="327">
        <v>46038</v>
      </c>
      <c r="B50" s="280" t="s">
        <v>102</v>
      </c>
      <c r="C50" s="280"/>
      <c r="D50" s="282" t="s">
        <v>146</v>
      </c>
      <c r="E50" s="283" t="s">
        <v>147</v>
      </c>
      <c r="F50" s="283" t="s">
        <v>148</v>
      </c>
      <c r="G50" s="284">
        <v>2304</v>
      </c>
      <c r="H50" s="280">
        <v>46104</v>
      </c>
      <c r="I50" s="883"/>
      <c r="J50" s="883"/>
      <c r="K50" s="883"/>
      <c r="L50" s="883"/>
      <c r="M50" s="883"/>
      <c r="N50" s="883"/>
      <c r="O50" s="883"/>
      <c r="P50" s="883"/>
      <c r="Q50" s="883"/>
      <c r="R50" s="883"/>
      <c r="S50" s="883"/>
      <c r="T50" s="883"/>
      <c r="U50" s="883"/>
      <c r="V50" s="883"/>
      <c r="W50" s="883"/>
      <c r="X50" s="883"/>
      <c r="Y50" s="883"/>
      <c r="Z50" s="883"/>
      <c r="AA50" s="883"/>
      <c r="AB50" s="883"/>
      <c r="AC50" s="883"/>
      <c r="AD50" s="883"/>
      <c r="AE50" s="883"/>
      <c r="AF50" s="883"/>
      <c r="AG50" s="883"/>
      <c r="AH50" s="883">
        <f>G50</f>
        <v>2304</v>
      </c>
      <c r="AI50" s="883"/>
      <c r="AJ50" s="883"/>
      <c r="AK50" s="883"/>
      <c r="AL50" s="883"/>
      <c r="AM50" s="883"/>
      <c r="AN50" s="883"/>
      <c r="AO50" s="292">
        <v>7.285</v>
      </c>
      <c r="AP50" s="884">
        <f t="shared" si="0"/>
        <v>16784.64</v>
      </c>
      <c r="AQ50" s="884">
        <f t="shared" si="1"/>
        <v>130080.96</v>
      </c>
    </row>
    <row r="51" s="860" customFormat="1" customHeight="1" spans="1:43">
      <c r="A51" s="327">
        <v>46038</v>
      </c>
      <c r="B51" s="280" t="s">
        <v>102</v>
      </c>
      <c r="C51" s="280"/>
      <c r="D51" s="282" t="s">
        <v>146</v>
      </c>
      <c r="E51" s="283" t="s">
        <v>149</v>
      </c>
      <c r="F51" s="283" t="s">
        <v>150</v>
      </c>
      <c r="G51" s="284">
        <v>1704</v>
      </c>
      <c r="H51" s="280">
        <v>46104</v>
      </c>
      <c r="I51" s="883"/>
      <c r="J51" s="883"/>
      <c r="K51" s="883"/>
      <c r="L51" s="883"/>
      <c r="M51" s="883"/>
      <c r="N51" s="883"/>
      <c r="O51" s="883"/>
      <c r="P51" s="883"/>
      <c r="Q51" s="883"/>
      <c r="R51" s="883"/>
      <c r="S51" s="883"/>
      <c r="T51" s="883"/>
      <c r="U51" s="883"/>
      <c r="V51" s="883"/>
      <c r="W51" s="883"/>
      <c r="X51" s="883"/>
      <c r="Y51" s="883"/>
      <c r="Z51" s="883"/>
      <c r="AA51" s="883"/>
      <c r="AB51" s="883"/>
      <c r="AC51" s="883"/>
      <c r="AD51" s="883"/>
      <c r="AE51" s="883"/>
      <c r="AF51" s="883"/>
      <c r="AG51" s="883"/>
      <c r="AH51" s="883"/>
      <c r="AI51" s="883"/>
      <c r="AJ51" s="883">
        <f>G51</f>
        <v>1704</v>
      </c>
      <c r="AK51" s="883"/>
      <c r="AL51" s="883"/>
      <c r="AM51" s="883"/>
      <c r="AN51" s="883"/>
      <c r="AO51" s="292">
        <v>3.359</v>
      </c>
      <c r="AP51" s="884">
        <f t="shared" si="0"/>
        <v>5723.74</v>
      </c>
      <c r="AQ51" s="884">
        <f t="shared" si="1"/>
        <v>44358.99</v>
      </c>
    </row>
    <row r="52" s="860" customFormat="1" customHeight="1" spans="1:43">
      <c r="A52" s="327">
        <v>46052</v>
      </c>
      <c r="B52" s="281" t="s">
        <v>109</v>
      </c>
      <c r="C52" s="280"/>
      <c r="D52" s="282" t="s">
        <v>151</v>
      </c>
      <c r="E52" s="283" t="s">
        <v>42</v>
      </c>
      <c r="F52" s="283" t="s">
        <v>7</v>
      </c>
      <c r="G52" s="284">
        <f>14700-4380</f>
        <v>10320</v>
      </c>
      <c r="H52" s="280">
        <v>46104</v>
      </c>
      <c r="I52" s="883"/>
      <c r="J52" s="883"/>
      <c r="K52" s="883"/>
      <c r="L52" s="883">
        <f>G52</f>
        <v>10320</v>
      </c>
      <c r="M52" s="883"/>
      <c r="N52" s="883"/>
      <c r="O52" s="883"/>
      <c r="P52" s="883"/>
      <c r="Q52" s="883"/>
      <c r="R52" s="883"/>
      <c r="S52" s="883"/>
      <c r="T52" s="883"/>
      <c r="U52" s="883"/>
      <c r="V52" s="883"/>
      <c r="W52" s="883"/>
      <c r="X52" s="883"/>
      <c r="Y52" s="883"/>
      <c r="Z52" s="883"/>
      <c r="AA52" s="883"/>
      <c r="AB52" s="883"/>
      <c r="AC52" s="883"/>
      <c r="AD52" s="883"/>
      <c r="AE52" s="883"/>
      <c r="AF52" s="883"/>
      <c r="AG52" s="883"/>
      <c r="AH52" s="883"/>
      <c r="AI52" s="883"/>
      <c r="AJ52" s="883"/>
      <c r="AK52" s="883"/>
      <c r="AL52" s="883"/>
      <c r="AM52" s="883"/>
      <c r="AN52" s="883"/>
      <c r="AO52" s="292">
        <v>4.214</v>
      </c>
      <c r="AP52" s="884">
        <f t="shared" si="0"/>
        <v>43488.48</v>
      </c>
      <c r="AQ52" s="884">
        <f t="shared" si="1"/>
        <v>337035.72</v>
      </c>
    </row>
    <row r="53" s="860" customFormat="1" customHeight="1" spans="1:43">
      <c r="A53" s="327">
        <v>46052</v>
      </c>
      <c r="B53" s="281" t="s">
        <v>109</v>
      </c>
      <c r="C53" s="280"/>
      <c r="D53" s="282" t="s">
        <v>151</v>
      </c>
      <c r="E53" s="283" t="s">
        <v>42</v>
      </c>
      <c r="F53" s="283" t="s">
        <v>7</v>
      </c>
      <c r="G53" s="284">
        <v>4380</v>
      </c>
      <c r="H53" s="280">
        <v>46104</v>
      </c>
      <c r="I53" s="883"/>
      <c r="J53" s="883"/>
      <c r="K53" s="883"/>
      <c r="L53" s="883">
        <f>G53</f>
        <v>4380</v>
      </c>
      <c r="M53" s="883"/>
      <c r="N53" s="883"/>
      <c r="O53" s="883"/>
      <c r="P53" s="883"/>
      <c r="Q53" s="883"/>
      <c r="R53" s="883"/>
      <c r="S53" s="883"/>
      <c r="T53" s="883"/>
      <c r="U53" s="883"/>
      <c r="V53" s="883"/>
      <c r="W53" s="883"/>
      <c r="X53" s="883"/>
      <c r="Y53" s="883"/>
      <c r="Z53" s="883"/>
      <c r="AA53" s="883"/>
      <c r="AB53" s="883"/>
      <c r="AC53" s="883"/>
      <c r="AD53" s="883"/>
      <c r="AE53" s="883"/>
      <c r="AF53" s="883"/>
      <c r="AG53" s="883"/>
      <c r="AH53" s="883"/>
      <c r="AI53" s="883"/>
      <c r="AJ53" s="883"/>
      <c r="AK53" s="883"/>
      <c r="AL53" s="883"/>
      <c r="AM53" s="883"/>
      <c r="AN53" s="883"/>
      <c r="AO53" s="292">
        <v>4.214</v>
      </c>
      <c r="AP53" s="884">
        <f t="shared" si="0"/>
        <v>18457.32</v>
      </c>
      <c r="AQ53" s="884">
        <f t="shared" si="1"/>
        <v>143044.23</v>
      </c>
    </row>
    <row r="54" s="860" customFormat="1" customHeight="1" spans="1:43">
      <c r="A54" s="327">
        <v>46057</v>
      </c>
      <c r="B54" s="327" t="s">
        <v>152</v>
      </c>
      <c r="C54" s="282"/>
      <c r="D54" s="282" t="s">
        <v>153</v>
      </c>
      <c r="E54" s="283">
        <v>1226146</v>
      </c>
      <c r="F54" s="283" t="s">
        <v>154</v>
      </c>
      <c r="G54" s="284">
        <v>11760</v>
      </c>
      <c r="H54" s="280">
        <v>46157</v>
      </c>
      <c r="I54" s="883"/>
      <c r="J54" s="883"/>
      <c r="K54" s="883"/>
      <c r="L54" s="883"/>
      <c r="M54" s="883"/>
      <c r="N54" s="883"/>
      <c r="O54" s="883"/>
      <c r="P54" s="883"/>
      <c r="Q54" s="883"/>
      <c r="R54" s="883"/>
      <c r="S54" s="883"/>
      <c r="T54" s="883"/>
      <c r="U54" s="883"/>
      <c r="V54" s="883"/>
      <c r="W54" s="883"/>
      <c r="X54" s="883"/>
      <c r="Y54" s="883"/>
      <c r="Z54" s="883"/>
      <c r="AA54" s="883"/>
      <c r="AB54" s="883"/>
      <c r="AC54" s="883"/>
      <c r="AD54" s="883"/>
      <c r="AE54" s="883"/>
      <c r="AF54" s="883"/>
      <c r="AG54" s="883"/>
      <c r="AH54" s="883"/>
      <c r="AI54" s="883"/>
      <c r="AJ54" s="883"/>
      <c r="AK54" s="883">
        <f>G54</f>
        <v>11760</v>
      </c>
      <c r="AL54" s="883"/>
      <c r="AM54" s="883"/>
      <c r="AN54" s="883"/>
      <c r="AO54" s="292">
        <v>2.57</v>
      </c>
      <c r="AP54" s="884">
        <f t="shared" si="0"/>
        <v>30223.2</v>
      </c>
      <c r="AQ54" s="884">
        <f t="shared" si="1"/>
        <v>234229.8</v>
      </c>
    </row>
    <row r="55" s="860" customFormat="1" customHeight="1" spans="1:43">
      <c r="A55" s="327">
        <v>46057</v>
      </c>
      <c r="B55" s="327" t="s">
        <v>152</v>
      </c>
      <c r="C55" s="282" t="s">
        <v>106</v>
      </c>
      <c r="D55" s="282" t="s">
        <v>153</v>
      </c>
      <c r="E55" s="283">
        <v>1226146</v>
      </c>
      <c r="F55" s="283" t="s">
        <v>154</v>
      </c>
      <c r="G55" s="284">
        <v>12</v>
      </c>
      <c r="H55" s="280">
        <v>46157</v>
      </c>
      <c r="I55" s="883"/>
      <c r="J55" s="883"/>
      <c r="K55" s="883"/>
      <c r="L55" s="883"/>
      <c r="M55" s="883"/>
      <c r="N55" s="883"/>
      <c r="O55" s="883"/>
      <c r="P55" s="883"/>
      <c r="Q55" s="883"/>
      <c r="R55" s="883"/>
      <c r="S55" s="883"/>
      <c r="T55" s="883"/>
      <c r="U55" s="883"/>
      <c r="V55" s="883"/>
      <c r="W55" s="883"/>
      <c r="X55" s="883"/>
      <c r="Y55" s="883"/>
      <c r="Z55" s="883"/>
      <c r="AA55" s="883"/>
      <c r="AB55" s="883"/>
      <c r="AC55" s="883"/>
      <c r="AD55" s="883"/>
      <c r="AE55" s="883"/>
      <c r="AF55" s="883"/>
      <c r="AG55" s="883"/>
      <c r="AH55" s="883"/>
      <c r="AI55" s="883"/>
      <c r="AJ55" s="883"/>
      <c r="AK55" s="883">
        <f>G55</f>
        <v>12</v>
      </c>
      <c r="AL55" s="883"/>
      <c r="AM55" s="883"/>
      <c r="AN55" s="883"/>
      <c r="AO55" s="292">
        <v>0</v>
      </c>
      <c r="AP55" s="884">
        <f t="shared" si="0"/>
        <v>0</v>
      </c>
      <c r="AQ55" s="884">
        <f t="shared" si="1"/>
        <v>0</v>
      </c>
    </row>
    <row r="56" s="860" customFormat="1" customHeight="1" spans="1:43">
      <c r="A56" s="327">
        <v>46057</v>
      </c>
      <c r="B56" s="327" t="s">
        <v>152</v>
      </c>
      <c r="C56" s="282" t="s">
        <v>155</v>
      </c>
      <c r="D56" s="282" t="s">
        <v>153</v>
      </c>
      <c r="E56" s="283">
        <v>1226146</v>
      </c>
      <c r="F56" s="283" t="s">
        <v>154</v>
      </c>
      <c r="G56" s="284">
        <v>18</v>
      </c>
      <c r="H56" s="280">
        <v>46157</v>
      </c>
      <c r="I56" s="883"/>
      <c r="J56" s="883"/>
      <c r="K56" s="883"/>
      <c r="L56" s="883"/>
      <c r="M56" s="883"/>
      <c r="N56" s="883"/>
      <c r="O56" s="883"/>
      <c r="P56" s="883"/>
      <c r="Q56" s="883"/>
      <c r="R56" s="883"/>
      <c r="S56" s="883"/>
      <c r="T56" s="883"/>
      <c r="U56" s="883"/>
      <c r="V56" s="883"/>
      <c r="W56" s="883"/>
      <c r="X56" s="883"/>
      <c r="Y56" s="883"/>
      <c r="Z56" s="883"/>
      <c r="AA56" s="883"/>
      <c r="AB56" s="883"/>
      <c r="AC56" s="883"/>
      <c r="AD56" s="883"/>
      <c r="AE56" s="883"/>
      <c r="AF56" s="883"/>
      <c r="AG56" s="883"/>
      <c r="AH56" s="883"/>
      <c r="AI56" s="883"/>
      <c r="AJ56" s="883"/>
      <c r="AK56" s="883">
        <f>G56</f>
        <v>18</v>
      </c>
      <c r="AL56" s="883"/>
      <c r="AM56" s="883"/>
      <c r="AN56" s="883"/>
      <c r="AO56" s="292">
        <v>0</v>
      </c>
      <c r="AP56" s="884">
        <f t="shared" si="0"/>
        <v>0</v>
      </c>
      <c r="AQ56" s="884">
        <f t="shared" si="1"/>
        <v>0</v>
      </c>
    </row>
    <row r="57" s="860" customFormat="1" customHeight="1" spans="1:43">
      <c r="A57" s="327">
        <v>46057</v>
      </c>
      <c r="B57" s="281" t="s">
        <v>137</v>
      </c>
      <c r="C57" s="280"/>
      <c r="D57" s="282" t="s">
        <v>156</v>
      </c>
      <c r="E57" s="283">
        <v>1926155</v>
      </c>
      <c r="F57" s="283" t="s">
        <v>157</v>
      </c>
      <c r="G57" s="883">
        <v>4002</v>
      </c>
      <c r="H57" s="280">
        <v>46171</v>
      </c>
      <c r="I57" s="883"/>
      <c r="J57" s="883"/>
      <c r="K57" s="883"/>
      <c r="L57" s="883">
        <f>G57</f>
        <v>4002</v>
      </c>
      <c r="M57" s="883"/>
      <c r="N57" s="883"/>
      <c r="O57" s="883"/>
      <c r="P57" s="883"/>
      <c r="Q57" s="883"/>
      <c r="R57" s="883"/>
      <c r="S57" s="883"/>
      <c r="T57" s="883"/>
      <c r="U57" s="883"/>
      <c r="V57" s="883"/>
      <c r="W57" s="883"/>
      <c r="X57" s="883"/>
      <c r="Y57" s="883"/>
      <c r="Z57" s="883"/>
      <c r="AA57" s="883"/>
      <c r="AB57" s="883"/>
      <c r="AC57" s="883"/>
      <c r="AD57" s="883"/>
      <c r="AE57" s="883"/>
      <c r="AF57" s="883"/>
      <c r="AG57" s="883"/>
      <c r="AH57" s="883"/>
      <c r="AI57" s="883"/>
      <c r="AJ57" s="883"/>
      <c r="AK57" s="883"/>
      <c r="AL57" s="883"/>
      <c r="AM57" s="883"/>
      <c r="AN57" s="883"/>
      <c r="AO57" s="292">
        <v>3.977</v>
      </c>
      <c r="AP57" s="884">
        <f t="shared" si="0"/>
        <v>15915.95</v>
      </c>
      <c r="AQ57" s="884">
        <f t="shared" si="1"/>
        <v>123348.61</v>
      </c>
    </row>
    <row r="58" s="860" customFormat="1" customHeight="1" spans="1:43">
      <c r="A58" s="327">
        <v>46057</v>
      </c>
      <c r="B58" s="281" t="s">
        <v>137</v>
      </c>
      <c r="C58" s="280" t="s">
        <v>155</v>
      </c>
      <c r="D58" s="282" t="s">
        <v>156</v>
      </c>
      <c r="E58" s="283">
        <v>1926155</v>
      </c>
      <c r="F58" s="283" t="s">
        <v>157</v>
      </c>
      <c r="G58" s="284">
        <v>12</v>
      </c>
      <c r="H58" s="280">
        <v>46171</v>
      </c>
      <c r="I58" s="883"/>
      <c r="J58" s="883"/>
      <c r="K58" s="883"/>
      <c r="L58" s="883">
        <f>G58</f>
        <v>12</v>
      </c>
      <c r="M58" s="883"/>
      <c r="N58" s="883"/>
      <c r="O58" s="883"/>
      <c r="P58" s="883"/>
      <c r="Q58" s="883"/>
      <c r="R58" s="883"/>
      <c r="S58" s="883"/>
      <c r="T58" s="883"/>
      <c r="U58" s="883"/>
      <c r="V58" s="883"/>
      <c r="W58" s="883"/>
      <c r="X58" s="883"/>
      <c r="Y58" s="883"/>
      <c r="Z58" s="883"/>
      <c r="AA58" s="883"/>
      <c r="AB58" s="883"/>
      <c r="AC58" s="883"/>
      <c r="AD58" s="883"/>
      <c r="AE58" s="883"/>
      <c r="AF58" s="883"/>
      <c r="AG58" s="883"/>
      <c r="AH58" s="883"/>
      <c r="AI58" s="883"/>
      <c r="AJ58" s="883"/>
      <c r="AK58" s="883"/>
      <c r="AL58" s="883"/>
      <c r="AM58" s="883"/>
      <c r="AN58" s="883"/>
      <c r="AO58" s="292">
        <v>0</v>
      </c>
      <c r="AP58" s="884">
        <f t="shared" si="0"/>
        <v>0</v>
      </c>
      <c r="AQ58" s="884">
        <f t="shared" si="1"/>
        <v>0</v>
      </c>
    </row>
    <row r="59" s="860" customFormat="1" customHeight="1" spans="1:43">
      <c r="A59" s="327">
        <v>46057</v>
      </c>
      <c r="B59" s="281" t="s">
        <v>137</v>
      </c>
      <c r="C59" s="280"/>
      <c r="D59" s="282" t="s">
        <v>158</v>
      </c>
      <c r="E59" s="283">
        <v>5426155</v>
      </c>
      <c r="F59" s="283" t="s">
        <v>159</v>
      </c>
      <c r="G59" s="883">
        <v>4002</v>
      </c>
      <c r="H59" s="280">
        <v>46171</v>
      </c>
      <c r="I59" s="883"/>
      <c r="J59" s="883"/>
      <c r="K59" s="883"/>
      <c r="L59" s="883">
        <f>G59</f>
        <v>4002</v>
      </c>
      <c r="M59" s="883"/>
      <c r="N59" s="883"/>
      <c r="O59" s="883"/>
      <c r="P59" s="883"/>
      <c r="Q59" s="883"/>
      <c r="R59" s="883"/>
      <c r="S59" s="883"/>
      <c r="T59" s="883"/>
      <c r="U59" s="883"/>
      <c r="V59" s="883"/>
      <c r="W59" s="883"/>
      <c r="X59" s="883"/>
      <c r="Y59" s="883"/>
      <c r="Z59" s="883"/>
      <c r="AA59" s="883"/>
      <c r="AB59" s="883"/>
      <c r="AC59" s="883"/>
      <c r="AD59" s="883"/>
      <c r="AE59" s="883"/>
      <c r="AF59" s="883"/>
      <c r="AG59" s="883"/>
      <c r="AH59" s="883"/>
      <c r="AI59" s="883"/>
      <c r="AJ59" s="883"/>
      <c r="AK59" s="883"/>
      <c r="AL59" s="883"/>
      <c r="AM59" s="883"/>
      <c r="AN59" s="883"/>
      <c r="AO59" s="292">
        <v>3.977</v>
      </c>
      <c r="AP59" s="884">
        <f t="shared" si="0"/>
        <v>15915.95</v>
      </c>
      <c r="AQ59" s="884">
        <f t="shared" si="1"/>
        <v>123348.61</v>
      </c>
    </row>
    <row r="60" s="860" customFormat="1" customHeight="1" spans="1:43">
      <c r="A60" s="327">
        <v>46057</v>
      </c>
      <c r="B60" s="281" t="s">
        <v>137</v>
      </c>
      <c r="C60" s="280"/>
      <c r="D60" s="282" t="s">
        <v>158</v>
      </c>
      <c r="E60" s="283">
        <v>5426155</v>
      </c>
      <c r="F60" s="283" t="s">
        <v>159</v>
      </c>
      <c r="G60" s="284">
        <v>12</v>
      </c>
      <c r="H60" s="280">
        <v>46171</v>
      </c>
      <c r="I60" s="883"/>
      <c r="J60" s="883"/>
      <c r="K60" s="883"/>
      <c r="L60" s="883">
        <f>G60</f>
        <v>12</v>
      </c>
      <c r="M60" s="883"/>
      <c r="N60" s="883"/>
      <c r="O60" s="883"/>
      <c r="P60" s="883"/>
      <c r="Q60" s="883"/>
      <c r="R60" s="883"/>
      <c r="S60" s="883"/>
      <c r="T60" s="883"/>
      <c r="U60" s="883"/>
      <c r="V60" s="883"/>
      <c r="W60" s="883"/>
      <c r="X60" s="883"/>
      <c r="Y60" s="883"/>
      <c r="Z60" s="883"/>
      <c r="AA60" s="883"/>
      <c r="AB60" s="883"/>
      <c r="AC60" s="883"/>
      <c r="AD60" s="883"/>
      <c r="AE60" s="883"/>
      <c r="AF60" s="883"/>
      <c r="AG60" s="883"/>
      <c r="AH60" s="883"/>
      <c r="AI60" s="883"/>
      <c r="AJ60" s="883"/>
      <c r="AK60" s="883"/>
      <c r="AL60" s="883"/>
      <c r="AM60" s="883"/>
      <c r="AN60" s="883"/>
      <c r="AO60" s="292">
        <v>0</v>
      </c>
      <c r="AP60" s="884">
        <f t="shared" si="0"/>
        <v>0</v>
      </c>
      <c r="AQ60" s="884">
        <f t="shared" si="1"/>
        <v>0</v>
      </c>
    </row>
    <row r="61" s="860" customFormat="1" customHeight="1" spans="1:43">
      <c r="A61" s="280">
        <v>46077</v>
      </c>
      <c r="B61" s="280" t="s">
        <v>120</v>
      </c>
      <c r="C61" s="282"/>
      <c r="D61" s="282" t="s">
        <v>160</v>
      </c>
      <c r="E61" s="283">
        <v>1125131</v>
      </c>
      <c r="F61" s="283" t="s">
        <v>161</v>
      </c>
      <c r="G61" s="284">
        <v>3600</v>
      </c>
      <c r="H61" s="280">
        <v>46125</v>
      </c>
      <c r="I61" s="883"/>
      <c r="J61" s="883"/>
      <c r="K61" s="883"/>
      <c r="L61" s="883"/>
      <c r="M61" s="883"/>
      <c r="N61" s="883"/>
      <c r="O61" s="883"/>
      <c r="P61" s="883"/>
      <c r="Q61" s="883"/>
      <c r="R61" s="883"/>
      <c r="S61" s="883"/>
      <c r="T61" s="883"/>
      <c r="U61" s="883"/>
      <c r="V61" s="883"/>
      <c r="W61" s="883"/>
      <c r="X61" s="883"/>
      <c r="Y61" s="883"/>
      <c r="Z61" s="883"/>
      <c r="AA61" s="883"/>
      <c r="AB61" s="883"/>
      <c r="AC61" s="883"/>
      <c r="AD61" s="883">
        <f>G61</f>
        <v>3600</v>
      </c>
      <c r="AE61" s="883"/>
      <c r="AF61" s="883"/>
      <c r="AG61" s="883"/>
      <c r="AH61" s="883"/>
      <c r="AI61" s="883"/>
      <c r="AJ61" s="883"/>
      <c r="AK61" s="883"/>
      <c r="AL61" s="883"/>
      <c r="AM61" s="883"/>
      <c r="AN61" s="883"/>
      <c r="AO61" s="292">
        <v>2.081</v>
      </c>
      <c r="AP61" s="884">
        <f t="shared" si="0"/>
        <v>7491.6</v>
      </c>
      <c r="AQ61" s="884">
        <f t="shared" si="1"/>
        <v>58059.9</v>
      </c>
    </row>
    <row r="62" s="860" customFormat="1" customHeight="1" spans="1:43">
      <c r="A62" s="280">
        <v>46077</v>
      </c>
      <c r="B62" s="280" t="s">
        <v>120</v>
      </c>
      <c r="C62" s="282" t="s">
        <v>155</v>
      </c>
      <c r="D62" s="282" t="s">
        <v>160</v>
      </c>
      <c r="E62" s="283">
        <v>1125131</v>
      </c>
      <c r="F62" s="283" t="s">
        <v>161</v>
      </c>
      <c r="G62" s="284">
        <v>12</v>
      </c>
      <c r="H62" s="280">
        <v>46125</v>
      </c>
      <c r="I62" s="883"/>
      <c r="J62" s="883"/>
      <c r="K62" s="883"/>
      <c r="L62" s="883"/>
      <c r="M62" s="883"/>
      <c r="N62" s="883"/>
      <c r="O62" s="883"/>
      <c r="P62" s="883"/>
      <c r="Q62" s="883"/>
      <c r="R62" s="883"/>
      <c r="S62" s="883"/>
      <c r="T62" s="883"/>
      <c r="U62" s="883"/>
      <c r="V62" s="883"/>
      <c r="W62" s="883"/>
      <c r="X62" s="883"/>
      <c r="Y62" s="883"/>
      <c r="Z62" s="883"/>
      <c r="AA62" s="883"/>
      <c r="AB62" s="883"/>
      <c r="AC62" s="883"/>
      <c r="AD62" s="883">
        <f>G62</f>
        <v>12</v>
      </c>
      <c r="AE62" s="883"/>
      <c r="AF62" s="883"/>
      <c r="AG62" s="883"/>
      <c r="AH62" s="883"/>
      <c r="AI62" s="883"/>
      <c r="AJ62" s="883"/>
      <c r="AK62" s="883"/>
      <c r="AL62" s="883"/>
      <c r="AM62" s="883"/>
      <c r="AN62" s="883"/>
      <c r="AO62" s="292">
        <v>0</v>
      </c>
      <c r="AP62" s="884">
        <f t="shared" si="0"/>
        <v>0</v>
      </c>
      <c r="AQ62" s="884">
        <f t="shared" si="1"/>
        <v>0</v>
      </c>
    </row>
    <row r="63" s="860" customFormat="1" customHeight="1" spans="1:43">
      <c r="A63" s="280">
        <v>46077</v>
      </c>
      <c r="B63" s="280" t="s">
        <v>109</v>
      </c>
      <c r="C63" s="282"/>
      <c r="D63" s="282" t="s">
        <v>162</v>
      </c>
      <c r="E63" s="283" t="s">
        <v>163</v>
      </c>
      <c r="F63" s="283" t="s">
        <v>23</v>
      </c>
      <c r="G63" s="284">
        <v>2700</v>
      </c>
      <c r="H63" s="280">
        <v>46136</v>
      </c>
      <c r="I63" s="883"/>
      <c r="J63" s="883"/>
      <c r="K63" s="883"/>
      <c r="L63" s="883"/>
      <c r="M63" s="883"/>
      <c r="N63" s="883"/>
      <c r="O63" s="883"/>
      <c r="P63" s="883"/>
      <c r="Q63" s="883"/>
      <c r="R63" s="883"/>
      <c r="S63" s="883"/>
      <c r="T63" s="883"/>
      <c r="U63" s="883"/>
      <c r="V63" s="883"/>
      <c r="W63" s="883"/>
      <c r="X63" s="883"/>
      <c r="Y63" s="883"/>
      <c r="Z63" s="883"/>
      <c r="AA63" s="883"/>
      <c r="AB63" s="883"/>
      <c r="AC63" s="883">
        <f>G63</f>
        <v>2700</v>
      </c>
      <c r="AD63" s="883"/>
      <c r="AE63" s="883"/>
      <c r="AF63" s="883"/>
      <c r="AG63" s="883"/>
      <c r="AH63" s="883"/>
      <c r="AI63" s="883"/>
      <c r="AJ63" s="883"/>
      <c r="AK63" s="883"/>
      <c r="AL63" s="883"/>
      <c r="AM63" s="883"/>
      <c r="AN63" s="883"/>
      <c r="AO63" s="292">
        <v>2.063</v>
      </c>
      <c r="AP63" s="884">
        <f t="shared" si="0"/>
        <v>5570.1</v>
      </c>
      <c r="AQ63" s="884">
        <f t="shared" si="1"/>
        <v>43168.28</v>
      </c>
    </row>
    <row r="64" s="860" customFormat="1" customHeight="1" spans="1:43">
      <c r="A64" s="280">
        <v>46077</v>
      </c>
      <c r="B64" s="280" t="s">
        <v>109</v>
      </c>
      <c r="C64" s="282" t="s">
        <v>155</v>
      </c>
      <c r="D64" s="282" t="s">
        <v>162</v>
      </c>
      <c r="E64" s="283" t="s">
        <v>163</v>
      </c>
      <c r="F64" s="283" t="s">
        <v>23</v>
      </c>
      <c r="G64" s="284">
        <v>8</v>
      </c>
      <c r="H64" s="280">
        <v>46136</v>
      </c>
      <c r="I64" s="883"/>
      <c r="J64" s="883"/>
      <c r="K64" s="883"/>
      <c r="L64" s="883"/>
      <c r="M64" s="883"/>
      <c r="N64" s="883"/>
      <c r="O64" s="883"/>
      <c r="P64" s="883"/>
      <c r="Q64" s="883"/>
      <c r="R64" s="883"/>
      <c r="S64" s="883"/>
      <c r="T64" s="883"/>
      <c r="U64" s="883"/>
      <c r="V64" s="883"/>
      <c r="W64" s="883"/>
      <c r="X64" s="883"/>
      <c r="Y64" s="883"/>
      <c r="Z64" s="883"/>
      <c r="AA64" s="883"/>
      <c r="AB64" s="883"/>
      <c r="AC64" s="883">
        <f>G64</f>
        <v>8</v>
      </c>
      <c r="AD64" s="883"/>
      <c r="AE64" s="883"/>
      <c r="AF64" s="883"/>
      <c r="AG64" s="883"/>
      <c r="AH64" s="883"/>
      <c r="AI64" s="883"/>
      <c r="AJ64" s="883"/>
      <c r="AK64" s="883"/>
      <c r="AL64" s="883"/>
      <c r="AM64" s="883"/>
      <c r="AN64" s="883"/>
      <c r="AO64" s="292">
        <v>0</v>
      </c>
      <c r="AP64" s="884">
        <f t="shared" si="0"/>
        <v>0</v>
      </c>
      <c r="AQ64" s="884">
        <f t="shared" si="1"/>
        <v>0</v>
      </c>
    </row>
    <row r="65" s="860" customFormat="1" customHeight="1" spans="1:43">
      <c r="A65" s="280">
        <v>46077</v>
      </c>
      <c r="B65" s="280" t="s">
        <v>109</v>
      </c>
      <c r="C65" s="282"/>
      <c r="D65" s="282" t="s">
        <v>164</v>
      </c>
      <c r="E65" s="283" t="s">
        <v>165</v>
      </c>
      <c r="F65" s="283" t="s">
        <v>23</v>
      </c>
      <c r="G65" s="284">
        <v>51778</v>
      </c>
      <c r="H65" s="280">
        <v>46136</v>
      </c>
      <c r="I65" s="883"/>
      <c r="J65" s="883"/>
      <c r="K65" s="883"/>
      <c r="L65" s="883"/>
      <c r="M65" s="883"/>
      <c r="N65" s="883"/>
      <c r="O65" s="883"/>
      <c r="P65" s="883"/>
      <c r="Q65" s="883"/>
      <c r="R65" s="883"/>
      <c r="S65" s="883"/>
      <c r="T65" s="883"/>
      <c r="U65" s="883"/>
      <c r="V65" s="883"/>
      <c r="W65" s="883"/>
      <c r="X65" s="883"/>
      <c r="Y65" s="883"/>
      <c r="Z65" s="883"/>
      <c r="AA65" s="883"/>
      <c r="AB65" s="883"/>
      <c r="AC65" s="883">
        <f>G65</f>
        <v>51778</v>
      </c>
      <c r="AD65" s="883"/>
      <c r="AE65" s="883"/>
      <c r="AF65" s="883"/>
      <c r="AG65" s="883"/>
      <c r="AH65" s="883"/>
      <c r="AI65" s="883"/>
      <c r="AJ65" s="883"/>
      <c r="AK65" s="883"/>
      <c r="AL65" s="883"/>
      <c r="AM65" s="883"/>
      <c r="AN65" s="883"/>
      <c r="AO65" s="292">
        <v>2.137</v>
      </c>
      <c r="AP65" s="884">
        <f t="shared" si="0"/>
        <v>110649.59</v>
      </c>
      <c r="AQ65" s="884">
        <f t="shared" si="1"/>
        <v>857534.32</v>
      </c>
    </row>
    <row r="66" s="860" customFormat="1" customHeight="1" spans="1:43">
      <c r="A66" s="280">
        <v>46077</v>
      </c>
      <c r="B66" s="280" t="s">
        <v>109</v>
      </c>
      <c r="C66" s="282" t="s">
        <v>155</v>
      </c>
      <c r="D66" s="282" t="s">
        <v>164</v>
      </c>
      <c r="E66" s="283" t="s">
        <v>165</v>
      </c>
      <c r="F66" s="283" t="s">
        <v>23</v>
      </c>
      <c r="G66" s="284">
        <v>18</v>
      </c>
      <c r="H66" s="280">
        <v>46136</v>
      </c>
      <c r="I66" s="883"/>
      <c r="J66" s="883"/>
      <c r="K66" s="883"/>
      <c r="L66" s="883"/>
      <c r="M66" s="883"/>
      <c r="N66" s="883"/>
      <c r="O66" s="883"/>
      <c r="P66" s="883"/>
      <c r="Q66" s="883"/>
      <c r="R66" s="883"/>
      <c r="S66" s="883"/>
      <c r="T66" s="883"/>
      <c r="U66" s="883"/>
      <c r="V66" s="883"/>
      <c r="W66" s="883"/>
      <c r="X66" s="883"/>
      <c r="Y66" s="883"/>
      <c r="Z66" s="883"/>
      <c r="AA66" s="883"/>
      <c r="AB66" s="883"/>
      <c r="AC66" s="883">
        <f>G66</f>
        <v>18</v>
      </c>
      <c r="AD66" s="883"/>
      <c r="AE66" s="883"/>
      <c r="AF66" s="883"/>
      <c r="AG66" s="883"/>
      <c r="AH66" s="883"/>
      <c r="AI66" s="883"/>
      <c r="AJ66" s="883"/>
      <c r="AK66" s="883"/>
      <c r="AL66" s="883"/>
      <c r="AM66" s="883"/>
      <c r="AN66" s="883"/>
      <c r="AO66" s="292">
        <v>0</v>
      </c>
      <c r="AP66" s="884">
        <f t="shared" si="0"/>
        <v>0</v>
      </c>
      <c r="AQ66" s="884">
        <f t="shared" si="1"/>
        <v>0</v>
      </c>
    </row>
    <row r="67" s="860" customFormat="1" customHeight="1" spans="1:43">
      <c r="A67" s="280">
        <v>46077</v>
      </c>
      <c r="B67" s="280" t="s">
        <v>120</v>
      </c>
      <c r="C67" s="282"/>
      <c r="D67" s="282" t="s">
        <v>160</v>
      </c>
      <c r="E67" s="283" t="s">
        <v>166</v>
      </c>
      <c r="F67" s="283" t="s">
        <v>167</v>
      </c>
      <c r="G67" s="284">
        <v>3000</v>
      </c>
      <c r="H67" s="280">
        <v>46125</v>
      </c>
      <c r="I67" s="883"/>
      <c r="J67" s="883"/>
      <c r="K67" s="883"/>
      <c r="L67" s="883"/>
      <c r="M67" s="883"/>
      <c r="N67" s="883"/>
      <c r="O67" s="883"/>
      <c r="P67" s="883"/>
      <c r="Q67" s="883"/>
      <c r="R67" s="883"/>
      <c r="S67" s="883"/>
      <c r="T67" s="883"/>
      <c r="U67" s="883"/>
      <c r="V67" s="883"/>
      <c r="W67" s="883"/>
      <c r="X67" s="883">
        <f>G67</f>
        <v>3000</v>
      </c>
      <c r="Y67" s="883"/>
      <c r="Z67" s="883"/>
      <c r="AA67" s="883"/>
      <c r="AB67" s="883"/>
      <c r="AC67" s="883"/>
      <c r="AD67" s="883"/>
      <c r="AE67" s="883"/>
      <c r="AF67" s="883"/>
      <c r="AG67" s="883"/>
      <c r="AH67" s="883"/>
      <c r="AI67" s="883"/>
      <c r="AJ67" s="883"/>
      <c r="AK67" s="883"/>
      <c r="AL67" s="883"/>
      <c r="AM67" s="883"/>
      <c r="AN67" s="883"/>
      <c r="AO67" s="292">
        <v>2.656</v>
      </c>
      <c r="AP67" s="884">
        <f t="shared" ref="AP67:AP130" si="3">SUM(I67:AN67)*AO67</f>
        <v>7968</v>
      </c>
      <c r="AQ67" s="884">
        <f t="shared" ref="AQ67:AQ83" si="4">AP67*7.75</f>
        <v>61752</v>
      </c>
    </row>
    <row r="68" s="860" customFormat="1" customHeight="1" spans="1:43">
      <c r="A68" s="327">
        <v>46078</v>
      </c>
      <c r="B68" s="327" t="s">
        <v>120</v>
      </c>
      <c r="C68" s="282"/>
      <c r="D68" s="282" t="s">
        <v>168</v>
      </c>
      <c r="E68" s="283">
        <v>1126146</v>
      </c>
      <c r="F68" s="283" t="s">
        <v>169</v>
      </c>
      <c r="G68" s="284">
        <v>2400</v>
      </c>
      <c r="H68" s="280">
        <v>46121</v>
      </c>
      <c r="I68" s="883"/>
      <c r="J68" s="883"/>
      <c r="K68" s="883"/>
      <c r="L68" s="883"/>
      <c r="M68" s="883"/>
      <c r="N68" s="883"/>
      <c r="O68" s="883"/>
      <c r="P68" s="883"/>
      <c r="Q68" s="883"/>
      <c r="R68" s="883"/>
      <c r="S68" s="883"/>
      <c r="T68" s="883"/>
      <c r="U68" s="883"/>
      <c r="V68" s="883"/>
      <c r="W68" s="883"/>
      <c r="X68" s="883"/>
      <c r="Y68" s="883"/>
      <c r="Z68" s="883"/>
      <c r="AA68" s="883"/>
      <c r="AB68" s="883"/>
      <c r="AC68" s="883"/>
      <c r="AD68" s="883"/>
      <c r="AE68" s="883"/>
      <c r="AF68" s="883"/>
      <c r="AG68" s="883"/>
      <c r="AH68" s="883"/>
      <c r="AI68" s="883"/>
      <c r="AJ68" s="883"/>
      <c r="AK68" s="883">
        <f>G68</f>
        <v>2400</v>
      </c>
      <c r="AL68" s="883"/>
      <c r="AM68" s="883"/>
      <c r="AN68" s="883"/>
      <c r="AO68" s="292">
        <v>2.57</v>
      </c>
      <c r="AP68" s="884">
        <f t="shared" si="3"/>
        <v>6168</v>
      </c>
      <c r="AQ68" s="884">
        <f t="shared" si="4"/>
        <v>47802</v>
      </c>
    </row>
    <row r="69" s="860" customFormat="1" customHeight="1" spans="1:43">
      <c r="A69" s="327">
        <v>46078</v>
      </c>
      <c r="B69" s="327" t="s">
        <v>120</v>
      </c>
      <c r="C69" s="282" t="s">
        <v>155</v>
      </c>
      <c r="D69" s="282" t="s">
        <v>168</v>
      </c>
      <c r="E69" s="283">
        <v>1126146</v>
      </c>
      <c r="F69" s="283" t="s">
        <v>169</v>
      </c>
      <c r="G69" s="284">
        <v>18</v>
      </c>
      <c r="H69" s="280">
        <v>46121</v>
      </c>
      <c r="I69" s="883"/>
      <c r="J69" s="883"/>
      <c r="K69" s="883"/>
      <c r="L69" s="883"/>
      <c r="M69" s="883"/>
      <c r="N69" s="883"/>
      <c r="O69" s="883"/>
      <c r="P69" s="883"/>
      <c r="Q69" s="883"/>
      <c r="R69" s="883"/>
      <c r="S69" s="883"/>
      <c r="T69" s="883"/>
      <c r="U69" s="883"/>
      <c r="V69" s="883"/>
      <c r="W69" s="883"/>
      <c r="X69" s="883"/>
      <c r="Y69" s="883"/>
      <c r="Z69" s="883"/>
      <c r="AA69" s="883"/>
      <c r="AB69" s="883"/>
      <c r="AC69" s="883"/>
      <c r="AD69" s="883"/>
      <c r="AE69" s="883"/>
      <c r="AF69" s="883"/>
      <c r="AG69" s="883"/>
      <c r="AH69" s="883"/>
      <c r="AI69" s="883"/>
      <c r="AJ69" s="883"/>
      <c r="AK69" s="883">
        <f>G69</f>
        <v>18</v>
      </c>
      <c r="AL69" s="883"/>
      <c r="AM69" s="883"/>
      <c r="AN69" s="883"/>
      <c r="AO69" s="292">
        <v>0</v>
      </c>
      <c r="AP69" s="884">
        <f t="shared" si="3"/>
        <v>0</v>
      </c>
      <c r="AQ69" s="884">
        <f t="shared" si="4"/>
        <v>0</v>
      </c>
    </row>
    <row r="70" s="860" customFormat="1" customHeight="1" spans="1:43">
      <c r="A70" s="327">
        <v>46078</v>
      </c>
      <c r="B70" s="327" t="s">
        <v>120</v>
      </c>
      <c r="C70" s="282"/>
      <c r="D70" s="282" t="s">
        <v>168</v>
      </c>
      <c r="E70" s="283">
        <v>1126168</v>
      </c>
      <c r="F70" s="283" t="s">
        <v>65</v>
      </c>
      <c r="G70" s="284">
        <v>2400</v>
      </c>
      <c r="H70" s="280">
        <v>46121</v>
      </c>
      <c r="I70" s="883"/>
      <c r="J70" s="883">
        <f>G70</f>
        <v>2400</v>
      </c>
      <c r="K70" s="883"/>
      <c r="L70" s="883"/>
      <c r="M70" s="883"/>
      <c r="N70" s="883"/>
      <c r="O70" s="883"/>
      <c r="P70" s="883"/>
      <c r="Q70" s="883"/>
      <c r="R70" s="883"/>
      <c r="S70" s="883"/>
      <c r="T70" s="883"/>
      <c r="U70" s="883"/>
      <c r="V70" s="883"/>
      <c r="W70" s="883"/>
      <c r="X70" s="883"/>
      <c r="Y70" s="883"/>
      <c r="Z70" s="883"/>
      <c r="AA70" s="883"/>
      <c r="AB70" s="883"/>
      <c r="AC70" s="883"/>
      <c r="AD70" s="883"/>
      <c r="AE70" s="883"/>
      <c r="AF70" s="883"/>
      <c r="AG70" s="883"/>
      <c r="AH70" s="883"/>
      <c r="AI70" s="883"/>
      <c r="AJ70" s="883"/>
      <c r="AK70" s="883"/>
      <c r="AL70" s="883"/>
      <c r="AM70" s="883"/>
      <c r="AN70" s="883"/>
      <c r="AO70" s="292">
        <v>3.392</v>
      </c>
      <c r="AP70" s="884">
        <f t="shared" si="3"/>
        <v>8140.8</v>
      </c>
      <c r="AQ70" s="884">
        <f t="shared" si="4"/>
        <v>63091.2</v>
      </c>
    </row>
    <row r="71" s="860" customFormat="1" customHeight="1" spans="1:43">
      <c r="A71" s="327">
        <v>46078</v>
      </c>
      <c r="B71" s="327" t="s">
        <v>120</v>
      </c>
      <c r="C71" s="282" t="s">
        <v>155</v>
      </c>
      <c r="D71" s="282" t="s">
        <v>168</v>
      </c>
      <c r="E71" s="283">
        <v>1126168</v>
      </c>
      <c r="F71" s="283" t="s">
        <v>65</v>
      </c>
      <c r="G71" s="284">
        <v>18</v>
      </c>
      <c r="H71" s="280">
        <v>46121</v>
      </c>
      <c r="I71" s="883"/>
      <c r="J71" s="883">
        <f>G71</f>
        <v>18</v>
      </c>
      <c r="K71" s="883"/>
      <c r="L71" s="883"/>
      <c r="M71" s="883"/>
      <c r="N71" s="883"/>
      <c r="O71" s="883"/>
      <c r="P71" s="883"/>
      <c r="Q71" s="883"/>
      <c r="R71" s="883"/>
      <c r="S71" s="883"/>
      <c r="T71" s="883"/>
      <c r="U71" s="883"/>
      <c r="V71" s="883"/>
      <c r="W71" s="883"/>
      <c r="X71" s="883"/>
      <c r="Y71" s="883"/>
      <c r="Z71" s="883"/>
      <c r="AA71" s="883"/>
      <c r="AB71" s="883"/>
      <c r="AC71" s="883"/>
      <c r="AD71" s="883"/>
      <c r="AE71" s="883"/>
      <c r="AF71" s="883"/>
      <c r="AG71" s="883"/>
      <c r="AH71" s="883"/>
      <c r="AI71" s="883"/>
      <c r="AJ71" s="883"/>
      <c r="AK71" s="883"/>
      <c r="AL71" s="883"/>
      <c r="AM71" s="883"/>
      <c r="AN71" s="883"/>
      <c r="AO71" s="292">
        <v>0</v>
      </c>
      <c r="AP71" s="884">
        <f t="shared" si="3"/>
        <v>0</v>
      </c>
      <c r="AQ71" s="884">
        <f t="shared" si="4"/>
        <v>0</v>
      </c>
    </row>
    <row r="72" s="863" customFormat="1" customHeight="1" spans="1:43">
      <c r="A72" s="889">
        <v>46080</v>
      </c>
      <c r="B72" s="889" t="s">
        <v>137</v>
      </c>
      <c r="C72" s="231"/>
      <c r="D72" s="231" t="s">
        <v>170</v>
      </c>
      <c r="E72" s="232">
        <v>1426155</v>
      </c>
      <c r="F72" s="232" t="s">
        <v>171</v>
      </c>
      <c r="G72" s="233">
        <v>9210</v>
      </c>
      <c r="H72" s="229">
        <v>46212</v>
      </c>
      <c r="I72" s="872"/>
      <c r="J72" s="872"/>
      <c r="K72" s="872"/>
      <c r="L72" s="872">
        <f>G72</f>
        <v>9210</v>
      </c>
      <c r="M72" s="872"/>
      <c r="N72" s="872"/>
      <c r="O72" s="872"/>
      <c r="P72" s="872"/>
      <c r="Q72" s="872"/>
      <c r="R72" s="872"/>
      <c r="S72" s="872"/>
      <c r="T72" s="872"/>
      <c r="U72" s="872"/>
      <c r="V72" s="872"/>
      <c r="W72" s="872"/>
      <c r="X72" s="872"/>
      <c r="Y72" s="872"/>
      <c r="Z72" s="872"/>
      <c r="AA72" s="872"/>
      <c r="AB72" s="872"/>
      <c r="AC72" s="872"/>
      <c r="AD72" s="872"/>
      <c r="AE72" s="872"/>
      <c r="AF72" s="872"/>
      <c r="AG72" s="872"/>
      <c r="AH72" s="872"/>
      <c r="AI72" s="872"/>
      <c r="AJ72" s="872"/>
      <c r="AK72" s="872"/>
      <c r="AL72" s="872"/>
      <c r="AM72" s="872"/>
      <c r="AN72" s="872"/>
      <c r="AO72" s="242">
        <v>4.335</v>
      </c>
      <c r="AP72" s="32">
        <f t="shared" si="3"/>
        <v>39925.35</v>
      </c>
      <c r="AQ72" s="32">
        <f t="shared" si="4"/>
        <v>309421.46</v>
      </c>
    </row>
    <row r="73" s="863" customFormat="1" customHeight="1" spans="1:43">
      <c r="A73" s="889">
        <v>46080</v>
      </c>
      <c r="B73" s="889" t="s">
        <v>137</v>
      </c>
      <c r="C73" s="231" t="s">
        <v>155</v>
      </c>
      <c r="D73" s="231" t="s">
        <v>170</v>
      </c>
      <c r="E73" s="232">
        <v>1426155</v>
      </c>
      <c r="F73" s="232" t="s">
        <v>171</v>
      </c>
      <c r="G73" s="233">
        <v>15</v>
      </c>
      <c r="H73" s="229">
        <v>46212</v>
      </c>
      <c r="I73" s="872"/>
      <c r="J73" s="872"/>
      <c r="K73" s="872"/>
      <c r="L73" s="872">
        <f>G73</f>
        <v>15</v>
      </c>
      <c r="M73" s="872"/>
      <c r="N73" s="872"/>
      <c r="O73" s="872"/>
      <c r="P73" s="872"/>
      <c r="Q73" s="872"/>
      <c r="R73" s="872"/>
      <c r="S73" s="872"/>
      <c r="T73" s="872"/>
      <c r="U73" s="872"/>
      <c r="V73" s="872"/>
      <c r="W73" s="872"/>
      <c r="X73" s="872"/>
      <c r="Y73" s="872"/>
      <c r="Z73" s="872"/>
      <c r="AA73" s="872"/>
      <c r="AB73" s="872"/>
      <c r="AC73" s="872"/>
      <c r="AD73" s="872"/>
      <c r="AE73" s="872"/>
      <c r="AF73" s="872"/>
      <c r="AG73" s="872"/>
      <c r="AH73" s="872"/>
      <c r="AI73" s="872"/>
      <c r="AJ73" s="872"/>
      <c r="AK73" s="872"/>
      <c r="AL73" s="872"/>
      <c r="AM73" s="872"/>
      <c r="AN73" s="872"/>
      <c r="AO73" s="242">
        <v>0</v>
      </c>
      <c r="AP73" s="32">
        <f t="shared" si="3"/>
        <v>0</v>
      </c>
      <c r="AQ73" s="32">
        <f t="shared" si="4"/>
        <v>0</v>
      </c>
    </row>
    <row r="74" s="863" customFormat="1" customHeight="1" spans="1:43">
      <c r="A74" s="889">
        <v>46080</v>
      </c>
      <c r="B74" s="889" t="s">
        <v>137</v>
      </c>
      <c r="C74" s="231"/>
      <c r="D74" s="231" t="s">
        <v>172</v>
      </c>
      <c r="E74" s="232">
        <v>1426169</v>
      </c>
      <c r="F74" s="232" t="s">
        <v>173</v>
      </c>
      <c r="G74" s="233">
        <v>9000</v>
      </c>
      <c r="H74" s="229">
        <v>46213</v>
      </c>
      <c r="I74" s="872"/>
      <c r="J74" s="872"/>
      <c r="K74" s="872"/>
      <c r="L74" s="872"/>
      <c r="M74" s="872"/>
      <c r="N74" s="872"/>
      <c r="O74" s="872"/>
      <c r="P74" s="872"/>
      <c r="Q74" s="872"/>
      <c r="R74" s="872"/>
      <c r="S74" s="872"/>
      <c r="T74" s="872"/>
      <c r="U74" s="872"/>
      <c r="V74" s="872"/>
      <c r="W74" s="872"/>
      <c r="X74" s="872"/>
      <c r="Y74" s="872"/>
      <c r="Z74" s="872"/>
      <c r="AA74" s="872"/>
      <c r="AB74" s="872"/>
      <c r="AC74" s="872"/>
      <c r="AD74" s="872"/>
      <c r="AE74" s="872"/>
      <c r="AF74" s="872"/>
      <c r="AG74" s="872"/>
      <c r="AH74" s="872"/>
      <c r="AI74" s="872"/>
      <c r="AJ74" s="872"/>
      <c r="AK74" s="872"/>
      <c r="AL74" s="872">
        <f>G74</f>
        <v>9000</v>
      </c>
      <c r="AM74" s="872"/>
      <c r="AN74" s="872"/>
      <c r="AO74" s="242">
        <v>2.573</v>
      </c>
      <c r="AP74" s="32">
        <f t="shared" si="3"/>
        <v>23157</v>
      </c>
      <c r="AQ74" s="32">
        <f t="shared" si="4"/>
        <v>179466.75</v>
      </c>
    </row>
    <row r="75" s="863" customFormat="1" customHeight="1" spans="1:43">
      <c r="A75" s="889">
        <v>46080</v>
      </c>
      <c r="B75" s="889" t="s">
        <v>137</v>
      </c>
      <c r="C75" s="231" t="s">
        <v>155</v>
      </c>
      <c r="D75" s="231" t="s">
        <v>172</v>
      </c>
      <c r="E75" s="232">
        <v>1426169</v>
      </c>
      <c r="F75" s="232" t="s">
        <v>173</v>
      </c>
      <c r="G75" s="233">
        <v>15</v>
      </c>
      <c r="H75" s="229">
        <v>46213</v>
      </c>
      <c r="I75" s="872"/>
      <c r="J75" s="872"/>
      <c r="K75" s="872"/>
      <c r="L75" s="872"/>
      <c r="M75" s="872"/>
      <c r="N75" s="872"/>
      <c r="O75" s="872"/>
      <c r="P75" s="872"/>
      <c r="Q75" s="872"/>
      <c r="R75" s="872"/>
      <c r="S75" s="872"/>
      <c r="T75" s="872"/>
      <c r="U75" s="872"/>
      <c r="V75" s="872"/>
      <c r="W75" s="872"/>
      <c r="X75" s="872"/>
      <c r="Y75" s="872"/>
      <c r="Z75" s="872"/>
      <c r="AA75" s="872"/>
      <c r="AB75" s="872"/>
      <c r="AC75" s="872"/>
      <c r="AD75" s="872"/>
      <c r="AE75" s="872"/>
      <c r="AF75" s="872"/>
      <c r="AG75" s="872"/>
      <c r="AH75" s="872"/>
      <c r="AI75" s="872"/>
      <c r="AJ75" s="872"/>
      <c r="AK75" s="872"/>
      <c r="AL75" s="872">
        <f>G75</f>
        <v>15</v>
      </c>
      <c r="AM75" s="872"/>
      <c r="AN75" s="872"/>
      <c r="AO75" s="242">
        <v>0</v>
      </c>
      <c r="AP75" s="32">
        <f t="shared" si="3"/>
        <v>0</v>
      </c>
      <c r="AQ75" s="32">
        <f t="shared" si="4"/>
        <v>0</v>
      </c>
    </row>
    <row r="76" s="860" customFormat="1" customHeight="1" spans="1:43">
      <c r="A76" s="327">
        <v>46080</v>
      </c>
      <c r="B76" s="280" t="s">
        <v>174</v>
      </c>
      <c r="C76" s="282"/>
      <c r="D76" s="282" t="s">
        <v>175</v>
      </c>
      <c r="E76" s="283">
        <v>3023072</v>
      </c>
      <c r="F76" s="283" t="s">
        <v>176</v>
      </c>
      <c r="G76" s="284">
        <v>3000</v>
      </c>
      <c r="H76" s="280">
        <v>46162</v>
      </c>
      <c r="I76" s="883"/>
      <c r="J76" s="883"/>
      <c r="K76" s="883"/>
      <c r="L76" s="883"/>
      <c r="M76" s="883"/>
      <c r="N76" s="883"/>
      <c r="O76" s="883"/>
      <c r="P76" s="883"/>
      <c r="Q76" s="883"/>
      <c r="R76" s="883"/>
      <c r="S76" s="883"/>
      <c r="T76" s="883">
        <f>G76</f>
        <v>3000</v>
      </c>
      <c r="U76" s="883"/>
      <c r="V76" s="883"/>
      <c r="W76" s="883"/>
      <c r="X76" s="883"/>
      <c r="Y76" s="883"/>
      <c r="Z76" s="883"/>
      <c r="AA76" s="883"/>
      <c r="AB76" s="883"/>
      <c r="AC76" s="883"/>
      <c r="AD76" s="883"/>
      <c r="AE76" s="883"/>
      <c r="AF76" s="883"/>
      <c r="AG76" s="883"/>
      <c r="AH76" s="883"/>
      <c r="AI76" s="883"/>
      <c r="AJ76" s="883"/>
      <c r="AK76" s="883"/>
      <c r="AL76" s="883"/>
      <c r="AM76" s="883"/>
      <c r="AN76" s="883"/>
      <c r="AO76" s="292">
        <v>4.624</v>
      </c>
      <c r="AP76" s="884">
        <f t="shared" si="3"/>
        <v>13872</v>
      </c>
      <c r="AQ76" s="884">
        <f t="shared" si="4"/>
        <v>107508</v>
      </c>
    </row>
    <row r="77" s="860" customFormat="1" customHeight="1" spans="1:43">
      <c r="A77" s="327">
        <v>46080</v>
      </c>
      <c r="B77" s="280" t="s">
        <v>174</v>
      </c>
      <c r="C77" s="280"/>
      <c r="D77" s="282" t="s">
        <v>175</v>
      </c>
      <c r="E77" s="283">
        <v>3025130</v>
      </c>
      <c r="F77" s="283" t="s">
        <v>177</v>
      </c>
      <c r="G77" s="284">
        <v>2502</v>
      </c>
      <c r="H77" s="280">
        <v>46162</v>
      </c>
      <c r="I77" s="883"/>
      <c r="J77" s="883"/>
      <c r="K77" s="883">
        <f>G77</f>
        <v>2502</v>
      </c>
      <c r="L77" s="883"/>
      <c r="M77" s="883"/>
      <c r="N77" s="883"/>
      <c r="O77" s="883"/>
      <c r="P77" s="883"/>
      <c r="Q77" s="883"/>
      <c r="R77" s="883"/>
      <c r="S77" s="883"/>
      <c r="T77" s="883"/>
      <c r="U77" s="883"/>
      <c r="V77" s="883"/>
      <c r="W77" s="883"/>
      <c r="X77" s="883"/>
      <c r="Y77" s="883"/>
      <c r="Z77" s="883"/>
      <c r="AA77" s="883"/>
      <c r="AB77" s="883"/>
      <c r="AC77" s="883"/>
      <c r="AD77" s="883"/>
      <c r="AE77" s="883"/>
      <c r="AF77" s="883"/>
      <c r="AG77" s="883"/>
      <c r="AH77" s="883"/>
      <c r="AI77" s="883"/>
      <c r="AJ77" s="883"/>
      <c r="AK77" s="883"/>
      <c r="AL77" s="883"/>
      <c r="AM77" s="883"/>
      <c r="AN77" s="883"/>
      <c r="AO77" s="292">
        <v>3.345</v>
      </c>
      <c r="AP77" s="884">
        <f t="shared" si="3"/>
        <v>8369.19</v>
      </c>
      <c r="AQ77" s="884">
        <f t="shared" si="4"/>
        <v>64861.22</v>
      </c>
    </row>
    <row r="78" s="860" customFormat="1" customHeight="1" spans="1:43">
      <c r="A78" s="327">
        <v>46080</v>
      </c>
      <c r="B78" s="280" t="s">
        <v>174</v>
      </c>
      <c r="C78" s="280"/>
      <c r="D78" s="282" t="s">
        <v>175</v>
      </c>
      <c r="E78" s="283">
        <v>3026107</v>
      </c>
      <c r="F78" s="283" t="s">
        <v>178</v>
      </c>
      <c r="G78" s="284">
        <v>1500</v>
      </c>
      <c r="H78" s="280">
        <v>46162</v>
      </c>
      <c r="I78" s="883"/>
      <c r="J78" s="883"/>
      <c r="K78" s="883"/>
      <c r="L78" s="883"/>
      <c r="M78" s="883"/>
      <c r="N78" s="883"/>
      <c r="O78" s="883"/>
      <c r="P78" s="883"/>
      <c r="Q78" s="883"/>
      <c r="R78" s="883"/>
      <c r="S78" s="883"/>
      <c r="T78" s="883"/>
      <c r="U78" s="883"/>
      <c r="V78" s="883"/>
      <c r="W78" s="883"/>
      <c r="X78" s="883"/>
      <c r="Y78" s="883"/>
      <c r="Z78" s="883"/>
      <c r="AA78" s="883"/>
      <c r="AB78" s="883"/>
      <c r="AC78" s="883"/>
      <c r="AD78" s="883"/>
      <c r="AE78" s="883"/>
      <c r="AF78" s="883"/>
      <c r="AG78" s="883"/>
      <c r="AH78" s="883"/>
      <c r="AI78" s="883"/>
      <c r="AJ78" s="883"/>
      <c r="AK78" s="883"/>
      <c r="AL78" s="883"/>
      <c r="AM78" s="883"/>
      <c r="AN78" s="883">
        <f>G78</f>
        <v>1500</v>
      </c>
      <c r="AO78" s="292">
        <v>3.912</v>
      </c>
      <c r="AP78" s="884">
        <f t="shared" si="3"/>
        <v>5868</v>
      </c>
      <c r="AQ78" s="884">
        <f t="shared" si="4"/>
        <v>45477</v>
      </c>
    </row>
    <row r="79" s="860" customFormat="1" customHeight="1" spans="1:43">
      <c r="A79" s="327">
        <v>46080</v>
      </c>
      <c r="B79" s="327" t="s">
        <v>141</v>
      </c>
      <c r="C79" s="282"/>
      <c r="D79" s="282" t="s">
        <v>179</v>
      </c>
      <c r="E79" s="283">
        <v>4522098</v>
      </c>
      <c r="F79" s="283" t="s">
        <v>18</v>
      </c>
      <c r="G79" s="284">
        <v>10320</v>
      </c>
      <c r="H79" s="280">
        <v>46226</v>
      </c>
      <c r="I79" s="883"/>
      <c r="J79" s="883"/>
      <c r="K79" s="883"/>
      <c r="L79" s="883"/>
      <c r="M79" s="883"/>
      <c r="N79" s="883"/>
      <c r="O79" s="883"/>
      <c r="P79" s="883"/>
      <c r="Q79" s="883"/>
      <c r="R79" s="883"/>
      <c r="S79" s="883"/>
      <c r="T79" s="883"/>
      <c r="U79" s="883">
        <f>G79</f>
        <v>10320</v>
      </c>
      <c r="V79" s="883"/>
      <c r="W79" s="883"/>
      <c r="X79" s="883"/>
      <c r="Y79" s="883"/>
      <c r="Z79" s="883"/>
      <c r="AA79" s="883"/>
      <c r="AB79" s="883"/>
      <c r="AC79" s="883"/>
      <c r="AD79" s="883"/>
      <c r="AE79" s="883"/>
      <c r="AF79" s="883"/>
      <c r="AG79" s="883"/>
      <c r="AH79" s="883"/>
      <c r="AI79" s="883"/>
      <c r="AJ79" s="883"/>
      <c r="AK79" s="883"/>
      <c r="AL79" s="883"/>
      <c r="AM79" s="883"/>
      <c r="AN79" s="883"/>
      <c r="AO79" s="292">
        <v>3.699</v>
      </c>
      <c r="AP79" s="884">
        <f t="shared" si="3"/>
        <v>38173.68</v>
      </c>
      <c r="AQ79" s="884">
        <f t="shared" si="4"/>
        <v>295846.02</v>
      </c>
    </row>
    <row r="80" s="860" customFormat="1" customHeight="1" spans="1:43">
      <c r="A80" s="327">
        <v>46083</v>
      </c>
      <c r="B80" s="281" t="s">
        <v>120</v>
      </c>
      <c r="C80" s="280"/>
      <c r="D80" s="282" t="s">
        <v>180</v>
      </c>
      <c r="E80" s="283">
        <v>1125103</v>
      </c>
      <c r="F80" s="283" t="s">
        <v>4</v>
      </c>
      <c r="G80" s="285">
        <v>1800</v>
      </c>
      <c r="H80" s="280">
        <v>46202</v>
      </c>
      <c r="I80" s="883"/>
      <c r="J80" s="883"/>
      <c r="K80" s="883"/>
      <c r="L80" s="883"/>
      <c r="M80" s="883"/>
      <c r="N80" s="883"/>
      <c r="O80" s="883"/>
      <c r="P80" s="883"/>
      <c r="Q80" s="883"/>
      <c r="R80" s="883"/>
      <c r="S80" s="883"/>
      <c r="T80" s="883"/>
      <c r="U80" s="890"/>
      <c r="V80" s="883"/>
      <c r="W80" s="883"/>
      <c r="X80" s="883"/>
      <c r="Y80" s="883"/>
      <c r="Z80" s="883"/>
      <c r="AA80" s="883">
        <f>G80</f>
        <v>1800</v>
      </c>
      <c r="AB80" s="883"/>
      <c r="AC80" s="883"/>
      <c r="AD80" s="883"/>
      <c r="AE80" s="883"/>
      <c r="AF80" s="883"/>
      <c r="AG80" s="883"/>
      <c r="AH80" s="883"/>
      <c r="AI80" s="883"/>
      <c r="AJ80" s="883"/>
      <c r="AK80" s="883"/>
      <c r="AL80" s="883"/>
      <c r="AM80" s="883"/>
      <c r="AN80" s="883"/>
      <c r="AO80" s="292">
        <v>1.899</v>
      </c>
      <c r="AP80" s="884">
        <f t="shared" si="3"/>
        <v>3418.2</v>
      </c>
      <c r="AQ80" s="884">
        <f t="shared" si="4"/>
        <v>26491.05</v>
      </c>
    </row>
    <row r="81" s="860" customFormat="1" customHeight="1" spans="1:43">
      <c r="A81" s="327">
        <v>46083</v>
      </c>
      <c r="B81" s="281" t="s">
        <v>120</v>
      </c>
      <c r="C81" s="280" t="s">
        <v>155</v>
      </c>
      <c r="D81" s="282" t="s">
        <v>180</v>
      </c>
      <c r="E81" s="283">
        <v>1125103</v>
      </c>
      <c r="F81" s="283" t="s">
        <v>4</v>
      </c>
      <c r="G81" s="285">
        <v>18</v>
      </c>
      <c r="H81" s="280">
        <v>46202</v>
      </c>
      <c r="I81" s="883"/>
      <c r="J81" s="883"/>
      <c r="K81" s="883"/>
      <c r="L81" s="883"/>
      <c r="M81" s="883"/>
      <c r="N81" s="883"/>
      <c r="O81" s="883"/>
      <c r="P81" s="883"/>
      <c r="Q81" s="883"/>
      <c r="R81" s="883"/>
      <c r="S81" s="883"/>
      <c r="T81" s="883"/>
      <c r="U81" s="890"/>
      <c r="V81" s="883"/>
      <c r="W81" s="883"/>
      <c r="X81" s="883"/>
      <c r="Y81" s="883"/>
      <c r="Z81" s="883"/>
      <c r="AA81" s="883">
        <f>G81</f>
        <v>18</v>
      </c>
      <c r="AB81" s="883"/>
      <c r="AC81" s="883"/>
      <c r="AD81" s="883"/>
      <c r="AE81" s="883"/>
      <c r="AF81" s="883"/>
      <c r="AG81" s="883"/>
      <c r="AH81" s="883"/>
      <c r="AI81" s="883"/>
      <c r="AJ81" s="883"/>
      <c r="AK81" s="883"/>
      <c r="AL81" s="883"/>
      <c r="AM81" s="883"/>
      <c r="AN81" s="883"/>
      <c r="AO81" s="292">
        <v>0</v>
      </c>
      <c r="AP81" s="884">
        <f t="shared" si="3"/>
        <v>0</v>
      </c>
      <c r="AQ81" s="884">
        <f t="shared" si="4"/>
        <v>0</v>
      </c>
    </row>
    <row r="82" s="860" customFormat="1" customHeight="1" spans="1:43">
      <c r="A82" s="327">
        <v>46083</v>
      </c>
      <c r="B82" s="281" t="s">
        <v>120</v>
      </c>
      <c r="C82" s="280"/>
      <c r="D82" s="282" t="s">
        <v>180</v>
      </c>
      <c r="E82" s="283">
        <v>1126169</v>
      </c>
      <c r="F82" s="283" t="s">
        <v>181</v>
      </c>
      <c r="G82" s="285">
        <v>3000</v>
      </c>
      <c r="H82" s="280">
        <v>46202</v>
      </c>
      <c r="I82" s="883"/>
      <c r="J82" s="883"/>
      <c r="K82" s="883"/>
      <c r="L82" s="883"/>
      <c r="M82" s="883"/>
      <c r="N82" s="883"/>
      <c r="O82" s="883"/>
      <c r="P82" s="883"/>
      <c r="Q82" s="883"/>
      <c r="R82" s="883"/>
      <c r="S82" s="883"/>
      <c r="T82" s="883"/>
      <c r="U82" s="890"/>
      <c r="V82" s="883"/>
      <c r="W82" s="883"/>
      <c r="X82" s="883"/>
      <c r="Y82" s="883">
        <f>G82</f>
        <v>3000</v>
      </c>
      <c r="Z82" s="883"/>
      <c r="AA82" s="883"/>
      <c r="AB82" s="883"/>
      <c r="AC82" s="883"/>
      <c r="AD82" s="883"/>
      <c r="AE82" s="883"/>
      <c r="AF82" s="883"/>
      <c r="AG82" s="883"/>
      <c r="AH82" s="883"/>
      <c r="AI82" s="883"/>
      <c r="AJ82" s="883"/>
      <c r="AK82" s="883"/>
      <c r="AL82" s="883"/>
      <c r="AM82" s="883"/>
      <c r="AN82" s="883"/>
      <c r="AO82" s="292">
        <v>2.573</v>
      </c>
      <c r="AP82" s="884">
        <f t="shared" si="3"/>
        <v>7719</v>
      </c>
      <c r="AQ82" s="884">
        <f t="shared" si="4"/>
        <v>59822.25</v>
      </c>
    </row>
    <row r="83" s="860" customFormat="1" customHeight="1" spans="1:43">
      <c r="A83" s="327">
        <v>46083</v>
      </c>
      <c r="B83" s="281" t="s">
        <v>120</v>
      </c>
      <c r="C83" s="280" t="s">
        <v>155</v>
      </c>
      <c r="D83" s="282" t="s">
        <v>180</v>
      </c>
      <c r="E83" s="283">
        <v>1126169</v>
      </c>
      <c r="F83" s="283" t="s">
        <v>181</v>
      </c>
      <c r="G83" s="285">
        <v>18</v>
      </c>
      <c r="H83" s="280">
        <v>46202</v>
      </c>
      <c r="I83" s="883"/>
      <c r="J83" s="883"/>
      <c r="K83" s="883"/>
      <c r="L83" s="883"/>
      <c r="M83" s="883"/>
      <c r="N83" s="883"/>
      <c r="O83" s="883"/>
      <c r="P83" s="883"/>
      <c r="Q83" s="883"/>
      <c r="R83" s="883"/>
      <c r="S83" s="883"/>
      <c r="T83" s="883"/>
      <c r="U83" s="890"/>
      <c r="V83" s="883"/>
      <c r="W83" s="883"/>
      <c r="X83" s="883"/>
      <c r="Y83" s="883">
        <f>G83</f>
        <v>18</v>
      </c>
      <c r="Z83" s="883"/>
      <c r="AA83" s="883"/>
      <c r="AB83" s="883"/>
      <c r="AC83" s="883"/>
      <c r="AD83" s="883"/>
      <c r="AE83" s="883"/>
      <c r="AF83" s="883"/>
      <c r="AG83" s="883"/>
      <c r="AH83" s="883"/>
      <c r="AI83" s="883"/>
      <c r="AJ83" s="883"/>
      <c r="AK83" s="883"/>
      <c r="AL83" s="883"/>
      <c r="AM83" s="883"/>
      <c r="AN83" s="883"/>
      <c r="AO83" s="292">
        <v>0</v>
      </c>
      <c r="AP83" s="884">
        <f t="shared" si="3"/>
        <v>0</v>
      </c>
      <c r="AQ83" s="884">
        <f t="shared" si="4"/>
        <v>0</v>
      </c>
    </row>
    <row r="84" s="860" customFormat="1" customHeight="1" spans="1:43">
      <c r="A84" s="327">
        <v>46083</v>
      </c>
      <c r="B84" s="281" t="s">
        <v>141</v>
      </c>
      <c r="C84" s="280"/>
      <c r="D84" s="282" t="s">
        <v>182</v>
      </c>
      <c r="E84" s="283">
        <v>4525159</v>
      </c>
      <c r="F84" s="283" t="s">
        <v>183</v>
      </c>
      <c r="G84" s="285">
        <v>3000</v>
      </c>
      <c r="H84" s="280">
        <v>46183</v>
      </c>
      <c r="I84" s="883"/>
      <c r="J84" s="883"/>
      <c r="K84" s="883"/>
      <c r="L84" s="883"/>
      <c r="M84" s="883"/>
      <c r="N84" s="883"/>
      <c r="O84" s="883"/>
      <c r="P84" s="883"/>
      <c r="Q84" s="883"/>
      <c r="R84" s="883"/>
      <c r="S84" s="883"/>
      <c r="T84" s="883"/>
      <c r="V84" s="890">
        <v>3000</v>
      </c>
      <c r="W84" s="883"/>
      <c r="X84" s="883"/>
      <c r="Y84" s="883"/>
      <c r="Z84" s="883"/>
      <c r="AA84" s="883"/>
      <c r="AB84" s="883"/>
      <c r="AC84" s="883"/>
      <c r="AD84" s="883"/>
      <c r="AE84" s="883"/>
      <c r="AF84" s="883"/>
      <c r="AG84" s="883"/>
      <c r="AH84" s="883"/>
      <c r="AI84" s="883"/>
      <c r="AJ84" s="883"/>
      <c r="AK84" s="883"/>
      <c r="AL84" s="883"/>
      <c r="AM84" s="883"/>
      <c r="AN84" s="883"/>
      <c r="AO84" s="292">
        <v>3.545</v>
      </c>
      <c r="AP84" s="884">
        <f t="shared" si="3"/>
        <v>10635</v>
      </c>
      <c r="AQ84" s="884">
        <v>82421.25</v>
      </c>
    </row>
    <row r="85" s="860" customFormat="1" customHeight="1" spans="1:43">
      <c r="A85" s="327">
        <v>46083</v>
      </c>
      <c r="B85" s="281" t="s">
        <v>141</v>
      </c>
      <c r="C85" s="280"/>
      <c r="D85" s="282" t="s">
        <v>184</v>
      </c>
      <c r="E85" s="283">
        <v>4526146</v>
      </c>
      <c r="F85" s="283" t="s">
        <v>185</v>
      </c>
      <c r="G85" s="284">
        <v>8004</v>
      </c>
      <c r="H85" s="280">
        <v>46202</v>
      </c>
      <c r="I85" s="883"/>
      <c r="J85" s="883"/>
      <c r="K85" s="883"/>
      <c r="L85" s="883"/>
      <c r="M85" s="883"/>
      <c r="N85" s="883"/>
      <c r="O85" s="883"/>
      <c r="P85" s="883"/>
      <c r="Q85" s="883"/>
      <c r="R85" s="883"/>
      <c r="S85" s="883"/>
      <c r="T85" s="883"/>
      <c r="U85" s="883"/>
      <c r="V85" s="883"/>
      <c r="W85" s="883"/>
      <c r="X85" s="883"/>
      <c r="Y85" s="883"/>
      <c r="Z85" s="883"/>
      <c r="AA85" s="883"/>
      <c r="AB85" s="883"/>
      <c r="AC85" s="883"/>
      <c r="AD85" s="883"/>
      <c r="AE85" s="883"/>
      <c r="AF85" s="883"/>
      <c r="AG85" s="883"/>
      <c r="AH85" s="883"/>
      <c r="AI85" s="883"/>
      <c r="AJ85" s="883"/>
      <c r="AK85" s="883">
        <f>G85</f>
        <v>8004</v>
      </c>
      <c r="AL85" s="883"/>
      <c r="AM85" s="883"/>
      <c r="AN85" s="883"/>
      <c r="AO85" s="292">
        <v>2.57</v>
      </c>
      <c r="AP85" s="884">
        <f t="shared" si="3"/>
        <v>20570.28</v>
      </c>
      <c r="AQ85" s="884">
        <f t="shared" ref="AQ85:AQ148" si="5">AP85*7.75</f>
        <v>159419.67</v>
      </c>
    </row>
    <row r="86" s="860" customFormat="1" customHeight="1" spans="1:43">
      <c r="A86" s="327">
        <v>46083</v>
      </c>
      <c r="B86" s="281" t="s">
        <v>141</v>
      </c>
      <c r="C86" s="280" t="s">
        <v>106</v>
      </c>
      <c r="D86" s="282" t="s">
        <v>184</v>
      </c>
      <c r="E86" s="283">
        <v>4526146</v>
      </c>
      <c r="F86" s="283" t="s">
        <v>185</v>
      </c>
      <c r="G86" s="284">
        <v>6</v>
      </c>
      <c r="H86" s="280">
        <v>46202</v>
      </c>
      <c r="I86" s="883"/>
      <c r="J86" s="883"/>
      <c r="K86" s="883"/>
      <c r="L86" s="883"/>
      <c r="M86" s="883"/>
      <c r="N86" s="883"/>
      <c r="O86" s="883"/>
      <c r="P86" s="883"/>
      <c r="Q86" s="883"/>
      <c r="R86" s="883"/>
      <c r="S86" s="883"/>
      <c r="T86" s="883"/>
      <c r="U86" s="883"/>
      <c r="V86" s="883"/>
      <c r="W86" s="883"/>
      <c r="X86" s="883"/>
      <c r="Y86" s="883"/>
      <c r="Z86" s="883"/>
      <c r="AA86" s="883"/>
      <c r="AB86" s="883"/>
      <c r="AC86" s="883"/>
      <c r="AD86" s="883"/>
      <c r="AE86" s="883"/>
      <c r="AF86" s="883"/>
      <c r="AG86" s="883"/>
      <c r="AH86" s="883"/>
      <c r="AI86" s="883"/>
      <c r="AJ86" s="883"/>
      <c r="AK86" s="883">
        <f>G86</f>
        <v>6</v>
      </c>
      <c r="AL86" s="883"/>
      <c r="AM86" s="883"/>
      <c r="AN86" s="883"/>
      <c r="AO86" s="292">
        <v>0</v>
      </c>
      <c r="AP86" s="884">
        <f t="shared" si="3"/>
        <v>0</v>
      </c>
      <c r="AQ86" s="884">
        <f t="shared" si="5"/>
        <v>0</v>
      </c>
    </row>
    <row r="87" s="860" customFormat="1" customHeight="1" spans="1:43">
      <c r="A87" s="327">
        <v>46083</v>
      </c>
      <c r="B87" s="281" t="s">
        <v>141</v>
      </c>
      <c r="C87" s="280"/>
      <c r="D87" s="282" t="s">
        <v>184</v>
      </c>
      <c r="E87" s="283">
        <v>4526168</v>
      </c>
      <c r="F87" s="283" t="s">
        <v>186</v>
      </c>
      <c r="G87" s="284">
        <v>4998</v>
      </c>
      <c r="H87" s="280">
        <v>46202</v>
      </c>
      <c r="I87" s="883"/>
      <c r="J87" s="883">
        <f>G87</f>
        <v>4998</v>
      </c>
      <c r="K87" s="883"/>
      <c r="L87" s="883"/>
      <c r="M87" s="883"/>
      <c r="N87" s="883"/>
      <c r="O87" s="883"/>
      <c r="P87" s="883"/>
      <c r="Q87" s="883"/>
      <c r="R87" s="883"/>
      <c r="S87" s="883"/>
      <c r="T87" s="883"/>
      <c r="U87" s="883"/>
      <c r="V87" s="883"/>
      <c r="W87" s="883"/>
      <c r="X87" s="883"/>
      <c r="Y87" s="883"/>
      <c r="Z87" s="883"/>
      <c r="AA87" s="883"/>
      <c r="AB87" s="883"/>
      <c r="AC87" s="883"/>
      <c r="AD87" s="883"/>
      <c r="AE87" s="883"/>
      <c r="AF87" s="883"/>
      <c r="AG87" s="883"/>
      <c r="AH87" s="883"/>
      <c r="AI87" s="883"/>
      <c r="AJ87" s="883"/>
      <c r="AK87" s="883"/>
      <c r="AL87" s="883"/>
      <c r="AM87" s="883"/>
      <c r="AN87" s="883"/>
      <c r="AO87" s="292">
        <v>3.392</v>
      </c>
      <c r="AP87" s="884">
        <f t="shared" si="3"/>
        <v>16953.22</v>
      </c>
      <c r="AQ87" s="884">
        <f t="shared" si="5"/>
        <v>131387.46</v>
      </c>
    </row>
    <row r="88" s="860" customFormat="1" customHeight="1" spans="1:43">
      <c r="A88" s="327">
        <v>46083</v>
      </c>
      <c r="B88" s="281" t="s">
        <v>141</v>
      </c>
      <c r="C88" s="280" t="s">
        <v>106</v>
      </c>
      <c r="D88" s="282" t="s">
        <v>184</v>
      </c>
      <c r="E88" s="283">
        <v>4526168</v>
      </c>
      <c r="F88" s="283" t="s">
        <v>186</v>
      </c>
      <c r="G88" s="284">
        <v>6</v>
      </c>
      <c r="H88" s="280">
        <v>46202</v>
      </c>
      <c r="I88" s="883"/>
      <c r="J88" s="883">
        <f>G88</f>
        <v>6</v>
      </c>
      <c r="K88" s="883"/>
      <c r="L88" s="883"/>
      <c r="M88" s="883"/>
      <c r="N88" s="883"/>
      <c r="O88" s="883"/>
      <c r="P88" s="883"/>
      <c r="Q88" s="883"/>
      <c r="R88" s="883"/>
      <c r="S88" s="883"/>
      <c r="T88" s="883"/>
      <c r="U88" s="883"/>
      <c r="V88" s="883"/>
      <c r="W88" s="883"/>
      <c r="X88" s="883"/>
      <c r="Y88" s="883"/>
      <c r="Z88" s="883"/>
      <c r="AA88" s="883"/>
      <c r="AB88" s="883"/>
      <c r="AC88" s="883"/>
      <c r="AD88" s="883"/>
      <c r="AE88" s="883"/>
      <c r="AF88" s="883"/>
      <c r="AG88" s="883"/>
      <c r="AH88" s="883"/>
      <c r="AI88" s="883"/>
      <c r="AJ88" s="883"/>
      <c r="AK88" s="883"/>
      <c r="AL88" s="883"/>
      <c r="AM88" s="883"/>
      <c r="AN88" s="883"/>
      <c r="AO88" s="292">
        <v>0</v>
      </c>
      <c r="AP88" s="884">
        <f t="shared" si="3"/>
        <v>0</v>
      </c>
      <c r="AQ88" s="884">
        <f t="shared" si="5"/>
        <v>0</v>
      </c>
    </row>
    <row r="89" s="860" customFormat="1" customHeight="1" spans="1:43">
      <c r="A89" s="327">
        <v>46087</v>
      </c>
      <c r="B89" s="280" t="s">
        <v>187</v>
      </c>
      <c r="C89" s="280"/>
      <c r="D89" s="282" t="s">
        <v>188</v>
      </c>
      <c r="E89" s="283">
        <v>3126107</v>
      </c>
      <c r="F89" s="891" t="s">
        <v>189</v>
      </c>
      <c r="G89" s="284">
        <v>5004</v>
      </c>
      <c r="H89" s="280">
        <v>46136</v>
      </c>
      <c r="I89" s="883"/>
      <c r="J89" s="883"/>
      <c r="K89" s="883"/>
      <c r="L89" s="883"/>
      <c r="M89" s="883"/>
      <c r="N89" s="883"/>
      <c r="O89" s="883"/>
      <c r="P89" s="883"/>
      <c r="Q89" s="883"/>
      <c r="R89" s="883"/>
      <c r="S89" s="883"/>
      <c r="T89" s="883"/>
      <c r="U89" s="883"/>
      <c r="V89" s="883"/>
      <c r="W89" s="883"/>
      <c r="X89" s="883"/>
      <c r="Y89" s="883"/>
      <c r="Z89" s="883"/>
      <c r="AA89" s="883"/>
      <c r="AB89" s="883"/>
      <c r="AC89" s="883"/>
      <c r="AD89" s="883"/>
      <c r="AE89" s="883"/>
      <c r="AF89" s="883"/>
      <c r="AG89" s="883"/>
      <c r="AH89" s="883"/>
      <c r="AI89" s="883"/>
      <c r="AJ89" s="883"/>
      <c r="AK89" s="883"/>
      <c r="AL89" s="883"/>
      <c r="AM89" s="883"/>
      <c r="AN89" s="883">
        <f>G89</f>
        <v>5004</v>
      </c>
      <c r="AO89" s="292">
        <v>3.912</v>
      </c>
      <c r="AP89" s="884">
        <f t="shared" si="3"/>
        <v>19575.65</v>
      </c>
      <c r="AQ89" s="884">
        <f t="shared" si="5"/>
        <v>151711.29</v>
      </c>
    </row>
    <row r="90" s="860" customFormat="1" customHeight="1" spans="1:43">
      <c r="A90" s="327">
        <v>46087</v>
      </c>
      <c r="B90" s="280" t="s">
        <v>187</v>
      </c>
      <c r="C90" s="256" t="s">
        <v>155</v>
      </c>
      <c r="D90" s="256" t="s">
        <v>188</v>
      </c>
      <c r="E90" s="892">
        <v>3126107</v>
      </c>
      <c r="F90" s="892" t="s">
        <v>189</v>
      </c>
      <c r="G90" s="893">
        <v>6</v>
      </c>
      <c r="H90" s="327">
        <v>46136</v>
      </c>
      <c r="I90" s="883"/>
      <c r="J90" s="883"/>
      <c r="K90" s="883"/>
      <c r="L90" s="883"/>
      <c r="M90" s="883"/>
      <c r="N90" s="883"/>
      <c r="O90" s="883"/>
      <c r="P90" s="883"/>
      <c r="Q90" s="883"/>
      <c r="R90" s="883"/>
      <c r="S90" s="883"/>
      <c r="T90" s="883"/>
      <c r="U90" s="883"/>
      <c r="V90" s="883"/>
      <c r="W90" s="883"/>
      <c r="X90" s="883"/>
      <c r="Y90" s="883"/>
      <c r="Z90" s="883"/>
      <c r="AA90" s="883"/>
      <c r="AB90" s="883"/>
      <c r="AC90" s="883"/>
      <c r="AD90" s="883"/>
      <c r="AE90" s="883"/>
      <c r="AF90" s="883"/>
      <c r="AG90" s="883"/>
      <c r="AH90" s="883"/>
      <c r="AI90" s="883"/>
      <c r="AJ90" s="883"/>
      <c r="AK90" s="883"/>
      <c r="AL90" s="883"/>
      <c r="AM90" s="883"/>
      <c r="AN90" s="883">
        <f>G90</f>
        <v>6</v>
      </c>
      <c r="AO90" s="894">
        <v>0</v>
      </c>
      <c r="AP90" s="884">
        <f t="shared" si="3"/>
        <v>0</v>
      </c>
      <c r="AQ90" s="884">
        <f t="shared" si="5"/>
        <v>0</v>
      </c>
    </row>
    <row r="91" s="864" customFormat="1" customHeight="1" spans="1:43">
      <c r="A91" s="327">
        <v>46087</v>
      </c>
      <c r="B91" s="281" t="s">
        <v>109</v>
      </c>
      <c r="C91" s="280"/>
      <c r="D91" s="283" t="s">
        <v>190</v>
      </c>
      <c r="E91" s="283" t="s">
        <v>24</v>
      </c>
      <c r="F91" s="256" t="s">
        <v>25</v>
      </c>
      <c r="G91" s="284">
        <v>15600</v>
      </c>
      <c r="H91" s="280">
        <v>46150</v>
      </c>
      <c r="I91" s="883"/>
      <c r="J91" s="883"/>
      <c r="K91" s="883"/>
      <c r="L91" s="883"/>
      <c r="M91" s="883"/>
      <c r="N91" s="883"/>
      <c r="O91" s="883"/>
      <c r="P91" s="883"/>
      <c r="Q91" s="883"/>
      <c r="R91" s="883"/>
      <c r="S91" s="883"/>
      <c r="T91" s="883"/>
      <c r="U91" s="883"/>
      <c r="V91" s="883"/>
      <c r="W91" s="883"/>
      <c r="X91" s="883"/>
      <c r="Y91" s="883"/>
      <c r="Z91" s="883"/>
      <c r="AA91" s="883">
        <f>G91</f>
        <v>15600</v>
      </c>
      <c r="AB91" s="883"/>
      <c r="AC91" s="883"/>
      <c r="AD91" s="883"/>
      <c r="AE91" s="883"/>
      <c r="AF91" s="883"/>
      <c r="AG91" s="883"/>
      <c r="AH91" s="883"/>
      <c r="AI91" s="883"/>
      <c r="AJ91" s="883"/>
      <c r="AK91" s="883"/>
      <c r="AL91" s="883"/>
      <c r="AM91" s="883"/>
      <c r="AN91" s="883"/>
      <c r="AO91" s="292">
        <v>2.051</v>
      </c>
      <c r="AP91" s="884">
        <f t="shared" si="3"/>
        <v>31995.6</v>
      </c>
      <c r="AQ91" s="884">
        <f t="shared" si="5"/>
        <v>247965.9</v>
      </c>
    </row>
    <row r="92" s="860" customFormat="1" customHeight="1" spans="1:43">
      <c r="A92" s="327">
        <v>46091</v>
      </c>
      <c r="B92" s="281" t="s">
        <v>109</v>
      </c>
      <c r="C92" s="280"/>
      <c r="D92" s="282" t="s">
        <v>191</v>
      </c>
      <c r="E92" s="283" t="s">
        <v>192</v>
      </c>
      <c r="F92" s="283" t="s">
        <v>193</v>
      </c>
      <c r="G92" s="284">
        <v>13680</v>
      </c>
      <c r="H92" s="280">
        <v>46183</v>
      </c>
      <c r="I92" s="883"/>
      <c r="J92" s="883"/>
      <c r="K92" s="883"/>
      <c r="L92" s="883"/>
      <c r="M92" s="883"/>
      <c r="N92" s="883"/>
      <c r="O92" s="883"/>
      <c r="P92" s="883"/>
      <c r="Q92" s="883"/>
      <c r="R92" s="883"/>
      <c r="S92" s="883"/>
      <c r="T92" s="883"/>
      <c r="U92" s="883"/>
      <c r="V92" s="883"/>
      <c r="W92" s="883"/>
      <c r="X92" s="883"/>
      <c r="Y92" s="883"/>
      <c r="Z92" s="883"/>
      <c r="AA92" s="883"/>
      <c r="AB92" s="883"/>
      <c r="AC92" s="883"/>
      <c r="AD92" s="883"/>
      <c r="AE92" s="883"/>
      <c r="AF92" s="883"/>
      <c r="AG92" s="883"/>
      <c r="AH92" s="883"/>
      <c r="AI92" s="883"/>
      <c r="AJ92" s="883"/>
      <c r="AK92" s="883">
        <f>G92</f>
        <v>13680</v>
      </c>
      <c r="AL92" s="883"/>
      <c r="AM92" s="883"/>
      <c r="AN92" s="883"/>
      <c r="AO92" s="292">
        <v>2.603</v>
      </c>
      <c r="AP92" s="884">
        <f t="shared" si="3"/>
        <v>35609.04</v>
      </c>
      <c r="AQ92" s="884">
        <f t="shared" si="5"/>
        <v>275970.06</v>
      </c>
    </row>
    <row r="93" s="860" customFormat="1" customHeight="1" spans="1:43">
      <c r="A93" s="327">
        <v>46091</v>
      </c>
      <c r="B93" s="281" t="s">
        <v>109</v>
      </c>
      <c r="C93" s="280" t="s">
        <v>106</v>
      </c>
      <c r="D93" s="282" t="s">
        <v>191</v>
      </c>
      <c r="E93" s="283" t="s">
        <v>192</v>
      </c>
      <c r="F93" s="283" t="s">
        <v>193</v>
      </c>
      <c r="G93" s="284">
        <v>36</v>
      </c>
      <c r="H93" s="280">
        <v>46183</v>
      </c>
      <c r="I93" s="883"/>
      <c r="J93" s="883"/>
      <c r="K93" s="883"/>
      <c r="L93" s="883"/>
      <c r="M93" s="883"/>
      <c r="N93" s="883"/>
      <c r="O93" s="883"/>
      <c r="P93" s="883"/>
      <c r="Q93" s="883"/>
      <c r="R93" s="883"/>
      <c r="S93" s="883"/>
      <c r="T93" s="883"/>
      <c r="U93" s="883"/>
      <c r="V93" s="883"/>
      <c r="W93" s="883"/>
      <c r="X93" s="883"/>
      <c r="Y93" s="883"/>
      <c r="Z93" s="883"/>
      <c r="AA93" s="883"/>
      <c r="AB93" s="883"/>
      <c r="AC93" s="883"/>
      <c r="AD93" s="883"/>
      <c r="AE93" s="883"/>
      <c r="AF93" s="883"/>
      <c r="AG93" s="883"/>
      <c r="AH93" s="883"/>
      <c r="AI93" s="883"/>
      <c r="AJ93" s="883"/>
      <c r="AK93" s="883">
        <f>G93</f>
        <v>36</v>
      </c>
      <c r="AL93" s="883"/>
      <c r="AM93" s="883"/>
      <c r="AN93" s="883"/>
      <c r="AO93" s="292">
        <v>0</v>
      </c>
      <c r="AP93" s="884">
        <f t="shared" si="3"/>
        <v>0</v>
      </c>
      <c r="AQ93" s="884">
        <f t="shared" si="5"/>
        <v>0</v>
      </c>
    </row>
    <row r="94" s="863" customFormat="1" customHeight="1" spans="1:43">
      <c r="A94" s="889">
        <v>46091</v>
      </c>
      <c r="B94" s="230" t="s">
        <v>109</v>
      </c>
      <c r="C94" s="229"/>
      <c r="D94" s="231" t="s">
        <v>194</v>
      </c>
      <c r="E94" s="232" t="s">
        <v>195</v>
      </c>
      <c r="F94" s="525" t="s">
        <v>196</v>
      </c>
      <c r="G94" s="233">
        <v>12360</v>
      </c>
      <c r="H94" s="229">
        <v>46199</v>
      </c>
      <c r="I94" s="872"/>
      <c r="J94" s="872"/>
      <c r="K94" s="872"/>
      <c r="L94" s="872"/>
      <c r="M94" s="872"/>
      <c r="N94" s="872"/>
      <c r="O94" s="872"/>
      <c r="P94" s="872"/>
      <c r="Q94" s="872"/>
      <c r="R94" s="872"/>
      <c r="S94" s="872"/>
      <c r="T94" s="872"/>
      <c r="U94" s="872"/>
      <c r="V94" s="872"/>
      <c r="W94" s="872">
        <f>G94</f>
        <v>12360</v>
      </c>
      <c r="X94" s="872"/>
      <c r="Y94" s="872"/>
      <c r="Z94" s="872"/>
      <c r="AA94" s="872"/>
      <c r="AB94" s="872"/>
      <c r="AC94" s="872"/>
      <c r="AD94" s="872"/>
      <c r="AE94" s="872"/>
      <c r="AF94" s="872"/>
      <c r="AG94" s="872"/>
      <c r="AH94" s="872"/>
      <c r="AI94" s="872"/>
      <c r="AJ94" s="872"/>
      <c r="AK94" s="872"/>
      <c r="AL94" s="872"/>
      <c r="AM94" s="872"/>
      <c r="AN94" s="872"/>
      <c r="AO94" s="242">
        <v>3.317</v>
      </c>
      <c r="AP94" s="32">
        <f t="shared" si="3"/>
        <v>40998.12</v>
      </c>
      <c r="AQ94" s="32">
        <f t="shared" si="5"/>
        <v>317735.43</v>
      </c>
    </row>
    <row r="95" s="863" customFormat="1" customHeight="1" spans="1:43">
      <c r="A95" s="889">
        <v>46091</v>
      </c>
      <c r="B95" s="230" t="s">
        <v>109</v>
      </c>
      <c r="C95" s="229" t="s">
        <v>106</v>
      </c>
      <c r="D95" s="231" t="s">
        <v>194</v>
      </c>
      <c r="E95" s="232" t="s">
        <v>195</v>
      </c>
      <c r="F95" s="525" t="s">
        <v>196</v>
      </c>
      <c r="G95" s="233">
        <v>36</v>
      </c>
      <c r="H95" s="229">
        <v>46199</v>
      </c>
      <c r="I95" s="872"/>
      <c r="J95" s="872"/>
      <c r="K95" s="872"/>
      <c r="L95" s="872"/>
      <c r="M95" s="872"/>
      <c r="N95" s="872"/>
      <c r="O95" s="872"/>
      <c r="P95" s="872"/>
      <c r="Q95" s="872"/>
      <c r="R95" s="872"/>
      <c r="S95" s="872"/>
      <c r="T95" s="872"/>
      <c r="U95" s="872"/>
      <c r="V95" s="872"/>
      <c r="W95" s="872">
        <f>G95</f>
        <v>36</v>
      </c>
      <c r="X95" s="872"/>
      <c r="Y95" s="872"/>
      <c r="Z95" s="872"/>
      <c r="AA95" s="872"/>
      <c r="AB95" s="872"/>
      <c r="AC95" s="872"/>
      <c r="AD95" s="872"/>
      <c r="AE95" s="872"/>
      <c r="AF95" s="872"/>
      <c r="AG95" s="872"/>
      <c r="AH95" s="872"/>
      <c r="AI95" s="872"/>
      <c r="AJ95" s="872"/>
      <c r="AK95" s="872"/>
      <c r="AL95" s="872"/>
      <c r="AM95" s="872"/>
      <c r="AN95" s="872"/>
      <c r="AO95" s="242">
        <v>0</v>
      </c>
      <c r="AP95" s="32">
        <f t="shared" si="3"/>
        <v>0</v>
      </c>
      <c r="AQ95" s="32">
        <f t="shared" si="5"/>
        <v>0</v>
      </c>
    </row>
    <row r="96" s="863" customFormat="1" customHeight="1" spans="1:43">
      <c r="A96" s="889">
        <v>46091</v>
      </c>
      <c r="B96" s="230" t="s">
        <v>109</v>
      </c>
      <c r="C96" s="229"/>
      <c r="D96" s="231" t="s">
        <v>197</v>
      </c>
      <c r="E96" s="232" t="s">
        <v>198</v>
      </c>
      <c r="F96" s="525" t="s">
        <v>199</v>
      </c>
      <c r="G96" s="233">
        <v>13200</v>
      </c>
      <c r="H96" s="229">
        <v>46213</v>
      </c>
      <c r="I96" s="872"/>
      <c r="J96" s="872"/>
      <c r="K96" s="872"/>
      <c r="L96" s="872"/>
      <c r="M96" s="872"/>
      <c r="N96" s="872"/>
      <c r="O96" s="872"/>
      <c r="P96" s="872"/>
      <c r="Q96" s="872"/>
      <c r="R96" s="872"/>
      <c r="S96" s="872"/>
      <c r="T96" s="872"/>
      <c r="U96" s="872"/>
      <c r="V96" s="872"/>
      <c r="W96" s="872"/>
      <c r="X96" s="872"/>
      <c r="Y96" s="872"/>
      <c r="Z96" s="872"/>
      <c r="AA96" s="872"/>
      <c r="AB96" s="872"/>
      <c r="AC96" s="872"/>
      <c r="AD96" s="872"/>
      <c r="AE96" s="872"/>
      <c r="AF96" s="872"/>
      <c r="AG96" s="872"/>
      <c r="AH96" s="872"/>
      <c r="AI96" s="872"/>
      <c r="AJ96" s="872"/>
      <c r="AK96" s="872"/>
      <c r="AL96" s="872"/>
      <c r="AM96" s="872">
        <f>G96</f>
        <v>13200</v>
      </c>
      <c r="AN96" s="872"/>
      <c r="AO96" s="242">
        <v>2.697</v>
      </c>
      <c r="AP96" s="32">
        <f t="shared" si="3"/>
        <v>35600.4</v>
      </c>
      <c r="AQ96" s="32">
        <f t="shared" si="5"/>
        <v>275903.1</v>
      </c>
    </row>
    <row r="97" s="863" customFormat="1" customHeight="1" spans="1:43">
      <c r="A97" s="889">
        <v>46091</v>
      </c>
      <c r="B97" s="230" t="s">
        <v>109</v>
      </c>
      <c r="C97" s="229" t="s">
        <v>106</v>
      </c>
      <c r="D97" s="231" t="s">
        <v>197</v>
      </c>
      <c r="E97" s="232" t="s">
        <v>198</v>
      </c>
      <c r="F97" s="525" t="s">
        <v>199</v>
      </c>
      <c r="G97" s="233">
        <v>36</v>
      </c>
      <c r="H97" s="229">
        <v>46213</v>
      </c>
      <c r="I97" s="872"/>
      <c r="J97" s="872"/>
      <c r="K97" s="872"/>
      <c r="L97" s="872"/>
      <c r="M97" s="872"/>
      <c r="N97" s="872"/>
      <c r="O97" s="872"/>
      <c r="P97" s="872"/>
      <c r="Q97" s="872"/>
      <c r="R97" s="872"/>
      <c r="S97" s="872"/>
      <c r="T97" s="872"/>
      <c r="U97" s="872"/>
      <c r="V97" s="872"/>
      <c r="W97" s="872"/>
      <c r="X97" s="872"/>
      <c r="Y97" s="872"/>
      <c r="Z97" s="872"/>
      <c r="AA97" s="872"/>
      <c r="AB97" s="872"/>
      <c r="AC97" s="872"/>
      <c r="AD97" s="872"/>
      <c r="AE97" s="872"/>
      <c r="AF97" s="872"/>
      <c r="AG97" s="872"/>
      <c r="AH97" s="872"/>
      <c r="AI97" s="872"/>
      <c r="AJ97" s="872"/>
      <c r="AK97" s="872"/>
      <c r="AL97" s="872"/>
      <c r="AM97" s="872">
        <f>G97</f>
        <v>36</v>
      </c>
      <c r="AN97" s="872"/>
      <c r="AO97" s="242">
        <v>0</v>
      </c>
      <c r="AP97" s="32">
        <f t="shared" si="3"/>
        <v>0</v>
      </c>
      <c r="AQ97" s="32">
        <f t="shared" si="5"/>
        <v>0</v>
      </c>
    </row>
    <row r="98" s="860" customFormat="1" customHeight="1" spans="1:43">
      <c r="A98" s="327">
        <v>46091</v>
      </c>
      <c r="B98" s="281" t="s">
        <v>109</v>
      </c>
      <c r="C98" s="280"/>
      <c r="D98" s="282" t="s">
        <v>200</v>
      </c>
      <c r="E98" s="283" t="s">
        <v>201</v>
      </c>
      <c r="F98" s="283" t="s">
        <v>202</v>
      </c>
      <c r="G98" s="284">
        <v>10800</v>
      </c>
      <c r="H98" s="280">
        <v>46183</v>
      </c>
      <c r="I98" s="883"/>
      <c r="J98" s="883">
        <f>G98</f>
        <v>10800</v>
      </c>
      <c r="K98" s="883"/>
      <c r="L98" s="883"/>
      <c r="M98" s="883"/>
      <c r="N98" s="883"/>
      <c r="O98" s="883"/>
      <c r="P98" s="883"/>
      <c r="Q98" s="883"/>
      <c r="R98" s="883"/>
      <c r="S98" s="883"/>
      <c r="T98" s="883"/>
      <c r="U98" s="883"/>
      <c r="V98" s="883"/>
      <c r="W98" s="883"/>
      <c r="X98" s="883"/>
      <c r="Y98" s="883"/>
      <c r="Z98" s="883"/>
      <c r="AA98" s="883"/>
      <c r="AB98" s="883"/>
      <c r="AC98" s="883"/>
      <c r="AD98" s="883"/>
      <c r="AE98" s="883"/>
      <c r="AF98" s="883"/>
      <c r="AG98" s="883"/>
      <c r="AH98" s="883"/>
      <c r="AI98" s="883"/>
      <c r="AJ98" s="883"/>
      <c r="AK98" s="883"/>
      <c r="AL98" s="883"/>
      <c r="AM98" s="883"/>
      <c r="AN98" s="883"/>
      <c r="AO98" s="292">
        <v>3.396</v>
      </c>
      <c r="AP98" s="884">
        <f t="shared" si="3"/>
        <v>36676.8</v>
      </c>
      <c r="AQ98" s="884">
        <f t="shared" si="5"/>
        <v>284245.2</v>
      </c>
    </row>
    <row r="99" s="860" customFormat="1" customHeight="1" spans="1:43">
      <c r="A99" s="327">
        <v>46091</v>
      </c>
      <c r="B99" s="281" t="s">
        <v>109</v>
      </c>
      <c r="C99" s="280" t="s">
        <v>106</v>
      </c>
      <c r="D99" s="282" t="s">
        <v>200</v>
      </c>
      <c r="E99" s="283" t="s">
        <v>201</v>
      </c>
      <c r="F99" s="283" t="s">
        <v>202</v>
      </c>
      <c r="G99" s="284">
        <v>36</v>
      </c>
      <c r="H99" s="280">
        <v>46183</v>
      </c>
      <c r="I99" s="883"/>
      <c r="J99" s="883">
        <f>G99</f>
        <v>36</v>
      </c>
      <c r="K99" s="883"/>
      <c r="L99" s="883"/>
      <c r="M99" s="883"/>
      <c r="N99" s="883"/>
      <c r="O99" s="883"/>
      <c r="P99" s="883"/>
      <c r="Q99" s="883"/>
      <c r="R99" s="883"/>
      <c r="S99" s="883"/>
      <c r="T99" s="883"/>
      <c r="U99" s="883"/>
      <c r="V99" s="883"/>
      <c r="W99" s="883"/>
      <c r="X99" s="883"/>
      <c r="Y99" s="883"/>
      <c r="Z99" s="883"/>
      <c r="AA99" s="883"/>
      <c r="AB99" s="883"/>
      <c r="AC99" s="883"/>
      <c r="AD99" s="883"/>
      <c r="AE99" s="883"/>
      <c r="AF99" s="883"/>
      <c r="AG99" s="883"/>
      <c r="AH99" s="883"/>
      <c r="AI99" s="883"/>
      <c r="AJ99" s="883"/>
      <c r="AK99" s="883"/>
      <c r="AL99" s="883"/>
      <c r="AM99" s="883"/>
      <c r="AN99" s="883"/>
      <c r="AO99" s="292">
        <v>0</v>
      </c>
      <c r="AP99" s="884">
        <f t="shared" si="3"/>
        <v>0</v>
      </c>
      <c r="AQ99" s="884">
        <f t="shared" si="5"/>
        <v>0</v>
      </c>
    </row>
    <row r="100" s="860" customFormat="1" customHeight="1" spans="1:43">
      <c r="A100" s="327">
        <v>46091</v>
      </c>
      <c r="B100" s="281" t="s">
        <v>109</v>
      </c>
      <c r="C100" s="280"/>
      <c r="D100" s="282" t="s">
        <v>203</v>
      </c>
      <c r="E100" s="283" t="s">
        <v>204</v>
      </c>
      <c r="F100" s="283" t="s">
        <v>205</v>
      </c>
      <c r="G100" s="284">
        <v>9000</v>
      </c>
      <c r="H100" s="280">
        <v>46169</v>
      </c>
      <c r="I100" s="883"/>
      <c r="J100" s="883"/>
      <c r="K100" s="883"/>
      <c r="L100" s="883"/>
      <c r="M100" s="883"/>
      <c r="N100" s="883"/>
      <c r="O100" s="883"/>
      <c r="P100" s="883"/>
      <c r="Q100" s="883"/>
      <c r="R100" s="883"/>
      <c r="S100" s="883"/>
      <c r="T100" s="883"/>
      <c r="U100" s="883"/>
      <c r="V100" s="883"/>
      <c r="W100" s="883"/>
      <c r="X100" s="883"/>
      <c r="Y100" s="883"/>
      <c r="Z100" s="883"/>
      <c r="AA100" s="883"/>
      <c r="AB100" s="883"/>
      <c r="AC100" s="883"/>
      <c r="AD100" s="883"/>
      <c r="AE100" s="883"/>
      <c r="AF100" s="883"/>
      <c r="AG100" s="883"/>
      <c r="AH100" s="883"/>
      <c r="AI100" s="883"/>
      <c r="AJ100" s="883"/>
      <c r="AK100" s="883"/>
      <c r="AL100" s="883">
        <f>G100</f>
        <v>9000</v>
      </c>
      <c r="AM100" s="883"/>
      <c r="AN100" s="883"/>
      <c r="AO100" s="292">
        <v>2.587</v>
      </c>
      <c r="AP100" s="884">
        <f t="shared" si="3"/>
        <v>23283</v>
      </c>
      <c r="AQ100" s="884">
        <f t="shared" si="5"/>
        <v>180443.25</v>
      </c>
    </row>
    <row r="101" s="860" customFormat="1" customHeight="1" spans="1:43">
      <c r="A101" s="327">
        <v>46091</v>
      </c>
      <c r="B101" s="281" t="s">
        <v>109</v>
      </c>
      <c r="C101" s="280" t="s">
        <v>106</v>
      </c>
      <c r="D101" s="282" t="s">
        <v>203</v>
      </c>
      <c r="E101" s="283" t="s">
        <v>204</v>
      </c>
      <c r="F101" s="283" t="s">
        <v>205</v>
      </c>
      <c r="G101" s="284">
        <v>36</v>
      </c>
      <c r="H101" s="280">
        <v>46169</v>
      </c>
      <c r="I101" s="883"/>
      <c r="J101" s="883"/>
      <c r="K101" s="883"/>
      <c r="L101" s="883"/>
      <c r="M101" s="883"/>
      <c r="N101" s="883"/>
      <c r="O101" s="883"/>
      <c r="P101" s="883"/>
      <c r="Q101" s="883"/>
      <c r="R101" s="883"/>
      <c r="S101" s="883"/>
      <c r="T101" s="883"/>
      <c r="U101" s="883"/>
      <c r="V101" s="883"/>
      <c r="W101" s="883"/>
      <c r="X101" s="883"/>
      <c r="Y101" s="883"/>
      <c r="Z101" s="883"/>
      <c r="AA101" s="883"/>
      <c r="AB101" s="883"/>
      <c r="AC101" s="883"/>
      <c r="AD101" s="883"/>
      <c r="AE101" s="883"/>
      <c r="AF101" s="883"/>
      <c r="AG101" s="883"/>
      <c r="AH101" s="883"/>
      <c r="AI101" s="883"/>
      <c r="AJ101" s="883"/>
      <c r="AK101" s="883"/>
      <c r="AL101" s="883">
        <f>G101</f>
        <v>36</v>
      </c>
      <c r="AM101" s="883"/>
      <c r="AN101" s="883"/>
      <c r="AO101" s="292">
        <v>0</v>
      </c>
      <c r="AP101" s="884">
        <f t="shared" si="3"/>
        <v>0</v>
      </c>
      <c r="AQ101" s="884">
        <f t="shared" si="5"/>
        <v>0</v>
      </c>
    </row>
    <row r="102" s="860" customFormat="1" customHeight="1" spans="1:43">
      <c r="A102" s="327">
        <v>46094</v>
      </c>
      <c r="B102" s="281" t="s">
        <v>88</v>
      </c>
      <c r="C102" s="280"/>
      <c r="D102" s="282" t="s">
        <v>206</v>
      </c>
      <c r="E102" s="283">
        <v>1026169</v>
      </c>
      <c r="F102" s="283" t="s">
        <v>207</v>
      </c>
      <c r="G102" s="284">
        <v>1122</v>
      </c>
      <c r="H102" s="280">
        <v>46167</v>
      </c>
      <c r="I102" s="883"/>
      <c r="J102" s="883"/>
      <c r="K102" s="883"/>
      <c r="L102" s="883"/>
      <c r="M102" s="883"/>
      <c r="N102" s="883"/>
      <c r="O102" s="883"/>
      <c r="P102" s="883"/>
      <c r="Q102" s="883"/>
      <c r="R102" s="883"/>
      <c r="S102" s="883"/>
      <c r="T102" s="883"/>
      <c r="U102" s="883"/>
      <c r="V102" s="883"/>
      <c r="W102" s="883"/>
      <c r="X102" s="883"/>
      <c r="Y102" s="883"/>
      <c r="Z102" s="883"/>
      <c r="AA102" s="883"/>
      <c r="AB102" s="883"/>
      <c r="AC102" s="883"/>
      <c r="AD102" s="883"/>
      <c r="AE102" s="883"/>
      <c r="AF102" s="883"/>
      <c r="AG102" s="883"/>
      <c r="AH102" s="883"/>
      <c r="AI102" s="883"/>
      <c r="AJ102" s="883"/>
      <c r="AK102" s="883"/>
      <c r="AL102" s="883">
        <f>G102</f>
        <v>1122</v>
      </c>
      <c r="AM102" s="883"/>
      <c r="AN102" s="883"/>
      <c r="AO102" s="292">
        <v>3.031</v>
      </c>
      <c r="AP102" s="884">
        <f t="shared" si="3"/>
        <v>3400.78</v>
      </c>
      <c r="AQ102" s="884">
        <f t="shared" si="5"/>
        <v>26356.05</v>
      </c>
    </row>
    <row r="103" s="860" customFormat="1" customHeight="1" spans="1:43">
      <c r="A103" s="327">
        <v>46094</v>
      </c>
      <c r="B103" s="281" t="s">
        <v>88</v>
      </c>
      <c r="C103" s="280" t="s">
        <v>106</v>
      </c>
      <c r="D103" s="282" t="s">
        <v>206</v>
      </c>
      <c r="E103" s="283">
        <v>1026169</v>
      </c>
      <c r="F103" s="283" t="s">
        <v>207</v>
      </c>
      <c r="G103" s="284">
        <v>24</v>
      </c>
      <c r="H103" s="280">
        <v>46167</v>
      </c>
      <c r="I103" s="883"/>
      <c r="J103" s="883"/>
      <c r="K103" s="883"/>
      <c r="L103" s="883"/>
      <c r="M103" s="883"/>
      <c r="N103" s="883"/>
      <c r="O103" s="883"/>
      <c r="P103" s="883"/>
      <c r="Q103" s="883"/>
      <c r="R103" s="883"/>
      <c r="S103" s="883"/>
      <c r="T103" s="883"/>
      <c r="U103" s="883"/>
      <c r="V103" s="883"/>
      <c r="W103" s="883"/>
      <c r="X103" s="883"/>
      <c r="Y103" s="883"/>
      <c r="Z103" s="883"/>
      <c r="AA103" s="883"/>
      <c r="AB103" s="883"/>
      <c r="AC103" s="883"/>
      <c r="AD103" s="883"/>
      <c r="AE103" s="883"/>
      <c r="AF103" s="883"/>
      <c r="AG103" s="883"/>
      <c r="AH103" s="883"/>
      <c r="AI103" s="883"/>
      <c r="AJ103" s="883"/>
      <c r="AK103" s="883"/>
      <c r="AL103" s="883">
        <f>G103</f>
        <v>24</v>
      </c>
      <c r="AM103" s="883"/>
      <c r="AN103" s="883"/>
      <c r="AO103" s="292">
        <v>0</v>
      </c>
      <c r="AP103" s="884">
        <f t="shared" si="3"/>
        <v>0</v>
      </c>
      <c r="AQ103" s="884">
        <f t="shared" si="5"/>
        <v>0</v>
      </c>
    </row>
    <row r="104" s="863" customFormat="1" customHeight="1" spans="1:43">
      <c r="A104" s="889">
        <v>46094</v>
      </c>
      <c r="B104" s="230" t="s">
        <v>91</v>
      </c>
      <c r="C104" s="229"/>
      <c r="D104" s="231" t="s">
        <v>208</v>
      </c>
      <c r="E104" s="232">
        <v>1426146</v>
      </c>
      <c r="F104" s="232" t="s">
        <v>209</v>
      </c>
      <c r="G104" s="233">
        <v>4002</v>
      </c>
      <c r="H104" s="229">
        <v>46212</v>
      </c>
      <c r="I104" s="872"/>
      <c r="J104" s="872"/>
      <c r="K104" s="872"/>
      <c r="L104" s="872"/>
      <c r="M104" s="872"/>
      <c r="N104" s="872"/>
      <c r="O104" s="872"/>
      <c r="P104" s="872"/>
      <c r="Q104" s="872"/>
      <c r="R104" s="872"/>
      <c r="S104" s="872"/>
      <c r="T104" s="872"/>
      <c r="U104" s="872"/>
      <c r="V104" s="872"/>
      <c r="W104" s="872"/>
      <c r="X104" s="872"/>
      <c r="Y104" s="872"/>
      <c r="Z104" s="872"/>
      <c r="AA104" s="872"/>
      <c r="AB104" s="872"/>
      <c r="AC104" s="872"/>
      <c r="AD104" s="872"/>
      <c r="AE104" s="872"/>
      <c r="AF104" s="872"/>
      <c r="AG104" s="872"/>
      <c r="AH104" s="872"/>
      <c r="AI104" s="872"/>
      <c r="AJ104" s="872"/>
      <c r="AK104" s="872">
        <f>G104</f>
        <v>4002</v>
      </c>
      <c r="AL104" s="872"/>
      <c r="AM104" s="872"/>
      <c r="AN104" s="872"/>
      <c r="AO104" s="242">
        <v>2.59</v>
      </c>
      <c r="AP104" s="32">
        <f t="shared" si="3"/>
        <v>10365.18</v>
      </c>
      <c r="AQ104" s="32">
        <f t="shared" si="5"/>
        <v>80330.15</v>
      </c>
    </row>
    <row r="105" s="863" customFormat="1" customHeight="1" spans="1:43">
      <c r="A105" s="889">
        <v>46094</v>
      </c>
      <c r="B105" s="230" t="s">
        <v>91</v>
      </c>
      <c r="C105" s="229" t="s">
        <v>106</v>
      </c>
      <c r="D105" s="231" t="s">
        <v>208</v>
      </c>
      <c r="E105" s="232">
        <v>1426146</v>
      </c>
      <c r="F105" s="232" t="s">
        <v>209</v>
      </c>
      <c r="G105" s="233">
        <v>18</v>
      </c>
      <c r="H105" s="229">
        <v>46212</v>
      </c>
      <c r="I105" s="872"/>
      <c r="J105" s="872"/>
      <c r="K105" s="872"/>
      <c r="L105" s="872"/>
      <c r="M105" s="872"/>
      <c r="N105" s="872"/>
      <c r="O105" s="872"/>
      <c r="P105" s="872"/>
      <c r="Q105" s="872"/>
      <c r="R105" s="872"/>
      <c r="S105" s="872"/>
      <c r="T105" s="872"/>
      <c r="U105" s="872"/>
      <c r="V105" s="872"/>
      <c r="W105" s="872"/>
      <c r="X105" s="872"/>
      <c r="Y105" s="872"/>
      <c r="Z105" s="872"/>
      <c r="AA105" s="872"/>
      <c r="AB105" s="872"/>
      <c r="AC105" s="872"/>
      <c r="AD105" s="872"/>
      <c r="AE105" s="872"/>
      <c r="AF105" s="872"/>
      <c r="AG105" s="872"/>
      <c r="AH105" s="872"/>
      <c r="AI105" s="872"/>
      <c r="AJ105" s="872"/>
      <c r="AK105" s="872">
        <f>G105</f>
        <v>18</v>
      </c>
      <c r="AL105" s="872"/>
      <c r="AM105" s="872"/>
      <c r="AN105" s="872"/>
      <c r="AO105" s="242">
        <v>0</v>
      </c>
      <c r="AP105" s="32">
        <f t="shared" si="3"/>
        <v>0</v>
      </c>
      <c r="AQ105" s="32">
        <f t="shared" si="5"/>
        <v>0</v>
      </c>
    </row>
    <row r="106" s="863" customFormat="1" customHeight="1" spans="1:43">
      <c r="A106" s="889">
        <v>46094</v>
      </c>
      <c r="B106" s="229" t="s">
        <v>210</v>
      </c>
      <c r="C106" s="229"/>
      <c r="D106" s="231" t="s">
        <v>208</v>
      </c>
      <c r="E106" s="232">
        <v>4526169</v>
      </c>
      <c r="F106" s="232" t="s">
        <v>211</v>
      </c>
      <c r="G106" s="233">
        <v>5004</v>
      </c>
      <c r="H106" s="229">
        <v>46212</v>
      </c>
      <c r="I106" s="872"/>
      <c r="J106" s="872"/>
      <c r="K106" s="872"/>
      <c r="L106" s="872"/>
      <c r="M106" s="872"/>
      <c r="N106" s="872"/>
      <c r="O106" s="872"/>
      <c r="P106" s="872"/>
      <c r="Q106" s="872"/>
      <c r="R106" s="872"/>
      <c r="S106" s="872"/>
      <c r="T106" s="872"/>
      <c r="U106" s="872"/>
      <c r="V106" s="872"/>
      <c r="W106" s="872"/>
      <c r="X106" s="872"/>
      <c r="Y106" s="872"/>
      <c r="Z106" s="872"/>
      <c r="AA106" s="872"/>
      <c r="AB106" s="872"/>
      <c r="AC106" s="872"/>
      <c r="AD106" s="872"/>
      <c r="AE106" s="872"/>
      <c r="AF106" s="872"/>
      <c r="AG106" s="872"/>
      <c r="AH106" s="872"/>
      <c r="AI106" s="872"/>
      <c r="AJ106" s="872"/>
      <c r="AK106" s="872"/>
      <c r="AL106" s="872">
        <f>G106</f>
        <v>5004</v>
      </c>
      <c r="AM106" s="872"/>
      <c r="AN106" s="872"/>
      <c r="AO106" s="242">
        <v>2.573</v>
      </c>
      <c r="AP106" s="32">
        <f t="shared" si="3"/>
        <v>12875.29</v>
      </c>
      <c r="AQ106" s="32">
        <f t="shared" si="5"/>
        <v>99783.5</v>
      </c>
    </row>
    <row r="107" s="863" customFormat="1" customHeight="1" spans="1:43">
      <c r="A107" s="889">
        <v>46094</v>
      </c>
      <c r="B107" s="229" t="s">
        <v>210</v>
      </c>
      <c r="C107" s="229" t="s">
        <v>106</v>
      </c>
      <c r="D107" s="231" t="s">
        <v>208</v>
      </c>
      <c r="E107" s="232">
        <v>4526169</v>
      </c>
      <c r="F107" s="232" t="s">
        <v>211</v>
      </c>
      <c r="G107" s="233">
        <v>24</v>
      </c>
      <c r="H107" s="229">
        <v>46212</v>
      </c>
      <c r="I107" s="872"/>
      <c r="J107" s="872"/>
      <c r="K107" s="872"/>
      <c r="L107" s="872"/>
      <c r="M107" s="872"/>
      <c r="N107" s="872"/>
      <c r="O107" s="872"/>
      <c r="P107" s="872"/>
      <c r="Q107" s="872"/>
      <c r="R107" s="872"/>
      <c r="S107" s="872"/>
      <c r="T107" s="872"/>
      <c r="U107" s="872"/>
      <c r="V107" s="872"/>
      <c r="W107" s="872"/>
      <c r="X107" s="872"/>
      <c r="Y107" s="872"/>
      <c r="Z107" s="872"/>
      <c r="AA107" s="872"/>
      <c r="AB107" s="872"/>
      <c r="AC107" s="872"/>
      <c r="AD107" s="872"/>
      <c r="AE107" s="872"/>
      <c r="AF107" s="872"/>
      <c r="AG107" s="872"/>
      <c r="AH107" s="872"/>
      <c r="AI107" s="872"/>
      <c r="AJ107" s="872"/>
      <c r="AK107" s="872"/>
      <c r="AL107" s="872">
        <f>G107</f>
        <v>24</v>
      </c>
      <c r="AM107" s="872"/>
      <c r="AN107" s="872"/>
      <c r="AO107" s="242">
        <v>0</v>
      </c>
      <c r="AP107" s="32">
        <f t="shared" si="3"/>
        <v>0</v>
      </c>
      <c r="AQ107" s="32">
        <f t="shared" si="5"/>
        <v>0</v>
      </c>
    </row>
    <row r="108" s="860" customFormat="1" customHeight="1" spans="1:43">
      <c r="A108" s="327">
        <v>46094</v>
      </c>
      <c r="B108" s="281" t="s">
        <v>109</v>
      </c>
      <c r="C108" s="280"/>
      <c r="D108" s="282" t="s">
        <v>212</v>
      </c>
      <c r="E108" s="283" t="s">
        <v>213</v>
      </c>
      <c r="F108" s="283" t="s">
        <v>214</v>
      </c>
      <c r="G108" s="284">
        <v>1002</v>
      </c>
      <c r="H108" s="280">
        <v>46162</v>
      </c>
      <c r="I108" s="883">
        <f>G108</f>
        <v>1002</v>
      </c>
      <c r="J108" s="883"/>
      <c r="K108" s="883"/>
      <c r="L108" s="883"/>
      <c r="M108" s="883"/>
      <c r="N108" s="883"/>
      <c r="O108" s="883"/>
      <c r="P108" s="883"/>
      <c r="Q108" s="883"/>
      <c r="R108" s="883"/>
      <c r="S108" s="883"/>
      <c r="T108" s="883"/>
      <c r="U108" s="883"/>
      <c r="V108" s="883"/>
      <c r="W108" s="883"/>
      <c r="X108" s="883"/>
      <c r="Y108" s="883"/>
      <c r="Z108" s="883"/>
      <c r="AA108" s="883"/>
      <c r="AB108" s="883"/>
      <c r="AC108" s="883"/>
      <c r="AD108" s="883"/>
      <c r="AE108" s="883"/>
      <c r="AF108" s="883"/>
      <c r="AG108" s="883"/>
      <c r="AH108" s="883"/>
      <c r="AI108" s="883"/>
      <c r="AJ108" s="883"/>
      <c r="AK108" s="883"/>
      <c r="AL108" s="883"/>
      <c r="AM108" s="883"/>
      <c r="AN108" s="883"/>
      <c r="AO108" s="292">
        <v>3.351</v>
      </c>
      <c r="AP108" s="884">
        <f t="shared" si="3"/>
        <v>3357.7</v>
      </c>
      <c r="AQ108" s="884">
        <f t="shared" si="5"/>
        <v>26022.18</v>
      </c>
    </row>
    <row r="109" s="860" customFormat="1" customHeight="1" spans="1:43">
      <c r="A109" s="327">
        <v>46094</v>
      </c>
      <c r="B109" s="281" t="s">
        <v>109</v>
      </c>
      <c r="C109" s="280" t="s">
        <v>106</v>
      </c>
      <c r="D109" s="282" t="s">
        <v>212</v>
      </c>
      <c r="E109" s="283" t="s">
        <v>213</v>
      </c>
      <c r="F109" s="283" t="s">
        <v>214</v>
      </c>
      <c r="G109" s="284">
        <v>6</v>
      </c>
      <c r="H109" s="280">
        <v>46162</v>
      </c>
      <c r="I109" s="883">
        <f>G109</f>
        <v>6</v>
      </c>
      <c r="J109" s="883"/>
      <c r="K109" s="883"/>
      <c r="L109" s="883"/>
      <c r="M109" s="883"/>
      <c r="N109" s="883"/>
      <c r="O109" s="883"/>
      <c r="P109" s="883"/>
      <c r="Q109" s="883"/>
      <c r="R109" s="883"/>
      <c r="S109" s="883"/>
      <c r="T109" s="883"/>
      <c r="U109" s="883"/>
      <c r="V109" s="883"/>
      <c r="W109" s="883"/>
      <c r="X109" s="883"/>
      <c r="Y109" s="883"/>
      <c r="Z109" s="883"/>
      <c r="AA109" s="883"/>
      <c r="AB109" s="883"/>
      <c r="AC109" s="883"/>
      <c r="AD109" s="883"/>
      <c r="AE109" s="883"/>
      <c r="AF109" s="883"/>
      <c r="AG109" s="883"/>
      <c r="AH109" s="883"/>
      <c r="AI109" s="883"/>
      <c r="AJ109" s="883"/>
      <c r="AK109" s="883"/>
      <c r="AL109" s="883"/>
      <c r="AM109" s="883"/>
      <c r="AN109" s="883"/>
      <c r="AO109" s="292">
        <v>0</v>
      </c>
      <c r="AP109" s="884">
        <f t="shared" si="3"/>
        <v>0</v>
      </c>
      <c r="AQ109" s="884">
        <f t="shared" si="5"/>
        <v>0</v>
      </c>
    </row>
    <row r="110" s="860" customFormat="1" customHeight="1" spans="1:43">
      <c r="A110" s="327">
        <v>46094</v>
      </c>
      <c r="B110" s="281" t="s">
        <v>109</v>
      </c>
      <c r="C110" s="280"/>
      <c r="D110" s="282" t="s">
        <v>212</v>
      </c>
      <c r="E110" s="283" t="s">
        <v>215</v>
      </c>
      <c r="F110" s="283" t="s">
        <v>216</v>
      </c>
      <c r="G110" s="284">
        <v>3804</v>
      </c>
      <c r="H110" s="280">
        <v>46162</v>
      </c>
      <c r="I110" s="883"/>
      <c r="J110" s="883"/>
      <c r="K110" s="883"/>
      <c r="L110" s="883"/>
      <c r="M110" s="883"/>
      <c r="N110" s="883"/>
      <c r="O110" s="883"/>
      <c r="P110" s="883"/>
      <c r="Q110" s="883"/>
      <c r="R110" s="883"/>
      <c r="S110" s="883"/>
      <c r="T110" s="883"/>
      <c r="U110" s="883"/>
      <c r="V110" s="883"/>
      <c r="W110" s="883"/>
      <c r="X110" s="883">
        <f>G110</f>
        <v>3804</v>
      </c>
      <c r="Y110" s="883"/>
      <c r="Z110" s="883"/>
      <c r="AA110" s="883"/>
      <c r="AB110" s="883"/>
      <c r="AC110" s="883"/>
      <c r="AD110" s="883"/>
      <c r="AE110" s="883"/>
      <c r="AF110" s="883"/>
      <c r="AG110" s="883"/>
      <c r="AH110" s="883"/>
      <c r="AI110" s="883"/>
      <c r="AJ110" s="883"/>
      <c r="AK110" s="883"/>
      <c r="AL110" s="883"/>
      <c r="AM110" s="883"/>
      <c r="AN110" s="883"/>
      <c r="AO110" s="292">
        <v>2.913</v>
      </c>
      <c r="AP110" s="884">
        <f t="shared" si="3"/>
        <v>11081.05</v>
      </c>
      <c r="AQ110" s="884">
        <f t="shared" si="5"/>
        <v>85878.14</v>
      </c>
    </row>
    <row r="111" s="860" customFormat="1" customHeight="1" spans="1:43">
      <c r="A111" s="327">
        <v>46094</v>
      </c>
      <c r="B111" s="281" t="s">
        <v>109</v>
      </c>
      <c r="C111" s="280" t="s">
        <v>106</v>
      </c>
      <c r="D111" s="282" t="s">
        <v>212</v>
      </c>
      <c r="E111" s="283" t="s">
        <v>215</v>
      </c>
      <c r="F111" s="283" t="s">
        <v>216</v>
      </c>
      <c r="G111" s="284">
        <v>6</v>
      </c>
      <c r="H111" s="280">
        <v>46162</v>
      </c>
      <c r="I111" s="883"/>
      <c r="J111" s="883"/>
      <c r="K111" s="883"/>
      <c r="L111" s="883"/>
      <c r="M111" s="883"/>
      <c r="N111" s="883"/>
      <c r="O111" s="883"/>
      <c r="P111" s="883"/>
      <c r="Q111" s="883"/>
      <c r="R111" s="883"/>
      <c r="S111" s="883"/>
      <c r="T111" s="883"/>
      <c r="U111" s="883"/>
      <c r="V111" s="883"/>
      <c r="W111" s="883"/>
      <c r="X111" s="883">
        <f>G111</f>
        <v>6</v>
      </c>
      <c r="Y111" s="883"/>
      <c r="Z111" s="883"/>
      <c r="AA111" s="883"/>
      <c r="AB111" s="883"/>
      <c r="AC111" s="883"/>
      <c r="AD111" s="883"/>
      <c r="AE111" s="883"/>
      <c r="AF111" s="883"/>
      <c r="AG111" s="883"/>
      <c r="AH111" s="883"/>
      <c r="AI111" s="883"/>
      <c r="AJ111" s="883"/>
      <c r="AK111" s="883"/>
      <c r="AL111" s="883"/>
      <c r="AM111" s="883"/>
      <c r="AN111" s="883"/>
      <c r="AO111" s="292">
        <v>0</v>
      </c>
      <c r="AP111" s="884">
        <f t="shared" si="3"/>
        <v>0</v>
      </c>
      <c r="AQ111" s="884">
        <f t="shared" si="5"/>
        <v>0</v>
      </c>
    </row>
    <row r="112" s="860" customFormat="1" customHeight="1" spans="1:43">
      <c r="A112" s="327">
        <v>46098</v>
      </c>
      <c r="B112" s="281" t="s">
        <v>91</v>
      </c>
      <c r="C112" s="280"/>
      <c r="D112" s="282" t="s">
        <v>217</v>
      </c>
      <c r="E112" s="283">
        <v>1426146</v>
      </c>
      <c r="F112" s="283" t="s">
        <v>209</v>
      </c>
      <c r="G112" s="284">
        <v>21000</v>
      </c>
      <c r="H112" s="280">
        <v>46167</v>
      </c>
      <c r="I112" s="883"/>
      <c r="J112" s="883"/>
      <c r="K112" s="883"/>
      <c r="L112" s="883"/>
      <c r="M112" s="883"/>
      <c r="N112" s="883"/>
      <c r="O112" s="883"/>
      <c r="P112" s="883"/>
      <c r="Q112" s="883"/>
      <c r="R112" s="883"/>
      <c r="S112" s="883"/>
      <c r="T112" s="883"/>
      <c r="U112" s="883"/>
      <c r="V112" s="883"/>
      <c r="W112" s="883"/>
      <c r="X112" s="883"/>
      <c r="Y112" s="883"/>
      <c r="Z112" s="883"/>
      <c r="AA112" s="883"/>
      <c r="AB112" s="883"/>
      <c r="AC112" s="883"/>
      <c r="AD112" s="883"/>
      <c r="AE112" s="883"/>
      <c r="AF112" s="883"/>
      <c r="AG112" s="883"/>
      <c r="AH112" s="883"/>
      <c r="AI112" s="883"/>
      <c r="AJ112" s="883"/>
      <c r="AK112" s="883">
        <f>G112</f>
        <v>21000</v>
      </c>
      <c r="AL112" s="883"/>
      <c r="AM112" s="883"/>
      <c r="AN112" s="883"/>
      <c r="AO112" s="292">
        <v>2.59</v>
      </c>
      <c r="AP112" s="884">
        <f t="shared" si="3"/>
        <v>54390</v>
      </c>
      <c r="AQ112" s="884">
        <f t="shared" si="5"/>
        <v>421522.5</v>
      </c>
    </row>
    <row r="113" s="860" customFormat="1" customHeight="1" spans="1:43">
      <c r="A113" s="327">
        <v>46098</v>
      </c>
      <c r="B113" s="281" t="s">
        <v>218</v>
      </c>
      <c r="C113" s="280"/>
      <c r="D113" s="282" t="s">
        <v>219</v>
      </c>
      <c r="E113" s="283" t="s">
        <v>220</v>
      </c>
      <c r="F113" s="283" t="s">
        <v>193</v>
      </c>
      <c r="G113" s="284">
        <v>5460</v>
      </c>
      <c r="H113" s="280">
        <v>46176</v>
      </c>
      <c r="I113" s="883"/>
      <c r="J113" s="883"/>
      <c r="K113" s="883"/>
      <c r="L113" s="883"/>
      <c r="M113" s="883"/>
      <c r="N113" s="883"/>
      <c r="O113" s="883"/>
      <c r="P113" s="883"/>
      <c r="Q113" s="883"/>
      <c r="R113" s="883"/>
      <c r="S113" s="883"/>
      <c r="T113" s="883"/>
      <c r="U113" s="883"/>
      <c r="V113" s="883"/>
      <c r="W113" s="883"/>
      <c r="X113" s="883"/>
      <c r="Y113" s="883"/>
      <c r="Z113" s="883"/>
      <c r="AA113" s="883"/>
      <c r="AB113" s="883"/>
      <c r="AC113" s="883"/>
      <c r="AD113" s="883"/>
      <c r="AE113" s="883"/>
      <c r="AF113" s="883"/>
      <c r="AG113" s="883"/>
      <c r="AH113" s="883"/>
      <c r="AI113" s="883"/>
      <c r="AJ113" s="883"/>
      <c r="AK113" s="883">
        <f>G113</f>
        <v>5460</v>
      </c>
      <c r="AL113" s="883"/>
      <c r="AM113" s="883"/>
      <c r="AN113" s="883"/>
      <c r="AO113" s="292">
        <v>2.603</v>
      </c>
      <c r="AP113" s="884">
        <f t="shared" si="3"/>
        <v>14212.38</v>
      </c>
      <c r="AQ113" s="884">
        <f t="shared" si="5"/>
        <v>110145.95</v>
      </c>
    </row>
    <row r="114" s="863" customFormat="1" customHeight="1" spans="1:43">
      <c r="A114" s="889">
        <v>46098</v>
      </c>
      <c r="B114" s="230" t="s">
        <v>218</v>
      </c>
      <c r="C114" s="229"/>
      <c r="D114" s="231" t="s">
        <v>221</v>
      </c>
      <c r="E114" s="232" t="s">
        <v>222</v>
      </c>
      <c r="F114" s="525" t="s">
        <v>196</v>
      </c>
      <c r="G114" s="233">
        <v>4980</v>
      </c>
      <c r="H114" s="229">
        <v>46206</v>
      </c>
      <c r="I114" s="872"/>
      <c r="J114" s="872"/>
      <c r="K114" s="872"/>
      <c r="L114" s="872"/>
      <c r="M114" s="872"/>
      <c r="N114" s="872"/>
      <c r="O114" s="872"/>
      <c r="P114" s="872"/>
      <c r="Q114" s="872"/>
      <c r="R114" s="872"/>
      <c r="S114" s="872"/>
      <c r="T114" s="872"/>
      <c r="U114" s="872"/>
      <c r="V114" s="872"/>
      <c r="W114" s="872">
        <f>G114</f>
        <v>4980</v>
      </c>
      <c r="X114" s="872"/>
      <c r="Y114" s="872"/>
      <c r="Z114" s="872"/>
      <c r="AA114" s="872"/>
      <c r="AB114" s="872"/>
      <c r="AC114" s="872"/>
      <c r="AD114" s="872"/>
      <c r="AE114" s="872"/>
      <c r="AF114" s="872"/>
      <c r="AG114" s="872"/>
      <c r="AH114" s="872"/>
      <c r="AI114" s="872"/>
      <c r="AJ114" s="872"/>
      <c r="AK114" s="872"/>
      <c r="AL114" s="872"/>
      <c r="AM114" s="872"/>
      <c r="AN114" s="872"/>
      <c r="AO114" s="242">
        <v>3.317</v>
      </c>
      <c r="AP114" s="32">
        <f t="shared" si="3"/>
        <v>16518.66</v>
      </c>
      <c r="AQ114" s="32">
        <f t="shared" si="5"/>
        <v>128019.62</v>
      </c>
    </row>
    <row r="115" s="863" customFormat="1" customHeight="1" spans="1:43">
      <c r="A115" s="889">
        <v>46098</v>
      </c>
      <c r="B115" s="230" t="s">
        <v>218</v>
      </c>
      <c r="C115" s="229"/>
      <c r="D115" s="231" t="s">
        <v>221</v>
      </c>
      <c r="E115" s="232" t="s">
        <v>223</v>
      </c>
      <c r="F115" s="525" t="s">
        <v>199</v>
      </c>
      <c r="G115" s="233">
        <v>5280</v>
      </c>
      <c r="H115" s="229">
        <v>46206</v>
      </c>
      <c r="I115" s="872"/>
      <c r="J115" s="872"/>
      <c r="K115" s="872"/>
      <c r="L115" s="872"/>
      <c r="M115" s="872"/>
      <c r="N115" s="872"/>
      <c r="O115" s="872"/>
      <c r="P115" s="872"/>
      <c r="Q115" s="872"/>
      <c r="R115" s="872"/>
      <c r="S115" s="872"/>
      <c r="T115" s="872"/>
      <c r="U115" s="872"/>
      <c r="V115" s="872"/>
      <c r="W115" s="872"/>
      <c r="X115" s="872"/>
      <c r="Y115" s="872"/>
      <c r="Z115" s="872"/>
      <c r="AA115" s="872"/>
      <c r="AB115" s="872"/>
      <c r="AC115" s="872"/>
      <c r="AD115" s="872"/>
      <c r="AE115" s="872"/>
      <c r="AF115" s="872"/>
      <c r="AG115" s="872"/>
      <c r="AH115" s="872"/>
      <c r="AI115" s="872"/>
      <c r="AJ115" s="872"/>
      <c r="AK115" s="872"/>
      <c r="AL115" s="872"/>
      <c r="AM115" s="872">
        <f>G115</f>
        <v>5280</v>
      </c>
      <c r="AN115" s="872"/>
      <c r="AO115" s="242">
        <v>2.697</v>
      </c>
      <c r="AP115" s="32">
        <f t="shared" si="3"/>
        <v>14240.16</v>
      </c>
      <c r="AQ115" s="32">
        <f t="shared" si="5"/>
        <v>110361.24</v>
      </c>
    </row>
    <row r="116" s="860" customFormat="1" customHeight="1" spans="1:43">
      <c r="A116" s="327">
        <v>46098</v>
      </c>
      <c r="B116" s="281" t="s">
        <v>218</v>
      </c>
      <c r="C116" s="280"/>
      <c r="D116" s="282" t="s">
        <v>219</v>
      </c>
      <c r="E116" s="283" t="s">
        <v>224</v>
      </c>
      <c r="F116" s="283" t="s">
        <v>225</v>
      </c>
      <c r="G116" s="284">
        <v>5100</v>
      </c>
      <c r="H116" s="280">
        <v>46176</v>
      </c>
      <c r="I116" s="883"/>
      <c r="J116" s="883">
        <f>G116</f>
        <v>5100</v>
      </c>
      <c r="K116" s="883"/>
      <c r="L116" s="883"/>
      <c r="M116" s="883"/>
      <c r="N116" s="883"/>
      <c r="O116" s="883"/>
      <c r="P116" s="883"/>
      <c r="Q116" s="883"/>
      <c r="R116" s="883"/>
      <c r="S116" s="883"/>
      <c r="T116" s="883"/>
      <c r="U116" s="883"/>
      <c r="V116" s="883"/>
      <c r="W116" s="883"/>
      <c r="X116" s="883"/>
      <c r="Y116" s="883"/>
      <c r="Z116" s="883"/>
      <c r="AA116" s="883"/>
      <c r="AB116" s="883"/>
      <c r="AC116" s="883"/>
      <c r="AD116" s="883"/>
      <c r="AE116" s="883"/>
      <c r="AF116" s="883"/>
      <c r="AG116" s="883"/>
      <c r="AH116" s="883"/>
      <c r="AI116" s="883"/>
      <c r="AJ116" s="883"/>
      <c r="AK116" s="883"/>
      <c r="AL116" s="883"/>
      <c r="AM116" s="883"/>
      <c r="AN116" s="883"/>
      <c r="AO116" s="292">
        <v>3.396</v>
      </c>
      <c r="AP116" s="884">
        <f t="shared" si="3"/>
        <v>17319.6</v>
      </c>
      <c r="AQ116" s="884">
        <f t="shared" si="5"/>
        <v>134226.9</v>
      </c>
    </row>
    <row r="117" s="860" customFormat="1" customHeight="1" spans="1:43">
      <c r="A117" s="327">
        <v>46098</v>
      </c>
      <c r="B117" s="281" t="s">
        <v>218</v>
      </c>
      <c r="C117" s="280"/>
      <c r="D117" s="282" t="s">
        <v>219</v>
      </c>
      <c r="E117" s="283" t="s">
        <v>226</v>
      </c>
      <c r="F117" s="283" t="s">
        <v>205</v>
      </c>
      <c r="G117" s="284">
        <v>4200</v>
      </c>
      <c r="H117" s="280">
        <v>46176</v>
      </c>
      <c r="I117" s="883"/>
      <c r="J117" s="883"/>
      <c r="K117" s="883"/>
      <c r="L117" s="883"/>
      <c r="M117" s="883"/>
      <c r="N117" s="883"/>
      <c r="O117" s="883"/>
      <c r="P117" s="883"/>
      <c r="Q117" s="883"/>
      <c r="R117" s="883"/>
      <c r="S117" s="883"/>
      <c r="T117" s="883"/>
      <c r="U117" s="883"/>
      <c r="V117" s="883"/>
      <c r="W117" s="883"/>
      <c r="X117" s="883"/>
      <c r="Y117" s="883"/>
      <c r="Z117" s="883"/>
      <c r="AA117" s="883"/>
      <c r="AB117" s="883"/>
      <c r="AC117" s="883"/>
      <c r="AD117" s="883"/>
      <c r="AE117" s="883"/>
      <c r="AF117" s="883"/>
      <c r="AG117" s="883"/>
      <c r="AH117" s="883"/>
      <c r="AI117" s="883"/>
      <c r="AJ117" s="883"/>
      <c r="AK117" s="883"/>
      <c r="AL117" s="883">
        <f>G117</f>
        <v>4200</v>
      </c>
      <c r="AM117" s="883"/>
      <c r="AN117" s="883"/>
      <c r="AO117" s="292">
        <v>2.587</v>
      </c>
      <c r="AP117" s="884">
        <f t="shared" si="3"/>
        <v>10865.4</v>
      </c>
      <c r="AQ117" s="884">
        <f t="shared" si="5"/>
        <v>84206.85</v>
      </c>
    </row>
    <row r="118" s="860" customFormat="1" customHeight="1" spans="1:43">
      <c r="A118" s="327">
        <v>46100</v>
      </c>
      <c r="B118" s="281" t="s">
        <v>109</v>
      </c>
      <c r="C118" s="280"/>
      <c r="D118" s="282" t="s">
        <v>227</v>
      </c>
      <c r="E118" s="283">
        <v>1125087</v>
      </c>
      <c r="F118" s="283" t="s">
        <v>228</v>
      </c>
      <c r="G118" s="284">
        <v>984</v>
      </c>
      <c r="H118" s="280">
        <v>46150</v>
      </c>
      <c r="I118" s="883"/>
      <c r="J118" s="883"/>
      <c r="K118" s="883"/>
      <c r="L118" s="883"/>
      <c r="M118" s="883"/>
      <c r="N118" s="883"/>
      <c r="O118" s="883"/>
      <c r="P118" s="883"/>
      <c r="Q118" s="883"/>
      <c r="R118" s="883"/>
      <c r="S118" s="883"/>
      <c r="T118" s="883"/>
      <c r="U118" s="883"/>
      <c r="V118" s="883"/>
      <c r="W118" s="883"/>
      <c r="X118" s="883"/>
      <c r="Y118" s="883"/>
      <c r="Z118" s="883"/>
      <c r="AA118" s="883"/>
      <c r="AB118" s="883"/>
      <c r="AC118" s="883"/>
      <c r="AD118" s="883"/>
      <c r="AE118" s="883"/>
      <c r="AF118" s="883">
        <f>G118</f>
        <v>984</v>
      </c>
      <c r="AG118" s="883"/>
      <c r="AH118" s="883"/>
      <c r="AI118" s="883"/>
      <c r="AJ118" s="883"/>
      <c r="AK118" s="883"/>
      <c r="AL118" s="883"/>
      <c r="AM118" s="883"/>
      <c r="AN118" s="883"/>
      <c r="AO118" s="292">
        <v>4.686</v>
      </c>
      <c r="AP118" s="884">
        <f t="shared" si="3"/>
        <v>4611.02</v>
      </c>
      <c r="AQ118" s="884">
        <f t="shared" si="5"/>
        <v>35735.41</v>
      </c>
    </row>
    <row r="119" s="860" customFormat="1" customHeight="1" spans="1:43">
      <c r="A119" s="327">
        <v>46100</v>
      </c>
      <c r="B119" s="281" t="s">
        <v>109</v>
      </c>
      <c r="C119" s="280"/>
      <c r="D119" s="282" t="s">
        <v>227</v>
      </c>
      <c r="E119" s="283">
        <v>1125087</v>
      </c>
      <c r="F119" s="283" t="s">
        <v>228</v>
      </c>
      <c r="G119" s="284">
        <v>516</v>
      </c>
      <c r="H119" s="280">
        <v>46150</v>
      </c>
      <c r="I119" s="883"/>
      <c r="J119" s="883"/>
      <c r="K119" s="883"/>
      <c r="L119" s="883"/>
      <c r="M119" s="883"/>
      <c r="N119" s="883"/>
      <c r="O119" s="883"/>
      <c r="P119" s="883"/>
      <c r="Q119" s="883"/>
      <c r="R119" s="883"/>
      <c r="S119" s="883"/>
      <c r="T119" s="883"/>
      <c r="U119" s="883"/>
      <c r="V119" s="883"/>
      <c r="W119" s="883"/>
      <c r="X119" s="883"/>
      <c r="Y119" s="883"/>
      <c r="Z119" s="883"/>
      <c r="AA119" s="883"/>
      <c r="AB119" s="883"/>
      <c r="AC119" s="883"/>
      <c r="AD119" s="883"/>
      <c r="AE119" s="883"/>
      <c r="AF119" s="883">
        <f>G119</f>
        <v>516</v>
      </c>
      <c r="AG119" s="883"/>
      <c r="AH119" s="883"/>
      <c r="AI119" s="883"/>
      <c r="AJ119" s="883"/>
      <c r="AK119" s="883"/>
      <c r="AL119" s="883"/>
      <c r="AM119" s="883"/>
      <c r="AN119" s="883"/>
      <c r="AO119" s="292">
        <v>4.686</v>
      </c>
      <c r="AP119" s="884">
        <f t="shared" si="3"/>
        <v>2417.98</v>
      </c>
      <c r="AQ119" s="884">
        <f t="shared" si="5"/>
        <v>18739.35</v>
      </c>
    </row>
    <row r="120" s="860" customFormat="1" customHeight="1" spans="1:43">
      <c r="A120" s="354">
        <v>46101</v>
      </c>
      <c r="B120" s="299" t="s">
        <v>120</v>
      </c>
      <c r="C120" s="280"/>
      <c r="D120" s="301" t="s">
        <v>229</v>
      </c>
      <c r="E120" s="302">
        <v>1125131</v>
      </c>
      <c r="F120" s="302" t="s">
        <v>230</v>
      </c>
      <c r="G120" s="303">
        <v>6300</v>
      </c>
      <c r="H120" s="280">
        <v>46150</v>
      </c>
      <c r="I120" s="883"/>
      <c r="J120" s="883"/>
      <c r="K120" s="883"/>
      <c r="L120" s="883"/>
      <c r="M120" s="883"/>
      <c r="N120" s="883"/>
      <c r="O120" s="883"/>
      <c r="P120" s="883"/>
      <c r="Q120" s="883"/>
      <c r="R120" s="883"/>
      <c r="S120" s="883"/>
      <c r="T120" s="883"/>
      <c r="U120" s="883"/>
      <c r="V120" s="883"/>
      <c r="W120" s="883"/>
      <c r="X120" s="883"/>
      <c r="Y120" s="883"/>
      <c r="Z120" s="883"/>
      <c r="AA120" s="883"/>
      <c r="AB120" s="883"/>
      <c r="AC120" s="883"/>
      <c r="AD120" s="883">
        <f>G120</f>
        <v>6300</v>
      </c>
      <c r="AE120" s="883"/>
      <c r="AF120" s="883"/>
      <c r="AG120" s="883"/>
      <c r="AH120" s="883"/>
      <c r="AI120" s="883"/>
      <c r="AJ120" s="883"/>
      <c r="AK120" s="883"/>
      <c r="AL120" s="883"/>
      <c r="AM120" s="883"/>
      <c r="AN120" s="883"/>
      <c r="AO120" s="312">
        <v>2.081</v>
      </c>
      <c r="AP120" s="884">
        <f t="shared" si="3"/>
        <v>13110.3</v>
      </c>
      <c r="AQ120" s="884">
        <f t="shared" si="5"/>
        <v>101604.83</v>
      </c>
    </row>
    <row r="121" s="860" customFormat="1" customHeight="1" spans="1:43">
      <c r="A121" s="327">
        <v>46104</v>
      </c>
      <c r="B121" s="281" t="s">
        <v>88</v>
      </c>
      <c r="C121" s="280"/>
      <c r="D121" s="282" t="s">
        <v>231</v>
      </c>
      <c r="E121" s="283">
        <v>1026169</v>
      </c>
      <c r="F121" s="283" t="s">
        <v>207</v>
      </c>
      <c r="G121" s="284">
        <v>10440</v>
      </c>
      <c r="H121" s="280">
        <v>46202</v>
      </c>
      <c r="I121" s="883"/>
      <c r="J121" s="883"/>
      <c r="K121" s="883"/>
      <c r="L121" s="883"/>
      <c r="M121" s="883"/>
      <c r="N121" s="883"/>
      <c r="O121" s="883"/>
      <c r="P121" s="883"/>
      <c r="Q121" s="883"/>
      <c r="R121" s="883"/>
      <c r="S121" s="883"/>
      <c r="T121" s="883"/>
      <c r="U121" s="883"/>
      <c r="V121" s="883"/>
      <c r="W121" s="883"/>
      <c r="X121" s="883"/>
      <c r="Y121" s="883"/>
      <c r="Z121" s="883"/>
      <c r="AA121" s="883"/>
      <c r="AB121" s="883"/>
      <c r="AC121" s="883"/>
      <c r="AD121" s="883"/>
      <c r="AE121" s="883"/>
      <c r="AF121" s="883"/>
      <c r="AG121" s="883"/>
      <c r="AH121" s="883"/>
      <c r="AI121" s="883"/>
      <c r="AJ121" s="883"/>
      <c r="AK121" s="883"/>
      <c r="AL121" s="883">
        <f>G121</f>
        <v>10440</v>
      </c>
      <c r="AM121" s="883"/>
      <c r="AN121" s="883"/>
      <c r="AO121" s="292">
        <v>2.573</v>
      </c>
      <c r="AP121" s="884">
        <f t="shared" si="3"/>
        <v>26862.12</v>
      </c>
      <c r="AQ121" s="884">
        <f t="shared" si="5"/>
        <v>208181.43</v>
      </c>
    </row>
    <row r="122" s="860" customFormat="1" customHeight="1" spans="1:43">
      <c r="A122" s="327">
        <v>46104</v>
      </c>
      <c r="B122" s="281" t="s">
        <v>88</v>
      </c>
      <c r="C122" s="280"/>
      <c r="D122" s="282" t="s">
        <v>232</v>
      </c>
      <c r="E122" s="283">
        <v>1026169</v>
      </c>
      <c r="F122" s="283" t="s">
        <v>207</v>
      </c>
      <c r="G122" s="284">
        <v>10440</v>
      </c>
      <c r="H122" s="280">
        <v>46202</v>
      </c>
      <c r="I122" s="883"/>
      <c r="J122" s="883"/>
      <c r="K122" s="883"/>
      <c r="L122" s="883"/>
      <c r="M122" s="883"/>
      <c r="N122" s="883"/>
      <c r="O122" s="883"/>
      <c r="P122" s="883"/>
      <c r="Q122" s="883"/>
      <c r="R122" s="883"/>
      <c r="S122" s="883"/>
      <c r="T122" s="883"/>
      <c r="U122" s="883"/>
      <c r="V122" s="883"/>
      <c r="W122" s="883"/>
      <c r="X122" s="883"/>
      <c r="Y122" s="883"/>
      <c r="Z122" s="883"/>
      <c r="AA122" s="883"/>
      <c r="AB122" s="883"/>
      <c r="AC122" s="883"/>
      <c r="AD122" s="883"/>
      <c r="AE122" s="883"/>
      <c r="AF122" s="883"/>
      <c r="AG122" s="883"/>
      <c r="AH122" s="883"/>
      <c r="AI122" s="883"/>
      <c r="AJ122" s="883"/>
      <c r="AK122" s="883"/>
      <c r="AL122" s="883">
        <f>G122</f>
        <v>10440</v>
      </c>
      <c r="AM122" s="883"/>
      <c r="AN122" s="883"/>
      <c r="AO122" s="292">
        <v>2.573</v>
      </c>
      <c r="AP122" s="884">
        <f t="shared" si="3"/>
        <v>26862.12</v>
      </c>
      <c r="AQ122" s="884">
        <f t="shared" si="5"/>
        <v>208181.43</v>
      </c>
    </row>
    <row r="123" s="860" customFormat="1" customHeight="1" spans="1:43">
      <c r="A123" s="327">
        <v>46104</v>
      </c>
      <c r="B123" s="281" t="s">
        <v>102</v>
      </c>
      <c r="C123" s="280"/>
      <c r="D123" s="282" t="s">
        <v>233</v>
      </c>
      <c r="E123" s="283">
        <v>3826146</v>
      </c>
      <c r="F123" s="283" t="s">
        <v>234</v>
      </c>
      <c r="G123" s="284">
        <v>13680</v>
      </c>
      <c r="H123" s="280">
        <v>46182</v>
      </c>
      <c r="I123" s="883"/>
      <c r="J123" s="883"/>
      <c r="K123" s="883"/>
      <c r="L123" s="883"/>
      <c r="M123" s="883"/>
      <c r="N123" s="883"/>
      <c r="O123" s="883"/>
      <c r="P123" s="883"/>
      <c r="Q123" s="883"/>
      <c r="R123" s="883"/>
      <c r="S123" s="883"/>
      <c r="T123" s="883"/>
      <c r="U123" s="883"/>
      <c r="V123" s="883"/>
      <c r="W123" s="883"/>
      <c r="X123" s="883"/>
      <c r="Y123" s="883"/>
      <c r="Z123" s="883"/>
      <c r="AA123" s="883"/>
      <c r="AB123" s="883"/>
      <c r="AC123" s="883"/>
      <c r="AD123" s="883"/>
      <c r="AE123" s="883"/>
      <c r="AF123" s="883"/>
      <c r="AG123" s="883"/>
      <c r="AH123" s="883"/>
      <c r="AI123" s="883"/>
      <c r="AJ123" s="883"/>
      <c r="AK123" s="883">
        <f>G123</f>
        <v>13680</v>
      </c>
      <c r="AL123" s="883"/>
      <c r="AM123" s="883"/>
      <c r="AN123" s="883"/>
      <c r="AO123" s="292">
        <v>2.59</v>
      </c>
      <c r="AP123" s="884">
        <f t="shared" si="3"/>
        <v>35431.2</v>
      </c>
      <c r="AQ123" s="884">
        <f t="shared" si="5"/>
        <v>274591.8</v>
      </c>
    </row>
    <row r="124" s="860" customFormat="1" customHeight="1" spans="1:43">
      <c r="A124" s="327">
        <v>46104</v>
      </c>
      <c r="B124" s="281" t="s">
        <v>102</v>
      </c>
      <c r="C124" s="280" t="s">
        <v>101</v>
      </c>
      <c r="D124" s="282" t="s">
        <v>233</v>
      </c>
      <c r="E124" s="283">
        <v>3826146</v>
      </c>
      <c r="F124" s="283" t="s">
        <v>234</v>
      </c>
      <c r="G124" s="284">
        <v>8</v>
      </c>
      <c r="H124" s="280">
        <v>46182</v>
      </c>
      <c r="I124" s="883"/>
      <c r="J124" s="883"/>
      <c r="K124" s="883"/>
      <c r="L124" s="883"/>
      <c r="M124" s="883"/>
      <c r="N124" s="883"/>
      <c r="O124" s="883"/>
      <c r="P124" s="883"/>
      <c r="Q124" s="883"/>
      <c r="R124" s="883"/>
      <c r="S124" s="883"/>
      <c r="T124" s="883"/>
      <c r="U124" s="883"/>
      <c r="V124" s="883"/>
      <c r="W124" s="883"/>
      <c r="X124" s="883"/>
      <c r="Y124" s="883"/>
      <c r="Z124" s="883"/>
      <c r="AA124" s="883"/>
      <c r="AB124" s="883"/>
      <c r="AC124" s="883"/>
      <c r="AD124" s="883"/>
      <c r="AE124" s="883"/>
      <c r="AF124" s="883"/>
      <c r="AG124" s="883"/>
      <c r="AH124" s="883"/>
      <c r="AI124" s="883"/>
      <c r="AJ124" s="883"/>
      <c r="AK124" s="883">
        <f>G124</f>
        <v>8</v>
      </c>
      <c r="AL124" s="883"/>
      <c r="AM124" s="883"/>
      <c r="AN124" s="883"/>
      <c r="AO124" s="292">
        <v>0</v>
      </c>
      <c r="AP124" s="884">
        <f t="shared" si="3"/>
        <v>0</v>
      </c>
      <c r="AQ124" s="884">
        <f t="shared" si="5"/>
        <v>0</v>
      </c>
    </row>
    <row r="125" s="860" customFormat="1" customHeight="1" spans="1:43">
      <c r="A125" s="327">
        <v>46104</v>
      </c>
      <c r="B125" s="281" t="s">
        <v>102</v>
      </c>
      <c r="C125" s="280"/>
      <c r="D125" s="282" t="s">
        <v>233</v>
      </c>
      <c r="E125" s="283">
        <v>3826168</v>
      </c>
      <c r="F125" s="283" t="s">
        <v>235</v>
      </c>
      <c r="G125" s="284">
        <v>4680</v>
      </c>
      <c r="H125" s="280">
        <v>46182</v>
      </c>
      <c r="I125" s="883"/>
      <c r="J125" s="883">
        <f>G125</f>
        <v>4680</v>
      </c>
      <c r="K125" s="883"/>
      <c r="L125" s="883"/>
      <c r="M125" s="883"/>
      <c r="N125" s="883"/>
      <c r="O125" s="883"/>
      <c r="P125" s="883"/>
      <c r="Q125" s="883"/>
      <c r="R125" s="883"/>
      <c r="S125" s="883"/>
      <c r="T125" s="883"/>
      <c r="U125" s="883"/>
      <c r="V125" s="883"/>
      <c r="W125" s="883"/>
      <c r="X125" s="883"/>
      <c r="Y125" s="883"/>
      <c r="Z125" s="883"/>
      <c r="AA125" s="883"/>
      <c r="AB125" s="883"/>
      <c r="AC125" s="883"/>
      <c r="AD125" s="883"/>
      <c r="AE125" s="883"/>
      <c r="AF125" s="883"/>
      <c r="AG125" s="883"/>
      <c r="AH125" s="883"/>
      <c r="AI125" s="883"/>
      <c r="AJ125" s="883"/>
      <c r="AK125" s="883"/>
      <c r="AL125" s="883"/>
      <c r="AM125" s="883"/>
      <c r="AN125" s="883"/>
      <c r="AO125" s="292">
        <v>3.382</v>
      </c>
      <c r="AP125" s="884">
        <f t="shared" si="3"/>
        <v>15827.76</v>
      </c>
      <c r="AQ125" s="884">
        <f t="shared" si="5"/>
        <v>122665.14</v>
      </c>
    </row>
    <row r="126" s="860" customFormat="1" customHeight="1" spans="1:43">
      <c r="A126" s="327">
        <v>46104</v>
      </c>
      <c r="B126" s="281" t="s">
        <v>102</v>
      </c>
      <c r="C126" s="280" t="s">
        <v>101</v>
      </c>
      <c r="D126" s="282" t="s">
        <v>233</v>
      </c>
      <c r="E126" s="283">
        <v>3826168</v>
      </c>
      <c r="F126" s="283" t="s">
        <v>235</v>
      </c>
      <c r="G126" s="284">
        <v>8</v>
      </c>
      <c r="H126" s="280">
        <v>46182</v>
      </c>
      <c r="I126" s="883"/>
      <c r="J126" s="883">
        <f>G126</f>
        <v>8</v>
      </c>
      <c r="K126" s="883"/>
      <c r="L126" s="883"/>
      <c r="M126" s="883"/>
      <c r="N126" s="883"/>
      <c r="O126" s="883"/>
      <c r="P126" s="883"/>
      <c r="Q126" s="883"/>
      <c r="R126" s="883"/>
      <c r="S126" s="883"/>
      <c r="T126" s="883"/>
      <c r="U126" s="883"/>
      <c r="V126" s="883"/>
      <c r="W126" s="883"/>
      <c r="X126" s="883"/>
      <c r="Y126" s="883"/>
      <c r="Z126" s="883"/>
      <c r="AA126" s="883"/>
      <c r="AB126" s="883"/>
      <c r="AC126" s="883"/>
      <c r="AD126" s="883"/>
      <c r="AE126" s="883"/>
      <c r="AF126" s="883"/>
      <c r="AG126" s="883"/>
      <c r="AH126" s="883"/>
      <c r="AI126" s="883"/>
      <c r="AJ126" s="883"/>
      <c r="AK126" s="883"/>
      <c r="AL126" s="883"/>
      <c r="AM126" s="883"/>
      <c r="AN126" s="883"/>
      <c r="AO126" s="292">
        <v>0</v>
      </c>
      <c r="AP126" s="884">
        <f t="shared" si="3"/>
        <v>0</v>
      </c>
      <c r="AQ126" s="884">
        <f t="shared" si="5"/>
        <v>0</v>
      </c>
    </row>
    <row r="127" s="860" customFormat="1" customHeight="1" spans="1:43">
      <c r="A127" s="354">
        <v>46105</v>
      </c>
      <c r="B127" s="299" t="s">
        <v>236</v>
      </c>
      <c r="C127" s="301"/>
      <c r="D127" s="301" t="s">
        <v>237</v>
      </c>
      <c r="E127" s="302">
        <v>5226155</v>
      </c>
      <c r="F127" s="302" t="s">
        <v>238</v>
      </c>
      <c r="G127" s="303">
        <v>2004</v>
      </c>
      <c r="H127" s="280">
        <v>46167</v>
      </c>
      <c r="I127" s="883"/>
      <c r="J127" s="883"/>
      <c r="K127" s="883"/>
      <c r="L127" s="883">
        <f>G127</f>
        <v>2004</v>
      </c>
      <c r="M127" s="883"/>
      <c r="N127" s="883"/>
      <c r="O127" s="883"/>
      <c r="P127" s="883"/>
      <c r="Q127" s="883"/>
      <c r="R127" s="883"/>
      <c r="S127" s="883"/>
      <c r="T127" s="883"/>
      <c r="U127" s="883"/>
      <c r="V127" s="883"/>
      <c r="W127" s="883"/>
      <c r="X127" s="883"/>
      <c r="Y127" s="883"/>
      <c r="Z127" s="883"/>
      <c r="AA127" s="883"/>
      <c r="AB127" s="883"/>
      <c r="AC127" s="883"/>
      <c r="AD127" s="883"/>
      <c r="AE127" s="883"/>
      <c r="AF127" s="883"/>
      <c r="AG127" s="883"/>
      <c r="AH127" s="883"/>
      <c r="AI127" s="883"/>
      <c r="AJ127" s="883"/>
      <c r="AK127" s="883"/>
      <c r="AL127" s="883"/>
      <c r="AM127" s="883"/>
      <c r="AN127" s="883"/>
      <c r="AO127" s="292">
        <v>4.3</v>
      </c>
      <c r="AP127" s="884">
        <f t="shared" si="3"/>
        <v>8617.2</v>
      </c>
      <c r="AQ127" s="884">
        <f t="shared" si="5"/>
        <v>66783.3</v>
      </c>
    </row>
    <row r="128" s="860" customFormat="1" customHeight="1" spans="1:43">
      <c r="A128" s="354">
        <v>46105</v>
      </c>
      <c r="B128" s="299" t="s">
        <v>236</v>
      </c>
      <c r="C128" s="301" t="s">
        <v>106</v>
      </c>
      <c r="D128" s="301" t="s">
        <v>237</v>
      </c>
      <c r="E128" s="302">
        <v>5226155</v>
      </c>
      <c r="F128" s="302" t="s">
        <v>238</v>
      </c>
      <c r="G128" s="303">
        <v>18</v>
      </c>
      <c r="H128" s="280">
        <v>46167</v>
      </c>
      <c r="I128" s="883"/>
      <c r="J128" s="883"/>
      <c r="K128" s="883"/>
      <c r="L128" s="883">
        <f>G128</f>
        <v>18</v>
      </c>
      <c r="M128" s="883"/>
      <c r="N128" s="883"/>
      <c r="O128" s="883"/>
      <c r="P128" s="883"/>
      <c r="Q128" s="883"/>
      <c r="R128" s="883"/>
      <c r="S128" s="883"/>
      <c r="T128" s="883"/>
      <c r="U128" s="883"/>
      <c r="V128" s="883"/>
      <c r="W128" s="883"/>
      <c r="X128" s="883"/>
      <c r="Y128" s="883"/>
      <c r="Z128" s="883"/>
      <c r="AA128" s="883"/>
      <c r="AB128" s="883"/>
      <c r="AC128" s="883"/>
      <c r="AD128" s="883"/>
      <c r="AE128" s="883"/>
      <c r="AF128" s="883"/>
      <c r="AG128" s="883"/>
      <c r="AH128" s="883"/>
      <c r="AI128" s="883"/>
      <c r="AJ128" s="883"/>
      <c r="AK128" s="883"/>
      <c r="AL128" s="883"/>
      <c r="AM128" s="883"/>
      <c r="AN128" s="883"/>
      <c r="AO128" s="292">
        <v>0</v>
      </c>
      <c r="AP128" s="884">
        <f t="shared" si="3"/>
        <v>0</v>
      </c>
      <c r="AQ128" s="884">
        <f t="shared" si="5"/>
        <v>0</v>
      </c>
    </row>
    <row r="129" s="860" customFormat="1" customHeight="1" spans="1:43">
      <c r="A129" s="354">
        <v>46106</v>
      </c>
      <c r="B129" s="299" t="s">
        <v>91</v>
      </c>
      <c r="C129" s="301"/>
      <c r="D129" s="301" t="s">
        <v>239</v>
      </c>
      <c r="E129" s="302">
        <v>1422110</v>
      </c>
      <c r="F129" s="302" t="s">
        <v>240</v>
      </c>
      <c r="G129" s="303">
        <v>12000</v>
      </c>
      <c r="H129" s="280">
        <v>46157</v>
      </c>
      <c r="I129" s="883">
        <f>G129</f>
        <v>12000</v>
      </c>
      <c r="J129" s="883"/>
      <c r="K129" s="883"/>
      <c r="L129" s="883"/>
      <c r="M129" s="883"/>
      <c r="N129" s="883"/>
      <c r="O129" s="883"/>
      <c r="P129" s="883"/>
      <c r="Q129" s="883"/>
      <c r="R129" s="883"/>
      <c r="S129" s="883"/>
      <c r="T129" s="883"/>
      <c r="U129" s="883"/>
      <c r="V129" s="883"/>
      <c r="W129" s="883"/>
      <c r="X129" s="883"/>
      <c r="Y129" s="883"/>
      <c r="Z129" s="883"/>
      <c r="AA129" s="883"/>
      <c r="AB129" s="883"/>
      <c r="AC129" s="883"/>
      <c r="AD129" s="883"/>
      <c r="AE129" s="883"/>
      <c r="AF129" s="883"/>
      <c r="AG129" s="883"/>
      <c r="AH129" s="883"/>
      <c r="AI129" s="883"/>
      <c r="AJ129" s="883"/>
      <c r="AK129" s="883"/>
      <c r="AL129" s="883"/>
      <c r="AM129" s="883"/>
      <c r="AN129" s="883"/>
      <c r="AO129" s="312">
        <v>3.06</v>
      </c>
      <c r="AP129" s="884">
        <f t="shared" si="3"/>
        <v>36720</v>
      </c>
      <c r="AQ129" s="884">
        <f t="shared" si="5"/>
        <v>284580</v>
      </c>
    </row>
    <row r="130" s="860" customFormat="1" customHeight="1" spans="1:43">
      <c r="A130" s="327">
        <v>46106</v>
      </c>
      <c r="B130" s="281" t="s">
        <v>125</v>
      </c>
      <c r="C130" s="280"/>
      <c r="D130" s="282" t="s">
        <v>241</v>
      </c>
      <c r="E130" s="283">
        <v>1526146</v>
      </c>
      <c r="F130" s="283" t="s">
        <v>242</v>
      </c>
      <c r="G130" s="284">
        <v>4002</v>
      </c>
      <c r="H130" s="280">
        <v>46198</v>
      </c>
      <c r="I130" s="883"/>
      <c r="J130" s="883"/>
      <c r="K130" s="883"/>
      <c r="L130" s="883"/>
      <c r="M130" s="883"/>
      <c r="N130" s="883"/>
      <c r="O130" s="883"/>
      <c r="P130" s="883"/>
      <c r="Q130" s="883"/>
      <c r="R130" s="883"/>
      <c r="S130" s="883"/>
      <c r="T130" s="883"/>
      <c r="U130" s="883"/>
      <c r="V130" s="883"/>
      <c r="W130" s="883"/>
      <c r="X130" s="883"/>
      <c r="Y130" s="883"/>
      <c r="Z130" s="883"/>
      <c r="AA130" s="883"/>
      <c r="AB130" s="883"/>
      <c r="AC130" s="883"/>
      <c r="AD130" s="883"/>
      <c r="AE130" s="883"/>
      <c r="AF130" s="883"/>
      <c r="AG130" s="883"/>
      <c r="AH130" s="883"/>
      <c r="AI130" s="883"/>
      <c r="AJ130" s="883"/>
      <c r="AK130" s="883">
        <f>G130</f>
        <v>4002</v>
      </c>
      <c r="AL130" s="883"/>
      <c r="AM130" s="883"/>
      <c r="AN130" s="883"/>
      <c r="AO130" s="292">
        <v>2.59</v>
      </c>
      <c r="AP130" s="884">
        <f t="shared" si="3"/>
        <v>10365.18</v>
      </c>
      <c r="AQ130" s="884">
        <f t="shared" si="5"/>
        <v>80330.15</v>
      </c>
    </row>
    <row r="131" s="860" customFormat="1" customHeight="1" spans="1:43">
      <c r="A131" s="327">
        <v>46106</v>
      </c>
      <c r="B131" s="281" t="s">
        <v>125</v>
      </c>
      <c r="C131" s="280" t="s">
        <v>106</v>
      </c>
      <c r="D131" s="282" t="s">
        <v>241</v>
      </c>
      <c r="E131" s="283">
        <v>1526146</v>
      </c>
      <c r="F131" s="283" t="s">
        <v>242</v>
      </c>
      <c r="G131" s="284">
        <v>16</v>
      </c>
      <c r="H131" s="280">
        <v>46198</v>
      </c>
      <c r="I131" s="883"/>
      <c r="J131" s="883"/>
      <c r="K131" s="883"/>
      <c r="L131" s="883"/>
      <c r="M131" s="883"/>
      <c r="N131" s="883"/>
      <c r="O131" s="883"/>
      <c r="P131" s="883"/>
      <c r="Q131" s="883"/>
      <c r="R131" s="883"/>
      <c r="S131" s="883"/>
      <c r="T131" s="883"/>
      <c r="U131" s="883"/>
      <c r="V131" s="883"/>
      <c r="W131" s="883"/>
      <c r="X131" s="883"/>
      <c r="Y131" s="883"/>
      <c r="Z131" s="883"/>
      <c r="AA131" s="883"/>
      <c r="AB131" s="883"/>
      <c r="AC131" s="883"/>
      <c r="AD131" s="883"/>
      <c r="AE131" s="883"/>
      <c r="AF131" s="883"/>
      <c r="AG131" s="883"/>
      <c r="AH131" s="883"/>
      <c r="AI131" s="883"/>
      <c r="AJ131" s="883"/>
      <c r="AK131" s="883">
        <f>G131</f>
        <v>16</v>
      </c>
      <c r="AL131" s="883"/>
      <c r="AM131" s="883"/>
      <c r="AN131" s="883"/>
      <c r="AO131" s="292">
        <v>0</v>
      </c>
      <c r="AP131" s="884">
        <f t="shared" ref="AP131:AP194" si="6">SUM(I131:AN131)*AO131</f>
        <v>0</v>
      </c>
      <c r="AQ131" s="884">
        <f t="shared" si="5"/>
        <v>0</v>
      </c>
    </row>
    <row r="132" s="860" customFormat="1" customHeight="1" spans="1:43">
      <c r="A132" s="327">
        <v>46106</v>
      </c>
      <c r="B132" s="281" t="s">
        <v>125</v>
      </c>
      <c r="C132" s="280"/>
      <c r="D132" s="282" t="s">
        <v>243</v>
      </c>
      <c r="E132" s="283">
        <v>1525138</v>
      </c>
      <c r="F132" s="283" t="s">
        <v>244</v>
      </c>
      <c r="G132" s="284">
        <v>1704</v>
      </c>
      <c r="H132" s="280">
        <v>46198</v>
      </c>
      <c r="I132" s="883"/>
      <c r="J132" s="883"/>
      <c r="K132" s="883"/>
      <c r="L132" s="883"/>
      <c r="M132" s="883"/>
      <c r="N132" s="883"/>
      <c r="O132" s="883">
        <f>G132</f>
        <v>1704</v>
      </c>
      <c r="P132" s="883"/>
      <c r="Q132" s="883"/>
      <c r="R132" s="883"/>
      <c r="S132" s="883"/>
      <c r="T132" s="883"/>
      <c r="U132" s="883"/>
      <c r="V132" s="883"/>
      <c r="W132" s="883"/>
      <c r="X132" s="883"/>
      <c r="Y132" s="883"/>
      <c r="Z132" s="883"/>
      <c r="AA132" s="883"/>
      <c r="AB132" s="883"/>
      <c r="AC132" s="883"/>
      <c r="AD132" s="883"/>
      <c r="AE132" s="883"/>
      <c r="AF132" s="883"/>
      <c r="AG132" s="883"/>
      <c r="AH132" s="883"/>
      <c r="AI132" s="883"/>
      <c r="AJ132" s="883"/>
      <c r="AK132" s="883"/>
      <c r="AL132" s="883"/>
      <c r="AM132" s="883"/>
      <c r="AN132" s="883"/>
      <c r="AO132" s="292">
        <v>3.865</v>
      </c>
      <c r="AP132" s="884">
        <f t="shared" si="6"/>
        <v>6585.96</v>
      </c>
      <c r="AQ132" s="884">
        <f t="shared" si="5"/>
        <v>51041.19</v>
      </c>
    </row>
    <row r="133" s="863" customFormat="1" customHeight="1" spans="1:43">
      <c r="A133" s="504">
        <v>46111</v>
      </c>
      <c r="B133" s="508" t="s">
        <v>93</v>
      </c>
      <c r="C133" s="505"/>
      <c r="D133" s="505" t="s">
        <v>245</v>
      </c>
      <c r="E133" s="524">
        <v>1326168</v>
      </c>
      <c r="F133" s="524" t="s">
        <v>246</v>
      </c>
      <c r="G133" s="507">
        <v>4680</v>
      </c>
      <c r="H133" s="229">
        <v>46212</v>
      </c>
      <c r="I133" s="872"/>
      <c r="J133" s="872">
        <f>G133</f>
        <v>4680</v>
      </c>
      <c r="K133" s="872"/>
      <c r="L133" s="872"/>
      <c r="M133" s="872"/>
      <c r="N133" s="872"/>
      <c r="O133" s="872"/>
      <c r="P133" s="872"/>
      <c r="Q133" s="872"/>
      <c r="R133" s="872"/>
      <c r="S133" s="872"/>
      <c r="T133" s="872"/>
      <c r="U133" s="872"/>
      <c r="V133" s="872"/>
      <c r="W133" s="872"/>
      <c r="X133" s="872"/>
      <c r="Y133" s="872"/>
      <c r="Z133" s="872"/>
      <c r="AA133" s="872"/>
      <c r="AB133" s="872"/>
      <c r="AC133" s="872"/>
      <c r="AD133" s="872"/>
      <c r="AE133" s="872"/>
      <c r="AF133" s="872"/>
      <c r="AG133" s="872"/>
      <c r="AH133" s="872"/>
      <c r="AI133" s="872"/>
      <c r="AJ133" s="872"/>
      <c r="AK133" s="872"/>
      <c r="AL133" s="872"/>
      <c r="AM133" s="872"/>
      <c r="AN133" s="872"/>
      <c r="AO133" s="895">
        <v>3.382</v>
      </c>
      <c r="AP133" s="32">
        <f t="shared" si="6"/>
        <v>15827.76</v>
      </c>
      <c r="AQ133" s="32">
        <f t="shared" si="5"/>
        <v>122665.14</v>
      </c>
    </row>
    <row r="134" s="863" customFormat="1" customHeight="1" spans="1:43">
      <c r="A134" s="504">
        <v>46111</v>
      </c>
      <c r="B134" s="508" t="s">
        <v>93</v>
      </c>
      <c r="C134" s="505" t="s">
        <v>106</v>
      </c>
      <c r="D134" s="505" t="s">
        <v>245</v>
      </c>
      <c r="E134" s="524">
        <v>1326168</v>
      </c>
      <c r="F134" s="524" t="s">
        <v>246</v>
      </c>
      <c r="G134" s="507">
        <v>6</v>
      </c>
      <c r="H134" s="229">
        <v>46212</v>
      </c>
      <c r="I134" s="872"/>
      <c r="J134" s="872">
        <f>G134</f>
        <v>6</v>
      </c>
      <c r="K134" s="872"/>
      <c r="L134" s="872"/>
      <c r="M134" s="872"/>
      <c r="N134" s="872"/>
      <c r="O134" s="872"/>
      <c r="P134" s="872"/>
      <c r="Q134" s="872"/>
      <c r="R134" s="872"/>
      <c r="S134" s="872"/>
      <c r="T134" s="872"/>
      <c r="U134" s="872"/>
      <c r="V134" s="872"/>
      <c r="W134" s="872"/>
      <c r="X134" s="872"/>
      <c r="Y134" s="872"/>
      <c r="Z134" s="872"/>
      <c r="AA134" s="872"/>
      <c r="AB134" s="872"/>
      <c r="AC134" s="872"/>
      <c r="AD134" s="872"/>
      <c r="AE134" s="872"/>
      <c r="AF134" s="872"/>
      <c r="AG134" s="872"/>
      <c r="AH134" s="872"/>
      <c r="AI134" s="872"/>
      <c r="AJ134" s="872"/>
      <c r="AK134" s="872"/>
      <c r="AL134" s="872"/>
      <c r="AM134" s="872"/>
      <c r="AN134" s="872"/>
      <c r="AO134" s="895">
        <v>0</v>
      </c>
      <c r="AP134" s="32">
        <f t="shared" si="6"/>
        <v>0</v>
      </c>
      <c r="AQ134" s="32">
        <f t="shared" si="5"/>
        <v>0</v>
      </c>
    </row>
    <row r="135" s="863" customFormat="1" customHeight="1" spans="1:43">
      <c r="A135" s="504">
        <v>46111</v>
      </c>
      <c r="B135" s="508" t="s">
        <v>93</v>
      </c>
      <c r="C135" s="505"/>
      <c r="D135" s="505" t="s">
        <v>247</v>
      </c>
      <c r="E135" s="524">
        <v>1326103</v>
      </c>
      <c r="F135" s="524" t="s">
        <v>248</v>
      </c>
      <c r="G135" s="507">
        <v>4500</v>
      </c>
      <c r="H135" s="229">
        <v>46233</v>
      </c>
      <c r="I135" s="872"/>
      <c r="J135" s="872"/>
      <c r="K135" s="872"/>
      <c r="L135" s="872"/>
      <c r="M135" s="872"/>
      <c r="N135" s="872"/>
      <c r="O135" s="872"/>
      <c r="P135" s="872"/>
      <c r="Q135" s="872"/>
      <c r="R135" s="872"/>
      <c r="S135" s="872"/>
      <c r="T135" s="872"/>
      <c r="U135" s="872"/>
      <c r="V135" s="872"/>
      <c r="W135" s="872"/>
      <c r="X135" s="872"/>
      <c r="Y135" s="872"/>
      <c r="Z135" s="872"/>
      <c r="AA135" s="872">
        <f>G135</f>
        <v>4500</v>
      </c>
      <c r="AB135" s="872"/>
      <c r="AC135" s="872"/>
      <c r="AD135" s="872"/>
      <c r="AE135" s="872"/>
      <c r="AF135" s="872"/>
      <c r="AG135" s="872"/>
      <c r="AH135" s="872"/>
      <c r="AI135" s="872"/>
      <c r="AJ135" s="872"/>
      <c r="AK135" s="872"/>
      <c r="AL135" s="872"/>
      <c r="AM135" s="872"/>
      <c r="AN135" s="872"/>
      <c r="AO135" s="242">
        <v>1.899</v>
      </c>
      <c r="AP135" s="32">
        <f t="shared" si="6"/>
        <v>8545.5</v>
      </c>
      <c r="AQ135" s="32">
        <f t="shared" si="5"/>
        <v>66227.63</v>
      </c>
    </row>
    <row r="136" s="863" customFormat="1" customHeight="1" spans="1:43">
      <c r="A136" s="504">
        <v>46111</v>
      </c>
      <c r="B136" s="508" t="s">
        <v>93</v>
      </c>
      <c r="C136" s="505" t="s">
        <v>106</v>
      </c>
      <c r="D136" s="505" t="s">
        <v>247</v>
      </c>
      <c r="E136" s="524">
        <v>1326103</v>
      </c>
      <c r="F136" s="524" t="s">
        <v>248</v>
      </c>
      <c r="G136" s="507">
        <v>12</v>
      </c>
      <c r="H136" s="229">
        <v>46233</v>
      </c>
      <c r="I136" s="872"/>
      <c r="J136" s="872"/>
      <c r="K136" s="872"/>
      <c r="L136" s="872"/>
      <c r="M136" s="872"/>
      <c r="N136" s="872"/>
      <c r="O136" s="872"/>
      <c r="P136" s="872"/>
      <c r="Q136" s="872"/>
      <c r="R136" s="872"/>
      <c r="S136" s="872"/>
      <c r="T136" s="872"/>
      <c r="U136" s="872"/>
      <c r="V136" s="872"/>
      <c r="W136" s="872"/>
      <c r="X136" s="872"/>
      <c r="Y136" s="872"/>
      <c r="Z136" s="872"/>
      <c r="AA136" s="872">
        <f>G136</f>
        <v>12</v>
      </c>
      <c r="AB136" s="872"/>
      <c r="AC136" s="872"/>
      <c r="AD136" s="872"/>
      <c r="AE136" s="872"/>
      <c r="AF136" s="872"/>
      <c r="AG136" s="872"/>
      <c r="AH136" s="872"/>
      <c r="AI136" s="872"/>
      <c r="AJ136" s="872"/>
      <c r="AK136" s="872"/>
      <c r="AL136" s="872"/>
      <c r="AM136" s="872"/>
      <c r="AN136" s="872"/>
      <c r="AO136" s="242">
        <v>0</v>
      </c>
      <c r="AP136" s="32">
        <f t="shared" si="6"/>
        <v>0</v>
      </c>
      <c r="AQ136" s="32">
        <f t="shared" si="5"/>
        <v>0</v>
      </c>
    </row>
    <row r="137" s="863" customFormat="1" customHeight="1" spans="1:43">
      <c r="A137" s="504">
        <v>46111</v>
      </c>
      <c r="B137" s="508" t="s">
        <v>93</v>
      </c>
      <c r="C137" s="505"/>
      <c r="D137" s="505" t="s">
        <v>247</v>
      </c>
      <c r="E137" s="524">
        <v>1326110</v>
      </c>
      <c r="F137" s="524" t="s">
        <v>249</v>
      </c>
      <c r="G137" s="507">
        <v>6300</v>
      </c>
      <c r="H137" s="229">
        <v>46233</v>
      </c>
      <c r="I137" s="872">
        <f>G137</f>
        <v>6300</v>
      </c>
      <c r="J137" s="872"/>
      <c r="K137" s="872"/>
      <c r="L137" s="872"/>
      <c r="M137" s="872"/>
      <c r="N137" s="872"/>
      <c r="O137" s="872"/>
      <c r="P137" s="872"/>
      <c r="Q137" s="872"/>
      <c r="R137" s="872"/>
      <c r="S137" s="872"/>
      <c r="T137" s="872"/>
      <c r="U137" s="872"/>
      <c r="V137" s="872"/>
      <c r="W137" s="872"/>
      <c r="X137" s="872"/>
      <c r="Y137" s="872"/>
      <c r="Z137" s="872"/>
      <c r="AA137" s="872"/>
      <c r="AB137" s="872"/>
      <c r="AC137" s="872"/>
      <c r="AD137" s="872"/>
      <c r="AE137" s="872"/>
      <c r="AF137" s="872"/>
      <c r="AG137" s="872"/>
      <c r="AH137" s="872"/>
      <c r="AI137" s="872"/>
      <c r="AJ137" s="872"/>
      <c r="AK137" s="872"/>
      <c r="AL137" s="872"/>
      <c r="AM137" s="872"/>
      <c r="AN137" s="872"/>
      <c r="AO137" s="242">
        <v>3.06</v>
      </c>
      <c r="AP137" s="32">
        <f t="shared" si="6"/>
        <v>19278</v>
      </c>
      <c r="AQ137" s="32">
        <f t="shared" si="5"/>
        <v>149404.5</v>
      </c>
    </row>
    <row r="138" s="863" customFormat="1" customHeight="1" spans="1:43">
      <c r="A138" s="504">
        <v>46111</v>
      </c>
      <c r="B138" s="508" t="s">
        <v>93</v>
      </c>
      <c r="C138" s="505" t="s">
        <v>106</v>
      </c>
      <c r="D138" s="505" t="s">
        <v>247</v>
      </c>
      <c r="E138" s="524">
        <v>1326110</v>
      </c>
      <c r="F138" s="524" t="s">
        <v>249</v>
      </c>
      <c r="G138" s="507">
        <v>12</v>
      </c>
      <c r="H138" s="229">
        <v>46233</v>
      </c>
      <c r="I138" s="872">
        <f>G138</f>
        <v>12</v>
      </c>
      <c r="J138" s="872"/>
      <c r="K138" s="872"/>
      <c r="L138" s="872"/>
      <c r="M138" s="872"/>
      <c r="N138" s="872"/>
      <c r="O138" s="872"/>
      <c r="P138" s="872"/>
      <c r="Q138" s="872"/>
      <c r="R138" s="872"/>
      <c r="S138" s="872"/>
      <c r="T138" s="872"/>
      <c r="U138" s="872"/>
      <c r="V138" s="872"/>
      <c r="W138" s="872"/>
      <c r="X138" s="872"/>
      <c r="Y138" s="872"/>
      <c r="Z138" s="872"/>
      <c r="AA138" s="872"/>
      <c r="AB138" s="872"/>
      <c r="AC138" s="872"/>
      <c r="AD138" s="872"/>
      <c r="AE138" s="872"/>
      <c r="AF138" s="872"/>
      <c r="AG138" s="872"/>
      <c r="AH138" s="872"/>
      <c r="AI138" s="872"/>
      <c r="AJ138" s="872"/>
      <c r="AK138" s="872"/>
      <c r="AL138" s="872"/>
      <c r="AM138" s="872"/>
      <c r="AN138" s="872"/>
      <c r="AO138" s="242">
        <v>0</v>
      </c>
      <c r="AP138" s="32">
        <f t="shared" si="6"/>
        <v>0</v>
      </c>
      <c r="AQ138" s="32">
        <f t="shared" si="5"/>
        <v>0</v>
      </c>
    </row>
    <row r="139" s="863" customFormat="1" customHeight="1" spans="1:43">
      <c r="A139" s="504">
        <v>46111</v>
      </c>
      <c r="B139" s="508" t="s">
        <v>93</v>
      </c>
      <c r="C139" s="505"/>
      <c r="D139" s="505" t="s">
        <v>247</v>
      </c>
      <c r="E139" s="524">
        <v>1326164</v>
      </c>
      <c r="F139" s="481" t="s">
        <v>250</v>
      </c>
      <c r="G139" s="507">
        <v>5280</v>
      </c>
      <c r="H139" s="229">
        <v>46233</v>
      </c>
      <c r="I139" s="872"/>
      <c r="J139" s="872"/>
      <c r="K139" s="872"/>
      <c r="L139" s="872"/>
      <c r="M139" s="872"/>
      <c r="N139" s="872"/>
      <c r="O139" s="872"/>
      <c r="P139" s="872"/>
      <c r="Q139" s="872"/>
      <c r="R139" s="872"/>
      <c r="S139" s="872"/>
      <c r="T139" s="872"/>
      <c r="U139" s="872"/>
      <c r="V139" s="872"/>
      <c r="W139" s="872"/>
      <c r="X139" s="872"/>
      <c r="Y139" s="872"/>
      <c r="Z139" s="872"/>
      <c r="AA139" s="872"/>
      <c r="AB139" s="872"/>
      <c r="AC139" s="872"/>
      <c r="AD139" s="872"/>
      <c r="AE139" s="872"/>
      <c r="AF139" s="872"/>
      <c r="AG139" s="872"/>
      <c r="AH139" s="872"/>
      <c r="AI139" s="872"/>
      <c r="AJ139" s="872"/>
      <c r="AK139" s="872"/>
      <c r="AL139" s="872"/>
      <c r="AM139" s="872">
        <f>G139</f>
        <v>5280</v>
      </c>
      <c r="AN139" s="872"/>
      <c r="AO139" s="242">
        <v>2.64</v>
      </c>
      <c r="AP139" s="32">
        <f t="shared" si="6"/>
        <v>13939.2</v>
      </c>
      <c r="AQ139" s="32">
        <f t="shared" si="5"/>
        <v>108028.8</v>
      </c>
    </row>
    <row r="140" s="863" customFormat="1" customHeight="1" spans="1:43">
      <c r="A140" s="504">
        <v>46111</v>
      </c>
      <c r="B140" s="508" t="s">
        <v>93</v>
      </c>
      <c r="C140" s="505" t="s">
        <v>106</v>
      </c>
      <c r="D140" s="505" t="s">
        <v>247</v>
      </c>
      <c r="E140" s="524">
        <v>1326164</v>
      </c>
      <c r="F140" s="481" t="s">
        <v>250</v>
      </c>
      <c r="G140" s="507">
        <v>12</v>
      </c>
      <c r="H140" s="229">
        <v>46233</v>
      </c>
      <c r="I140" s="872"/>
      <c r="J140" s="872"/>
      <c r="K140" s="872"/>
      <c r="L140" s="872"/>
      <c r="M140" s="872"/>
      <c r="N140" s="872"/>
      <c r="O140" s="872"/>
      <c r="P140" s="872"/>
      <c r="Q140" s="872"/>
      <c r="R140" s="872"/>
      <c r="S140" s="872"/>
      <c r="T140" s="872"/>
      <c r="U140" s="872"/>
      <c r="V140" s="872"/>
      <c r="W140" s="872"/>
      <c r="X140" s="872"/>
      <c r="Y140" s="872"/>
      <c r="Z140" s="872"/>
      <c r="AA140" s="872"/>
      <c r="AB140" s="872"/>
      <c r="AC140" s="872"/>
      <c r="AD140" s="872"/>
      <c r="AE140" s="872"/>
      <c r="AF140" s="872"/>
      <c r="AG140" s="872"/>
      <c r="AH140" s="872"/>
      <c r="AI140" s="872"/>
      <c r="AJ140" s="872"/>
      <c r="AK140" s="872"/>
      <c r="AL140" s="872"/>
      <c r="AM140" s="872">
        <f>G140</f>
        <v>12</v>
      </c>
      <c r="AN140" s="872"/>
      <c r="AO140" s="242">
        <v>0</v>
      </c>
      <c r="AP140" s="32">
        <f t="shared" si="6"/>
        <v>0</v>
      </c>
      <c r="AQ140" s="32">
        <f t="shared" si="5"/>
        <v>0</v>
      </c>
    </row>
    <row r="141" s="860" customFormat="1" customHeight="1" spans="1:43">
      <c r="A141" s="327">
        <v>46112</v>
      </c>
      <c r="B141" s="281" t="s">
        <v>93</v>
      </c>
      <c r="C141" s="280"/>
      <c r="D141" s="282" t="s">
        <v>251</v>
      </c>
      <c r="E141" s="283">
        <v>1325130</v>
      </c>
      <c r="F141" s="283" t="s">
        <v>252</v>
      </c>
      <c r="G141" s="284">
        <v>7002</v>
      </c>
      <c r="H141" s="280">
        <v>46153</v>
      </c>
      <c r="I141" s="883"/>
      <c r="J141" s="883"/>
      <c r="K141" s="883">
        <f>G141</f>
        <v>7002</v>
      </c>
      <c r="L141" s="883"/>
      <c r="M141" s="883"/>
      <c r="N141" s="883"/>
      <c r="O141" s="883"/>
      <c r="P141" s="883"/>
      <c r="Q141" s="883"/>
      <c r="R141" s="883"/>
      <c r="S141" s="883"/>
      <c r="T141" s="883"/>
      <c r="U141" s="883"/>
      <c r="V141" s="883"/>
      <c r="W141" s="883"/>
      <c r="X141" s="883"/>
      <c r="Y141" s="883"/>
      <c r="Z141" s="883"/>
      <c r="AA141" s="883"/>
      <c r="AB141" s="883"/>
      <c r="AC141" s="883"/>
      <c r="AD141" s="883"/>
      <c r="AE141" s="883"/>
      <c r="AF141" s="883"/>
      <c r="AG141" s="883"/>
      <c r="AH141" s="883"/>
      <c r="AI141" s="883"/>
      <c r="AJ141" s="883"/>
      <c r="AK141" s="883"/>
      <c r="AL141" s="883"/>
      <c r="AM141" s="883"/>
      <c r="AN141" s="883"/>
      <c r="AO141" s="292">
        <v>3.345</v>
      </c>
      <c r="AP141" s="884">
        <f t="shared" si="6"/>
        <v>23421.69</v>
      </c>
      <c r="AQ141" s="884">
        <f t="shared" si="5"/>
        <v>181518.1</v>
      </c>
    </row>
    <row r="142" s="860" customFormat="1" customHeight="1" spans="1:43">
      <c r="A142" s="327">
        <v>46112</v>
      </c>
      <c r="B142" s="281" t="s">
        <v>93</v>
      </c>
      <c r="C142" s="280" t="s">
        <v>155</v>
      </c>
      <c r="D142" s="282" t="s">
        <v>251</v>
      </c>
      <c r="E142" s="283">
        <v>1325130</v>
      </c>
      <c r="F142" s="283" t="s">
        <v>252</v>
      </c>
      <c r="G142" s="284">
        <v>6</v>
      </c>
      <c r="H142" s="280">
        <v>46153</v>
      </c>
      <c r="I142" s="883"/>
      <c r="J142" s="883"/>
      <c r="K142" s="883">
        <f>G142</f>
        <v>6</v>
      </c>
      <c r="L142" s="883"/>
      <c r="M142" s="883"/>
      <c r="N142" s="883"/>
      <c r="O142" s="883"/>
      <c r="P142" s="883"/>
      <c r="Q142" s="883"/>
      <c r="R142" s="883"/>
      <c r="S142" s="883"/>
      <c r="T142" s="883"/>
      <c r="U142" s="883"/>
      <c r="V142" s="883"/>
      <c r="W142" s="883"/>
      <c r="X142" s="883"/>
      <c r="Y142" s="883"/>
      <c r="Z142" s="883"/>
      <c r="AA142" s="883"/>
      <c r="AB142" s="883"/>
      <c r="AC142" s="883"/>
      <c r="AD142" s="883"/>
      <c r="AE142" s="883"/>
      <c r="AF142" s="883"/>
      <c r="AG142" s="883"/>
      <c r="AH142" s="883"/>
      <c r="AI142" s="883"/>
      <c r="AJ142" s="883"/>
      <c r="AK142" s="883"/>
      <c r="AL142" s="883"/>
      <c r="AM142" s="883"/>
      <c r="AN142" s="883"/>
      <c r="AO142" s="292">
        <v>0</v>
      </c>
      <c r="AP142" s="884">
        <f t="shared" si="6"/>
        <v>0</v>
      </c>
      <c r="AQ142" s="884">
        <f t="shared" si="5"/>
        <v>0</v>
      </c>
    </row>
    <row r="143" s="860" customFormat="1" customHeight="1" spans="1:43">
      <c r="A143" s="354">
        <v>46114</v>
      </c>
      <c r="B143" s="299" t="s">
        <v>91</v>
      </c>
      <c r="C143" s="301"/>
      <c r="D143" s="301" t="s">
        <v>253</v>
      </c>
      <c r="E143" s="302">
        <v>1424113</v>
      </c>
      <c r="F143" s="302" t="s">
        <v>254</v>
      </c>
      <c r="G143" s="303">
        <v>20010</v>
      </c>
      <c r="H143" s="280">
        <v>46212</v>
      </c>
      <c r="I143" s="883"/>
      <c r="J143" s="883"/>
      <c r="K143" s="883"/>
      <c r="L143" s="883"/>
      <c r="M143" s="883"/>
      <c r="N143" s="883"/>
      <c r="O143" s="883"/>
      <c r="P143" s="883">
        <f>G143</f>
        <v>20010</v>
      </c>
      <c r="Q143" s="883"/>
      <c r="R143" s="883"/>
      <c r="S143" s="883"/>
      <c r="T143" s="883"/>
      <c r="U143" s="883"/>
      <c r="V143" s="883"/>
      <c r="W143" s="883"/>
      <c r="X143" s="883"/>
      <c r="Y143" s="883"/>
      <c r="Z143" s="883"/>
      <c r="AA143" s="883"/>
      <c r="AB143" s="883"/>
      <c r="AC143" s="883"/>
      <c r="AD143" s="883"/>
      <c r="AE143" s="883"/>
      <c r="AF143" s="883"/>
      <c r="AG143" s="883"/>
      <c r="AH143" s="883"/>
      <c r="AI143" s="883"/>
      <c r="AJ143" s="883"/>
      <c r="AK143" s="883"/>
      <c r="AL143" s="883"/>
      <c r="AM143" s="883"/>
      <c r="AN143" s="883"/>
      <c r="AO143" s="292">
        <v>3.105</v>
      </c>
      <c r="AP143" s="884">
        <f t="shared" si="6"/>
        <v>62131.05</v>
      </c>
      <c r="AQ143" s="884">
        <f t="shared" si="5"/>
        <v>481515.64</v>
      </c>
    </row>
    <row r="144" s="860" customFormat="1" customHeight="1" spans="1:43">
      <c r="A144" s="354">
        <v>46114</v>
      </c>
      <c r="B144" s="299" t="s">
        <v>91</v>
      </c>
      <c r="C144" s="301"/>
      <c r="D144" s="301" t="s">
        <v>255</v>
      </c>
      <c r="E144" s="302">
        <v>1426146</v>
      </c>
      <c r="F144" s="302" t="s">
        <v>209</v>
      </c>
      <c r="G144" s="303">
        <v>15000</v>
      </c>
      <c r="H144" s="280">
        <v>46197</v>
      </c>
      <c r="I144" s="883"/>
      <c r="J144" s="883"/>
      <c r="K144" s="883"/>
      <c r="L144" s="883"/>
      <c r="M144" s="883"/>
      <c r="N144" s="883"/>
      <c r="O144" s="883"/>
      <c r="P144" s="883"/>
      <c r="Q144" s="883"/>
      <c r="R144" s="883"/>
      <c r="S144" s="883"/>
      <c r="T144" s="883"/>
      <c r="U144" s="883"/>
      <c r="V144" s="883"/>
      <c r="W144" s="883"/>
      <c r="X144" s="883"/>
      <c r="Y144" s="883"/>
      <c r="Z144" s="883"/>
      <c r="AA144" s="883"/>
      <c r="AB144" s="883"/>
      <c r="AC144" s="883"/>
      <c r="AD144" s="883"/>
      <c r="AE144" s="883"/>
      <c r="AF144" s="883"/>
      <c r="AG144" s="883"/>
      <c r="AH144" s="883"/>
      <c r="AI144" s="883"/>
      <c r="AJ144" s="883"/>
      <c r="AK144" s="883">
        <f>G144</f>
        <v>15000</v>
      </c>
      <c r="AL144" s="883"/>
      <c r="AM144" s="883"/>
      <c r="AN144" s="883"/>
      <c r="AO144" s="292">
        <v>2.59</v>
      </c>
      <c r="AP144" s="884">
        <f t="shared" si="6"/>
        <v>38850</v>
      </c>
      <c r="AQ144" s="884">
        <f t="shared" si="5"/>
        <v>301087.5</v>
      </c>
    </row>
    <row r="145" s="860" customFormat="1" customHeight="1" spans="1:43">
      <c r="A145" s="354">
        <v>46115</v>
      </c>
      <c r="B145" s="299" t="s">
        <v>88</v>
      </c>
      <c r="C145" s="301"/>
      <c r="D145" s="301" t="s">
        <v>256</v>
      </c>
      <c r="E145" s="302">
        <v>1026107</v>
      </c>
      <c r="F145" s="302" t="s">
        <v>136</v>
      </c>
      <c r="G145" s="303">
        <v>390</v>
      </c>
      <c r="H145" s="280">
        <v>46167</v>
      </c>
      <c r="I145" s="883"/>
      <c r="J145" s="883"/>
      <c r="K145" s="883"/>
      <c r="L145" s="883"/>
      <c r="M145" s="883"/>
      <c r="N145" s="883"/>
      <c r="O145" s="883"/>
      <c r="P145" s="883"/>
      <c r="Q145" s="883"/>
      <c r="R145" s="883"/>
      <c r="S145" s="883"/>
      <c r="T145" s="883"/>
      <c r="U145" s="883"/>
      <c r="V145" s="883"/>
      <c r="W145" s="883"/>
      <c r="X145" s="883"/>
      <c r="Y145" s="883"/>
      <c r="Z145" s="883"/>
      <c r="AA145" s="883"/>
      <c r="AB145" s="883"/>
      <c r="AC145" s="883"/>
      <c r="AD145" s="883"/>
      <c r="AE145" s="883"/>
      <c r="AF145" s="883"/>
      <c r="AG145" s="883"/>
      <c r="AH145" s="883"/>
      <c r="AI145" s="883"/>
      <c r="AJ145" s="883"/>
      <c r="AK145" s="883"/>
      <c r="AL145" s="883"/>
      <c r="AM145" s="883"/>
      <c r="AN145" s="883">
        <f>G145</f>
        <v>390</v>
      </c>
      <c r="AO145" s="312">
        <v>4.765</v>
      </c>
      <c r="AP145" s="884">
        <f t="shared" si="6"/>
        <v>1858.35</v>
      </c>
      <c r="AQ145" s="884">
        <f t="shared" si="5"/>
        <v>14402.21</v>
      </c>
    </row>
    <row r="146" s="863" customFormat="1" customHeight="1" spans="1:43">
      <c r="A146" s="504">
        <v>46115</v>
      </c>
      <c r="B146" s="508" t="s">
        <v>88</v>
      </c>
      <c r="C146" s="505"/>
      <c r="D146" s="505" t="s">
        <v>257</v>
      </c>
      <c r="E146" s="524">
        <v>1026107</v>
      </c>
      <c r="F146" s="524" t="s">
        <v>136</v>
      </c>
      <c r="G146" s="507">
        <v>540</v>
      </c>
      <c r="H146" s="229">
        <v>46195</v>
      </c>
      <c r="I146" s="872"/>
      <c r="J146" s="872"/>
      <c r="K146" s="872"/>
      <c r="L146" s="872"/>
      <c r="M146" s="872"/>
      <c r="N146" s="872"/>
      <c r="O146" s="872"/>
      <c r="P146" s="872"/>
      <c r="Q146" s="872"/>
      <c r="R146" s="872"/>
      <c r="S146" s="872"/>
      <c r="T146" s="872"/>
      <c r="U146" s="872"/>
      <c r="V146" s="872"/>
      <c r="W146" s="872"/>
      <c r="X146" s="872"/>
      <c r="Y146" s="872"/>
      <c r="Z146" s="872"/>
      <c r="AA146" s="872"/>
      <c r="AB146" s="872"/>
      <c r="AC146" s="872"/>
      <c r="AD146" s="872"/>
      <c r="AE146" s="872"/>
      <c r="AF146" s="872"/>
      <c r="AG146" s="872"/>
      <c r="AH146" s="872"/>
      <c r="AI146" s="872"/>
      <c r="AJ146" s="872"/>
      <c r="AK146" s="872"/>
      <c r="AL146" s="872"/>
      <c r="AM146" s="872"/>
      <c r="AN146" s="872">
        <f>G146</f>
        <v>540</v>
      </c>
      <c r="AO146" s="895">
        <v>4.765</v>
      </c>
      <c r="AP146" s="32">
        <f t="shared" si="6"/>
        <v>2573.1</v>
      </c>
      <c r="AQ146" s="32">
        <f t="shared" si="5"/>
        <v>19941.53</v>
      </c>
    </row>
    <row r="147" s="863" customFormat="1" customHeight="1" spans="1:43">
      <c r="A147" s="504">
        <v>46115</v>
      </c>
      <c r="B147" s="508" t="s">
        <v>88</v>
      </c>
      <c r="C147" s="505"/>
      <c r="D147" s="505" t="s">
        <v>258</v>
      </c>
      <c r="E147" s="524">
        <v>1026107</v>
      </c>
      <c r="F147" s="524" t="s">
        <v>136</v>
      </c>
      <c r="G147" s="507">
        <v>336</v>
      </c>
      <c r="H147" s="229">
        <v>46216</v>
      </c>
      <c r="I147" s="872"/>
      <c r="J147" s="872"/>
      <c r="K147" s="872"/>
      <c r="L147" s="872"/>
      <c r="M147" s="872"/>
      <c r="N147" s="872"/>
      <c r="O147" s="872"/>
      <c r="P147" s="872"/>
      <c r="Q147" s="872"/>
      <c r="R147" s="872"/>
      <c r="S147" s="872"/>
      <c r="T147" s="872"/>
      <c r="U147" s="872"/>
      <c r="V147" s="872"/>
      <c r="W147" s="872"/>
      <c r="X147" s="872"/>
      <c r="Y147" s="872"/>
      <c r="Z147" s="872"/>
      <c r="AA147" s="872"/>
      <c r="AB147" s="872"/>
      <c r="AC147" s="872"/>
      <c r="AD147" s="872"/>
      <c r="AE147" s="872"/>
      <c r="AF147" s="872"/>
      <c r="AG147" s="872"/>
      <c r="AH147" s="872"/>
      <c r="AI147" s="872"/>
      <c r="AJ147" s="872"/>
      <c r="AK147" s="872"/>
      <c r="AL147" s="872"/>
      <c r="AM147" s="872"/>
      <c r="AN147" s="872">
        <f>G147</f>
        <v>336</v>
      </c>
      <c r="AO147" s="895">
        <v>4.765</v>
      </c>
      <c r="AP147" s="32">
        <f t="shared" si="6"/>
        <v>1601.04</v>
      </c>
      <c r="AQ147" s="32">
        <f t="shared" si="5"/>
        <v>12408.06</v>
      </c>
    </row>
    <row r="148" s="860" customFormat="1" customHeight="1" spans="1:43">
      <c r="A148" s="354">
        <v>46115</v>
      </c>
      <c r="B148" s="299" t="s">
        <v>88</v>
      </c>
      <c r="C148" s="301"/>
      <c r="D148" s="301" t="s">
        <v>259</v>
      </c>
      <c r="E148" s="302">
        <v>1026107</v>
      </c>
      <c r="F148" s="302" t="s">
        <v>136</v>
      </c>
      <c r="G148" s="303">
        <v>5004</v>
      </c>
      <c r="H148" s="280">
        <v>46167</v>
      </c>
      <c r="I148" s="883"/>
      <c r="J148" s="883"/>
      <c r="K148" s="883"/>
      <c r="L148" s="883"/>
      <c r="M148" s="883"/>
      <c r="N148" s="883"/>
      <c r="O148" s="883"/>
      <c r="P148" s="883"/>
      <c r="Q148" s="883"/>
      <c r="R148" s="883"/>
      <c r="S148" s="883"/>
      <c r="T148" s="883"/>
      <c r="U148" s="883"/>
      <c r="V148" s="883"/>
      <c r="W148" s="883"/>
      <c r="X148" s="883"/>
      <c r="Y148" s="883"/>
      <c r="Z148" s="883"/>
      <c r="AA148" s="883"/>
      <c r="AB148" s="883"/>
      <c r="AC148" s="883"/>
      <c r="AD148" s="883"/>
      <c r="AE148" s="883"/>
      <c r="AF148" s="883"/>
      <c r="AG148" s="883"/>
      <c r="AH148" s="883"/>
      <c r="AI148" s="883"/>
      <c r="AJ148" s="883"/>
      <c r="AK148" s="883"/>
      <c r="AL148" s="883"/>
      <c r="AM148" s="883"/>
      <c r="AN148" s="883">
        <f>G148</f>
        <v>5004</v>
      </c>
      <c r="AO148" s="292">
        <v>3.912</v>
      </c>
      <c r="AP148" s="884">
        <f t="shared" si="6"/>
        <v>19575.65</v>
      </c>
      <c r="AQ148" s="884">
        <f t="shared" si="5"/>
        <v>151711.29</v>
      </c>
    </row>
    <row r="149" s="860" customFormat="1" customHeight="1" spans="1:43">
      <c r="A149" s="354">
        <v>46115</v>
      </c>
      <c r="B149" s="299" t="s">
        <v>88</v>
      </c>
      <c r="C149" s="301"/>
      <c r="D149" s="301" t="s">
        <v>260</v>
      </c>
      <c r="E149" s="302">
        <v>1025110</v>
      </c>
      <c r="F149" s="302" t="s">
        <v>261</v>
      </c>
      <c r="G149" s="303">
        <v>3000</v>
      </c>
      <c r="H149" s="280">
        <v>46183</v>
      </c>
      <c r="I149" s="883"/>
      <c r="J149" s="883"/>
      <c r="K149" s="883"/>
      <c r="L149" s="883"/>
      <c r="M149" s="883"/>
      <c r="N149" s="883"/>
      <c r="O149" s="883"/>
      <c r="P149" s="883"/>
      <c r="Q149" s="883"/>
      <c r="R149" s="883"/>
      <c r="S149" s="883"/>
      <c r="T149" s="883"/>
      <c r="U149" s="883"/>
      <c r="V149" s="883"/>
      <c r="W149" s="883"/>
      <c r="X149" s="883"/>
      <c r="Y149" s="883"/>
      <c r="Z149" s="883"/>
      <c r="AA149" s="883"/>
      <c r="AB149" s="883"/>
      <c r="AC149" s="883"/>
      <c r="AD149" s="883"/>
      <c r="AE149" s="883"/>
      <c r="AF149" s="883"/>
      <c r="AG149" s="883"/>
      <c r="AH149" s="883"/>
      <c r="AI149" s="883"/>
      <c r="AJ149" s="883"/>
      <c r="AK149" s="883"/>
      <c r="AL149" s="883">
        <f>G149</f>
        <v>3000</v>
      </c>
      <c r="AM149" s="883"/>
      <c r="AN149" s="883"/>
      <c r="AO149" s="292">
        <v>3.06</v>
      </c>
      <c r="AP149" s="884">
        <f t="shared" si="6"/>
        <v>9180</v>
      </c>
      <c r="AQ149" s="884">
        <f t="shared" ref="AQ149:AQ212" si="7">AP149*7.75</f>
        <v>71145</v>
      </c>
    </row>
    <row r="150" s="860" customFormat="1" customHeight="1" spans="1:43">
      <c r="A150" s="354">
        <v>46115</v>
      </c>
      <c r="B150" s="299" t="s">
        <v>88</v>
      </c>
      <c r="C150" s="301"/>
      <c r="D150" s="301" t="s">
        <v>262</v>
      </c>
      <c r="E150" s="302">
        <v>1026107</v>
      </c>
      <c r="F150" s="302" t="s">
        <v>136</v>
      </c>
      <c r="G150" s="303">
        <v>3996</v>
      </c>
      <c r="H150" s="280">
        <v>46183</v>
      </c>
      <c r="I150" s="883"/>
      <c r="J150" s="883"/>
      <c r="K150" s="883"/>
      <c r="L150" s="883"/>
      <c r="M150" s="883"/>
      <c r="N150" s="883"/>
      <c r="O150" s="883"/>
      <c r="P150" s="883"/>
      <c r="Q150" s="883"/>
      <c r="R150" s="883"/>
      <c r="S150" s="883"/>
      <c r="T150" s="883"/>
      <c r="U150" s="883"/>
      <c r="V150" s="883"/>
      <c r="W150" s="883"/>
      <c r="X150" s="883"/>
      <c r="Y150" s="883"/>
      <c r="Z150" s="883"/>
      <c r="AA150" s="883"/>
      <c r="AB150" s="883"/>
      <c r="AC150" s="883"/>
      <c r="AD150" s="883"/>
      <c r="AE150" s="883"/>
      <c r="AF150" s="883"/>
      <c r="AG150" s="883"/>
      <c r="AH150" s="883"/>
      <c r="AI150" s="883"/>
      <c r="AJ150" s="883"/>
      <c r="AK150" s="883"/>
      <c r="AL150" s="883"/>
      <c r="AM150" s="883"/>
      <c r="AN150" s="883">
        <f>G150</f>
        <v>3996</v>
      </c>
      <c r="AO150" s="292">
        <v>3.912</v>
      </c>
      <c r="AP150" s="884">
        <f t="shared" si="6"/>
        <v>15632.35</v>
      </c>
      <c r="AQ150" s="884">
        <f t="shared" si="7"/>
        <v>121150.71</v>
      </c>
    </row>
    <row r="151" s="863" customFormat="1" customHeight="1" spans="1:43">
      <c r="A151" s="889">
        <v>46121</v>
      </c>
      <c r="B151" s="230" t="s">
        <v>102</v>
      </c>
      <c r="C151" s="229"/>
      <c r="D151" s="231" t="s">
        <v>263</v>
      </c>
      <c r="E151" s="232">
        <v>3826164</v>
      </c>
      <c r="F151" s="525" t="s">
        <v>264</v>
      </c>
      <c r="G151" s="233">
        <v>5400</v>
      </c>
      <c r="H151" s="229">
        <v>46227</v>
      </c>
      <c r="I151" s="872"/>
      <c r="J151" s="872"/>
      <c r="K151" s="872"/>
      <c r="L151" s="872"/>
      <c r="M151" s="872"/>
      <c r="N151" s="872"/>
      <c r="O151" s="872"/>
      <c r="P151" s="872"/>
      <c r="Q151" s="872"/>
      <c r="R151" s="872"/>
      <c r="S151" s="872"/>
      <c r="T151" s="872"/>
      <c r="U151" s="872"/>
      <c r="V151" s="872"/>
      <c r="W151" s="872"/>
      <c r="X151" s="872"/>
      <c r="Y151" s="872"/>
      <c r="Z151" s="872"/>
      <c r="AA151" s="872"/>
      <c r="AB151" s="872"/>
      <c r="AC151" s="872"/>
      <c r="AD151" s="872"/>
      <c r="AE151" s="872"/>
      <c r="AF151" s="872"/>
      <c r="AG151" s="872"/>
      <c r="AH151" s="872"/>
      <c r="AI151" s="872"/>
      <c r="AJ151" s="872"/>
      <c r="AK151" s="872"/>
      <c r="AL151" s="872"/>
      <c r="AM151" s="872">
        <f>G151</f>
        <v>5400</v>
      </c>
      <c r="AN151" s="872"/>
      <c r="AO151" s="896">
        <v>2.683</v>
      </c>
      <c r="AP151" s="32">
        <f t="shared" si="6"/>
        <v>14488.2</v>
      </c>
      <c r="AQ151" s="32">
        <f t="shared" si="7"/>
        <v>112283.55</v>
      </c>
    </row>
    <row r="152" s="863" customFormat="1" customHeight="1" spans="1:43">
      <c r="A152" s="889">
        <v>46121</v>
      </c>
      <c r="B152" s="230" t="s">
        <v>102</v>
      </c>
      <c r="C152" s="229" t="s">
        <v>155</v>
      </c>
      <c r="D152" s="231" t="s">
        <v>263</v>
      </c>
      <c r="E152" s="232">
        <v>3826164</v>
      </c>
      <c r="F152" s="525" t="s">
        <v>264</v>
      </c>
      <c r="G152" s="233">
        <v>12</v>
      </c>
      <c r="H152" s="229">
        <v>46227</v>
      </c>
      <c r="I152" s="872"/>
      <c r="J152" s="872"/>
      <c r="K152" s="872"/>
      <c r="L152" s="872"/>
      <c r="M152" s="872"/>
      <c r="N152" s="872"/>
      <c r="O152" s="872"/>
      <c r="P152" s="872"/>
      <c r="Q152" s="872"/>
      <c r="R152" s="872"/>
      <c r="S152" s="872"/>
      <c r="T152" s="872"/>
      <c r="U152" s="872"/>
      <c r="V152" s="872"/>
      <c r="W152" s="872"/>
      <c r="X152" s="872"/>
      <c r="Y152" s="872"/>
      <c r="Z152" s="872"/>
      <c r="AA152" s="872"/>
      <c r="AB152" s="872"/>
      <c r="AC152" s="872"/>
      <c r="AD152" s="872"/>
      <c r="AE152" s="872"/>
      <c r="AF152" s="872"/>
      <c r="AG152" s="872"/>
      <c r="AH152" s="872"/>
      <c r="AI152" s="872"/>
      <c r="AJ152" s="872"/>
      <c r="AK152" s="872"/>
      <c r="AL152" s="872"/>
      <c r="AM152" s="872">
        <f>G152</f>
        <v>12</v>
      </c>
      <c r="AN152" s="872"/>
      <c r="AO152" s="242">
        <v>0</v>
      </c>
      <c r="AP152" s="32">
        <f t="shared" si="6"/>
        <v>0</v>
      </c>
      <c r="AQ152" s="32">
        <f t="shared" si="7"/>
        <v>0</v>
      </c>
    </row>
    <row r="153" s="860" customFormat="1" customHeight="1" spans="1:43">
      <c r="A153" s="327">
        <v>46121</v>
      </c>
      <c r="B153" s="281" t="s">
        <v>102</v>
      </c>
      <c r="C153" s="280"/>
      <c r="D153" s="282" t="s">
        <v>265</v>
      </c>
      <c r="E153" s="283">
        <v>3821113</v>
      </c>
      <c r="F153" s="283" t="s">
        <v>266</v>
      </c>
      <c r="G153" s="284">
        <v>3600</v>
      </c>
      <c r="H153" s="280">
        <v>46197</v>
      </c>
      <c r="I153" s="883"/>
      <c r="J153" s="883"/>
      <c r="K153" s="883"/>
      <c r="L153" s="883"/>
      <c r="M153" s="883"/>
      <c r="N153" s="883"/>
      <c r="O153" s="883"/>
      <c r="P153" s="883">
        <f>G153</f>
        <v>3600</v>
      </c>
      <c r="Q153" s="883"/>
      <c r="R153" s="883"/>
      <c r="S153" s="883"/>
      <c r="T153" s="883"/>
      <c r="U153" s="883"/>
      <c r="V153" s="883"/>
      <c r="W153" s="883"/>
      <c r="X153" s="883"/>
      <c r="Y153" s="883"/>
      <c r="Z153" s="883"/>
      <c r="AA153" s="883"/>
      <c r="AB153" s="883"/>
      <c r="AC153" s="883"/>
      <c r="AD153" s="883"/>
      <c r="AE153" s="883"/>
      <c r="AF153" s="883"/>
      <c r="AG153" s="883"/>
      <c r="AH153" s="883"/>
      <c r="AI153" s="883"/>
      <c r="AJ153" s="883"/>
      <c r="AK153" s="883"/>
      <c r="AL153" s="883"/>
      <c r="AM153" s="883"/>
      <c r="AN153" s="883"/>
      <c r="AO153" s="292">
        <v>3.105</v>
      </c>
      <c r="AP153" s="884">
        <f t="shared" si="6"/>
        <v>11178</v>
      </c>
      <c r="AQ153" s="884">
        <f t="shared" si="7"/>
        <v>86629.5</v>
      </c>
    </row>
    <row r="154" s="860" customFormat="1" customHeight="1" spans="1:43">
      <c r="A154" s="327">
        <v>46121</v>
      </c>
      <c r="B154" s="281" t="s">
        <v>102</v>
      </c>
      <c r="C154" s="280"/>
      <c r="D154" s="282" t="s">
        <v>265</v>
      </c>
      <c r="E154" s="283">
        <v>3824138</v>
      </c>
      <c r="F154" s="283" t="s">
        <v>267</v>
      </c>
      <c r="G154" s="284">
        <v>9600</v>
      </c>
      <c r="H154" s="280">
        <v>46197</v>
      </c>
      <c r="I154" s="883"/>
      <c r="J154" s="883"/>
      <c r="K154" s="883"/>
      <c r="L154" s="883"/>
      <c r="M154" s="883"/>
      <c r="N154" s="883"/>
      <c r="O154" s="883">
        <f>G154</f>
        <v>9600</v>
      </c>
      <c r="P154" s="883"/>
      <c r="Q154" s="883"/>
      <c r="R154" s="883"/>
      <c r="S154" s="883"/>
      <c r="T154" s="883"/>
      <c r="U154" s="883"/>
      <c r="V154" s="883"/>
      <c r="W154" s="883"/>
      <c r="X154" s="883"/>
      <c r="Y154" s="883"/>
      <c r="Z154" s="883"/>
      <c r="AA154" s="883"/>
      <c r="AB154" s="883"/>
      <c r="AC154" s="883"/>
      <c r="AD154" s="883"/>
      <c r="AE154" s="883"/>
      <c r="AF154" s="883"/>
      <c r="AG154" s="883"/>
      <c r="AH154" s="883"/>
      <c r="AI154" s="883"/>
      <c r="AJ154" s="883"/>
      <c r="AK154" s="883"/>
      <c r="AL154" s="883"/>
      <c r="AM154" s="883"/>
      <c r="AN154" s="883"/>
      <c r="AO154" s="292">
        <v>3.865</v>
      </c>
      <c r="AP154" s="884">
        <f t="shared" si="6"/>
        <v>37104</v>
      </c>
      <c r="AQ154" s="884">
        <f t="shared" si="7"/>
        <v>287556</v>
      </c>
    </row>
    <row r="155" s="863" customFormat="1" customHeight="1" spans="1:43">
      <c r="A155" s="889">
        <v>46121</v>
      </c>
      <c r="B155" s="508" t="s">
        <v>268</v>
      </c>
      <c r="C155" s="229"/>
      <c r="D155" s="231" t="s">
        <v>269</v>
      </c>
      <c r="E155" s="232">
        <v>3626146</v>
      </c>
      <c r="F155" s="232" t="s">
        <v>270</v>
      </c>
      <c r="G155" s="233">
        <v>8010</v>
      </c>
      <c r="H155" s="229">
        <v>46227</v>
      </c>
      <c r="I155" s="872"/>
      <c r="J155" s="872"/>
      <c r="K155" s="872"/>
      <c r="L155" s="872"/>
      <c r="M155" s="872"/>
      <c r="N155" s="872"/>
      <c r="O155" s="872"/>
      <c r="P155" s="872"/>
      <c r="Q155" s="872"/>
      <c r="R155" s="872"/>
      <c r="S155" s="872"/>
      <c r="T155" s="872"/>
      <c r="U155" s="872"/>
      <c r="V155" s="872"/>
      <c r="W155" s="872"/>
      <c r="X155" s="872"/>
      <c r="Y155" s="872"/>
      <c r="Z155" s="872"/>
      <c r="AA155" s="872"/>
      <c r="AB155" s="872"/>
      <c r="AC155" s="872"/>
      <c r="AD155" s="872"/>
      <c r="AE155" s="872"/>
      <c r="AF155" s="872"/>
      <c r="AG155" s="872"/>
      <c r="AH155" s="872"/>
      <c r="AI155" s="872"/>
      <c r="AJ155" s="872"/>
      <c r="AK155" s="872">
        <f>G155</f>
        <v>8010</v>
      </c>
      <c r="AL155" s="872"/>
      <c r="AM155" s="872"/>
      <c r="AN155" s="872"/>
      <c r="AO155" s="242">
        <v>2.59</v>
      </c>
      <c r="AP155" s="32">
        <f t="shared" si="6"/>
        <v>20745.9</v>
      </c>
      <c r="AQ155" s="32">
        <f t="shared" si="7"/>
        <v>160780.73</v>
      </c>
    </row>
    <row r="156" s="863" customFormat="1" customHeight="1" spans="1:43">
      <c r="A156" s="889">
        <v>46121</v>
      </c>
      <c r="B156" s="508" t="s">
        <v>268</v>
      </c>
      <c r="C156" s="229"/>
      <c r="D156" s="231" t="s">
        <v>269</v>
      </c>
      <c r="E156" s="232">
        <v>3626146</v>
      </c>
      <c r="F156" s="232" t="s">
        <v>270</v>
      </c>
      <c r="G156" s="233">
        <v>12</v>
      </c>
      <c r="H156" s="229">
        <v>46227</v>
      </c>
      <c r="I156" s="872"/>
      <c r="J156" s="872"/>
      <c r="K156" s="872"/>
      <c r="L156" s="872"/>
      <c r="M156" s="872"/>
      <c r="N156" s="872"/>
      <c r="O156" s="872"/>
      <c r="P156" s="872"/>
      <c r="Q156" s="872"/>
      <c r="R156" s="872"/>
      <c r="S156" s="872"/>
      <c r="T156" s="872"/>
      <c r="U156" s="872"/>
      <c r="V156" s="872"/>
      <c r="W156" s="872"/>
      <c r="X156" s="872"/>
      <c r="Y156" s="872"/>
      <c r="Z156" s="872"/>
      <c r="AA156" s="872"/>
      <c r="AB156" s="872"/>
      <c r="AC156" s="872"/>
      <c r="AD156" s="872"/>
      <c r="AE156" s="872"/>
      <c r="AF156" s="872"/>
      <c r="AG156" s="872"/>
      <c r="AH156" s="872"/>
      <c r="AI156" s="872"/>
      <c r="AJ156" s="872"/>
      <c r="AK156" s="872">
        <f>G156</f>
        <v>12</v>
      </c>
      <c r="AL156" s="872"/>
      <c r="AM156" s="872"/>
      <c r="AN156" s="872"/>
      <c r="AO156" s="242">
        <v>0</v>
      </c>
      <c r="AP156" s="32">
        <f t="shared" si="6"/>
        <v>0</v>
      </c>
      <c r="AQ156" s="32">
        <f t="shared" si="7"/>
        <v>0</v>
      </c>
    </row>
    <row r="157" s="863" customFormat="1" customHeight="1" spans="1:43">
      <c r="A157" s="889">
        <v>46121</v>
      </c>
      <c r="B157" s="508" t="s">
        <v>268</v>
      </c>
      <c r="C157" s="229"/>
      <c r="D157" s="231" t="s">
        <v>269</v>
      </c>
      <c r="E157" s="232">
        <v>3626164</v>
      </c>
      <c r="F157" s="525" t="s">
        <v>271</v>
      </c>
      <c r="G157" s="233">
        <v>5280</v>
      </c>
      <c r="H157" s="229">
        <v>46227</v>
      </c>
      <c r="I157" s="872"/>
      <c r="J157" s="872"/>
      <c r="K157" s="872"/>
      <c r="L157" s="872"/>
      <c r="M157" s="872"/>
      <c r="N157" s="872"/>
      <c r="O157" s="872"/>
      <c r="P157" s="872"/>
      <c r="Q157" s="872"/>
      <c r="R157" s="872"/>
      <c r="S157" s="872"/>
      <c r="T157" s="872"/>
      <c r="U157" s="872"/>
      <c r="V157" s="872"/>
      <c r="W157" s="872"/>
      <c r="X157" s="872"/>
      <c r="Y157" s="872"/>
      <c r="Z157" s="872"/>
      <c r="AA157" s="872"/>
      <c r="AB157" s="872"/>
      <c r="AC157" s="872"/>
      <c r="AD157" s="872"/>
      <c r="AE157" s="872"/>
      <c r="AF157" s="872"/>
      <c r="AG157" s="872"/>
      <c r="AH157" s="872"/>
      <c r="AI157" s="872"/>
      <c r="AJ157" s="872"/>
      <c r="AK157" s="872"/>
      <c r="AL157" s="872"/>
      <c r="AM157" s="872">
        <f>G157</f>
        <v>5280</v>
      </c>
      <c r="AN157" s="872"/>
      <c r="AO157" s="242">
        <v>2.64</v>
      </c>
      <c r="AP157" s="32">
        <f t="shared" si="6"/>
        <v>13939.2</v>
      </c>
      <c r="AQ157" s="32">
        <f t="shared" si="7"/>
        <v>108028.8</v>
      </c>
    </row>
    <row r="158" s="863" customFormat="1" customHeight="1" spans="1:43">
      <c r="A158" s="889">
        <v>46121</v>
      </c>
      <c r="B158" s="508" t="s">
        <v>268</v>
      </c>
      <c r="C158" s="229"/>
      <c r="D158" s="231" t="s">
        <v>269</v>
      </c>
      <c r="E158" s="232">
        <v>3626164</v>
      </c>
      <c r="F158" s="525" t="s">
        <v>271</v>
      </c>
      <c r="G158" s="233">
        <v>12</v>
      </c>
      <c r="H158" s="229">
        <v>46227</v>
      </c>
      <c r="I158" s="872"/>
      <c r="J158" s="872"/>
      <c r="K158" s="872"/>
      <c r="L158" s="872"/>
      <c r="M158" s="872"/>
      <c r="N158" s="872"/>
      <c r="O158" s="872"/>
      <c r="P158" s="872"/>
      <c r="Q158" s="872"/>
      <c r="R158" s="872"/>
      <c r="S158" s="872"/>
      <c r="T158" s="872"/>
      <c r="U158" s="872"/>
      <c r="V158" s="872"/>
      <c r="W158" s="872"/>
      <c r="X158" s="872"/>
      <c r="Y158" s="872"/>
      <c r="Z158" s="872"/>
      <c r="AA158" s="872"/>
      <c r="AB158" s="872"/>
      <c r="AC158" s="872"/>
      <c r="AD158" s="872"/>
      <c r="AE158" s="872"/>
      <c r="AF158" s="872"/>
      <c r="AG158" s="872"/>
      <c r="AH158" s="872"/>
      <c r="AI158" s="872"/>
      <c r="AJ158" s="872"/>
      <c r="AK158" s="872"/>
      <c r="AL158" s="872"/>
      <c r="AM158" s="872">
        <f>G158</f>
        <v>12</v>
      </c>
      <c r="AN158" s="872"/>
      <c r="AO158" s="242">
        <v>0</v>
      </c>
      <c r="AP158" s="32">
        <f t="shared" si="6"/>
        <v>0</v>
      </c>
      <c r="AQ158" s="32">
        <f t="shared" si="7"/>
        <v>0</v>
      </c>
    </row>
    <row r="159" s="860" customFormat="1" customHeight="1" spans="1:43">
      <c r="A159" s="354">
        <v>46125</v>
      </c>
      <c r="B159" s="299" t="s">
        <v>109</v>
      </c>
      <c r="C159" s="280"/>
      <c r="D159" s="301" t="s">
        <v>272</v>
      </c>
      <c r="E159" s="302">
        <v>1125087</v>
      </c>
      <c r="F159" s="302" t="s">
        <v>228</v>
      </c>
      <c r="G159" s="303">
        <v>3312</v>
      </c>
      <c r="H159" s="280">
        <v>46183</v>
      </c>
      <c r="I159" s="883"/>
      <c r="J159" s="883"/>
      <c r="K159" s="883"/>
      <c r="L159" s="883"/>
      <c r="M159" s="883"/>
      <c r="N159" s="883"/>
      <c r="O159" s="883"/>
      <c r="P159" s="883"/>
      <c r="Q159" s="883"/>
      <c r="R159" s="883"/>
      <c r="S159" s="883"/>
      <c r="T159" s="883"/>
      <c r="U159" s="883"/>
      <c r="V159" s="883"/>
      <c r="W159" s="883"/>
      <c r="X159" s="883"/>
      <c r="Y159" s="883"/>
      <c r="Z159" s="883"/>
      <c r="AA159" s="883"/>
      <c r="AB159" s="883"/>
      <c r="AC159" s="883"/>
      <c r="AD159" s="883"/>
      <c r="AE159" s="883"/>
      <c r="AF159" s="883">
        <f>G159</f>
        <v>3312</v>
      </c>
      <c r="AG159" s="883"/>
      <c r="AH159" s="883"/>
      <c r="AI159" s="883"/>
      <c r="AJ159" s="883"/>
      <c r="AK159" s="883"/>
      <c r="AL159" s="883"/>
      <c r="AM159" s="883"/>
      <c r="AN159" s="883"/>
      <c r="AO159" s="312">
        <v>4.906</v>
      </c>
      <c r="AP159" s="884">
        <f t="shared" si="6"/>
        <v>16248.67</v>
      </c>
      <c r="AQ159" s="884">
        <f t="shared" si="7"/>
        <v>125927.19</v>
      </c>
    </row>
    <row r="160" s="860" customFormat="1" customHeight="1" spans="1:43">
      <c r="A160" s="354">
        <v>46125</v>
      </c>
      <c r="B160" s="299" t="s">
        <v>109</v>
      </c>
      <c r="C160" s="280"/>
      <c r="D160" s="301" t="s">
        <v>272</v>
      </c>
      <c r="E160" s="302">
        <v>1125087</v>
      </c>
      <c r="F160" s="302" t="s">
        <v>228</v>
      </c>
      <c r="G160" s="303">
        <v>2016</v>
      </c>
      <c r="H160" s="280">
        <v>46183</v>
      </c>
      <c r="I160" s="883"/>
      <c r="J160" s="883"/>
      <c r="K160" s="883"/>
      <c r="L160" s="883"/>
      <c r="M160" s="883"/>
      <c r="N160" s="883"/>
      <c r="O160" s="883"/>
      <c r="P160" s="883"/>
      <c r="Q160" s="883"/>
      <c r="R160" s="883"/>
      <c r="S160" s="883"/>
      <c r="T160" s="883"/>
      <c r="U160" s="883"/>
      <c r="V160" s="883"/>
      <c r="W160" s="883"/>
      <c r="X160" s="883"/>
      <c r="Y160" s="883"/>
      <c r="Z160" s="883"/>
      <c r="AA160" s="883"/>
      <c r="AB160" s="883"/>
      <c r="AC160" s="883"/>
      <c r="AD160" s="883"/>
      <c r="AE160" s="883"/>
      <c r="AF160" s="883">
        <f>G160</f>
        <v>2016</v>
      </c>
      <c r="AG160" s="883"/>
      <c r="AH160" s="883"/>
      <c r="AI160" s="883"/>
      <c r="AJ160" s="883"/>
      <c r="AK160" s="883"/>
      <c r="AL160" s="883"/>
      <c r="AM160" s="883"/>
      <c r="AN160" s="883"/>
      <c r="AO160" s="312">
        <v>4.906</v>
      </c>
      <c r="AP160" s="884">
        <f t="shared" si="6"/>
        <v>9890.5</v>
      </c>
      <c r="AQ160" s="884">
        <f t="shared" si="7"/>
        <v>76651.38</v>
      </c>
    </row>
    <row r="161" s="860" customFormat="1" customHeight="1" spans="1:43">
      <c r="A161" s="354">
        <v>46135</v>
      </c>
      <c r="B161" s="299" t="s">
        <v>273</v>
      </c>
      <c r="C161" s="280"/>
      <c r="D161" s="301" t="s">
        <v>156</v>
      </c>
      <c r="E161" s="302">
        <v>5426155</v>
      </c>
      <c r="F161" s="302" t="s">
        <v>159</v>
      </c>
      <c r="G161" s="303">
        <v>1002</v>
      </c>
      <c r="H161" s="280">
        <v>46167</v>
      </c>
      <c r="I161" s="883"/>
      <c r="J161" s="883"/>
      <c r="K161" s="883"/>
      <c r="L161" s="883">
        <f>G161</f>
        <v>1002</v>
      </c>
      <c r="M161" s="883"/>
      <c r="N161" s="883"/>
      <c r="O161" s="883"/>
      <c r="P161" s="883"/>
      <c r="Q161" s="883"/>
      <c r="R161" s="883"/>
      <c r="S161" s="883"/>
      <c r="T161" s="883"/>
      <c r="U161" s="883"/>
      <c r="V161" s="883"/>
      <c r="W161" s="883"/>
      <c r="X161" s="883"/>
      <c r="Y161" s="883"/>
      <c r="Z161" s="883"/>
      <c r="AA161" s="883"/>
      <c r="AB161" s="883"/>
      <c r="AC161" s="883"/>
      <c r="AD161" s="883"/>
      <c r="AE161" s="883"/>
      <c r="AF161" s="883"/>
      <c r="AG161" s="883"/>
      <c r="AH161" s="883"/>
      <c r="AI161" s="883"/>
      <c r="AJ161" s="883"/>
      <c r="AK161" s="883"/>
      <c r="AL161" s="883"/>
      <c r="AM161" s="883"/>
      <c r="AN161" s="883"/>
      <c r="AO161" s="312">
        <v>3.977</v>
      </c>
      <c r="AP161" s="884">
        <f t="shared" si="6"/>
        <v>3984.95</v>
      </c>
      <c r="AQ161" s="884">
        <f t="shared" si="7"/>
        <v>30883.36</v>
      </c>
    </row>
    <row r="162" s="863" customFormat="1" customHeight="1" spans="1:43">
      <c r="A162" s="889">
        <v>46136</v>
      </c>
      <c r="B162" s="230" t="s">
        <v>88</v>
      </c>
      <c r="C162" s="229"/>
      <c r="D162" s="229" t="s">
        <v>274</v>
      </c>
      <c r="E162" s="231">
        <v>1026156</v>
      </c>
      <c r="F162" s="232" t="s">
        <v>275</v>
      </c>
      <c r="G162" s="232">
        <v>4800</v>
      </c>
      <c r="H162" s="229">
        <v>46225</v>
      </c>
      <c r="I162" s="872"/>
      <c r="J162" s="872"/>
      <c r="K162" s="872"/>
      <c r="L162" s="872"/>
      <c r="M162" s="872"/>
      <c r="N162" s="872"/>
      <c r="O162" s="872"/>
      <c r="P162" s="872"/>
      <c r="Q162" s="872"/>
      <c r="R162" s="872"/>
      <c r="S162" s="872"/>
      <c r="T162" s="872"/>
      <c r="U162" s="872"/>
      <c r="V162" s="872"/>
      <c r="W162" s="872">
        <f>G162</f>
        <v>4800</v>
      </c>
      <c r="X162" s="872"/>
      <c r="Y162" s="872"/>
      <c r="Z162" s="872"/>
      <c r="AA162" s="872"/>
      <c r="AB162" s="872"/>
      <c r="AC162" s="872"/>
      <c r="AD162" s="872"/>
      <c r="AE162" s="872"/>
      <c r="AF162" s="872"/>
      <c r="AG162" s="872"/>
      <c r="AH162" s="872"/>
      <c r="AI162" s="872"/>
      <c r="AJ162" s="872"/>
      <c r="AK162" s="872"/>
      <c r="AL162" s="872"/>
      <c r="AM162" s="872"/>
      <c r="AN162" s="872"/>
      <c r="AO162" s="242">
        <v>3.303</v>
      </c>
      <c r="AP162" s="32">
        <f t="shared" si="6"/>
        <v>15854.4</v>
      </c>
      <c r="AQ162" s="32">
        <f t="shared" si="7"/>
        <v>122871.6</v>
      </c>
    </row>
    <row r="163" s="863" customFormat="1" customHeight="1" spans="1:43">
      <c r="A163" s="889">
        <v>46136</v>
      </c>
      <c r="B163" s="230" t="s">
        <v>88</v>
      </c>
      <c r="C163" s="505" t="s">
        <v>155</v>
      </c>
      <c r="D163" s="229" t="s">
        <v>274</v>
      </c>
      <c r="E163" s="231">
        <v>1026156</v>
      </c>
      <c r="F163" s="232" t="s">
        <v>275</v>
      </c>
      <c r="G163" s="232">
        <v>12</v>
      </c>
      <c r="H163" s="229">
        <v>46225</v>
      </c>
      <c r="I163" s="872"/>
      <c r="J163" s="872"/>
      <c r="K163" s="872"/>
      <c r="L163" s="872"/>
      <c r="M163" s="872"/>
      <c r="N163" s="872"/>
      <c r="O163" s="872"/>
      <c r="P163" s="872"/>
      <c r="Q163" s="872"/>
      <c r="R163" s="872"/>
      <c r="S163" s="872"/>
      <c r="T163" s="872"/>
      <c r="U163" s="872"/>
      <c r="V163" s="872"/>
      <c r="W163" s="872">
        <f>G163</f>
        <v>12</v>
      </c>
      <c r="X163" s="872"/>
      <c r="Y163" s="872"/>
      <c r="Z163" s="872"/>
      <c r="AA163" s="872"/>
      <c r="AB163" s="872"/>
      <c r="AC163" s="872"/>
      <c r="AD163" s="872"/>
      <c r="AE163" s="872"/>
      <c r="AF163" s="872"/>
      <c r="AG163" s="872"/>
      <c r="AH163" s="872"/>
      <c r="AI163" s="872"/>
      <c r="AJ163" s="872"/>
      <c r="AK163" s="872"/>
      <c r="AL163" s="872"/>
      <c r="AM163" s="872"/>
      <c r="AN163" s="872"/>
      <c r="AO163" s="242">
        <v>0</v>
      </c>
      <c r="AP163" s="32">
        <f t="shared" si="6"/>
        <v>0</v>
      </c>
      <c r="AQ163" s="32">
        <f t="shared" si="7"/>
        <v>0</v>
      </c>
    </row>
    <row r="164" s="860" customFormat="1" customHeight="1" spans="1:43">
      <c r="A164" s="327">
        <v>46141</v>
      </c>
      <c r="B164" s="281" t="s">
        <v>93</v>
      </c>
      <c r="C164" s="280"/>
      <c r="D164" s="282" t="s">
        <v>276</v>
      </c>
      <c r="E164" s="283">
        <v>1326146</v>
      </c>
      <c r="F164" s="283" t="s">
        <v>277</v>
      </c>
      <c r="G164" s="303">
        <v>5400</v>
      </c>
      <c r="H164" s="299">
        <v>46197</v>
      </c>
      <c r="I164" s="883"/>
      <c r="J164" s="883"/>
      <c r="K164" s="883"/>
      <c r="L164" s="883"/>
      <c r="M164" s="883"/>
      <c r="N164" s="883"/>
      <c r="O164" s="883"/>
      <c r="P164" s="883"/>
      <c r="Q164" s="883"/>
      <c r="R164" s="883"/>
      <c r="S164" s="883"/>
      <c r="T164" s="883"/>
      <c r="U164" s="883"/>
      <c r="V164" s="883"/>
      <c r="W164" s="883"/>
      <c r="X164" s="883"/>
      <c r="Y164" s="883"/>
      <c r="Z164" s="883"/>
      <c r="AA164" s="883"/>
      <c r="AB164" s="883"/>
      <c r="AC164" s="883"/>
      <c r="AD164" s="883"/>
      <c r="AE164" s="883"/>
      <c r="AF164" s="883"/>
      <c r="AG164" s="883"/>
      <c r="AH164" s="883"/>
      <c r="AI164" s="883"/>
      <c r="AJ164" s="883"/>
      <c r="AK164" s="883">
        <f>G164</f>
        <v>5400</v>
      </c>
      <c r="AL164" s="883"/>
      <c r="AM164" s="883"/>
      <c r="AN164" s="883"/>
      <c r="AO164" s="312">
        <v>2.59</v>
      </c>
      <c r="AP164" s="884">
        <f t="shared" si="6"/>
        <v>13986</v>
      </c>
      <c r="AQ164" s="884">
        <f t="shared" si="7"/>
        <v>108391.5</v>
      </c>
    </row>
    <row r="165" s="860" customFormat="1" customHeight="1" spans="1:43">
      <c r="A165" s="354">
        <v>46141</v>
      </c>
      <c r="B165" s="281" t="s">
        <v>93</v>
      </c>
      <c r="C165" s="280"/>
      <c r="D165" s="301" t="s">
        <v>278</v>
      </c>
      <c r="E165" s="302">
        <v>1324138</v>
      </c>
      <c r="F165" s="302" t="s">
        <v>279</v>
      </c>
      <c r="G165" s="303">
        <v>3000</v>
      </c>
      <c r="H165" s="299">
        <v>46197</v>
      </c>
      <c r="I165" s="883"/>
      <c r="J165" s="883"/>
      <c r="K165" s="883"/>
      <c r="L165" s="883"/>
      <c r="M165" s="883"/>
      <c r="N165" s="883"/>
      <c r="O165" s="883">
        <f>G165</f>
        <v>3000</v>
      </c>
      <c r="P165" s="883"/>
      <c r="Q165" s="883"/>
      <c r="R165" s="883"/>
      <c r="S165" s="883"/>
      <c r="T165" s="883"/>
      <c r="U165" s="883"/>
      <c r="V165" s="883"/>
      <c r="W165" s="883"/>
      <c r="X165" s="883"/>
      <c r="Y165" s="883"/>
      <c r="Z165" s="883"/>
      <c r="AA165" s="883"/>
      <c r="AB165" s="883"/>
      <c r="AC165" s="883"/>
      <c r="AD165" s="883"/>
      <c r="AE165" s="883"/>
      <c r="AF165" s="883"/>
      <c r="AG165" s="883"/>
      <c r="AH165" s="883"/>
      <c r="AI165" s="883"/>
      <c r="AJ165" s="883"/>
      <c r="AK165" s="883"/>
      <c r="AL165" s="883"/>
      <c r="AM165" s="883"/>
      <c r="AN165" s="883"/>
      <c r="AO165" s="312">
        <v>3.865</v>
      </c>
      <c r="AP165" s="884">
        <f t="shared" si="6"/>
        <v>11595</v>
      </c>
      <c r="AQ165" s="884">
        <f t="shared" si="7"/>
        <v>89861.25</v>
      </c>
    </row>
    <row r="166" s="860" customFormat="1" customHeight="1" spans="1:43">
      <c r="A166" s="354">
        <v>46141</v>
      </c>
      <c r="B166" s="281" t="s">
        <v>93</v>
      </c>
      <c r="C166" s="280"/>
      <c r="D166" s="301" t="s">
        <v>278</v>
      </c>
      <c r="E166" s="304">
        <v>1325107</v>
      </c>
      <c r="F166" s="283" t="s">
        <v>280</v>
      </c>
      <c r="G166" s="303">
        <v>3204</v>
      </c>
      <c r="H166" s="299">
        <v>46197</v>
      </c>
      <c r="I166" s="883"/>
      <c r="J166" s="883"/>
      <c r="K166" s="883"/>
      <c r="L166" s="883"/>
      <c r="M166" s="883"/>
      <c r="N166" s="883"/>
      <c r="O166" s="883"/>
      <c r="P166" s="883"/>
      <c r="Q166" s="883"/>
      <c r="R166" s="883"/>
      <c r="S166" s="883"/>
      <c r="T166" s="883"/>
      <c r="U166" s="883"/>
      <c r="V166" s="883"/>
      <c r="W166" s="883"/>
      <c r="X166" s="883"/>
      <c r="Y166" s="883"/>
      <c r="Z166" s="883"/>
      <c r="AA166" s="883"/>
      <c r="AB166" s="883"/>
      <c r="AC166" s="883"/>
      <c r="AD166" s="883"/>
      <c r="AE166" s="883"/>
      <c r="AF166" s="883"/>
      <c r="AG166" s="883"/>
      <c r="AH166" s="883"/>
      <c r="AI166" s="883"/>
      <c r="AJ166" s="883"/>
      <c r="AK166" s="883"/>
      <c r="AL166" s="883"/>
      <c r="AM166" s="883"/>
      <c r="AN166" s="883">
        <f>G166</f>
        <v>3204</v>
      </c>
      <c r="AO166" s="312">
        <v>3.912</v>
      </c>
      <c r="AP166" s="884">
        <f t="shared" si="6"/>
        <v>12534.05</v>
      </c>
      <c r="AQ166" s="884">
        <f t="shared" si="7"/>
        <v>97138.89</v>
      </c>
    </row>
    <row r="167" s="860" customFormat="1" customHeight="1" spans="1:43">
      <c r="A167" s="327">
        <v>46141</v>
      </c>
      <c r="B167" s="281" t="s">
        <v>93</v>
      </c>
      <c r="C167" s="301" t="s">
        <v>155</v>
      </c>
      <c r="D167" s="282" t="s">
        <v>278</v>
      </c>
      <c r="E167" s="283">
        <v>1325107</v>
      </c>
      <c r="F167" s="283" t="s">
        <v>280</v>
      </c>
      <c r="G167" s="284">
        <v>6</v>
      </c>
      <c r="H167" s="280">
        <v>46197</v>
      </c>
      <c r="I167" s="883"/>
      <c r="J167" s="883"/>
      <c r="K167" s="883"/>
      <c r="L167" s="883"/>
      <c r="M167" s="883"/>
      <c r="N167" s="883"/>
      <c r="O167" s="883"/>
      <c r="P167" s="883"/>
      <c r="Q167" s="883"/>
      <c r="R167" s="883"/>
      <c r="S167" s="883"/>
      <c r="T167" s="883"/>
      <c r="U167" s="883"/>
      <c r="V167" s="883"/>
      <c r="W167" s="883"/>
      <c r="X167" s="883"/>
      <c r="Y167" s="883"/>
      <c r="Z167" s="883"/>
      <c r="AA167" s="883"/>
      <c r="AB167" s="883"/>
      <c r="AC167" s="883"/>
      <c r="AD167" s="883"/>
      <c r="AE167" s="883"/>
      <c r="AF167" s="883"/>
      <c r="AG167" s="883"/>
      <c r="AH167" s="883"/>
      <c r="AI167" s="883"/>
      <c r="AJ167" s="883"/>
      <c r="AK167" s="883"/>
      <c r="AL167" s="883"/>
      <c r="AM167" s="883"/>
      <c r="AN167" s="883">
        <f>G167</f>
        <v>6</v>
      </c>
      <c r="AO167" s="312">
        <v>0</v>
      </c>
      <c r="AP167" s="884">
        <f t="shared" si="6"/>
        <v>0</v>
      </c>
      <c r="AQ167" s="884">
        <f t="shared" si="7"/>
        <v>0</v>
      </c>
    </row>
    <row r="168" s="860" customFormat="1" customHeight="1" spans="1:43">
      <c r="A168" s="327">
        <v>46141</v>
      </c>
      <c r="B168" s="281" t="s">
        <v>93</v>
      </c>
      <c r="C168" s="280"/>
      <c r="D168" s="282" t="s">
        <v>278</v>
      </c>
      <c r="E168" s="283">
        <v>1326146</v>
      </c>
      <c r="F168" s="283" t="s">
        <v>277</v>
      </c>
      <c r="G168" s="284">
        <v>600</v>
      </c>
      <c r="H168" s="280">
        <v>46197</v>
      </c>
      <c r="I168" s="883"/>
      <c r="J168" s="883"/>
      <c r="K168" s="883"/>
      <c r="L168" s="883"/>
      <c r="M168" s="883"/>
      <c r="N168" s="883"/>
      <c r="O168" s="883"/>
      <c r="P168" s="883"/>
      <c r="Q168" s="883"/>
      <c r="R168" s="883"/>
      <c r="S168" s="883"/>
      <c r="T168" s="883"/>
      <c r="U168" s="883"/>
      <c r="V168" s="883"/>
      <c r="W168" s="883"/>
      <c r="X168" s="883"/>
      <c r="Y168" s="883"/>
      <c r="Z168" s="883"/>
      <c r="AA168" s="883"/>
      <c r="AB168" s="883"/>
      <c r="AC168" s="883"/>
      <c r="AD168" s="883"/>
      <c r="AE168" s="883"/>
      <c r="AF168" s="883"/>
      <c r="AG168" s="883"/>
      <c r="AH168" s="883"/>
      <c r="AI168" s="883"/>
      <c r="AJ168" s="883"/>
      <c r="AK168" s="883">
        <f>G168</f>
        <v>600</v>
      </c>
      <c r="AL168" s="883"/>
      <c r="AM168" s="883"/>
      <c r="AN168" s="883"/>
      <c r="AO168" s="312">
        <v>2.59</v>
      </c>
      <c r="AP168" s="884">
        <f t="shared" si="6"/>
        <v>1554</v>
      </c>
      <c r="AQ168" s="884">
        <f t="shared" si="7"/>
        <v>12043.5</v>
      </c>
    </row>
    <row r="169" s="860" customFormat="1" customHeight="1" spans="1:43">
      <c r="A169" s="327">
        <v>46141</v>
      </c>
      <c r="B169" s="281" t="s">
        <v>93</v>
      </c>
      <c r="C169" s="301" t="s">
        <v>155</v>
      </c>
      <c r="D169" s="282" t="s">
        <v>278</v>
      </c>
      <c r="E169" s="283">
        <v>1326146</v>
      </c>
      <c r="F169" s="283" t="s">
        <v>277</v>
      </c>
      <c r="G169" s="284">
        <v>6</v>
      </c>
      <c r="H169" s="280">
        <v>46197</v>
      </c>
      <c r="I169" s="883"/>
      <c r="J169" s="883"/>
      <c r="K169" s="883"/>
      <c r="L169" s="883"/>
      <c r="M169" s="883"/>
      <c r="N169" s="883"/>
      <c r="O169" s="883"/>
      <c r="P169" s="883"/>
      <c r="Q169" s="883"/>
      <c r="R169" s="883"/>
      <c r="S169" s="883"/>
      <c r="T169" s="883"/>
      <c r="U169" s="883"/>
      <c r="V169" s="883"/>
      <c r="W169" s="883"/>
      <c r="X169" s="883"/>
      <c r="Y169" s="883"/>
      <c r="Z169" s="883"/>
      <c r="AA169" s="883"/>
      <c r="AB169" s="883"/>
      <c r="AC169" s="883"/>
      <c r="AD169" s="883"/>
      <c r="AE169" s="883"/>
      <c r="AF169" s="883"/>
      <c r="AG169" s="883"/>
      <c r="AH169" s="883"/>
      <c r="AI169" s="883"/>
      <c r="AJ169" s="883"/>
      <c r="AK169" s="883">
        <f>G169</f>
        <v>6</v>
      </c>
      <c r="AL169" s="883"/>
      <c r="AM169" s="883"/>
      <c r="AN169" s="883"/>
      <c r="AO169" s="312">
        <v>0</v>
      </c>
      <c r="AP169" s="884">
        <f t="shared" si="6"/>
        <v>0</v>
      </c>
      <c r="AQ169" s="884">
        <f t="shared" si="7"/>
        <v>0</v>
      </c>
    </row>
    <row r="170" s="863" customFormat="1" customHeight="1" spans="1:43">
      <c r="A170" s="504">
        <v>46142</v>
      </c>
      <c r="B170" s="230" t="s">
        <v>98</v>
      </c>
      <c r="C170" s="229"/>
      <c r="D170" s="505" t="s">
        <v>281</v>
      </c>
      <c r="E170" s="506">
        <v>4726146</v>
      </c>
      <c r="F170" s="232" t="s">
        <v>282</v>
      </c>
      <c r="G170" s="507">
        <v>5460</v>
      </c>
      <c r="H170" s="229">
        <v>46213</v>
      </c>
      <c r="I170" s="872"/>
      <c r="J170" s="872"/>
      <c r="K170" s="872"/>
      <c r="L170" s="872"/>
      <c r="M170" s="872"/>
      <c r="N170" s="872"/>
      <c r="O170" s="872"/>
      <c r="P170" s="872"/>
      <c r="Q170" s="872"/>
      <c r="R170" s="872"/>
      <c r="S170" s="872"/>
      <c r="T170" s="872"/>
      <c r="U170" s="872"/>
      <c r="V170" s="872"/>
      <c r="W170" s="872"/>
      <c r="X170" s="872"/>
      <c r="Y170" s="872"/>
      <c r="Z170" s="872"/>
      <c r="AA170" s="872"/>
      <c r="AB170" s="872"/>
      <c r="AC170" s="872"/>
      <c r="AD170" s="872"/>
      <c r="AE170" s="872"/>
      <c r="AF170" s="872"/>
      <c r="AG170" s="872"/>
      <c r="AH170" s="872"/>
      <c r="AI170" s="872"/>
      <c r="AJ170" s="872"/>
      <c r="AK170" s="872">
        <f>G170</f>
        <v>5460</v>
      </c>
      <c r="AL170" s="872"/>
      <c r="AM170" s="872"/>
      <c r="AN170" s="872"/>
      <c r="AO170" s="242">
        <v>2.59</v>
      </c>
      <c r="AP170" s="32">
        <f t="shared" si="6"/>
        <v>14141.4</v>
      </c>
      <c r="AQ170" s="32">
        <f t="shared" si="7"/>
        <v>109595.85</v>
      </c>
    </row>
    <row r="171" s="863" customFormat="1" customHeight="1" spans="1:43">
      <c r="A171" s="504">
        <v>46142</v>
      </c>
      <c r="B171" s="230" t="s">
        <v>98</v>
      </c>
      <c r="C171" s="505" t="s">
        <v>155</v>
      </c>
      <c r="D171" s="505" t="s">
        <v>281</v>
      </c>
      <c r="E171" s="506">
        <v>4726146</v>
      </c>
      <c r="F171" s="232" t="s">
        <v>282</v>
      </c>
      <c r="G171" s="507">
        <v>4</v>
      </c>
      <c r="H171" s="229">
        <v>46213</v>
      </c>
      <c r="I171" s="872"/>
      <c r="J171" s="872"/>
      <c r="K171" s="872"/>
      <c r="L171" s="872"/>
      <c r="M171" s="872"/>
      <c r="N171" s="872"/>
      <c r="O171" s="872"/>
      <c r="P171" s="872"/>
      <c r="Q171" s="872"/>
      <c r="R171" s="872"/>
      <c r="S171" s="872"/>
      <c r="T171" s="872"/>
      <c r="U171" s="872"/>
      <c r="V171" s="872"/>
      <c r="W171" s="872"/>
      <c r="X171" s="872"/>
      <c r="Y171" s="872"/>
      <c r="Z171" s="872"/>
      <c r="AA171" s="872"/>
      <c r="AB171" s="872"/>
      <c r="AC171" s="872"/>
      <c r="AD171" s="872"/>
      <c r="AE171" s="872"/>
      <c r="AF171" s="872"/>
      <c r="AG171" s="872"/>
      <c r="AH171" s="872"/>
      <c r="AI171" s="872"/>
      <c r="AJ171" s="872"/>
      <c r="AK171" s="872">
        <f>G171</f>
        <v>4</v>
      </c>
      <c r="AL171" s="872"/>
      <c r="AM171" s="872"/>
      <c r="AN171" s="872"/>
      <c r="AO171" s="242">
        <v>0</v>
      </c>
      <c r="AP171" s="32">
        <f t="shared" si="6"/>
        <v>0</v>
      </c>
      <c r="AQ171" s="32">
        <f t="shared" si="7"/>
        <v>0</v>
      </c>
    </row>
    <row r="172" s="863" customFormat="1" customHeight="1" spans="1:43">
      <c r="A172" s="504">
        <v>46148</v>
      </c>
      <c r="B172" s="230" t="s">
        <v>105</v>
      </c>
      <c r="C172" s="505"/>
      <c r="D172" s="505" t="s">
        <v>283</v>
      </c>
      <c r="E172" s="506">
        <v>3225130</v>
      </c>
      <c r="F172" s="232" t="s">
        <v>284</v>
      </c>
      <c r="G172" s="507">
        <v>8004</v>
      </c>
      <c r="H172" s="229">
        <v>46202</v>
      </c>
      <c r="I172" s="872"/>
      <c r="J172" s="872"/>
      <c r="K172" s="872">
        <f>G172</f>
        <v>8004</v>
      </c>
      <c r="L172" s="872"/>
      <c r="M172" s="872"/>
      <c r="N172" s="872"/>
      <c r="O172" s="872"/>
      <c r="P172" s="872"/>
      <c r="Q172" s="872"/>
      <c r="R172" s="872"/>
      <c r="S172" s="872"/>
      <c r="T172" s="872"/>
      <c r="U172" s="872"/>
      <c r="V172" s="872"/>
      <c r="W172" s="872"/>
      <c r="X172" s="872"/>
      <c r="Y172" s="872"/>
      <c r="Z172" s="872"/>
      <c r="AA172" s="872"/>
      <c r="AB172" s="872"/>
      <c r="AC172" s="872"/>
      <c r="AD172" s="872"/>
      <c r="AE172" s="872"/>
      <c r="AF172" s="872"/>
      <c r="AG172" s="872"/>
      <c r="AH172" s="872"/>
      <c r="AI172" s="872"/>
      <c r="AJ172" s="872"/>
      <c r="AK172" s="872"/>
      <c r="AL172" s="872"/>
      <c r="AM172" s="872"/>
      <c r="AN172" s="872"/>
      <c r="AO172" s="242">
        <v>3.345</v>
      </c>
      <c r="AP172" s="32">
        <f t="shared" si="6"/>
        <v>26773.38</v>
      </c>
      <c r="AQ172" s="32">
        <f t="shared" si="7"/>
        <v>207493.7</v>
      </c>
    </row>
    <row r="173" s="863" customFormat="1" customHeight="1" spans="1:43">
      <c r="A173" s="504">
        <v>46148</v>
      </c>
      <c r="B173" s="230" t="s">
        <v>105</v>
      </c>
      <c r="C173" s="505" t="s">
        <v>155</v>
      </c>
      <c r="D173" s="505" t="s">
        <v>283</v>
      </c>
      <c r="E173" s="506">
        <v>3225130</v>
      </c>
      <c r="F173" s="232" t="s">
        <v>284</v>
      </c>
      <c r="G173" s="233">
        <v>6</v>
      </c>
      <c r="H173" s="229">
        <v>46202</v>
      </c>
      <c r="I173" s="872"/>
      <c r="J173" s="872"/>
      <c r="K173" s="872">
        <f>G173</f>
        <v>6</v>
      </c>
      <c r="L173" s="872"/>
      <c r="M173" s="872"/>
      <c r="N173" s="872"/>
      <c r="O173" s="872"/>
      <c r="P173" s="872"/>
      <c r="Q173" s="872"/>
      <c r="R173" s="872"/>
      <c r="S173" s="872"/>
      <c r="T173" s="872"/>
      <c r="U173" s="872"/>
      <c r="V173" s="872"/>
      <c r="W173" s="872"/>
      <c r="X173" s="872"/>
      <c r="Y173" s="872"/>
      <c r="Z173" s="872"/>
      <c r="AA173" s="872"/>
      <c r="AB173" s="872"/>
      <c r="AC173" s="872"/>
      <c r="AD173" s="872"/>
      <c r="AE173" s="872"/>
      <c r="AF173" s="872"/>
      <c r="AG173" s="872"/>
      <c r="AH173" s="872"/>
      <c r="AI173" s="872"/>
      <c r="AJ173" s="872"/>
      <c r="AK173" s="872"/>
      <c r="AL173" s="872"/>
      <c r="AM173" s="872"/>
      <c r="AN173" s="872"/>
      <c r="AO173" s="242">
        <v>0</v>
      </c>
      <c r="AP173" s="32">
        <f t="shared" si="6"/>
        <v>0</v>
      </c>
      <c r="AQ173" s="32">
        <f t="shared" si="7"/>
        <v>0</v>
      </c>
    </row>
    <row r="174" s="863" customFormat="1" customHeight="1" spans="1:43">
      <c r="A174" s="504">
        <v>46148</v>
      </c>
      <c r="B174" s="230" t="s">
        <v>105</v>
      </c>
      <c r="C174" s="229"/>
      <c r="D174" s="505" t="s">
        <v>285</v>
      </c>
      <c r="E174" s="232">
        <v>3226156</v>
      </c>
      <c r="F174" s="525" t="s">
        <v>286</v>
      </c>
      <c r="G174" s="233">
        <v>4800</v>
      </c>
      <c r="H174" s="229">
        <v>46233</v>
      </c>
      <c r="I174" s="872"/>
      <c r="J174" s="872"/>
      <c r="K174" s="872"/>
      <c r="L174" s="872"/>
      <c r="M174" s="872"/>
      <c r="N174" s="872"/>
      <c r="O174" s="872"/>
      <c r="P174" s="872"/>
      <c r="Q174" s="872"/>
      <c r="R174" s="872"/>
      <c r="S174" s="872"/>
      <c r="T174" s="872"/>
      <c r="U174" s="872"/>
      <c r="V174" s="872"/>
      <c r="W174" s="872">
        <f>G174</f>
        <v>4800</v>
      </c>
      <c r="X174" s="872"/>
      <c r="Y174" s="872"/>
      <c r="Z174" s="872"/>
      <c r="AA174" s="872"/>
      <c r="AB174" s="872"/>
      <c r="AC174" s="872"/>
      <c r="AD174" s="872"/>
      <c r="AE174" s="872"/>
      <c r="AF174" s="872"/>
      <c r="AG174" s="872"/>
      <c r="AH174" s="872"/>
      <c r="AI174" s="872"/>
      <c r="AJ174" s="872"/>
      <c r="AK174" s="872"/>
      <c r="AL174" s="872"/>
      <c r="AM174" s="872"/>
      <c r="AN174" s="872"/>
      <c r="AO174" s="242">
        <v>3.303</v>
      </c>
      <c r="AP174" s="32">
        <f t="shared" si="6"/>
        <v>15854.4</v>
      </c>
      <c r="AQ174" s="32">
        <f t="shared" si="7"/>
        <v>122871.6</v>
      </c>
    </row>
    <row r="175" s="863" customFormat="1" customHeight="1" spans="1:43">
      <c r="A175" s="504">
        <v>46148</v>
      </c>
      <c r="B175" s="230" t="s">
        <v>105</v>
      </c>
      <c r="C175" s="505" t="s">
        <v>155</v>
      </c>
      <c r="D175" s="505" t="s">
        <v>285</v>
      </c>
      <c r="E175" s="232">
        <v>3226156</v>
      </c>
      <c r="F175" s="525" t="s">
        <v>286</v>
      </c>
      <c r="G175" s="233">
        <v>12</v>
      </c>
      <c r="H175" s="229">
        <v>46233</v>
      </c>
      <c r="I175" s="872"/>
      <c r="J175" s="872"/>
      <c r="K175" s="872"/>
      <c r="L175" s="872"/>
      <c r="M175" s="872"/>
      <c r="N175" s="872"/>
      <c r="O175" s="872"/>
      <c r="P175" s="872"/>
      <c r="Q175" s="872"/>
      <c r="R175" s="872"/>
      <c r="S175" s="872"/>
      <c r="T175" s="872"/>
      <c r="U175" s="872"/>
      <c r="V175" s="872"/>
      <c r="W175" s="872">
        <f>G175</f>
        <v>12</v>
      </c>
      <c r="X175" s="872"/>
      <c r="Y175" s="872"/>
      <c r="Z175" s="872"/>
      <c r="AA175" s="872"/>
      <c r="AB175" s="872"/>
      <c r="AC175" s="872"/>
      <c r="AD175" s="872"/>
      <c r="AE175" s="872"/>
      <c r="AF175" s="872"/>
      <c r="AG175" s="872"/>
      <c r="AH175" s="872"/>
      <c r="AI175" s="872"/>
      <c r="AJ175" s="872"/>
      <c r="AK175" s="872"/>
      <c r="AL175" s="872"/>
      <c r="AM175" s="872"/>
      <c r="AN175" s="872"/>
      <c r="AO175" s="242">
        <v>0</v>
      </c>
      <c r="AP175" s="32">
        <f t="shared" si="6"/>
        <v>0</v>
      </c>
      <c r="AQ175" s="32">
        <f t="shared" si="7"/>
        <v>0</v>
      </c>
    </row>
    <row r="176" s="863" customFormat="1" customHeight="1" spans="1:43">
      <c r="A176" s="504">
        <v>46148</v>
      </c>
      <c r="B176" s="230" t="s">
        <v>105</v>
      </c>
      <c r="C176" s="229"/>
      <c r="D176" s="231" t="s">
        <v>287</v>
      </c>
      <c r="E176" s="232">
        <v>3222103</v>
      </c>
      <c r="F176" s="232" t="s">
        <v>139</v>
      </c>
      <c r="G176" s="233">
        <v>1896</v>
      </c>
      <c r="H176" s="229">
        <v>46202</v>
      </c>
      <c r="I176" s="872"/>
      <c r="J176" s="872"/>
      <c r="K176" s="872"/>
      <c r="L176" s="872"/>
      <c r="M176" s="872"/>
      <c r="N176" s="872"/>
      <c r="O176" s="872"/>
      <c r="P176" s="872"/>
      <c r="Q176" s="872"/>
      <c r="R176" s="872"/>
      <c r="S176" s="872"/>
      <c r="T176" s="872"/>
      <c r="U176" s="872"/>
      <c r="V176" s="872"/>
      <c r="W176" s="872"/>
      <c r="X176" s="872"/>
      <c r="Y176" s="872"/>
      <c r="Z176" s="872"/>
      <c r="AA176" s="872">
        <f>G176</f>
        <v>1896</v>
      </c>
      <c r="AB176" s="872"/>
      <c r="AC176" s="872"/>
      <c r="AD176" s="872"/>
      <c r="AE176" s="872"/>
      <c r="AF176" s="872"/>
      <c r="AG176" s="872"/>
      <c r="AH176" s="872"/>
      <c r="AI176" s="872"/>
      <c r="AJ176" s="872"/>
      <c r="AK176" s="872"/>
      <c r="AL176" s="872"/>
      <c r="AM176" s="872"/>
      <c r="AN176" s="872"/>
      <c r="AO176" s="242">
        <v>1.899</v>
      </c>
      <c r="AP176" s="32">
        <f t="shared" si="6"/>
        <v>3600.5</v>
      </c>
      <c r="AQ176" s="32">
        <f t="shared" si="7"/>
        <v>27903.88</v>
      </c>
    </row>
    <row r="177" s="863" customFormat="1" customHeight="1" spans="1:43">
      <c r="A177" s="504">
        <v>46148</v>
      </c>
      <c r="B177" s="230" t="s">
        <v>105</v>
      </c>
      <c r="C177" s="505"/>
      <c r="D177" s="231" t="s">
        <v>287</v>
      </c>
      <c r="E177" s="232">
        <v>3222110</v>
      </c>
      <c r="F177" s="232" t="s">
        <v>140</v>
      </c>
      <c r="G177" s="233">
        <v>1896</v>
      </c>
      <c r="H177" s="229">
        <v>46202</v>
      </c>
      <c r="I177" s="872">
        <f>G177</f>
        <v>1896</v>
      </c>
      <c r="J177" s="872"/>
      <c r="K177" s="872"/>
      <c r="L177" s="872"/>
      <c r="M177" s="872"/>
      <c r="N177" s="872"/>
      <c r="O177" s="872"/>
      <c r="P177" s="872"/>
      <c r="Q177" s="872"/>
      <c r="R177" s="872"/>
      <c r="S177" s="872"/>
      <c r="T177" s="872"/>
      <c r="U177" s="872"/>
      <c r="V177" s="872"/>
      <c r="W177" s="872"/>
      <c r="X177" s="872"/>
      <c r="Y177" s="872"/>
      <c r="Z177" s="872"/>
      <c r="AA177" s="872"/>
      <c r="AB177" s="872"/>
      <c r="AC177" s="872"/>
      <c r="AD177" s="872"/>
      <c r="AE177" s="872"/>
      <c r="AF177" s="872"/>
      <c r="AG177" s="872"/>
      <c r="AH177" s="872"/>
      <c r="AI177" s="872"/>
      <c r="AJ177" s="872"/>
      <c r="AK177" s="872"/>
      <c r="AL177" s="872"/>
      <c r="AM177" s="872"/>
      <c r="AN177" s="872"/>
      <c r="AO177" s="242">
        <v>3.06</v>
      </c>
      <c r="AP177" s="32">
        <f t="shared" si="6"/>
        <v>5801.76</v>
      </c>
      <c r="AQ177" s="32">
        <f t="shared" si="7"/>
        <v>44963.64</v>
      </c>
    </row>
    <row r="178" s="863" customFormat="1" customHeight="1" spans="1:43">
      <c r="A178" s="504">
        <v>46151</v>
      </c>
      <c r="B178" s="230" t="s">
        <v>152</v>
      </c>
      <c r="C178" s="506"/>
      <c r="D178" s="505" t="s">
        <v>288</v>
      </c>
      <c r="E178" s="506">
        <v>1226156</v>
      </c>
      <c r="F178" s="525" t="s">
        <v>289</v>
      </c>
      <c r="G178" s="507">
        <v>4980</v>
      </c>
      <c r="H178" s="229">
        <v>46237</v>
      </c>
      <c r="I178" s="872"/>
      <c r="J178" s="872"/>
      <c r="K178" s="872"/>
      <c r="L178" s="872"/>
      <c r="M178" s="872"/>
      <c r="N178" s="872"/>
      <c r="O178" s="872"/>
      <c r="P178" s="872"/>
      <c r="Q178" s="872"/>
      <c r="R178" s="872"/>
      <c r="S178" s="872"/>
      <c r="T178" s="872"/>
      <c r="U178" s="872"/>
      <c r="V178" s="872"/>
      <c r="W178" s="872">
        <f>G178</f>
        <v>4980</v>
      </c>
      <c r="X178" s="872"/>
      <c r="Y178" s="872"/>
      <c r="Z178" s="872"/>
      <c r="AA178" s="872"/>
      <c r="AB178" s="872"/>
      <c r="AC178" s="872"/>
      <c r="AD178" s="872"/>
      <c r="AE178" s="872"/>
      <c r="AF178" s="872"/>
      <c r="AG178" s="872"/>
      <c r="AH178" s="872"/>
      <c r="AI178" s="872"/>
      <c r="AJ178" s="872"/>
      <c r="AK178" s="872"/>
      <c r="AL178" s="872"/>
      <c r="AM178" s="872"/>
      <c r="AN178" s="872"/>
      <c r="AO178" s="895">
        <v>3.303</v>
      </c>
      <c r="AP178" s="32">
        <f t="shared" si="6"/>
        <v>16448.94</v>
      </c>
      <c r="AQ178" s="32">
        <f t="shared" si="7"/>
        <v>127479.29</v>
      </c>
    </row>
    <row r="179" s="863" customFormat="1" customHeight="1" spans="1:43">
      <c r="A179" s="504">
        <v>46151</v>
      </c>
      <c r="B179" s="230" t="s">
        <v>152</v>
      </c>
      <c r="C179" s="505" t="s">
        <v>155</v>
      </c>
      <c r="D179" s="505" t="s">
        <v>288</v>
      </c>
      <c r="E179" s="506">
        <v>1226156</v>
      </c>
      <c r="F179" s="525" t="s">
        <v>289</v>
      </c>
      <c r="G179" s="507">
        <v>12</v>
      </c>
      <c r="H179" s="229">
        <v>46237</v>
      </c>
      <c r="I179" s="872"/>
      <c r="J179" s="872"/>
      <c r="K179" s="872"/>
      <c r="L179" s="872"/>
      <c r="M179" s="872"/>
      <c r="N179" s="872"/>
      <c r="O179" s="872"/>
      <c r="P179" s="872"/>
      <c r="Q179" s="872"/>
      <c r="R179" s="872"/>
      <c r="S179" s="872"/>
      <c r="T179" s="872"/>
      <c r="U179" s="872"/>
      <c r="V179" s="872"/>
      <c r="W179" s="872">
        <f>G179</f>
        <v>12</v>
      </c>
      <c r="X179" s="872"/>
      <c r="Y179" s="872"/>
      <c r="Z179" s="872"/>
      <c r="AA179" s="872"/>
      <c r="AB179" s="872"/>
      <c r="AC179" s="872"/>
      <c r="AD179" s="872"/>
      <c r="AE179" s="872"/>
      <c r="AF179" s="872"/>
      <c r="AG179" s="872"/>
      <c r="AH179" s="872"/>
      <c r="AI179" s="872"/>
      <c r="AJ179" s="872"/>
      <c r="AK179" s="872"/>
      <c r="AL179" s="872"/>
      <c r="AM179" s="872"/>
      <c r="AN179" s="872"/>
      <c r="AO179" s="895">
        <v>0</v>
      </c>
      <c r="AP179" s="32">
        <f t="shared" si="6"/>
        <v>0</v>
      </c>
      <c r="AQ179" s="32">
        <f t="shared" si="7"/>
        <v>0</v>
      </c>
    </row>
    <row r="180" s="863" customFormat="1" customHeight="1" spans="1:43">
      <c r="A180" s="504">
        <v>46151</v>
      </c>
      <c r="B180" s="230" t="s">
        <v>152</v>
      </c>
      <c r="C180" s="506"/>
      <c r="D180" s="505" t="s">
        <v>290</v>
      </c>
      <c r="E180" s="506">
        <v>3326103</v>
      </c>
      <c r="F180" s="232" t="s">
        <v>291</v>
      </c>
      <c r="G180" s="507">
        <v>3000</v>
      </c>
      <c r="H180" s="229">
        <v>46224</v>
      </c>
      <c r="I180" s="872"/>
      <c r="J180" s="872"/>
      <c r="K180" s="872"/>
      <c r="L180" s="872"/>
      <c r="M180" s="872"/>
      <c r="N180" s="872"/>
      <c r="O180" s="872"/>
      <c r="P180" s="872"/>
      <c r="Q180" s="872"/>
      <c r="R180" s="872"/>
      <c r="S180" s="872"/>
      <c r="T180" s="872"/>
      <c r="U180" s="872"/>
      <c r="V180" s="872"/>
      <c r="W180" s="872"/>
      <c r="X180" s="872"/>
      <c r="Y180" s="872"/>
      <c r="Z180" s="872"/>
      <c r="AA180" s="872">
        <f>G180</f>
        <v>3000</v>
      </c>
      <c r="AB180" s="872"/>
      <c r="AC180" s="872"/>
      <c r="AD180" s="872"/>
      <c r="AE180" s="872"/>
      <c r="AF180" s="872"/>
      <c r="AG180" s="872"/>
      <c r="AH180" s="872"/>
      <c r="AI180" s="872"/>
      <c r="AJ180" s="872"/>
      <c r="AK180" s="872"/>
      <c r="AL180" s="872"/>
      <c r="AM180" s="872"/>
      <c r="AN180" s="872"/>
      <c r="AO180" s="895">
        <v>1.899</v>
      </c>
      <c r="AP180" s="32">
        <f t="shared" si="6"/>
        <v>5697</v>
      </c>
      <c r="AQ180" s="32">
        <f t="shared" si="7"/>
        <v>44151.75</v>
      </c>
    </row>
    <row r="181" s="863" customFormat="1" customHeight="1" spans="1:43">
      <c r="A181" s="504">
        <v>46151</v>
      </c>
      <c r="B181" s="230" t="s">
        <v>152</v>
      </c>
      <c r="C181" s="505" t="s">
        <v>155</v>
      </c>
      <c r="D181" s="505" t="s">
        <v>290</v>
      </c>
      <c r="E181" s="506">
        <v>3326103</v>
      </c>
      <c r="F181" s="232" t="s">
        <v>291</v>
      </c>
      <c r="G181" s="507">
        <v>12</v>
      </c>
      <c r="H181" s="229">
        <v>46224</v>
      </c>
      <c r="I181" s="872"/>
      <c r="J181" s="872"/>
      <c r="K181" s="872"/>
      <c r="L181" s="872"/>
      <c r="M181" s="872"/>
      <c r="N181" s="872"/>
      <c r="O181" s="872"/>
      <c r="P181" s="872"/>
      <c r="Q181" s="872"/>
      <c r="R181" s="872"/>
      <c r="S181" s="872"/>
      <c r="T181" s="872"/>
      <c r="U181" s="872"/>
      <c r="V181" s="872"/>
      <c r="W181" s="872"/>
      <c r="X181" s="872"/>
      <c r="Y181" s="872"/>
      <c r="Z181" s="872"/>
      <c r="AA181" s="872">
        <f>G181</f>
        <v>12</v>
      </c>
      <c r="AB181" s="872"/>
      <c r="AC181" s="872"/>
      <c r="AD181" s="872"/>
      <c r="AE181" s="872"/>
      <c r="AF181" s="872"/>
      <c r="AG181" s="872"/>
      <c r="AH181" s="872"/>
      <c r="AI181" s="872"/>
      <c r="AJ181" s="872"/>
      <c r="AK181" s="872"/>
      <c r="AL181" s="872"/>
      <c r="AM181" s="872"/>
      <c r="AN181" s="872"/>
      <c r="AO181" s="895">
        <v>0</v>
      </c>
      <c r="AP181" s="32">
        <f t="shared" si="6"/>
        <v>0</v>
      </c>
      <c r="AQ181" s="32">
        <f t="shared" si="7"/>
        <v>0</v>
      </c>
    </row>
    <row r="182" s="863" customFormat="1" customHeight="1" spans="1:43">
      <c r="A182" s="504">
        <v>46151</v>
      </c>
      <c r="B182" s="230" t="s">
        <v>152</v>
      </c>
      <c r="C182" s="506"/>
      <c r="D182" s="505" t="s">
        <v>292</v>
      </c>
      <c r="E182" s="506">
        <v>1226169</v>
      </c>
      <c r="F182" s="232" t="s">
        <v>293</v>
      </c>
      <c r="G182" s="507">
        <v>6000</v>
      </c>
      <c r="H182" s="229">
        <v>46224</v>
      </c>
      <c r="I182" s="872"/>
      <c r="J182" s="872"/>
      <c r="K182" s="872"/>
      <c r="L182" s="872"/>
      <c r="M182" s="872"/>
      <c r="N182" s="872"/>
      <c r="O182" s="872"/>
      <c r="P182" s="872"/>
      <c r="Q182" s="872"/>
      <c r="R182" s="872"/>
      <c r="S182" s="872"/>
      <c r="T182" s="872"/>
      <c r="U182" s="872"/>
      <c r="V182" s="872"/>
      <c r="W182" s="872"/>
      <c r="X182" s="872"/>
      <c r="Y182" s="872"/>
      <c r="Z182" s="872"/>
      <c r="AA182" s="872"/>
      <c r="AB182" s="872"/>
      <c r="AC182" s="872"/>
      <c r="AD182" s="872"/>
      <c r="AE182" s="872"/>
      <c r="AF182" s="872"/>
      <c r="AG182" s="872"/>
      <c r="AH182" s="872"/>
      <c r="AI182" s="872"/>
      <c r="AJ182" s="872"/>
      <c r="AK182" s="872"/>
      <c r="AL182" s="872">
        <f>G182</f>
        <v>6000</v>
      </c>
      <c r="AM182" s="872"/>
      <c r="AN182" s="872"/>
      <c r="AO182" s="895">
        <v>2.573</v>
      </c>
      <c r="AP182" s="32">
        <f t="shared" si="6"/>
        <v>15438</v>
      </c>
      <c r="AQ182" s="32">
        <f t="shared" si="7"/>
        <v>119644.5</v>
      </c>
    </row>
    <row r="183" s="863" customFormat="1" customHeight="1" spans="1:43">
      <c r="A183" s="504">
        <v>46151</v>
      </c>
      <c r="B183" s="230" t="s">
        <v>152</v>
      </c>
      <c r="C183" s="505" t="s">
        <v>155</v>
      </c>
      <c r="D183" s="505" t="s">
        <v>292</v>
      </c>
      <c r="E183" s="506">
        <v>1226169</v>
      </c>
      <c r="F183" s="232" t="s">
        <v>293</v>
      </c>
      <c r="G183" s="507">
        <v>12</v>
      </c>
      <c r="H183" s="229">
        <v>46224</v>
      </c>
      <c r="I183" s="872"/>
      <c r="J183" s="872"/>
      <c r="K183" s="872"/>
      <c r="L183" s="872"/>
      <c r="M183" s="872"/>
      <c r="N183" s="872"/>
      <c r="O183" s="872"/>
      <c r="P183" s="872"/>
      <c r="Q183" s="872"/>
      <c r="R183" s="872"/>
      <c r="S183" s="872"/>
      <c r="T183" s="872"/>
      <c r="U183" s="872"/>
      <c r="V183" s="872"/>
      <c r="W183" s="872"/>
      <c r="X183" s="872"/>
      <c r="Y183" s="872"/>
      <c r="Z183" s="872"/>
      <c r="AA183" s="872"/>
      <c r="AB183" s="872"/>
      <c r="AC183" s="872"/>
      <c r="AD183" s="872"/>
      <c r="AE183" s="872"/>
      <c r="AF183" s="872"/>
      <c r="AG183" s="872"/>
      <c r="AH183" s="872"/>
      <c r="AI183" s="872"/>
      <c r="AJ183" s="872"/>
      <c r="AK183" s="872"/>
      <c r="AL183" s="872">
        <f>G183</f>
        <v>12</v>
      </c>
      <c r="AM183" s="872"/>
      <c r="AN183" s="872"/>
      <c r="AO183" s="895">
        <v>0</v>
      </c>
      <c r="AP183" s="32">
        <f t="shared" si="6"/>
        <v>0</v>
      </c>
      <c r="AQ183" s="32">
        <f t="shared" si="7"/>
        <v>0</v>
      </c>
    </row>
    <row r="184" s="863" customFormat="1" customHeight="1" spans="1:43">
      <c r="A184" s="504">
        <v>46157</v>
      </c>
      <c r="B184" s="230" t="s">
        <v>152</v>
      </c>
      <c r="C184" s="506"/>
      <c r="D184" s="505" t="s">
        <v>294</v>
      </c>
      <c r="E184" s="506">
        <v>1226168</v>
      </c>
      <c r="F184" s="232" t="s">
        <v>295</v>
      </c>
      <c r="G184" s="233">
        <v>10020</v>
      </c>
      <c r="H184" s="229">
        <v>46234</v>
      </c>
      <c r="I184" s="872"/>
      <c r="J184" s="872">
        <f>G184</f>
        <v>10020</v>
      </c>
      <c r="K184" s="872"/>
      <c r="L184" s="872"/>
      <c r="M184" s="872"/>
      <c r="N184" s="872"/>
      <c r="O184" s="872"/>
      <c r="P184" s="872"/>
      <c r="Q184" s="872"/>
      <c r="R184" s="872"/>
      <c r="S184" s="872"/>
      <c r="T184" s="872"/>
      <c r="U184" s="872"/>
      <c r="V184" s="872"/>
      <c r="W184" s="872"/>
      <c r="X184" s="872"/>
      <c r="Y184" s="872"/>
      <c r="Z184" s="872"/>
      <c r="AA184" s="872"/>
      <c r="AB184" s="872"/>
      <c r="AC184" s="872"/>
      <c r="AD184" s="872"/>
      <c r="AE184" s="872"/>
      <c r="AF184" s="872"/>
      <c r="AG184" s="872"/>
      <c r="AH184" s="872"/>
      <c r="AI184" s="872"/>
      <c r="AJ184" s="872"/>
      <c r="AK184" s="872"/>
      <c r="AL184" s="872"/>
      <c r="AM184" s="872"/>
      <c r="AN184" s="872"/>
      <c r="AO184" s="242">
        <v>3.45</v>
      </c>
      <c r="AP184" s="32">
        <f t="shared" si="6"/>
        <v>34569</v>
      </c>
      <c r="AQ184" s="32">
        <f t="shared" si="7"/>
        <v>267909.75</v>
      </c>
    </row>
    <row r="185" s="863" customFormat="1" customHeight="1" spans="1:43">
      <c r="A185" s="504">
        <v>46157</v>
      </c>
      <c r="B185" s="230" t="s">
        <v>152</v>
      </c>
      <c r="C185" s="505" t="s">
        <v>155</v>
      </c>
      <c r="D185" s="505" t="s">
        <v>294</v>
      </c>
      <c r="E185" s="506">
        <v>1226168</v>
      </c>
      <c r="F185" s="232" t="s">
        <v>295</v>
      </c>
      <c r="G185" s="233">
        <v>18</v>
      </c>
      <c r="H185" s="229">
        <v>46234</v>
      </c>
      <c r="I185" s="872"/>
      <c r="J185" s="872">
        <f>G185</f>
        <v>18</v>
      </c>
      <c r="K185" s="872"/>
      <c r="L185" s="872"/>
      <c r="M185" s="872"/>
      <c r="N185" s="872"/>
      <c r="O185" s="872"/>
      <c r="P185" s="872"/>
      <c r="Q185" s="872"/>
      <c r="R185" s="872"/>
      <c r="S185" s="872"/>
      <c r="T185" s="872"/>
      <c r="U185" s="872"/>
      <c r="V185" s="872"/>
      <c r="W185" s="872"/>
      <c r="X185" s="872"/>
      <c r="Y185" s="872"/>
      <c r="Z185" s="872"/>
      <c r="AA185" s="872"/>
      <c r="AB185" s="872"/>
      <c r="AC185" s="872"/>
      <c r="AD185" s="872"/>
      <c r="AE185" s="872"/>
      <c r="AF185" s="872"/>
      <c r="AG185" s="872"/>
      <c r="AH185" s="872"/>
      <c r="AI185" s="872"/>
      <c r="AJ185" s="872"/>
      <c r="AK185" s="872"/>
      <c r="AL185" s="872"/>
      <c r="AM185" s="872"/>
      <c r="AN185" s="872"/>
      <c r="AO185" s="242">
        <v>0</v>
      </c>
      <c r="AP185" s="32">
        <f t="shared" si="6"/>
        <v>0</v>
      </c>
      <c r="AQ185" s="32">
        <f t="shared" si="7"/>
        <v>0</v>
      </c>
    </row>
    <row r="186" s="860" customFormat="1" customHeight="1" spans="1:43">
      <c r="A186" s="354">
        <v>46157</v>
      </c>
      <c r="B186" s="281" t="s">
        <v>152</v>
      </c>
      <c r="C186" s="304"/>
      <c r="D186" s="301" t="s">
        <v>296</v>
      </c>
      <c r="E186" s="304">
        <v>1026157</v>
      </c>
      <c r="F186" s="283" t="s">
        <v>297</v>
      </c>
      <c r="G186" s="284">
        <v>8400</v>
      </c>
      <c r="H186" s="280">
        <v>46207</v>
      </c>
      <c r="I186" s="883"/>
      <c r="J186" s="883"/>
      <c r="K186" s="883"/>
      <c r="L186" s="883"/>
      <c r="M186" s="883">
        <f>G186</f>
        <v>8400</v>
      </c>
      <c r="N186" s="883"/>
      <c r="O186" s="883"/>
      <c r="P186" s="883"/>
      <c r="Q186" s="883"/>
      <c r="R186" s="883"/>
      <c r="S186" s="883"/>
      <c r="T186" s="883"/>
      <c r="U186" s="883"/>
      <c r="V186" s="883"/>
      <c r="W186" s="883"/>
      <c r="X186" s="883"/>
      <c r="Y186" s="883"/>
      <c r="Z186" s="883"/>
      <c r="AA186" s="883"/>
      <c r="AB186" s="883"/>
      <c r="AC186" s="883"/>
      <c r="AD186" s="883"/>
      <c r="AE186" s="883"/>
      <c r="AF186" s="883"/>
      <c r="AG186" s="883"/>
      <c r="AH186" s="883"/>
      <c r="AI186" s="883"/>
      <c r="AJ186" s="883"/>
      <c r="AK186" s="883"/>
      <c r="AL186" s="883"/>
      <c r="AM186" s="883"/>
      <c r="AN186" s="883"/>
      <c r="AO186" s="292">
        <v>4.772</v>
      </c>
      <c r="AP186" s="884">
        <f t="shared" si="6"/>
        <v>40084.8</v>
      </c>
      <c r="AQ186" s="884">
        <f t="shared" si="7"/>
        <v>310657.2</v>
      </c>
    </row>
    <row r="187" s="860" customFormat="1" customHeight="1" spans="1:43">
      <c r="A187" s="354">
        <v>46157</v>
      </c>
      <c r="B187" s="281" t="s">
        <v>152</v>
      </c>
      <c r="C187" s="301" t="s">
        <v>155</v>
      </c>
      <c r="D187" s="301" t="s">
        <v>296</v>
      </c>
      <c r="E187" s="304">
        <v>1026157</v>
      </c>
      <c r="F187" s="283" t="s">
        <v>297</v>
      </c>
      <c r="G187" s="284">
        <v>9</v>
      </c>
      <c r="H187" s="280">
        <v>46207</v>
      </c>
      <c r="I187" s="883"/>
      <c r="J187" s="883"/>
      <c r="K187" s="883"/>
      <c r="L187" s="883"/>
      <c r="M187" s="883">
        <f>G187</f>
        <v>9</v>
      </c>
      <c r="N187" s="883"/>
      <c r="O187" s="883"/>
      <c r="P187" s="883"/>
      <c r="Q187" s="883"/>
      <c r="R187" s="883"/>
      <c r="S187" s="883"/>
      <c r="T187" s="883"/>
      <c r="U187" s="883"/>
      <c r="V187" s="883"/>
      <c r="W187" s="883"/>
      <c r="X187" s="883"/>
      <c r="Y187" s="883"/>
      <c r="Z187" s="883"/>
      <c r="AA187" s="883"/>
      <c r="AB187" s="883"/>
      <c r="AC187" s="883"/>
      <c r="AD187" s="883"/>
      <c r="AE187" s="883"/>
      <c r="AF187" s="883"/>
      <c r="AG187" s="883"/>
      <c r="AH187" s="883"/>
      <c r="AI187" s="883"/>
      <c r="AJ187" s="883"/>
      <c r="AK187" s="883"/>
      <c r="AL187" s="883"/>
      <c r="AM187" s="883"/>
      <c r="AN187" s="883"/>
      <c r="AO187" s="292">
        <v>0</v>
      </c>
      <c r="AP187" s="884">
        <f t="shared" si="6"/>
        <v>0</v>
      </c>
      <c r="AQ187" s="884">
        <f t="shared" si="7"/>
        <v>0</v>
      </c>
    </row>
    <row r="188" s="863" customFormat="1" customHeight="1" spans="1:43">
      <c r="A188" s="504">
        <v>46157</v>
      </c>
      <c r="B188" s="230" t="s">
        <v>152</v>
      </c>
      <c r="C188" s="506"/>
      <c r="D188" s="505" t="s">
        <v>298</v>
      </c>
      <c r="E188" s="506">
        <v>1226157</v>
      </c>
      <c r="F188" s="525" t="s">
        <v>299</v>
      </c>
      <c r="G188" s="233">
        <v>8400</v>
      </c>
      <c r="H188" s="229">
        <v>46237</v>
      </c>
      <c r="I188" s="872"/>
      <c r="J188" s="872"/>
      <c r="K188" s="872"/>
      <c r="L188" s="872"/>
      <c r="M188" s="872">
        <f>G188</f>
        <v>8400</v>
      </c>
      <c r="N188" s="872"/>
      <c r="O188" s="872"/>
      <c r="P188" s="872"/>
      <c r="Q188" s="872"/>
      <c r="R188" s="872"/>
      <c r="S188" s="872"/>
      <c r="T188" s="872"/>
      <c r="U188" s="872"/>
      <c r="V188" s="872"/>
      <c r="W188" s="872"/>
      <c r="X188" s="872"/>
      <c r="Y188" s="872"/>
      <c r="Z188" s="872"/>
      <c r="AA188" s="872"/>
      <c r="AB188" s="872"/>
      <c r="AC188" s="872"/>
      <c r="AD188" s="872"/>
      <c r="AE188" s="872"/>
      <c r="AF188" s="872"/>
      <c r="AG188" s="872"/>
      <c r="AH188" s="872"/>
      <c r="AI188" s="872"/>
      <c r="AJ188" s="872"/>
      <c r="AK188" s="872"/>
      <c r="AL188" s="872"/>
      <c r="AM188" s="872"/>
      <c r="AN188" s="872"/>
      <c r="AO188" s="242">
        <v>4.772</v>
      </c>
      <c r="AP188" s="32">
        <f t="shared" si="6"/>
        <v>40084.8</v>
      </c>
      <c r="AQ188" s="32">
        <f t="shared" si="7"/>
        <v>310657.2</v>
      </c>
    </row>
    <row r="189" s="863" customFormat="1" customHeight="1" spans="1:43">
      <c r="A189" s="504">
        <v>46157</v>
      </c>
      <c r="B189" s="230" t="s">
        <v>152</v>
      </c>
      <c r="C189" s="505" t="s">
        <v>155</v>
      </c>
      <c r="D189" s="505" t="s">
        <v>298</v>
      </c>
      <c r="E189" s="506">
        <v>1226157</v>
      </c>
      <c r="F189" s="525" t="s">
        <v>299</v>
      </c>
      <c r="G189" s="233">
        <v>18</v>
      </c>
      <c r="H189" s="229">
        <v>46237</v>
      </c>
      <c r="I189" s="872"/>
      <c r="J189" s="872"/>
      <c r="K189" s="872"/>
      <c r="L189" s="872"/>
      <c r="M189" s="872">
        <f>G189</f>
        <v>18</v>
      </c>
      <c r="N189" s="872"/>
      <c r="O189" s="872"/>
      <c r="P189" s="872"/>
      <c r="Q189" s="872"/>
      <c r="R189" s="872"/>
      <c r="S189" s="872"/>
      <c r="T189" s="872"/>
      <c r="U189" s="872"/>
      <c r="V189" s="872"/>
      <c r="W189" s="872"/>
      <c r="X189" s="872"/>
      <c r="Y189" s="872"/>
      <c r="Z189" s="872"/>
      <c r="AA189" s="872"/>
      <c r="AB189" s="872"/>
      <c r="AC189" s="872"/>
      <c r="AD189" s="872"/>
      <c r="AE189" s="872"/>
      <c r="AF189" s="872"/>
      <c r="AG189" s="872"/>
      <c r="AH189" s="872"/>
      <c r="AI189" s="872"/>
      <c r="AJ189" s="872"/>
      <c r="AK189" s="872"/>
      <c r="AL189" s="872"/>
      <c r="AM189" s="872"/>
      <c r="AN189" s="872"/>
      <c r="AO189" s="242">
        <v>0</v>
      </c>
      <c r="AP189" s="32">
        <f t="shared" si="6"/>
        <v>0</v>
      </c>
      <c r="AQ189" s="32">
        <f t="shared" si="7"/>
        <v>0</v>
      </c>
    </row>
    <row r="190" s="863" customFormat="1" customHeight="1" spans="1:43">
      <c r="A190" s="504">
        <v>46161</v>
      </c>
      <c r="B190" s="230" t="s">
        <v>174</v>
      </c>
      <c r="C190" s="505"/>
      <c r="D190" s="505" t="s">
        <v>300</v>
      </c>
      <c r="E190" s="506">
        <v>3026146</v>
      </c>
      <c r="F190" s="232" t="s">
        <v>301</v>
      </c>
      <c r="G190" s="233">
        <v>5460</v>
      </c>
      <c r="H190" s="229">
        <v>46212</v>
      </c>
      <c r="I190" s="872"/>
      <c r="J190" s="872"/>
      <c r="K190" s="872"/>
      <c r="L190" s="872"/>
      <c r="M190" s="872"/>
      <c r="N190" s="872"/>
      <c r="O190" s="872"/>
      <c r="P190" s="872"/>
      <c r="Q190" s="872"/>
      <c r="R190" s="872"/>
      <c r="S190" s="872"/>
      <c r="T190" s="872"/>
      <c r="U190" s="872"/>
      <c r="V190" s="872"/>
      <c r="W190" s="872"/>
      <c r="X190" s="872"/>
      <c r="Y190" s="872"/>
      <c r="Z190" s="872"/>
      <c r="AA190" s="872"/>
      <c r="AB190" s="872"/>
      <c r="AC190" s="872"/>
      <c r="AD190" s="872"/>
      <c r="AE190" s="872"/>
      <c r="AF190" s="872"/>
      <c r="AG190" s="872"/>
      <c r="AH190" s="872"/>
      <c r="AI190" s="872"/>
      <c r="AJ190" s="872"/>
      <c r="AK190" s="872">
        <f>G190</f>
        <v>5460</v>
      </c>
      <c r="AL190" s="872"/>
      <c r="AM190" s="872"/>
      <c r="AN190" s="872"/>
      <c r="AO190" s="242">
        <v>2.667</v>
      </c>
      <c r="AP190" s="32">
        <f t="shared" si="6"/>
        <v>14561.82</v>
      </c>
      <c r="AQ190" s="32">
        <f t="shared" si="7"/>
        <v>112854.11</v>
      </c>
    </row>
    <row r="191" s="863" customFormat="1" customHeight="1" spans="1:43">
      <c r="A191" s="504">
        <v>46161</v>
      </c>
      <c r="B191" s="230" t="s">
        <v>174</v>
      </c>
      <c r="C191" s="505" t="s">
        <v>155</v>
      </c>
      <c r="D191" s="505" t="s">
        <v>300</v>
      </c>
      <c r="E191" s="506">
        <v>3026146</v>
      </c>
      <c r="F191" s="232" t="s">
        <v>301</v>
      </c>
      <c r="G191" s="233">
        <v>6</v>
      </c>
      <c r="H191" s="229">
        <v>46212</v>
      </c>
      <c r="I191" s="872"/>
      <c r="J191" s="872"/>
      <c r="K191" s="872"/>
      <c r="L191" s="872"/>
      <c r="M191" s="872"/>
      <c r="N191" s="872"/>
      <c r="O191" s="872"/>
      <c r="P191" s="872"/>
      <c r="Q191" s="872"/>
      <c r="R191" s="872"/>
      <c r="S191" s="872"/>
      <c r="T191" s="872"/>
      <c r="U191" s="872"/>
      <c r="V191" s="872"/>
      <c r="W191" s="872"/>
      <c r="X191" s="872"/>
      <c r="Y191" s="872"/>
      <c r="Z191" s="872"/>
      <c r="AA191" s="872"/>
      <c r="AB191" s="872"/>
      <c r="AC191" s="872"/>
      <c r="AD191" s="872"/>
      <c r="AE191" s="872"/>
      <c r="AF191" s="872"/>
      <c r="AG191" s="872"/>
      <c r="AH191" s="872"/>
      <c r="AI191" s="872"/>
      <c r="AJ191" s="872"/>
      <c r="AK191" s="872">
        <f>G191</f>
        <v>6</v>
      </c>
      <c r="AL191" s="872"/>
      <c r="AM191" s="872"/>
      <c r="AN191" s="872"/>
      <c r="AO191" s="242">
        <v>0</v>
      </c>
      <c r="AP191" s="32">
        <f t="shared" si="6"/>
        <v>0</v>
      </c>
      <c r="AQ191" s="32">
        <f t="shared" si="7"/>
        <v>0</v>
      </c>
    </row>
    <row r="192" s="860" customFormat="1" customHeight="1" spans="1:43">
      <c r="A192" s="354">
        <v>46161</v>
      </c>
      <c r="B192" s="281" t="s">
        <v>98</v>
      </c>
      <c r="C192" s="301"/>
      <c r="D192" s="301" t="s">
        <v>302</v>
      </c>
      <c r="E192" s="304">
        <v>1521113</v>
      </c>
      <c r="F192" s="283" t="s">
        <v>9</v>
      </c>
      <c r="G192" s="284">
        <v>1500</v>
      </c>
      <c r="H192" s="280">
        <v>46213</v>
      </c>
      <c r="I192" s="883"/>
      <c r="J192" s="883"/>
      <c r="K192" s="883"/>
      <c r="L192" s="883"/>
      <c r="M192" s="883"/>
      <c r="N192" s="883"/>
      <c r="O192" s="883"/>
      <c r="P192" s="883">
        <f>G192</f>
        <v>1500</v>
      </c>
      <c r="Q192" s="883"/>
      <c r="R192" s="883"/>
      <c r="S192" s="883"/>
      <c r="T192" s="883"/>
      <c r="U192" s="883"/>
      <c r="V192" s="883"/>
      <c r="W192" s="883"/>
      <c r="X192" s="883"/>
      <c r="Y192" s="883"/>
      <c r="Z192" s="883"/>
      <c r="AA192" s="883"/>
      <c r="AB192" s="883"/>
      <c r="AC192" s="883"/>
      <c r="AD192" s="883"/>
      <c r="AE192" s="883"/>
      <c r="AF192" s="883"/>
      <c r="AG192" s="883"/>
      <c r="AH192" s="883"/>
      <c r="AI192" s="883"/>
      <c r="AJ192" s="883"/>
      <c r="AK192" s="883"/>
      <c r="AL192" s="883"/>
      <c r="AM192" s="883"/>
      <c r="AN192" s="883"/>
      <c r="AO192" s="292">
        <v>3.198</v>
      </c>
      <c r="AP192" s="884">
        <f t="shared" si="6"/>
        <v>4797</v>
      </c>
      <c r="AQ192" s="884">
        <f t="shared" si="7"/>
        <v>37176.75</v>
      </c>
    </row>
    <row r="193" s="860" customFormat="1" customHeight="1" spans="1:43">
      <c r="A193" s="354">
        <v>46161</v>
      </c>
      <c r="B193" s="281" t="s">
        <v>98</v>
      </c>
      <c r="C193" s="301"/>
      <c r="D193" s="301" t="s">
        <v>302</v>
      </c>
      <c r="E193" s="304">
        <v>4724113</v>
      </c>
      <c r="F193" s="283" t="s">
        <v>303</v>
      </c>
      <c r="G193" s="284">
        <v>3000</v>
      </c>
      <c r="H193" s="280">
        <v>46213</v>
      </c>
      <c r="I193" s="883"/>
      <c r="J193" s="883"/>
      <c r="K193" s="883"/>
      <c r="L193" s="883"/>
      <c r="M193" s="883"/>
      <c r="N193" s="883"/>
      <c r="O193" s="883"/>
      <c r="P193" s="883">
        <f>G193</f>
        <v>3000</v>
      </c>
      <c r="Q193" s="883"/>
      <c r="R193" s="883"/>
      <c r="S193" s="883"/>
      <c r="T193" s="883"/>
      <c r="U193" s="883"/>
      <c r="V193" s="883"/>
      <c r="W193" s="883"/>
      <c r="X193" s="883"/>
      <c r="Y193" s="883"/>
      <c r="Z193" s="883"/>
      <c r="AA193" s="883"/>
      <c r="AB193" s="883"/>
      <c r="AC193" s="883"/>
      <c r="AD193" s="883"/>
      <c r="AE193" s="883"/>
      <c r="AF193" s="883"/>
      <c r="AG193" s="883"/>
      <c r="AH193" s="883"/>
      <c r="AI193" s="883"/>
      <c r="AJ193" s="883"/>
      <c r="AK193" s="883"/>
      <c r="AL193" s="883"/>
      <c r="AM193" s="883"/>
      <c r="AN193" s="883"/>
      <c r="AO193" s="292">
        <v>3.198</v>
      </c>
      <c r="AP193" s="884">
        <f t="shared" si="6"/>
        <v>9594</v>
      </c>
      <c r="AQ193" s="884">
        <f t="shared" si="7"/>
        <v>74353.5</v>
      </c>
    </row>
    <row r="194" s="860" customFormat="1" customHeight="1" spans="1:43">
      <c r="A194" s="354">
        <v>46162</v>
      </c>
      <c r="B194" s="299" t="s">
        <v>109</v>
      </c>
      <c r="C194" s="301"/>
      <c r="D194" s="301" t="s">
        <v>304</v>
      </c>
      <c r="E194" s="302" t="s">
        <v>24</v>
      </c>
      <c r="F194" s="283" t="s">
        <v>305</v>
      </c>
      <c r="G194" s="284">
        <v>15600</v>
      </c>
      <c r="H194" s="280">
        <v>46226</v>
      </c>
      <c r="I194" s="883"/>
      <c r="J194" s="883"/>
      <c r="K194" s="883"/>
      <c r="L194" s="883"/>
      <c r="M194" s="883"/>
      <c r="N194" s="883"/>
      <c r="O194" s="883"/>
      <c r="P194" s="883"/>
      <c r="Q194" s="883"/>
      <c r="R194" s="883"/>
      <c r="S194" s="883"/>
      <c r="T194" s="883"/>
      <c r="U194" s="883"/>
      <c r="V194" s="883"/>
      <c r="W194" s="883"/>
      <c r="X194" s="883"/>
      <c r="Y194" s="883"/>
      <c r="Z194" s="883"/>
      <c r="AA194" s="883">
        <f>G194</f>
        <v>15600</v>
      </c>
      <c r="AB194" s="883"/>
      <c r="AC194" s="883"/>
      <c r="AD194" s="883"/>
      <c r="AE194" s="883"/>
      <c r="AF194" s="883"/>
      <c r="AG194" s="883"/>
      <c r="AH194" s="883"/>
      <c r="AI194" s="883"/>
      <c r="AJ194" s="883"/>
      <c r="AK194" s="883"/>
      <c r="AL194" s="883"/>
      <c r="AM194" s="883"/>
      <c r="AN194" s="883"/>
      <c r="AO194" s="292">
        <v>2.051</v>
      </c>
      <c r="AP194" s="884">
        <f t="shared" si="6"/>
        <v>31995.6</v>
      </c>
      <c r="AQ194" s="884">
        <f t="shared" si="7"/>
        <v>247965.9</v>
      </c>
    </row>
    <row r="195" s="860" customFormat="1" customHeight="1" spans="1:43">
      <c r="A195" s="354">
        <v>46163</v>
      </c>
      <c r="B195" s="299" t="s">
        <v>109</v>
      </c>
      <c r="C195" s="301"/>
      <c r="D195" s="301" t="s">
        <v>306</v>
      </c>
      <c r="E195" s="302" t="s">
        <v>307</v>
      </c>
      <c r="F195" s="283" t="s">
        <v>308</v>
      </c>
      <c r="G195" s="284">
        <v>10980</v>
      </c>
      <c r="H195" s="280">
        <v>46212</v>
      </c>
      <c r="I195" s="883"/>
      <c r="J195" s="883"/>
      <c r="K195" s="883"/>
      <c r="L195" s="883">
        <f>G195</f>
        <v>10980</v>
      </c>
      <c r="M195" s="883"/>
      <c r="N195" s="883"/>
      <c r="O195" s="883"/>
      <c r="P195" s="883"/>
      <c r="Q195" s="883"/>
      <c r="R195" s="883"/>
      <c r="S195" s="883"/>
      <c r="T195" s="883"/>
      <c r="U195" s="883"/>
      <c r="V195" s="883"/>
      <c r="W195" s="883"/>
      <c r="X195" s="883"/>
      <c r="Y195" s="883"/>
      <c r="Z195" s="883"/>
      <c r="AA195" s="883"/>
      <c r="AB195" s="883"/>
      <c r="AC195" s="883"/>
      <c r="AD195" s="883"/>
      <c r="AE195" s="883"/>
      <c r="AF195" s="883"/>
      <c r="AG195" s="883"/>
      <c r="AH195" s="883"/>
      <c r="AI195" s="883"/>
      <c r="AJ195" s="883"/>
      <c r="AK195" s="883"/>
      <c r="AL195" s="883"/>
      <c r="AM195" s="883"/>
      <c r="AN195" s="883"/>
      <c r="AO195" s="292">
        <v>3.899</v>
      </c>
      <c r="AP195" s="884">
        <f t="shared" ref="AP195:AP242" si="8">SUM(I195:AN195)*AO195</f>
        <v>42811.02</v>
      </c>
      <c r="AQ195" s="884">
        <f t="shared" si="7"/>
        <v>331785.41</v>
      </c>
    </row>
    <row r="196" s="863" customFormat="1" customHeight="1" spans="1:43">
      <c r="A196" s="504">
        <v>46163</v>
      </c>
      <c r="B196" s="230" t="s">
        <v>309</v>
      </c>
      <c r="C196" s="505"/>
      <c r="D196" s="505" t="s">
        <v>310</v>
      </c>
      <c r="E196" s="506">
        <v>3526107</v>
      </c>
      <c r="F196" s="232" t="s">
        <v>311</v>
      </c>
      <c r="G196" s="233">
        <v>5040</v>
      </c>
      <c r="H196" s="229">
        <v>46244</v>
      </c>
      <c r="I196" s="872"/>
      <c r="J196" s="872"/>
      <c r="K196" s="872"/>
      <c r="L196" s="872"/>
      <c r="M196" s="872"/>
      <c r="N196" s="872"/>
      <c r="O196" s="872"/>
      <c r="P196" s="872"/>
      <c r="Q196" s="872"/>
      <c r="R196" s="872"/>
      <c r="S196" s="872"/>
      <c r="T196" s="872"/>
      <c r="U196" s="872"/>
      <c r="V196" s="872"/>
      <c r="W196" s="872"/>
      <c r="X196" s="872"/>
      <c r="Y196" s="872"/>
      <c r="Z196" s="872"/>
      <c r="AA196" s="872"/>
      <c r="AB196" s="872"/>
      <c r="AC196" s="872"/>
      <c r="AD196" s="872"/>
      <c r="AE196" s="872"/>
      <c r="AF196" s="872"/>
      <c r="AG196" s="872"/>
      <c r="AH196" s="872"/>
      <c r="AI196" s="872"/>
      <c r="AJ196" s="872"/>
      <c r="AK196" s="872"/>
      <c r="AL196" s="872"/>
      <c r="AM196" s="872"/>
      <c r="AN196" s="872">
        <f>G196</f>
        <v>5040</v>
      </c>
      <c r="AO196" s="242">
        <v>4.029</v>
      </c>
      <c r="AP196" s="32">
        <f t="shared" si="8"/>
        <v>20306.16</v>
      </c>
      <c r="AQ196" s="32">
        <f t="shared" si="7"/>
        <v>157372.74</v>
      </c>
    </row>
    <row r="197" s="863" customFormat="1" customHeight="1" spans="1:43">
      <c r="A197" s="504">
        <v>46164</v>
      </c>
      <c r="B197" s="230" t="s">
        <v>236</v>
      </c>
      <c r="C197" s="505"/>
      <c r="D197" s="505" t="s">
        <v>312</v>
      </c>
      <c r="E197" s="506">
        <v>5226146</v>
      </c>
      <c r="F197" s="232" t="s">
        <v>313</v>
      </c>
      <c r="G197" s="233">
        <v>5460</v>
      </c>
      <c r="H197" s="229">
        <v>46212</v>
      </c>
      <c r="I197" s="872"/>
      <c r="J197" s="872"/>
      <c r="K197" s="872"/>
      <c r="L197" s="872"/>
      <c r="M197" s="872"/>
      <c r="N197" s="872"/>
      <c r="O197" s="872"/>
      <c r="P197" s="872"/>
      <c r="Q197" s="872"/>
      <c r="R197" s="872"/>
      <c r="S197" s="872"/>
      <c r="T197" s="872"/>
      <c r="U197" s="872"/>
      <c r="V197" s="872"/>
      <c r="W197" s="872"/>
      <c r="X197" s="872"/>
      <c r="Y197" s="872"/>
      <c r="Z197" s="872"/>
      <c r="AA197" s="872"/>
      <c r="AB197" s="872"/>
      <c r="AC197" s="872"/>
      <c r="AD197" s="872"/>
      <c r="AE197" s="872"/>
      <c r="AF197" s="872"/>
      <c r="AG197" s="872"/>
      <c r="AH197" s="872"/>
      <c r="AI197" s="872"/>
      <c r="AJ197" s="872"/>
      <c r="AK197" s="872">
        <f>G197</f>
        <v>5460</v>
      </c>
      <c r="AL197" s="872"/>
      <c r="AM197" s="872"/>
      <c r="AN197" s="872"/>
      <c r="AO197" s="242">
        <v>2.657</v>
      </c>
      <c r="AP197" s="32">
        <f t="shared" si="8"/>
        <v>14507.22</v>
      </c>
      <c r="AQ197" s="32">
        <f t="shared" si="7"/>
        <v>112430.96</v>
      </c>
    </row>
    <row r="198" s="863" customFormat="1" customHeight="1" spans="1:43">
      <c r="A198" s="504">
        <v>46164</v>
      </c>
      <c r="B198" s="230" t="s">
        <v>236</v>
      </c>
      <c r="C198" s="505"/>
      <c r="D198" s="505" t="s">
        <v>312</v>
      </c>
      <c r="E198" s="506">
        <v>5226146</v>
      </c>
      <c r="F198" s="232" t="s">
        <v>313</v>
      </c>
      <c r="G198" s="233">
        <v>12</v>
      </c>
      <c r="H198" s="229">
        <v>46212</v>
      </c>
      <c r="I198" s="872"/>
      <c r="J198" s="872"/>
      <c r="K198" s="872"/>
      <c r="L198" s="872"/>
      <c r="M198" s="872"/>
      <c r="N198" s="872"/>
      <c r="O198" s="872"/>
      <c r="P198" s="872"/>
      <c r="Q198" s="872"/>
      <c r="R198" s="872"/>
      <c r="S198" s="872"/>
      <c r="T198" s="872"/>
      <c r="U198" s="872"/>
      <c r="V198" s="872"/>
      <c r="W198" s="872"/>
      <c r="X198" s="872"/>
      <c r="Y198" s="872"/>
      <c r="Z198" s="872"/>
      <c r="AA198" s="872"/>
      <c r="AB198" s="872"/>
      <c r="AC198" s="872"/>
      <c r="AD198" s="872"/>
      <c r="AE198" s="872"/>
      <c r="AF198" s="872"/>
      <c r="AG198" s="872"/>
      <c r="AH198" s="872"/>
      <c r="AI198" s="872"/>
      <c r="AJ198" s="872"/>
      <c r="AK198" s="872">
        <f>G198</f>
        <v>12</v>
      </c>
      <c r="AL198" s="872"/>
      <c r="AM198" s="872"/>
      <c r="AN198" s="872"/>
      <c r="AO198" s="242">
        <v>0</v>
      </c>
      <c r="AP198" s="32">
        <f t="shared" si="8"/>
        <v>0</v>
      </c>
      <c r="AQ198" s="32">
        <f t="shared" si="7"/>
        <v>0</v>
      </c>
    </row>
    <row r="199" s="863" customFormat="1" customHeight="1" spans="1:43">
      <c r="A199" s="504">
        <v>46164</v>
      </c>
      <c r="B199" s="230" t="s">
        <v>314</v>
      </c>
      <c r="C199" s="505"/>
      <c r="D199" s="505" t="s">
        <v>315</v>
      </c>
      <c r="E199" s="524" t="s">
        <v>41</v>
      </c>
      <c r="F199" s="232" t="s">
        <v>316</v>
      </c>
      <c r="G199" s="233">
        <v>7002</v>
      </c>
      <c r="H199" s="229">
        <v>46244</v>
      </c>
      <c r="I199" s="872"/>
      <c r="J199" s="872"/>
      <c r="K199" s="872"/>
      <c r="L199" s="872">
        <f>G199</f>
        <v>7002</v>
      </c>
      <c r="M199" s="872"/>
      <c r="N199" s="872"/>
      <c r="O199" s="872"/>
      <c r="P199" s="872"/>
      <c r="Q199" s="872"/>
      <c r="R199" s="872"/>
      <c r="S199" s="872"/>
      <c r="T199" s="872"/>
      <c r="U199" s="872"/>
      <c r="V199" s="872"/>
      <c r="W199" s="872"/>
      <c r="X199" s="872"/>
      <c r="Y199" s="872"/>
      <c r="Z199" s="872"/>
      <c r="AA199" s="872"/>
      <c r="AB199" s="872"/>
      <c r="AC199" s="872"/>
      <c r="AD199" s="872"/>
      <c r="AE199" s="872"/>
      <c r="AF199" s="872"/>
      <c r="AG199" s="872"/>
      <c r="AH199" s="872"/>
      <c r="AI199" s="872"/>
      <c r="AJ199" s="872"/>
      <c r="AK199" s="872"/>
      <c r="AL199" s="872"/>
      <c r="AM199" s="872"/>
      <c r="AN199" s="872"/>
      <c r="AO199" s="242">
        <v>4.335</v>
      </c>
      <c r="AP199" s="32">
        <f t="shared" si="8"/>
        <v>30353.67</v>
      </c>
      <c r="AQ199" s="32">
        <f t="shared" si="7"/>
        <v>235240.94</v>
      </c>
    </row>
    <row r="200" s="863" customFormat="1" customHeight="1" spans="1:43">
      <c r="A200" s="504">
        <v>46169</v>
      </c>
      <c r="B200" s="230" t="s">
        <v>105</v>
      </c>
      <c r="C200" s="505"/>
      <c r="D200" s="505" t="s">
        <v>317</v>
      </c>
      <c r="E200" s="506">
        <v>3226159</v>
      </c>
      <c r="F200" s="232" t="s">
        <v>318</v>
      </c>
      <c r="G200" s="233">
        <v>5004</v>
      </c>
      <c r="H200" s="407" t="s">
        <v>319</v>
      </c>
      <c r="I200" s="872"/>
      <c r="J200" s="872"/>
      <c r="K200" s="872"/>
      <c r="L200" s="872"/>
      <c r="M200" s="872"/>
      <c r="N200" s="872"/>
      <c r="O200" s="872"/>
      <c r="P200" s="872"/>
      <c r="Q200" s="872"/>
      <c r="R200" s="872"/>
      <c r="S200" s="872"/>
      <c r="T200" s="872"/>
      <c r="U200" s="872"/>
      <c r="V200" s="872">
        <f>G200</f>
        <v>5004</v>
      </c>
      <c r="W200" s="872"/>
      <c r="X200" s="872"/>
      <c r="Y200" s="872"/>
      <c r="Z200" s="872"/>
      <c r="AA200" s="872"/>
      <c r="AB200" s="872"/>
      <c r="AC200" s="872"/>
      <c r="AD200" s="872"/>
      <c r="AE200" s="872"/>
      <c r="AF200" s="872"/>
      <c r="AG200" s="872"/>
      <c r="AH200" s="872"/>
      <c r="AI200" s="872"/>
      <c r="AJ200" s="872"/>
      <c r="AK200" s="872"/>
      <c r="AL200" s="872"/>
      <c r="AM200" s="872"/>
      <c r="AN200" s="872"/>
      <c r="AO200" s="242">
        <v>3.651</v>
      </c>
      <c r="AP200" s="32">
        <f t="shared" si="8"/>
        <v>18269.6</v>
      </c>
      <c r="AQ200" s="32">
        <f t="shared" si="7"/>
        <v>141589.4</v>
      </c>
    </row>
    <row r="201" s="863" customFormat="1" customHeight="1" spans="1:43">
      <c r="A201" s="504">
        <v>46169</v>
      </c>
      <c r="B201" s="230" t="s">
        <v>105</v>
      </c>
      <c r="C201" s="505"/>
      <c r="D201" s="505" t="s">
        <v>317</v>
      </c>
      <c r="E201" s="506">
        <v>3226159</v>
      </c>
      <c r="F201" s="232" t="s">
        <v>318</v>
      </c>
      <c r="G201" s="233">
        <v>12</v>
      </c>
      <c r="H201" s="407" t="s">
        <v>319</v>
      </c>
      <c r="I201" s="872"/>
      <c r="J201" s="872"/>
      <c r="K201" s="872"/>
      <c r="L201" s="872"/>
      <c r="M201" s="872"/>
      <c r="N201" s="872"/>
      <c r="O201" s="872"/>
      <c r="P201" s="872"/>
      <c r="Q201" s="872"/>
      <c r="R201" s="872"/>
      <c r="S201" s="872"/>
      <c r="T201" s="872"/>
      <c r="U201" s="872"/>
      <c r="V201" s="872">
        <f>G201</f>
        <v>12</v>
      </c>
      <c r="W201" s="872"/>
      <c r="X201" s="872"/>
      <c r="Y201" s="872"/>
      <c r="Z201" s="872"/>
      <c r="AA201" s="872"/>
      <c r="AB201" s="872"/>
      <c r="AC201" s="872"/>
      <c r="AD201" s="872"/>
      <c r="AE201" s="872"/>
      <c r="AF201" s="872"/>
      <c r="AG201" s="872"/>
      <c r="AH201" s="872"/>
      <c r="AI201" s="872"/>
      <c r="AJ201" s="872"/>
      <c r="AK201" s="872"/>
      <c r="AL201" s="872"/>
      <c r="AM201" s="872"/>
      <c r="AN201" s="872"/>
      <c r="AO201" s="242">
        <v>0</v>
      </c>
      <c r="AP201" s="32">
        <f t="shared" si="8"/>
        <v>0</v>
      </c>
      <c r="AQ201" s="32">
        <f t="shared" si="7"/>
        <v>0</v>
      </c>
    </row>
    <row r="202" s="863" customFormat="1" customHeight="1" spans="1:43">
      <c r="A202" s="504">
        <v>46169</v>
      </c>
      <c r="B202" s="230" t="s">
        <v>105</v>
      </c>
      <c r="C202" s="505"/>
      <c r="D202" s="505" t="s">
        <v>317</v>
      </c>
      <c r="E202" s="506">
        <v>3226164</v>
      </c>
      <c r="F202" s="525" t="s">
        <v>320</v>
      </c>
      <c r="G202" s="233">
        <v>3000</v>
      </c>
      <c r="H202" s="407" t="s">
        <v>319</v>
      </c>
      <c r="I202" s="872"/>
      <c r="J202" s="872"/>
      <c r="K202" s="872"/>
      <c r="L202" s="872"/>
      <c r="M202" s="872"/>
      <c r="N202" s="872"/>
      <c r="O202" s="872"/>
      <c r="P202" s="872"/>
      <c r="Q202" s="872"/>
      <c r="R202" s="872"/>
      <c r="S202" s="872"/>
      <c r="T202" s="872"/>
      <c r="U202" s="872"/>
      <c r="V202" s="872"/>
      <c r="W202" s="872"/>
      <c r="X202" s="872"/>
      <c r="Y202" s="872"/>
      <c r="Z202" s="872"/>
      <c r="AA202" s="872"/>
      <c r="AB202" s="872"/>
      <c r="AC202" s="872"/>
      <c r="AD202" s="872"/>
      <c r="AE202" s="872"/>
      <c r="AF202" s="872"/>
      <c r="AG202" s="872"/>
      <c r="AH202" s="872"/>
      <c r="AI202" s="872"/>
      <c r="AJ202" s="872"/>
      <c r="AK202" s="872"/>
      <c r="AL202" s="872"/>
      <c r="AM202" s="872">
        <f>G202</f>
        <v>3000</v>
      </c>
      <c r="AN202" s="872"/>
      <c r="AO202" s="896">
        <v>2.683</v>
      </c>
      <c r="AP202" s="32">
        <f t="shared" si="8"/>
        <v>8049</v>
      </c>
      <c r="AQ202" s="32">
        <f t="shared" si="7"/>
        <v>62379.75</v>
      </c>
    </row>
    <row r="203" s="863" customFormat="1" customHeight="1" spans="1:43">
      <c r="A203" s="504">
        <v>46169</v>
      </c>
      <c r="B203" s="230" t="s">
        <v>105</v>
      </c>
      <c r="C203" s="505"/>
      <c r="D203" s="505" t="s">
        <v>317</v>
      </c>
      <c r="E203" s="506">
        <v>3226164</v>
      </c>
      <c r="F203" s="525" t="s">
        <v>320</v>
      </c>
      <c r="G203" s="233">
        <v>12</v>
      </c>
      <c r="H203" s="407" t="s">
        <v>319</v>
      </c>
      <c r="I203" s="872"/>
      <c r="J203" s="872"/>
      <c r="K203" s="872"/>
      <c r="L203" s="872"/>
      <c r="M203" s="872"/>
      <c r="N203" s="872"/>
      <c r="O203" s="872"/>
      <c r="P203" s="872"/>
      <c r="Q203" s="872"/>
      <c r="R203" s="872"/>
      <c r="S203" s="872"/>
      <c r="T203" s="872"/>
      <c r="U203" s="872"/>
      <c r="V203" s="872"/>
      <c r="W203" s="872"/>
      <c r="X203" s="872"/>
      <c r="Y203" s="872"/>
      <c r="Z203" s="872"/>
      <c r="AA203" s="872"/>
      <c r="AB203" s="872"/>
      <c r="AC203" s="872"/>
      <c r="AD203" s="872"/>
      <c r="AE203" s="872"/>
      <c r="AF203" s="872"/>
      <c r="AG203" s="872"/>
      <c r="AH203" s="872"/>
      <c r="AI203" s="872"/>
      <c r="AJ203" s="872"/>
      <c r="AK203" s="872"/>
      <c r="AL203" s="872"/>
      <c r="AM203" s="872">
        <f>G203</f>
        <v>12</v>
      </c>
      <c r="AN203" s="872"/>
      <c r="AO203" s="242">
        <v>0</v>
      </c>
      <c r="AP203" s="32">
        <f t="shared" si="8"/>
        <v>0</v>
      </c>
      <c r="AQ203" s="32">
        <f t="shared" si="7"/>
        <v>0</v>
      </c>
    </row>
    <row r="204" s="863" customFormat="1" customHeight="1" spans="1:43">
      <c r="A204" s="504">
        <v>46169</v>
      </c>
      <c r="B204" s="230" t="s">
        <v>105</v>
      </c>
      <c r="C204" s="505"/>
      <c r="D204" s="505" t="s">
        <v>317</v>
      </c>
      <c r="E204" s="506">
        <v>3226169</v>
      </c>
      <c r="F204" s="232" t="s">
        <v>321</v>
      </c>
      <c r="G204" s="233">
        <v>5004</v>
      </c>
      <c r="H204" s="407" t="s">
        <v>319</v>
      </c>
      <c r="I204" s="872"/>
      <c r="J204" s="872"/>
      <c r="K204" s="872"/>
      <c r="L204" s="872"/>
      <c r="M204" s="872"/>
      <c r="N204" s="872"/>
      <c r="O204" s="872"/>
      <c r="P204" s="872"/>
      <c r="Q204" s="872"/>
      <c r="R204" s="872"/>
      <c r="S204" s="872"/>
      <c r="T204" s="872"/>
      <c r="U204" s="872"/>
      <c r="V204" s="872"/>
      <c r="W204" s="872"/>
      <c r="X204" s="872"/>
      <c r="Y204" s="872"/>
      <c r="Z204" s="872"/>
      <c r="AA204" s="872"/>
      <c r="AB204" s="872"/>
      <c r="AC204" s="872"/>
      <c r="AD204" s="872"/>
      <c r="AE204" s="872"/>
      <c r="AF204" s="872"/>
      <c r="AG204" s="872"/>
      <c r="AH204" s="872"/>
      <c r="AI204" s="872"/>
      <c r="AJ204" s="872"/>
      <c r="AK204" s="872"/>
      <c r="AL204" s="872">
        <f>G204</f>
        <v>5004</v>
      </c>
      <c r="AM204" s="872"/>
      <c r="AN204" s="872"/>
      <c r="AO204" s="242">
        <v>2.573</v>
      </c>
      <c r="AP204" s="32">
        <f t="shared" si="8"/>
        <v>12875.29</v>
      </c>
      <c r="AQ204" s="32">
        <f t="shared" si="7"/>
        <v>99783.5</v>
      </c>
    </row>
    <row r="205" s="863" customFormat="1" customHeight="1" spans="1:43">
      <c r="A205" s="504">
        <v>46169</v>
      </c>
      <c r="B205" s="230" t="s">
        <v>105</v>
      </c>
      <c r="C205" s="505"/>
      <c r="D205" s="505" t="s">
        <v>317</v>
      </c>
      <c r="E205" s="506">
        <v>3226169</v>
      </c>
      <c r="F205" s="232" t="s">
        <v>321</v>
      </c>
      <c r="G205" s="233">
        <v>12</v>
      </c>
      <c r="H205" s="407" t="s">
        <v>319</v>
      </c>
      <c r="I205" s="872"/>
      <c r="J205" s="872"/>
      <c r="K205" s="872"/>
      <c r="L205" s="872"/>
      <c r="M205" s="872"/>
      <c r="N205" s="872"/>
      <c r="O205" s="872"/>
      <c r="P205" s="872"/>
      <c r="Q205" s="872"/>
      <c r="R205" s="872"/>
      <c r="S205" s="872"/>
      <c r="T205" s="872"/>
      <c r="U205" s="872"/>
      <c r="V205" s="872"/>
      <c r="W205" s="872"/>
      <c r="X205" s="872"/>
      <c r="Y205" s="872"/>
      <c r="Z205" s="872"/>
      <c r="AA205" s="872"/>
      <c r="AB205" s="872"/>
      <c r="AC205" s="872"/>
      <c r="AD205" s="872"/>
      <c r="AE205" s="872"/>
      <c r="AF205" s="872"/>
      <c r="AG205" s="872"/>
      <c r="AH205" s="872"/>
      <c r="AI205" s="872"/>
      <c r="AJ205" s="872"/>
      <c r="AK205" s="872"/>
      <c r="AL205" s="872">
        <f>G205</f>
        <v>12</v>
      </c>
      <c r="AM205" s="872"/>
      <c r="AN205" s="872"/>
      <c r="AO205" s="242">
        <v>0</v>
      </c>
      <c r="AP205" s="32">
        <f t="shared" si="8"/>
        <v>0</v>
      </c>
      <c r="AQ205" s="32">
        <f t="shared" si="7"/>
        <v>0</v>
      </c>
    </row>
    <row r="206" s="860" customFormat="1" customHeight="1" spans="1:43">
      <c r="A206" s="354">
        <v>46169</v>
      </c>
      <c r="B206" s="301" t="s">
        <v>152</v>
      </c>
      <c r="C206" s="301"/>
      <c r="D206" s="301" t="s">
        <v>322</v>
      </c>
      <c r="E206" s="304">
        <v>1226146</v>
      </c>
      <c r="F206" s="283" t="s">
        <v>154</v>
      </c>
      <c r="G206" s="303">
        <v>5760</v>
      </c>
      <c r="H206" s="897">
        <v>46197</v>
      </c>
      <c r="I206" s="883"/>
      <c r="J206" s="883"/>
      <c r="K206" s="883"/>
      <c r="L206" s="883"/>
      <c r="M206" s="883"/>
      <c r="N206" s="883"/>
      <c r="O206" s="883"/>
      <c r="P206" s="883"/>
      <c r="Q206" s="883"/>
      <c r="R206" s="883"/>
      <c r="S206" s="883"/>
      <c r="T206" s="883"/>
      <c r="U206" s="883"/>
      <c r="V206" s="883"/>
      <c r="W206" s="883"/>
      <c r="X206" s="883"/>
      <c r="Y206" s="883"/>
      <c r="Z206" s="883"/>
      <c r="AA206" s="883"/>
      <c r="AB206" s="883"/>
      <c r="AC206" s="883"/>
      <c r="AD206" s="883"/>
      <c r="AE206" s="883"/>
      <c r="AF206" s="883"/>
      <c r="AG206" s="883"/>
      <c r="AH206" s="883"/>
      <c r="AI206" s="883"/>
      <c r="AJ206" s="883"/>
      <c r="AK206" s="883">
        <f>G206</f>
        <v>5760</v>
      </c>
      <c r="AL206" s="883"/>
      <c r="AM206" s="883"/>
      <c r="AN206" s="883"/>
      <c r="AO206" s="312">
        <v>2.57</v>
      </c>
      <c r="AP206" s="884">
        <f t="shared" si="8"/>
        <v>14803.2</v>
      </c>
      <c r="AQ206" s="884">
        <f t="shared" si="7"/>
        <v>114724.8</v>
      </c>
    </row>
    <row r="207" s="863" customFormat="1" customHeight="1" spans="1:43">
      <c r="A207" s="504">
        <v>46185</v>
      </c>
      <c r="B207" s="230" t="s">
        <v>91</v>
      </c>
      <c r="C207" s="505"/>
      <c r="D207" s="505" t="s">
        <v>323</v>
      </c>
      <c r="E207" s="506">
        <v>14441</v>
      </c>
      <c r="F207" s="232" t="s">
        <v>48</v>
      </c>
      <c r="G207" s="233">
        <v>4380</v>
      </c>
      <c r="H207" s="407">
        <v>46244</v>
      </c>
      <c r="I207" s="872"/>
      <c r="J207" s="872"/>
      <c r="K207" s="872"/>
      <c r="L207" s="872"/>
      <c r="M207" s="872"/>
      <c r="N207" s="872"/>
      <c r="O207" s="872"/>
      <c r="P207" s="872"/>
      <c r="Q207" s="872">
        <v>4380</v>
      </c>
      <c r="R207" s="872"/>
      <c r="S207" s="872"/>
      <c r="T207" s="872"/>
      <c r="U207" s="872"/>
      <c r="V207" s="872"/>
      <c r="W207" s="872"/>
      <c r="X207" s="872"/>
      <c r="Y207" s="872"/>
      <c r="Z207" s="872"/>
      <c r="AA207" s="872"/>
      <c r="AB207" s="872"/>
      <c r="AC207" s="872"/>
      <c r="AD207" s="872"/>
      <c r="AE207" s="872"/>
      <c r="AF207" s="872"/>
      <c r="AG207" s="872"/>
      <c r="AH207" s="872"/>
      <c r="AI207" s="872"/>
      <c r="AJ207" s="872"/>
      <c r="AK207" s="872"/>
      <c r="AL207" s="872"/>
      <c r="AM207" s="872"/>
      <c r="AN207" s="872"/>
      <c r="AO207" s="895">
        <v>3.374</v>
      </c>
      <c r="AP207" s="32">
        <f t="shared" si="8"/>
        <v>14778.12</v>
      </c>
      <c r="AQ207" s="32">
        <f t="shared" si="7"/>
        <v>114530.43</v>
      </c>
    </row>
    <row r="208" s="863" customFormat="1" customHeight="1" spans="1:43">
      <c r="A208" s="504">
        <v>46189</v>
      </c>
      <c r="B208" s="419" t="s">
        <v>109</v>
      </c>
      <c r="C208" s="505"/>
      <c r="D208" s="480" t="s">
        <v>324</v>
      </c>
      <c r="E208" s="481" t="s">
        <v>27</v>
      </c>
      <c r="F208" s="525" t="s">
        <v>325</v>
      </c>
      <c r="G208" s="233">
        <v>1758</v>
      </c>
      <c r="H208" s="407">
        <v>46244</v>
      </c>
      <c r="I208" s="872"/>
      <c r="J208" s="872"/>
      <c r="K208" s="872"/>
      <c r="L208" s="872"/>
      <c r="M208" s="872"/>
      <c r="N208" s="872"/>
      <c r="O208" s="872"/>
      <c r="P208" s="872"/>
      <c r="Q208" s="872"/>
      <c r="R208" s="872"/>
      <c r="S208" s="872"/>
      <c r="T208" s="872"/>
      <c r="U208" s="872"/>
      <c r="V208" s="872"/>
      <c r="W208" s="872"/>
      <c r="X208" s="872"/>
      <c r="Y208" s="872"/>
      <c r="Z208" s="872"/>
      <c r="AA208" s="872">
        <f>G208</f>
        <v>1758</v>
      </c>
      <c r="AB208" s="872"/>
      <c r="AC208" s="872"/>
      <c r="AD208" s="872"/>
      <c r="AE208" s="872"/>
      <c r="AF208" s="872"/>
      <c r="AG208" s="872"/>
      <c r="AH208" s="872"/>
      <c r="AI208" s="872"/>
      <c r="AJ208" s="872"/>
      <c r="AK208" s="872"/>
      <c r="AL208" s="872"/>
      <c r="AM208" s="872"/>
      <c r="AN208" s="872"/>
      <c r="AO208" s="242">
        <v>2.122</v>
      </c>
      <c r="AP208" s="32">
        <f t="shared" si="8"/>
        <v>3730.48</v>
      </c>
      <c r="AQ208" s="32">
        <f t="shared" si="7"/>
        <v>28911.22</v>
      </c>
    </row>
    <row r="209" s="863" customFormat="1" customHeight="1" spans="1:43">
      <c r="A209" s="504">
        <v>46189</v>
      </c>
      <c r="B209" s="419" t="s">
        <v>109</v>
      </c>
      <c r="C209" s="505"/>
      <c r="D209" s="480" t="s">
        <v>324</v>
      </c>
      <c r="E209" s="481" t="s">
        <v>27</v>
      </c>
      <c r="F209" s="525" t="s">
        <v>325</v>
      </c>
      <c r="G209" s="233">
        <v>6</v>
      </c>
      <c r="H209" s="407">
        <v>46244</v>
      </c>
      <c r="I209" s="872"/>
      <c r="J209" s="872"/>
      <c r="K209" s="872"/>
      <c r="L209" s="872"/>
      <c r="M209" s="872"/>
      <c r="N209" s="872"/>
      <c r="O209" s="872"/>
      <c r="P209" s="872"/>
      <c r="Q209" s="872"/>
      <c r="R209" s="872"/>
      <c r="S209" s="872"/>
      <c r="T209" s="872"/>
      <c r="U209" s="872"/>
      <c r="V209" s="872"/>
      <c r="W209" s="872"/>
      <c r="X209" s="872"/>
      <c r="Y209" s="872"/>
      <c r="Z209" s="872"/>
      <c r="AA209" s="872">
        <f>G209</f>
        <v>6</v>
      </c>
      <c r="AB209" s="872"/>
      <c r="AC209" s="872"/>
      <c r="AD209" s="872"/>
      <c r="AE209" s="872"/>
      <c r="AF209" s="872"/>
      <c r="AG209" s="872"/>
      <c r="AH209" s="872"/>
      <c r="AI209" s="872"/>
      <c r="AJ209" s="872"/>
      <c r="AK209" s="872"/>
      <c r="AL209" s="872"/>
      <c r="AM209" s="872"/>
      <c r="AN209" s="872"/>
      <c r="AO209" s="242">
        <v>0</v>
      </c>
      <c r="AP209" s="32">
        <f t="shared" si="8"/>
        <v>0</v>
      </c>
      <c r="AQ209" s="32">
        <f t="shared" si="7"/>
        <v>0</v>
      </c>
    </row>
    <row r="210" s="863" customFormat="1" customHeight="1" spans="1:43">
      <c r="A210" s="504">
        <v>46189</v>
      </c>
      <c r="B210" s="419" t="s">
        <v>109</v>
      </c>
      <c r="C210" s="505"/>
      <c r="D210" s="480" t="s">
        <v>324</v>
      </c>
      <c r="E210" s="481" t="s">
        <v>28</v>
      </c>
      <c r="F210" s="525" t="s">
        <v>326</v>
      </c>
      <c r="G210" s="233">
        <v>1650</v>
      </c>
      <c r="H210" s="407">
        <v>46244</v>
      </c>
      <c r="I210" s="872"/>
      <c r="J210" s="872"/>
      <c r="K210" s="872"/>
      <c r="L210" s="872"/>
      <c r="M210" s="872"/>
      <c r="N210" s="872"/>
      <c r="O210" s="872"/>
      <c r="P210" s="872"/>
      <c r="Q210" s="872"/>
      <c r="R210" s="872"/>
      <c r="S210" s="872"/>
      <c r="T210" s="872"/>
      <c r="U210" s="872"/>
      <c r="V210" s="872"/>
      <c r="W210" s="872"/>
      <c r="X210" s="872"/>
      <c r="Y210" s="872"/>
      <c r="Z210" s="872"/>
      <c r="AA210" s="872"/>
      <c r="AB210" s="872">
        <f>G210</f>
        <v>1650</v>
      </c>
      <c r="AC210" s="872"/>
      <c r="AD210" s="872"/>
      <c r="AE210" s="872"/>
      <c r="AF210" s="872"/>
      <c r="AG210" s="872"/>
      <c r="AH210" s="872"/>
      <c r="AI210" s="872"/>
      <c r="AJ210" s="872"/>
      <c r="AK210" s="872"/>
      <c r="AL210" s="872"/>
      <c r="AM210" s="872"/>
      <c r="AN210" s="872"/>
      <c r="AO210" s="242">
        <v>2.163</v>
      </c>
      <c r="AP210" s="32">
        <f t="shared" si="8"/>
        <v>3568.95</v>
      </c>
      <c r="AQ210" s="32">
        <f t="shared" si="7"/>
        <v>27659.36</v>
      </c>
    </row>
    <row r="211" s="863" customFormat="1" customHeight="1" spans="1:43">
      <c r="A211" s="504">
        <v>46189</v>
      </c>
      <c r="B211" s="419" t="s">
        <v>109</v>
      </c>
      <c r="C211" s="505"/>
      <c r="D211" s="480" t="s">
        <v>324</v>
      </c>
      <c r="E211" s="481" t="s">
        <v>28</v>
      </c>
      <c r="F211" s="525" t="s">
        <v>326</v>
      </c>
      <c r="G211" s="233">
        <v>6</v>
      </c>
      <c r="H211" s="407">
        <v>46244</v>
      </c>
      <c r="I211" s="872"/>
      <c r="J211" s="872"/>
      <c r="K211" s="872"/>
      <c r="L211" s="872"/>
      <c r="M211" s="872"/>
      <c r="N211" s="872"/>
      <c r="O211" s="872"/>
      <c r="P211" s="872"/>
      <c r="Q211" s="872"/>
      <c r="R211" s="872"/>
      <c r="S211" s="872"/>
      <c r="T211" s="872"/>
      <c r="U211" s="872"/>
      <c r="V211" s="872"/>
      <c r="W211" s="872"/>
      <c r="X211" s="872"/>
      <c r="Y211" s="872"/>
      <c r="Z211" s="872"/>
      <c r="AA211" s="872"/>
      <c r="AB211" s="872">
        <f>G211</f>
        <v>6</v>
      </c>
      <c r="AC211" s="872"/>
      <c r="AD211" s="872"/>
      <c r="AE211" s="872"/>
      <c r="AF211" s="872"/>
      <c r="AG211" s="872"/>
      <c r="AH211" s="872"/>
      <c r="AI211" s="872"/>
      <c r="AJ211" s="872"/>
      <c r="AK211" s="872"/>
      <c r="AL211" s="872"/>
      <c r="AM211" s="872"/>
      <c r="AN211" s="872"/>
      <c r="AO211" s="242">
        <v>0</v>
      </c>
      <c r="AP211" s="32">
        <f t="shared" si="8"/>
        <v>0</v>
      </c>
      <c r="AQ211" s="32">
        <f t="shared" si="7"/>
        <v>0</v>
      </c>
    </row>
    <row r="212" s="863" customFormat="1" customHeight="1" spans="1:43">
      <c r="A212" s="504">
        <v>46189</v>
      </c>
      <c r="B212" s="419" t="s">
        <v>109</v>
      </c>
      <c r="C212" s="505"/>
      <c r="D212" s="480" t="s">
        <v>324</v>
      </c>
      <c r="E212" s="481" t="s">
        <v>32</v>
      </c>
      <c r="F212" s="525" t="s">
        <v>33</v>
      </c>
      <c r="G212" s="233">
        <v>2202</v>
      </c>
      <c r="H212" s="407">
        <v>46244</v>
      </c>
      <c r="I212" s="872"/>
      <c r="J212" s="872"/>
      <c r="K212" s="872"/>
      <c r="L212" s="872"/>
      <c r="M212" s="872"/>
      <c r="N212" s="872"/>
      <c r="O212" s="872"/>
      <c r="P212" s="872"/>
      <c r="Q212" s="872"/>
      <c r="R212" s="872"/>
      <c r="S212" s="872"/>
      <c r="T212" s="872"/>
      <c r="U212" s="872"/>
      <c r="V212" s="872"/>
      <c r="W212" s="872"/>
      <c r="X212" s="872">
        <f>G212</f>
        <v>2202</v>
      </c>
      <c r="Y212" s="872"/>
      <c r="Z212" s="872"/>
      <c r="AA212" s="872"/>
      <c r="AB212" s="872"/>
      <c r="AC212" s="872"/>
      <c r="AD212" s="872"/>
      <c r="AE212" s="872"/>
      <c r="AF212" s="872"/>
      <c r="AG212" s="872"/>
      <c r="AH212" s="872"/>
      <c r="AI212" s="872"/>
      <c r="AJ212" s="872"/>
      <c r="AK212" s="872"/>
      <c r="AL212" s="872"/>
      <c r="AM212" s="872"/>
      <c r="AN212" s="872"/>
      <c r="AO212" s="242">
        <v>2.913</v>
      </c>
      <c r="AP212" s="32">
        <f t="shared" si="8"/>
        <v>6414.43</v>
      </c>
      <c r="AQ212" s="32">
        <f t="shared" si="7"/>
        <v>49711.83</v>
      </c>
    </row>
    <row r="213" s="863" customFormat="1" customHeight="1" spans="1:43">
      <c r="A213" s="504">
        <v>46189</v>
      </c>
      <c r="B213" s="419" t="s">
        <v>109</v>
      </c>
      <c r="C213" s="505"/>
      <c r="D213" s="480" t="s">
        <v>324</v>
      </c>
      <c r="E213" s="481" t="s">
        <v>32</v>
      </c>
      <c r="F213" s="525" t="s">
        <v>33</v>
      </c>
      <c r="G213" s="233">
        <v>6</v>
      </c>
      <c r="H213" s="407">
        <v>46244</v>
      </c>
      <c r="I213" s="872"/>
      <c r="J213" s="872"/>
      <c r="K213" s="872"/>
      <c r="L213" s="872"/>
      <c r="M213" s="872"/>
      <c r="N213" s="872"/>
      <c r="O213" s="872"/>
      <c r="P213" s="872"/>
      <c r="Q213" s="872"/>
      <c r="R213" s="872"/>
      <c r="S213" s="872"/>
      <c r="T213" s="872"/>
      <c r="U213" s="872"/>
      <c r="V213" s="872"/>
      <c r="W213" s="872"/>
      <c r="X213" s="872">
        <f>G213</f>
        <v>6</v>
      </c>
      <c r="Y213" s="872"/>
      <c r="Z213" s="872"/>
      <c r="AA213" s="872"/>
      <c r="AB213" s="872"/>
      <c r="AC213" s="872"/>
      <c r="AD213" s="872"/>
      <c r="AE213" s="872"/>
      <c r="AF213" s="872"/>
      <c r="AG213" s="872"/>
      <c r="AH213" s="872"/>
      <c r="AI213" s="872"/>
      <c r="AJ213" s="872"/>
      <c r="AK213" s="872"/>
      <c r="AL213" s="872"/>
      <c r="AM213" s="872"/>
      <c r="AN213" s="872"/>
      <c r="AO213" s="242">
        <v>0</v>
      </c>
      <c r="AP213" s="32">
        <f t="shared" si="8"/>
        <v>0</v>
      </c>
      <c r="AQ213" s="32">
        <f t="shared" ref="AQ213:AQ242" si="9">AP213*7.75</f>
        <v>0</v>
      </c>
    </row>
    <row r="214" s="863" customFormat="1" customHeight="1" spans="1:43">
      <c r="A214" s="504">
        <v>46189</v>
      </c>
      <c r="B214" s="419" t="s">
        <v>109</v>
      </c>
      <c r="C214" s="505"/>
      <c r="D214" s="480" t="s">
        <v>324</v>
      </c>
      <c r="E214" s="481" t="s">
        <v>34</v>
      </c>
      <c r="F214" s="525" t="s">
        <v>327</v>
      </c>
      <c r="G214" s="233">
        <v>600</v>
      </c>
      <c r="H214" s="407">
        <v>46244</v>
      </c>
      <c r="I214" s="872"/>
      <c r="J214" s="872"/>
      <c r="K214" s="872"/>
      <c r="L214" s="872"/>
      <c r="M214" s="872"/>
      <c r="N214" s="872"/>
      <c r="O214" s="872"/>
      <c r="P214" s="872"/>
      <c r="Q214" s="872"/>
      <c r="R214" s="872"/>
      <c r="S214" s="872"/>
      <c r="T214" s="872"/>
      <c r="U214" s="872"/>
      <c r="V214" s="872"/>
      <c r="W214" s="872"/>
      <c r="X214" s="872"/>
      <c r="Y214" s="872"/>
      <c r="Z214" s="872">
        <f>G214</f>
        <v>600</v>
      </c>
      <c r="AA214" s="872"/>
      <c r="AB214" s="872"/>
      <c r="AC214" s="872"/>
      <c r="AD214" s="872"/>
      <c r="AE214" s="872"/>
      <c r="AF214" s="872"/>
      <c r="AG214" s="872"/>
      <c r="AH214" s="872"/>
      <c r="AI214" s="872"/>
      <c r="AJ214" s="872"/>
      <c r="AK214" s="872"/>
      <c r="AL214" s="872"/>
      <c r="AM214" s="872"/>
      <c r="AN214" s="872"/>
      <c r="AO214" s="242">
        <v>2.272</v>
      </c>
      <c r="AP214" s="32">
        <f t="shared" si="8"/>
        <v>1363.2</v>
      </c>
      <c r="AQ214" s="32">
        <f t="shared" si="9"/>
        <v>10564.8</v>
      </c>
    </row>
    <row r="215" s="863" customFormat="1" customHeight="1" spans="1:43">
      <c r="A215" s="504">
        <v>46189</v>
      </c>
      <c r="B215" s="419" t="s">
        <v>109</v>
      </c>
      <c r="C215" s="505"/>
      <c r="D215" s="480" t="s">
        <v>324</v>
      </c>
      <c r="E215" s="481" t="s">
        <v>34</v>
      </c>
      <c r="F215" s="525" t="s">
        <v>327</v>
      </c>
      <c r="G215" s="233">
        <v>6</v>
      </c>
      <c r="H215" s="407">
        <v>46244</v>
      </c>
      <c r="I215" s="872"/>
      <c r="J215" s="872"/>
      <c r="K215" s="872"/>
      <c r="L215" s="872"/>
      <c r="M215" s="872"/>
      <c r="N215" s="872"/>
      <c r="O215" s="872"/>
      <c r="P215" s="872"/>
      <c r="Q215" s="872"/>
      <c r="R215" s="872"/>
      <c r="S215" s="872"/>
      <c r="T215" s="872"/>
      <c r="U215" s="872"/>
      <c r="V215" s="872"/>
      <c r="W215" s="872"/>
      <c r="X215" s="872"/>
      <c r="Y215" s="872"/>
      <c r="Z215" s="872">
        <f>G215</f>
        <v>6</v>
      </c>
      <c r="AA215" s="872"/>
      <c r="AB215" s="872"/>
      <c r="AC215" s="872"/>
      <c r="AD215" s="872"/>
      <c r="AE215" s="872"/>
      <c r="AF215" s="872"/>
      <c r="AG215" s="872"/>
      <c r="AH215" s="872"/>
      <c r="AI215" s="872"/>
      <c r="AJ215" s="872"/>
      <c r="AK215" s="872"/>
      <c r="AL215" s="872"/>
      <c r="AM215" s="872"/>
      <c r="AN215" s="872"/>
      <c r="AO215" s="242">
        <v>0</v>
      </c>
      <c r="AP215" s="32">
        <f t="shared" si="8"/>
        <v>0</v>
      </c>
      <c r="AQ215" s="32">
        <f t="shared" si="9"/>
        <v>0</v>
      </c>
    </row>
    <row r="216" s="863" customFormat="1" customHeight="1" spans="1:43">
      <c r="A216" s="504">
        <v>46189</v>
      </c>
      <c r="B216" s="419" t="s">
        <v>109</v>
      </c>
      <c r="C216" s="505"/>
      <c r="D216" s="480" t="s">
        <v>324</v>
      </c>
      <c r="E216" s="481" t="s">
        <v>34</v>
      </c>
      <c r="F216" s="525" t="s">
        <v>328</v>
      </c>
      <c r="G216" s="233">
        <v>1752</v>
      </c>
      <c r="H216" s="407">
        <v>46244</v>
      </c>
      <c r="I216" s="872"/>
      <c r="J216" s="872"/>
      <c r="K216" s="872"/>
      <c r="L216" s="872">
        <f>G216</f>
        <v>1752</v>
      </c>
      <c r="M216" s="872"/>
      <c r="N216" s="872"/>
      <c r="O216" s="872"/>
      <c r="P216" s="872"/>
      <c r="Q216" s="872"/>
      <c r="R216" s="872"/>
      <c r="S216" s="872"/>
      <c r="T216" s="872"/>
      <c r="U216" s="872"/>
      <c r="V216" s="872"/>
      <c r="W216" s="872"/>
      <c r="X216" s="872"/>
      <c r="Y216" s="872"/>
      <c r="Z216" s="872"/>
      <c r="AA216" s="872"/>
      <c r="AB216" s="872"/>
      <c r="AC216" s="872"/>
      <c r="AD216" s="872"/>
      <c r="AE216" s="872"/>
      <c r="AF216" s="872"/>
      <c r="AG216" s="872"/>
      <c r="AH216" s="872"/>
      <c r="AI216" s="872"/>
      <c r="AJ216" s="872"/>
      <c r="AK216" s="872"/>
      <c r="AL216" s="872"/>
      <c r="AM216" s="872"/>
      <c r="AN216" s="872"/>
      <c r="AO216" s="242">
        <v>4.62</v>
      </c>
      <c r="AP216" s="32">
        <f t="shared" si="8"/>
        <v>8094.24</v>
      </c>
      <c r="AQ216" s="32">
        <f t="shared" si="9"/>
        <v>62730.36</v>
      </c>
    </row>
    <row r="217" s="863" customFormat="1" customHeight="1" spans="1:43">
      <c r="A217" s="504">
        <v>46189</v>
      </c>
      <c r="B217" s="419" t="s">
        <v>109</v>
      </c>
      <c r="C217" s="505"/>
      <c r="D217" s="480" t="s">
        <v>324</v>
      </c>
      <c r="E217" s="481" t="s">
        <v>34</v>
      </c>
      <c r="F217" s="525" t="s">
        <v>328</v>
      </c>
      <c r="G217" s="233">
        <v>6</v>
      </c>
      <c r="H217" s="407">
        <v>46244</v>
      </c>
      <c r="I217" s="872"/>
      <c r="J217" s="872"/>
      <c r="K217" s="872"/>
      <c r="L217" s="872">
        <f>G217</f>
        <v>6</v>
      </c>
      <c r="M217" s="872"/>
      <c r="N217" s="872"/>
      <c r="O217" s="872"/>
      <c r="P217" s="872"/>
      <c r="Q217" s="872"/>
      <c r="R217" s="872"/>
      <c r="S217" s="872"/>
      <c r="T217" s="872"/>
      <c r="U217" s="872"/>
      <c r="V217" s="872"/>
      <c r="W217" s="872"/>
      <c r="X217" s="872"/>
      <c r="Y217" s="872"/>
      <c r="Z217" s="872"/>
      <c r="AA217" s="872"/>
      <c r="AB217" s="872"/>
      <c r="AC217" s="872"/>
      <c r="AD217" s="872"/>
      <c r="AE217" s="872"/>
      <c r="AF217" s="872"/>
      <c r="AG217" s="872"/>
      <c r="AH217" s="872"/>
      <c r="AI217" s="872"/>
      <c r="AJ217" s="872"/>
      <c r="AK217" s="872"/>
      <c r="AL217" s="872"/>
      <c r="AM217" s="872"/>
      <c r="AN217" s="872"/>
      <c r="AO217" s="242">
        <v>0</v>
      </c>
      <c r="AP217" s="32">
        <f t="shared" si="8"/>
        <v>0</v>
      </c>
      <c r="AQ217" s="32">
        <f t="shared" si="9"/>
        <v>0</v>
      </c>
    </row>
    <row r="218" s="863" customFormat="1" customHeight="1" spans="1:43">
      <c r="A218" s="504">
        <v>46189</v>
      </c>
      <c r="B218" s="419" t="s">
        <v>109</v>
      </c>
      <c r="C218" s="505"/>
      <c r="D218" s="480" t="s">
        <v>329</v>
      </c>
      <c r="E218" s="481" t="s">
        <v>27</v>
      </c>
      <c r="F218" s="525" t="s">
        <v>325</v>
      </c>
      <c r="G218" s="233">
        <v>1758</v>
      </c>
      <c r="H218" s="407">
        <v>46244</v>
      </c>
      <c r="I218" s="872"/>
      <c r="J218" s="872"/>
      <c r="K218" s="872"/>
      <c r="L218" s="872"/>
      <c r="M218" s="872"/>
      <c r="N218" s="872"/>
      <c r="O218" s="872"/>
      <c r="P218" s="872"/>
      <c r="Q218" s="872"/>
      <c r="R218" s="872"/>
      <c r="S218" s="872"/>
      <c r="T218" s="872"/>
      <c r="U218" s="872"/>
      <c r="V218" s="872"/>
      <c r="W218" s="872"/>
      <c r="X218" s="872"/>
      <c r="Y218" s="872"/>
      <c r="Z218" s="872"/>
      <c r="AA218" s="872">
        <f>G218</f>
        <v>1758</v>
      </c>
      <c r="AB218" s="872"/>
      <c r="AC218" s="872"/>
      <c r="AD218" s="872"/>
      <c r="AE218" s="872"/>
      <c r="AF218" s="872"/>
      <c r="AG218" s="872"/>
      <c r="AH218" s="872"/>
      <c r="AI218" s="872"/>
      <c r="AJ218" s="872"/>
      <c r="AK218" s="872"/>
      <c r="AL218" s="872"/>
      <c r="AM218" s="872"/>
      <c r="AN218" s="872"/>
      <c r="AO218" s="242">
        <v>2.122</v>
      </c>
      <c r="AP218" s="32">
        <f t="shared" si="8"/>
        <v>3730.48</v>
      </c>
      <c r="AQ218" s="32">
        <f t="shared" si="9"/>
        <v>28911.22</v>
      </c>
    </row>
    <row r="219" s="863" customFormat="1" customHeight="1" spans="1:43">
      <c r="A219" s="504">
        <v>46189</v>
      </c>
      <c r="B219" s="419" t="s">
        <v>109</v>
      </c>
      <c r="C219" s="505"/>
      <c r="D219" s="480" t="s">
        <v>329</v>
      </c>
      <c r="E219" s="481" t="s">
        <v>28</v>
      </c>
      <c r="F219" s="525" t="s">
        <v>326</v>
      </c>
      <c r="G219" s="233">
        <v>1650</v>
      </c>
      <c r="H219" s="407">
        <v>46244</v>
      </c>
      <c r="I219" s="872"/>
      <c r="J219" s="872"/>
      <c r="K219" s="872"/>
      <c r="L219" s="872"/>
      <c r="M219" s="872"/>
      <c r="N219" s="872"/>
      <c r="O219" s="872"/>
      <c r="P219" s="872"/>
      <c r="Q219" s="872"/>
      <c r="R219" s="872"/>
      <c r="S219" s="872"/>
      <c r="T219" s="872"/>
      <c r="U219" s="872"/>
      <c r="V219" s="872"/>
      <c r="W219" s="872"/>
      <c r="X219" s="872"/>
      <c r="Y219" s="872"/>
      <c r="Z219" s="872"/>
      <c r="AA219" s="872"/>
      <c r="AB219" s="872">
        <f>G219</f>
        <v>1650</v>
      </c>
      <c r="AC219" s="872"/>
      <c r="AD219" s="872"/>
      <c r="AE219" s="872"/>
      <c r="AF219" s="872"/>
      <c r="AG219" s="872"/>
      <c r="AH219" s="872"/>
      <c r="AI219" s="872"/>
      <c r="AJ219" s="872"/>
      <c r="AK219" s="872"/>
      <c r="AL219" s="872"/>
      <c r="AM219" s="872"/>
      <c r="AN219" s="872"/>
      <c r="AO219" s="242">
        <v>2.163</v>
      </c>
      <c r="AP219" s="32">
        <f t="shared" si="8"/>
        <v>3568.95</v>
      </c>
      <c r="AQ219" s="32">
        <f t="shared" si="9"/>
        <v>27659.36</v>
      </c>
    </row>
    <row r="220" s="863" customFormat="1" customHeight="1" spans="1:43">
      <c r="A220" s="504">
        <v>46189</v>
      </c>
      <c r="B220" s="419" t="s">
        <v>109</v>
      </c>
      <c r="C220" s="505"/>
      <c r="D220" s="480" t="s">
        <v>329</v>
      </c>
      <c r="E220" s="481" t="s">
        <v>32</v>
      </c>
      <c r="F220" s="525" t="s">
        <v>330</v>
      </c>
      <c r="G220" s="233">
        <v>2202</v>
      </c>
      <c r="H220" s="407">
        <v>46244</v>
      </c>
      <c r="I220" s="872"/>
      <c r="J220" s="872"/>
      <c r="K220" s="872"/>
      <c r="L220" s="872"/>
      <c r="M220" s="872"/>
      <c r="N220" s="872"/>
      <c r="O220" s="872"/>
      <c r="P220" s="872"/>
      <c r="Q220" s="872"/>
      <c r="R220" s="872"/>
      <c r="S220" s="872"/>
      <c r="T220" s="872"/>
      <c r="U220" s="872"/>
      <c r="V220" s="872"/>
      <c r="W220" s="872"/>
      <c r="X220" s="872">
        <f>G220</f>
        <v>2202</v>
      </c>
      <c r="Y220" s="872"/>
      <c r="Z220" s="872"/>
      <c r="AA220" s="872"/>
      <c r="AB220" s="872"/>
      <c r="AC220" s="872"/>
      <c r="AD220" s="872"/>
      <c r="AE220" s="872"/>
      <c r="AF220" s="872"/>
      <c r="AG220" s="872"/>
      <c r="AH220" s="872"/>
      <c r="AI220" s="872"/>
      <c r="AJ220" s="872"/>
      <c r="AK220" s="872"/>
      <c r="AL220" s="872"/>
      <c r="AM220" s="872"/>
      <c r="AN220" s="872"/>
      <c r="AO220" s="242">
        <v>2.913</v>
      </c>
      <c r="AP220" s="32">
        <f t="shared" si="8"/>
        <v>6414.43</v>
      </c>
      <c r="AQ220" s="32">
        <f t="shared" si="9"/>
        <v>49711.83</v>
      </c>
    </row>
    <row r="221" s="863" customFormat="1" customHeight="1" spans="1:43">
      <c r="A221" s="504">
        <v>46189</v>
      </c>
      <c r="B221" s="419" t="s">
        <v>109</v>
      </c>
      <c r="C221" s="505"/>
      <c r="D221" s="480" t="s">
        <v>329</v>
      </c>
      <c r="E221" s="481" t="s">
        <v>34</v>
      </c>
      <c r="F221" s="525" t="s">
        <v>331</v>
      </c>
      <c r="G221" s="233">
        <v>600</v>
      </c>
      <c r="H221" s="407">
        <v>46244</v>
      </c>
      <c r="I221" s="872"/>
      <c r="J221" s="872"/>
      <c r="K221" s="872"/>
      <c r="L221" s="872"/>
      <c r="M221" s="872"/>
      <c r="N221" s="872"/>
      <c r="O221" s="872"/>
      <c r="P221" s="872"/>
      <c r="Q221" s="872"/>
      <c r="R221" s="872"/>
      <c r="S221" s="872"/>
      <c r="T221" s="872"/>
      <c r="U221" s="872"/>
      <c r="V221" s="872"/>
      <c r="W221" s="872"/>
      <c r="X221" s="872"/>
      <c r="Y221" s="872"/>
      <c r="Z221" s="872">
        <f>G221</f>
        <v>600</v>
      </c>
      <c r="AA221" s="872"/>
      <c r="AB221" s="872"/>
      <c r="AC221" s="872"/>
      <c r="AD221" s="872"/>
      <c r="AE221" s="872"/>
      <c r="AF221" s="872"/>
      <c r="AG221" s="872"/>
      <c r="AH221" s="872"/>
      <c r="AI221" s="872"/>
      <c r="AJ221" s="872"/>
      <c r="AK221" s="872"/>
      <c r="AL221" s="872"/>
      <c r="AM221" s="872"/>
      <c r="AN221" s="872"/>
      <c r="AO221" s="242">
        <v>2.272</v>
      </c>
      <c r="AP221" s="32">
        <f t="shared" si="8"/>
        <v>1363.2</v>
      </c>
      <c r="AQ221" s="32">
        <f t="shared" si="9"/>
        <v>10564.8</v>
      </c>
    </row>
    <row r="222" s="863" customFormat="1" customHeight="1" spans="1:43">
      <c r="A222" s="504">
        <v>46189</v>
      </c>
      <c r="B222" s="419" t="s">
        <v>109</v>
      </c>
      <c r="C222" s="478"/>
      <c r="D222" s="480" t="s">
        <v>329</v>
      </c>
      <c r="E222" s="481" t="s">
        <v>332</v>
      </c>
      <c r="F222" s="525" t="s">
        <v>328</v>
      </c>
      <c r="G222" s="233">
        <v>1752</v>
      </c>
      <c r="H222" s="407">
        <v>46244</v>
      </c>
      <c r="I222" s="872"/>
      <c r="J222" s="872"/>
      <c r="K222" s="872"/>
      <c r="L222" s="872">
        <f>G222</f>
        <v>1752</v>
      </c>
      <c r="M222" s="872"/>
      <c r="N222" s="872"/>
      <c r="O222" s="872"/>
      <c r="P222" s="872"/>
      <c r="Q222" s="872"/>
      <c r="R222" s="872"/>
      <c r="S222" s="872"/>
      <c r="T222" s="872"/>
      <c r="U222" s="872"/>
      <c r="V222" s="872"/>
      <c r="W222" s="872"/>
      <c r="X222" s="872"/>
      <c r="Y222" s="872"/>
      <c r="Z222" s="872"/>
      <c r="AA222" s="872"/>
      <c r="AB222" s="872"/>
      <c r="AC222" s="872"/>
      <c r="AD222" s="872"/>
      <c r="AE222" s="872"/>
      <c r="AF222" s="872"/>
      <c r="AG222" s="872"/>
      <c r="AH222" s="872"/>
      <c r="AI222" s="872"/>
      <c r="AJ222" s="872"/>
      <c r="AK222" s="872"/>
      <c r="AL222" s="872"/>
      <c r="AM222" s="872"/>
      <c r="AN222" s="872"/>
      <c r="AO222" s="242">
        <v>4.62</v>
      </c>
      <c r="AP222" s="32">
        <f t="shared" si="8"/>
        <v>8094.24</v>
      </c>
      <c r="AQ222" s="32">
        <f t="shared" si="9"/>
        <v>62730.36</v>
      </c>
    </row>
    <row r="223" s="863" customFormat="1" customHeight="1" spans="1:43">
      <c r="A223" s="504">
        <v>46189</v>
      </c>
      <c r="B223" s="419" t="s">
        <v>109</v>
      </c>
      <c r="C223" s="478" t="s">
        <v>333</v>
      </c>
      <c r="D223" s="480" t="s">
        <v>334</v>
      </c>
      <c r="E223" s="481" t="s">
        <v>204</v>
      </c>
      <c r="F223" s="525" t="s">
        <v>205</v>
      </c>
      <c r="G223" s="233">
        <v>9000</v>
      </c>
      <c r="H223" s="229">
        <v>46295</v>
      </c>
      <c r="I223" s="872"/>
      <c r="J223" s="872"/>
      <c r="K223" s="872"/>
      <c r="L223" s="872"/>
      <c r="M223" s="872"/>
      <c r="N223" s="872"/>
      <c r="O223" s="872"/>
      <c r="P223" s="872"/>
      <c r="Q223" s="872"/>
      <c r="R223" s="872"/>
      <c r="S223" s="872"/>
      <c r="T223" s="872"/>
      <c r="U223" s="872"/>
      <c r="V223" s="872"/>
      <c r="W223" s="872"/>
      <c r="X223" s="872"/>
      <c r="Y223" s="872"/>
      <c r="Z223" s="872"/>
      <c r="AA223" s="872"/>
      <c r="AB223" s="872"/>
      <c r="AC223" s="872"/>
      <c r="AD223" s="872"/>
      <c r="AE223" s="872"/>
      <c r="AF223" s="872"/>
      <c r="AG223" s="872"/>
      <c r="AH223" s="872"/>
      <c r="AI223" s="872"/>
      <c r="AJ223" s="872"/>
      <c r="AK223" s="872"/>
      <c r="AL223" s="872">
        <f>G223</f>
        <v>9000</v>
      </c>
      <c r="AM223" s="872"/>
      <c r="AN223" s="872"/>
      <c r="AO223" s="242">
        <v>2.587</v>
      </c>
      <c r="AP223" s="32">
        <f t="shared" si="8"/>
        <v>23283</v>
      </c>
      <c r="AQ223" s="32">
        <f t="shared" si="9"/>
        <v>180443.25</v>
      </c>
    </row>
    <row r="224" s="863" customFormat="1" customHeight="1" spans="1:43">
      <c r="A224" s="504">
        <v>46195</v>
      </c>
      <c r="B224" s="419" t="s">
        <v>109</v>
      </c>
      <c r="C224" s="483"/>
      <c r="D224" s="480" t="s">
        <v>335</v>
      </c>
      <c r="E224" s="481" t="s">
        <v>198</v>
      </c>
      <c r="F224" s="525" t="s">
        <v>199</v>
      </c>
      <c r="G224" s="233">
        <v>13200</v>
      </c>
      <c r="H224" s="229">
        <v>46295</v>
      </c>
      <c r="I224" s="872"/>
      <c r="J224" s="872"/>
      <c r="K224" s="872"/>
      <c r="L224" s="872"/>
      <c r="M224" s="872"/>
      <c r="N224" s="872"/>
      <c r="O224" s="872"/>
      <c r="P224" s="872"/>
      <c r="Q224" s="872"/>
      <c r="R224" s="872"/>
      <c r="S224" s="872"/>
      <c r="T224" s="872"/>
      <c r="U224" s="872"/>
      <c r="V224" s="872"/>
      <c r="W224" s="872"/>
      <c r="X224" s="872"/>
      <c r="Y224" s="872"/>
      <c r="Z224" s="872"/>
      <c r="AA224" s="872"/>
      <c r="AB224" s="872"/>
      <c r="AC224" s="872"/>
      <c r="AD224" s="872"/>
      <c r="AE224" s="872"/>
      <c r="AF224" s="872"/>
      <c r="AG224" s="872"/>
      <c r="AH224" s="872"/>
      <c r="AI224" s="872"/>
      <c r="AJ224" s="872"/>
      <c r="AK224" s="872"/>
      <c r="AL224" s="872"/>
      <c r="AM224" s="872">
        <f>G224</f>
        <v>13200</v>
      </c>
      <c r="AN224" s="872"/>
      <c r="AO224" s="242">
        <v>2.697</v>
      </c>
      <c r="AP224" s="32">
        <f t="shared" si="8"/>
        <v>35600.4</v>
      </c>
      <c r="AQ224" s="32">
        <f t="shared" si="9"/>
        <v>275903.1</v>
      </c>
    </row>
    <row r="225" s="863" customFormat="1" customHeight="1" spans="1:43">
      <c r="A225" s="504">
        <v>46195</v>
      </c>
      <c r="B225" s="419" t="s">
        <v>109</v>
      </c>
      <c r="C225" s="483"/>
      <c r="D225" s="480" t="s">
        <v>336</v>
      </c>
      <c r="E225" s="481" t="s">
        <v>195</v>
      </c>
      <c r="F225" s="525" t="s">
        <v>196</v>
      </c>
      <c r="G225" s="507">
        <v>12360</v>
      </c>
      <c r="H225" s="229">
        <v>46295</v>
      </c>
      <c r="I225" s="872"/>
      <c r="J225" s="872"/>
      <c r="K225" s="872"/>
      <c r="L225" s="872"/>
      <c r="M225" s="872"/>
      <c r="N225" s="872"/>
      <c r="O225" s="872"/>
      <c r="P225" s="872"/>
      <c r="Q225" s="872"/>
      <c r="R225" s="872"/>
      <c r="S225" s="872"/>
      <c r="T225" s="872"/>
      <c r="U225" s="872"/>
      <c r="V225" s="872"/>
      <c r="W225" s="872">
        <f>G225</f>
        <v>12360</v>
      </c>
      <c r="X225" s="872"/>
      <c r="Y225" s="872"/>
      <c r="Z225" s="872"/>
      <c r="AA225" s="872"/>
      <c r="AB225" s="872"/>
      <c r="AC225" s="872"/>
      <c r="AD225" s="872"/>
      <c r="AE225" s="872"/>
      <c r="AF225" s="872"/>
      <c r="AG225" s="872"/>
      <c r="AH225" s="872"/>
      <c r="AI225" s="872"/>
      <c r="AJ225" s="872"/>
      <c r="AK225" s="872"/>
      <c r="AL225" s="872"/>
      <c r="AM225" s="872"/>
      <c r="AN225" s="872"/>
      <c r="AO225" s="895">
        <v>3.317</v>
      </c>
      <c r="AP225" s="32">
        <f t="shared" si="8"/>
        <v>40998.12</v>
      </c>
      <c r="AQ225" s="32">
        <f t="shared" si="9"/>
        <v>317735.43</v>
      </c>
    </row>
    <row r="226" s="863" customFormat="1" customHeight="1" spans="1:43">
      <c r="A226" s="504">
        <v>46195</v>
      </c>
      <c r="B226" s="419" t="s">
        <v>109</v>
      </c>
      <c r="C226" s="505"/>
      <c r="D226" s="480" t="s">
        <v>337</v>
      </c>
      <c r="E226" s="481" t="s">
        <v>195</v>
      </c>
      <c r="F226" s="525" t="s">
        <v>196</v>
      </c>
      <c r="G226" s="507">
        <v>2320</v>
      </c>
      <c r="H226" s="229">
        <v>46365</v>
      </c>
      <c r="I226" s="872"/>
      <c r="J226" s="872"/>
      <c r="K226" s="872"/>
      <c r="L226" s="872"/>
      <c r="M226" s="872"/>
      <c r="N226" s="872"/>
      <c r="O226" s="872"/>
      <c r="P226" s="872"/>
      <c r="Q226" s="872"/>
      <c r="R226" s="872"/>
      <c r="S226" s="872"/>
      <c r="T226" s="872"/>
      <c r="U226" s="872"/>
      <c r="V226" s="872"/>
      <c r="W226" s="872">
        <f>G226</f>
        <v>2320</v>
      </c>
      <c r="X226" s="872"/>
      <c r="Y226" s="872"/>
      <c r="Z226" s="872"/>
      <c r="AA226" s="872"/>
      <c r="AB226" s="872"/>
      <c r="AC226" s="872"/>
      <c r="AD226" s="872"/>
      <c r="AE226" s="872"/>
      <c r="AF226" s="872"/>
      <c r="AG226" s="872"/>
      <c r="AH226" s="872"/>
      <c r="AI226" s="872"/>
      <c r="AJ226" s="872"/>
      <c r="AK226" s="872"/>
      <c r="AL226" s="872"/>
      <c r="AM226" s="872"/>
      <c r="AN226" s="872"/>
      <c r="AO226" s="895">
        <v>3.317</v>
      </c>
      <c r="AP226" s="32">
        <f t="shared" si="8"/>
        <v>7695.44</v>
      </c>
      <c r="AQ226" s="32">
        <f t="shared" si="9"/>
        <v>59639.66</v>
      </c>
    </row>
    <row r="227" s="863" customFormat="1" customHeight="1" spans="1:43">
      <c r="A227" s="504">
        <v>46195</v>
      </c>
      <c r="B227" s="419" t="s">
        <v>218</v>
      </c>
      <c r="C227" s="505"/>
      <c r="D227" s="480" t="s">
        <v>338</v>
      </c>
      <c r="E227" s="481" t="s">
        <v>195</v>
      </c>
      <c r="F227" s="525" t="s">
        <v>196</v>
      </c>
      <c r="G227" s="233">
        <v>4980</v>
      </c>
      <c r="H227" s="229">
        <v>46295</v>
      </c>
      <c r="I227" s="872"/>
      <c r="J227" s="872"/>
      <c r="K227" s="872"/>
      <c r="L227" s="872"/>
      <c r="M227" s="872"/>
      <c r="N227" s="872"/>
      <c r="O227" s="872"/>
      <c r="P227" s="872"/>
      <c r="Q227" s="872"/>
      <c r="R227" s="872"/>
      <c r="S227" s="872"/>
      <c r="T227" s="872"/>
      <c r="U227" s="872"/>
      <c r="V227" s="872"/>
      <c r="W227" s="872">
        <f>G227</f>
        <v>4980</v>
      </c>
      <c r="X227" s="872"/>
      <c r="Y227" s="872"/>
      <c r="Z227" s="872"/>
      <c r="AA227" s="872"/>
      <c r="AB227" s="872"/>
      <c r="AC227" s="872"/>
      <c r="AD227" s="872"/>
      <c r="AE227" s="872"/>
      <c r="AF227" s="872"/>
      <c r="AG227" s="872"/>
      <c r="AH227" s="872"/>
      <c r="AI227" s="872"/>
      <c r="AJ227" s="872"/>
      <c r="AK227" s="872"/>
      <c r="AL227" s="872"/>
      <c r="AM227" s="872"/>
      <c r="AN227" s="872"/>
      <c r="AO227" s="242">
        <v>3.317</v>
      </c>
      <c r="AP227" s="32">
        <f t="shared" si="8"/>
        <v>16518.66</v>
      </c>
      <c r="AQ227" s="32">
        <f t="shared" si="9"/>
        <v>128019.62</v>
      </c>
    </row>
    <row r="228" s="863" customFormat="1" customHeight="1" spans="1:43">
      <c r="A228" s="504">
        <v>46195</v>
      </c>
      <c r="B228" s="419" t="s">
        <v>218</v>
      </c>
      <c r="C228" s="505"/>
      <c r="D228" s="480" t="s">
        <v>338</v>
      </c>
      <c r="E228" s="481" t="s">
        <v>198</v>
      </c>
      <c r="F228" s="525" t="s">
        <v>199</v>
      </c>
      <c r="G228" s="233">
        <v>5280</v>
      </c>
      <c r="H228" s="229">
        <v>46295</v>
      </c>
      <c r="I228" s="872"/>
      <c r="J228" s="872"/>
      <c r="K228" s="872"/>
      <c r="L228" s="872"/>
      <c r="M228" s="872"/>
      <c r="N228" s="872"/>
      <c r="O228" s="872"/>
      <c r="P228" s="872"/>
      <c r="Q228" s="872"/>
      <c r="R228" s="872"/>
      <c r="S228" s="872"/>
      <c r="T228" s="872"/>
      <c r="U228" s="872"/>
      <c r="V228" s="872"/>
      <c r="W228" s="872"/>
      <c r="X228" s="872"/>
      <c r="Y228" s="872"/>
      <c r="Z228" s="872"/>
      <c r="AA228" s="872"/>
      <c r="AB228" s="872"/>
      <c r="AC228" s="872"/>
      <c r="AD228" s="872"/>
      <c r="AE228" s="872"/>
      <c r="AF228" s="872"/>
      <c r="AG228" s="872"/>
      <c r="AH228" s="872"/>
      <c r="AI228" s="872"/>
      <c r="AJ228" s="872"/>
      <c r="AK228" s="872"/>
      <c r="AL228" s="872"/>
      <c r="AM228" s="872">
        <f>G228</f>
        <v>5280</v>
      </c>
      <c r="AN228" s="872"/>
      <c r="AO228" s="242">
        <v>2.697</v>
      </c>
      <c r="AP228" s="32">
        <f t="shared" si="8"/>
        <v>14240.16</v>
      </c>
      <c r="AQ228" s="32">
        <f t="shared" si="9"/>
        <v>110361.24</v>
      </c>
    </row>
    <row r="229" s="863" customFormat="1" customHeight="1" spans="1:43">
      <c r="A229" s="504">
        <v>46202</v>
      </c>
      <c r="B229" s="419" t="s">
        <v>109</v>
      </c>
      <c r="C229" s="505"/>
      <c r="D229" s="480" t="s">
        <v>339</v>
      </c>
      <c r="E229" s="481" t="s">
        <v>340</v>
      </c>
      <c r="F229" s="525" t="s">
        <v>181</v>
      </c>
      <c r="G229" s="233">
        <v>3000</v>
      </c>
      <c r="H229" s="556">
        <v>46254</v>
      </c>
      <c r="I229" s="872"/>
      <c r="J229" s="872"/>
      <c r="K229" s="872"/>
      <c r="L229" s="872"/>
      <c r="M229" s="872"/>
      <c r="N229" s="872"/>
      <c r="O229" s="872"/>
      <c r="P229" s="872"/>
      <c r="Q229" s="872"/>
      <c r="R229" s="872"/>
      <c r="S229" s="872"/>
      <c r="T229" s="872"/>
      <c r="U229" s="872"/>
      <c r="V229" s="872"/>
      <c r="W229" s="872"/>
      <c r="X229" s="872"/>
      <c r="Y229" s="872"/>
      <c r="Z229" s="872"/>
      <c r="AA229" s="872"/>
      <c r="AB229" s="872"/>
      <c r="AC229" s="872"/>
      <c r="AD229" s="872"/>
      <c r="AE229" s="872"/>
      <c r="AF229" s="872"/>
      <c r="AG229" s="872"/>
      <c r="AH229" s="872"/>
      <c r="AI229" s="872"/>
      <c r="AJ229" s="872"/>
      <c r="AK229" s="872"/>
      <c r="AL229" s="872">
        <f>G229</f>
        <v>3000</v>
      </c>
      <c r="AM229" s="872"/>
      <c r="AN229" s="872"/>
      <c r="AO229" s="242">
        <v>2.825</v>
      </c>
      <c r="AP229" s="32">
        <f t="shared" si="8"/>
        <v>8475</v>
      </c>
      <c r="AQ229" s="32">
        <f t="shared" si="9"/>
        <v>65681.25</v>
      </c>
    </row>
    <row r="230" s="863" customFormat="1" customHeight="1" spans="1:43">
      <c r="A230" s="504">
        <v>46202</v>
      </c>
      <c r="B230" s="419" t="s">
        <v>109</v>
      </c>
      <c r="C230" s="505"/>
      <c r="D230" s="480" t="s">
        <v>339</v>
      </c>
      <c r="E230" s="481" t="s">
        <v>340</v>
      </c>
      <c r="F230" s="525" t="s">
        <v>181</v>
      </c>
      <c r="G230" s="233">
        <v>3000</v>
      </c>
      <c r="H230" s="556">
        <v>46264</v>
      </c>
      <c r="I230" s="872"/>
      <c r="J230" s="872"/>
      <c r="K230" s="872"/>
      <c r="L230" s="872"/>
      <c r="M230" s="872"/>
      <c r="N230" s="872"/>
      <c r="O230" s="872"/>
      <c r="P230" s="872"/>
      <c r="Q230" s="872"/>
      <c r="R230" s="872"/>
      <c r="S230" s="872"/>
      <c r="T230" s="872"/>
      <c r="U230" s="872"/>
      <c r="V230" s="872"/>
      <c r="W230" s="872"/>
      <c r="X230" s="872"/>
      <c r="Y230" s="872"/>
      <c r="Z230" s="872"/>
      <c r="AA230" s="872"/>
      <c r="AB230" s="872"/>
      <c r="AC230" s="872"/>
      <c r="AD230" s="872"/>
      <c r="AE230" s="872"/>
      <c r="AF230" s="872"/>
      <c r="AG230" s="872"/>
      <c r="AH230" s="872"/>
      <c r="AI230" s="872"/>
      <c r="AJ230" s="872"/>
      <c r="AK230" s="872"/>
      <c r="AL230" s="872">
        <f>G230</f>
        <v>3000</v>
      </c>
      <c r="AM230" s="872"/>
      <c r="AN230" s="872"/>
      <c r="AO230" s="242">
        <v>2.825</v>
      </c>
      <c r="AP230" s="32">
        <f t="shared" si="8"/>
        <v>8475</v>
      </c>
      <c r="AQ230" s="32">
        <f t="shared" si="9"/>
        <v>65681.25</v>
      </c>
    </row>
    <row r="231" s="863" customFormat="1" customHeight="1" spans="1:43">
      <c r="A231" s="504">
        <v>46206</v>
      </c>
      <c r="B231" s="419" t="s">
        <v>120</v>
      </c>
      <c r="C231" s="505"/>
      <c r="D231" s="480" t="s">
        <v>341</v>
      </c>
      <c r="E231" s="506">
        <v>1125103</v>
      </c>
      <c r="F231" s="525" t="s">
        <v>4</v>
      </c>
      <c r="G231" s="233">
        <v>2004</v>
      </c>
      <c r="H231" s="237">
        <v>46254</v>
      </c>
      <c r="I231" s="872"/>
      <c r="J231" s="872"/>
      <c r="K231" s="872"/>
      <c r="L231" s="872"/>
      <c r="M231" s="872"/>
      <c r="N231" s="872"/>
      <c r="O231" s="872"/>
      <c r="P231" s="872"/>
      <c r="Q231" s="872"/>
      <c r="R231" s="872"/>
      <c r="S231" s="872"/>
      <c r="T231" s="872"/>
      <c r="U231" s="872"/>
      <c r="V231" s="872"/>
      <c r="W231" s="872"/>
      <c r="X231" s="872"/>
      <c r="Y231" s="872"/>
      <c r="Z231" s="872"/>
      <c r="AA231" s="872">
        <f>G231</f>
        <v>2004</v>
      </c>
      <c r="AB231" s="872"/>
      <c r="AC231" s="872"/>
      <c r="AD231" s="872"/>
      <c r="AE231" s="872"/>
      <c r="AF231" s="872"/>
      <c r="AG231" s="872"/>
      <c r="AH231" s="872"/>
      <c r="AI231" s="872"/>
      <c r="AJ231" s="872"/>
      <c r="AK231" s="872"/>
      <c r="AL231" s="872"/>
      <c r="AM231" s="872"/>
      <c r="AN231" s="872"/>
      <c r="AO231" s="242">
        <v>1.899</v>
      </c>
      <c r="AP231" s="32">
        <f t="shared" si="8"/>
        <v>3805.6</v>
      </c>
      <c r="AQ231" s="32">
        <f t="shared" si="9"/>
        <v>29493.4</v>
      </c>
    </row>
    <row r="232" s="863" customFormat="1" customHeight="1" spans="1:43">
      <c r="A232" s="504">
        <v>46206</v>
      </c>
      <c r="B232" s="419" t="s">
        <v>120</v>
      </c>
      <c r="C232" s="505"/>
      <c r="D232" s="480" t="s">
        <v>341</v>
      </c>
      <c r="E232" s="506">
        <v>1125155</v>
      </c>
      <c r="F232" s="525" t="s">
        <v>342</v>
      </c>
      <c r="G232" s="233">
        <v>1200</v>
      </c>
      <c r="H232" s="237">
        <v>46254</v>
      </c>
      <c r="I232" s="872"/>
      <c r="J232" s="872"/>
      <c r="K232" s="872"/>
      <c r="L232" s="872">
        <f>G232</f>
        <v>1200</v>
      </c>
      <c r="M232" s="872"/>
      <c r="N232" s="872"/>
      <c r="O232" s="872"/>
      <c r="P232" s="872"/>
      <c r="Q232" s="872"/>
      <c r="R232" s="872"/>
      <c r="S232" s="872"/>
      <c r="T232" s="872"/>
      <c r="U232" s="872"/>
      <c r="V232" s="872"/>
      <c r="W232" s="872"/>
      <c r="X232" s="872"/>
      <c r="Y232" s="872"/>
      <c r="Z232" s="872"/>
      <c r="AA232" s="872"/>
      <c r="AB232" s="872"/>
      <c r="AC232" s="872"/>
      <c r="AD232" s="872"/>
      <c r="AE232" s="872"/>
      <c r="AF232" s="872"/>
      <c r="AG232" s="872"/>
      <c r="AH232" s="872"/>
      <c r="AI232" s="872"/>
      <c r="AJ232" s="872"/>
      <c r="AK232" s="872"/>
      <c r="AL232" s="872"/>
      <c r="AM232" s="872"/>
      <c r="AN232" s="872"/>
      <c r="AO232" s="242">
        <v>4.335</v>
      </c>
      <c r="AP232" s="32">
        <f t="shared" si="8"/>
        <v>5202</v>
      </c>
      <c r="AQ232" s="32">
        <f t="shared" si="9"/>
        <v>40315.5</v>
      </c>
    </row>
    <row r="233" s="863" customFormat="1" customHeight="1" spans="1:43">
      <c r="A233" s="504">
        <v>46206</v>
      </c>
      <c r="B233" s="419" t="s">
        <v>120</v>
      </c>
      <c r="C233" s="505"/>
      <c r="D233" s="480" t="s">
        <v>341</v>
      </c>
      <c r="E233" s="506">
        <v>1126169</v>
      </c>
      <c r="F233" s="525" t="s">
        <v>181</v>
      </c>
      <c r="G233" s="233">
        <v>1500</v>
      </c>
      <c r="H233" s="237">
        <v>46254</v>
      </c>
      <c r="I233" s="872"/>
      <c r="J233" s="872"/>
      <c r="K233" s="872"/>
      <c r="L233" s="872"/>
      <c r="M233" s="872"/>
      <c r="N233" s="872"/>
      <c r="O233" s="872"/>
      <c r="P233" s="872"/>
      <c r="Q233" s="872"/>
      <c r="R233" s="872"/>
      <c r="S233" s="872"/>
      <c r="T233" s="872"/>
      <c r="U233" s="872"/>
      <c r="V233" s="872"/>
      <c r="W233" s="872"/>
      <c r="X233" s="872"/>
      <c r="Y233" s="872"/>
      <c r="Z233" s="872"/>
      <c r="AA233" s="872"/>
      <c r="AB233" s="872"/>
      <c r="AC233" s="872"/>
      <c r="AD233" s="872"/>
      <c r="AE233" s="872"/>
      <c r="AF233" s="872"/>
      <c r="AG233" s="872"/>
      <c r="AH233" s="872"/>
      <c r="AI233" s="872"/>
      <c r="AJ233" s="872"/>
      <c r="AK233" s="872"/>
      <c r="AL233" s="872">
        <f>G233</f>
        <v>1500</v>
      </c>
      <c r="AM233" s="872"/>
      <c r="AN233" s="872"/>
      <c r="AO233" s="242">
        <v>2.573</v>
      </c>
      <c r="AP233" s="32">
        <f t="shared" si="8"/>
        <v>3859.5</v>
      </c>
      <c r="AQ233" s="32">
        <f t="shared" si="9"/>
        <v>29911.13</v>
      </c>
    </row>
    <row r="234" s="863" customFormat="1" customHeight="1" spans="1:43">
      <c r="A234" s="504">
        <v>46213</v>
      </c>
      <c r="B234" s="419" t="s">
        <v>152</v>
      </c>
      <c r="C234" s="505"/>
      <c r="D234" s="480" t="s">
        <v>343</v>
      </c>
      <c r="E234" s="506">
        <v>1026157</v>
      </c>
      <c r="F234" s="525" t="s">
        <v>297</v>
      </c>
      <c r="G234" s="233">
        <v>2000</v>
      </c>
      <c r="H234" s="237">
        <v>46269</v>
      </c>
      <c r="I234" s="872"/>
      <c r="J234" s="872"/>
      <c r="K234" s="872"/>
      <c r="L234" s="872"/>
      <c r="M234" s="872">
        <f>G234</f>
        <v>2000</v>
      </c>
      <c r="N234" s="872"/>
      <c r="O234" s="872"/>
      <c r="P234" s="872"/>
      <c r="Q234" s="872"/>
      <c r="R234" s="872"/>
      <c r="S234" s="872"/>
      <c r="T234" s="872"/>
      <c r="U234" s="872"/>
      <c r="V234" s="872"/>
      <c r="W234" s="872"/>
      <c r="X234" s="872"/>
      <c r="Y234" s="872"/>
      <c r="Z234" s="872"/>
      <c r="AA234" s="872"/>
      <c r="AB234" s="872"/>
      <c r="AC234" s="872"/>
      <c r="AD234" s="872"/>
      <c r="AE234" s="872"/>
      <c r="AF234" s="872"/>
      <c r="AG234" s="872"/>
      <c r="AH234" s="872"/>
      <c r="AI234" s="872"/>
      <c r="AJ234" s="872"/>
      <c r="AK234" s="872"/>
      <c r="AL234" s="872"/>
      <c r="AM234" s="872"/>
      <c r="AN234" s="872"/>
      <c r="AO234" s="242">
        <v>4.772</v>
      </c>
      <c r="AP234" s="32">
        <f t="shared" si="8"/>
        <v>9544</v>
      </c>
      <c r="AQ234" s="32">
        <f t="shared" si="9"/>
        <v>73966</v>
      </c>
    </row>
    <row r="235" s="863" customFormat="1" customHeight="1" spans="1:43">
      <c r="A235" s="504">
        <v>46213</v>
      </c>
      <c r="B235" s="419" t="s">
        <v>152</v>
      </c>
      <c r="C235" s="505"/>
      <c r="D235" s="480" t="s">
        <v>343</v>
      </c>
      <c r="E235" s="506">
        <v>1226157</v>
      </c>
      <c r="F235" s="525" t="s">
        <v>299</v>
      </c>
      <c r="G235" s="233">
        <v>5000</v>
      </c>
      <c r="H235" s="237">
        <v>46269</v>
      </c>
      <c r="I235" s="872"/>
      <c r="J235" s="872"/>
      <c r="K235" s="872"/>
      <c r="L235" s="872"/>
      <c r="M235" s="872">
        <f>G235</f>
        <v>5000</v>
      </c>
      <c r="N235" s="872"/>
      <c r="O235" s="872"/>
      <c r="P235" s="872"/>
      <c r="Q235" s="872"/>
      <c r="R235" s="872"/>
      <c r="S235" s="872"/>
      <c r="T235" s="872"/>
      <c r="U235" s="872"/>
      <c r="V235" s="872"/>
      <c r="W235" s="872"/>
      <c r="X235" s="872"/>
      <c r="Y235" s="872"/>
      <c r="Z235" s="872"/>
      <c r="AA235" s="872"/>
      <c r="AB235" s="872"/>
      <c r="AC235" s="872"/>
      <c r="AD235" s="872"/>
      <c r="AE235" s="872"/>
      <c r="AF235" s="872"/>
      <c r="AG235" s="872"/>
      <c r="AH235" s="872"/>
      <c r="AI235" s="872"/>
      <c r="AJ235" s="872"/>
      <c r="AK235" s="872"/>
      <c r="AL235" s="872"/>
      <c r="AM235" s="872"/>
      <c r="AN235" s="872"/>
      <c r="AO235" s="242">
        <v>4.772</v>
      </c>
      <c r="AP235" s="32">
        <f t="shared" si="8"/>
        <v>23860</v>
      </c>
      <c r="AQ235" s="32">
        <f t="shared" si="9"/>
        <v>184915</v>
      </c>
    </row>
    <row r="236" s="863" customFormat="1" customHeight="1" spans="1:43">
      <c r="A236" s="504">
        <v>46213</v>
      </c>
      <c r="B236" s="419" t="s">
        <v>152</v>
      </c>
      <c r="C236" s="505"/>
      <c r="D236" s="480" t="s">
        <v>343</v>
      </c>
      <c r="E236" s="506">
        <v>1226168</v>
      </c>
      <c r="F236" s="525" t="s">
        <v>295</v>
      </c>
      <c r="G236" s="233">
        <v>1002</v>
      </c>
      <c r="H236" s="237">
        <v>46269</v>
      </c>
      <c r="I236" s="872"/>
      <c r="J236" s="872">
        <f>G236</f>
        <v>1002</v>
      </c>
      <c r="K236" s="872"/>
      <c r="L236" s="872"/>
      <c r="M236" s="872"/>
      <c r="N236" s="872"/>
      <c r="O236" s="872"/>
      <c r="P236" s="872"/>
      <c r="Q236" s="872"/>
      <c r="R236" s="872"/>
      <c r="S236" s="872"/>
      <c r="T236" s="872"/>
      <c r="U236" s="872"/>
      <c r="V236" s="872"/>
      <c r="W236" s="872"/>
      <c r="X236" s="872"/>
      <c r="Y236" s="872"/>
      <c r="Z236" s="872"/>
      <c r="AA236" s="872"/>
      <c r="AB236" s="872"/>
      <c r="AC236" s="872"/>
      <c r="AD236" s="872"/>
      <c r="AE236" s="872"/>
      <c r="AF236" s="872"/>
      <c r="AG236" s="872"/>
      <c r="AH236" s="872"/>
      <c r="AI236" s="872"/>
      <c r="AJ236" s="872"/>
      <c r="AK236" s="872"/>
      <c r="AL236" s="872"/>
      <c r="AM236" s="872"/>
      <c r="AN236" s="872"/>
      <c r="AO236" s="242">
        <v>3.45</v>
      </c>
      <c r="AP236" s="32">
        <f t="shared" si="8"/>
        <v>3456.9</v>
      </c>
      <c r="AQ236" s="32">
        <f t="shared" si="9"/>
        <v>26790.98</v>
      </c>
    </row>
    <row r="237" s="863" customFormat="1" customHeight="1" spans="1:43">
      <c r="A237" s="504">
        <v>46213</v>
      </c>
      <c r="B237" s="419" t="s">
        <v>152</v>
      </c>
      <c r="C237" s="505"/>
      <c r="D237" s="480" t="s">
        <v>344</v>
      </c>
      <c r="E237" s="506">
        <v>1226168</v>
      </c>
      <c r="F237" s="525" t="s">
        <v>295</v>
      </c>
      <c r="G237" s="233">
        <v>4680</v>
      </c>
      <c r="H237" s="237">
        <v>46269</v>
      </c>
      <c r="I237" s="872"/>
      <c r="J237" s="872">
        <f>G237</f>
        <v>4680</v>
      </c>
      <c r="K237" s="872"/>
      <c r="L237" s="872"/>
      <c r="M237" s="872"/>
      <c r="N237" s="872"/>
      <c r="O237" s="872"/>
      <c r="P237" s="872"/>
      <c r="Q237" s="872"/>
      <c r="R237" s="872"/>
      <c r="S237" s="872"/>
      <c r="T237" s="872"/>
      <c r="U237" s="872"/>
      <c r="V237" s="872"/>
      <c r="W237" s="872"/>
      <c r="X237" s="872"/>
      <c r="Y237" s="872"/>
      <c r="Z237" s="872"/>
      <c r="AA237" s="872"/>
      <c r="AB237" s="872"/>
      <c r="AC237" s="872"/>
      <c r="AD237" s="872"/>
      <c r="AE237" s="872"/>
      <c r="AF237" s="872"/>
      <c r="AG237" s="872"/>
      <c r="AH237" s="872"/>
      <c r="AI237" s="872"/>
      <c r="AJ237" s="872"/>
      <c r="AK237" s="872"/>
      <c r="AL237" s="872"/>
      <c r="AM237" s="872"/>
      <c r="AN237" s="872"/>
      <c r="AO237" s="242">
        <v>3.45</v>
      </c>
      <c r="AP237" s="32">
        <f t="shared" si="8"/>
        <v>16146</v>
      </c>
      <c r="AQ237" s="32">
        <f t="shared" si="9"/>
        <v>125131.5</v>
      </c>
    </row>
    <row r="238" s="863" customFormat="1" customHeight="1" spans="1:43">
      <c r="A238" s="504">
        <v>46219</v>
      </c>
      <c r="B238" s="419" t="s">
        <v>93</v>
      </c>
      <c r="C238" s="505"/>
      <c r="D238" s="480" t="s">
        <v>345</v>
      </c>
      <c r="E238" s="506">
        <v>3124138</v>
      </c>
      <c r="F238" s="525" t="s">
        <v>346</v>
      </c>
      <c r="G238" s="233">
        <v>3600</v>
      </c>
      <c r="H238" s="237">
        <v>46266</v>
      </c>
      <c r="I238" s="872"/>
      <c r="J238" s="872"/>
      <c r="K238" s="872"/>
      <c r="L238" s="872"/>
      <c r="M238" s="872"/>
      <c r="N238" s="872"/>
      <c r="O238" s="872">
        <f>G238</f>
        <v>3600</v>
      </c>
      <c r="P238" s="872"/>
      <c r="Q238" s="872"/>
      <c r="R238" s="872"/>
      <c r="S238" s="872"/>
      <c r="T238" s="872"/>
      <c r="U238" s="872"/>
      <c r="V238" s="872"/>
      <c r="W238" s="872"/>
      <c r="X238" s="872"/>
      <c r="Y238" s="872"/>
      <c r="Z238" s="872"/>
      <c r="AA238" s="872"/>
      <c r="AB238" s="872"/>
      <c r="AC238" s="872"/>
      <c r="AD238" s="872"/>
      <c r="AE238" s="872"/>
      <c r="AF238" s="872"/>
      <c r="AG238" s="872"/>
      <c r="AH238" s="872"/>
      <c r="AI238" s="872"/>
      <c r="AJ238" s="872"/>
      <c r="AK238" s="872"/>
      <c r="AL238" s="872"/>
      <c r="AM238" s="872"/>
      <c r="AN238" s="872"/>
      <c r="AO238" s="242">
        <v>4.059</v>
      </c>
      <c r="AP238" s="32">
        <f t="shared" si="8"/>
        <v>14612.4</v>
      </c>
      <c r="AQ238" s="32">
        <f t="shared" si="9"/>
        <v>113246.1</v>
      </c>
    </row>
    <row r="239" s="863" customFormat="1" customHeight="1" spans="1:43">
      <c r="A239" s="504">
        <v>46238</v>
      </c>
      <c r="B239" s="419" t="s">
        <v>109</v>
      </c>
      <c r="C239" s="505"/>
      <c r="D239" s="480" t="s">
        <v>347</v>
      </c>
      <c r="E239" s="481" t="s">
        <v>348</v>
      </c>
      <c r="F239" s="525" t="s">
        <v>349</v>
      </c>
      <c r="G239" s="233">
        <v>10800</v>
      </c>
      <c r="H239" s="237">
        <v>46274</v>
      </c>
      <c r="I239" s="872"/>
      <c r="J239" s="872"/>
      <c r="K239" s="872"/>
      <c r="L239" s="872">
        <f>G239</f>
        <v>10800</v>
      </c>
      <c r="M239" s="872"/>
      <c r="N239" s="872"/>
      <c r="O239" s="872"/>
      <c r="P239" s="872"/>
      <c r="Q239" s="872"/>
      <c r="R239" s="872"/>
      <c r="S239" s="872"/>
      <c r="T239" s="872"/>
      <c r="U239" s="872"/>
      <c r="V239" s="872"/>
      <c r="W239" s="872"/>
      <c r="X239" s="872"/>
      <c r="Y239" s="872"/>
      <c r="Z239" s="872"/>
      <c r="AA239" s="872"/>
      <c r="AB239" s="872"/>
      <c r="AC239" s="872"/>
      <c r="AD239" s="872"/>
      <c r="AE239" s="872"/>
      <c r="AF239" s="872"/>
      <c r="AG239" s="872"/>
      <c r="AH239" s="872"/>
      <c r="AI239" s="872"/>
      <c r="AJ239" s="872"/>
      <c r="AK239" s="872"/>
      <c r="AL239" s="872"/>
      <c r="AM239" s="872"/>
      <c r="AN239" s="872"/>
      <c r="AO239" s="242">
        <v>3.899</v>
      </c>
      <c r="AP239" s="32">
        <f t="shared" si="8"/>
        <v>42109.2</v>
      </c>
      <c r="AQ239" s="32">
        <f t="shared" si="9"/>
        <v>326346.3</v>
      </c>
    </row>
    <row r="240" s="863" customFormat="1" customHeight="1" spans="1:43">
      <c r="A240" s="504">
        <v>46238</v>
      </c>
      <c r="B240" s="419" t="s">
        <v>141</v>
      </c>
      <c r="C240" s="505"/>
      <c r="D240" s="480" t="s">
        <v>350</v>
      </c>
      <c r="E240" s="506">
        <v>4524138</v>
      </c>
      <c r="F240" s="525" t="s">
        <v>143</v>
      </c>
      <c r="G240" s="233">
        <v>5796</v>
      </c>
      <c r="H240" s="237">
        <v>46304</v>
      </c>
      <c r="I240" s="872"/>
      <c r="J240" s="872"/>
      <c r="K240" s="872"/>
      <c r="L240" s="872"/>
      <c r="M240" s="872"/>
      <c r="N240" s="872"/>
      <c r="O240" s="872">
        <f>G240</f>
        <v>5796</v>
      </c>
      <c r="P240" s="872"/>
      <c r="Q240" s="872"/>
      <c r="R240" s="872"/>
      <c r="S240" s="872"/>
      <c r="T240" s="872"/>
      <c r="U240" s="872"/>
      <c r="V240" s="872"/>
      <c r="W240" s="872"/>
      <c r="X240" s="872"/>
      <c r="Y240" s="872"/>
      <c r="Z240" s="872"/>
      <c r="AA240" s="872"/>
      <c r="AB240" s="872"/>
      <c r="AC240" s="872"/>
      <c r="AD240" s="872"/>
      <c r="AE240" s="872"/>
      <c r="AF240" s="872"/>
      <c r="AG240" s="872"/>
      <c r="AH240" s="872"/>
      <c r="AI240" s="872"/>
      <c r="AJ240" s="872"/>
      <c r="AK240" s="872"/>
      <c r="AL240" s="872"/>
      <c r="AM240" s="872"/>
      <c r="AN240" s="872"/>
      <c r="AO240" s="242">
        <v>4.059</v>
      </c>
      <c r="AP240" s="32">
        <f t="shared" si="8"/>
        <v>23525.96</v>
      </c>
      <c r="AQ240" s="32">
        <f t="shared" si="9"/>
        <v>182326.19</v>
      </c>
    </row>
    <row r="241" s="863" customFormat="1" customHeight="1" spans="1:43">
      <c r="A241" s="504">
        <v>46238</v>
      </c>
      <c r="B241" s="419" t="s">
        <v>141</v>
      </c>
      <c r="C241" s="505"/>
      <c r="D241" s="480" t="s">
        <v>350</v>
      </c>
      <c r="E241" s="506">
        <v>4525159</v>
      </c>
      <c r="F241" s="525" t="s">
        <v>183</v>
      </c>
      <c r="G241" s="233">
        <v>5796</v>
      </c>
      <c r="H241" s="237">
        <v>46304</v>
      </c>
      <c r="I241" s="872"/>
      <c r="J241" s="872"/>
      <c r="K241" s="872"/>
      <c r="L241" s="872"/>
      <c r="M241" s="872"/>
      <c r="N241" s="872"/>
      <c r="O241" s="872"/>
      <c r="P241" s="872"/>
      <c r="Q241" s="872"/>
      <c r="R241" s="872"/>
      <c r="S241" s="872"/>
      <c r="T241" s="872"/>
      <c r="U241" s="872"/>
      <c r="V241" s="872">
        <f>G241</f>
        <v>5796</v>
      </c>
      <c r="W241" s="872"/>
      <c r="X241" s="872"/>
      <c r="Y241" s="872"/>
      <c r="Z241" s="872"/>
      <c r="AA241" s="872"/>
      <c r="AB241" s="872"/>
      <c r="AC241" s="872"/>
      <c r="AD241" s="872"/>
      <c r="AE241" s="872"/>
      <c r="AF241" s="872"/>
      <c r="AG241" s="872"/>
      <c r="AH241" s="872"/>
      <c r="AI241" s="872"/>
      <c r="AJ241" s="872"/>
      <c r="AK241" s="872"/>
      <c r="AL241" s="872"/>
      <c r="AM241" s="872"/>
      <c r="AN241" s="872"/>
      <c r="AO241" s="242">
        <v>3.651</v>
      </c>
      <c r="AP241" s="32">
        <f t="shared" si="8"/>
        <v>21161.2</v>
      </c>
      <c r="AQ241" s="32">
        <f t="shared" si="9"/>
        <v>163999.3</v>
      </c>
    </row>
    <row r="242" s="863" customFormat="1" customHeight="1" spans="1:43">
      <c r="A242" s="504">
        <v>46240</v>
      </c>
      <c r="B242" s="419" t="s">
        <v>152</v>
      </c>
      <c r="C242" s="505"/>
      <c r="D242" s="480" t="s">
        <v>351</v>
      </c>
      <c r="E242" s="506">
        <v>1226169</v>
      </c>
      <c r="F242" s="525" t="s">
        <v>293</v>
      </c>
      <c r="G242" s="233">
        <v>2400</v>
      </c>
      <c r="H242" s="237">
        <v>46290</v>
      </c>
      <c r="I242" s="872"/>
      <c r="J242" s="872"/>
      <c r="K242" s="872"/>
      <c r="L242" s="872"/>
      <c r="M242" s="872"/>
      <c r="N242" s="872"/>
      <c r="O242" s="872"/>
      <c r="P242" s="872"/>
      <c r="Q242" s="872"/>
      <c r="R242" s="872"/>
      <c r="S242" s="872"/>
      <c r="T242" s="872"/>
      <c r="U242" s="872"/>
      <c r="V242" s="872"/>
      <c r="W242" s="872"/>
      <c r="X242" s="872"/>
      <c r="Y242" s="872"/>
      <c r="Z242" s="872"/>
      <c r="AA242" s="872"/>
      <c r="AB242" s="872"/>
      <c r="AC242" s="872"/>
      <c r="AD242" s="872"/>
      <c r="AE242" s="872"/>
      <c r="AF242" s="872"/>
      <c r="AG242" s="872"/>
      <c r="AH242" s="872"/>
      <c r="AI242" s="872"/>
      <c r="AJ242" s="872"/>
      <c r="AK242" s="872"/>
      <c r="AL242" s="872">
        <f>G242</f>
        <v>2400</v>
      </c>
      <c r="AM242" s="872"/>
      <c r="AN242" s="872"/>
      <c r="AO242" s="242">
        <v>2.573</v>
      </c>
      <c r="AP242" s="32">
        <f t="shared" si="8"/>
        <v>6175.2</v>
      </c>
      <c r="AQ242" s="32">
        <f t="shared" si="9"/>
        <v>47857.8</v>
      </c>
    </row>
    <row r="243" s="863" customFormat="1" customHeight="1" spans="1:43">
      <c r="A243" s="504"/>
      <c r="B243" s="419"/>
      <c r="C243" s="505"/>
      <c r="D243" s="480"/>
      <c r="E243" s="506"/>
      <c r="F243" s="525"/>
      <c r="G243" s="233"/>
      <c r="H243" s="237"/>
      <c r="I243" s="872"/>
      <c r="J243" s="872"/>
      <c r="K243" s="872"/>
      <c r="L243" s="872"/>
      <c r="M243" s="872"/>
      <c r="N243" s="872"/>
      <c r="O243" s="872"/>
      <c r="P243" s="872"/>
      <c r="Q243" s="872"/>
      <c r="R243" s="872"/>
      <c r="S243" s="872"/>
      <c r="T243" s="872"/>
      <c r="U243" s="872"/>
      <c r="V243" s="872"/>
      <c r="W243" s="872"/>
      <c r="X243" s="872"/>
      <c r="Y243" s="872"/>
      <c r="Z243" s="872"/>
      <c r="AA243" s="872"/>
      <c r="AB243" s="872"/>
      <c r="AC243" s="872"/>
      <c r="AD243" s="872"/>
      <c r="AE243" s="872"/>
      <c r="AF243" s="872"/>
      <c r="AG243" s="872"/>
      <c r="AH243" s="872"/>
      <c r="AI243" s="872"/>
      <c r="AJ243" s="872"/>
      <c r="AK243" s="872"/>
      <c r="AL243" s="872"/>
      <c r="AM243" s="872"/>
      <c r="AN243" s="872"/>
      <c r="AO243" s="242"/>
      <c r="AP243" s="32"/>
      <c r="AQ243" s="32"/>
    </row>
    <row r="244" s="863" customFormat="1" customHeight="1" spans="1:43">
      <c r="A244" s="504"/>
      <c r="B244" s="419"/>
      <c r="C244" s="505"/>
      <c r="D244" s="480"/>
      <c r="E244" s="506"/>
      <c r="F244" s="525"/>
      <c r="G244" s="233"/>
      <c r="H244" s="237"/>
      <c r="I244" s="872"/>
      <c r="J244" s="872"/>
      <c r="K244" s="872"/>
      <c r="L244" s="872"/>
      <c r="M244" s="872"/>
      <c r="N244" s="872"/>
      <c r="O244" s="872"/>
      <c r="P244" s="872"/>
      <c r="Q244" s="872"/>
      <c r="R244" s="872"/>
      <c r="S244" s="872"/>
      <c r="T244" s="872"/>
      <c r="U244" s="872"/>
      <c r="V244" s="872"/>
      <c r="W244" s="872"/>
      <c r="X244" s="872"/>
      <c r="Y244" s="872"/>
      <c r="Z244" s="872"/>
      <c r="AA244" s="872"/>
      <c r="AB244" s="872"/>
      <c r="AC244" s="872"/>
      <c r="AD244" s="872"/>
      <c r="AE244" s="872"/>
      <c r="AF244" s="872"/>
      <c r="AG244" s="872"/>
      <c r="AH244" s="872"/>
      <c r="AI244" s="872"/>
      <c r="AJ244" s="872"/>
      <c r="AK244" s="872"/>
      <c r="AL244" s="872"/>
      <c r="AM244" s="872"/>
      <c r="AN244" s="872"/>
      <c r="AO244" s="242"/>
      <c r="AP244" s="32"/>
      <c r="AQ244" s="32"/>
    </row>
    <row r="245" s="863" customFormat="1" customHeight="1" spans="1:43">
      <c r="A245" s="504"/>
      <c r="B245" s="419"/>
      <c r="C245" s="505"/>
      <c r="D245" s="480"/>
      <c r="E245" s="506"/>
      <c r="F245" s="525"/>
      <c r="G245" s="233"/>
      <c r="H245" s="237"/>
      <c r="I245" s="872"/>
      <c r="J245" s="872"/>
      <c r="K245" s="872"/>
      <c r="L245" s="872"/>
      <c r="M245" s="872"/>
      <c r="N245" s="872"/>
      <c r="O245" s="872"/>
      <c r="P245" s="872"/>
      <c r="Q245" s="872"/>
      <c r="R245" s="872"/>
      <c r="S245" s="872"/>
      <c r="T245" s="872"/>
      <c r="U245" s="872"/>
      <c r="V245" s="872"/>
      <c r="W245" s="872"/>
      <c r="X245" s="872"/>
      <c r="Y245" s="872"/>
      <c r="Z245" s="872"/>
      <c r="AA245" s="872"/>
      <c r="AB245" s="872"/>
      <c r="AC245" s="872"/>
      <c r="AD245" s="872"/>
      <c r="AE245" s="872"/>
      <c r="AF245" s="872"/>
      <c r="AG245" s="872"/>
      <c r="AH245" s="872"/>
      <c r="AI245" s="872"/>
      <c r="AJ245" s="872"/>
      <c r="AK245" s="872"/>
      <c r="AL245" s="872"/>
      <c r="AM245" s="872"/>
      <c r="AN245" s="872"/>
      <c r="AO245" s="242"/>
      <c r="AP245" s="32"/>
      <c r="AQ245" s="32"/>
    </row>
    <row r="246" s="863" customFormat="1" customHeight="1" spans="1:43">
      <c r="A246" s="504"/>
      <c r="B246" s="419"/>
      <c r="C246" s="505"/>
      <c r="D246" s="480"/>
      <c r="E246" s="506"/>
      <c r="F246" s="525"/>
      <c r="G246" s="233"/>
      <c r="H246" s="237"/>
      <c r="I246" s="872"/>
      <c r="J246" s="872"/>
      <c r="K246" s="872"/>
      <c r="L246" s="872"/>
      <c r="M246" s="872"/>
      <c r="N246" s="872"/>
      <c r="O246" s="872"/>
      <c r="P246" s="872"/>
      <c r="Q246" s="872"/>
      <c r="R246" s="872"/>
      <c r="S246" s="872"/>
      <c r="T246" s="872"/>
      <c r="U246" s="872"/>
      <c r="V246" s="872"/>
      <c r="W246" s="872"/>
      <c r="X246" s="872"/>
      <c r="Y246" s="872"/>
      <c r="Z246" s="872"/>
      <c r="AA246" s="872"/>
      <c r="AB246" s="872"/>
      <c r="AC246" s="872"/>
      <c r="AD246" s="872"/>
      <c r="AE246" s="872"/>
      <c r="AF246" s="872"/>
      <c r="AG246" s="872"/>
      <c r="AH246" s="872"/>
      <c r="AI246" s="872"/>
      <c r="AJ246" s="872"/>
      <c r="AK246" s="872"/>
      <c r="AL246" s="872"/>
      <c r="AM246" s="872"/>
      <c r="AN246" s="872"/>
      <c r="AO246" s="242"/>
      <c r="AP246" s="32"/>
      <c r="AQ246" s="32"/>
    </row>
    <row r="247" s="863" customFormat="1" customHeight="1" spans="1:43">
      <c r="A247" s="504"/>
      <c r="B247" s="419"/>
      <c r="C247" s="505"/>
      <c r="D247" s="480"/>
      <c r="E247" s="506"/>
      <c r="F247" s="525"/>
      <c r="G247" s="233"/>
      <c r="H247" s="237"/>
      <c r="I247" s="872"/>
      <c r="J247" s="872"/>
      <c r="K247" s="872"/>
      <c r="L247" s="872"/>
      <c r="M247" s="872"/>
      <c r="N247" s="872"/>
      <c r="O247" s="872"/>
      <c r="P247" s="872"/>
      <c r="Q247" s="872"/>
      <c r="R247" s="872"/>
      <c r="S247" s="872"/>
      <c r="T247" s="872"/>
      <c r="U247" s="872"/>
      <c r="V247" s="872"/>
      <c r="W247" s="872"/>
      <c r="X247" s="872"/>
      <c r="Y247" s="872"/>
      <c r="Z247" s="872"/>
      <c r="AA247" s="872"/>
      <c r="AB247" s="872"/>
      <c r="AC247" s="872"/>
      <c r="AD247" s="872"/>
      <c r="AE247" s="872"/>
      <c r="AF247" s="872"/>
      <c r="AG247" s="872"/>
      <c r="AH247" s="872"/>
      <c r="AI247" s="872"/>
      <c r="AJ247" s="872"/>
      <c r="AK247" s="872"/>
      <c r="AL247" s="872"/>
      <c r="AM247" s="872"/>
      <c r="AN247" s="872"/>
      <c r="AO247" s="242"/>
      <c r="AP247" s="32"/>
      <c r="AQ247" s="32"/>
    </row>
    <row r="248" s="863" customFormat="1" customHeight="1" spans="1:43">
      <c r="A248" s="504"/>
      <c r="B248" s="230"/>
      <c r="C248" s="505"/>
      <c r="D248" s="505"/>
      <c r="E248" s="506"/>
      <c r="F248" s="232"/>
      <c r="G248" s="233"/>
      <c r="H248" s="229"/>
      <c r="I248" s="872"/>
      <c r="J248" s="872"/>
      <c r="K248" s="872"/>
      <c r="L248" s="872"/>
      <c r="M248" s="872"/>
      <c r="N248" s="872"/>
      <c r="O248" s="872"/>
      <c r="P248" s="872"/>
      <c r="Q248" s="872"/>
      <c r="R248" s="872"/>
      <c r="S248" s="872"/>
      <c r="T248" s="872"/>
      <c r="U248" s="872"/>
      <c r="V248" s="872"/>
      <c r="W248" s="872"/>
      <c r="X248" s="872"/>
      <c r="Y248" s="872"/>
      <c r="Z248" s="872"/>
      <c r="AA248" s="872"/>
      <c r="AB248" s="872"/>
      <c r="AC248" s="872"/>
      <c r="AD248" s="872"/>
      <c r="AE248" s="872"/>
      <c r="AF248" s="872"/>
      <c r="AG248" s="872"/>
      <c r="AH248" s="872"/>
      <c r="AI248" s="872"/>
      <c r="AJ248" s="872"/>
      <c r="AK248" s="872"/>
      <c r="AL248" s="872"/>
      <c r="AM248" s="872"/>
      <c r="AN248" s="872"/>
      <c r="AO248" s="242"/>
      <c r="AP248" s="32"/>
      <c r="AQ248" s="32"/>
    </row>
    <row r="249" s="861" customFormat="1" customHeight="1" spans="1:43">
      <c r="A249" s="889"/>
      <c r="B249" s="406"/>
      <c r="C249" s="250"/>
      <c r="D249" s="250"/>
      <c r="E249" s="898" t="s">
        <v>352</v>
      </c>
      <c r="F249" s="898"/>
      <c r="G249" s="898">
        <f>SUM(G3:G183)</f>
        <v>681750</v>
      </c>
      <c r="H249" s="898">
        <f>G249-AO249</f>
        <v>681216.79</v>
      </c>
      <c r="I249" s="899">
        <f t="shared" ref="I249:AQ249" si="10">SUM(I2:I248)</f>
        <v>26838</v>
      </c>
      <c r="J249" s="899">
        <f t="shared" si="10"/>
        <v>48452</v>
      </c>
      <c r="K249" s="899">
        <f t="shared" si="10"/>
        <v>17520</v>
      </c>
      <c r="L249" s="899">
        <f t="shared" si="10"/>
        <v>89487</v>
      </c>
      <c r="M249" s="899">
        <f t="shared" si="10"/>
        <v>23827</v>
      </c>
      <c r="N249" s="899">
        <f t="shared" si="10"/>
        <v>0</v>
      </c>
      <c r="O249" s="899">
        <f t="shared" si="10"/>
        <v>39894</v>
      </c>
      <c r="P249" s="899">
        <f t="shared" si="10"/>
        <v>28110</v>
      </c>
      <c r="Q249" s="899">
        <f t="shared" si="10"/>
        <v>4380</v>
      </c>
      <c r="R249" s="899">
        <f t="shared" si="10"/>
        <v>2508</v>
      </c>
      <c r="S249" s="899">
        <f t="shared" si="10"/>
        <v>0</v>
      </c>
      <c r="T249" s="899">
        <f t="shared" si="10"/>
        <v>3000</v>
      </c>
      <c r="U249" s="899">
        <f t="shared" si="10"/>
        <v>10320</v>
      </c>
      <c r="V249" s="899">
        <f t="shared" si="10"/>
        <v>13812</v>
      </c>
      <c r="W249" s="899">
        <f t="shared" si="10"/>
        <v>51652</v>
      </c>
      <c r="X249" s="899">
        <f t="shared" si="10"/>
        <v>14220</v>
      </c>
      <c r="Y249" s="899">
        <f t="shared" si="10"/>
        <v>3018</v>
      </c>
      <c r="Z249" s="899">
        <f t="shared" si="10"/>
        <v>3426</v>
      </c>
      <c r="AA249" s="899">
        <f t="shared" si="10"/>
        <v>99842</v>
      </c>
      <c r="AB249" s="899">
        <f t="shared" si="10"/>
        <v>3306</v>
      </c>
      <c r="AC249" s="899">
        <f t="shared" si="10"/>
        <v>54504</v>
      </c>
      <c r="AD249" s="899">
        <f t="shared" si="10"/>
        <v>9912</v>
      </c>
      <c r="AE249" s="899">
        <f t="shared" si="10"/>
        <v>0</v>
      </c>
      <c r="AF249" s="899">
        <f t="shared" si="10"/>
        <v>6828</v>
      </c>
      <c r="AG249" s="899">
        <f t="shared" si="10"/>
        <v>0</v>
      </c>
      <c r="AH249" s="899">
        <f t="shared" si="10"/>
        <v>2304</v>
      </c>
      <c r="AI249" s="899">
        <f t="shared" si="10"/>
        <v>1500</v>
      </c>
      <c r="AJ249" s="899">
        <f t="shared" si="10"/>
        <v>1704</v>
      </c>
      <c r="AK249" s="899">
        <f t="shared" si="10"/>
        <v>135310</v>
      </c>
      <c r="AL249" s="899">
        <f t="shared" si="10"/>
        <v>82233</v>
      </c>
      <c r="AM249" s="899">
        <f t="shared" si="10"/>
        <v>56004</v>
      </c>
      <c r="AN249" s="899">
        <f t="shared" si="10"/>
        <v>66820</v>
      </c>
      <c r="AO249" s="899">
        <f t="shared" si="10"/>
        <v>533.21</v>
      </c>
      <c r="AP249" s="899">
        <f t="shared" si="10"/>
        <v>2777413.86</v>
      </c>
      <c r="AQ249" s="899">
        <f t="shared" si="10"/>
        <v>21524957.56</v>
      </c>
    </row>
    <row r="250" s="861" customFormat="1" customHeight="1" spans="1:43">
      <c r="B250" s="865"/>
      <c r="E250" s="865"/>
      <c r="F250" s="865"/>
      <c r="H250" s="399"/>
      <c r="I250" s="865"/>
      <c r="J250" s="865"/>
      <c r="K250" s="865"/>
      <c r="L250" s="865"/>
      <c r="M250" s="865"/>
      <c r="N250" s="865"/>
      <c r="O250" s="865"/>
      <c r="P250" s="865"/>
      <c r="Q250" s="865"/>
      <c r="R250" s="865"/>
      <c r="S250" s="865"/>
      <c r="T250" s="865"/>
      <c r="U250" s="865"/>
      <c r="V250" s="865"/>
      <c r="W250" s="865"/>
      <c r="X250" s="865"/>
      <c r="Y250" s="865"/>
      <c r="Z250" s="865"/>
      <c r="AA250" s="865"/>
      <c r="AB250" s="865"/>
      <c r="AC250" s="865"/>
      <c r="AD250" s="865"/>
      <c r="AE250" s="865"/>
      <c r="AF250" s="865"/>
      <c r="AG250" s="865"/>
      <c r="AH250" s="865"/>
      <c r="AI250" s="865"/>
      <c r="AJ250" s="865"/>
      <c r="AK250" s="865"/>
      <c r="AL250" s="865"/>
      <c r="AM250" s="865"/>
      <c r="AN250" s="865"/>
      <c r="AO250" s="866"/>
      <c r="AP250" s="867"/>
      <c r="AQ250" s="867"/>
    </row>
    <row r="251" s="861" customFormat="1" customHeight="1" spans="1:43">
      <c r="A251" s="900" t="s">
        <v>353</v>
      </c>
      <c r="B251" s="901">
        <v>3425548.7</v>
      </c>
      <c r="E251" s="865"/>
      <c r="F251" s="865"/>
      <c r="H251" s="399"/>
      <c r="I251" s="865"/>
      <c r="J251" s="865"/>
      <c r="K251" s="865"/>
      <c r="L251" s="865"/>
      <c r="M251" s="865"/>
      <c r="N251" s="865"/>
      <c r="O251" s="865"/>
      <c r="P251" s="865"/>
      <c r="Q251" s="865"/>
      <c r="R251" s="865"/>
      <c r="S251" s="865"/>
      <c r="T251" s="865"/>
      <c r="U251" s="865"/>
      <c r="V251" s="865"/>
      <c r="W251" s="865"/>
      <c r="X251" s="865"/>
      <c r="Y251" s="865"/>
      <c r="Z251" s="865"/>
      <c r="AA251" s="865"/>
      <c r="AB251" s="865"/>
      <c r="AC251" s="865"/>
      <c r="AD251" s="865"/>
      <c r="AE251" s="865"/>
      <c r="AF251" s="865"/>
      <c r="AG251" s="865"/>
      <c r="AH251" s="865"/>
      <c r="AI251" s="865"/>
      <c r="AJ251" s="865"/>
      <c r="AK251" s="865"/>
      <c r="AL251" s="865"/>
      <c r="AM251" s="865"/>
      <c r="AN251" s="865"/>
      <c r="AO251" s="866"/>
      <c r="AP251" s="867"/>
      <c r="AQ251" s="867"/>
    </row>
    <row r="252" s="861" customFormat="1" customHeight="1" spans="1:43">
      <c r="B252" s="865"/>
      <c r="E252" s="865"/>
      <c r="F252" s="865"/>
      <c r="H252" s="399"/>
      <c r="I252" s="865"/>
      <c r="J252" s="865"/>
      <c r="K252" s="865"/>
      <c r="L252" s="865"/>
      <c r="M252" s="865"/>
      <c r="N252" s="865"/>
      <c r="O252" s="865"/>
      <c r="P252" s="865"/>
      <c r="Q252" s="865"/>
      <c r="R252" s="865"/>
      <c r="S252" s="865"/>
      <c r="T252" s="865"/>
      <c r="U252" s="865"/>
      <c r="V252" s="865"/>
      <c r="W252" s="865"/>
      <c r="X252" s="865"/>
      <c r="Y252" s="865"/>
      <c r="Z252" s="865"/>
      <c r="AA252" s="865"/>
      <c r="AB252" s="865"/>
      <c r="AC252" s="865"/>
      <c r="AD252" s="865"/>
      <c r="AE252" s="865"/>
      <c r="AF252" s="865"/>
      <c r="AG252" s="865"/>
      <c r="AH252" s="865"/>
      <c r="AI252" s="865"/>
      <c r="AJ252" s="865"/>
      <c r="AK252" s="865"/>
      <c r="AL252" s="865"/>
      <c r="AM252" s="865"/>
      <c r="AN252" s="865"/>
      <c r="AO252" s="866"/>
      <c r="AP252" s="867"/>
      <c r="AQ252" s="867"/>
    </row>
    <row r="253" customHeight="1" spans="1:43">
      <c r="A253" s="900" t="s">
        <v>109</v>
      </c>
      <c r="B253" s="901">
        <f>SUMIF(B2:B183,A253,AQ2:AQ183)</f>
        <v>3737916.71</v>
      </c>
    </row>
    <row r="254" customHeight="1" spans="1:43">
      <c r="A254" s="900" t="s">
        <v>354</v>
      </c>
      <c r="B254" s="901">
        <f>AQ249</f>
        <v>21524957.56</v>
      </c>
    </row>
    <row r="255" customHeight="1" spans="1:43">
      <c r="A255" s="900" t="s">
        <v>355</v>
      </c>
      <c r="B255" s="901">
        <f>总排期!AA76</f>
        <v>7989451.96</v>
      </c>
    </row>
    <row r="256" customHeight="1" spans="1:43">
      <c r="A256" s="900" t="s">
        <v>356</v>
      </c>
      <c r="B256" s="901">
        <f>已走货!AA111</f>
        <v>13535505.68</v>
      </c>
    </row>
    <row r="257" customHeight="1" spans="1:5">
      <c r="A257" s="902"/>
      <c r="B257" s="903">
        <f>B254-B255-B256</f>
        <v>-0.08</v>
      </c>
    </row>
    <row r="259" customHeight="1" spans="1:5">
      <c r="A259" s="651" t="s">
        <v>357</v>
      </c>
      <c r="B259" s="904"/>
    </row>
    <row r="260" customHeight="1" spans="1:5">
      <c r="A260" s="661" t="s">
        <v>358</v>
      </c>
      <c r="B260" s="872" t="s">
        <v>359</v>
      </c>
    </row>
    <row r="261" customHeight="1" spans="1:5">
      <c r="A261" s="661" t="s">
        <v>360</v>
      </c>
      <c r="B261" s="231" t="s">
        <v>361</v>
      </c>
    </row>
    <row r="262" customHeight="1" spans="1:5">
      <c r="A262" s="661" t="s">
        <v>362</v>
      </c>
      <c r="B262" s="231" t="s">
        <v>363</v>
      </c>
    </row>
    <row r="263" customHeight="1" spans="1:5">
      <c r="A263" s="222" t="s">
        <v>364</v>
      </c>
      <c r="B263" s="222" t="s">
        <v>365</v>
      </c>
    </row>
    <row r="264" customHeight="1" spans="1:5">
      <c r="A264" s="348" t="s">
        <v>366</v>
      </c>
      <c r="B264" s="883" t="s">
        <v>367</v>
      </c>
    </row>
    <row r="265" customHeight="1" spans="1:5">
      <c r="A265" s="659" t="s">
        <v>368</v>
      </c>
      <c r="B265" s="660" t="s">
        <v>369</v>
      </c>
    </row>
    <row r="270" customHeight="1" spans="1:5">
      <c r="E270" s="905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Q270" etc:filterBottomFollowUsedRange="1">
    <extLst/>
  </autoFilter>
  <mergeCells count="7">
    <mergeCell ref="A1:H1"/>
    <mergeCell ref="I1:K1"/>
    <mergeCell ref="L1:O1"/>
    <mergeCell ref="R1:S1"/>
    <mergeCell ref="T1:W1"/>
    <mergeCell ref="X1:AE1"/>
    <mergeCell ref="AF1:AH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40"/>
  <sheetViews>
    <sheetView tabSelected="1" workbookViewId="0">
      <pane xSplit="12" ySplit="1" topLeftCell="U16" activePane="bottomRight" state="frozen"/>
      <selection/>
      <selection pane="topRight"/>
      <selection pane="bottomLeft"/>
      <selection pane="bottomRight" activeCell="L16" sqref="L16"/>
    </sheetView>
  </sheetViews>
  <sheetFormatPr defaultColWidth="9" defaultRowHeight="23" customHeight="1"/>
  <cols>
    <col min="1" max="1" width="12.6416666666667" style="399" customWidth="1"/>
    <col min="2" max="2" width="14.2583333333333" style="399" customWidth="1"/>
    <col min="3" max="3" width="12.4416666666667" style="399" customWidth="1"/>
    <col min="4" max="5" width="12.6416666666667" style="399" customWidth="1"/>
    <col min="6" max="6" width="10.6416666666667" style="399" customWidth="1"/>
    <col min="7" max="7" width="15.6416666666667" style="400" customWidth="1"/>
    <col min="8" max="8" width="6.65833333333333" style="401" customWidth="1"/>
    <col min="9" max="9" width="6.65833333333333" style="399" customWidth="1"/>
    <col min="10" max="10" width="6.65833333333333" style="400" customWidth="1"/>
    <col min="11" max="11" width="12.6416666666667" style="399" customWidth="1"/>
    <col min="12" max="12" width="17.5416666666667" style="664" customWidth="1"/>
    <col min="13" max="13" width="7.09166666666667" style="399" customWidth="1"/>
    <col min="14" max="14" width="6.65833333333333" style="399" customWidth="1"/>
    <col min="15" max="15" width="6.18333333333333" style="399" customWidth="1"/>
    <col min="16" max="16" width="12.6416666666667" style="399" customWidth="1"/>
    <col min="17" max="17" width="5.25833333333333" style="399" customWidth="1"/>
    <col min="18" max="18" width="13.3666666666667" style="399" customWidth="1"/>
    <col min="19" max="19" width="8.44166666666667" style="402" customWidth="1"/>
    <col min="20" max="20" width="15.3333333333333" style="399" customWidth="1"/>
    <col min="21" max="21" width="14.2583333333333" style="400" customWidth="1"/>
    <col min="22" max="22" width="8.90833333333333" style="400" customWidth="1"/>
    <col min="23" max="23" width="24.2583333333333" style="400" customWidth="1"/>
    <col min="24" max="24" width="30.6416666666667" style="399" customWidth="1"/>
    <col min="25" max="25" width="8.64166666666667" style="403" customWidth="1"/>
    <col min="26" max="27" width="10.6416666666667" style="404" customWidth="1"/>
    <col min="28" max="28" width="10.6416666666667" style="405" customWidth="1"/>
    <col min="29" max="29" width="12.9083333333333" style="399" customWidth="1"/>
    <col min="30" max="30" width="4.65833333333333" style="400" customWidth="1"/>
    <col min="31" max="31" width="8.64166666666667" style="400" customWidth="1"/>
    <col min="32" max="34" width="8.64166666666667" style="399" customWidth="1"/>
    <col min="35" max="37" width="8.64166666666667" style="399" hidden="1" customWidth="1"/>
    <col min="38" max="38" width="7.83333333333333" style="399" hidden="1" customWidth="1"/>
    <col min="39" max="39" width="7.575" style="400" customWidth="1"/>
    <col min="40" max="45" width="6.65833333333333" style="400" customWidth="1"/>
    <col min="46" max="16384" width="9" style="399"/>
  </cols>
  <sheetData>
    <row r="1" s="119" customFormat="1" customHeight="1" spans="1:45">
      <c r="A1" s="406" t="s">
        <v>370</v>
      </c>
      <c r="B1" s="406" t="s">
        <v>371</v>
      </c>
      <c r="C1" s="406" t="s">
        <v>59</v>
      </c>
      <c r="D1" s="407" t="s">
        <v>372</v>
      </c>
      <c r="E1" s="407" t="s">
        <v>373</v>
      </c>
      <c r="F1" s="408" t="s">
        <v>0</v>
      </c>
      <c r="G1" s="409" t="s">
        <v>374</v>
      </c>
      <c r="H1" s="410" t="s">
        <v>62</v>
      </c>
      <c r="I1" s="411" t="s">
        <v>375</v>
      </c>
      <c r="J1" s="409" t="s">
        <v>376</v>
      </c>
      <c r="K1" s="406" t="s">
        <v>63</v>
      </c>
      <c r="L1" s="665" t="s">
        <v>377</v>
      </c>
      <c r="M1" s="406" t="s">
        <v>378</v>
      </c>
      <c r="N1" s="412" t="s">
        <v>379</v>
      </c>
      <c r="O1" s="406" t="s">
        <v>380</v>
      </c>
      <c r="P1" s="411" t="s">
        <v>381</v>
      </c>
      <c r="Q1" s="411" t="s">
        <v>382</v>
      </c>
      <c r="R1" s="248" t="s">
        <v>383</v>
      </c>
      <c r="S1" s="414" t="s">
        <v>384</v>
      </c>
      <c r="T1" s="248" t="s">
        <v>385</v>
      </c>
      <c r="U1" s="248" t="s">
        <v>386</v>
      </c>
      <c r="V1" s="415" t="s">
        <v>387</v>
      </c>
      <c r="W1" s="415" t="s">
        <v>388</v>
      </c>
      <c r="X1" s="416" t="s">
        <v>389</v>
      </c>
      <c r="Y1" s="32" t="s">
        <v>81</v>
      </c>
      <c r="Z1" s="32" t="s">
        <v>82</v>
      </c>
      <c r="AA1" s="32" t="s">
        <v>83</v>
      </c>
      <c r="AB1" s="417" t="s">
        <v>390</v>
      </c>
      <c r="AC1" s="418" t="s">
        <v>391</v>
      </c>
      <c r="AD1" s="415" t="s">
        <v>392</v>
      </c>
      <c r="AE1" s="230" t="s">
        <v>393</v>
      </c>
      <c r="AF1" s="230" t="s">
        <v>394</v>
      </c>
      <c r="AG1" s="420" t="s">
        <v>395</v>
      </c>
      <c r="AH1" s="420" t="s">
        <v>396</v>
      </c>
      <c r="AI1" s="420" t="s">
        <v>397</v>
      </c>
      <c r="AJ1" s="420" t="s">
        <v>398</v>
      </c>
      <c r="AK1" s="230" t="s">
        <v>399</v>
      </c>
      <c r="AL1" s="230" t="s">
        <v>400</v>
      </c>
      <c r="AM1" s="230" t="s">
        <v>401</v>
      </c>
      <c r="AN1" s="248" t="s">
        <v>402</v>
      </c>
      <c r="AO1" s="248" t="s">
        <v>403</v>
      </c>
      <c r="AP1" s="248" t="s">
        <v>404</v>
      </c>
      <c r="AQ1" s="248" t="s">
        <v>405</v>
      </c>
      <c r="AR1" s="248" t="s">
        <v>406</v>
      </c>
      <c r="AS1" s="248" t="s">
        <v>407</v>
      </c>
    </row>
    <row r="2" s="118" customFormat="1" ht="25" customHeight="1" spans="1:45">
      <c r="A2" s="508">
        <v>45988</v>
      </c>
      <c r="B2" s="523" t="s">
        <v>408</v>
      </c>
      <c r="C2" s="508" t="s">
        <v>116</v>
      </c>
      <c r="D2" s="505"/>
      <c r="E2" s="505" t="s">
        <v>117</v>
      </c>
      <c r="F2" s="524">
        <v>3124115</v>
      </c>
      <c r="G2" s="524" t="s">
        <v>119</v>
      </c>
      <c r="H2" s="507">
        <v>1500</v>
      </c>
      <c r="I2" s="506">
        <v>6</v>
      </c>
      <c r="J2" s="235">
        <f t="shared" ref="J2:J8" si="0">H2/I2</f>
        <v>250</v>
      </c>
      <c r="K2" s="229">
        <v>46142</v>
      </c>
      <c r="L2" s="666" t="s">
        <v>409</v>
      </c>
      <c r="M2" s="508"/>
      <c r="N2" s="509"/>
      <c r="O2" s="508"/>
      <c r="P2" s="508">
        <v>46142</v>
      </c>
      <c r="Q2" s="508"/>
      <c r="R2" s="533"/>
      <c r="S2" s="667">
        <v>46007</v>
      </c>
      <c r="T2" s="534" t="s">
        <v>410</v>
      </c>
      <c r="U2" s="534" t="s">
        <v>411</v>
      </c>
      <c r="V2" s="530" t="s">
        <v>412</v>
      </c>
      <c r="W2" s="530" t="s">
        <v>413</v>
      </c>
      <c r="X2" s="530" t="s">
        <v>414</v>
      </c>
      <c r="Y2" s="668">
        <v>4.132</v>
      </c>
      <c r="Z2" s="513">
        <f t="shared" ref="Z2:Z65" si="1">H2*Y2</f>
        <v>6198</v>
      </c>
      <c r="AA2" s="514">
        <f t="shared" ref="AA2:AA65" si="2">Z2*7.75</f>
        <v>48034.5</v>
      </c>
      <c r="AB2" s="315"/>
      <c r="AC2" s="531" t="s">
        <v>415</v>
      </c>
      <c r="AD2" s="247" t="s">
        <v>416</v>
      </c>
      <c r="AE2" s="532" t="s">
        <v>417</v>
      </c>
      <c r="AF2" s="517"/>
      <c r="AG2" s="533"/>
      <c r="AH2" s="130"/>
      <c r="AI2" s="216"/>
      <c r="AJ2" s="216"/>
      <c r="AK2" s="533"/>
      <c r="AL2" s="533"/>
      <c r="AM2" s="534"/>
      <c r="AN2" s="534"/>
      <c r="AO2" s="534"/>
      <c r="AP2" s="534"/>
      <c r="AQ2" s="534"/>
      <c r="AR2" s="534"/>
      <c r="AS2" s="534"/>
    </row>
    <row r="3" s="117" customFormat="1" ht="25" customHeight="1" spans="1:45">
      <c r="A3" s="222">
        <v>46148</v>
      </c>
      <c r="B3" s="124" t="s">
        <v>418</v>
      </c>
      <c r="C3" s="123" t="s">
        <v>105</v>
      </c>
      <c r="D3" s="127"/>
      <c r="E3" s="124" t="s">
        <v>287</v>
      </c>
      <c r="F3" s="125">
        <v>3222103</v>
      </c>
      <c r="G3" s="125" t="s">
        <v>139</v>
      </c>
      <c r="H3" s="126">
        <v>1896</v>
      </c>
      <c r="I3" s="127">
        <v>6</v>
      </c>
      <c r="J3" s="128">
        <f t="shared" si="0"/>
        <v>316</v>
      </c>
      <c r="K3" s="122">
        <v>46213</v>
      </c>
      <c r="L3" s="171">
        <v>46216</v>
      </c>
      <c r="M3" s="122"/>
      <c r="N3" s="129"/>
      <c r="O3" s="171">
        <v>46239</v>
      </c>
      <c r="P3" s="122">
        <v>46209</v>
      </c>
      <c r="Q3" s="122"/>
      <c r="R3" s="141"/>
      <c r="S3" s="131">
        <v>46172</v>
      </c>
      <c r="T3" s="217" t="s">
        <v>419</v>
      </c>
      <c r="U3" s="123" t="s">
        <v>420</v>
      </c>
      <c r="V3" s="212" t="s">
        <v>421</v>
      </c>
      <c r="W3" s="224" t="s">
        <v>422</v>
      </c>
      <c r="X3" s="220" t="s">
        <v>423</v>
      </c>
      <c r="Y3" s="134">
        <v>1.899</v>
      </c>
      <c r="Z3" s="135">
        <f t="shared" si="1"/>
        <v>3600.5</v>
      </c>
      <c r="AA3" s="136">
        <f t="shared" si="2"/>
        <v>27903.88</v>
      </c>
      <c r="AB3" s="669"/>
      <c r="AC3" s="141" t="s">
        <v>415</v>
      </c>
      <c r="AD3" s="139" t="s">
        <v>416</v>
      </c>
      <c r="AE3" s="140" t="s">
        <v>424</v>
      </c>
      <c r="AF3" s="140" t="s">
        <v>425</v>
      </c>
      <c r="AG3" s="141">
        <v>1896</v>
      </c>
      <c r="AH3" s="130">
        <f>AG3-H3</f>
        <v>0</v>
      </c>
      <c r="AI3" s="130"/>
      <c r="AJ3" s="130"/>
      <c r="AK3" s="141"/>
      <c r="AL3" s="141"/>
      <c r="AM3" s="139">
        <v>46201</v>
      </c>
      <c r="AN3" s="140"/>
      <c r="AO3" s="140"/>
      <c r="AP3" s="140"/>
      <c r="AQ3" s="140"/>
      <c r="AR3" s="140"/>
      <c r="AS3" s="140"/>
    </row>
    <row r="4" s="119" customFormat="1" ht="25" customHeight="1" spans="1:45">
      <c r="A4" s="201">
        <v>46148</v>
      </c>
      <c r="B4" s="204" t="s">
        <v>418</v>
      </c>
      <c r="C4" s="226" t="s">
        <v>105</v>
      </c>
      <c r="D4" s="204"/>
      <c r="E4" s="204" t="s">
        <v>287</v>
      </c>
      <c r="F4" s="205">
        <v>3222110</v>
      </c>
      <c r="G4" s="205" t="s">
        <v>140</v>
      </c>
      <c r="H4" s="206">
        <v>1896</v>
      </c>
      <c r="I4" s="207">
        <v>6</v>
      </c>
      <c r="J4" s="128">
        <f t="shared" si="0"/>
        <v>316</v>
      </c>
      <c r="K4" s="129">
        <v>46213</v>
      </c>
      <c r="L4" s="670">
        <v>46216</v>
      </c>
      <c r="M4" s="203"/>
      <c r="N4" s="210"/>
      <c r="O4" s="671">
        <v>46239</v>
      </c>
      <c r="P4" s="122">
        <v>46209</v>
      </c>
      <c r="Q4" s="203"/>
      <c r="R4" s="211"/>
      <c r="S4" s="131">
        <v>46172</v>
      </c>
      <c r="T4" s="140" t="s">
        <v>419</v>
      </c>
      <c r="U4" s="123" t="s">
        <v>420</v>
      </c>
      <c r="V4" s="212" t="s">
        <v>421</v>
      </c>
      <c r="W4" s="212" t="s">
        <v>426</v>
      </c>
      <c r="X4" s="220" t="s">
        <v>423</v>
      </c>
      <c r="Y4" s="214">
        <v>3.06</v>
      </c>
      <c r="Z4" s="135">
        <f t="shared" si="1"/>
        <v>5801.76</v>
      </c>
      <c r="AA4" s="136">
        <f t="shared" si="2"/>
        <v>44963.64</v>
      </c>
      <c r="AB4" s="227"/>
      <c r="AC4" s="211" t="s">
        <v>415</v>
      </c>
      <c r="AD4" s="139" t="s">
        <v>416</v>
      </c>
      <c r="AE4" s="140" t="s">
        <v>424</v>
      </c>
      <c r="AF4" s="140" t="s">
        <v>425</v>
      </c>
      <c r="AG4" s="211">
        <f>1806+90</f>
        <v>1896</v>
      </c>
      <c r="AH4" s="130">
        <f>AG4-H4</f>
        <v>0</v>
      </c>
      <c r="AI4" s="216"/>
      <c r="AJ4" s="216"/>
      <c r="AK4" s="211"/>
      <c r="AL4" s="211"/>
      <c r="AM4" s="221">
        <v>46200</v>
      </c>
      <c r="AN4" s="217"/>
      <c r="AO4" s="217"/>
      <c r="AP4" s="217"/>
      <c r="AQ4" s="217"/>
      <c r="AR4" s="217"/>
      <c r="AS4" s="217"/>
    </row>
    <row r="5" s="118" customFormat="1" ht="25" customHeight="1" spans="1:45">
      <c r="A5" s="440">
        <v>46148</v>
      </c>
      <c r="B5" s="189" t="s">
        <v>418</v>
      </c>
      <c r="C5" s="188" t="s">
        <v>105</v>
      </c>
      <c r="D5" s="192"/>
      <c r="E5" s="189" t="s">
        <v>283</v>
      </c>
      <c r="F5" s="192">
        <v>3225130</v>
      </c>
      <c r="G5" s="190" t="s">
        <v>427</v>
      </c>
      <c r="H5" s="441">
        <v>8004</v>
      </c>
      <c r="I5" s="192">
        <v>6</v>
      </c>
      <c r="J5" s="150">
        <f t="shared" si="0"/>
        <v>1334</v>
      </c>
      <c r="K5" s="152">
        <v>46213</v>
      </c>
      <c r="L5" s="672">
        <v>46216</v>
      </c>
      <c r="M5" s="187"/>
      <c r="N5" s="194"/>
      <c r="O5" s="671">
        <v>46239</v>
      </c>
      <c r="P5" s="144">
        <v>46209</v>
      </c>
      <c r="Q5" s="187"/>
      <c r="R5" s="389"/>
      <c r="S5" s="154">
        <v>46172</v>
      </c>
      <c r="T5" s="163" t="s">
        <v>428</v>
      </c>
      <c r="U5" s="145" t="s">
        <v>420</v>
      </c>
      <c r="V5" s="167" t="s">
        <v>421</v>
      </c>
      <c r="W5" s="177" t="s">
        <v>429</v>
      </c>
      <c r="X5" s="443" t="s">
        <v>423</v>
      </c>
      <c r="Y5" s="197">
        <v>3.345</v>
      </c>
      <c r="Z5" s="158">
        <f t="shared" si="1"/>
        <v>26773.38</v>
      </c>
      <c r="AA5" s="159">
        <f t="shared" si="2"/>
        <v>207493.7</v>
      </c>
      <c r="AB5" s="444"/>
      <c r="AC5" s="389" t="s">
        <v>415</v>
      </c>
      <c r="AD5" s="162" t="s">
        <v>416</v>
      </c>
      <c r="AE5" s="163" t="s">
        <v>424</v>
      </c>
      <c r="AF5" s="176" t="s">
        <v>425</v>
      </c>
      <c r="AG5" s="389">
        <f>4584+2520+606+294</f>
        <v>8004</v>
      </c>
      <c r="AH5" s="153">
        <f>AG5-H5</f>
        <v>0</v>
      </c>
      <c r="AI5" s="195"/>
      <c r="AJ5" s="195"/>
      <c r="AK5" s="389"/>
      <c r="AL5" s="389"/>
      <c r="AM5" s="446">
        <v>46210</v>
      </c>
      <c r="AN5" s="176"/>
      <c r="AO5" s="176"/>
      <c r="AP5" s="176"/>
      <c r="AQ5" s="176"/>
      <c r="AR5" s="176"/>
      <c r="AS5" s="176"/>
    </row>
    <row r="6" s="117" customFormat="1" ht="25" customHeight="1" spans="1:45">
      <c r="A6" s="201">
        <v>46111</v>
      </c>
      <c r="B6" s="202" t="s">
        <v>430</v>
      </c>
      <c r="C6" s="203" t="s">
        <v>93</v>
      </c>
      <c r="D6" s="204"/>
      <c r="E6" s="204" t="s">
        <v>245</v>
      </c>
      <c r="F6" s="205">
        <v>1326168</v>
      </c>
      <c r="G6" s="205" t="s">
        <v>246</v>
      </c>
      <c r="H6" s="206">
        <v>4680</v>
      </c>
      <c r="I6" s="207">
        <v>6</v>
      </c>
      <c r="J6" s="128">
        <f t="shared" si="0"/>
        <v>780</v>
      </c>
      <c r="K6" s="122">
        <v>46217</v>
      </c>
      <c r="L6" s="673">
        <v>46220</v>
      </c>
      <c r="M6" s="203"/>
      <c r="N6" s="210"/>
      <c r="O6" s="171">
        <v>46230</v>
      </c>
      <c r="P6" s="203">
        <v>46219</v>
      </c>
      <c r="Q6" s="203"/>
      <c r="R6" s="211"/>
      <c r="S6" s="131">
        <v>46171</v>
      </c>
      <c r="T6" s="218" t="s">
        <v>431</v>
      </c>
      <c r="U6" s="140" t="s">
        <v>432</v>
      </c>
      <c r="V6" s="212" t="s">
        <v>433</v>
      </c>
      <c r="W6" s="212" t="s">
        <v>434</v>
      </c>
      <c r="X6" s="213" t="s">
        <v>435</v>
      </c>
      <c r="Y6" s="214">
        <v>3.382</v>
      </c>
      <c r="Z6" s="135">
        <f t="shared" si="1"/>
        <v>15827.76</v>
      </c>
      <c r="AA6" s="136">
        <f t="shared" si="2"/>
        <v>122665.14</v>
      </c>
      <c r="AB6" s="227"/>
      <c r="AC6" s="211" t="s">
        <v>415</v>
      </c>
      <c r="AD6" s="139" t="s">
        <v>416</v>
      </c>
      <c r="AE6" s="140" t="s">
        <v>436</v>
      </c>
      <c r="AF6" s="141" t="s">
        <v>425</v>
      </c>
      <c r="AG6" s="211">
        <f>2340+1404+468+468</f>
        <v>4680</v>
      </c>
      <c r="AH6" s="130">
        <f>AG6-H6</f>
        <v>0</v>
      </c>
      <c r="AI6" s="216"/>
      <c r="AJ6" s="216"/>
      <c r="AK6" s="211"/>
      <c r="AL6" s="211"/>
      <c r="AM6" s="217"/>
      <c r="AN6" s="217"/>
      <c r="AO6" s="217"/>
      <c r="AP6" s="217"/>
      <c r="AQ6" s="217"/>
      <c r="AR6" s="217"/>
      <c r="AS6" s="217"/>
    </row>
    <row r="7" s="118" customFormat="1" ht="25" customHeight="1" spans="1:45">
      <c r="A7" s="187">
        <v>46094</v>
      </c>
      <c r="B7" s="188" t="s">
        <v>437</v>
      </c>
      <c r="C7" s="187" t="s">
        <v>91</v>
      </c>
      <c r="D7" s="189"/>
      <c r="E7" s="189" t="s">
        <v>208</v>
      </c>
      <c r="F7" s="190">
        <v>1426146</v>
      </c>
      <c r="G7" s="190" t="s">
        <v>209</v>
      </c>
      <c r="H7" s="450">
        <v>4002</v>
      </c>
      <c r="I7" s="192">
        <v>6</v>
      </c>
      <c r="J7" s="150">
        <f t="shared" si="0"/>
        <v>667</v>
      </c>
      <c r="K7" s="144">
        <v>46220</v>
      </c>
      <c r="L7" s="193">
        <v>46223</v>
      </c>
      <c r="M7" s="187"/>
      <c r="N7" s="194"/>
      <c r="O7" s="171">
        <v>46237</v>
      </c>
      <c r="P7" s="187">
        <v>46219</v>
      </c>
      <c r="Q7" s="187"/>
      <c r="R7" s="195"/>
      <c r="S7" s="154" t="s">
        <v>438</v>
      </c>
      <c r="T7" s="199" t="s">
        <v>439</v>
      </c>
      <c r="U7" s="188" t="s">
        <v>440</v>
      </c>
      <c r="V7" s="177" t="s">
        <v>441</v>
      </c>
      <c r="W7" s="196" t="s">
        <v>442</v>
      </c>
      <c r="X7" s="196" t="s">
        <v>443</v>
      </c>
      <c r="Y7" s="197">
        <v>2.59</v>
      </c>
      <c r="Z7" s="158">
        <f t="shared" si="1"/>
        <v>10365.18</v>
      </c>
      <c r="AA7" s="159">
        <f t="shared" si="2"/>
        <v>80330.15</v>
      </c>
      <c r="AB7" s="451"/>
      <c r="AC7" s="198" t="s">
        <v>415</v>
      </c>
      <c r="AD7" s="162" t="s">
        <v>416</v>
      </c>
      <c r="AE7" s="176" t="s">
        <v>436</v>
      </c>
      <c r="AF7" s="164" t="s">
        <v>425</v>
      </c>
      <c r="AG7" s="195">
        <f>3168+102+732</f>
        <v>4002</v>
      </c>
      <c r="AH7" s="153">
        <f>AG7-H7</f>
        <v>0</v>
      </c>
      <c r="AI7" s="195"/>
      <c r="AJ7" s="195"/>
      <c r="AK7" s="195"/>
      <c r="AL7" s="195"/>
      <c r="AM7" s="446" t="s">
        <v>444</v>
      </c>
      <c r="AN7" s="199"/>
      <c r="AO7" s="199"/>
      <c r="AP7" s="199"/>
      <c r="AQ7" s="199"/>
      <c r="AR7" s="199"/>
      <c r="AS7" s="199"/>
    </row>
    <row r="8" s="119" customFormat="1" ht="25" customHeight="1" spans="1:45">
      <c r="A8" s="203">
        <v>46094</v>
      </c>
      <c r="B8" s="226" t="s">
        <v>437</v>
      </c>
      <c r="C8" s="203" t="s">
        <v>210</v>
      </c>
      <c r="D8" s="204"/>
      <c r="E8" s="204" t="s">
        <v>208</v>
      </c>
      <c r="F8" s="205">
        <v>4526169</v>
      </c>
      <c r="G8" s="205" t="s">
        <v>211</v>
      </c>
      <c r="H8" s="674">
        <v>5004</v>
      </c>
      <c r="I8" s="207">
        <v>6</v>
      </c>
      <c r="J8" s="128">
        <f t="shared" si="0"/>
        <v>834</v>
      </c>
      <c r="K8" s="122">
        <v>46220</v>
      </c>
      <c r="L8" s="193">
        <v>46223</v>
      </c>
      <c r="M8" s="203"/>
      <c r="N8" s="210"/>
      <c r="O8" s="671">
        <v>46237</v>
      </c>
      <c r="P8" s="203">
        <v>46219</v>
      </c>
      <c r="Q8" s="203"/>
      <c r="R8" s="216"/>
      <c r="S8" s="131">
        <v>46176</v>
      </c>
      <c r="T8" s="217" t="s">
        <v>445</v>
      </c>
      <c r="U8" s="123" t="s">
        <v>440</v>
      </c>
      <c r="V8" s="212" t="s">
        <v>446</v>
      </c>
      <c r="W8" s="182" t="s">
        <v>447</v>
      </c>
      <c r="X8" s="182" t="s">
        <v>448</v>
      </c>
      <c r="Y8" s="214">
        <v>2.573</v>
      </c>
      <c r="Z8" s="135">
        <f t="shared" si="1"/>
        <v>12875.29</v>
      </c>
      <c r="AA8" s="136">
        <f t="shared" si="2"/>
        <v>99783.5</v>
      </c>
      <c r="AB8" s="178"/>
      <c r="AC8" s="215" t="s">
        <v>415</v>
      </c>
      <c r="AD8" s="139" t="s">
        <v>416</v>
      </c>
      <c r="AE8" s="217" t="s">
        <v>417</v>
      </c>
      <c r="AF8" s="141"/>
      <c r="AG8" s="216"/>
      <c r="AH8" s="130"/>
      <c r="AI8" s="216"/>
      <c r="AJ8" s="216"/>
      <c r="AK8" s="216"/>
      <c r="AL8" s="216"/>
      <c r="AM8" s="218"/>
      <c r="AN8" s="218"/>
      <c r="AO8" s="218"/>
      <c r="AP8" s="218"/>
      <c r="AQ8" s="218"/>
      <c r="AR8" s="218"/>
      <c r="AS8" s="218"/>
    </row>
    <row r="9" s="117" customFormat="1" ht="25" customHeight="1" spans="1:45">
      <c r="A9" s="675">
        <v>45999</v>
      </c>
      <c r="B9" s="676" t="s">
        <v>449</v>
      </c>
      <c r="C9" s="675" t="s">
        <v>450</v>
      </c>
      <c r="D9" s="677"/>
      <c r="E9" s="677" t="s">
        <v>124</v>
      </c>
      <c r="F9" s="678">
        <v>3325110</v>
      </c>
      <c r="G9" s="678" t="s">
        <v>451</v>
      </c>
      <c r="H9" s="679">
        <v>3000</v>
      </c>
      <c r="I9" s="680">
        <v>6</v>
      </c>
      <c r="J9" s="681">
        <v>500</v>
      </c>
      <c r="K9" s="675">
        <v>46223</v>
      </c>
      <c r="L9" s="682">
        <v>46227</v>
      </c>
      <c r="M9" s="675"/>
      <c r="N9" s="683"/>
      <c r="O9" s="171">
        <v>46241</v>
      </c>
      <c r="P9" s="683">
        <v>46192</v>
      </c>
      <c r="Q9" s="677"/>
      <c r="R9" s="211"/>
      <c r="S9" s="684">
        <v>46178</v>
      </c>
      <c r="T9" s="685" t="s">
        <v>452</v>
      </c>
      <c r="U9" s="686" t="s">
        <v>453</v>
      </c>
      <c r="V9" s="687" t="s">
        <v>454</v>
      </c>
      <c r="W9" s="687" t="s">
        <v>455</v>
      </c>
      <c r="X9" s="687" t="s">
        <v>456</v>
      </c>
      <c r="Y9" s="688">
        <v>3.361</v>
      </c>
      <c r="Z9" s="689">
        <f t="shared" si="1"/>
        <v>10083</v>
      </c>
      <c r="AA9" s="690">
        <f t="shared" si="2"/>
        <v>78143.25</v>
      </c>
      <c r="AB9" s="691"/>
      <c r="AC9" s="692" t="s">
        <v>415</v>
      </c>
      <c r="AD9" s="693" t="s">
        <v>424</v>
      </c>
      <c r="AE9" s="686" t="s">
        <v>424</v>
      </c>
      <c r="AF9" s="686" t="s">
        <v>425</v>
      </c>
      <c r="AG9" s="694">
        <v>3000</v>
      </c>
      <c r="AH9" s="130">
        <f t="shared" ref="AH9:AH60" si="3">AG9-H9</f>
        <v>0</v>
      </c>
      <c r="AI9" s="694"/>
      <c r="AJ9" s="686"/>
      <c r="AK9" s="686"/>
      <c r="AL9" s="686"/>
      <c r="AM9" s="685">
        <v>46215</v>
      </c>
      <c r="AN9" s="686"/>
      <c r="AO9" s="686"/>
      <c r="AP9" s="686"/>
      <c r="AQ9" s="218"/>
      <c r="AR9" s="218"/>
      <c r="AS9" s="218"/>
    </row>
    <row r="10" s="119" customFormat="1" ht="25" customHeight="1" spans="1:45">
      <c r="A10" s="440">
        <v>46115</v>
      </c>
      <c r="B10" s="447" t="s">
        <v>457</v>
      </c>
      <c r="C10" s="187" t="s">
        <v>88</v>
      </c>
      <c r="D10" s="189"/>
      <c r="E10" s="189" t="s">
        <v>257</v>
      </c>
      <c r="F10" s="190">
        <v>1026107</v>
      </c>
      <c r="G10" s="190" t="s">
        <v>136</v>
      </c>
      <c r="H10" s="441">
        <v>540</v>
      </c>
      <c r="I10" s="192">
        <v>6</v>
      </c>
      <c r="J10" s="150">
        <f t="shared" ref="J10:J56" si="4">H10/I10</f>
        <v>90</v>
      </c>
      <c r="K10" s="144">
        <v>46224</v>
      </c>
      <c r="L10" s="193">
        <v>46225</v>
      </c>
      <c r="M10" s="187"/>
      <c r="N10" s="194"/>
      <c r="O10" s="671">
        <v>46235</v>
      </c>
      <c r="P10" s="187">
        <v>46202</v>
      </c>
      <c r="Q10" s="187"/>
      <c r="R10" s="389" t="s">
        <v>458</v>
      </c>
      <c r="S10" s="177" t="s">
        <v>459</v>
      </c>
      <c r="T10" s="176" t="s">
        <v>460</v>
      </c>
      <c r="U10" s="176" t="s">
        <v>461</v>
      </c>
      <c r="V10" s="177" t="s">
        <v>462</v>
      </c>
      <c r="W10" s="177" t="s">
        <v>463</v>
      </c>
      <c r="X10" s="443" t="s">
        <v>464</v>
      </c>
      <c r="Y10" s="197">
        <v>4.765</v>
      </c>
      <c r="Z10" s="158">
        <f t="shared" si="1"/>
        <v>2573.1</v>
      </c>
      <c r="AA10" s="159">
        <f t="shared" si="2"/>
        <v>19941.53</v>
      </c>
      <c r="AB10" s="444"/>
      <c r="AC10" s="389" t="s">
        <v>415</v>
      </c>
      <c r="AD10" s="162" t="s">
        <v>416</v>
      </c>
      <c r="AE10" s="163" t="s">
        <v>436</v>
      </c>
      <c r="AF10" s="163" t="s">
        <v>425</v>
      </c>
      <c r="AG10" s="389">
        <f>504+36</f>
        <v>540</v>
      </c>
      <c r="AH10" s="153">
        <f t="shared" si="3"/>
        <v>0</v>
      </c>
      <c r="AI10" s="195"/>
      <c r="AJ10" s="195"/>
      <c r="AK10" s="389"/>
      <c r="AL10" s="389"/>
      <c r="AM10" s="446">
        <v>46197</v>
      </c>
      <c r="AN10" s="176"/>
      <c r="AO10" s="176"/>
      <c r="AP10" s="176"/>
      <c r="AQ10" s="176"/>
      <c r="AR10" s="176"/>
      <c r="AS10" s="176"/>
    </row>
    <row r="11" s="119" customFormat="1" ht="25" customHeight="1" spans="1:45">
      <c r="A11" s="440">
        <v>46115</v>
      </c>
      <c r="B11" s="447" t="s">
        <v>457</v>
      </c>
      <c r="C11" s="187" t="s">
        <v>88</v>
      </c>
      <c r="D11" s="189"/>
      <c r="E11" s="189" t="s">
        <v>258</v>
      </c>
      <c r="F11" s="190">
        <v>1026107</v>
      </c>
      <c r="G11" s="190" t="s">
        <v>136</v>
      </c>
      <c r="H11" s="441">
        <v>336</v>
      </c>
      <c r="I11" s="192">
        <v>6</v>
      </c>
      <c r="J11" s="150">
        <f t="shared" si="4"/>
        <v>56</v>
      </c>
      <c r="K11" s="144">
        <v>46224</v>
      </c>
      <c r="L11" s="193">
        <v>46225</v>
      </c>
      <c r="M11" s="187"/>
      <c r="N11" s="194"/>
      <c r="O11" s="187"/>
      <c r="P11" s="187">
        <v>46223</v>
      </c>
      <c r="Q11" s="187"/>
      <c r="R11" s="389" t="s">
        <v>465</v>
      </c>
      <c r="S11" s="177" t="s">
        <v>459</v>
      </c>
      <c r="T11" s="176" t="s">
        <v>460</v>
      </c>
      <c r="U11" s="176" t="s">
        <v>461</v>
      </c>
      <c r="V11" s="177" t="s">
        <v>462</v>
      </c>
      <c r="W11" s="177" t="s">
        <v>463</v>
      </c>
      <c r="X11" s="443" t="s">
        <v>464</v>
      </c>
      <c r="Y11" s="197">
        <v>4.765</v>
      </c>
      <c r="Z11" s="158">
        <f t="shared" si="1"/>
        <v>1601.04</v>
      </c>
      <c r="AA11" s="159">
        <f t="shared" si="2"/>
        <v>12408.06</v>
      </c>
      <c r="AB11" s="444"/>
      <c r="AC11" s="389" t="s">
        <v>415</v>
      </c>
      <c r="AD11" s="162" t="s">
        <v>416</v>
      </c>
      <c r="AE11" s="176" t="s">
        <v>436</v>
      </c>
      <c r="AF11" s="176" t="s">
        <v>425</v>
      </c>
      <c r="AG11" s="389">
        <v>336</v>
      </c>
      <c r="AH11" s="153">
        <f t="shared" si="3"/>
        <v>0</v>
      </c>
      <c r="AI11" s="195"/>
      <c r="AJ11" s="195"/>
      <c r="AK11" s="389"/>
      <c r="AL11" s="389"/>
      <c r="AM11" s="446">
        <v>46203</v>
      </c>
      <c r="AN11" s="176"/>
      <c r="AO11" s="176"/>
      <c r="AP11" s="176"/>
      <c r="AQ11" s="176"/>
      <c r="AR11" s="176"/>
      <c r="AS11" s="176"/>
    </row>
    <row r="12" s="117" customFormat="1" ht="25" customHeight="1" spans="1:45">
      <c r="A12" s="203">
        <v>46080</v>
      </c>
      <c r="B12" s="226" t="s">
        <v>466</v>
      </c>
      <c r="C12" s="203" t="s">
        <v>91</v>
      </c>
      <c r="D12" s="204"/>
      <c r="E12" s="204" t="s">
        <v>170</v>
      </c>
      <c r="F12" s="205">
        <v>1426155</v>
      </c>
      <c r="G12" s="205" t="s">
        <v>171</v>
      </c>
      <c r="H12" s="206">
        <v>9210</v>
      </c>
      <c r="I12" s="207">
        <v>6</v>
      </c>
      <c r="J12" s="128">
        <f t="shared" si="4"/>
        <v>1535</v>
      </c>
      <c r="K12" s="122">
        <v>46227</v>
      </c>
      <c r="L12" s="180">
        <v>46230</v>
      </c>
      <c r="M12" s="203"/>
      <c r="N12" s="210"/>
      <c r="O12" s="171">
        <v>46231</v>
      </c>
      <c r="P12" s="203">
        <v>46219</v>
      </c>
      <c r="Q12" s="203"/>
      <c r="R12" s="216"/>
      <c r="S12" s="181"/>
      <c r="T12" s="217" t="s">
        <v>467</v>
      </c>
      <c r="U12" s="226" t="s">
        <v>468</v>
      </c>
      <c r="V12" s="212" t="s">
        <v>441</v>
      </c>
      <c r="W12" s="182" t="s">
        <v>469</v>
      </c>
      <c r="X12" s="182" t="s">
        <v>470</v>
      </c>
      <c r="Y12" s="214">
        <v>4.335</v>
      </c>
      <c r="Z12" s="135">
        <f t="shared" si="1"/>
        <v>39925.35</v>
      </c>
      <c r="AA12" s="136">
        <f t="shared" si="2"/>
        <v>309421.46</v>
      </c>
      <c r="AB12" s="178"/>
      <c r="AC12" s="215" t="s">
        <v>415</v>
      </c>
      <c r="AD12" s="139" t="s">
        <v>416</v>
      </c>
      <c r="AE12" s="217" t="s">
        <v>424</v>
      </c>
      <c r="AF12" s="211" t="s">
        <v>425</v>
      </c>
      <c r="AG12" s="216">
        <f>4104+3612+1356+138</f>
        <v>9210</v>
      </c>
      <c r="AH12" s="130">
        <f t="shared" si="3"/>
        <v>0</v>
      </c>
      <c r="AI12" s="216"/>
      <c r="AJ12" s="216"/>
      <c r="AK12" s="216"/>
      <c r="AL12" s="216"/>
      <c r="AM12" s="221">
        <v>46219</v>
      </c>
      <c r="AN12" s="218"/>
      <c r="AO12" s="218"/>
      <c r="AP12" s="218"/>
      <c r="AQ12" s="218"/>
      <c r="AR12" s="218"/>
      <c r="AS12" s="218"/>
    </row>
    <row r="13" s="117" customFormat="1" ht="25" customHeight="1" spans="1:45">
      <c r="A13" s="203">
        <v>46080</v>
      </c>
      <c r="B13" s="226" t="s">
        <v>466</v>
      </c>
      <c r="C13" s="203" t="s">
        <v>91</v>
      </c>
      <c r="D13" s="204"/>
      <c r="E13" s="204" t="s">
        <v>172</v>
      </c>
      <c r="F13" s="205">
        <v>1426169</v>
      </c>
      <c r="G13" s="205" t="s">
        <v>173</v>
      </c>
      <c r="H13" s="206">
        <v>9000</v>
      </c>
      <c r="I13" s="695">
        <v>6</v>
      </c>
      <c r="J13" s="696">
        <f t="shared" si="4"/>
        <v>1500</v>
      </c>
      <c r="K13" s="122">
        <v>46227</v>
      </c>
      <c r="L13" s="180">
        <v>46230</v>
      </c>
      <c r="M13" s="203"/>
      <c r="N13" s="210"/>
      <c r="O13" s="171">
        <v>46242</v>
      </c>
      <c r="P13" s="210">
        <v>46220</v>
      </c>
      <c r="Q13" s="203"/>
      <c r="R13" s="216"/>
      <c r="S13" s="181">
        <v>46196</v>
      </c>
      <c r="T13" s="217" t="s">
        <v>471</v>
      </c>
      <c r="U13" s="226" t="s">
        <v>472</v>
      </c>
      <c r="V13" s="212" t="s">
        <v>441</v>
      </c>
      <c r="W13" s="182" t="s">
        <v>473</v>
      </c>
      <c r="X13" s="182" t="s">
        <v>470</v>
      </c>
      <c r="Y13" s="214">
        <v>2.573</v>
      </c>
      <c r="Z13" s="135">
        <f t="shared" si="1"/>
        <v>23157</v>
      </c>
      <c r="AA13" s="136">
        <f t="shared" si="2"/>
        <v>179466.75</v>
      </c>
      <c r="AB13" s="178"/>
      <c r="AC13" s="215" t="s">
        <v>415</v>
      </c>
      <c r="AD13" s="139" t="s">
        <v>416</v>
      </c>
      <c r="AE13" s="217" t="s">
        <v>417</v>
      </c>
      <c r="AF13" s="211"/>
      <c r="AG13" s="216"/>
      <c r="AH13" s="130">
        <f t="shared" si="3"/>
        <v>-9000</v>
      </c>
      <c r="AI13" s="216"/>
      <c r="AJ13" s="216"/>
      <c r="AK13" s="216"/>
      <c r="AL13" s="216"/>
      <c r="AM13" s="218"/>
      <c r="AN13" s="218"/>
      <c r="AO13" s="218"/>
      <c r="AP13" s="218"/>
      <c r="AQ13" s="218"/>
      <c r="AR13" s="218"/>
      <c r="AS13" s="218"/>
    </row>
    <row r="14" s="117" customFormat="1" ht="25" customHeight="1" spans="1:45">
      <c r="A14" s="201">
        <v>46164</v>
      </c>
      <c r="B14" s="204" t="s">
        <v>474</v>
      </c>
      <c r="C14" s="123" t="s">
        <v>236</v>
      </c>
      <c r="D14" s="127"/>
      <c r="E14" s="204" t="s">
        <v>312</v>
      </c>
      <c r="F14" s="207">
        <v>5226146</v>
      </c>
      <c r="G14" s="205" t="s">
        <v>313</v>
      </c>
      <c r="H14" s="206">
        <v>5460</v>
      </c>
      <c r="I14" s="695">
        <v>4</v>
      </c>
      <c r="J14" s="696">
        <f t="shared" si="4"/>
        <v>1365</v>
      </c>
      <c r="K14" s="122">
        <v>46230</v>
      </c>
      <c r="L14" s="180">
        <v>46230</v>
      </c>
      <c r="M14" s="203"/>
      <c r="N14" s="210"/>
      <c r="O14" s="171">
        <v>46237</v>
      </c>
      <c r="P14" s="210">
        <v>46219</v>
      </c>
      <c r="Q14" s="203"/>
      <c r="R14" s="211"/>
      <c r="S14" s="181">
        <v>46197</v>
      </c>
      <c r="T14" s="217" t="s">
        <v>475</v>
      </c>
      <c r="U14" s="226" t="s">
        <v>476</v>
      </c>
      <c r="V14" s="212" t="s">
        <v>477</v>
      </c>
      <c r="W14" s="697" t="s">
        <v>478</v>
      </c>
      <c r="X14" s="213" t="s">
        <v>479</v>
      </c>
      <c r="Y14" s="214">
        <v>2.657</v>
      </c>
      <c r="Z14" s="135">
        <f t="shared" si="1"/>
        <v>14507.22</v>
      </c>
      <c r="AA14" s="136">
        <f t="shared" si="2"/>
        <v>112430.96</v>
      </c>
      <c r="AB14" s="227"/>
      <c r="AC14" s="211" t="s">
        <v>415</v>
      </c>
      <c r="AD14" s="139" t="s">
        <v>416</v>
      </c>
      <c r="AE14" s="217" t="s">
        <v>436</v>
      </c>
      <c r="AF14" s="211" t="s">
        <v>425</v>
      </c>
      <c r="AG14" s="211">
        <f>1260+1680+840+1680</f>
        <v>5460</v>
      </c>
      <c r="AH14" s="130">
        <f t="shared" si="3"/>
        <v>0</v>
      </c>
      <c r="AI14" s="216"/>
      <c r="AJ14" s="216"/>
      <c r="AK14" s="211"/>
      <c r="AL14" s="211"/>
      <c r="AM14" s="217"/>
      <c r="AN14" s="217"/>
      <c r="AO14" s="217"/>
      <c r="AP14" s="217"/>
      <c r="AQ14" s="217"/>
      <c r="AR14" s="217"/>
      <c r="AS14" s="217"/>
    </row>
    <row r="15" s="117" customFormat="1" ht="25" customHeight="1" spans="1:45">
      <c r="A15" s="440">
        <v>46142</v>
      </c>
      <c r="B15" s="189" t="s">
        <v>480</v>
      </c>
      <c r="C15" s="188" t="s">
        <v>98</v>
      </c>
      <c r="D15" s="192"/>
      <c r="E15" s="189" t="s">
        <v>281</v>
      </c>
      <c r="F15" s="192">
        <v>4726146</v>
      </c>
      <c r="G15" s="190" t="s">
        <v>282</v>
      </c>
      <c r="H15" s="441">
        <v>5460</v>
      </c>
      <c r="I15" s="519">
        <v>6</v>
      </c>
      <c r="J15" s="520">
        <f t="shared" si="4"/>
        <v>910</v>
      </c>
      <c r="K15" s="144">
        <v>46231</v>
      </c>
      <c r="L15" s="193">
        <v>46233</v>
      </c>
      <c r="M15" s="187"/>
      <c r="N15" s="194"/>
      <c r="O15" s="171">
        <v>46239</v>
      </c>
      <c r="P15" s="194">
        <v>46220</v>
      </c>
      <c r="Q15" s="187"/>
      <c r="R15" s="389"/>
      <c r="S15" s="185">
        <v>46198</v>
      </c>
      <c r="T15" s="176" t="s">
        <v>481</v>
      </c>
      <c r="U15" s="188" t="s">
        <v>482</v>
      </c>
      <c r="V15" s="177" t="s">
        <v>483</v>
      </c>
      <c r="W15" s="177" t="s">
        <v>484</v>
      </c>
      <c r="X15" s="443" t="s">
        <v>485</v>
      </c>
      <c r="Y15" s="197">
        <v>2.59</v>
      </c>
      <c r="Z15" s="158">
        <f t="shared" si="1"/>
        <v>14141.4</v>
      </c>
      <c r="AA15" s="159">
        <f t="shared" si="2"/>
        <v>109595.85</v>
      </c>
      <c r="AB15" s="444"/>
      <c r="AC15" s="389" t="s">
        <v>415</v>
      </c>
      <c r="AD15" s="162" t="s">
        <v>416</v>
      </c>
      <c r="AE15" s="176" t="s">
        <v>436</v>
      </c>
      <c r="AF15" s="389" t="s">
        <v>425</v>
      </c>
      <c r="AG15" s="389">
        <f>1056+2112+2292</f>
        <v>5460</v>
      </c>
      <c r="AH15" s="153">
        <f t="shared" si="3"/>
        <v>0</v>
      </c>
      <c r="AI15" s="195"/>
      <c r="AJ15" s="195"/>
      <c r="AK15" s="389"/>
      <c r="AL15" s="389"/>
      <c r="AM15" s="176"/>
      <c r="AN15" s="176"/>
      <c r="AO15" s="176"/>
      <c r="AP15" s="176"/>
      <c r="AQ15" s="176"/>
      <c r="AR15" s="176"/>
      <c r="AS15" s="176"/>
    </row>
    <row r="16" s="119" customFormat="1" ht="25" customHeight="1" spans="1:45">
      <c r="A16" s="187">
        <v>46091</v>
      </c>
      <c r="B16" s="188" t="s">
        <v>486</v>
      </c>
      <c r="C16" s="187" t="s">
        <v>109</v>
      </c>
      <c r="D16" s="189"/>
      <c r="E16" s="189" t="s">
        <v>197</v>
      </c>
      <c r="F16" s="190" t="s">
        <v>198</v>
      </c>
      <c r="G16" s="190" t="s">
        <v>199</v>
      </c>
      <c r="H16" s="450">
        <v>13200</v>
      </c>
      <c r="I16" s="519">
        <v>6</v>
      </c>
      <c r="J16" s="520">
        <f t="shared" si="4"/>
        <v>2200</v>
      </c>
      <c r="K16" s="144">
        <v>46237</v>
      </c>
      <c r="L16" s="698" t="s">
        <v>487</v>
      </c>
      <c r="M16" s="187"/>
      <c r="N16" s="194"/>
      <c r="O16" s="193">
        <v>46242</v>
      </c>
      <c r="P16" s="194">
        <v>46233</v>
      </c>
      <c r="Q16" s="187"/>
      <c r="R16" s="195"/>
      <c r="S16" s="185">
        <v>46206</v>
      </c>
      <c r="T16" s="199" t="s">
        <v>488</v>
      </c>
      <c r="U16" s="188" t="s">
        <v>489</v>
      </c>
      <c r="V16" s="177" t="s">
        <v>490</v>
      </c>
      <c r="W16" s="196" t="s">
        <v>491</v>
      </c>
      <c r="X16" s="443" t="s">
        <v>492</v>
      </c>
      <c r="Y16" s="197">
        <v>2.697</v>
      </c>
      <c r="Z16" s="158">
        <f t="shared" si="1"/>
        <v>35600.4</v>
      </c>
      <c r="AA16" s="159">
        <f t="shared" si="2"/>
        <v>275903.1</v>
      </c>
      <c r="AB16" s="451"/>
      <c r="AC16" s="198" t="s">
        <v>415</v>
      </c>
      <c r="AD16" s="162" t="s">
        <v>416</v>
      </c>
      <c r="AE16" s="176" t="s">
        <v>436</v>
      </c>
      <c r="AF16" s="389" t="s">
        <v>425</v>
      </c>
      <c r="AG16" s="195">
        <f>3024+2520+504+2520+3024+1008+600</f>
        <v>13200</v>
      </c>
      <c r="AH16" s="153">
        <f t="shared" si="3"/>
        <v>0</v>
      </c>
      <c r="AI16" s="195"/>
      <c r="AJ16" s="195"/>
      <c r="AK16" s="195"/>
      <c r="AL16" s="195"/>
      <c r="AM16" s="446">
        <v>46237</v>
      </c>
      <c r="AN16" s="199"/>
      <c r="AO16" s="199"/>
      <c r="AP16" s="199"/>
      <c r="AQ16" s="199"/>
      <c r="AR16" s="199"/>
      <c r="AS16" s="199"/>
    </row>
    <row r="17" s="117" customFormat="1" ht="25" customHeight="1" spans="1:45">
      <c r="A17" s="440">
        <v>46157</v>
      </c>
      <c r="B17" s="189" t="s">
        <v>493</v>
      </c>
      <c r="C17" s="188" t="s">
        <v>152</v>
      </c>
      <c r="D17" s="192"/>
      <c r="E17" s="189" t="s">
        <v>294</v>
      </c>
      <c r="F17" s="192">
        <v>1226168</v>
      </c>
      <c r="G17" s="190" t="s">
        <v>295</v>
      </c>
      <c r="H17" s="441">
        <v>10020</v>
      </c>
      <c r="I17" s="519">
        <v>6</v>
      </c>
      <c r="J17" s="520">
        <f t="shared" si="4"/>
        <v>1670</v>
      </c>
      <c r="K17" s="144">
        <v>46237</v>
      </c>
      <c r="L17" s="193" t="s">
        <v>494</v>
      </c>
      <c r="M17" s="187"/>
      <c r="N17" s="194"/>
      <c r="O17" s="193">
        <v>46241</v>
      </c>
      <c r="P17" s="194">
        <v>46227</v>
      </c>
      <c r="Q17" s="187"/>
      <c r="R17" s="176" t="s">
        <v>495</v>
      </c>
      <c r="S17" s="185">
        <v>46193</v>
      </c>
      <c r="T17" s="176" t="s">
        <v>496</v>
      </c>
      <c r="U17" s="188" t="s">
        <v>497</v>
      </c>
      <c r="V17" s="177" t="s">
        <v>477</v>
      </c>
      <c r="W17" s="177" t="s">
        <v>498</v>
      </c>
      <c r="X17" s="443" t="s">
        <v>499</v>
      </c>
      <c r="Y17" s="197">
        <v>3.45</v>
      </c>
      <c r="Z17" s="158">
        <f t="shared" si="1"/>
        <v>34569</v>
      </c>
      <c r="AA17" s="159">
        <f t="shared" si="2"/>
        <v>267909.75</v>
      </c>
      <c r="AB17" s="444"/>
      <c r="AC17" s="389" t="s">
        <v>415</v>
      </c>
      <c r="AD17" s="162" t="s">
        <v>416</v>
      </c>
      <c r="AE17" s="176" t="s">
        <v>436</v>
      </c>
      <c r="AF17" s="389" t="s">
        <v>425</v>
      </c>
      <c r="AG17" s="389">
        <f>6552+1512+504+1008+444</f>
        <v>10020</v>
      </c>
      <c r="AH17" s="153">
        <f t="shared" si="3"/>
        <v>0</v>
      </c>
      <c r="AI17" s="195"/>
      <c r="AJ17" s="195"/>
      <c r="AK17" s="389"/>
      <c r="AL17" s="389"/>
      <c r="AM17" s="446">
        <v>46235</v>
      </c>
      <c r="AN17" s="176"/>
      <c r="AO17" s="176"/>
      <c r="AP17" s="176"/>
      <c r="AQ17" s="176"/>
      <c r="AR17" s="176"/>
      <c r="AS17" s="176"/>
    </row>
    <row r="18" s="118" customFormat="1" ht="25" customHeight="1" spans="1:45">
      <c r="A18" s="440">
        <v>46098</v>
      </c>
      <c r="B18" s="189" t="s">
        <v>486</v>
      </c>
      <c r="C18" s="144" t="s">
        <v>218</v>
      </c>
      <c r="D18" s="189"/>
      <c r="E18" s="189" t="s">
        <v>221</v>
      </c>
      <c r="F18" s="190" t="s">
        <v>223</v>
      </c>
      <c r="G18" s="190" t="s">
        <v>199</v>
      </c>
      <c r="H18" s="441">
        <v>5280</v>
      </c>
      <c r="I18" s="519">
        <v>6</v>
      </c>
      <c r="J18" s="520">
        <f t="shared" si="4"/>
        <v>880</v>
      </c>
      <c r="K18" s="144">
        <v>46239</v>
      </c>
      <c r="L18" s="698" t="s">
        <v>500</v>
      </c>
      <c r="M18" s="187"/>
      <c r="N18" s="194"/>
      <c r="O18" s="151">
        <v>46250</v>
      </c>
      <c r="P18" s="194">
        <v>46230</v>
      </c>
      <c r="Q18" s="187"/>
      <c r="R18" s="389"/>
      <c r="S18" s="185">
        <v>46210</v>
      </c>
      <c r="T18" s="199" t="s">
        <v>501</v>
      </c>
      <c r="U18" s="188" t="s">
        <v>502</v>
      </c>
      <c r="V18" s="177" t="s">
        <v>490</v>
      </c>
      <c r="W18" s="177" t="s">
        <v>503</v>
      </c>
      <c r="X18" s="443" t="s">
        <v>492</v>
      </c>
      <c r="Y18" s="197">
        <v>2.697</v>
      </c>
      <c r="Z18" s="158">
        <f t="shared" si="1"/>
        <v>14240.16</v>
      </c>
      <c r="AA18" s="159">
        <f t="shared" si="2"/>
        <v>110361.24</v>
      </c>
      <c r="AB18" s="444"/>
      <c r="AC18" s="389" t="s">
        <v>415</v>
      </c>
      <c r="AD18" s="162" t="s">
        <v>416</v>
      </c>
      <c r="AE18" s="176" t="s">
        <v>436</v>
      </c>
      <c r="AF18" s="389" t="s">
        <v>425</v>
      </c>
      <c r="AG18" s="389">
        <f>360+504+2016+1512+504+90+294</f>
        <v>5280</v>
      </c>
      <c r="AH18" s="153">
        <f t="shared" si="3"/>
        <v>0</v>
      </c>
      <c r="AI18" s="195"/>
      <c r="AJ18" s="195"/>
      <c r="AK18" s="389"/>
      <c r="AL18" s="389"/>
      <c r="AM18" s="446">
        <v>46239</v>
      </c>
      <c r="AN18" s="176"/>
      <c r="AO18" s="176"/>
      <c r="AP18" s="176"/>
      <c r="AQ18" s="176"/>
      <c r="AR18" s="176"/>
      <c r="AS18" s="176"/>
    </row>
    <row r="19" s="118" customFormat="1" ht="25" customHeight="1" spans="1:45">
      <c r="A19" s="504">
        <v>46169</v>
      </c>
      <c r="B19" s="570" t="s">
        <v>504</v>
      </c>
      <c r="C19" s="230" t="s">
        <v>105</v>
      </c>
      <c r="D19" s="506"/>
      <c r="E19" s="505" t="s">
        <v>317</v>
      </c>
      <c r="F19" s="506">
        <v>3226159</v>
      </c>
      <c r="G19" s="524" t="s">
        <v>318</v>
      </c>
      <c r="H19" s="507">
        <v>5004</v>
      </c>
      <c r="I19" s="586">
        <v>6</v>
      </c>
      <c r="J19" s="699">
        <f t="shared" si="4"/>
        <v>834</v>
      </c>
      <c r="K19" s="479">
        <v>46252</v>
      </c>
      <c r="L19" s="700">
        <v>46253</v>
      </c>
      <c r="M19" s="508"/>
      <c r="N19" s="509"/>
      <c r="O19" s="229"/>
      <c r="P19" s="509">
        <v>46234</v>
      </c>
      <c r="Q19" s="508"/>
      <c r="R19" s="510"/>
      <c r="S19" s="667">
        <v>46177</v>
      </c>
      <c r="T19" s="516" t="s">
        <v>505</v>
      </c>
      <c r="U19" s="516" t="s">
        <v>506</v>
      </c>
      <c r="V19" s="511" t="s">
        <v>507</v>
      </c>
      <c r="W19" s="701" t="s">
        <v>508</v>
      </c>
      <c r="X19" s="512" t="s">
        <v>509</v>
      </c>
      <c r="Y19" s="668">
        <v>3.651</v>
      </c>
      <c r="Z19" s="513">
        <f t="shared" si="1"/>
        <v>18269.6</v>
      </c>
      <c r="AA19" s="514">
        <f t="shared" si="2"/>
        <v>141589.4</v>
      </c>
      <c r="AB19" s="515"/>
      <c r="AC19" s="498" t="s">
        <v>415</v>
      </c>
      <c r="AD19" s="247" t="s">
        <v>416</v>
      </c>
      <c r="AE19" s="582" t="s">
        <v>424</v>
      </c>
      <c r="AF19" s="517" t="s">
        <v>425</v>
      </c>
      <c r="AG19" s="510">
        <f>4152+774+78</f>
        <v>5004</v>
      </c>
      <c r="AH19" s="130">
        <f t="shared" si="3"/>
        <v>0</v>
      </c>
      <c r="AI19" s="216"/>
      <c r="AJ19" s="216"/>
      <c r="AK19" s="510"/>
      <c r="AL19" s="510"/>
      <c r="AM19" s="582" t="s">
        <v>510</v>
      </c>
      <c r="AN19" s="516"/>
      <c r="AO19" s="516"/>
      <c r="AP19" s="516"/>
      <c r="AQ19" s="516"/>
      <c r="AR19" s="516"/>
      <c r="AS19" s="516"/>
    </row>
    <row r="20" s="119" customFormat="1" ht="25" customHeight="1" spans="1:45">
      <c r="A20" s="440">
        <v>46169</v>
      </c>
      <c r="B20" s="447" t="s">
        <v>504</v>
      </c>
      <c r="C20" s="145" t="s">
        <v>105</v>
      </c>
      <c r="D20" s="519"/>
      <c r="E20" s="189" t="s">
        <v>317</v>
      </c>
      <c r="F20" s="192">
        <v>3226169</v>
      </c>
      <c r="G20" s="147" t="s">
        <v>321</v>
      </c>
      <c r="H20" s="441">
        <v>5004</v>
      </c>
      <c r="I20" s="519">
        <v>6</v>
      </c>
      <c r="J20" s="520">
        <f t="shared" si="4"/>
        <v>834</v>
      </c>
      <c r="K20" s="144">
        <v>46240</v>
      </c>
      <c r="L20" s="193">
        <v>46241</v>
      </c>
      <c r="M20" s="187"/>
      <c r="N20" s="194"/>
      <c r="O20" s="187"/>
      <c r="P20" s="194">
        <v>46234</v>
      </c>
      <c r="Q20" s="187"/>
      <c r="R20" s="389"/>
      <c r="S20" s="185">
        <v>46203</v>
      </c>
      <c r="T20" s="176" t="s">
        <v>511</v>
      </c>
      <c r="U20" s="176" t="s">
        <v>506</v>
      </c>
      <c r="V20" s="177" t="s">
        <v>507</v>
      </c>
      <c r="W20" s="476" t="s">
        <v>512</v>
      </c>
      <c r="X20" s="443" t="s">
        <v>509</v>
      </c>
      <c r="Y20" s="197">
        <v>2.573</v>
      </c>
      <c r="Z20" s="158">
        <f t="shared" si="1"/>
        <v>12875.29</v>
      </c>
      <c r="AA20" s="159">
        <f t="shared" si="2"/>
        <v>99783.5</v>
      </c>
      <c r="AB20" s="444"/>
      <c r="AC20" s="389" t="s">
        <v>415</v>
      </c>
      <c r="AD20" s="162" t="s">
        <v>416</v>
      </c>
      <c r="AE20" s="176" t="s">
        <v>417</v>
      </c>
      <c r="AF20" s="389"/>
      <c r="AG20" s="389"/>
      <c r="AH20" s="153">
        <f t="shared" si="3"/>
        <v>-5004</v>
      </c>
      <c r="AI20" s="195"/>
      <c r="AJ20" s="195"/>
      <c r="AK20" s="389"/>
      <c r="AL20" s="389"/>
      <c r="AM20" s="176"/>
      <c r="AN20" s="176"/>
      <c r="AO20" s="176"/>
      <c r="AP20" s="176"/>
      <c r="AQ20" s="176"/>
      <c r="AR20" s="176"/>
      <c r="AS20" s="176"/>
    </row>
    <row r="21" s="118" customFormat="1" ht="25" customHeight="1" spans="1:45">
      <c r="A21" s="440">
        <v>46157</v>
      </c>
      <c r="B21" s="189" t="s">
        <v>493</v>
      </c>
      <c r="C21" s="145" t="s">
        <v>152</v>
      </c>
      <c r="D21" s="192"/>
      <c r="E21" s="189" t="s">
        <v>298</v>
      </c>
      <c r="F21" s="192">
        <v>1226157</v>
      </c>
      <c r="G21" s="147" t="s">
        <v>299</v>
      </c>
      <c r="H21" s="441">
        <v>8400</v>
      </c>
      <c r="I21" s="519">
        <v>4</v>
      </c>
      <c r="J21" s="520">
        <f t="shared" si="4"/>
        <v>2100</v>
      </c>
      <c r="K21" s="144">
        <v>46240</v>
      </c>
      <c r="L21" s="193" t="s">
        <v>513</v>
      </c>
      <c r="M21" s="187"/>
      <c r="N21" s="194"/>
      <c r="O21" s="151">
        <v>46247</v>
      </c>
      <c r="P21" s="194">
        <v>46230</v>
      </c>
      <c r="Q21" s="187"/>
      <c r="R21" s="176" t="s">
        <v>514</v>
      </c>
      <c r="S21" s="185">
        <v>46212</v>
      </c>
      <c r="T21" s="176" t="s">
        <v>515</v>
      </c>
      <c r="U21" s="188" t="s">
        <v>516</v>
      </c>
      <c r="V21" s="177" t="s">
        <v>477</v>
      </c>
      <c r="W21" s="177" t="s">
        <v>517</v>
      </c>
      <c r="X21" s="443" t="s">
        <v>518</v>
      </c>
      <c r="Y21" s="197">
        <v>4.772</v>
      </c>
      <c r="Z21" s="158">
        <f t="shared" si="1"/>
        <v>40084.8</v>
      </c>
      <c r="AA21" s="159">
        <f t="shared" si="2"/>
        <v>310657.2</v>
      </c>
      <c r="AB21" s="444"/>
      <c r="AC21" s="389" t="s">
        <v>415</v>
      </c>
      <c r="AD21" s="162" t="s">
        <v>416</v>
      </c>
      <c r="AE21" s="176" t="s">
        <v>436</v>
      </c>
      <c r="AF21" s="389" t="s">
        <v>425</v>
      </c>
      <c r="AG21" s="389">
        <f>336+1004+672+2352+3696+340</f>
        <v>8400</v>
      </c>
      <c r="AH21" s="153">
        <f t="shared" si="3"/>
        <v>0</v>
      </c>
      <c r="AI21" s="195"/>
      <c r="AJ21" s="195"/>
      <c r="AK21" s="389"/>
      <c r="AL21" s="389"/>
      <c r="AM21" s="446">
        <v>46240</v>
      </c>
      <c r="AN21" s="176"/>
      <c r="AO21" s="176"/>
      <c r="AP21" s="176"/>
      <c r="AQ21" s="176"/>
      <c r="AR21" s="176"/>
      <c r="AS21" s="176"/>
    </row>
    <row r="22" s="118" customFormat="1" ht="25" customHeight="1" spans="1:45">
      <c r="A22" s="440">
        <v>46151</v>
      </c>
      <c r="B22" s="189" t="s">
        <v>519</v>
      </c>
      <c r="C22" s="145" t="s">
        <v>152</v>
      </c>
      <c r="D22" s="192"/>
      <c r="E22" s="146" t="s">
        <v>292</v>
      </c>
      <c r="F22" s="149">
        <v>1226169</v>
      </c>
      <c r="G22" s="147" t="s">
        <v>293</v>
      </c>
      <c r="H22" s="148">
        <v>6000</v>
      </c>
      <c r="I22" s="519">
        <v>6</v>
      </c>
      <c r="J22" s="520">
        <f t="shared" si="4"/>
        <v>1000</v>
      </c>
      <c r="K22" s="144">
        <v>46241</v>
      </c>
      <c r="L22" s="193">
        <v>46245</v>
      </c>
      <c r="M22" s="187"/>
      <c r="N22" s="194"/>
      <c r="O22" s="193">
        <v>46246</v>
      </c>
      <c r="P22" s="194">
        <v>46231</v>
      </c>
      <c r="Q22" s="187"/>
      <c r="R22" s="389"/>
      <c r="S22" s="185">
        <v>46203</v>
      </c>
      <c r="T22" s="176" t="s">
        <v>520</v>
      </c>
      <c r="U22" s="188" t="s">
        <v>521</v>
      </c>
      <c r="V22" s="177" t="s">
        <v>522</v>
      </c>
      <c r="W22" s="177" t="s">
        <v>523</v>
      </c>
      <c r="X22" s="443" t="s">
        <v>524</v>
      </c>
      <c r="Y22" s="157">
        <v>2.573</v>
      </c>
      <c r="Z22" s="158">
        <f t="shared" si="1"/>
        <v>15438</v>
      </c>
      <c r="AA22" s="159">
        <f t="shared" si="2"/>
        <v>119644.5</v>
      </c>
      <c r="AB22" s="444"/>
      <c r="AC22" s="389" t="s">
        <v>415</v>
      </c>
      <c r="AD22" s="162" t="s">
        <v>416</v>
      </c>
      <c r="AE22" s="176" t="s">
        <v>417</v>
      </c>
      <c r="AF22" s="389"/>
      <c r="AG22" s="389"/>
      <c r="AH22" s="153">
        <f t="shared" si="3"/>
        <v>-6000</v>
      </c>
      <c r="AI22" s="195"/>
      <c r="AJ22" s="195"/>
      <c r="AK22" s="389"/>
      <c r="AL22" s="389"/>
      <c r="AM22" s="176"/>
      <c r="AN22" s="176"/>
      <c r="AO22" s="176"/>
      <c r="AP22" s="176"/>
      <c r="AQ22" s="176"/>
      <c r="AR22" s="176"/>
      <c r="AS22" s="176"/>
    </row>
    <row r="23" s="118" customFormat="1" ht="25" customHeight="1" spans="1:45">
      <c r="A23" s="440">
        <v>46161</v>
      </c>
      <c r="B23" s="189" t="s">
        <v>525</v>
      </c>
      <c r="C23" s="145" t="s">
        <v>174</v>
      </c>
      <c r="D23" s="192"/>
      <c r="E23" s="189" t="s">
        <v>300</v>
      </c>
      <c r="F23" s="192">
        <v>3026146</v>
      </c>
      <c r="G23" s="147" t="s">
        <v>301</v>
      </c>
      <c r="H23" s="148">
        <v>5460</v>
      </c>
      <c r="I23" s="519">
        <v>6</v>
      </c>
      <c r="J23" s="520">
        <f t="shared" si="4"/>
        <v>910</v>
      </c>
      <c r="K23" s="144">
        <v>46241</v>
      </c>
      <c r="L23" s="193">
        <v>46244</v>
      </c>
      <c r="M23" s="187"/>
      <c r="N23" s="194"/>
      <c r="O23" s="193">
        <v>46247</v>
      </c>
      <c r="P23" s="194">
        <v>46239</v>
      </c>
      <c r="Q23" s="187"/>
      <c r="R23" s="389"/>
      <c r="S23" s="177" t="s">
        <v>526</v>
      </c>
      <c r="T23" s="176" t="s">
        <v>527</v>
      </c>
      <c r="U23" s="188" t="s">
        <v>528</v>
      </c>
      <c r="V23" s="177" t="s">
        <v>529</v>
      </c>
      <c r="W23" s="177" t="s">
        <v>530</v>
      </c>
      <c r="X23" s="443" t="s">
        <v>531</v>
      </c>
      <c r="Y23" s="197">
        <v>2.667</v>
      </c>
      <c r="Z23" s="158">
        <f t="shared" si="1"/>
        <v>14561.82</v>
      </c>
      <c r="AA23" s="159">
        <f t="shared" si="2"/>
        <v>112854.11</v>
      </c>
      <c r="AB23" s="444"/>
      <c r="AC23" s="389" t="s">
        <v>415</v>
      </c>
      <c r="AD23" s="162" t="s">
        <v>416</v>
      </c>
      <c r="AE23" s="176" t="s">
        <v>436</v>
      </c>
      <c r="AF23" s="389" t="s">
        <v>425</v>
      </c>
      <c r="AG23" s="389">
        <f>528+294+4224+414</f>
        <v>5460</v>
      </c>
      <c r="AH23" s="153">
        <f t="shared" si="3"/>
        <v>0</v>
      </c>
      <c r="AI23" s="195"/>
      <c r="AJ23" s="195"/>
      <c r="AK23" s="389"/>
      <c r="AL23" s="389"/>
      <c r="AM23" s="446">
        <v>46238</v>
      </c>
      <c r="AN23" s="176"/>
      <c r="AO23" s="176"/>
      <c r="AP23" s="176"/>
      <c r="AQ23" s="176"/>
      <c r="AR23" s="176"/>
      <c r="AS23" s="176"/>
    </row>
    <row r="24" s="118" customFormat="1" ht="25" customHeight="1" spans="1:45">
      <c r="A24" s="440">
        <v>46136</v>
      </c>
      <c r="B24" s="189" t="s">
        <v>532</v>
      </c>
      <c r="C24" s="144" t="s">
        <v>88</v>
      </c>
      <c r="D24" s="189"/>
      <c r="E24" s="189" t="s">
        <v>274</v>
      </c>
      <c r="F24" s="147">
        <v>1026156</v>
      </c>
      <c r="G24" s="147" t="s">
        <v>533</v>
      </c>
      <c r="H24" s="441">
        <v>4800</v>
      </c>
      <c r="I24" s="519">
        <v>6</v>
      </c>
      <c r="J24" s="520">
        <f t="shared" si="4"/>
        <v>800</v>
      </c>
      <c r="K24" s="144">
        <v>46244</v>
      </c>
      <c r="L24" s="193">
        <v>46248</v>
      </c>
      <c r="M24" s="187"/>
      <c r="N24" s="194"/>
      <c r="O24" s="187"/>
      <c r="P24" s="194">
        <v>46232</v>
      </c>
      <c r="Q24" s="187"/>
      <c r="R24" s="389"/>
      <c r="S24" s="185">
        <v>46204</v>
      </c>
      <c r="T24" s="176" t="s">
        <v>534</v>
      </c>
      <c r="U24" s="176" t="s">
        <v>535</v>
      </c>
      <c r="V24" s="177" t="s">
        <v>536</v>
      </c>
      <c r="W24" s="177" t="s">
        <v>537</v>
      </c>
      <c r="X24" s="443" t="s">
        <v>538</v>
      </c>
      <c r="Y24" s="157">
        <v>3.303</v>
      </c>
      <c r="Z24" s="158">
        <f t="shared" si="1"/>
        <v>15854.4</v>
      </c>
      <c r="AA24" s="159">
        <f t="shared" si="2"/>
        <v>122871.6</v>
      </c>
      <c r="AB24" s="444"/>
      <c r="AC24" s="389" t="s">
        <v>415</v>
      </c>
      <c r="AD24" s="162" t="s">
        <v>416</v>
      </c>
      <c r="AE24" s="176" t="s">
        <v>417</v>
      </c>
      <c r="AF24" s="389"/>
      <c r="AG24" s="702"/>
      <c r="AH24" s="153">
        <f t="shared" si="3"/>
        <v>-4800</v>
      </c>
      <c r="AI24" s="429"/>
      <c r="AJ24" s="429"/>
      <c r="AK24" s="436"/>
      <c r="AL24" s="436"/>
      <c r="AM24" s="547"/>
      <c r="AN24" s="547"/>
      <c r="AO24" s="547"/>
      <c r="AP24" s="547"/>
      <c r="AQ24" s="547"/>
      <c r="AR24" s="547"/>
      <c r="AS24" s="547"/>
    </row>
    <row r="25" s="118" customFormat="1" ht="25" customHeight="1" spans="1:45">
      <c r="A25" s="440">
        <v>46163</v>
      </c>
      <c r="B25" s="189" t="s">
        <v>539</v>
      </c>
      <c r="C25" s="188" t="s">
        <v>309</v>
      </c>
      <c r="D25" s="192"/>
      <c r="E25" s="189" t="s">
        <v>310</v>
      </c>
      <c r="F25" s="192">
        <v>3526107</v>
      </c>
      <c r="G25" s="190" t="s">
        <v>311</v>
      </c>
      <c r="H25" s="441">
        <v>5040</v>
      </c>
      <c r="I25" s="519">
        <v>6</v>
      </c>
      <c r="J25" s="703">
        <f t="shared" si="4"/>
        <v>840</v>
      </c>
      <c r="K25" s="194">
        <v>46244</v>
      </c>
      <c r="L25" s="193">
        <v>46251</v>
      </c>
      <c r="M25" s="187"/>
      <c r="N25" s="194"/>
      <c r="O25" s="187"/>
      <c r="P25" s="194">
        <v>46251</v>
      </c>
      <c r="Q25" s="187"/>
      <c r="R25" s="389"/>
      <c r="S25" s="185">
        <v>46198</v>
      </c>
      <c r="T25" s="176" t="s">
        <v>540</v>
      </c>
      <c r="U25" s="188" t="s">
        <v>541</v>
      </c>
      <c r="V25" s="177" t="s">
        <v>542</v>
      </c>
      <c r="W25" s="177" t="s">
        <v>543</v>
      </c>
      <c r="X25" s="443" t="s">
        <v>544</v>
      </c>
      <c r="Y25" s="197">
        <v>4.029</v>
      </c>
      <c r="Z25" s="538">
        <f t="shared" si="1"/>
        <v>20306.16</v>
      </c>
      <c r="AA25" s="539">
        <f t="shared" si="2"/>
        <v>157372.74</v>
      </c>
      <c r="AB25" s="444"/>
      <c r="AC25" s="389" t="s">
        <v>415</v>
      </c>
      <c r="AD25" s="446" t="s">
        <v>416</v>
      </c>
      <c r="AE25" s="176" t="s">
        <v>436</v>
      </c>
      <c r="AF25" s="176" t="s">
        <v>425</v>
      </c>
      <c r="AG25" s="702">
        <f>252+2520+2016+252</f>
        <v>5040</v>
      </c>
      <c r="AH25" s="153">
        <f t="shared" si="3"/>
        <v>0</v>
      </c>
      <c r="AI25" s="429"/>
      <c r="AJ25" s="429"/>
      <c r="AK25" s="436"/>
      <c r="AL25" s="436"/>
      <c r="AM25" s="438">
        <v>46243</v>
      </c>
      <c r="AN25" s="547"/>
      <c r="AO25" s="547"/>
      <c r="AP25" s="547"/>
      <c r="AQ25" s="547"/>
      <c r="AR25" s="547"/>
      <c r="AS25" s="547"/>
    </row>
    <row r="26" s="118" customFormat="1" ht="25" customHeight="1" spans="1:45">
      <c r="A26" s="540">
        <v>46151</v>
      </c>
      <c r="B26" s="423" t="s">
        <v>519</v>
      </c>
      <c r="C26" s="422" t="s">
        <v>545</v>
      </c>
      <c r="D26" s="425"/>
      <c r="E26" s="423" t="s">
        <v>290</v>
      </c>
      <c r="F26" s="425">
        <v>3326103</v>
      </c>
      <c r="G26" s="424" t="s">
        <v>291</v>
      </c>
      <c r="H26" s="541">
        <v>3000</v>
      </c>
      <c r="I26" s="704">
        <v>6</v>
      </c>
      <c r="J26" s="705">
        <f t="shared" si="4"/>
        <v>500</v>
      </c>
      <c r="K26" s="421">
        <v>46244</v>
      </c>
      <c r="L26" s="706">
        <v>46245</v>
      </c>
      <c r="M26" s="421"/>
      <c r="N26" s="427"/>
      <c r="O26" s="706">
        <v>46246</v>
      </c>
      <c r="P26" s="427">
        <v>46231</v>
      </c>
      <c r="Q26" s="421"/>
      <c r="R26" s="436"/>
      <c r="S26" s="707">
        <v>46207</v>
      </c>
      <c r="T26" s="547" t="s">
        <v>546</v>
      </c>
      <c r="U26" s="422" t="s">
        <v>521</v>
      </c>
      <c r="V26" s="544" t="s">
        <v>547</v>
      </c>
      <c r="W26" s="544" t="s">
        <v>548</v>
      </c>
      <c r="X26" s="545" t="s">
        <v>549</v>
      </c>
      <c r="Y26" s="431">
        <v>1.899</v>
      </c>
      <c r="Z26" s="432">
        <f t="shared" si="1"/>
        <v>5697</v>
      </c>
      <c r="AA26" s="433">
        <f t="shared" si="2"/>
        <v>44151.75</v>
      </c>
      <c r="AB26" s="546"/>
      <c r="AC26" s="436" t="s">
        <v>415</v>
      </c>
      <c r="AD26" s="438" t="s">
        <v>416</v>
      </c>
      <c r="AE26" s="547" t="s">
        <v>424</v>
      </c>
      <c r="AF26" s="547" t="s">
        <v>425</v>
      </c>
      <c r="AG26" s="708">
        <f>2988+12</f>
        <v>3000</v>
      </c>
      <c r="AH26" s="153">
        <f t="shared" si="3"/>
        <v>0</v>
      </c>
      <c r="AI26" s="429"/>
      <c r="AJ26" s="429"/>
      <c r="AK26" s="436"/>
      <c r="AL26" s="436"/>
      <c r="AM26" s="438">
        <v>46248</v>
      </c>
      <c r="AN26" s="547"/>
      <c r="AO26" s="547"/>
      <c r="AP26" s="547"/>
      <c r="AQ26" s="547"/>
      <c r="AR26" s="547"/>
      <c r="AS26" s="547"/>
    </row>
    <row r="27" s="118" customFormat="1" ht="25" customHeight="1" spans="1:45">
      <c r="A27" s="709">
        <v>46091</v>
      </c>
      <c r="B27" s="710" t="s">
        <v>486</v>
      </c>
      <c r="C27" s="709" t="s">
        <v>109</v>
      </c>
      <c r="D27" s="711"/>
      <c r="E27" s="711" t="s">
        <v>194</v>
      </c>
      <c r="F27" s="712" t="s">
        <v>195</v>
      </c>
      <c r="G27" s="712" t="s">
        <v>196</v>
      </c>
      <c r="H27" s="713">
        <v>12360</v>
      </c>
      <c r="I27" s="714">
        <v>6</v>
      </c>
      <c r="J27" s="715">
        <f t="shared" si="4"/>
        <v>2060</v>
      </c>
      <c r="K27" s="421">
        <v>46246</v>
      </c>
      <c r="L27" s="716" t="s">
        <v>550</v>
      </c>
      <c r="M27" s="709"/>
      <c r="N27" s="717"/>
      <c r="O27" s="673">
        <v>46249</v>
      </c>
      <c r="P27" s="717">
        <v>46233</v>
      </c>
      <c r="Q27" s="709"/>
      <c r="R27" s="718"/>
      <c r="S27" s="719">
        <v>46205</v>
      </c>
      <c r="T27" s="720" t="s">
        <v>488</v>
      </c>
      <c r="U27" s="710" t="s">
        <v>489</v>
      </c>
      <c r="V27" s="721" t="s">
        <v>490</v>
      </c>
      <c r="W27" s="722" t="s">
        <v>551</v>
      </c>
      <c r="X27" s="723" t="s">
        <v>552</v>
      </c>
      <c r="Y27" s="724">
        <v>3.317</v>
      </c>
      <c r="Z27" s="725">
        <f t="shared" si="1"/>
        <v>40998.12</v>
      </c>
      <c r="AA27" s="726">
        <f t="shared" si="2"/>
        <v>317735.43</v>
      </c>
      <c r="AB27" s="727"/>
      <c r="AC27" s="452" t="s">
        <v>415</v>
      </c>
      <c r="AD27" s="728" t="s">
        <v>416</v>
      </c>
      <c r="AE27" s="729" t="s">
        <v>436</v>
      </c>
      <c r="AF27" s="452" t="s">
        <v>425</v>
      </c>
      <c r="AG27" s="730">
        <f>504+2016+1512+2016+2520+3024+768</f>
        <v>12360</v>
      </c>
      <c r="AH27" s="153">
        <f t="shared" si="3"/>
        <v>0</v>
      </c>
      <c r="AI27" s="429"/>
      <c r="AJ27" s="429"/>
      <c r="AK27" s="429"/>
      <c r="AL27" s="429"/>
      <c r="AM27" s="438"/>
      <c r="AN27" s="731"/>
      <c r="AO27" s="731"/>
      <c r="AP27" s="731"/>
      <c r="AQ27" s="731"/>
      <c r="AR27" s="731"/>
      <c r="AS27" s="731"/>
    </row>
    <row r="28" s="119" customFormat="1" ht="25" customHeight="1" spans="1:45">
      <c r="A28" s="540">
        <v>46098</v>
      </c>
      <c r="B28" s="423" t="s">
        <v>486</v>
      </c>
      <c r="C28" s="421" t="s">
        <v>218</v>
      </c>
      <c r="D28" s="423"/>
      <c r="E28" s="423" t="s">
        <v>221</v>
      </c>
      <c r="F28" s="424" t="s">
        <v>222</v>
      </c>
      <c r="G28" s="424" t="s">
        <v>196</v>
      </c>
      <c r="H28" s="541">
        <v>4980</v>
      </c>
      <c r="I28" s="704">
        <v>6</v>
      </c>
      <c r="J28" s="705">
        <f t="shared" si="4"/>
        <v>830</v>
      </c>
      <c r="K28" s="709">
        <v>46246</v>
      </c>
      <c r="L28" s="732" t="s">
        <v>553</v>
      </c>
      <c r="M28" s="421"/>
      <c r="N28" s="427"/>
      <c r="O28" s="151">
        <v>46250</v>
      </c>
      <c r="P28" s="427">
        <v>46233</v>
      </c>
      <c r="Q28" s="421"/>
      <c r="R28" s="436"/>
      <c r="S28" s="707">
        <v>46205</v>
      </c>
      <c r="T28" s="731" t="s">
        <v>501</v>
      </c>
      <c r="U28" s="422" t="s">
        <v>502</v>
      </c>
      <c r="V28" s="544" t="s">
        <v>490</v>
      </c>
      <c r="W28" s="544" t="s">
        <v>554</v>
      </c>
      <c r="X28" s="545" t="s">
        <v>552</v>
      </c>
      <c r="Y28" s="431">
        <v>3.317</v>
      </c>
      <c r="Z28" s="432">
        <f t="shared" si="1"/>
        <v>16518.66</v>
      </c>
      <c r="AA28" s="433">
        <f t="shared" si="2"/>
        <v>128019.62</v>
      </c>
      <c r="AB28" s="546"/>
      <c r="AC28" s="436" t="s">
        <v>415</v>
      </c>
      <c r="AD28" s="438" t="s">
        <v>416</v>
      </c>
      <c r="AE28" s="547" t="s">
        <v>436</v>
      </c>
      <c r="AF28" s="436" t="s">
        <v>425</v>
      </c>
      <c r="AG28" s="708">
        <f>504+2016+504+1008+948</f>
        <v>4980</v>
      </c>
      <c r="AH28" s="153">
        <f t="shared" si="3"/>
        <v>0</v>
      </c>
      <c r="AI28" s="429"/>
      <c r="AJ28" s="429"/>
      <c r="AK28" s="436"/>
      <c r="AL28" s="436"/>
      <c r="AM28" s="438"/>
      <c r="AN28" s="547"/>
      <c r="AO28" s="547"/>
      <c r="AP28" s="547"/>
      <c r="AQ28" s="547"/>
      <c r="AR28" s="547"/>
      <c r="AS28" s="547"/>
    </row>
    <row r="29" s="118" customFormat="1" ht="25" customHeight="1" spans="1:45">
      <c r="A29" s="540">
        <v>46121</v>
      </c>
      <c r="B29" s="733" t="s">
        <v>555</v>
      </c>
      <c r="C29" s="421" t="s">
        <v>102</v>
      </c>
      <c r="D29" s="423"/>
      <c r="E29" s="423" t="s">
        <v>263</v>
      </c>
      <c r="F29" s="424">
        <v>3826164</v>
      </c>
      <c r="G29" s="424" t="s">
        <v>264</v>
      </c>
      <c r="H29" s="541">
        <v>5400</v>
      </c>
      <c r="I29" s="704">
        <v>6</v>
      </c>
      <c r="J29" s="705">
        <f t="shared" si="4"/>
        <v>900</v>
      </c>
      <c r="K29" s="709">
        <v>46248</v>
      </c>
      <c r="L29" s="706">
        <v>46251</v>
      </c>
      <c r="M29" s="421"/>
      <c r="N29" s="427"/>
      <c r="O29" s="144"/>
      <c r="P29" s="427">
        <v>46234</v>
      </c>
      <c r="Q29" s="421"/>
      <c r="R29" s="436"/>
      <c r="S29" s="707">
        <v>46210</v>
      </c>
      <c r="T29" s="547" t="s">
        <v>556</v>
      </c>
      <c r="U29" s="547" t="s">
        <v>557</v>
      </c>
      <c r="V29" s="544" t="s">
        <v>558</v>
      </c>
      <c r="W29" s="544" t="s">
        <v>559</v>
      </c>
      <c r="X29" s="545" t="s">
        <v>560</v>
      </c>
      <c r="Y29" s="734">
        <v>2.683</v>
      </c>
      <c r="Z29" s="432">
        <f t="shared" si="1"/>
        <v>14488.2</v>
      </c>
      <c r="AA29" s="433">
        <f t="shared" si="2"/>
        <v>112283.55</v>
      </c>
      <c r="AB29" s="546"/>
      <c r="AC29" s="436" t="s">
        <v>415</v>
      </c>
      <c r="AD29" s="438" t="s">
        <v>416</v>
      </c>
      <c r="AE29" s="547" t="s">
        <v>436</v>
      </c>
      <c r="AF29" s="436" t="s">
        <v>425</v>
      </c>
      <c r="AG29" s="708">
        <f>1944+1008+1368+1080</f>
        <v>5400</v>
      </c>
      <c r="AH29" s="153">
        <f t="shared" si="3"/>
        <v>0</v>
      </c>
      <c r="AI29" s="429"/>
      <c r="AJ29" s="429"/>
      <c r="AK29" s="436"/>
      <c r="AL29" s="436"/>
      <c r="AM29" s="438">
        <v>46248</v>
      </c>
      <c r="AN29" s="547"/>
      <c r="AO29" s="547"/>
      <c r="AP29" s="547"/>
      <c r="AQ29" s="547"/>
      <c r="AR29" s="547"/>
      <c r="AS29" s="547"/>
    </row>
    <row r="30" s="118" customFormat="1" ht="25" customHeight="1" spans="1:45">
      <c r="A30" s="540">
        <v>46111</v>
      </c>
      <c r="B30" s="733" t="s">
        <v>430</v>
      </c>
      <c r="C30" s="421" t="s">
        <v>93</v>
      </c>
      <c r="D30" s="423"/>
      <c r="E30" s="423" t="s">
        <v>247</v>
      </c>
      <c r="F30" s="424">
        <v>1326103</v>
      </c>
      <c r="G30" s="424" t="s">
        <v>248</v>
      </c>
      <c r="H30" s="541">
        <v>4500</v>
      </c>
      <c r="I30" s="704">
        <v>6</v>
      </c>
      <c r="J30" s="705">
        <f t="shared" si="4"/>
        <v>750</v>
      </c>
      <c r="K30" s="709">
        <v>46251</v>
      </c>
      <c r="L30" s="735">
        <v>46254</v>
      </c>
      <c r="M30" s="421"/>
      <c r="N30" s="427"/>
      <c r="O30" s="144"/>
      <c r="P30" s="427">
        <v>46240</v>
      </c>
      <c r="Q30" s="421"/>
      <c r="R30" s="436"/>
      <c r="S30" s="707">
        <v>46218</v>
      </c>
      <c r="T30" s="547" t="s">
        <v>561</v>
      </c>
      <c r="U30" s="547" t="s">
        <v>432</v>
      </c>
      <c r="V30" s="544" t="s">
        <v>562</v>
      </c>
      <c r="W30" s="544" t="s">
        <v>563</v>
      </c>
      <c r="X30" s="545" t="s">
        <v>564</v>
      </c>
      <c r="Y30" s="431">
        <v>1.899</v>
      </c>
      <c r="Z30" s="432">
        <f t="shared" si="1"/>
        <v>8545.5</v>
      </c>
      <c r="AA30" s="433">
        <f t="shared" si="2"/>
        <v>66227.63</v>
      </c>
      <c r="AB30" s="546"/>
      <c r="AC30" s="436" t="s">
        <v>415</v>
      </c>
      <c r="AD30" s="438" t="s">
        <v>416</v>
      </c>
      <c r="AE30" s="547" t="s">
        <v>424</v>
      </c>
      <c r="AF30" s="547" t="s">
        <v>425</v>
      </c>
      <c r="AG30" s="708">
        <f>4470+30</f>
        <v>4500</v>
      </c>
      <c r="AH30" s="153">
        <f t="shared" si="3"/>
        <v>0</v>
      </c>
      <c r="AI30" s="429"/>
      <c r="AJ30" s="429"/>
      <c r="AK30" s="436"/>
      <c r="AL30" s="436"/>
      <c r="AM30" s="547"/>
      <c r="AN30" s="547"/>
      <c r="AO30" s="547"/>
      <c r="AP30" s="547"/>
      <c r="AQ30" s="547"/>
      <c r="AR30" s="547"/>
      <c r="AS30" s="547"/>
    </row>
    <row r="31" s="118" customFormat="1" ht="25" customHeight="1" spans="1:45">
      <c r="A31" s="540">
        <v>46164</v>
      </c>
      <c r="B31" s="423" t="s">
        <v>565</v>
      </c>
      <c r="C31" s="422" t="s">
        <v>314</v>
      </c>
      <c r="D31" s="425"/>
      <c r="E31" s="423" t="s">
        <v>315</v>
      </c>
      <c r="F31" s="424" t="s">
        <v>41</v>
      </c>
      <c r="G31" s="424" t="s">
        <v>316</v>
      </c>
      <c r="H31" s="541">
        <v>7002</v>
      </c>
      <c r="I31" s="704">
        <v>6</v>
      </c>
      <c r="J31" s="705">
        <f t="shared" si="4"/>
        <v>1167</v>
      </c>
      <c r="K31" s="717">
        <f>P31</f>
        <v>46251</v>
      </c>
      <c r="L31" s="735">
        <v>46252</v>
      </c>
      <c r="M31" s="421"/>
      <c r="N31" s="427"/>
      <c r="O31" s="421"/>
      <c r="P31" s="427">
        <v>46251</v>
      </c>
      <c r="Q31" s="421"/>
      <c r="R31" s="436"/>
      <c r="S31" s="707"/>
      <c r="T31" s="547" t="s">
        <v>566</v>
      </c>
      <c r="U31" s="422" t="s">
        <v>535</v>
      </c>
      <c r="V31" s="544" t="s">
        <v>567</v>
      </c>
      <c r="W31" s="736" t="s">
        <v>568</v>
      </c>
      <c r="X31" s="545" t="s">
        <v>569</v>
      </c>
      <c r="Y31" s="431">
        <v>4.335</v>
      </c>
      <c r="Z31" s="432">
        <f t="shared" si="1"/>
        <v>30353.67</v>
      </c>
      <c r="AA31" s="433">
        <f t="shared" si="2"/>
        <v>235240.94</v>
      </c>
      <c r="AB31" s="546"/>
      <c r="AC31" s="436" t="s">
        <v>415</v>
      </c>
      <c r="AD31" s="438" t="s">
        <v>416</v>
      </c>
      <c r="AE31" s="547" t="s">
        <v>424</v>
      </c>
      <c r="AF31" s="436" t="s">
        <v>425</v>
      </c>
      <c r="AG31" s="708">
        <f>2520+3480+954+48</f>
        <v>7002</v>
      </c>
      <c r="AH31" s="153">
        <f t="shared" si="3"/>
        <v>0</v>
      </c>
      <c r="AI31" s="429"/>
      <c r="AJ31" s="429"/>
      <c r="AK31" s="436"/>
      <c r="AL31" s="436"/>
      <c r="AM31" s="547"/>
      <c r="AN31" s="547"/>
      <c r="AO31" s="547"/>
      <c r="AP31" s="547"/>
      <c r="AQ31" s="547"/>
      <c r="AR31" s="547"/>
      <c r="AS31" s="547"/>
    </row>
    <row r="32" s="118" customFormat="1" ht="25" customHeight="1" spans="1:45">
      <c r="A32" s="548">
        <v>46151</v>
      </c>
      <c r="B32" s="551" t="s">
        <v>519</v>
      </c>
      <c r="C32" s="550" t="s">
        <v>152</v>
      </c>
      <c r="D32" s="552"/>
      <c r="E32" s="551" t="s">
        <v>288</v>
      </c>
      <c r="F32" s="552">
        <v>1226156</v>
      </c>
      <c r="G32" s="553" t="s">
        <v>289</v>
      </c>
      <c r="H32" s="579">
        <v>4980</v>
      </c>
      <c r="I32" s="589">
        <v>6</v>
      </c>
      <c r="J32" s="590">
        <f t="shared" si="4"/>
        <v>830</v>
      </c>
      <c r="K32" s="737">
        <v>46251</v>
      </c>
      <c r="L32" s="735">
        <v>46254</v>
      </c>
      <c r="M32" s="528"/>
      <c r="N32" s="556"/>
      <c r="O32" s="528"/>
      <c r="P32" s="556">
        <v>46248</v>
      </c>
      <c r="Q32" s="528"/>
      <c r="R32" s="398"/>
      <c r="S32" s="602">
        <v>46210</v>
      </c>
      <c r="T32" s="592" t="s">
        <v>570</v>
      </c>
      <c r="U32" s="592" t="s">
        <v>571</v>
      </c>
      <c r="V32" s="489" t="s">
        <v>522</v>
      </c>
      <c r="W32" s="558" t="s">
        <v>572</v>
      </c>
      <c r="X32" s="560" t="s">
        <v>524</v>
      </c>
      <c r="Y32" s="738">
        <v>3.303</v>
      </c>
      <c r="Z32" s="562">
        <f t="shared" si="1"/>
        <v>16448.94</v>
      </c>
      <c r="AA32" s="563">
        <f t="shared" si="2"/>
        <v>127479.29</v>
      </c>
      <c r="AB32" s="564"/>
      <c r="AC32" s="565" t="s">
        <v>415</v>
      </c>
      <c r="AD32" s="566" t="s">
        <v>416</v>
      </c>
      <c r="AE32" s="592" t="s">
        <v>436</v>
      </c>
      <c r="AF32" s="565" t="s">
        <v>425</v>
      </c>
      <c r="AG32" s="739"/>
      <c r="AH32" s="130">
        <f t="shared" si="3"/>
        <v>-4980</v>
      </c>
      <c r="AI32" s="567"/>
      <c r="AJ32" s="567"/>
      <c r="AK32" s="398"/>
      <c r="AL32" s="398"/>
      <c r="AM32" s="568"/>
      <c r="AN32" s="568"/>
      <c r="AO32" s="568"/>
      <c r="AP32" s="568"/>
      <c r="AQ32" s="568"/>
      <c r="AR32" s="568"/>
      <c r="AS32" s="568"/>
    </row>
    <row r="33" s="118" customFormat="1" ht="25" customHeight="1" spans="1:45">
      <c r="A33" s="548">
        <v>46111</v>
      </c>
      <c r="B33" s="549" t="s">
        <v>430</v>
      </c>
      <c r="C33" s="528" t="s">
        <v>93</v>
      </c>
      <c r="D33" s="551"/>
      <c r="E33" s="551" t="s">
        <v>247</v>
      </c>
      <c r="F33" s="599">
        <v>1326110</v>
      </c>
      <c r="G33" s="599" t="s">
        <v>249</v>
      </c>
      <c r="H33" s="579">
        <v>6300</v>
      </c>
      <c r="I33" s="589">
        <v>6</v>
      </c>
      <c r="J33" s="590">
        <f t="shared" si="4"/>
        <v>1050</v>
      </c>
      <c r="K33" s="737">
        <v>46251</v>
      </c>
      <c r="L33" s="735">
        <v>46254</v>
      </c>
      <c r="M33" s="528"/>
      <c r="N33" s="556"/>
      <c r="O33" s="528"/>
      <c r="P33" s="556">
        <v>46240</v>
      </c>
      <c r="Q33" s="528"/>
      <c r="R33" s="398"/>
      <c r="S33" s="602">
        <v>46213</v>
      </c>
      <c r="T33" s="592" t="s">
        <v>573</v>
      </c>
      <c r="U33" s="592" t="s">
        <v>432</v>
      </c>
      <c r="V33" s="511" t="s">
        <v>562</v>
      </c>
      <c r="W33" s="558" t="s">
        <v>574</v>
      </c>
      <c r="X33" s="560" t="s">
        <v>575</v>
      </c>
      <c r="Y33" s="738">
        <v>3.06</v>
      </c>
      <c r="Z33" s="562">
        <f t="shared" si="1"/>
        <v>19278</v>
      </c>
      <c r="AA33" s="563">
        <f t="shared" si="2"/>
        <v>149404.5</v>
      </c>
      <c r="AB33" s="564"/>
      <c r="AC33" s="606" t="s">
        <v>415</v>
      </c>
      <c r="AD33" s="566" t="s">
        <v>416</v>
      </c>
      <c r="AE33" s="740" t="s">
        <v>424</v>
      </c>
      <c r="AF33" s="740" t="s">
        <v>425</v>
      </c>
      <c r="AG33" s="739">
        <f>4572</f>
        <v>4572</v>
      </c>
      <c r="AH33" s="130">
        <f t="shared" si="3"/>
        <v>-1728</v>
      </c>
      <c r="AI33" s="567"/>
      <c r="AJ33" s="567"/>
      <c r="AK33" s="398"/>
      <c r="AL33" s="398"/>
      <c r="AM33" s="568"/>
      <c r="AN33" s="568"/>
      <c r="AO33" s="568"/>
      <c r="AP33" s="568"/>
      <c r="AQ33" s="568"/>
      <c r="AR33" s="568"/>
      <c r="AS33" s="568"/>
    </row>
    <row r="34" s="119" customFormat="1" ht="25" customHeight="1" spans="1:45">
      <c r="A34" s="741">
        <v>46121</v>
      </c>
      <c r="B34" s="742" t="s">
        <v>576</v>
      </c>
      <c r="C34" s="743" t="s">
        <v>268</v>
      </c>
      <c r="D34" s="744"/>
      <c r="E34" s="744" t="s">
        <v>269</v>
      </c>
      <c r="F34" s="745">
        <v>3626146</v>
      </c>
      <c r="G34" s="745" t="s">
        <v>270</v>
      </c>
      <c r="H34" s="746">
        <v>8010</v>
      </c>
      <c r="I34" s="747">
        <v>6</v>
      </c>
      <c r="J34" s="748">
        <f t="shared" si="4"/>
        <v>1335</v>
      </c>
      <c r="K34" s="749">
        <v>46252</v>
      </c>
      <c r="L34" s="735">
        <v>46255</v>
      </c>
      <c r="M34" s="743"/>
      <c r="N34" s="750"/>
      <c r="O34" s="743"/>
      <c r="P34" s="750">
        <v>46234</v>
      </c>
      <c r="Q34" s="743"/>
      <c r="R34" s="751"/>
      <c r="S34" s="752">
        <v>46203</v>
      </c>
      <c r="T34" s="753" t="s">
        <v>577</v>
      </c>
      <c r="U34" s="754" t="s">
        <v>578</v>
      </c>
      <c r="V34" s="212" t="s">
        <v>579</v>
      </c>
      <c r="W34" s="755" t="s">
        <v>580</v>
      </c>
      <c r="X34" s="755" t="s">
        <v>581</v>
      </c>
      <c r="Y34" s="756">
        <v>2.59</v>
      </c>
      <c r="Z34" s="757">
        <f t="shared" si="1"/>
        <v>20745.9</v>
      </c>
      <c r="AA34" s="758">
        <f t="shared" si="2"/>
        <v>160780.73</v>
      </c>
      <c r="AB34" s="759"/>
      <c r="AC34" s="751" t="s">
        <v>415</v>
      </c>
      <c r="AD34" s="760" t="s">
        <v>416</v>
      </c>
      <c r="AE34" s="761" t="s">
        <v>436</v>
      </c>
      <c r="AF34" s="751" t="s">
        <v>425</v>
      </c>
      <c r="AG34" s="762">
        <f>4752+1584+1056+528+90</f>
        <v>8010</v>
      </c>
      <c r="AH34" s="130">
        <f t="shared" si="3"/>
        <v>0</v>
      </c>
      <c r="AI34" s="567"/>
      <c r="AJ34" s="567"/>
      <c r="AK34" s="751"/>
      <c r="AL34" s="751"/>
      <c r="AM34" s="760">
        <v>46235</v>
      </c>
      <c r="AN34" s="761"/>
      <c r="AO34" s="761"/>
      <c r="AP34" s="761"/>
      <c r="AQ34" s="761"/>
      <c r="AR34" s="761"/>
      <c r="AS34" s="761"/>
    </row>
    <row r="35" s="119" customFormat="1" ht="25" customHeight="1" spans="1:45">
      <c r="A35" s="548">
        <v>46169</v>
      </c>
      <c r="B35" s="549" t="s">
        <v>504</v>
      </c>
      <c r="C35" s="550" t="s">
        <v>105</v>
      </c>
      <c r="D35" s="552"/>
      <c r="E35" s="551" t="s">
        <v>317</v>
      </c>
      <c r="F35" s="552">
        <v>3226164</v>
      </c>
      <c r="G35" s="553" t="s">
        <v>320</v>
      </c>
      <c r="H35" s="579">
        <v>3000</v>
      </c>
      <c r="I35" s="589">
        <v>6</v>
      </c>
      <c r="J35" s="590">
        <f t="shared" si="4"/>
        <v>500</v>
      </c>
      <c r="K35" s="737">
        <v>46251</v>
      </c>
      <c r="L35" s="735">
        <v>46253</v>
      </c>
      <c r="M35" s="528"/>
      <c r="N35" s="556"/>
      <c r="O35" s="528"/>
      <c r="P35" s="556">
        <v>46234</v>
      </c>
      <c r="Q35" s="528"/>
      <c r="R35" s="398"/>
      <c r="S35" s="602">
        <v>46213</v>
      </c>
      <c r="T35" s="592" t="s">
        <v>582</v>
      </c>
      <c r="U35" s="568" t="s">
        <v>506</v>
      </c>
      <c r="V35" s="511" t="s">
        <v>507</v>
      </c>
      <c r="W35" s="559" t="s">
        <v>583</v>
      </c>
      <c r="X35" s="581" t="s">
        <v>584</v>
      </c>
      <c r="Y35" s="763">
        <v>2.683</v>
      </c>
      <c r="Z35" s="562">
        <f t="shared" si="1"/>
        <v>8049</v>
      </c>
      <c r="AA35" s="563">
        <f t="shared" si="2"/>
        <v>62379.75</v>
      </c>
      <c r="AB35" s="564"/>
      <c r="AC35" s="565" t="s">
        <v>415</v>
      </c>
      <c r="AD35" s="566" t="s">
        <v>416</v>
      </c>
      <c r="AE35" s="607" t="s">
        <v>436</v>
      </c>
      <c r="AF35" s="565" t="s">
        <v>425</v>
      </c>
      <c r="AG35" s="398">
        <f>2520+450+30</f>
        <v>3000</v>
      </c>
      <c r="AH35" s="130">
        <f t="shared" si="3"/>
        <v>0</v>
      </c>
      <c r="AI35" s="567"/>
      <c r="AJ35" s="567"/>
      <c r="AK35" s="398"/>
      <c r="AL35" s="398"/>
      <c r="AM35" s="764">
        <v>46244</v>
      </c>
      <c r="AN35" s="568"/>
      <c r="AO35" s="568"/>
      <c r="AP35" s="568"/>
      <c r="AQ35" s="568"/>
      <c r="AR35" s="568"/>
      <c r="AS35" s="568"/>
    </row>
    <row r="36" s="119" customFormat="1" ht="25" customHeight="1" spans="1:45">
      <c r="A36" s="765">
        <v>46111</v>
      </c>
      <c r="B36" s="766" t="s">
        <v>430</v>
      </c>
      <c r="C36" s="610" t="s">
        <v>93</v>
      </c>
      <c r="D36" s="767"/>
      <c r="E36" s="768" t="s">
        <v>247</v>
      </c>
      <c r="F36" s="769">
        <v>1326164</v>
      </c>
      <c r="G36" s="770" t="s">
        <v>250</v>
      </c>
      <c r="H36" s="613">
        <v>5280</v>
      </c>
      <c r="I36" s="771">
        <v>6</v>
      </c>
      <c r="J36" s="772">
        <f t="shared" si="4"/>
        <v>880</v>
      </c>
      <c r="K36" s="737">
        <v>46253</v>
      </c>
      <c r="L36" s="735">
        <v>46254</v>
      </c>
      <c r="M36" s="584"/>
      <c r="N36" s="773"/>
      <c r="O36" s="584"/>
      <c r="P36" s="773">
        <v>46240</v>
      </c>
      <c r="Q36" s="584"/>
      <c r="R36" s="774"/>
      <c r="S36" s="775">
        <v>46218</v>
      </c>
      <c r="T36" s="592" t="s">
        <v>585</v>
      </c>
      <c r="U36" s="592" t="s">
        <v>432</v>
      </c>
      <c r="V36" s="511" t="s">
        <v>562</v>
      </c>
      <c r="W36" s="776" t="s">
        <v>586</v>
      </c>
      <c r="X36" s="777" t="s">
        <v>587</v>
      </c>
      <c r="Y36" s="622">
        <v>2.64</v>
      </c>
      <c r="Z36" s="778">
        <f t="shared" si="1"/>
        <v>13939.2</v>
      </c>
      <c r="AA36" s="779">
        <f t="shared" si="2"/>
        <v>108028.8</v>
      </c>
      <c r="AB36" s="780"/>
      <c r="AC36" s="781" t="s">
        <v>415</v>
      </c>
      <c r="AD36" s="782" t="s">
        <v>416</v>
      </c>
      <c r="AE36" s="783" t="s">
        <v>436</v>
      </c>
      <c r="AF36" s="784" t="s">
        <v>425</v>
      </c>
      <c r="AG36" s="774"/>
      <c r="AH36" s="130">
        <f t="shared" si="3"/>
        <v>-5280</v>
      </c>
      <c r="AI36" s="785"/>
      <c r="AJ36" s="785"/>
      <c r="AK36" s="774"/>
      <c r="AL36" s="774"/>
      <c r="AM36" s="786"/>
      <c r="AN36" s="786"/>
      <c r="AO36" s="786"/>
      <c r="AP36" s="786"/>
      <c r="AQ36" s="786"/>
      <c r="AR36" s="786"/>
      <c r="AS36" s="786"/>
    </row>
    <row r="37" s="119" customFormat="1" ht="25" customHeight="1" spans="1:45">
      <c r="A37" s="504">
        <v>46121</v>
      </c>
      <c r="B37" s="570" t="s">
        <v>576</v>
      </c>
      <c r="C37" s="229" t="s">
        <v>268</v>
      </c>
      <c r="D37" s="505"/>
      <c r="E37" s="505" t="s">
        <v>269</v>
      </c>
      <c r="F37" s="524">
        <v>3626164</v>
      </c>
      <c r="G37" s="525" t="s">
        <v>271</v>
      </c>
      <c r="H37" s="233">
        <v>5280</v>
      </c>
      <c r="I37" s="586">
        <v>6</v>
      </c>
      <c r="J37" s="699">
        <f t="shared" si="4"/>
        <v>880</v>
      </c>
      <c r="K37" s="737">
        <v>46254</v>
      </c>
      <c r="L37" s="735">
        <v>46255</v>
      </c>
      <c r="M37" s="508"/>
      <c r="N37" s="509"/>
      <c r="O37" s="508"/>
      <c r="P37" s="509">
        <v>46234</v>
      </c>
      <c r="Q37" s="508"/>
      <c r="R37" s="510"/>
      <c r="S37" s="667">
        <v>46218</v>
      </c>
      <c r="T37" s="592" t="s">
        <v>588</v>
      </c>
      <c r="U37" s="577" t="s">
        <v>589</v>
      </c>
      <c r="V37" s="511" t="s">
        <v>579</v>
      </c>
      <c r="W37" s="416" t="s">
        <v>590</v>
      </c>
      <c r="X37" s="491" t="s">
        <v>591</v>
      </c>
      <c r="Y37" s="573">
        <v>2.64</v>
      </c>
      <c r="Z37" s="513">
        <f t="shared" si="1"/>
        <v>13939.2</v>
      </c>
      <c r="AA37" s="514">
        <f t="shared" si="2"/>
        <v>108028.8</v>
      </c>
      <c r="AB37" s="515"/>
      <c r="AC37" s="498" t="s">
        <v>415</v>
      </c>
      <c r="AD37" s="247" t="s">
        <v>416</v>
      </c>
      <c r="AE37" s="532" t="s">
        <v>436</v>
      </c>
      <c r="AF37" s="498" t="s">
        <v>425</v>
      </c>
      <c r="AG37" s="510">
        <f>1008+1008+504</f>
        <v>2520</v>
      </c>
      <c r="AH37" s="130">
        <f t="shared" si="3"/>
        <v>-2760</v>
      </c>
      <c r="AI37" s="216"/>
      <c r="AJ37" s="216"/>
      <c r="AK37" s="510"/>
      <c r="AL37" s="510"/>
      <c r="AM37" s="516"/>
      <c r="AN37" s="516"/>
      <c r="AO37" s="516"/>
      <c r="AP37" s="516"/>
      <c r="AQ37" s="516"/>
      <c r="AR37" s="516"/>
      <c r="AS37" s="516"/>
    </row>
    <row r="38" s="119" customFormat="1" ht="25" customHeight="1" spans="1:45">
      <c r="A38" s="504">
        <v>46189</v>
      </c>
      <c r="B38" s="505" t="s">
        <v>592</v>
      </c>
      <c r="C38" s="419" t="s">
        <v>109</v>
      </c>
      <c r="D38" s="506"/>
      <c r="E38" s="480" t="s">
        <v>324</v>
      </c>
      <c r="F38" s="481" t="s">
        <v>27</v>
      </c>
      <c r="G38" s="525" t="s">
        <v>325</v>
      </c>
      <c r="H38" s="233">
        <v>1758</v>
      </c>
      <c r="I38" s="586">
        <v>6</v>
      </c>
      <c r="J38" s="699">
        <f t="shared" si="4"/>
        <v>293</v>
      </c>
      <c r="K38" s="787">
        <v>46254</v>
      </c>
      <c r="L38" s="735">
        <v>46258</v>
      </c>
      <c r="M38" s="508"/>
      <c r="N38" s="509"/>
      <c r="O38" s="508"/>
      <c r="P38" s="509">
        <v>46251</v>
      </c>
      <c r="Q38" s="508"/>
      <c r="R38" s="510"/>
      <c r="S38" s="667">
        <v>46208</v>
      </c>
      <c r="T38" s="788" t="s">
        <v>593</v>
      </c>
      <c r="U38" s="788" t="s">
        <v>594</v>
      </c>
      <c r="V38" s="489" t="s">
        <v>595</v>
      </c>
      <c r="W38" s="576" t="s">
        <v>596</v>
      </c>
      <c r="X38" s="491" t="s">
        <v>597</v>
      </c>
      <c r="Y38" s="242">
        <v>2.122</v>
      </c>
      <c r="Z38" s="513">
        <f t="shared" si="1"/>
        <v>3730.48</v>
      </c>
      <c r="AA38" s="514">
        <f t="shared" si="2"/>
        <v>28911.22</v>
      </c>
      <c r="AB38" s="515"/>
      <c r="AC38" s="498" t="s">
        <v>415</v>
      </c>
      <c r="AD38" s="247" t="s">
        <v>416</v>
      </c>
      <c r="AE38" s="516" t="s">
        <v>424</v>
      </c>
      <c r="AF38" s="532" t="s">
        <v>425</v>
      </c>
      <c r="AG38" s="510">
        <v>1758</v>
      </c>
      <c r="AH38" s="130">
        <f t="shared" si="3"/>
        <v>0</v>
      </c>
      <c r="AI38" s="510"/>
      <c r="AJ38" s="510"/>
      <c r="AK38" s="510"/>
      <c r="AL38" s="510"/>
      <c r="AM38" s="516"/>
      <c r="AN38" s="516"/>
      <c r="AO38" s="516"/>
      <c r="AP38" s="516"/>
      <c r="AQ38" s="516"/>
      <c r="AR38" s="516"/>
      <c r="AS38" s="516"/>
    </row>
    <row r="39" s="119" customFormat="1" ht="25" customHeight="1" spans="1:45">
      <c r="A39" s="504">
        <v>46189</v>
      </c>
      <c r="B39" s="505" t="s">
        <v>592</v>
      </c>
      <c r="C39" s="419" t="s">
        <v>109</v>
      </c>
      <c r="D39" s="506"/>
      <c r="E39" s="480" t="s">
        <v>324</v>
      </c>
      <c r="F39" s="481" t="s">
        <v>28</v>
      </c>
      <c r="G39" s="525" t="s">
        <v>326</v>
      </c>
      <c r="H39" s="233">
        <v>1650</v>
      </c>
      <c r="I39" s="586">
        <v>6</v>
      </c>
      <c r="J39" s="699">
        <f t="shared" si="4"/>
        <v>275</v>
      </c>
      <c r="K39" s="787">
        <v>46254</v>
      </c>
      <c r="L39" s="789">
        <v>46258</v>
      </c>
      <c r="M39" s="508"/>
      <c r="N39" s="509"/>
      <c r="O39" s="508"/>
      <c r="P39" s="509">
        <v>46251</v>
      </c>
      <c r="Q39" s="508"/>
      <c r="R39" s="510"/>
      <c r="S39" s="667">
        <v>46208</v>
      </c>
      <c r="T39" s="788" t="s">
        <v>593</v>
      </c>
      <c r="U39" s="788" t="s">
        <v>594</v>
      </c>
      <c r="V39" s="489" t="s">
        <v>595</v>
      </c>
      <c r="W39" s="576" t="s">
        <v>598</v>
      </c>
      <c r="X39" s="491" t="s">
        <v>597</v>
      </c>
      <c r="Y39" s="242">
        <v>2.163</v>
      </c>
      <c r="Z39" s="513">
        <f t="shared" si="1"/>
        <v>3568.95</v>
      </c>
      <c r="AA39" s="514">
        <f t="shared" si="2"/>
        <v>27659.36</v>
      </c>
      <c r="AB39" s="515"/>
      <c r="AC39" s="498" t="s">
        <v>415</v>
      </c>
      <c r="AD39" s="247" t="s">
        <v>416</v>
      </c>
      <c r="AE39" s="516" t="s">
        <v>424</v>
      </c>
      <c r="AF39" s="498" t="s">
        <v>425</v>
      </c>
      <c r="AG39" s="510">
        <v>1650</v>
      </c>
      <c r="AH39" s="130">
        <f t="shared" si="3"/>
        <v>0</v>
      </c>
      <c r="AI39" s="510"/>
      <c r="AJ39" s="510"/>
      <c r="AK39" s="510"/>
      <c r="AL39" s="510"/>
      <c r="AM39" s="516"/>
      <c r="AN39" s="516"/>
      <c r="AO39" s="516"/>
      <c r="AP39" s="516"/>
      <c r="AQ39" s="516"/>
      <c r="AR39" s="516"/>
      <c r="AS39" s="516"/>
    </row>
    <row r="40" s="119" customFormat="1" ht="25" customHeight="1" spans="1:45">
      <c r="A40" s="504">
        <v>46189</v>
      </c>
      <c r="B40" s="505" t="s">
        <v>592</v>
      </c>
      <c r="C40" s="419" t="s">
        <v>109</v>
      </c>
      <c r="D40" s="506"/>
      <c r="E40" s="480" t="s">
        <v>324</v>
      </c>
      <c r="F40" s="481" t="s">
        <v>32</v>
      </c>
      <c r="G40" s="525" t="s">
        <v>33</v>
      </c>
      <c r="H40" s="233">
        <v>2202</v>
      </c>
      <c r="I40" s="586">
        <v>6</v>
      </c>
      <c r="J40" s="699">
        <f t="shared" si="4"/>
        <v>367</v>
      </c>
      <c r="K40" s="787">
        <v>46254</v>
      </c>
      <c r="L40" s="789">
        <v>46258</v>
      </c>
      <c r="M40" s="508"/>
      <c r="N40" s="509"/>
      <c r="O40" s="508"/>
      <c r="P40" s="509">
        <v>46251</v>
      </c>
      <c r="Q40" s="508"/>
      <c r="R40" s="510"/>
      <c r="S40" s="667">
        <v>46208</v>
      </c>
      <c r="T40" s="788" t="s">
        <v>599</v>
      </c>
      <c r="U40" s="788" t="s">
        <v>594</v>
      </c>
      <c r="V40" s="489" t="s">
        <v>595</v>
      </c>
      <c r="W40" s="576" t="s">
        <v>600</v>
      </c>
      <c r="X40" s="491" t="s">
        <v>601</v>
      </c>
      <c r="Y40" s="242">
        <v>2.913</v>
      </c>
      <c r="Z40" s="513">
        <f t="shared" si="1"/>
        <v>6414.43</v>
      </c>
      <c r="AA40" s="514">
        <f t="shared" si="2"/>
        <v>49711.83</v>
      </c>
      <c r="AB40" s="515"/>
      <c r="AC40" s="498" t="s">
        <v>415</v>
      </c>
      <c r="AD40" s="247" t="s">
        <v>416</v>
      </c>
      <c r="AE40" s="582" t="s">
        <v>424</v>
      </c>
      <c r="AF40" s="583" t="s">
        <v>425</v>
      </c>
      <c r="AG40" s="510"/>
      <c r="AH40" s="130">
        <f t="shared" si="3"/>
        <v>-2202</v>
      </c>
      <c r="AI40" s="510"/>
      <c r="AJ40" s="510"/>
      <c r="AK40" s="510"/>
      <c r="AL40" s="510"/>
      <c r="AM40" s="516"/>
      <c r="AN40" s="516"/>
      <c r="AO40" s="516"/>
      <c r="AP40" s="516"/>
      <c r="AQ40" s="516"/>
      <c r="AR40" s="516"/>
      <c r="AS40" s="516"/>
    </row>
    <row r="41" s="119" customFormat="1" ht="25" customHeight="1" spans="1:45">
      <c r="A41" s="504">
        <v>46189</v>
      </c>
      <c r="B41" s="505" t="s">
        <v>592</v>
      </c>
      <c r="C41" s="419" t="s">
        <v>109</v>
      </c>
      <c r="D41" s="506"/>
      <c r="E41" s="480" t="s">
        <v>324</v>
      </c>
      <c r="F41" s="481" t="s">
        <v>34</v>
      </c>
      <c r="G41" s="525" t="s">
        <v>327</v>
      </c>
      <c r="H41" s="233">
        <v>600</v>
      </c>
      <c r="I41" s="586">
        <v>6</v>
      </c>
      <c r="J41" s="699">
        <f t="shared" si="4"/>
        <v>100</v>
      </c>
      <c r="K41" s="787">
        <v>46254</v>
      </c>
      <c r="L41" s="789">
        <v>46258</v>
      </c>
      <c r="M41" s="508"/>
      <c r="N41" s="509"/>
      <c r="O41" s="508"/>
      <c r="P41" s="509">
        <v>46251</v>
      </c>
      <c r="Q41" s="508"/>
      <c r="R41" s="510"/>
      <c r="S41" s="667">
        <v>46208</v>
      </c>
      <c r="T41" s="788" t="s">
        <v>593</v>
      </c>
      <c r="U41" s="788" t="s">
        <v>594</v>
      </c>
      <c r="V41" s="489" t="s">
        <v>595</v>
      </c>
      <c r="W41" s="576" t="s">
        <v>602</v>
      </c>
      <c r="X41" s="491" t="s">
        <v>597</v>
      </c>
      <c r="Y41" s="242">
        <v>2.272</v>
      </c>
      <c r="Z41" s="513">
        <f t="shared" si="1"/>
        <v>1363.2</v>
      </c>
      <c r="AA41" s="514">
        <f t="shared" si="2"/>
        <v>10564.8</v>
      </c>
      <c r="AB41" s="515"/>
      <c r="AC41" s="498" t="s">
        <v>415</v>
      </c>
      <c r="AD41" s="247" t="s">
        <v>416</v>
      </c>
      <c r="AE41" s="516" t="s">
        <v>424</v>
      </c>
      <c r="AF41" s="248" t="s">
        <v>425</v>
      </c>
      <c r="AG41" s="510">
        <v>600</v>
      </c>
      <c r="AH41" s="130">
        <f t="shared" si="3"/>
        <v>0</v>
      </c>
      <c r="AI41" s="510"/>
      <c r="AJ41" s="510"/>
      <c r="AK41" s="510"/>
      <c r="AL41" s="510"/>
      <c r="AM41" s="516"/>
      <c r="AN41" s="516"/>
      <c r="AO41" s="516"/>
      <c r="AP41" s="516"/>
      <c r="AQ41" s="516"/>
      <c r="AR41" s="516"/>
      <c r="AS41" s="516"/>
    </row>
    <row r="42" s="119" customFormat="1" ht="25" customHeight="1" spans="1:45">
      <c r="A42" s="504">
        <v>46189</v>
      </c>
      <c r="B42" s="505" t="s">
        <v>592</v>
      </c>
      <c r="C42" s="419" t="s">
        <v>109</v>
      </c>
      <c r="D42" s="506"/>
      <c r="E42" s="480" t="s">
        <v>324</v>
      </c>
      <c r="F42" s="481" t="s">
        <v>332</v>
      </c>
      <c r="G42" s="525" t="s">
        <v>328</v>
      </c>
      <c r="H42" s="233">
        <v>1752</v>
      </c>
      <c r="I42" s="586">
        <v>6</v>
      </c>
      <c r="J42" s="699">
        <f t="shared" si="4"/>
        <v>292</v>
      </c>
      <c r="K42" s="787">
        <v>46254</v>
      </c>
      <c r="L42" s="789">
        <v>46258</v>
      </c>
      <c r="M42" s="508"/>
      <c r="N42" s="509"/>
      <c r="O42" s="508"/>
      <c r="P42" s="509">
        <v>46251</v>
      </c>
      <c r="Q42" s="508"/>
      <c r="R42" s="510"/>
      <c r="S42" s="667">
        <v>46208</v>
      </c>
      <c r="T42" s="501" t="s">
        <v>593</v>
      </c>
      <c r="U42" s="788" t="s">
        <v>594</v>
      </c>
      <c r="V42" s="489" t="s">
        <v>595</v>
      </c>
      <c r="W42" s="576" t="s">
        <v>603</v>
      </c>
      <c r="X42" s="491" t="s">
        <v>604</v>
      </c>
      <c r="Y42" s="242">
        <v>4.62</v>
      </c>
      <c r="Z42" s="513">
        <f t="shared" si="1"/>
        <v>8094.24</v>
      </c>
      <c r="AA42" s="514">
        <f t="shared" si="2"/>
        <v>62730.36</v>
      </c>
      <c r="AB42" s="515"/>
      <c r="AC42" s="498" t="s">
        <v>415</v>
      </c>
      <c r="AD42" s="247" t="s">
        <v>416</v>
      </c>
      <c r="AE42" s="516" t="s">
        <v>424</v>
      </c>
      <c r="AF42" s="517" t="s">
        <v>425</v>
      </c>
      <c r="AG42" s="510"/>
      <c r="AH42" s="130">
        <f t="shared" si="3"/>
        <v>-1752</v>
      </c>
      <c r="AI42" s="510"/>
      <c r="AJ42" s="510"/>
      <c r="AK42" s="510"/>
      <c r="AL42" s="510"/>
      <c r="AM42" s="516"/>
      <c r="AN42" s="516"/>
      <c r="AO42" s="516"/>
      <c r="AP42" s="516"/>
      <c r="AQ42" s="516"/>
      <c r="AR42" s="516"/>
      <c r="AS42" s="516"/>
    </row>
    <row r="43" s="119" customFormat="1" ht="25" customHeight="1" spans="1:45">
      <c r="A43" s="504">
        <v>46189</v>
      </c>
      <c r="B43" s="790" t="s">
        <v>592</v>
      </c>
      <c r="C43" s="478" t="s">
        <v>109</v>
      </c>
      <c r="D43" s="506"/>
      <c r="E43" s="480" t="s">
        <v>329</v>
      </c>
      <c r="F43" s="481" t="s">
        <v>27</v>
      </c>
      <c r="G43" s="525" t="s">
        <v>325</v>
      </c>
      <c r="H43" s="507">
        <v>1758</v>
      </c>
      <c r="I43" s="586">
        <v>6</v>
      </c>
      <c r="J43" s="699">
        <f t="shared" si="4"/>
        <v>293</v>
      </c>
      <c r="K43" s="787">
        <v>46254</v>
      </c>
      <c r="L43" s="789">
        <v>46258</v>
      </c>
      <c r="M43" s="508"/>
      <c r="N43" s="509"/>
      <c r="O43" s="508"/>
      <c r="P43" s="237">
        <v>46251</v>
      </c>
      <c r="Q43" s="508"/>
      <c r="R43" s="510"/>
      <c r="S43" s="667">
        <v>46208</v>
      </c>
      <c r="T43" s="501" t="s">
        <v>593</v>
      </c>
      <c r="U43" s="788" t="s">
        <v>594</v>
      </c>
      <c r="V43" s="489" t="s">
        <v>595</v>
      </c>
      <c r="W43" s="576" t="s">
        <v>605</v>
      </c>
      <c r="X43" s="491" t="s">
        <v>597</v>
      </c>
      <c r="Y43" s="668">
        <v>2.122</v>
      </c>
      <c r="Z43" s="513">
        <f t="shared" si="1"/>
        <v>3730.48</v>
      </c>
      <c r="AA43" s="514">
        <f t="shared" si="2"/>
        <v>28911.22</v>
      </c>
      <c r="AB43" s="515"/>
      <c r="AC43" s="498" t="s">
        <v>415</v>
      </c>
      <c r="AD43" s="247" t="s">
        <v>416</v>
      </c>
      <c r="AE43" s="516" t="s">
        <v>424</v>
      </c>
      <c r="AF43" s="248" t="s">
        <v>425</v>
      </c>
      <c r="AG43" s="510">
        <f>1752</f>
        <v>1752</v>
      </c>
      <c r="AH43" s="130">
        <f t="shared" si="3"/>
        <v>-6</v>
      </c>
      <c r="AI43" s="510"/>
      <c r="AJ43" s="510"/>
      <c r="AK43" s="510"/>
      <c r="AL43" s="510"/>
      <c r="AM43" s="516"/>
      <c r="AN43" s="516"/>
      <c r="AO43" s="516"/>
      <c r="AP43" s="516"/>
      <c r="AQ43" s="516"/>
      <c r="AR43" s="516"/>
      <c r="AS43" s="516"/>
    </row>
    <row r="44" s="119" customFormat="1" ht="25" customHeight="1" spans="1:45">
      <c r="A44" s="504">
        <v>46189</v>
      </c>
      <c r="B44" s="480" t="s">
        <v>592</v>
      </c>
      <c r="C44" s="478" t="s">
        <v>109</v>
      </c>
      <c r="D44" s="506"/>
      <c r="E44" s="480" t="s">
        <v>329</v>
      </c>
      <c r="F44" s="481" t="s">
        <v>28</v>
      </c>
      <c r="G44" s="481" t="s">
        <v>326</v>
      </c>
      <c r="H44" s="507">
        <v>1650</v>
      </c>
      <c r="I44" s="586">
        <v>6</v>
      </c>
      <c r="J44" s="791">
        <f t="shared" si="4"/>
        <v>275</v>
      </c>
      <c r="K44" s="509">
        <v>46254</v>
      </c>
      <c r="L44" s="789">
        <v>46258</v>
      </c>
      <c r="M44" s="508"/>
      <c r="N44" s="509"/>
      <c r="O44" s="508"/>
      <c r="P44" s="509">
        <v>46251</v>
      </c>
      <c r="Q44" s="508"/>
      <c r="R44" s="510"/>
      <c r="S44" s="667">
        <v>46208</v>
      </c>
      <c r="T44" s="501" t="s">
        <v>593</v>
      </c>
      <c r="U44" s="501" t="s">
        <v>594</v>
      </c>
      <c r="V44" s="489" t="s">
        <v>595</v>
      </c>
      <c r="W44" s="701" t="s">
        <v>598</v>
      </c>
      <c r="X44" s="491" t="s">
        <v>597</v>
      </c>
      <c r="Y44" s="668">
        <v>2.163</v>
      </c>
      <c r="Z44" s="792">
        <f t="shared" si="1"/>
        <v>3568.95</v>
      </c>
      <c r="AA44" s="793">
        <f t="shared" si="2"/>
        <v>27659.36</v>
      </c>
      <c r="AB44" s="515"/>
      <c r="AC44" s="565" t="s">
        <v>415</v>
      </c>
      <c r="AD44" s="247" t="s">
        <v>416</v>
      </c>
      <c r="AE44" s="516" t="s">
        <v>424</v>
      </c>
      <c r="AF44" s="794" t="s">
        <v>425</v>
      </c>
      <c r="AG44" s="398">
        <v>1650</v>
      </c>
      <c r="AH44" s="130">
        <f t="shared" si="3"/>
        <v>0</v>
      </c>
      <c r="AI44" s="398"/>
      <c r="AJ44" s="398"/>
      <c r="AK44" s="398"/>
      <c r="AL44" s="398"/>
      <c r="AM44" s="568"/>
      <c r="AN44" s="568"/>
      <c r="AO44" s="568"/>
      <c r="AP44" s="568"/>
      <c r="AQ44" s="568"/>
      <c r="AR44" s="568"/>
      <c r="AS44" s="568"/>
    </row>
    <row r="45" s="119" customFormat="1" ht="25" customHeight="1" spans="1:45">
      <c r="A45" s="548">
        <v>46189</v>
      </c>
      <c r="B45" s="578" t="s">
        <v>592</v>
      </c>
      <c r="C45" s="577" t="s">
        <v>109</v>
      </c>
      <c r="D45" s="552"/>
      <c r="E45" s="578" t="s">
        <v>329</v>
      </c>
      <c r="F45" s="553" t="s">
        <v>32</v>
      </c>
      <c r="G45" s="553" t="s">
        <v>330</v>
      </c>
      <c r="H45" s="579">
        <v>2202</v>
      </c>
      <c r="I45" s="589">
        <v>6</v>
      </c>
      <c r="J45" s="590">
        <f t="shared" si="4"/>
        <v>367</v>
      </c>
      <c r="K45" s="556">
        <v>46254</v>
      </c>
      <c r="L45" s="789">
        <v>46258</v>
      </c>
      <c r="M45" s="528"/>
      <c r="N45" s="556"/>
      <c r="O45" s="528"/>
      <c r="P45" s="556">
        <v>46251</v>
      </c>
      <c r="Q45" s="528"/>
      <c r="R45" s="398"/>
      <c r="S45" s="602">
        <v>46208</v>
      </c>
      <c r="T45" s="788" t="s">
        <v>599</v>
      </c>
      <c r="U45" s="788" t="s">
        <v>594</v>
      </c>
      <c r="V45" s="795" t="s">
        <v>595</v>
      </c>
      <c r="W45" s="580" t="s">
        <v>606</v>
      </c>
      <c r="X45" s="581" t="s">
        <v>601</v>
      </c>
      <c r="Y45" s="561">
        <v>2.913</v>
      </c>
      <c r="Z45" s="562">
        <f t="shared" si="1"/>
        <v>6414.43</v>
      </c>
      <c r="AA45" s="563">
        <f t="shared" si="2"/>
        <v>49711.83</v>
      </c>
      <c r="AB45" s="564"/>
      <c r="AC45" s="565" t="s">
        <v>415</v>
      </c>
      <c r="AD45" s="796" t="s">
        <v>416</v>
      </c>
      <c r="AE45" s="797" t="s">
        <v>424</v>
      </c>
      <c r="AF45" s="794" t="s">
        <v>425</v>
      </c>
      <c r="AG45" s="398"/>
      <c r="AH45" s="130">
        <f t="shared" si="3"/>
        <v>-2202</v>
      </c>
      <c r="AI45" s="398"/>
      <c r="AJ45" s="398"/>
      <c r="AK45" s="398"/>
      <c r="AL45" s="398"/>
      <c r="AM45" s="568"/>
      <c r="AN45" s="568"/>
      <c r="AO45" s="568"/>
      <c r="AP45" s="568"/>
      <c r="AQ45" s="568"/>
      <c r="AR45" s="568"/>
      <c r="AS45" s="568"/>
    </row>
    <row r="46" s="119" customFormat="1" ht="25" customHeight="1" spans="1:45">
      <c r="A46" s="548">
        <v>46189</v>
      </c>
      <c r="B46" s="578" t="s">
        <v>592</v>
      </c>
      <c r="C46" s="577" t="s">
        <v>109</v>
      </c>
      <c r="D46" s="552"/>
      <c r="E46" s="578" t="s">
        <v>329</v>
      </c>
      <c r="F46" s="553" t="s">
        <v>34</v>
      </c>
      <c r="G46" s="553" t="s">
        <v>331</v>
      </c>
      <c r="H46" s="579">
        <v>600</v>
      </c>
      <c r="I46" s="589">
        <v>6</v>
      </c>
      <c r="J46" s="590">
        <f t="shared" si="4"/>
        <v>100</v>
      </c>
      <c r="K46" s="556">
        <v>46254</v>
      </c>
      <c r="L46" s="789">
        <v>46258</v>
      </c>
      <c r="M46" s="528"/>
      <c r="N46" s="556"/>
      <c r="O46" s="528"/>
      <c r="P46" s="556">
        <v>46251</v>
      </c>
      <c r="Q46" s="528"/>
      <c r="R46" s="398"/>
      <c r="S46" s="602">
        <v>46208</v>
      </c>
      <c r="T46" s="788" t="s">
        <v>593</v>
      </c>
      <c r="U46" s="788" t="s">
        <v>594</v>
      </c>
      <c r="V46" s="795" t="s">
        <v>595</v>
      </c>
      <c r="W46" s="580" t="s">
        <v>607</v>
      </c>
      <c r="X46" s="581" t="s">
        <v>597</v>
      </c>
      <c r="Y46" s="561">
        <v>2.272</v>
      </c>
      <c r="Z46" s="562">
        <f t="shared" si="1"/>
        <v>1363.2</v>
      </c>
      <c r="AA46" s="563">
        <f t="shared" si="2"/>
        <v>10564.8</v>
      </c>
      <c r="AB46" s="564"/>
      <c r="AC46" s="565" t="s">
        <v>415</v>
      </c>
      <c r="AD46" s="798" t="s">
        <v>416</v>
      </c>
      <c r="AE46" s="786" t="s">
        <v>424</v>
      </c>
      <c r="AF46" s="799" t="s">
        <v>425</v>
      </c>
      <c r="AG46" s="398">
        <v>600</v>
      </c>
      <c r="AH46" s="130">
        <f t="shared" si="3"/>
        <v>0</v>
      </c>
      <c r="AI46" s="398"/>
      <c r="AJ46" s="398"/>
      <c r="AK46" s="398"/>
      <c r="AL46" s="398"/>
      <c r="AM46" s="568"/>
      <c r="AN46" s="568"/>
      <c r="AO46" s="568"/>
      <c r="AP46" s="568"/>
      <c r="AQ46" s="568"/>
      <c r="AR46" s="568"/>
      <c r="AS46" s="568"/>
    </row>
    <row r="47" s="119" customFormat="1" ht="25" customHeight="1" spans="1:45">
      <c r="A47" s="765">
        <v>46189</v>
      </c>
      <c r="B47" s="768" t="s">
        <v>592</v>
      </c>
      <c r="C47" s="800" t="s">
        <v>109</v>
      </c>
      <c r="D47" s="801"/>
      <c r="E47" s="768" t="s">
        <v>329</v>
      </c>
      <c r="F47" s="802" t="s">
        <v>332</v>
      </c>
      <c r="G47" s="770" t="s">
        <v>328</v>
      </c>
      <c r="H47" s="613">
        <v>1752</v>
      </c>
      <c r="I47" s="771">
        <v>6</v>
      </c>
      <c r="J47" s="772">
        <f t="shared" si="4"/>
        <v>292</v>
      </c>
      <c r="K47" s="616">
        <v>46254</v>
      </c>
      <c r="L47" s="789">
        <v>46258</v>
      </c>
      <c r="M47" s="584"/>
      <c r="N47" s="773"/>
      <c r="O47" s="584"/>
      <c r="P47" s="616">
        <v>46251</v>
      </c>
      <c r="Q47" s="584"/>
      <c r="R47" s="774"/>
      <c r="S47" s="775">
        <v>46208</v>
      </c>
      <c r="T47" s="501" t="s">
        <v>593</v>
      </c>
      <c r="U47" s="803" t="s">
        <v>594</v>
      </c>
      <c r="V47" s="804" t="s">
        <v>595</v>
      </c>
      <c r="W47" s="805" t="s">
        <v>603</v>
      </c>
      <c r="X47" s="806" t="s">
        <v>604</v>
      </c>
      <c r="Y47" s="807">
        <v>4.62</v>
      </c>
      <c r="Z47" s="778">
        <f t="shared" si="1"/>
        <v>8094.24</v>
      </c>
      <c r="AA47" s="779">
        <f t="shared" si="2"/>
        <v>62730.36</v>
      </c>
      <c r="AB47" s="780"/>
      <c r="AC47" s="565" t="s">
        <v>415</v>
      </c>
      <c r="AD47" s="247" t="s">
        <v>416</v>
      </c>
      <c r="AE47" s="516" t="s">
        <v>424</v>
      </c>
      <c r="AF47" s="808" t="s">
        <v>425</v>
      </c>
      <c r="AG47" s="398"/>
      <c r="AH47" s="130">
        <f t="shared" si="3"/>
        <v>-1752</v>
      </c>
      <c r="AI47" s="398"/>
      <c r="AJ47" s="398"/>
      <c r="AK47" s="398"/>
      <c r="AL47" s="398"/>
      <c r="AM47" s="568"/>
      <c r="AN47" s="568"/>
      <c r="AO47" s="568"/>
      <c r="AP47" s="568"/>
      <c r="AQ47" s="568"/>
      <c r="AR47" s="568"/>
      <c r="AS47" s="568"/>
    </row>
    <row r="48" s="119" customFormat="1" ht="25" customHeight="1" spans="1:45">
      <c r="A48" s="504">
        <v>46185</v>
      </c>
      <c r="B48" s="505" t="s">
        <v>608</v>
      </c>
      <c r="C48" s="230" t="s">
        <v>91</v>
      </c>
      <c r="D48" s="506"/>
      <c r="E48" s="505" t="s">
        <v>323</v>
      </c>
      <c r="F48" s="506">
        <v>14441</v>
      </c>
      <c r="G48" s="232" t="s">
        <v>48</v>
      </c>
      <c r="H48" s="233">
        <v>4380</v>
      </c>
      <c r="I48" s="586">
        <v>12</v>
      </c>
      <c r="J48" s="699">
        <f t="shared" si="4"/>
        <v>365</v>
      </c>
      <c r="K48" s="229">
        <v>46254</v>
      </c>
      <c r="L48" s="700">
        <v>46254</v>
      </c>
      <c r="M48" s="508"/>
      <c r="N48" s="509"/>
      <c r="O48" s="508"/>
      <c r="P48" s="237">
        <v>46244</v>
      </c>
      <c r="Q48" s="508"/>
      <c r="R48" s="510"/>
      <c r="S48" s="809">
        <v>46225</v>
      </c>
      <c r="T48" s="582" t="s">
        <v>609</v>
      </c>
      <c r="U48" s="577" t="s">
        <v>610</v>
      </c>
      <c r="V48" s="489" t="s">
        <v>611</v>
      </c>
      <c r="W48" s="250" t="s">
        <v>612</v>
      </c>
      <c r="X48" s="512" t="s">
        <v>613</v>
      </c>
      <c r="Y48" s="573">
        <v>3.374</v>
      </c>
      <c r="Z48" s="513">
        <f t="shared" si="1"/>
        <v>14778.12</v>
      </c>
      <c r="AA48" s="514">
        <f t="shared" si="2"/>
        <v>114530.43</v>
      </c>
      <c r="AB48" s="515"/>
      <c r="AC48" s="498" t="s">
        <v>415</v>
      </c>
      <c r="AD48" s="247" t="s">
        <v>416</v>
      </c>
      <c r="AE48" s="217" t="s">
        <v>417</v>
      </c>
      <c r="AF48" s="810"/>
      <c r="AG48" s="398"/>
      <c r="AH48" s="130">
        <f t="shared" si="3"/>
        <v>-4380</v>
      </c>
      <c r="AI48" s="567"/>
      <c r="AJ48" s="567"/>
      <c r="AK48" s="398"/>
      <c r="AL48" s="398"/>
      <c r="AM48" s="568"/>
      <c r="AN48" s="568"/>
      <c r="AO48" s="568"/>
      <c r="AP48" s="568"/>
      <c r="AQ48" s="568"/>
      <c r="AR48" s="568"/>
      <c r="AS48" s="568"/>
    </row>
    <row r="49" s="119" customFormat="1" ht="25" customHeight="1" spans="1:45">
      <c r="A49" s="811">
        <v>46202</v>
      </c>
      <c r="B49" s="498" t="s">
        <v>592</v>
      </c>
      <c r="C49" s="419" t="s">
        <v>109</v>
      </c>
      <c r="D49" s="510"/>
      <c r="E49" s="498" t="s">
        <v>339</v>
      </c>
      <c r="F49" s="491" t="s">
        <v>340</v>
      </c>
      <c r="G49" s="587" t="s">
        <v>181</v>
      </c>
      <c r="H49" s="588">
        <v>3000</v>
      </c>
      <c r="I49" s="586">
        <v>6</v>
      </c>
      <c r="J49" s="699">
        <f t="shared" si="4"/>
        <v>500</v>
      </c>
      <c r="K49" s="237">
        <v>46254</v>
      </c>
      <c r="L49" s="812">
        <v>46255</v>
      </c>
      <c r="M49" s="510"/>
      <c r="N49" s="510"/>
      <c r="O49" s="510"/>
      <c r="P49" s="237">
        <v>46254</v>
      </c>
      <c r="Q49" s="510"/>
      <c r="R49" s="510"/>
      <c r="S49" s="813">
        <v>46223</v>
      </c>
      <c r="T49" s="582" t="s">
        <v>614</v>
      </c>
      <c r="U49" s="501" t="s">
        <v>594</v>
      </c>
      <c r="V49" s="489" t="s">
        <v>595</v>
      </c>
      <c r="W49" s="797" t="s">
        <v>615</v>
      </c>
      <c r="X49" s="490" t="s">
        <v>616</v>
      </c>
      <c r="Y49" s="593">
        <v>2.825</v>
      </c>
      <c r="Z49" s="814">
        <f t="shared" si="1"/>
        <v>8475</v>
      </c>
      <c r="AA49" s="815">
        <f t="shared" si="2"/>
        <v>65681.25</v>
      </c>
      <c r="AB49" s="816"/>
      <c r="AC49" s="517" t="s">
        <v>415</v>
      </c>
      <c r="AD49" s="247" t="s">
        <v>416</v>
      </c>
      <c r="AE49" s="217" t="s">
        <v>417</v>
      </c>
      <c r="AF49" s="810"/>
      <c r="AG49" s="398"/>
      <c r="AH49" s="130">
        <f t="shared" si="3"/>
        <v>-3000</v>
      </c>
      <c r="AI49" s="398"/>
      <c r="AJ49" s="398"/>
      <c r="AK49" s="398"/>
      <c r="AL49" s="398"/>
      <c r="AM49" s="568"/>
      <c r="AN49" s="568"/>
      <c r="AO49" s="568"/>
      <c r="AP49" s="568"/>
      <c r="AQ49" s="568"/>
      <c r="AR49" s="568"/>
      <c r="AS49" s="568"/>
    </row>
    <row r="50" s="119" customFormat="1" ht="25" customHeight="1" spans="1:45">
      <c r="A50" s="811">
        <v>46206</v>
      </c>
      <c r="B50" s="498" t="s">
        <v>617</v>
      </c>
      <c r="C50" s="583" t="s">
        <v>120</v>
      </c>
      <c r="D50" s="510"/>
      <c r="E50" s="498" t="s">
        <v>341</v>
      </c>
      <c r="F50" s="586">
        <v>1125103</v>
      </c>
      <c r="G50" s="587" t="s">
        <v>4</v>
      </c>
      <c r="H50" s="588">
        <v>2004</v>
      </c>
      <c r="I50" s="586">
        <v>6</v>
      </c>
      <c r="J50" s="699">
        <f t="shared" si="4"/>
        <v>334</v>
      </c>
      <c r="K50" s="237">
        <f>P50-7</f>
        <v>46254</v>
      </c>
      <c r="L50" s="817">
        <v>46261</v>
      </c>
      <c r="M50" s="510"/>
      <c r="N50" s="510"/>
      <c r="O50" s="510"/>
      <c r="P50" s="509">
        <v>46261</v>
      </c>
      <c r="Q50" s="510"/>
      <c r="R50" s="510"/>
      <c r="S50" s="818"/>
      <c r="T50" s="498" t="s">
        <v>618</v>
      </c>
      <c r="U50" s="592" t="s">
        <v>619</v>
      </c>
      <c r="V50" s="582" t="s">
        <v>567</v>
      </c>
      <c r="W50" s="797" t="s">
        <v>620</v>
      </c>
      <c r="X50" s="491" t="s">
        <v>621</v>
      </c>
      <c r="Y50" s="593">
        <v>1.899</v>
      </c>
      <c r="Z50" s="814">
        <f t="shared" si="1"/>
        <v>3805.6</v>
      </c>
      <c r="AA50" s="815">
        <f t="shared" si="2"/>
        <v>29493.4</v>
      </c>
      <c r="AB50" s="816"/>
      <c r="AC50" s="517" t="s">
        <v>415</v>
      </c>
      <c r="AD50" s="247" t="s">
        <v>416</v>
      </c>
      <c r="AE50" s="516" t="s">
        <v>424</v>
      </c>
      <c r="AF50" s="819" t="s">
        <v>425</v>
      </c>
      <c r="AG50" s="398"/>
      <c r="AH50" s="130">
        <f t="shared" si="3"/>
        <v>-2004</v>
      </c>
      <c r="AI50" s="398"/>
      <c r="AJ50" s="398"/>
      <c r="AK50" s="398"/>
      <c r="AL50" s="398"/>
      <c r="AM50" s="568"/>
      <c r="AN50" s="568"/>
      <c r="AO50" s="568"/>
      <c r="AP50" s="568"/>
      <c r="AQ50" s="568"/>
      <c r="AR50" s="568"/>
      <c r="AS50" s="568"/>
    </row>
    <row r="51" s="119" customFormat="1" ht="25" customHeight="1" spans="1:45">
      <c r="A51" s="811">
        <v>46206</v>
      </c>
      <c r="B51" s="498" t="s">
        <v>617</v>
      </c>
      <c r="C51" s="583" t="s">
        <v>120</v>
      </c>
      <c r="D51" s="510"/>
      <c r="E51" s="498" t="s">
        <v>341</v>
      </c>
      <c r="F51" s="586">
        <v>1125155</v>
      </c>
      <c r="G51" s="587" t="s">
        <v>342</v>
      </c>
      <c r="H51" s="588">
        <v>1200</v>
      </c>
      <c r="I51" s="586">
        <v>6</v>
      </c>
      <c r="J51" s="699">
        <f t="shared" si="4"/>
        <v>200</v>
      </c>
      <c r="K51" s="237">
        <f>P51-7</f>
        <v>46254</v>
      </c>
      <c r="L51" s="817">
        <v>46261</v>
      </c>
      <c r="M51" s="510"/>
      <c r="N51" s="510"/>
      <c r="O51" s="510"/>
      <c r="P51" s="509">
        <v>46261</v>
      </c>
      <c r="Q51" s="510"/>
      <c r="R51" s="510"/>
      <c r="S51" s="818"/>
      <c r="T51" s="498" t="s">
        <v>618</v>
      </c>
      <c r="U51" s="592" t="s">
        <v>619</v>
      </c>
      <c r="V51" s="582" t="s">
        <v>567</v>
      </c>
      <c r="W51" s="797" t="s">
        <v>622</v>
      </c>
      <c r="X51" s="582" t="s">
        <v>623</v>
      </c>
      <c r="Y51" s="593">
        <v>4.335</v>
      </c>
      <c r="Z51" s="814">
        <f t="shared" si="1"/>
        <v>5202</v>
      </c>
      <c r="AA51" s="815">
        <f t="shared" si="2"/>
        <v>40315.5</v>
      </c>
      <c r="AB51" s="816"/>
      <c r="AC51" s="517" t="s">
        <v>415</v>
      </c>
      <c r="AD51" s="247" t="s">
        <v>416</v>
      </c>
      <c r="AE51" s="516" t="s">
        <v>424</v>
      </c>
      <c r="AF51" s="808" t="s">
        <v>425</v>
      </c>
      <c r="AG51" s="398"/>
      <c r="AH51" s="130">
        <f t="shared" si="3"/>
        <v>-1200</v>
      </c>
      <c r="AI51" s="398"/>
      <c r="AJ51" s="398"/>
      <c r="AK51" s="398"/>
      <c r="AL51" s="398"/>
      <c r="AM51" s="568"/>
      <c r="AN51" s="568"/>
      <c r="AO51" s="568"/>
      <c r="AP51" s="568"/>
      <c r="AQ51" s="568"/>
      <c r="AR51" s="568"/>
      <c r="AS51" s="568"/>
    </row>
    <row r="52" s="119" customFormat="1" ht="25" customHeight="1" spans="1:45">
      <c r="A52" s="811">
        <v>46206</v>
      </c>
      <c r="B52" s="498" t="s">
        <v>617</v>
      </c>
      <c r="C52" s="498" t="s">
        <v>120</v>
      </c>
      <c r="D52" s="510"/>
      <c r="E52" s="498" t="s">
        <v>341</v>
      </c>
      <c r="F52" s="586">
        <v>1126169</v>
      </c>
      <c r="G52" s="491" t="s">
        <v>181</v>
      </c>
      <c r="H52" s="820">
        <v>1500</v>
      </c>
      <c r="I52" s="586">
        <v>6</v>
      </c>
      <c r="J52" s="791">
        <f t="shared" si="4"/>
        <v>250</v>
      </c>
      <c r="K52" s="509">
        <f>P52-7</f>
        <v>46254</v>
      </c>
      <c r="L52" s="817">
        <v>46261</v>
      </c>
      <c r="M52" s="510"/>
      <c r="N52" s="510"/>
      <c r="O52" s="510"/>
      <c r="P52" s="509">
        <v>46261</v>
      </c>
      <c r="Q52" s="510"/>
      <c r="R52" s="510"/>
      <c r="S52" s="818"/>
      <c r="T52" s="582" t="s">
        <v>624</v>
      </c>
      <c r="U52" s="592" t="s">
        <v>619</v>
      </c>
      <c r="V52" s="582" t="s">
        <v>567</v>
      </c>
      <c r="W52" s="582" t="s">
        <v>625</v>
      </c>
      <c r="X52" s="582" t="s">
        <v>626</v>
      </c>
      <c r="Y52" s="821">
        <v>2.573</v>
      </c>
      <c r="Z52" s="822">
        <f t="shared" si="1"/>
        <v>3859.5</v>
      </c>
      <c r="AA52" s="823">
        <f t="shared" si="2"/>
        <v>29911.13</v>
      </c>
      <c r="AB52" s="816"/>
      <c r="AC52" s="517" t="s">
        <v>415</v>
      </c>
      <c r="AD52" s="247" t="s">
        <v>416</v>
      </c>
      <c r="AE52" s="217" t="s">
        <v>417</v>
      </c>
      <c r="AF52" s="510"/>
      <c r="AG52" s="774"/>
      <c r="AH52" s="130">
        <f t="shared" si="3"/>
        <v>-1500</v>
      </c>
      <c r="AI52" s="774"/>
      <c r="AJ52" s="774"/>
      <c r="AK52" s="774"/>
      <c r="AL52" s="774"/>
      <c r="AM52" s="786"/>
      <c r="AN52" s="786"/>
      <c r="AO52" s="786"/>
      <c r="AP52" s="786"/>
      <c r="AQ52" s="786"/>
      <c r="AR52" s="786"/>
      <c r="AS52" s="786"/>
    </row>
    <row r="53" s="397" customFormat="1" ht="25" customHeight="1" spans="1:45">
      <c r="A53" s="824">
        <v>46202</v>
      </c>
      <c r="B53" s="565" t="s">
        <v>592</v>
      </c>
      <c r="C53" s="577" t="s">
        <v>109</v>
      </c>
      <c r="D53" s="398"/>
      <c r="E53" s="565" t="s">
        <v>339</v>
      </c>
      <c r="F53" s="581" t="s">
        <v>340</v>
      </c>
      <c r="G53" s="581" t="s">
        <v>181</v>
      </c>
      <c r="H53" s="825">
        <v>3000</v>
      </c>
      <c r="I53" s="589">
        <v>6</v>
      </c>
      <c r="J53" s="590">
        <f t="shared" si="4"/>
        <v>500</v>
      </c>
      <c r="K53" s="556">
        <v>46254</v>
      </c>
      <c r="L53" s="817">
        <v>46255</v>
      </c>
      <c r="M53" s="398"/>
      <c r="N53" s="398"/>
      <c r="O53" s="398"/>
      <c r="P53" s="556">
        <v>46264</v>
      </c>
      <c r="Q53" s="826"/>
      <c r="R53" s="398"/>
      <c r="S53" s="591">
        <v>46223</v>
      </c>
      <c r="T53" s="582" t="s">
        <v>624</v>
      </c>
      <c r="U53" s="788" t="s">
        <v>594</v>
      </c>
      <c r="V53" s="489" t="s">
        <v>595</v>
      </c>
      <c r="W53" s="592" t="s">
        <v>615</v>
      </c>
      <c r="X53" s="827" t="s">
        <v>616</v>
      </c>
      <c r="Y53" s="828">
        <v>2.825</v>
      </c>
      <c r="Z53" s="594">
        <f t="shared" si="1"/>
        <v>8475</v>
      </c>
      <c r="AA53" s="595">
        <f t="shared" si="2"/>
        <v>65681.25</v>
      </c>
      <c r="AB53" s="596"/>
      <c r="AC53" s="517" t="s">
        <v>415</v>
      </c>
      <c r="AD53" s="247" t="s">
        <v>416</v>
      </c>
      <c r="AE53" s="582" t="s">
        <v>417</v>
      </c>
      <c r="AF53" s="398"/>
      <c r="AG53" s="398"/>
      <c r="AH53" s="130">
        <f t="shared" si="3"/>
        <v>-3000</v>
      </c>
      <c r="AI53" s="398"/>
      <c r="AJ53" s="398"/>
      <c r="AK53" s="398"/>
      <c r="AL53" s="398"/>
      <c r="AM53" s="568"/>
      <c r="AN53" s="568"/>
      <c r="AO53" s="568"/>
      <c r="AP53" s="568"/>
      <c r="AQ53" s="568"/>
      <c r="AR53" s="568"/>
      <c r="AS53" s="568"/>
    </row>
    <row r="54" s="397" customFormat="1" ht="25" customHeight="1" spans="1:45">
      <c r="A54" s="528">
        <v>45988</v>
      </c>
      <c r="B54" s="550" t="s">
        <v>408</v>
      </c>
      <c r="C54" s="528" t="s">
        <v>116</v>
      </c>
      <c r="D54" s="551"/>
      <c r="E54" s="551" t="s">
        <v>117</v>
      </c>
      <c r="F54" s="599">
        <v>3117070</v>
      </c>
      <c r="G54" s="599" t="s">
        <v>627</v>
      </c>
      <c r="H54" s="579">
        <v>2508</v>
      </c>
      <c r="I54" s="552">
        <v>12</v>
      </c>
      <c r="J54" s="555">
        <f t="shared" si="4"/>
        <v>209</v>
      </c>
      <c r="K54" s="528">
        <v>46266</v>
      </c>
      <c r="L54" s="829"/>
      <c r="M54" s="528"/>
      <c r="N54" s="556"/>
      <c r="O54" s="528"/>
      <c r="P54" s="528">
        <v>46142</v>
      </c>
      <c r="Q54" s="830"/>
      <c r="R54" s="601"/>
      <c r="S54" s="602">
        <v>46007</v>
      </c>
      <c r="T54" s="603" t="s">
        <v>410</v>
      </c>
      <c r="U54" s="603" t="s">
        <v>628</v>
      </c>
      <c r="V54" s="530" t="s">
        <v>412</v>
      </c>
      <c r="W54" s="604" t="s">
        <v>629</v>
      </c>
      <c r="X54" s="604" t="s">
        <v>630</v>
      </c>
      <c r="Y54" s="561">
        <v>2.77</v>
      </c>
      <c r="Z54" s="562">
        <f t="shared" si="1"/>
        <v>6947.16</v>
      </c>
      <c r="AA54" s="563">
        <f t="shared" si="2"/>
        <v>53840.49</v>
      </c>
      <c r="AB54" s="831"/>
      <c r="AC54" s="832" t="s">
        <v>415</v>
      </c>
      <c r="AD54" s="566" t="s">
        <v>416</v>
      </c>
      <c r="AE54" s="532" t="s">
        <v>424</v>
      </c>
      <c r="AF54" s="249" t="s">
        <v>425</v>
      </c>
      <c r="AG54" s="601"/>
      <c r="AH54" s="130">
        <f t="shared" si="3"/>
        <v>-2508</v>
      </c>
      <c r="AI54" s="567"/>
      <c r="AJ54" s="567"/>
      <c r="AK54" s="601"/>
      <c r="AL54" s="601"/>
      <c r="AM54" s="603"/>
      <c r="AN54" s="603"/>
      <c r="AO54" s="603"/>
      <c r="AP54" s="603"/>
      <c r="AQ54" s="603"/>
      <c r="AR54" s="603"/>
      <c r="AS54" s="603"/>
    </row>
    <row r="55" s="397" customFormat="1" ht="25" customHeight="1" spans="1:45">
      <c r="A55" s="824">
        <v>46213</v>
      </c>
      <c r="B55" s="565" t="s">
        <v>493</v>
      </c>
      <c r="C55" s="577" t="s">
        <v>631</v>
      </c>
      <c r="D55" s="398">
        <v>73788</v>
      </c>
      <c r="E55" s="565" t="s">
        <v>343</v>
      </c>
      <c r="F55" s="589">
        <v>1026157</v>
      </c>
      <c r="G55" s="581" t="s">
        <v>297</v>
      </c>
      <c r="H55" s="825">
        <v>2000</v>
      </c>
      <c r="I55" s="589">
        <v>4</v>
      </c>
      <c r="J55" s="590">
        <f t="shared" si="4"/>
        <v>500</v>
      </c>
      <c r="K55" s="528">
        <v>46269</v>
      </c>
      <c r="L55" s="812"/>
      <c r="M55" s="398"/>
      <c r="N55" s="398"/>
      <c r="O55" s="398"/>
      <c r="P55" s="556">
        <v>46269</v>
      </c>
      <c r="Q55" s="826"/>
      <c r="R55" s="582" t="s">
        <v>632</v>
      </c>
      <c r="S55" s="591">
        <v>46233</v>
      </c>
      <c r="T55" s="582" t="s">
        <v>633</v>
      </c>
      <c r="U55" s="833" t="s">
        <v>634</v>
      </c>
      <c r="V55" s="582" t="s">
        <v>635</v>
      </c>
      <c r="W55" s="592" t="s">
        <v>636</v>
      </c>
      <c r="X55" s="592" t="s">
        <v>637</v>
      </c>
      <c r="Y55" s="828">
        <v>4.772</v>
      </c>
      <c r="Z55" s="594">
        <f t="shared" si="1"/>
        <v>9544</v>
      </c>
      <c r="AA55" s="595">
        <f t="shared" si="2"/>
        <v>73966</v>
      </c>
      <c r="AB55" s="596"/>
      <c r="AC55" s="565" t="s">
        <v>415</v>
      </c>
      <c r="AD55" s="566" t="s">
        <v>416</v>
      </c>
      <c r="AE55" s="607" t="s">
        <v>436</v>
      </c>
      <c r="AF55" s="498" t="s">
        <v>425</v>
      </c>
      <c r="AG55" s="398"/>
      <c r="AH55" s="130">
        <f t="shared" si="3"/>
        <v>-2000</v>
      </c>
      <c r="AI55" s="398"/>
      <c r="AJ55" s="398"/>
      <c r="AK55" s="398"/>
      <c r="AL55" s="398"/>
      <c r="AM55" s="568"/>
      <c r="AN55" s="568"/>
      <c r="AO55" s="568"/>
      <c r="AP55" s="568"/>
      <c r="AQ55" s="568"/>
      <c r="AR55" s="568"/>
      <c r="AS55" s="568"/>
    </row>
    <row r="56" s="119" customFormat="1" ht="25" customHeight="1" spans="1:45">
      <c r="A56" s="824">
        <v>46213</v>
      </c>
      <c r="B56" s="834" t="s">
        <v>493</v>
      </c>
      <c r="C56" s="577" t="s">
        <v>152</v>
      </c>
      <c r="D56" s="835">
        <v>73788</v>
      </c>
      <c r="E56" s="836" t="s">
        <v>343</v>
      </c>
      <c r="F56" s="771">
        <v>1226157</v>
      </c>
      <c r="G56" s="806" t="s">
        <v>299</v>
      </c>
      <c r="H56" s="837">
        <v>5000</v>
      </c>
      <c r="I56" s="589">
        <v>4</v>
      </c>
      <c r="J56" s="590">
        <f t="shared" si="4"/>
        <v>1250</v>
      </c>
      <c r="K56" s="528">
        <v>46269</v>
      </c>
      <c r="L56" s="838"/>
      <c r="M56" s="774"/>
      <c r="N56" s="774"/>
      <c r="O56" s="839"/>
      <c r="P56" s="556">
        <v>46269</v>
      </c>
      <c r="Q56" s="826"/>
      <c r="R56" s="582" t="s">
        <v>638</v>
      </c>
      <c r="S56" s="840">
        <v>46233</v>
      </c>
      <c r="T56" s="582" t="s">
        <v>639</v>
      </c>
      <c r="U56" s="833" t="s">
        <v>634</v>
      </c>
      <c r="V56" s="582" t="s">
        <v>640</v>
      </c>
      <c r="W56" s="841" t="s">
        <v>641</v>
      </c>
      <c r="X56" s="841" t="s">
        <v>642</v>
      </c>
      <c r="Y56" s="842">
        <v>4.772</v>
      </c>
      <c r="Z56" s="594">
        <f t="shared" si="1"/>
        <v>23860</v>
      </c>
      <c r="AA56" s="595">
        <f t="shared" si="2"/>
        <v>184915</v>
      </c>
      <c r="AB56" s="843"/>
      <c r="AC56" s="565" t="s">
        <v>415</v>
      </c>
      <c r="AD56" s="566" t="s">
        <v>416</v>
      </c>
      <c r="AE56" s="844" t="s">
        <v>436</v>
      </c>
      <c r="AF56" s="498" t="s">
        <v>425</v>
      </c>
      <c r="AG56" s="774"/>
      <c r="AH56" s="130">
        <f t="shared" si="3"/>
        <v>-5000</v>
      </c>
      <c r="AI56" s="774"/>
      <c r="AJ56" s="774"/>
      <c r="AK56" s="774"/>
      <c r="AL56" s="774"/>
      <c r="AM56" s="786"/>
      <c r="AN56" s="786"/>
      <c r="AO56" s="786"/>
      <c r="AP56" s="786"/>
      <c r="AQ56" s="786"/>
      <c r="AR56" s="786"/>
      <c r="AS56" s="786"/>
    </row>
    <row r="57" s="398" customFormat="1" customHeight="1" spans="1:45">
      <c r="A57" s="824">
        <v>46213</v>
      </c>
      <c r="B57" s="845" t="s">
        <v>493</v>
      </c>
      <c r="C57" s="577" t="s">
        <v>152</v>
      </c>
      <c r="D57" s="398">
        <v>73790</v>
      </c>
      <c r="E57" s="498" t="s">
        <v>343</v>
      </c>
      <c r="F57" s="586">
        <v>1226168</v>
      </c>
      <c r="G57" s="587" t="s">
        <v>295</v>
      </c>
      <c r="H57" s="846">
        <v>1002</v>
      </c>
      <c r="I57" s="589">
        <v>6</v>
      </c>
      <c r="J57" s="847">
        <f>H57/I57+H58/I58</f>
        <v>947</v>
      </c>
      <c r="K57" s="528">
        <v>46269</v>
      </c>
      <c r="L57" s="812"/>
      <c r="M57" s="398"/>
      <c r="N57" s="398"/>
      <c r="O57" s="739"/>
      <c r="P57" s="556">
        <v>46269</v>
      </c>
      <c r="Q57" s="557"/>
      <c r="R57" s="582" t="s">
        <v>643</v>
      </c>
      <c r="S57" s="591">
        <v>46233</v>
      </c>
      <c r="T57" s="582" t="s">
        <v>644</v>
      </c>
      <c r="U57" s="833" t="s">
        <v>634</v>
      </c>
      <c r="V57" s="582" t="s">
        <v>640</v>
      </c>
      <c r="W57" s="592" t="s">
        <v>645</v>
      </c>
      <c r="X57" s="582" t="s">
        <v>642</v>
      </c>
      <c r="Y57" s="848">
        <v>3.45</v>
      </c>
      <c r="Z57" s="594">
        <f t="shared" si="1"/>
        <v>3456.9</v>
      </c>
      <c r="AA57" s="595">
        <f t="shared" si="2"/>
        <v>26790.98</v>
      </c>
      <c r="AB57" s="849"/>
      <c r="AC57" s="565" t="s">
        <v>415</v>
      </c>
      <c r="AD57" s="566" t="s">
        <v>416</v>
      </c>
      <c r="AE57" s="516" t="s">
        <v>436</v>
      </c>
      <c r="AF57" s="510" t="s">
        <v>425</v>
      </c>
      <c r="AG57" s="398"/>
      <c r="AH57" s="130">
        <f t="shared" si="3"/>
        <v>-1002</v>
      </c>
      <c r="AM57" s="568"/>
      <c r="AN57" s="568"/>
      <c r="AO57" s="568"/>
      <c r="AP57" s="568"/>
      <c r="AQ57" s="568"/>
      <c r="AR57" s="568"/>
      <c r="AS57" s="568"/>
    </row>
    <row r="58" s="398" customFormat="1" customHeight="1" spans="1:45">
      <c r="A58" s="824">
        <v>46213</v>
      </c>
      <c r="B58" s="845" t="s">
        <v>493</v>
      </c>
      <c r="C58" s="577" t="s">
        <v>152</v>
      </c>
      <c r="D58" s="398">
        <v>73790</v>
      </c>
      <c r="E58" s="498" t="s">
        <v>344</v>
      </c>
      <c r="F58" s="586">
        <v>1226168</v>
      </c>
      <c r="G58" s="587" t="s">
        <v>295</v>
      </c>
      <c r="H58" s="846">
        <v>4680</v>
      </c>
      <c r="I58" s="589">
        <v>6</v>
      </c>
      <c r="J58" s="847"/>
      <c r="K58" s="528">
        <v>46269</v>
      </c>
      <c r="L58" s="812"/>
      <c r="M58" s="398"/>
      <c r="N58" s="398"/>
      <c r="O58" s="739"/>
      <c r="P58" s="556">
        <v>46269</v>
      </c>
      <c r="Q58" s="557"/>
      <c r="R58" s="582" t="s">
        <v>643</v>
      </c>
      <c r="S58" s="591">
        <v>46233</v>
      </c>
      <c r="T58" s="582" t="s">
        <v>644</v>
      </c>
      <c r="U58" s="833" t="s">
        <v>634</v>
      </c>
      <c r="V58" s="582" t="s">
        <v>640</v>
      </c>
      <c r="W58" s="592" t="s">
        <v>498</v>
      </c>
      <c r="X58" s="582" t="s">
        <v>646</v>
      </c>
      <c r="Y58" s="848">
        <v>3.45</v>
      </c>
      <c r="Z58" s="594">
        <f t="shared" si="1"/>
        <v>16146</v>
      </c>
      <c r="AA58" s="595">
        <f t="shared" si="2"/>
        <v>125131.5</v>
      </c>
      <c r="AB58" s="849"/>
      <c r="AC58" s="565" t="s">
        <v>415</v>
      </c>
      <c r="AD58" s="566" t="s">
        <v>416</v>
      </c>
      <c r="AE58" s="516" t="s">
        <v>436</v>
      </c>
      <c r="AF58" s="510" t="s">
        <v>425</v>
      </c>
      <c r="AG58" s="398"/>
      <c r="AH58" s="130">
        <f t="shared" si="3"/>
        <v>-4680</v>
      </c>
      <c r="AM58" s="568"/>
      <c r="AN58" s="568"/>
      <c r="AO58" s="568"/>
      <c r="AP58" s="568"/>
      <c r="AQ58" s="568"/>
      <c r="AR58" s="568"/>
      <c r="AS58" s="568"/>
    </row>
    <row r="59" s="398" customFormat="1" customHeight="1" spans="1:45">
      <c r="A59" s="824">
        <v>46219</v>
      </c>
      <c r="B59" s="565" t="s">
        <v>408</v>
      </c>
      <c r="C59" s="577" t="s">
        <v>116</v>
      </c>
      <c r="D59" s="565"/>
      <c r="E59" s="498" t="s">
        <v>345</v>
      </c>
      <c r="F59" s="586">
        <v>3124138</v>
      </c>
      <c r="G59" s="587" t="s">
        <v>346</v>
      </c>
      <c r="H59" s="588">
        <v>3600</v>
      </c>
      <c r="I59" s="589">
        <v>6</v>
      </c>
      <c r="J59" s="850">
        <f t="shared" ref="J59:J70" si="5">H59/I59</f>
        <v>600</v>
      </c>
      <c r="K59" s="237">
        <v>46275</v>
      </c>
      <c r="L59" s="817"/>
      <c r="M59" s="398"/>
      <c r="N59" s="398"/>
      <c r="O59" s="398"/>
      <c r="P59" s="237">
        <v>46266</v>
      </c>
      <c r="Q59" s="398"/>
      <c r="R59" s="398"/>
      <c r="S59" s="591">
        <v>46240</v>
      </c>
      <c r="T59" s="565" t="s">
        <v>410</v>
      </c>
      <c r="U59" s="592" t="s">
        <v>647</v>
      </c>
      <c r="V59" s="582" t="s">
        <v>648</v>
      </c>
      <c r="W59" s="592" t="s">
        <v>649</v>
      </c>
      <c r="X59" s="582" t="s">
        <v>650</v>
      </c>
      <c r="Y59" s="593">
        <v>4.059</v>
      </c>
      <c r="Z59" s="594">
        <f t="shared" si="1"/>
        <v>14612.4</v>
      </c>
      <c r="AA59" s="595">
        <f t="shared" si="2"/>
        <v>113246.1</v>
      </c>
      <c r="AB59" s="596"/>
      <c r="AC59" s="565" t="s">
        <v>415</v>
      </c>
      <c r="AD59" s="566" t="s">
        <v>416</v>
      </c>
      <c r="AE59" s="176" t="s">
        <v>424</v>
      </c>
      <c r="AF59" s="547" t="s">
        <v>425</v>
      </c>
      <c r="AG59" s="398"/>
      <c r="AH59" s="130">
        <f t="shared" si="3"/>
        <v>-3600</v>
      </c>
      <c r="AM59" s="568"/>
      <c r="AN59" s="568"/>
      <c r="AO59" s="568"/>
      <c r="AP59" s="568"/>
      <c r="AQ59" s="568"/>
      <c r="AR59" s="568"/>
      <c r="AS59" s="568"/>
    </row>
    <row r="60" s="398" customFormat="1" customHeight="1" spans="1:45">
      <c r="A60" s="548">
        <v>46189</v>
      </c>
      <c r="B60" s="551" t="s">
        <v>486</v>
      </c>
      <c r="C60" s="577" t="s">
        <v>109</v>
      </c>
      <c r="D60" s="577" t="s">
        <v>333</v>
      </c>
      <c r="E60" s="480" t="s">
        <v>334</v>
      </c>
      <c r="F60" s="481" t="s">
        <v>204</v>
      </c>
      <c r="G60" s="525" t="s">
        <v>205</v>
      </c>
      <c r="H60" s="233">
        <v>9000</v>
      </c>
      <c r="I60" s="589">
        <v>6</v>
      </c>
      <c r="J60" s="590">
        <f t="shared" si="5"/>
        <v>1500</v>
      </c>
      <c r="K60" s="229">
        <v>46279</v>
      </c>
      <c r="L60" s="829">
        <v>46279</v>
      </c>
      <c r="M60" s="528"/>
      <c r="N60" s="556"/>
      <c r="O60" s="528"/>
      <c r="P60" s="237">
        <v>46279</v>
      </c>
      <c r="Q60" s="528"/>
      <c r="R60" s="398"/>
      <c r="S60" s="602">
        <v>46219</v>
      </c>
      <c r="T60" s="592" t="s">
        <v>651</v>
      </c>
      <c r="U60" s="833" t="s">
        <v>634</v>
      </c>
      <c r="V60" s="489" t="s">
        <v>652</v>
      </c>
      <c r="W60" s="580" t="s">
        <v>615</v>
      </c>
      <c r="X60" s="827" t="s">
        <v>653</v>
      </c>
      <c r="Y60" s="242">
        <v>2.587</v>
      </c>
      <c r="Z60" s="562">
        <f t="shared" si="1"/>
        <v>23283</v>
      </c>
      <c r="AA60" s="563">
        <f t="shared" si="2"/>
        <v>180443.25</v>
      </c>
      <c r="AB60" s="564"/>
      <c r="AC60" s="565" t="s">
        <v>415</v>
      </c>
      <c r="AD60" s="566" t="s">
        <v>416</v>
      </c>
      <c r="AE60" s="217" t="s">
        <v>417</v>
      </c>
      <c r="AF60" s="398"/>
      <c r="AG60" s="398"/>
      <c r="AH60" s="130">
        <f t="shared" si="3"/>
        <v>-9000</v>
      </c>
      <c r="AM60" s="568"/>
      <c r="AN60" s="568"/>
      <c r="AO60" s="568"/>
      <c r="AP60" s="568"/>
      <c r="AQ60" s="568"/>
      <c r="AR60" s="568"/>
      <c r="AS60" s="568"/>
    </row>
    <row r="61" s="398" customFormat="1" customHeight="1" spans="1:45">
      <c r="A61" s="824">
        <v>46238</v>
      </c>
      <c r="B61" s="565" t="s">
        <v>654</v>
      </c>
      <c r="C61" s="577" t="s">
        <v>109</v>
      </c>
      <c r="D61" s="565" t="s">
        <v>655</v>
      </c>
      <c r="E61" s="498" t="s">
        <v>347</v>
      </c>
      <c r="F61" s="491" t="s">
        <v>348</v>
      </c>
      <c r="G61" s="587" t="s">
        <v>349</v>
      </c>
      <c r="H61" s="588">
        <v>10800</v>
      </c>
      <c r="I61" s="589">
        <v>4</v>
      </c>
      <c r="J61" s="590">
        <f t="shared" si="5"/>
        <v>2700</v>
      </c>
      <c r="K61" s="237">
        <v>46281</v>
      </c>
      <c r="L61" s="812"/>
      <c r="M61" s="398"/>
      <c r="N61" s="398"/>
      <c r="O61" s="398"/>
      <c r="P61" s="237">
        <v>46281</v>
      </c>
      <c r="Q61" s="398"/>
      <c r="S61" s="591">
        <v>46235</v>
      </c>
      <c r="T61" s="592" t="s">
        <v>656</v>
      </c>
      <c r="U61" s="592" t="s">
        <v>411</v>
      </c>
      <c r="V61" s="489" t="s">
        <v>652</v>
      </c>
      <c r="W61" s="592" t="s">
        <v>657</v>
      </c>
      <c r="X61" s="592" t="s">
        <v>658</v>
      </c>
      <c r="Y61" s="593">
        <v>3.899</v>
      </c>
      <c r="Z61" s="594">
        <f t="shared" si="1"/>
        <v>42109.2</v>
      </c>
      <c r="AA61" s="595">
        <f t="shared" si="2"/>
        <v>326346.3</v>
      </c>
      <c r="AB61" s="596"/>
      <c r="AC61" s="565" t="s">
        <v>415</v>
      </c>
      <c r="AD61" s="566" t="s">
        <v>416</v>
      </c>
      <c r="AE61" s="516"/>
      <c r="AF61" s="398"/>
      <c r="AH61" s="574"/>
      <c r="AM61" s="568"/>
      <c r="AN61" s="568"/>
      <c r="AO61" s="568"/>
      <c r="AP61" s="568"/>
      <c r="AQ61" s="568"/>
      <c r="AR61" s="568"/>
      <c r="AS61" s="568"/>
    </row>
    <row r="62" s="398" customFormat="1" customHeight="1" spans="1:45">
      <c r="A62" s="585">
        <v>46240</v>
      </c>
      <c r="B62" s="565" t="s">
        <v>519</v>
      </c>
      <c r="C62" s="419" t="s">
        <v>152</v>
      </c>
      <c r="D62" s="398"/>
      <c r="E62" s="498" t="s">
        <v>351</v>
      </c>
      <c r="F62" s="586">
        <v>1226169</v>
      </c>
      <c r="G62" s="587" t="s">
        <v>293</v>
      </c>
      <c r="H62" s="588">
        <v>2400</v>
      </c>
      <c r="I62" s="589">
        <v>6</v>
      </c>
      <c r="J62" s="590">
        <f t="shared" si="5"/>
        <v>400</v>
      </c>
      <c r="K62" s="237">
        <f>P62-7</f>
        <v>46283</v>
      </c>
      <c r="L62" s="812"/>
      <c r="M62" s="398"/>
      <c r="N62" s="398"/>
      <c r="O62" s="398"/>
      <c r="P62" s="237">
        <v>46290</v>
      </c>
      <c r="Q62" s="398"/>
      <c r="R62" s="398"/>
      <c r="S62" s="591">
        <v>46265</v>
      </c>
      <c r="T62" s="565" t="s">
        <v>659</v>
      </c>
      <c r="U62" s="592" t="s">
        <v>411</v>
      </c>
      <c r="V62" s="592" t="s">
        <v>640</v>
      </c>
      <c r="W62" s="592" t="s">
        <v>523</v>
      </c>
      <c r="X62" s="592" t="s">
        <v>660</v>
      </c>
      <c r="Y62" s="593">
        <v>2.573</v>
      </c>
      <c r="Z62" s="594">
        <f t="shared" si="1"/>
        <v>6175.2</v>
      </c>
      <c r="AA62" s="595">
        <f t="shared" si="2"/>
        <v>47857.8</v>
      </c>
      <c r="AB62" s="596"/>
      <c r="AC62" s="565" t="s">
        <v>415</v>
      </c>
      <c r="AD62" s="566" t="s">
        <v>416</v>
      </c>
      <c r="AE62" s="516"/>
      <c r="AH62" s="574"/>
      <c r="AM62" s="568"/>
      <c r="AN62" s="568"/>
      <c r="AO62" s="568"/>
      <c r="AP62" s="568"/>
      <c r="AQ62" s="568"/>
      <c r="AR62" s="568"/>
      <c r="AS62" s="568"/>
    </row>
    <row r="63" s="398" customFormat="1" customHeight="1" spans="1:45">
      <c r="A63" s="548">
        <v>46195</v>
      </c>
      <c r="B63" s="578" t="s">
        <v>486</v>
      </c>
      <c r="C63" s="419" t="s">
        <v>109</v>
      </c>
      <c r="D63" s="851" t="s">
        <v>661</v>
      </c>
      <c r="E63" s="480" t="s">
        <v>335</v>
      </c>
      <c r="F63" s="481" t="s">
        <v>198</v>
      </c>
      <c r="G63" s="525" t="s">
        <v>199</v>
      </c>
      <c r="H63" s="233">
        <v>13200</v>
      </c>
      <c r="I63" s="589">
        <v>6</v>
      </c>
      <c r="J63" s="590">
        <f t="shared" si="5"/>
        <v>2200</v>
      </c>
      <c r="K63" s="229">
        <v>46295</v>
      </c>
      <c r="L63" s="829"/>
      <c r="M63" s="528"/>
      <c r="N63" s="556"/>
      <c r="O63" s="528"/>
      <c r="P63" s="237">
        <v>46303</v>
      </c>
      <c r="Q63" s="528"/>
      <c r="R63" s="398"/>
      <c r="S63" s="809" t="s">
        <v>438</v>
      </c>
      <c r="T63" s="592" t="s">
        <v>662</v>
      </c>
      <c r="U63" s="592" t="s">
        <v>411</v>
      </c>
      <c r="V63" s="489" t="s">
        <v>652</v>
      </c>
      <c r="W63" s="852" t="s">
        <v>491</v>
      </c>
      <c r="X63" s="581" t="s">
        <v>492</v>
      </c>
      <c r="Y63" s="573">
        <v>2.697</v>
      </c>
      <c r="Z63" s="562">
        <f t="shared" si="1"/>
        <v>35600.4</v>
      </c>
      <c r="AA63" s="563">
        <f t="shared" si="2"/>
        <v>275903.1</v>
      </c>
      <c r="AB63" s="564"/>
      <c r="AC63" s="565" t="s">
        <v>415</v>
      </c>
      <c r="AD63" s="566" t="s">
        <v>416</v>
      </c>
      <c r="AE63" s="532" t="s">
        <v>436</v>
      </c>
      <c r="AF63" s="398"/>
      <c r="AG63" s="398"/>
      <c r="AH63" s="130">
        <f>AG63-H63</f>
        <v>-13200</v>
      </c>
      <c r="AM63" s="568"/>
      <c r="AN63" s="568"/>
      <c r="AO63" s="568"/>
      <c r="AP63" s="568"/>
      <c r="AQ63" s="568"/>
      <c r="AR63" s="568"/>
      <c r="AS63" s="568"/>
    </row>
    <row r="64" s="398" customFormat="1" customHeight="1" spans="1:45">
      <c r="A64" s="548">
        <v>46195</v>
      </c>
      <c r="B64" s="578" t="s">
        <v>486</v>
      </c>
      <c r="C64" s="419" t="s">
        <v>109</v>
      </c>
      <c r="D64" s="851" t="s">
        <v>663</v>
      </c>
      <c r="E64" s="480" t="s">
        <v>336</v>
      </c>
      <c r="F64" s="481" t="s">
        <v>195</v>
      </c>
      <c r="G64" s="525" t="s">
        <v>196</v>
      </c>
      <c r="H64" s="233">
        <v>12360</v>
      </c>
      <c r="I64" s="589">
        <v>6</v>
      </c>
      <c r="J64" s="590">
        <f t="shared" si="5"/>
        <v>2060</v>
      </c>
      <c r="K64" s="229">
        <v>46295</v>
      </c>
      <c r="L64" s="829"/>
      <c r="M64" s="528"/>
      <c r="N64" s="556"/>
      <c r="O64" s="528"/>
      <c r="P64" s="237">
        <v>46303</v>
      </c>
      <c r="Q64" s="528"/>
      <c r="R64" s="398"/>
      <c r="S64" s="809" t="s">
        <v>438</v>
      </c>
      <c r="T64" s="592" t="s">
        <v>664</v>
      </c>
      <c r="U64" s="592" t="s">
        <v>411</v>
      </c>
      <c r="V64" s="795" t="s">
        <v>652</v>
      </c>
      <c r="W64" s="580" t="s">
        <v>551</v>
      </c>
      <c r="X64" s="581" t="s">
        <v>552</v>
      </c>
      <c r="Y64" s="573">
        <v>3.317</v>
      </c>
      <c r="Z64" s="562">
        <f t="shared" si="1"/>
        <v>40998.12</v>
      </c>
      <c r="AA64" s="563">
        <f t="shared" si="2"/>
        <v>317735.43</v>
      </c>
      <c r="AB64" s="564"/>
      <c r="AC64" s="565" t="s">
        <v>415</v>
      </c>
      <c r="AD64" s="566" t="s">
        <v>416</v>
      </c>
      <c r="AE64" s="592" t="s">
        <v>436</v>
      </c>
      <c r="AF64" s="398"/>
      <c r="AG64" s="398"/>
      <c r="AH64" s="130">
        <f>AG64-H64</f>
        <v>-12360</v>
      </c>
      <c r="AM64" s="568"/>
      <c r="AN64" s="568"/>
      <c r="AO64" s="568"/>
      <c r="AP64" s="568"/>
      <c r="AQ64" s="568"/>
      <c r="AR64" s="568"/>
      <c r="AS64" s="568"/>
    </row>
    <row r="65" s="398" customFormat="1" customHeight="1" spans="1:45">
      <c r="A65" s="548">
        <v>46195</v>
      </c>
      <c r="B65" s="578" t="s">
        <v>665</v>
      </c>
      <c r="C65" s="230" t="s">
        <v>218</v>
      </c>
      <c r="D65" s="851" t="s">
        <v>666</v>
      </c>
      <c r="E65" s="480" t="s">
        <v>338</v>
      </c>
      <c r="F65" s="481" t="s">
        <v>195</v>
      </c>
      <c r="G65" s="525" t="s">
        <v>196</v>
      </c>
      <c r="H65" s="233">
        <v>4980</v>
      </c>
      <c r="I65" s="589">
        <v>6</v>
      </c>
      <c r="J65" s="590">
        <f t="shared" si="5"/>
        <v>830</v>
      </c>
      <c r="K65" s="229">
        <v>46295</v>
      </c>
      <c r="L65" s="829"/>
      <c r="M65" s="528"/>
      <c r="N65" s="556"/>
      <c r="O65" s="528"/>
      <c r="P65" s="237">
        <v>46303</v>
      </c>
      <c r="Q65" s="528"/>
      <c r="R65" s="398"/>
      <c r="S65" s="809" t="s">
        <v>438</v>
      </c>
      <c r="T65" s="592" t="s">
        <v>664</v>
      </c>
      <c r="U65" s="592" t="s">
        <v>411</v>
      </c>
      <c r="V65" s="795" t="s">
        <v>652</v>
      </c>
      <c r="W65" s="580" t="s">
        <v>551</v>
      </c>
      <c r="X65" s="581" t="s">
        <v>552</v>
      </c>
      <c r="Y65" s="573">
        <v>3.317</v>
      </c>
      <c r="Z65" s="562">
        <f t="shared" si="1"/>
        <v>16518.66</v>
      </c>
      <c r="AA65" s="563">
        <f t="shared" si="2"/>
        <v>128019.62</v>
      </c>
      <c r="AB65" s="564"/>
      <c r="AC65" s="565" t="s">
        <v>415</v>
      </c>
      <c r="AD65" s="566" t="s">
        <v>416</v>
      </c>
      <c r="AE65" s="592" t="s">
        <v>436</v>
      </c>
      <c r="AH65" s="130">
        <f>AG65-H65</f>
        <v>-4980</v>
      </c>
      <c r="AM65" s="568"/>
      <c r="AN65" s="568"/>
      <c r="AO65" s="568"/>
      <c r="AP65" s="568"/>
      <c r="AQ65" s="568"/>
      <c r="AR65" s="568"/>
      <c r="AS65" s="568"/>
    </row>
    <row r="66" s="398" customFormat="1" customHeight="1" spans="1:45">
      <c r="A66" s="548">
        <v>46195</v>
      </c>
      <c r="B66" s="578" t="s">
        <v>665</v>
      </c>
      <c r="C66" s="230" t="s">
        <v>218</v>
      </c>
      <c r="D66" s="851" t="s">
        <v>666</v>
      </c>
      <c r="E66" s="480" t="s">
        <v>338</v>
      </c>
      <c r="F66" s="481" t="s">
        <v>198</v>
      </c>
      <c r="G66" s="525" t="s">
        <v>199</v>
      </c>
      <c r="H66" s="233">
        <v>5280</v>
      </c>
      <c r="I66" s="586">
        <v>6</v>
      </c>
      <c r="J66" s="699">
        <f t="shared" si="5"/>
        <v>880</v>
      </c>
      <c r="K66" s="229">
        <v>46295</v>
      </c>
      <c r="L66" s="829"/>
      <c r="M66" s="528"/>
      <c r="N66" s="556"/>
      <c r="O66" s="528"/>
      <c r="P66" s="237">
        <v>46303</v>
      </c>
      <c r="Q66" s="528"/>
      <c r="R66" s="398"/>
      <c r="S66" s="809" t="s">
        <v>438</v>
      </c>
      <c r="T66" s="592" t="s">
        <v>662</v>
      </c>
      <c r="U66" s="592" t="s">
        <v>411</v>
      </c>
      <c r="V66" s="795" t="s">
        <v>652</v>
      </c>
      <c r="W66" s="852" t="s">
        <v>491</v>
      </c>
      <c r="X66" s="581" t="s">
        <v>492</v>
      </c>
      <c r="Y66" s="573">
        <v>2.697</v>
      </c>
      <c r="Z66" s="562">
        <f>H66*Y66</f>
        <v>14240.16</v>
      </c>
      <c r="AA66" s="563">
        <f>Z66*7.75</f>
        <v>110361.24</v>
      </c>
      <c r="AB66" s="564"/>
      <c r="AC66" s="565" t="s">
        <v>415</v>
      </c>
      <c r="AD66" s="566" t="s">
        <v>416</v>
      </c>
      <c r="AE66" s="607" t="s">
        <v>436</v>
      </c>
      <c r="AF66" s="398"/>
      <c r="AG66" s="398"/>
      <c r="AH66" s="130">
        <f>AG66-H66</f>
        <v>-5280</v>
      </c>
      <c r="AM66" s="568"/>
      <c r="AN66" s="568"/>
      <c r="AO66" s="568"/>
      <c r="AP66" s="568"/>
      <c r="AQ66" s="568"/>
      <c r="AR66" s="568"/>
      <c r="AS66" s="568"/>
    </row>
    <row r="67" s="398" customFormat="1" customHeight="1" spans="1:45">
      <c r="A67" s="824">
        <v>46238</v>
      </c>
      <c r="B67" s="565" t="s">
        <v>667</v>
      </c>
      <c r="C67" s="419" t="s">
        <v>141</v>
      </c>
      <c r="D67" s="398"/>
      <c r="E67" s="498" t="s">
        <v>350</v>
      </c>
      <c r="F67" s="586">
        <v>4524138</v>
      </c>
      <c r="G67" s="587" t="s">
        <v>143</v>
      </c>
      <c r="H67" s="588">
        <v>5796</v>
      </c>
      <c r="I67" s="589">
        <v>6</v>
      </c>
      <c r="J67" s="699">
        <f t="shared" si="5"/>
        <v>966</v>
      </c>
      <c r="K67" s="237">
        <f>P67-7</f>
        <v>46304</v>
      </c>
      <c r="L67" s="812"/>
      <c r="M67" s="398"/>
      <c r="N67" s="398"/>
      <c r="O67" s="398"/>
      <c r="P67" s="237">
        <v>46311</v>
      </c>
      <c r="Q67" s="398"/>
      <c r="R67" s="398"/>
      <c r="S67" s="591"/>
      <c r="T67" s="853" t="s">
        <v>668</v>
      </c>
      <c r="U67" s="568"/>
      <c r="V67" s="568"/>
      <c r="W67" s="592" t="s">
        <v>669</v>
      </c>
      <c r="X67" s="592" t="s">
        <v>670</v>
      </c>
      <c r="Y67" s="593">
        <v>4.059</v>
      </c>
      <c r="Z67" s="594">
        <f>H67*Y67</f>
        <v>23525.96</v>
      </c>
      <c r="AA67" s="595">
        <f>Z67*7.75</f>
        <v>182326.19</v>
      </c>
      <c r="AB67" s="596"/>
      <c r="AC67" s="565" t="s">
        <v>415</v>
      </c>
      <c r="AD67" s="566" t="s">
        <v>416</v>
      </c>
      <c r="AE67" s="568"/>
      <c r="AF67" s="398"/>
      <c r="AG67" s="398"/>
      <c r="AH67" s="398"/>
      <c r="AM67" s="568"/>
      <c r="AN67" s="568"/>
      <c r="AO67" s="568"/>
      <c r="AP67" s="568"/>
      <c r="AQ67" s="568"/>
      <c r="AR67" s="568"/>
      <c r="AS67" s="568"/>
    </row>
    <row r="68" s="398" customFormat="1" customHeight="1" spans="1:45">
      <c r="A68" s="824">
        <v>46238</v>
      </c>
      <c r="B68" s="565" t="s">
        <v>667</v>
      </c>
      <c r="C68" s="419" t="s">
        <v>141</v>
      </c>
      <c r="E68" s="498" t="s">
        <v>350</v>
      </c>
      <c r="F68" s="586">
        <v>4525159</v>
      </c>
      <c r="G68" s="587" t="s">
        <v>183</v>
      </c>
      <c r="H68" s="588">
        <v>5796</v>
      </c>
      <c r="I68" s="589">
        <v>6</v>
      </c>
      <c r="J68" s="699">
        <f t="shared" si="5"/>
        <v>966</v>
      </c>
      <c r="K68" s="237">
        <f>P68-7</f>
        <v>46304</v>
      </c>
      <c r="L68" s="812"/>
      <c r="P68" s="237">
        <v>46311</v>
      </c>
      <c r="S68" s="591"/>
      <c r="T68" s="853" t="s">
        <v>668</v>
      </c>
      <c r="U68" s="568"/>
      <c r="V68" s="568"/>
      <c r="W68" s="592" t="s">
        <v>671</v>
      </c>
      <c r="X68" s="592" t="s">
        <v>670</v>
      </c>
      <c r="Y68" s="593">
        <v>3.651</v>
      </c>
      <c r="Z68" s="594">
        <f>H68*Y68</f>
        <v>21161.2</v>
      </c>
      <c r="AA68" s="595">
        <f>Z68*7.75</f>
        <v>163999.3</v>
      </c>
      <c r="AB68" s="596"/>
      <c r="AC68" s="565" t="s">
        <v>415</v>
      </c>
      <c r="AD68" s="566" t="s">
        <v>416</v>
      </c>
      <c r="AE68" s="568"/>
      <c r="AM68" s="568"/>
      <c r="AN68" s="568"/>
      <c r="AO68" s="568"/>
      <c r="AP68" s="568"/>
      <c r="AQ68" s="568"/>
      <c r="AR68" s="568"/>
      <c r="AS68" s="568"/>
    </row>
    <row r="69" s="398" customFormat="1" customHeight="1" spans="1:45">
      <c r="A69" s="548">
        <v>46195</v>
      </c>
      <c r="B69" s="578" t="s">
        <v>486</v>
      </c>
      <c r="C69" s="419" t="s">
        <v>109</v>
      </c>
      <c r="D69" s="851" t="s">
        <v>672</v>
      </c>
      <c r="E69" s="480" t="s">
        <v>337</v>
      </c>
      <c r="F69" s="481" t="s">
        <v>195</v>
      </c>
      <c r="G69" s="525" t="s">
        <v>196</v>
      </c>
      <c r="H69" s="233">
        <v>2320</v>
      </c>
      <c r="I69" s="589">
        <v>6</v>
      </c>
      <c r="J69" s="699">
        <f t="shared" si="5"/>
        <v>387</v>
      </c>
      <c r="K69" s="229">
        <f>P69-7</f>
        <v>46365</v>
      </c>
      <c r="L69" s="829"/>
      <c r="M69" s="528"/>
      <c r="N69" s="556"/>
      <c r="O69" s="528"/>
      <c r="P69" s="237">
        <v>46372</v>
      </c>
      <c r="Q69" s="528"/>
      <c r="S69" s="809" t="s">
        <v>438</v>
      </c>
      <c r="T69" s="592" t="s">
        <v>664</v>
      </c>
      <c r="U69" s="592" t="s">
        <v>411</v>
      </c>
      <c r="V69" s="795" t="s">
        <v>673</v>
      </c>
      <c r="W69" s="580" t="s">
        <v>551</v>
      </c>
      <c r="X69" s="581" t="s">
        <v>552</v>
      </c>
      <c r="Y69" s="573">
        <v>3.317</v>
      </c>
      <c r="Z69" s="562">
        <f>H69*Y69</f>
        <v>7695.44</v>
      </c>
      <c r="AA69" s="563">
        <f>Z69*7.75</f>
        <v>59639.66</v>
      </c>
      <c r="AB69" s="564"/>
      <c r="AC69" s="565" t="s">
        <v>415</v>
      </c>
      <c r="AD69" s="566" t="s">
        <v>416</v>
      </c>
      <c r="AE69" s="592" t="s">
        <v>436</v>
      </c>
      <c r="AH69" s="567">
        <f>AG69-H69</f>
        <v>-2320</v>
      </c>
      <c r="AM69" s="568"/>
      <c r="AN69" s="568"/>
      <c r="AO69" s="568"/>
      <c r="AP69" s="568"/>
      <c r="AQ69" s="568"/>
      <c r="AR69" s="568"/>
      <c r="AS69" s="568"/>
    </row>
    <row r="70" s="398" customFormat="1" customHeight="1" spans="1:45">
      <c r="A70" s="548">
        <v>46148</v>
      </c>
      <c r="B70" s="551" t="s">
        <v>418</v>
      </c>
      <c r="C70" s="230" t="s">
        <v>105</v>
      </c>
      <c r="D70" s="552"/>
      <c r="E70" s="505" t="s">
        <v>285</v>
      </c>
      <c r="F70" s="524">
        <v>3226156</v>
      </c>
      <c r="G70" s="525" t="s">
        <v>286</v>
      </c>
      <c r="H70" s="233">
        <v>4800</v>
      </c>
      <c r="I70" s="589">
        <v>6</v>
      </c>
      <c r="J70" s="699">
        <f t="shared" si="5"/>
        <v>800</v>
      </c>
      <c r="K70" s="854" t="s">
        <v>674</v>
      </c>
      <c r="L70" s="855" t="s">
        <v>675</v>
      </c>
      <c r="M70" s="528"/>
      <c r="N70" s="556"/>
      <c r="O70" s="528"/>
      <c r="P70" s="237">
        <v>46249</v>
      </c>
      <c r="Q70" s="528"/>
      <c r="R70" s="398"/>
      <c r="S70" s="602">
        <v>46213</v>
      </c>
      <c r="T70" s="568" t="s">
        <v>676</v>
      </c>
      <c r="U70" s="550" t="s">
        <v>420</v>
      </c>
      <c r="V70" s="558" t="s">
        <v>507</v>
      </c>
      <c r="W70" s="558" t="s">
        <v>677</v>
      </c>
      <c r="X70" s="560" t="s">
        <v>423</v>
      </c>
      <c r="Y70" s="242">
        <v>3.303</v>
      </c>
      <c r="Z70" s="562">
        <f>H70*Y70</f>
        <v>15854.4</v>
      </c>
      <c r="AA70" s="563">
        <f>Z70*7.75</f>
        <v>122871.6</v>
      </c>
      <c r="AB70" s="564"/>
      <c r="AC70" s="565" t="s">
        <v>415</v>
      </c>
      <c r="AD70" s="566" t="s">
        <v>416</v>
      </c>
      <c r="AE70" s="592" t="s">
        <v>436</v>
      </c>
      <c r="AF70" s="398"/>
      <c r="AG70" s="398"/>
      <c r="AH70" s="567">
        <f>AG70-H70</f>
        <v>-4800</v>
      </c>
      <c r="AI70" s="567"/>
      <c r="AJ70" s="567"/>
      <c r="AM70" s="568"/>
      <c r="AN70" s="568"/>
      <c r="AO70" s="568"/>
      <c r="AP70" s="568"/>
      <c r="AQ70" s="568"/>
      <c r="AR70" s="568"/>
      <c r="AS70" s="568"/>
    </row>
    <row r="71" s="398" customFormat="1" customHeight="1" spans="1:45">
      <c r="A71" s="585"/>
      <c r="B71" s="565"/>
      <c r="C71" s="419"/>
      <c r="E71" s="498"/>
      <c r="F71" s="586"/>
      <c r="G71" s="587"/>
      <c r="H71" s="588"/>
      <c r="I71" s="589"/>
      <c r="J71" s="590"/>
      <c r="K71" s="237"/>
      <c r="L71" s="812"/>
      <c r="P71" s="237"/>
      <c r="S71" s="591"/>
      <c r="U71" s="568"/>
      <c r="V71" s="568"/>
      <c r="W71" s="592"/>
      <c r="X71" s="592"/>
      <c r="Y71" s="593"/>
      <c r="Z71" s="594"/>
      <c r="AA71" s="595"/>
      <c r="AB71" s="596"/>
      <c r="AD71" s="568"/>
      <c r="AE71" s="568"/>
      <c r="AM71" s="568"/>
      <c r="AN71" s="568"/>
      <c r="AO71" s="568"/>
      <c r="AP71" s="568"/>
      <c r="AQ71" s="568"/>
      <c r="AR71" s="568"/>
      <c r="AS71" s="568"/>
    </row>
    <row r="72" s="398" customFormat="1" customHeight="1" spans="1:45">
      <c r="A72" s="585"/>
      <c r="B72" s="565"/>
      <c r="C72" s="419"/>
      <c r="E72" s="498"/>
      <c r="F72" s="586"/>
      <c r="G72" s="587"/>
      <c r="H72" s="588"/>
      <c r="I72" s="589"/>
      <c r="J72" s="590"/>
      <c r="K72" s="237"/>
      <c r="L72" s="812"/>
      <c r="P72" s="237"/>
      <c r="S72" s="591"/>
      <c r="U72" s="568"/>
      <c r="V72" s="568"/>
      <c r="W72" s="592"/>
      <c r="X72" s="592"/>
      <c r="Y72" s="593"/>
      <c r="Z72" s="594"/>
      <c r="AA72" s="595"/>
      <c r="AB72" s="596"/>
      <c r="AD72" s="568"/>
      <c r="AE72" s="568"/>
      <c r="AM72" s="568"/>
      <c r="AN72" s="568"/>
      <c r="AO72" s="568"/>
      <c r="AP72" s="568"/>
      <c r="AQ72" s="568"/>
      <c r="AR72" s="568"/>
      <c r="AS72" s="568"/>
    </row>
    <row r="73" s="398" customFormat="1" customHeight="1" spans="1:45">
      <c r="A73" s="585"/>
      <c r="B73" s="565"/>
      <c r="C73" s="419"/>
      <c r="E73" s="498"/>
      <c r="F73" s="586"/>
      <c r="G73" s="587"/>
      <c r="H73" s="588"/>
      <c r="I73" s="589"/>
      <c r="J73" s="590"/>
      <c r="K73" s="237"/>
      <c r="L73" s="812"/>
      <c r="P73" s="237"/>
      <c r="S73" s="591"/>
      <c r="U73" s="568"/>
      <c r="V73" s="568"/>
      <c r="W73" s="592"/>
      <c r="X73" s="592"/>
      <c r="Y73" s="593"/>
      <c r="Z73" s="594"/>
      <c r="AA73" s="595"/>
      <c r="AB73" s="596"/>
      <c r="AD73" s="568"/>
      <c r="AE73" s="568"/>
      <c r="AM73" s="568"/>
      <c r="AN73" s="568"/>
      <c r="AO73" s="568"/>
      <c r="AP73" s="568"/>
      <c r="AQ73" s="568"/>
      <c r="AR73" s="568"/>
      <c r="AS73" s="568"/>
    </row>
    <row r="74" s="398" customFormat="1" customHeight="1" spans="1:45">
      <c r="A74" s="585"/>
      <c r="B74" s="565"/>
      <c r="C74" s="419"/>
      <c r="E74" s="498"/>
      <c r="F74" s="586"/>
      <c r="G74" s="587"/>
      <c r="H74" s="588"/>
      <c r="I74" s="589"/>
      <c r="J74" s="590"/>
      <c r="K74" s="237"/>
      <c r="L74" s="812"/>
      <c r="P74" s="237"/>
      <c r="S74" s="591"/>
      <c r="U74" s="568"/>
      <c r="V74" s="568"/>
      <c r="W74" s="592"/>
      <c r="X74" s="592"/>
      <c r="Y74" s="593"/>
      <c r="Z74" s="594"/>
      <c r="AA74" s="595"/>
      <c r="AB74" s="596"/>
      <c r="AD74" s="568"/>
      <c r="AE74" s="568"/>
      <c r="AM74" s="568"/>
      <c r="AN74" s="568"/>
      <c r="AO74" s="568"/>
      <c r="AP74" s="568"/>
      <c r="AQ74" s="568"/>
      <c r="AR74" s="568"/>
      <c r="AS74" s="568"/>
    </row>
    <row r="75" s="397" customFormat="1" ht="25" customHeight="1" spans="1:45">
      <c r="A75" s="597"/>
      <c r="B75" s="598"/>
      <c r="C75" s="528"/>
      <c r="D75" s="551"/>
      <c r="E75" s="551"/>
      <c r="F75" s="599"/>
      <c r="G75" s="600"/>
      <c r="H75" s="579"/>
      <c r="I75" s="552"/>
      <c r="J75" s="600"/>
      <c r="K75" s="528"/>
      <c r="L75" s="829"/>
      <c r="M75" s="528"/>
      <c r="N75" s="556"/>
      <c r="O75" s="528"/>
      <c r="P75" s="528"/>
      <c r="Q75" s="528"/>
      <c r="R75" s="601"/>
      <c r="S75" s="602"/>
      <c r="T75" s="603"/>
      <c r="U75" s="550"/>
      <c r="V75" s="604"/>
      <c r="W75" s="604"/>
      <c r="X75" s="604"/>
      <c r="Y75" s="561"/>
      <c r="Z75" s="562"/>
      <c r="AA75" s="605"/>
      <c r="AB75" s="564"/>
      <c r="AC75" s="606"/>
      <c r="AD75" s="607"/>
      <c r="AE75" s="607"/>
      <c r="AF75" s="606"/>
      <c r="AG75" s="601"/>
      <c r="AH75" s="601"/>
      <c r="AI75" s="601"/>
      <c r="AJ75" s="601"/>
      <c r="AK75" s="601"/>
      <c r="AL75" s="601"/>
      <c r="AM75" s="603"/>
      <c r="AN75" s="603"/>
      <c r="AO75" s="603"/>
      <c r="AP75" s="603"/>
      <c r="AQ75" s="603"/>
      <c r="AR75" s="603"/>
      <c r="AS75" s="603"/>
    </row>
    <row r="76" s="119" customFormat="1" ht="25" customHeight="1" spans="1:45">
      <c r="A76" s="608"/>
      <c r="B76" s="609"/>
      <c r="C76" s="610"/>
      <c r="D76" s="609"/>
      <c r="E76" s="609"/>
      <c r="F76" s="611"/>
      <c r="G76" s="612" t="s">
        <v>678</v>
      </c>
      <c r="H76" s="613">
        <f>SUM(H2:H75)</f>
        <v>324818</v>
      </c>
      <c r="I76" s="614"/>
      <c r="J76" s="615"/>
      <c r="K76" s="610"/>
      <c r="L76" s="856"/>
      <c r="M76" s="610"/>
      <c r="N76" s="616"/>
      <c r="O76" s="610"/>
      <c r="P76" s="610"/>
      <c r="Q76" s="610"/>
      <c r="R76" s="617"/>
      <c r="S76" s="618"/>
      <c r="T76" s="619"/>
      <c r="U76" s="620"/>
      <c r="V76" s="621"/>
      <c r="W76" s="621"/>
      <c r="X76" s="621"/>
      <c r="Y76" s="622"/>
      <c r="Z76" s="623">
        <f>SUM(Z2:Z75)</f>
        <v>1030897.02</v>
      </c>
      <c r="AA76" s="623">
        <f>SUM(AA2:AA75)</f>
        <v>7989451.96</v>
      </c>
      <c r="AB76" s="624"/>
      <c r="AC76" s="625"/>
      <c r="AD76" s="626"/>
      <c r="AE76" s="627"/>
      <c r="AF76" s="625"/>
      <c r="AG76" s="617"/>
      <c r="AH76" s="617"/>
      <c r="AI76" s="617"/>
      <c r="AJ76" s="617"/>
      <c r="AK76" s="617"/>
      <c r="AL76" s="617"/>
      <c r="AM76" s="619"/>
      <c r="AN76" s="619"/>
      <c r="AO76" s="619"/>
      <c r="AP76" s="619"/>
      <c r="AQ76" s="619"/>
      <c r="AR76" s="619"/>
      <c r="AS76" s="619"/>
    </row>
    <row r="77" s="399" customFormat="1" ht="25" customHeight="1" spans="1:45">
      <c r="A77" s="628"/>
      <c r="B77" s="628"/>
      <c r="C77" s="629"/>
      <c r="D77" s="630"/>
      <c r="E77" s="630"/>
      <c r="F77" s="631"/>
      <c r="G77" s="632"/>
      <c r="H77" s="633"/>
      <c r="I77" s="634"/>
      <c r="J77" s="632"/>
      <c r="K77" s="629"/>
      <c r="L77" s="857"/>
      <c r="M77" s="629"/>
      <c r="N77" s="635"/>
      <c r="O77" s="629"/>
      <c r="P77" s="629"/>
      <c r="Q77" s="629"/>
      <c r="R77" s="636"/>
      <c r="S77" s="637"/>
      <c r="T77" s="638"/>
      <c r="U77" s="639"/>
      <c r="V77" s="640"/>
      <c r="W77" s="640"/>
      <c r="X77" s="641"/>
      <c r="Y77" s="642"/>
      <c r="Z77" s="643"/>
      <c r="AA77" s="644"/>
      <c r="AB77" s="645"/>
      <c r="AC77" s="646"/>
      <c r="AD77" s="647"/>
      <c r="AE77" s="638"/>
      <c r="AF77" s="636"/>
      <c r="AG77" s="636"/>
      <c r="AH77" s="636"/>
      <c r="AI77" s="636"/>
      <c r="AJ77" s="636"/>
      <c r="AK77" s="636"/>
      <c r="AL77" s="636"/>
      <c r="AM77" s="638"/>
      <c r="AN77" s="638"/>
      <c r="AO77" s="638"/>
      <c r="AP77" s="638"/>
      <c r="AQ77" s="638"/>
      <c r="AR77" s="638"/>
      <c r="AS77" s="638"/>
    </row>
    <row r="78" s="399" customFormat="1" ht="25" customHeight="1" spans="1:45">
      <c r="A78" s="648"/>
      <c r="B78" s="649"/>
      <c r="C78" s="629"/>
      <c r="D78" s="634"/>
      <c r="E78" s="650"/>
      <c r="F78" s="634"/>
      <c r="G78" s="631"/>
      <c r="H78" s="633"/>
      <c r="I78" s="634"/>
      <c r="J78" s="632"/>
      <c r="K78" s="629"/>
      <c r="L78" s="857"/>
      <c r="M78" s="629"/>
      <c r="N78" s="635"/>
      <c r="O78" s="629"/>
      <c r="P78" s="629"/>
      <c r="Q78" s="629"/>
      <c r="R78" s="636"/>
      <c r="S78" s="637" t="s">
        <v>679</v>
      </c>
      <c r="T78" s="638"/>
      <c r="U78" s="639"/>
      <c r="V78" s="640"/>
      <c r="W78" s="640"/>
      <c r="X78" s="641"/>
      <c r="Y78" s="642"/>
      <c r="Z78" s="643"/>
      <c r="AA78" s="644"/>
      <c r="AB78" s="645"/>
      <c r="AC78" s="646"/>
      <c r="AD78" s="647"/>
      <c r="AE78" s="638"/>
      <c r="AF78" s="636"/>
      <c r="AG78" s="636"/>
      <c r="AH78" s="636"/>
      <c r="AI78" s="636"/>
      <c r="AJ78" s="636"/>
      <c r="AK78" s="636"/>
      <c r="AL78" s="636"/>
      <c r="AM78" s="638"/>
      <c r="AN78" s="638"/>
      <c r="AO78" s="638"/>
      <c r="AP78" s="638"/>
      <c r="AQ78" s="638"/>
      <c r="AR78" s="638"/>
      <c r="AS78" s="638"/>
    </row>
    <row r="79" s="399" customFormat="1" ht="25" customHeight="1" spans="1:45">
      <c r="A79" s="651" t="s">
        <v>357</v>
      </c>
      <c r="B79" s="639"/>
      <c r="C79" s="629"/>
      <c r="D79" s="630"/>
      <c r="E79" s="630"/>
      <c r="F79" s="631"/>
      <c r="G79" s="632"/>
      <c r="H79" s="633"/>
      <c r="I79" s="634"/>
      <c r="J79" s="632"/>
      <c r="K79" s="629"/>
      <c r="L79" s="857"/>
      <c r="M79" s="629"/>
      <c r="N79" s="635"/>
      <c r="O79" s="629"/>
      <c r="P79" s="629"/>
      <c r="Q79" s="629"/>
      <c r="R79" s="652"/>
      <c r="S79" s="637"/>
      <c r="T79" s="653"/>
      <c r="U79" s="639"/>
      <c r="V79" s="654"/>
      <c r="W79" s="654"/>
      <c r="X79" s="654"/>
      <c r="Y79" s="655"/>
      <c r="Z79" s="643"/>
      <c r="AA79" s="644"/>
      <c r="AB79" s="645"/>
      <c r="AC79" s="646"/>
      <c r="AD79" s="647"/>
      <c r="AE79" s="647"/>
      <c r="AF79" s="646"/>
      <c r="AG79" s="652"/>
      <c r="AH79" s="652"/>
      <c r="AI79" s="652"/>
      <c r="AJ79" s="652"/>
      <c r="AK79" s="652"/>
      <c r="AL79" s="652"/>
      <c r="AM79" s="653"/>
      <c r="AN79" s="653"/>
      <c r="AO79" s="653"/>
      <c r="AP79" s="653"/>
      <c r="AQ79" s="653"/>
      <c r="AR79" s="653"/>
      <c r="AS79" s="653"/>
    </row>
    <row r="80" s="399" customFormat="1" ht="25" customHeight="1" spans="1:45">
      <c r="A80" s="648"/>
      <c r="B80" s="630"/>
      <c r="C80" s="639"/>
      <c r="D80" s="634"/>
      <c r="E80" s="630"/>
      <c r="F80" s="634"/>
      <c r="G80" s="631"/>
      <c r="H80" s="633"/>
      <c r="I80" s="634"/>
      <c r="J80" s="656"/>
      <c r="K80" s="629"/>
      <c r="L80" s="857"/>
      <c r="M80" s="629"/>
      <c r="N80" s="635"/>
      <c r="O80" s="629"/>
      <c r="P80" s="629"/>
      <c r="Q80" s="629"/>
      <c r="R80" s="636"/>
      <c r="S80" s="637"/>
      <c r="T80" s="638"/>
      <c r="U80" s="639"/>
      <c r="V80" s="640"/>
      <c r="W80" s="119"/>
      <c r="X80" s="641"/>
      <c r="Y80" s="642"/>
      <c r="Z80" s="643"/>
      <c r="AA80" s="657"/>
      <c r="AB80" s="645"/>
      <c r="AC80" s="646"/>
      <c r="AD80" s="658"/>
      <c r="AE80" s="638"/>
      <c r="AF80" s="636"/>
      <c r="AG80" s="636"/>
      <c r="AH80" s="636"/>
      <c r="AI80" s="636"/>
      <c r="AJ80" s="636"/>
      <c r="AK80" s="636"/>
      <c r="AL80" s="636"/>
      <c r="AM80" s="638"/>
      <c r="AN80" s="638"/>
      <c r="AO80" s="638"/>
      <c r="AP80" s="638"/>
      <c r="AQ80" s="638"/>
      <c r="AR80" s="638"/>
      <c r="AS80" s="638"/>
    </row>
    <row r="81" s="399" customFormat="1" ht="25" customHeight="1" spans="1:45">
      <c r="A81" s="504" t="s">
        <v>362</v>
      </c>
      <c r="B81" s="505" t="s">
        <v>363</v>
      </c>
      <c r="C81" s="639"/>
      <c r="D81" s="634"/>
      <c r="E81" s="630"/>
      <c r="F81" s="634"/>
      <c r="G81" s="631"/>
      <c r="H81" s="633"/>
      <c r="I81" s="634"/>
      <c r="J81" s="656"/>
      <c r="K81" s="629"/>
      <c r="L81" s="857"/>
      <c r="M81" s="629"/>
      <c r="N81" s="635"/>
      <c r="O81" s="629"/>
      <c r="P81" s="629"/>
      <c r="Q81" s="629"/>
      <c r="R81" s="636"/>
      <c r="S81" s="637"/>
      <c r="T81" s="638"/>
      <c r="U81" s="639"/>
      <c r="V81" s="640"/>
      <c r="W81" s="119"/>
      <c r="X81" s="641"/>
      <c r="Y81" s="642"/>
      <c r="Z81" s="643"/>
      <c r="AA81" s="657"/>
      <c r="AB81" s="645"/>
      <c r="AC81" s="646"/>
      <c r="AD81" s="658"/>
      <c r="AE81" s="638"/>
      <c r="AF81" s="636"/>
      <c r="AG81" s="636"/>
      <c r="AH81" s="636"/>
      <c r="AI81" s="636"/>
      <c r="AJ81" s="636"/>
      <c r="AK81" s="636"/>
      <c r="AL81" s="636"/>
      <c r="AM81" s="638"/>
      <c r="AN81" s="638"/>
      <c r="AO81" s="638"/>
      <c r="AP81" s="638"/>
      <c r="AQ81" s="638"/>
      <c r="AR81" s="638"/>
      <c r="AS81" s="638"/>
    </row>
    <row r="82" s="399" customFormat="1" ht="25" customHeight="1" spans="1:45">
      <c r="A82" s="354" t="s">
        <v>366</v>
      </c>
      <c r="B82" s="393" t="s">
        <v>367</v>
      </c>
      <c r="C82" s="639"/>
      <c r="D82" s="634"/>
      <c r="E82" s="630"/>
      <c r="F82" s="634"/>
      <c r="G82" s="631"/>
      <c r="H82" s="633"/>
      <c r="I82" s="634"/>
      <c r="J82" s="656"/>
      <c r="K82" s="629"/>
      <c r="L82" s="857"/>
      <c r="M82" s="629"/>
      <c r="N82" s="635"/>
      <c r="O82" s="629"/>
      <c r="P82" s="629"/>
      <c r="Q82" s="629"/>
      <c r="R82" s="636"/>
      <c r="S82" s="637"/>
      <c r="T82" s="638"/>
      <c r="U82" s="639"/>
      <c r="V82" s="640"/>
      <c r="W82" s="640"/>
      <c r="X82" s="641"/>
      <c r="Y82" s="642"/>
      <c r="Z82" s="643"/>
      <c r="AA82" s="657"/>
      <c r="AB82" s="645"/>
      <c r="AC82" s="646"/>
      <c r="AD82" s="658"/>
      <c r="AE82" s="638"/>
      <c r="AF82" s="636"/>
      <c r="AG82" s="636"/>
      <c r="AH82" s="636"/>
      <c r="AI82" s="636"/>
      <c r="AJ82" s="636"/>
      <c r="AK82" s="636"/>
      <c r="AL82" s="636"/>
      <c r="AM82" s="638"/>
      <c r="AN82" s="638"/>
      <c r="AO82" s="638"/>
      <c r="AP82" s="638"/>
      <c r="AQ82" s="638"/>
      <c r="AR82" s="638"/>
      <c r="AS82" s="638"/>
    </row>
    <row r="83" s="399" customFormat="1" ht="25" customHeight="1" spans="1:45">
      <c r="A83" s="659" t="s">
        <v>368</v>
      </c>
      <c r="B83" s="660" t="s">
        <v>369</v>
      </c>
      <c r="C83" s="639"/>
      <c r="D83" s="634"/>
      <c r="E83" s="630"/>
      <c r="F83" s="634"/>
      <c r="G83" s="631"/>
      <c r="H83" s="633"/>
      <c r="I83" s="634"/>
      <c r="J83" s="656"/>
      <c r="K83" s="629"/>
      <c r="L83" s="857"/>
      <c r="M83" s="629"/>
      <c r="N83" s="635"/>
      <c r="O83" s="629"/>
      <c r="P83" s="629"/>
      <c r="Q83" s="629"/>
      <c r="R83" s="636"/>
      <c r="S83" s="637"/>
      <c r="T83" s="638"/>
      <c r="U83" s="639"/>
      <c r="V83" s="640"/>
      <c r="W83" s="640"/>
      <c r="X83" s="641"/>
      <c r="Y83" s="642"/>
      <c r="Z83" s="643"/>
      <c r="AA83" s="657"/>
      <c r="AB83" s="645"/>
      <c r="AC83" s="646"/>
      <c r="AD83" s="658"/>
      <c r="AE83" s="638"/>
      <c r="AF83" s="636"/>
      <c r="AG83" s="636"/>
      <c r="AH83" s="636"/>
      <c r="AI83" s="636"/>
      <c r="AJ83" s="636"/>
      <c r="AK83" s="636"/>
      <c r="AL83" s="636"/>
      <c r="AM83" s="638"/>
      <c r="AN83" s="638"/>
      <c r="AO83" s="638"/>
      <c r="AP83" s="638"/>
      <c r="AQ83" s="638"/>
      <c r="AR83" s="638"/>
      <c r="AS83" s="638"/>
    </row>
    <row r="84" s="399" customFormat="1" ht="25" customHeight="1" spans="1:45">
      <c r="A84" s="661" t="s">
        <v>360</v>
      </c>
      <c r="B84" s="231" t="s">
        <v>361</v>
      </c>
      <c r="C84" s="629"/>
      <c r="D84" s="662"/>
      <c r="E84" s="663"/>
      <c r="F84" s="634"/>
      <c r="G84" s="631"/>
      <c r="H84" s="633"/>
      <c r="I84" s="634"/>
      <c r="J84" s="632"/>
      <c r="K84" s="629"/>
      <c r="L84" s="857"/>
      <c r="M84" s="629"/>
      <c r="N84" s="635"/>
      <c r="O84" s="629"/>
      <c r="P84" s="629"/>
      <c r="Q84" s="629"/>
      <c r="R84" s="636"/>
      <c r="S84" s="637"/>
      <c r="T84" s="638"/>
      <c r="U84" s="639"/>
      <c r="V84" s="640"/>
      <c r="W84" s="640"/>
      <c r="X84" s="641"/>
      <c r="Y84" s="642"/>
      <c r="Z84" s="643"/>
      <c r="AA84" s="644"/>
      <c r="AB84" s="645"/>
      <c r="AC84" s="646"/>
      <c r="AD84" s="647"/>
      <c r="AE84" s="638"/>
      <c r="AF84" s="636"/>
      <c r="AG84" s="636"/>
      <c r="AH84" s="636"/>
      <c r="AI84" s="636"/>
      <c r="AJ84" s="636"/>
      <c r="AK84" s="636"/>
      <c r="AL84" s="636"/>
      <c r="AM84" s="638"/>
      <c r="AN84" s="638"/>
      <c r="AO84" s="638"/>
      <c r="AP84" s="638"/>
      <c r="AQ84" s="638"/>
      <c r="AR84" s="638"/>
      <c r="AS84" s="638"/>
    </row>
    <row r="85" s="399" customFormat="1" ht="25" customHeight="1" spans="1:45">
      <c r="A85" s="628" t="s">
        <v>364</v>
      </c>
      <c r="B85" s="628" t="s">
        <v>365</v>
      </c>
      <c r="C85" s="629"/>
      <c r="D85" s="634"/>
      <c r="E85" s="663"/>
      <c r="F85" s="634"/>
      <c r="G85" s="632"/>
      <c r="H85" s="633"/>
      <c r="I85" s="634"/>
      <c r="J85" s="632"/>
      <c r="K85" s="629"/>
      <c r="L85" s="857"/>
      <c r="M85" s="629"/>
      <c r="N85" s="635"/>
      <c r="O85" s="629"/>
      <c r="P85" s="629"/>
      <c r="Q85" s="629"/>
      <c r="R85" s="636"/>
      <c r="S85" s="637"/>
      <c r="T85" s="638"/>
      <c r="U85" s="639"/>
      <c r="V85" s="640"/>
      <c r="W85" s="640"/>
      <c r="X85" s="641"/>
      <c r="Y85" s="642"/>
      <c r="Z85" s="643"/>
      <c r="AA85" s="644"/>
      <c r="AB85" s="645"/>
      <c r="AC85" s="646"/>
      <c r="AD85" s="647"/>
      <c r="AE85" s="638"/>
      <c r="AF85" s="636"/>
      <c r="AG85" s="636"/>
      <c r="AH85" s="636"/>
      <c r="AI85" s="636"/>
      <c r="AJ85" s="636"/>
      <c r="AK85" s="636"/>
      <c r="AL85" s="636"/>
      <c r="AM85" s="638"/>
      <c r="AN85" s="638"/>
      <c r="AO85" s="638"/>
      <c r="AP85" s="638"/>
      <c r="AQ85" s="638"/>
      <c r="AR85" s="638"/>
      <c r="AS85" s="638"/>
    </row>
    <row r="86" s="399" customFormat="1" ht="25" customHeight="1" spans="1:45">
      <c r="A86" s="648" t="s">
        <v>358</v>
      </c>
      <c r="B86" s="649" t="s">
        <v>359</v>
      </c>
      <c r="C86" s="629"/>
      <c r="D86" s="630"/>
      <c r="E86" s="630"/>
      <c r="F86" s="631"/>
      <c r="G86" s="632"/>
      <c r="H86" s="633"/>
      <c r="I86" s="634"/>
      <c r="J86" s="632"/>
      <c r="K86" s="629"/>
      <c r="L86" s="857"/>
      <c r="M86" s="629"/>
      <c r="N86" s="635"/>
      <c r="O86" s="629"/>
      <c r="P86" s="629"/>
      <c r="Q86" s="629"/>
      <c r="R86" s="652"/>
      <c r="S86" s="637"/>
      <c r="T86" s="653"/>
      <c r="U86" s="639"/>
      <c r="V86" s="654"/>
      <c r="W86" s="654"/>
      <c r="X86" s="654"/>
      <c r="Y86" s="655"/>
      <c r="Z86" s="643"/>
      <c r="AA86" s="644"/>
      <c r="AB86" s="645"/>
      <c r="AC86" s="646"/>
      <c r="AD86" s="647"/>
      <c r="AE86" s="647"/>
      <c r="AF86" s="646"/>
      <c r="AG86" s="652"/>
      <c r="AH86" s="652"/>
      <c r="AI86" s="652"/>
      <c r="AJ86" s="652"/>
      <c r="AK86" s="652"/>
      <c r="AL86" s="652"/>
      <c r="AM86" s="653"/>
      <c r="AN86" s="653"/>
      <c r="AO86" s="653"/>
      <c r="AP86" s="653"/>
      <c r="AQ86" s="653"/>
      <c r="AR86" s="653"/>
      <c r="AS86" s="653"/>
    </row>
    <row r="87" s="399" customFormat="1" customHeight="1" spans="1:45">
      <c r="A87" s="629"/>
      <c r="B87" s="639"/>
      <c r="C87" s="629"/>
      <c r="D87" s="634"/>
      <c r="E87" s="634"/>
      <c r="F87" s="634"/>
      <c r="G87" s="631"/>
      <c r="H87" s="633"/>
      <c r="I87" s="634"/>
      <c r="J87" s="632"/>
      <c r="K87" s="629"/>
      <c r="L87" s="857"/>
      <c r="M87" s="629"/>
      <c r="N87" s="635"/>
      <c r="O87" s="629"/>
      <c r="P87" s="629"/>
      <c r="Q87" s="629"/>
      <c r="R87" s="636"/>
      <c r="S87" s="637"/>
      <c r="T87" s="638"/>
      <c r="U87" s="639"/>
      <c r="V87" s="640"/>
      <c r="W87" s="640"/>
      <c r="X87" s="641"/>
      <c r="Y87" s="642"/>
      <c r="Z87" s="643"/>
      <c r="AA87" s="644"/>
      <c r="AB87" s="645"/>
      <c r="AC87" s="646"/>
      <c r="AD87" s="647"/>
      <c r="AE87" s="638"/>
      <c r="AF87" s="636"/>
      <c r="AG87" s="636"/>
      <c r="AH87" s="636"/>
      <c r="AI87" s="636"/>
      <c r="AJ87" s="636"/>
      <c r="AK87" s="636"/>
      <c r="AL87" s="636"/>
      <c r="AM87" s="638"/>
      <c r="AN87" s="638"/>
      <c r="AO87" s="638"/>
      <c r="AP87" s="638"/>
      <c r="AQ87" s="638"/>
      <c r="AR87" s="638"/>
      <c r="AS87" s="638"/>
    </row>
    <row r="88" s="399" customFormat="1" customHeight="1" spans="1:45">
      <c r="A88" s="629"/>
      <c r="B88" s="639"/>
      <c r="C88" s="629"/>
      <c r="D88" s="634"/>
      <c r="E88" s="634"/>
      <c r="F88" s="634"/>
      <c r="G88" s="631"/>
      <c r="H88" s="633"/>
      <c r="I88" s="634"/>
      <c r="J88" s="632"/>
      <c r="K88" s="629"/>
      <c r="L88" s="857"/>
      <c r="M88" s="629"/>
      <c r="N88" s="635"/>
      <c r="O88" s="629"/>
      <c r="P88" s="629"/>
      <c r="Q88" s="629"/>
      <c r="R88" s="636"/>
      <c r="S88" s="637"/>
      <c r="T88" s="638"/>
      <c r="U88" s="639"/>
      <c r="V88" s="640"/>
      <c r="W88" s="640"/>
      <c r="X88" s="641"/>
      <c r="Y88" s="642"/>
      <c r="Z88" s="643"/>
      <c r="AA88" s="644"/>
      <c r="AB88" s="645"/>
      <c r="AC88" s="646"/>
      <c r="AD88" s="647"/>
      <c r="AE88" s="638"/>
      <c r="AF88" s="636"/>
      <c r="AG88" s="636"/>
      <c r="AH88" s="636"/>
      <c r="AI88" s="636"/>
      <c r="AJ88" s="636"/>
      <c r="AK88" s="636"/>
      <c r="AL88" s="636"/>
      <c r="AM88" s="638"/>
      <c r="AN88" s="638"/>
      <c r="AO88" s="638"/>
      <c r="AP88" s="638"/>
      <c r="AQ88" s="638"/>
      <c r="AR88" s="638"/>
      <c r="AS88" s="638"/>
    </row>
    <row r="89" s="399" customFormat="1" customHeight="1" spans="1:45">
      <c r="A89" s="629"/>
      <c r="B89" s="639"/>
      <c r="C89" s="629"/>
      <c r="D89" s="634"/>
      <c r="E89" s="634"/>
      <c r="F89" s="634"/>
      <c r="G89" s="631"/>
      <c r="H89" s="633"/>
      <c r="I89" s="634"/>
      <c r="J89" s="632"/>
      <c r="K89" s="629"/>
      <c r="L89" s="857"/>
      <c r="M89" s="629"/>
      <c r="N89" s="635"/>
      <c r="O89" s="629"/>
      <c r="P89" s="629"/>
      <c r="Q89" s="629"/>
      <c r="R89" s="636"/>
      <c r="S89" s="637"/>
      <c r="T89" s="638"/>
      <c r="U89" s="639"/>
      <c r="V89" s="640"/>
      <c r="W89" s="640"/>
      <c r="X89" s="641"/>
      <c r="Y89" s="642"/>
      <c r="Z89" s="643"/>
      <c r="AA89" s="644"/>
      <c r="AB89" s="645"/>
      <c r="AC89" s="646"/>
      <c r="AD89" s="647"/>
      <c r="AE89" s="638"/>
      <c r="AF89" s="636"/>
      <c r="AG89" s="636"/>
      <c r="AH89" s="636"/>
      <c r="AI89" s="636"/>
      <c r="AJ89" s="636"/>
      <c r="AK89" s="636"/>
      <c r="AL89" s="636"/>
      <c r="AM89" s="638"/>
      <c r="AN89" s="638"/>
      <c r="AO89" s="638"/>
      <c r="AP89" s="638"/>
      <c r="AQ89" s="638"/>
      <c r="AR89" s="638"/>
      <c r="AS89" s="638"/>
    </row>
    <row r="90" s="399" customFormat="1" customHeight="1" spans="1:45">
      <c r="A90" s="629"/>
      <c r="B90" s="639"/>
      <c r="C90" s="629"/>
      <c r="D90" s="634"/>
      <c r="E90" s="634"/>
      <c r="F90" s="634"/>
      <c r="G90" s="631"/>
      <c r="H90" s="633"/>
      <c r="I90" s="634"/>
      <c r="J90" s="632"/>
      <c r="K90" s="629"/>
      <c r="L90" s="857"/>
      <c r="M90" s="629"/>
      <c r="N90" s="635"/>
      <c r="O90" s="629"/>
      <c r="P90" s="629"/>
      <c r="Q90" s="629"/>
      <c r="R90" s="636"/>
      <c r="S90" s="637"/>
      <c r="T90" s="638"/>
      <c r="U90" s="639"/>
      <c r="V90" s="640"/>
      <c r="W90" s="640"/>
      <c r="X90" s="641"/>
      <c r="Y90" s="642"/>
      <c r="Z90" s="643"/>
      <c r="AA90" s="644"/>
      <c r="AB90" s="645"/>
      <c r="AC90" s="646"/>
      <c r="AD90" s="647"/>
      <c r="AE90" s="638"/>
      <c r="AF90" s="636"/>
      <c r="AG90" s="636"/>
      <c r="AH90" s="636"/>
      <c r="AI90" s="636"/>
      <c r="AJ90" s="636"/>
      <c r="AK90" s="636"/>
      <c r="AL90" s="636"/>
      <c r="AM90" s="638"/>
      <c r="AN90" s="638"/>
      <c r="AO90" s="638"/>
      <c r="AP90" s="638"/>
      <c r="AQ90" s="638"/>
      <c r="AR90" s="638"/>
      <c r="AS90" s="638"/>
    </row>
    <row r="91" s="399" customFormat="1" customHeight="1" spans="1:45">
      <c r="A91" s="629"/>
      <c r="B91" s="639"/>
      <c r="C91" s="629"/>
      <c r="D91" s="634"/>
      <c r="E91" s="634"/>
      <c r="F91" s="634"/>
      <c r="G91" s="631"/>
      <c r="H91" s="633"/>
      <c r="I91" s="634"/>
      <c r="J91" s="632"/>
      <c r="K91" s="629"/>
      <c r="L91" s="857"/>
      <c r="M91" s="629"/>
      <c r="N91" s="635"/>
      <c r="O91" s="629"/>
      <c r="P91" s="629"/>
      <c r="Q91" s="629"/>
      <c r="R91" s="636"/>
      <c r="S91" s="637"/>
      <c r="T91" s="638"/>
      <c r="U91" s="639"/>
      <c r="V91" s="640"/>
      <c r="W91" s="640"/>
      <c r="X91" s="641"/>
      <c r="Y91" s="642"/>
      <c r="Z91" s="643"/>
      <c r="AA91" s="644"/>
      <c r="AB91" s="645"/>
      <c r="AC91" s="646"/>
      <c r="AD91" s="647"/>
      <c r="AE91" s="638"/>
      <c r="AF91" s="636"/>
      <c r="AG91" s="636"/>
      <c r="AH91" s="636"/>
      <c r="AI91" s="636"/>
      <c r="AJ91" s="636"/>
      <c r="AK91" s="636"/>
      <c r="AL91" s="636"/>
      <c r="AM91" s="638"/>
      <c r="AN91" s="638"/>
      <c r="AO91" s="638"/>
      <c r="AP91" s="638"/>
      <c r="AQ91" s="638"/>
      <c r="AR91" s="638"/>
      <c r="AS91" s="638"/>
    </row>
    <row r="92" s="399" customFormat="1" customHeight="1" spans="1:45">
      <c r="A92" s="629"/>
      <c r="B92" s="639"/>
      <c r="C92" s="629"/>
      <c r="D92" s="634"/>
      <c r="E92" s="634"/>
      <c r="F92" s="634"/>
      <c r="G92" s="631"/>
      <c r="H92" s="633"/>
      <c r="I92" s="634"/>
      <c r="J92" s="632"/>
      <c r="K92" s="629"/>
      <c r="L92" s="857"/>
      <c r="M92" s="629"/>
      <c r="N92" s="635"/>
      <c r="O92" s="629"/>
      <c r="P92" s="629"/>
      <c r="Q92" s="629"/>
      <c r="R92" s="636"/>
      <c r="S92" s="637"/>
      <c r="T92" s="638"/>
      <c r="U92" s="639"/>
      <c r="V92" s="640"/>
      <c r="W92" s="640"/>
      <c r="X92" s="641"/>
      <c r="Y92" s="642"/>
      <c r="Z92" s="643"/>
      <c r="AA92" s="644"/>
      <c r="AB92" s="645"/>
      <c r="AC92" s="646"/>
      <c r="AD92" s="647"/>
      <c r="AE92" s="638"/>
      <c r="AF92" s="636"/>
      <c r="AG92" s="636"/>
      <c r="AH92" s="636"/>
      <c r="AI92" s="636"/>
      <c r="AJ92" s="636"/>
      <c r="AK92" s="636"/>
      <c r="AL92" s="636"/>
      <c r="AM92" s="638"/>
      <c r="AN92" s="638"/>
      <c r="AO92" s="638"/>
      <c r="AP92" s="638"/>
      <c r="AQ92" s="638"/>
      <c r="AR92" s="638"/>
      <c r="AS92" s="638"/>
    </row>
    <row r="93" s="399" customFormat="1" customHeight="1" spans="1:45">
      <c r="A93" s="629"/>
      <c r="B93" s="639"/>
      <c r="C93" s="629"/>
      <c r="D93" s="634"/>
      <c r="E93" s="634"/>
      <c r="F93" s="634"/>
      <c r="G93" s="631"/>
      <c r="H93" s="633"/>
      <c r="I93" s="634"/>
      <c r="J93" s="632"/>
      <c r="K93" s="629"/>
      <c r="L93" s="857"/>
      <c r="M93" s="629"/>
      <c r="N93" s="635"/>
      <c r="O93" s="629"/>
      <c r="P93" s="629"/>
      <c r="Q93" s="629"/>
      <c r="R93" s="636"/>
      <c r="S93" s="637"/>
      <c r="T93" s="638"/>
      <c r="U93" s="639"/>
      <c r="V93" s="640"/>
      <c r="W93" s="640"/>
      <c r="X93" s="641"/>
      <c r="Y93" s="642"/>
      <c r="Z93" s="643"/>
      <c r="AA93" s="644"/>
      <c r="AB93" s="645"/>
      <c r="AC93" s="646"/>
      <c r="AD93" s="647"/>
      <c r="AE93" s="638"/>
      <c r="AF93" s="636"/>
      <c r="AG93" s="636"/>
      <c r="AH93" s="636"/>
      <c r="AI93" s="636"/>
      <c r="AJ93" s="636"/>
      <c r="AK93" s="636"/>
      <c r="AL93" s="636"/>
      <c r="AM93" s="638"/>
      <c r="AN93" s="638"/>
      <c r="AO93" s="638"/>
      <c r="AP93" s="638"/>
      <c r="AQ93" s="638"/>
      <c r="AR93" s="638"/>
      <c r="AS93" s="638"/>
    </row>
    <row r="94" s="399" customFormat="1" customHeight="1" spans="1:45">
      <c r="A94" s="629"/>
      <c r="B94" s="639"/>
      <c r="C94" s="629"/>
      <c r="D94" s="634"/>
      <c r="E94" s="634"/>
      <c r="F94" s="634"/>
      <c r="G94" s="631"/>
      <c r="H94" s="633"/>
      <c r="I94" s="634"/>
      <c r="J94" s="632"/>
      <c r="K94" s="629"/>
      <c r="L94" s="857"/>
      <c r="M94" s="629"/>
      <c r="N94" s="635"/>
      <c r="O94" s="629"/>
      <c r="P94" s="629"/>
      <c r="Q94" s="629"/>
      <c r="R94" s="636"/>
      <c r="S94" s="637"/>
      <c r="T94" s="638"/>
      <c r="U94" s="639"/>
      <c r="V94" s="640"/>
      <c r="W94" s="640"/>
      <c r="X94" s="641"/>
      <c r="Y94" s="642"/>
      <c r="Z94" s="643"/>
      <c r="AA94" s="644"/>
      <c r="AB94" s="645"/>
      <c r="AC94" s="646"/>
      <c r="AD94" s="647"/>
      <c r="AE94" s="638"/>
      <c r="AF94" s="636"/>
      <c r="AG94" s="636"/>
      <c r="AH94" s="636"/>
      <c r="AI94" s="636"/>
      <c r="AJ94" s="636"/>
      <c r="AK94" s="636"/>
      <c r="AL94" s="636"/>
      <c r="AM94" s="638"/>
      <c r="AN94" s="638"/>
      <c r="AO94" s="638"/>
      <c r="AP94" s="638"/>
      <c r="AQ94" s="638"/>
      <c r="AR94" s="638"/>
      <c r="AS94" s="638"/>
    </row>
    <row r="95" s="399" customFormat="1" customHeight="1" spans="1:45">
      <c r="A95" s="629"/>
      <c r="B95" s="639"/>
      <c r="C95" s="629"/>
      <c r="D95" s="634"/>
      <c r="E95" s="634"/>
      <c r="F95" s="634"/>
      <c r="G95" s="631"/>
      <c r="H95" s="633"/>
      <c r="I95" s="634"/>
      <c r="J95" s="632"/>
      <c r="K95" s="629"/>
      <c r="L95" s="857"/>
      <c r="M95" s="629"/>
      <c r="N95" s="635"/>
      <c r="O95" s="629"/>
      <c r="P95" s="629"/>
      <c r="Q95" s="629"/>
      <c r="R95" s="636"/>
      <c r="S95" s="637"/>
      <c r="T95" s="638"/>
      <c r="U95" s="639"/>
      <c r="V95" s="640"/>
      <c r="W95" s="640"/>
      <c r="X95" s="641"/>
      <c r="Y95" s="642"/>
      <c r="Z95" s="643"/>
      <c r="AA95" s="644"/>
      <c r="AB95" s="645"/>
      <c r="AC95" s="646"/>
      <c r="AD95" s="647"/>
      <c r="AE95" s="638"/>
      <c r="AF95" s="636"/>
      <c r="AG95" s="636"/>
      <c r="AH95" s="636"/>
      <c r="AI95" s="636"/>
      <c r="AJ95" s="636"/>
      <c r="AK95" s="636"/>
      <c r="AL95" s="636"/>
      <c r="AM95" s="638"/>
      <c r="AN95" s="638"/>
      <c r="AO95" s="638"/>
      <c r="AP95" s="638"/>
      <c r="AQ95" s="638"/>
      <c r="AR95" s="638"/>
      <c r="AS95" s="638"/>
    </row>
    <row r="96" s="399" customFormat="1" customHeight="1" spans="1:45">
      <c r="A96" s="629"/>
      <c r="B96" s="639"/>
      <c r="C96" s="629"/>
      <c r="D96" s="634"/>
      <c r="E96" s="634"/>
      <c r="F96" s="634"/>
      <c r="G96" s="631"/>
      <c r="H96" s="633"/>
      <c r="I96" s="634"/>
      <c r="J96" s="632"/>
      <c r="K96" s="629"/>
      <c r="L96" s="857"/>
      <c r="M96" s="629"/>
      <c r="N96" s="635"/>
      <c r="O96" s="629"/>
      <c r="P96" s="629"/>
      <c r="Q96" s="629"/>
      <c r="R96" s="636"/>
      <c r="S96" s="637"/>
      <c r="T96" s="638"/>
      <c r="U96" s="639"/>
      <c r="V96" s="640"/>
      <c r="W96" s="640"/>
      <c r="X96" s="641"/>
      <c r="Y96" s="642"/>
      <c r="Z96" s="643"/>
      <c r="AA96" s="644"/>
      <c r="AB96" s="645"/>
      <c r="AC96" s="646"/>
      <c r="AD96" s="647"/>
      <c r="AE96" s="638"/>
      <c r="AF96" s="636"/>
      <c r="AG96" s="636"/>
      <c r="AH96" s="636"/>
      <c r="AI96" s="636"/>
      <c r="AJ96" s="636"/>
      <c r="AK96" s="636"/>
      <c r="AL96" s="636"/>
      <c r="AM96" s="638"/>
      <c r="AN96" s="638"/>
      <c r="AO96" s="638"/>
      <c r="AP96" s="638"/>
      <c r="AQ96" s="638"/>
      <c r="AR96" s="638"/>
      <c r="AS96" s="638"/>
    </row>
    <row r="97" s="399" customFormat="1" customHeight="1" spans="1:45">
      <c r="A97" s="629"/>
      <c r="B97" s="639"/>
      <c r="C97" s="629"/>
      <c r="D97" s="634"/>
      <c r="E97" s="634"/>
      <c r="F97" s="634"/>
      <c r="G97" s="631"/>
      <c r="H97" s="633"/>
      <c r="I97" s="634"/>
      <c r="J97" s="632"/>
      <c r="K97" s="629"/>
      <c r="L97" s="857"/>
      <c r="M97" s="629"/>
      <c r="N97" s="635"/>
      <c r="O97" s="629"/>
      <c r="P97" s="629"/>
      <c r="Q97" s="629"/>
      <c r="R97" s="636"/>
      <c r="S97" s="637"/>
      <c r="T97" s="638"/>
      <c r="U97" s="639"/>
      <c r="V97" s="640"/>
      <c r="W97" s="640"/>
      <c r="X97" s="641"/>
      <c r="Y97" s="642"/>
      <c r="Z97" s="643"/>
      <c r="AA97" s="644"/>
      <c r="AB97" s="645"/>
      <c r="AC97" s="646"/>
      <c r="AD97" s="647"/>
      <c r="AE97" s="638"/>
      <c r="AF97" s="636"/>
      <c r="AG97" s="636"/>
      <c r="AH97" s="636"/>
      <c r="AI97" s="636"/>
      <c r="AJ97" s="636"/>
      <c r="AK97" s="636"/>
      <c r="AL97" s="636"/>
      <c r="AM97" s="638"/>
      <c r="AN97" s="638"/>
      <c r="AO97" s="638"/>
      <c r="AP97" s="638"/>
      <c r="AQ97" s="638"/>
      <c r="AR97" s="638"/>
      <c r="AS97" s="638"/>
    </row>
    <row r="98" s="399" customFormat="1" customHeight="1" spans="1:45">
      <c r="A98" s="629"/>
      <c r="B98" s="639"/>
      <c r="C98" s="629"/>
      <c r="D98" s="634"/>
      <c r="E98" s="634"/>
      <c r="F98" s="634"/>
      <c r="G98" s="631"/>
      <c r="H98" s="633"/>
      <c r="I98" s="634"/>
      <c r="J98" s="632"/>
      <c r="K98" s="629"/>
      <c r="L98" s="857"/>
      <c r="M98" s="629"/>
      <c r="N98" s="635"/>
      <c r="O98" s="629"/>
      <c r="P98" s="629"/>
      <c r="Q98" s="629"/>
      <c r="R98" s="636"/>
      <c r="S98" s="637"/>
      <c r="T98" s="638"/>
      <c r="U98" s="639"/>
      <c r="V98" s="640"/>
      <c r="W98" s="640"/>
      <c r="X98" s="641"/>
      <c r="Y98" s="642"/>
      <c r="Z98" s="643"/>
      <c r="AA98" s="644"/>
      <c r="AB98" s="645"/>
      <c r="AC98" s="646"/>
      <c r="AD98" s="647"/>
      <c r="AE98" s="638"/>
      <c r="AF98" s="636"/>
      <c r="AG98" s="636"/>
      <c r="AH98" s="636"/>
      <c r="AI98" s="636"/>
      <c r="AJ98" s="636"/>
      <c r="AK98" s="636"/>
      <c r="AL98" s="636"/>
      <c r="AM98" s="638"/>
      <c r="AN98" s="638"/>
      <c r="AO98" s="638"/>
      <c r="AP98" s="638"/>
      <c r="AQ98" s="638"/>
      <c r="AR98" s="638"/>
      <c r="AS98" s="638"/>
    </row>
    <row r="99" s="399" customFormat="1" customHeight="1" spans="1:45">
      <c r="A99" s="629"/>
      <c r="B99" s="639"/>
      <c r="C99" s="629"/>
      <c r="D99" s="634"/>
      <c r="E99" s="634"/>
      <c r="F99" s="634"/>
      <c r="G99" s="631"/>
      <c r="H99" s="633"/>
      <c r="I99" s="634"/>
      <c r="J99" s="632"/>
      <c r="K99" s="629"/>
      <c r="L99" s="857"/>
      <c r="M99" s="629"/>
      <c r="N99" s="635"/>
      <c r="O99" s="629"/>
      <c r="P99" s="629"/>
      <c r="Q99" s="629"/>
      <c r="R99" s="636"/>
      <c r="S99" s="637"/>
      <c r="T99" s="638"/>
      <c r="U99" s="639"/>
      <c r="V99" s="640"/>
      <c r="W99" s="640"/>
      <c r="X99" s="641"/>
      <c r="Y99" s="642"/>
      <c r="Z99" s="643"/>
      <c r="AA99" s="644"/>
      <c r="AB99" s="645"/>
      <c r="AC99" s="646"/>
      <c r="AD99" s="647"/>
      <c r="AE99" s="638"/>
      <c r="AF99" s="636"/>
      <c r="AG99" s="636"/>
      <c r="AH99" s="636"/>
      <c r="AI99" s="636"/>
      <c r="AJ99" s="636"/>
      <c r="AK99" s="636"/>
      <c r="AL99" s="636"/>
      <c r="AM99" s="638"/>
      <c r="AN99" s="638"/>
      <c r="AO99" s="638"/>
      <c r="AP99" s="638"/>
      <c r="AQ99" s="638"/>
      <c r="AR99" s="638"/>
      <c r="AS99" s="638"/>
    </row>
    <row r="100" s="399" customFormat="1" customHeight="1" spans="1:45">
      <c r="A100" s="629"/>
      <c r="B100" s="639"/>
      <c r="C100" s="629"/>
      <c r="D100" s="634"/>
      <c r="E100" s="634"/>
      <c r="F100" s="634"/>
      <c r="G100" s="631"/>
      <c r="H100" s="633"/>
      <c r="I100" s="634"/>
      <c r="J100" s="632"/>
      <c r="K100" s="629"/>
      <c r="L100" s="857"/>
      <c r="M100" s="629"/>
      <c r="N100" s="635"/>
      <c r="O100" s="629"/>
      <c r="P100" s="629"/>
      <c r="Q100" s="629"/>
      <c r="R100" s="636"/>
      <c r="S100" s="637"/>
      <c r="T100" s="638"/>
      <c r="U100" s="639"/>
      <c r="V100" s="640"/>
      <c r="W100" s="640"/>
      <c r="X100" s="641"/>
      <c r="Y100" s="642"/>
      <c r="Z100" s="643"/>
      <c r="AA100" s="644"/>
      <c r="AB100" s="645"/>
      <c r="AC100" s="646"/>
      <c r="AD100" s="647"/>
      <c r="AE100" s="638"/>
      <c r="AF100" s="636"/>
      <c r="AG100" s="636"/>
      <c r="AH100" s="636"/>
      <c r="AI100" s="636"/>
      <c r="AJ100" s="636"/>
      <c r="AK100" s="636"/>
      <c r="AL100" s="636"/>
      <c r="AM100" s="638"/>
      <c r="AN100" s="638"/>
      <c r="AO100" s="638"/>
      <c r="AP100" s="638"/>
      <c r="AQ100" s="638"/>
      <c r="AR100" s="638"/>
      <c r="AS100" s="638"/>
    </row>
    <row r="101" s="399" customFormat="1" customHeight="1" spans="1:45">
      <c r="A101" s="629"/>
      <c r="B101" s="639"/>
      <c r="C101" s="629"/>
      <c r="D101" s="634"/>
      <c r="E101" s="634"/>
      <c r="F101" s="634"/>
      <c r="G101" s="631"/>
      <c r="H101" s="633"/>
      <c r="I101" s="634"/>
      <c r="J101" s="632"/>
      <c r="K101" s="629"/>
      <c r="L101" s="857"/>
      <c r="M101" s="629"/>
      <c r="N101" s="635"/>
      <c r="O101" s="629"/>
      <c r="P101" s="629"/>
      <c r="Q101" s="629"/>
      <c r="R101" s="636"/>
      <c r="S101" s="637"/>
      <c r="T101" s="638"/>
      <c r="U101" s="639"/>
      <c r="V101" s="640"/>
      <c r="W101" s="640"/>
      <c r="X101" s="641"/>
      <c r="Y101" s="642"/>
      <c r="Z101" s="643"/>
      <c r="AA101" s="644"/>
      <c r="AB101" s="645"/>
      <c r="AC101" s="646"/>
      <c r="AD101" s="647"/>
      <c r="AE101" s="638"/>
      <c r="AF101" s="636"/>
      <c r="AG101" s="636"/>
      <c r="AH101" s="636"/>
      <c r="AI101" s="636"/>
      <c r="AJ101" s="636"/>
      <c r="AK101" s="636"/>
      <c r="AL101" s="636"/>
      <c r="AM101" s="638"/>
      <c r="AN101" s="638"/>
      <c r="AO101" s="638"/>
      <c r="AP101" s="638"/>
      <c r="AQ101" s="638"/>
      <c r="AR101" s="638"/>
      <c r="AS101" s="638"/>
    </row>
    <row r="102" s="399" customFormat="1" customHeight="1" spans="1:45">
      <c r="A102" s="629"/>
      <c r="B102" s="639"/>
      <c r="C102" s="629"/>
      <c r="D102" s="634"/>
      <c r="E102" s="634"/>
      <c r="F102" s="634"/>
      <c r="G102" s="631"/>
      <c r="H102" s="633"/>
      <c r="I102" s="634"/>
      <c r="J102" s="632"/>
      <c r="K102" s="629"/>
      <c r="L102" s="857"/>
      <c r="M102" s="629"/>
      <c r="N102" s="635"/>
      <c r="O102" s="629"/>
      <c r="P102" s="629"/>
      <c r="Q102" s="629"/>
      <c r="R102" s="636"/>
      <c r="S102" s="637"/>
      <c r="T102" s="638"/>
      <c r="U102" s="639"/>
      <c r="V102" s="640"/>
      <c r="W102" s="640"/>
      <c r="X102" s="641"/>
      <c r="Y102" s="642"/>
      <c r="Z102" s="643"/>
      <c r="AA102" s="644"/>
      <c r="AB102" s="645"/>
      <c r="AC102" s="646"/>
      <c r="AD102" s="647"/>
      <c r="AE102" s="638"/>
      <c r="AF102" s="636"/>
      <c r="AG102" s="636"/>
      <c r="AH102" s="636"/>
      <c r="AI102" s="636"/>
      <c r="AJ102" s="636"/>
      <c r="AK102" s="636"/>
      <c r="AL102" s="636"/>
      <c r="AM102" s="638"/>
      <c r="AN102" s="638"/>
      <c r="AO102" s="638"/>
      <c r="AP102" s="638"/>
      <c r="AQ102" s="638"/>
      <c r="AR102" s="638"/>
      <c r="AS102" s="638"/>
    </row>
    <row r="103" s="399" customFormat="1" customHeight="1" spans="1:45">
      <c r="A103" s="629"/>
      <c r="B103" s="639"/>
      <c r="C103" s="629"/>
      <c r="D103" s="634"/>
      <c r="E103" s="634"/>
      <c r="F103" s="634"/>
      <c r="G103" s="631"/>
      <c r="H103" s="633"/>
      <c r="I103" s="634"/>
      <c r="J103" s="632"/>
      <c r="K103" s="629"/>
      <c r="L103" s="857"/>
      <c r="M103" s="629"/>
      <c r="N103" s="635"/>
      <c r="O103" s="629"/>
      <c r="P103" s="629"/>
      <c r="Q103" s="629"/>
      <c r="R103" s="636"/>
      <c r="S103" s="637"/>
      <c r="T103" s="638"/>
      <c r="U103" s="639"/>
      <c r="V103" s="640"/>
      <c r="W103" s="640"/>
      <c r="X103" s="641"/>
      <c r="Y103" s="642"/>
      <c r="Z103" s="643"/>
      <c r="AA103" s="644"/>
      <c r="AB103" s="645"/>
      <c r="AC103" s="646"/>
      <c r="AD103" s="647"/>
      <c r="AE103" s="638"/>
      <c r="AF103" s="636"/>
      <c r="AG103" s="636"/>
      <c r="AH103" s="636"/>
      <c r="AI103" s="636"/>
      <c r="AJ103" s="636"/>
      <c r="AK103" s="636"/>
      <c r="AL103" s="636"/>
      <c r="AM103" s="638"/>
      <c r="AN103" s="638"/>
      <c r="AO103" s="638"/>
      <c r="AP103" s="638"/>
      <c r="AQ103" s="638"/>
      <c r="AR103" s="638"/>
      <c r="AS103" s="638"/>
    </row>
    <row r="104" s="399" customFormat="1" customHeight="1" spans="1:45">
      <c r="A104" s="629"/>
      <c r="B104" s="639"/>
      <c r="C104" s="629"/>
      <c r="D104" s="634"/>
      <c r="E104" s="634"/>
      <c r="F104" s="634"/>
      <c r="G104" s="631"/>
      <c r="H104" s="633"/>
      <c r="I104" s="634"/>
      <c r="J104" s="632"/>
      <c r="K104" s="629"/>
      <c r="L104" s="857"/>
      <c r="M104" s="629"/>
      <c r="N104" s="635"/>
      <c r="O104" s="629"/>
      <c r="P104" s="629"/>
      <c r="Q104" s="629"/>
      <c r="R104" s="636"/>
      <c r="S104" s="637"/>
      <c r="T104" s="638"/>
      <c r="U104" s="639"/>
      <c r="V104" s="640"/>
      <c r="W104" s="640"/>
      <c r="X104" s="641"/>
      <c r="Y104" s="642"/>
      <c r="Z104" s="643"/>
      <c r="AA104" s="644"/>
      <c r="AB104" s="645"/>
      <c r="AC104" s="646"/>
      <c r="AD104" s="647"/>
      <c r="AE104" s="638"/>
      <c r="AF104" s="636"/>
      <c r="AG104" s="636"/>
      <c r="AH104" s="636"/>
      <c r="AI104" s="636"/>
      <c r="AJ104" s="636"/>
      <c r="AK104" s="636"/>
      <c r="AL104" s="636"/>
      <c r="AM104" s="638"/>
      <c r="AN104" s="638"/>
      <c r="AO104" s="638"/>
      <c r="AP104" s="638"/>
      <c r="AQ104" s="638"/>
      <c r="AR104" s="638"/>
      <c r="AS104" s="638"/>
    </row>
    <row r="105" s="399" customFormat="1" customHeight="1" spans="1:45">
      <c r="A105" s="629"/>
      <c r="B105" s="639"/>
      <c r="C105" s="629"/>
      <c r="D105" s="634"/>
      <c r="E105" s="634"/>
      <c r="F105" s="634"/>
      <c r="G105" s="631"/>
      <c r="H105" s="633"/>
      <c r="I105" s="634"/>
      <c r="J105" s="632"/>
      <c r="K105" s="629"/>
      <c r="L105" s="857"/>
      <c r="M105" s="629"/>
      <c r="N105" s="635"/>
      <c r="O105" s="629"/>
      <c r="P105" s="629"/>
      <c r="Q105" s="629"/>
      <c r="R105" s="636"/>
      <c r="S105" s="637"/>
      <c r="T105" s="638"/>
      <c r="U105" s="639"/>
      <c r="V105" s="640"/>
      <c r="W105" s="640"/>
      <c r="X105" s="641"/>
      <c r="Y105" s="642"/>
      <c r="Z105" s="643"/>
      <c r="AA105" s="644"/>
      <c r="AB105" s="645"/>
      <c r="AC105" s="646"/>
      <c r="AD105" s="647"/>
      <c r="AE105" s="638"/>
      <c r="AF105" s="636"/>
      <c r="AG105" s="636"/>
      <c r="AH105" s="636"/>
      <c r="AI105" s="636"/>
      <c r="AJ105" s="636"/>
      <c r="AK105" s="636"/>
      <c r="AL105" s="636"/>
      <c r="AM105" s="638"/>
      <c r="AN105" s="638"/>
      <c r="AO105" s="638"/>
      <c r="AP105" s="638"/>
      <c r="AQ105" s="638"/>
      <c r="AR105" s="638"/>
      <c r="AS105" s="638"/>
    </row>
    <row r="106" s="399" customFormat="1" customHeight="1" spans="1:45">
      <c r="A106" s="629"/>
      <c r="B106" s="639"/>
      <c r="C106" s="629"/>
      <c r="D106" s="634"/>
      <c r="E106" s="634"/>
      <c r="F106" s="634"/>
      <c r="G106" s="631"/>
      <c r="H106" s="633"/>
      <c r="I106" s="634"/>
      <c r="J106" s="632"/>
      <c r="K106" s="629"/>
      <c r="L106" s="857"/>
      <c r="M106" s="629"/>
      <c r="N106" s="635"/>
      <c r="O106" s="629"/>
      <c r="P106" s="629"/>
      <c r="Q106" s="629"/>
      <c r="R106" s="636"/>
      <c r="S106" s="637"/>
      <c r="T106" s="638"/>
      <c r="U106" s="639"/>
      <c r="V106" s="640"/>
      <c r="W106" s="640"/>
      <c r="X106" s="641"/>
      <c r="Y106" s="642"/>
      <c r="Z106" s="643"/>
      <c r="AA106" s="644"/>
      <c r="AB106" s="645"/>
      <c r="AC106" s="646"/>
      <c r="AD106" s="647"/>
      <c r="AE106" s="638"/>
      <c r="AF106" s="636"/>
      <c r="AG106" s="636"/>
      <c r="AH106" s="636"/>
      <c r="AI106" s="636"/>
      <c r="AJ106" s="636"/>
      <c r="AK106" s="636"/>
      <c r="AL106" s="636"/>
      <c r="AM106" s="638"/>
      <c r="AN106" s="638"/>
      <c r="AO106" s="638"/>
      <c r="AP106" s="638"/>
      <c r="AQ106" s="638"/>
      <c r="AR106" s="638"/>
      <c r="AS106" s="638"/>
    </row>
    <row r="107" s="399" customFormat="1" customHeight="1" spans="1:45">
      <c r="A107" s="629"/>
      <c r="B107" s="639"/>
      <c r="C107" s="629"/>
      <c r="D107" s="634"/>
      <c r="E107" s="634"/>
      <c r="F107" s="634"/>
      <c r="G107" s="631"/>
      <c r="H107" s="633"/>
      <c r="I107" s="634"/>
      <c r="J107" s="632"/>
      <c r="K107" s="629"/>
      <c r="L107" s="857"/>
      <c r="M107" s="629"/>
      <c r="N107" s="635"/>
      <c r="O107" s="629"/>
      <c r="P107" s="629"/>
      <c r="Q107" s="629"/>
      <c r="R107" s="636"/>
      <c r="S107" s="637"/>
      <c r="T107" s="638"/>
      <c r="U107" s="639"/>
      <c r="V107" s="640"/>
      <c r="W107" s="640"/>
      <c r="X107" s="641"/>
      <c r="Y107" s="642"/>
      <c r="Z107" s="643"/>
      <c r="AA107" s="644"/>
      <c r="AB107" s="645"/>
      <c r="AC107" s="646"/>
      <c r="AD107" s="647"/>
      <c r="AE107" s="638"/>
      <c r="AF107" s="636"/>
      <c r="AG107" s="636"/>
      <c r="AH107" s="636"/>
      <c r="AI107" s="636"/>
      <c r="AJ107" s="636"/>
      <c r="AK107" s="636"/>
      <c r="AL107" s="636"/>
      <c r="AM107" s="638"/>
      <c r="AN107" s="638"/>
      <c r="AO107" s="638"/>
      <c r="AP107" s="638"/>
      <c r="AQ107" s="638"/>
      <c r="AR107" s="638"/>
      <c r="AS107" s="638"/>
    </row>
    <row r="108" s="399" customFormat="1" customHeight="1" spans="1:45">
      <c r="A108" s="629"/>
      <c r="B108" s="639"/>
      <c r="C108" s="629"/>
      <c r="D108" s="634"/>
      <c r="E108" s="634"/>
      <c r="F108" s="634"/>
      <c r="G108" s="631"/>
      <c r="H108" s="633"/>
      <c r="I108" s="634"/>
      <c r="J108" s="632"/>
      <c r="K108" s="629"/>
      <c r="L108" s="857"/>
      <c r="M108" s="629"/>
      <c r="N108" s="635"/>
      <c r="O108" s="629"/>
      <c r="P108" s="629"/>
      <c r="Q108" s="629"/>
      <c r="R108" s="636"/>
      <c r="S108" s="637"/>
      <c r="T108" s="638"/>
      <c r="U108" s="639"/>
      <c r="V108" s="640"/>
      <c r="W108" s="640"/>
      <c r="X108" s="641"/>
      <c r="Y108" s="642"/>
      <c r="Z108" s="643"/>
      <c r="AA108" s="644"/>
      <c r="AB108" s="645"/>
      <c r="AC108" s="646"/>
      <c r="AD108" s="647"/>
      <c r="AE108" s="638"/>
      <c r="AF108" s="636"/>
      <c r="AG108" s="636"/>
      <c r="AH108" s="636"/>
      <c r="AI108" s="636"/>
      <c r="AJ108" s="636"/>
      <c r="AK108" s="636"/>
      <c r="AL108" s="636"/>
      <c r="AM108" s="638"/>
      <c r="AN108" s="638"/>
      <c r="AO108" s="638"/>
      <c r="AP108" s="638"/>
      <c r="AQ108" s="638"/>
      <c r="AR108" s="638"/>
      <c r="AS108" s="638"/>
    </row>
    <row r="109" s="399" customFormat="1" customHeight="1" spans="1:45">
      <c r="A109" s="629"/>
      <c r="B109" s="639"/>
      <c r="C109" s="629"/>
      <c r="D109" s="634"/>
      <c r="E109" s="634"/>
      <c r="F109" s="634"/>
      <c r="G109" s="631"/>
      <c r="H109" s="633"/>
      <c r="I109" s="634"/>
      <c r="J109" s="632"/>
      <c r="K109" s="629"/>
      <c r="L109" s="857"/>
      <c r="M109" s="629"/>
      <c r="N109" s="635"/>
      <c r="O109" s="629"/>
      <c r="P109" s="629"/>
      <c r="Q109" s="629"/>
      <c r="R109" s="636"/>
      <c r="S109" s="637"/>
      <c r="T109" s="638"/>
      <c r="U109" s="639"/>
      <c r="V109" s="640"/>
      <c r="W109" s="640"/>
      <c r="X109" s="641"/>
      <c r="Y109" s="642"/>
      <c r="Z109" s="643"/>
      <c r="AA109" s="644"/>
      <c r="AB109" s="645"/>
      <c r="AC109" s="646"/>
      <c r="AD109" s="647"/>
      <c r="AE109" s="638"/>
      <c r="AF109" s="636"/>
      <c r="AG109" s="636"/>
      <c r="AH109" s="636"/>
      <c r="AI109" s="636"/>
      <c r="AJ109" s="636"/>
      <c r="AK109" s="636"/>
      <c r="AL109" s="636"/>
      <c r="AM109" s="638"/>
      <c r="AN109" s="638"/>
      <c r="AO109" s="638"/>
      <c r="AP109" s="638"/>
      <c r="AQ109" s="638"/>
      <c r="AR109" s="638"/>
      <c r="AS109" s="638"/>
    </row>
    <row r="110" s="399" customFormat="1" customHeight="1" spans="1:45">
      <c r="A110" s="629"/>
      <c r="B110" s="639"/>
      <c r="C110" s="629"/>
      <c r="D110" s="634"/>
      <c r="E110" s="634"/>
      <c r="F110" s="634"/>
      <c r="G110" s="631"/>
      <c r="H110" s="633"/>
      <c r="I110" s="634"/>
      <c r="J110" s="632"/>
      <c r="K110" s="629"/>
      <c r="L110" s="857"/>
      <c r="M110" s="629"/>
      <c r="N110" s="635"/>
      <c r="O110" s="629"/>
      <c r="P110" s="629"/>
      <c r="Q110" s="629"/>
      <c r="R110" s="636"/>
      <c r="S110" s="637"/>
      <c r="T110" s="638"/>
      <c r="U110" s="639"/>
      <c r="V110" s="640"/>
      <c r="W110" s="640"/>
      <c r="X110" s="641"/>
      <c r="Y110" s="642"/>
      <c r="Z110" s="643"/>
      <c r="AA110" s="644"/>
      <c r="AB110" s="645"/>
      <c r="AC110" s="646"/>
      <c r="AD110" s="647"/>
      <c r="AE110" s="638"/>
      <c r="AF110" s="636"/>
      <c r="AG110" s="636"/>
      <c r="AH110" s="636"/>
      <c r="AI110" s="636"/>
      <c r="AJ110" s="636"/>
      <c r="AK110" s="636"/>
      <c r="AL110" s="636"/>
      <c r="AM110" s="638"/>
      <c r="AN110" s="638"/>
      <c r="AO110" s="638"/>
      <c r="AP110" s="638"/>
      <c r="AQ110" s="638"/>
      <c r="AR110" s="638"/>
      <c r="AS110" s="638"/>
    </row>
    <row r="111" s="399" customFormat="1" customHeight="1" spans="1:45">
      <c r="A111" s="629"/>
      <c r="B111" s="639"/>
      <c r="C111" s="629"/>
      <c r="D111" s="634"/>
      <c r="E111" s="634"/>
      <c r="F111" s="634"/>
      <c r="G111" s="631"/>
      <c r="H111" s="633"/>
      <c r="I111" s="634"/>
      <c r="J111" s="632"/>
      <c r="K111" s="629"/>
      <c r="L111" s="857"/>
      <c r="M111" s="629"/>
      <c r="N111" s="635"/>
      <c r="O111" s="629"/>
      <c r="P111" s="629"/>
      <c r="Q111" s="629"/>
      <c r="R111" s="636"/>
      <c r="S111" s="637"/>
      <c r="T111" s="638"/>
      <c r="U111" s="639"/>
      <c r="V111" s="640"/>
      <c r="W111" s="640"/>
      <c r="X111" s="641"/>
      <c r="Y111" s="642"/>
      <c r="Z111" s="643"/>
      <c r="AA111" s="644"/>
      <c r="AB111" s="645"/>
      <c r="AC111" s="646"/>
      <c r="AD111" s="647"/>
      <c r="AE111" s="638"/>
      <c r="AF111" s="636"/>
      <c r="AG111" s="636"/>
      <c r="AH111" s="636"/>
      <c r="AI111" s="636"/>
      <c r="AJ111" s="636"/>
      <c r="AK111" s="636"/>
      <c r="AL111" s="636"/>
      <c r="AM111" s="638"/>
      <c r="AN111" s="638"/>
      <c r="AO111" s="638"/>
      <c r="AP111" s="638"/>
      <c r="AQ111" s="638"/>
      <c r="AR111" s="638"/>
      <c r="AS111" s="638"/>
    </row>
    <row r="112" s="399" customFormat="1" customHeight="1" spans="1:45">
      <c r="A112" s="629"/>
      <c r="B112" s="639"/>
      <c r="C112" s="629"/>
      <c r="D112" s="634"/>
      <c r="E112" s="634"/>
      <c r="F112" s="634"/>
      <c r="G112" s="631"/>
      <c r="H112" s="633"/>
      <c r="I112" s="634"/>
      <c r="J112" s="632"/>
      <c r="K112" s="629"/>
      <c r="L112" s="857"/>
      <c r="M112" s="629"/>
      <c r="N112" s="635"/>
      <c r="O112" s="629"/>
      <c r="P112" s="629"/>
      <c r="Q112" s="629"/>
      <c r="R112" s="636"/>
      <c r="S112" s="637"/>
      <c r="T112" s="638"/>
      <c r="U112" s="639"/>
      <c r="V112" s="640"/>
      <c r="W112" s="640"/>
      <c r="X112" s="641"/>
      <c r="Y112" s="642"/>
      <c r="Z112" s="643"/>
      <c r="AA112" s="644"/>
      <c r="AB112" s="645"/>
      <c r="AC112" s="646"/>
      <c r="AD112" s="647"/>
      <c r="AE112" s="638"/>
      <c r="AF112" s="636"/>
      <c r="AG112" s="636"/>
      <c r="AH112" s="636"/>
      <c r="AI112" s="636"/>
      <c r="AJ112" s="636"/>
      <c r="AK112" s="636"/>
      <c r="AL112" s="636"/>
      <c r="AM112" s="638"/>
      <c r="AN112" s="638"/>
      <c r="AO112" s="638"/>
      <c r="AP112" s="638"/>
      <c r="AQ112" s="638"/>
      <c r="AR112" s="638"/>
      <c r="AS112" s="638"/>
    </row>
    <row r="113" s="399" customFormat="1" customHeight="1" spans="1:45">
      <c r="A113" s="629"/>
      <c r="B113" s="639"/>
      <c r="C113" s="629"/>
      <c r="D113" s="634"/>
      <c r="E113" s="634"/>
      <c r="F113" s="634"/>
      <c r="G113" s="631"/>
      <c r="H113" s="633"/>
      <c r="I113" s="634"/>
      <c r="J113" s="632"/>
      <c r="K113" s="629"/>
      <c r="L113" s="857"/>
      <c r="M113" s="629"/>
      <c r="N113" s="635"/>
      <c r="O113" s="629"/>
      <c r="P113" s="629"/>
      <c r="Q113" s="629"/>
      <c r="R113" s="636"/>
      <c r="S113" s="637"/>
      <c r="T113" s="638"/>
      <c r="U113" s="639"/>
      <c r="V113" s="640"/>
      <c r="W113" s="640"/>
      <c r="X113" s="641"/>
      <c r="Y113" s="642"/>
      <c r="Z113" s="643"/>
      <c r="AA113" s="644"/>
      <c r="AB113" s="645"/>
      <c r="AC113" s="646"/>
      <c r="AD113" s="647"/>
      <c r="AE113" s="638"/>
      <c r="AF113" s="636"/>
      <c r="AG113" s="636"/>
      <c r="AH113" s="636"/>
      <c r="AI113" s="636"/>
      <c r="AJ113" s="636"/>
      <c r="AK113" s="636"/>
      <c r="AL113" s="636"/>
      <c r="AM113" s="638"/>
      <c r="AN113" s="638"/>
      <c r="AO113" s="638"/>
      <c r="AP113" s="638"/>
      <c r="AQ113" s="638"/>
      <c r="AR113" s="638"/>
      <c r="AS113" s="638"/>
    </row>
    <row r="114" s="399" customFormat="1" customHeight="1" spans="1:45">
      <c r="A114" s="629"/>
      <c r="B114" s="639"/>
      <c r="C114" s="629"/>
      <c r="D114" s="634"/>
      <c r="E114" s="634"/>
      <c r="F114" s="634"/>
      <c r="G114" s="631"/>
      <c r="H114" s="633"/>
      <c r="I114" s="634"/>
      <c r="J114" s="632"/>
      <c r="K114" s="629"/>
      <c r="L114" s="857"/>
      <c r="M114" s="629"/>
      <c r="N114" s="635"/>
      <c r="O114" s="629"/>
      <c r="P114" s="629"/>
      <c r="Q114" s="629"/>
      <c r="R114" s="636"/>
      <c r="S114" s="637"/>
      <c r="T114" s="638"/>
      <c r="U114" s="639"/>
      <c r="V114" s="640"/>
      <c r="W114" s="640"/>
      <c r="X114" s="641"/>
      <c r="Y114" s="642"/>
      <c r="Z114" s="643"/>
      <c r="AA114" s="644"/>
      <c r="AB114" s="645"/>
      <c r="AC114" s="646"/>
      <c r="AD114" s="647"/>
      <c r="AE114" s="638"/>
      <c r="AF114" s="636"/>
      <c r="AG114" s="636"/>
      <c r="AH114" s="636"/>
      <c r="AI114" s="636"/>
      <c r="AJ114" s="636"/>
      <c r="AK114" s="636"/>
      <c r="AL114" s="636"/>
      <c r="AM114" s="638"/>
      <c r="AN114" s="638"/>
      <c r="AO114" s="638"/>
      <c r="AP114" s="638"/>
      <c r="AQ114" s="638"/>
      <c r="AR114" s="638"/>
      <c r="AS114" s="638"/>
    </row>
    <row r="115" s="399" customFormat="1" customHeight="1" spans="1:45">
      <c r="A115" s="629"/>
      <c r="B115" s="639"/>
      <c r="C115" s="629"/>
      <c r="D115" s="634"/>
      <c r="E115" s="634"/>
      <c r="F115" s="634"/>
      <c r="G115" s="631"/>
      <c r="H115" s="633"/>
      <c r="I115" s="634"/>
      <c r="J115" s="632"/>
      <c r="K115" s="629"/>
      <c r="L115" s="857"/>
      <c r="M115" s="629"/>
      <c r="N115" s="635"/>
      <c r="O115" s="629"/>
      <c r="P115" s="629"/>
      <c r="Q115" s="629"/>
      <c r="R115" s="636"/>
      <c r="S115" s="637"/>
      <c r="T115" s="638"/>
      <c r="U115" s="639"/>
      <c r="V115" s="640"/>
      <c r="W115" s="640"/>
      <c r="X115" s="641"/>
      <c r="Y115" s="642"/>
      <c r="Z115" s="643"/>
      <c r="AA115" s="644"/>
      <c r="AB115" s="645"/>
      <c r="AC115" s="646"/>
      <c r="AD115" s="647"/>
      <c r="AE115" s="638"/>
      <c r="AF115" s="636"/>
      <c r="AG115" s="636"/>
      <c r="AH115" s="636"/>
      <c r="AI115" s="636"/>
      <c r="AJ115" s="636"/>
      <c r="AK115" s="636"/>
      <c r="AL115" s="636"/>
      <c r="AM115" s="638"/>
      <c r="AN115" s="638"/>
      <c r="AO115" s="638"/>
      <c r="AP115" s="638"/>
      <c r="AQ115" s="638"/>
      <c r="AR115" s="638"/>
      <c r="AS115" s="638"/>
    </row>
    <row r="116" s="399" customFormat="1" customHeight="1" spans="1:45">
      <c r="A116" s="629"/>
      <c r="B116" s="639"/>
      <c r="C116" s="629"/>
      <c r="D116" s="634"/>
      <c r="E116" s="634"/>
      <c r="F116" s="634"/>
      <c r="G116" s="631"/>
      <c r="H116" s="633"/>
      <c r="I116" s="634"/>
      <c r="J116" s="632"/>
      <c r="K116" s="629"/>
      <c r="L116" s="857"/>
      <c r="M116" s="629"/>
      <c r="N116" s="635"/>
      <c r="O116" s="629"/>
      <c r="P116" s="629"/>
      <c r="Q116" s="629"/>
      <c r="R116" s="636"/>
      <c r="S116" s="637"/>
      <c r="T116" s="638"/>
      <c r="U116" s="639"/>
      <c r="V116" s="640"/>
      <c r="W116" s="640"/>
      <c r="X116" s="641"/>
      <c r="Y116" s="642"/>
      <c r="Z116" s="643"/>
      <c r="AA116" s="644"/>
      <c r="AB116" s="645"/>
      <c r="AC116" s="646"/>
      <c r="AD116" s="647"/>
      <c r="AE116" s="638"/>
      <c r="AF116" s="636"/>
      <c r="AG116" s="636"/>
      <c r="AH116" s="636"/>
      <c r="AI116" s="636"/>
      <c r="AJ116" s="636"/>
      <c r="AK116" s="636"/>
      <c r="AL116" s="636"/>
      <c r="AM116" s="638"/>
      <c r="AN116" s="638"/>
      <c r="AO116" s="638"/>
      <c r="AP116" s="638"/>
      <c r="AQ116" s="638"/>
      <c r="AR116" s="638"/>
      <c r="AS116" s="638"/>
    </row>
    <row r="117" s="399" customFormat="1" customHeight="1" spans="1:45">
      <c r="A117" s="629"/>
      <c r="B117" s="639"/>
      <c r="C117" s="629"/>
      <c r="D117" s="634"/>
      <c r="E117" s="634"/>
      <c r="F117" s="634"/>
      <c r="G117" s="631"/>
      <c r="H117" s="633"/>
      <c r="I117" s="634"/>
      <c r="J117" s="632"/>
      <c r="K117" s="629"/>
      <c r="L117" s="857"/>
      <c r="M117" s="629"/>
      <c r="N117" s="635"/>
      <c r="O117" s="629"/>
      <c r="P117" s="629"/>
      <c r="Q117" s="629"/>
      <c r="R117" s="636"/>
      <c r="S117" s="637"/>
      <c r="T117" s="638"/>
      <c r="U117" s="639"/>
      <c r="V117" s="640"/>
      <c r="W117" s="640"/>
      <c r="X117" s="641"/>
      <c r="Y117" s="642"/>
      <c r="Z117" s="643"/>
      <c r="AA117" s="644"/>
      <c r="AB117" s="645"/>
      <c r="AC117" s="646"/>
      <c r="AD117" s="647"/>
      <c r="AE117" s="638"/>
      <c r="AF117" s="636"/>
      <c r="AG117" s="636"/>
      <c r="AH117" s="636"/>
      <c r="AI117" s="636"/>
      <c r="AJ117" s="636"/>
      <c r="AK117" s="636"/>
      <c r="AL117" s="636"/>
      <c r="AM117" s="638"/>
      <c r="AN117" s="638"/>
      <c r="AO117" s="638"/>
      <c r="AP117" s="638"/>
      <c r="AQ117" s="638"/>
      <c r="AR117" s="638"/>
      <c r="AS117" s="638"/>
    </row>
    <row r="118" s="399" customFormat="1" customHeight="1" spans="1:45">
      <c r="A118" s="629"/>
      <c r="B118" s="639"/>
      <c r="C118" s="629"/>
      <c r="D118" s="634"/>
      <c r="E118" s="634"/>
      <c r="F118" s="634"/>
      <c r="G118" s="631"/>
      <c r="H118" s="633"/>
      <c r="I118" s="634"/>
      <c r="J118" s="632"/>
      <c r="K118" s="629"/>
      <c r="L118" s="857"/>
      <c r="M118" s="629"/>
      <c r="N118" s="635"/>
      <c r="O118" s="629"/>
      <c r="P118" s="629"/>
      <c r="Q118" s="629"/>
      <c r="R118" s="636"/>
      <c r="S118" s="637"/>
      <c r="T118" s="638"/>
      <c r="U118" s="639"/>
      <c r="V118" s="640"/>
      <c r="W118" s="640"/>
      <c r="X118" s="641"/>
      <c r="Y118" s="642"/>
      <c r="Z118" s="643"/>
      <c r="AA118" s="644"/>
      <c r="AB118" s="645"/>
      <c r="AC118" s="646"/>
      <c r="AD118" s="647"/>
      <c r="AE118" s="638"/>
      <c r="AF118" s="636"/>
      <c r="AG118" s="636"/>
      <c r="AH118" s="636"/>
      <c r="AI118" s="636"/>
      <c r="AJ118" s="636"/>
      <c r="AK118" s="636"/>
      <c r="AL118" s="636"/>
      <c r="AM118" s="638"/>
      <c r="AN118" s="638"/>
      <c r="AO118" s="638"/>
      <c r="AP118" s="638"/>
      <c r="AQ118" s="638"/>
      <c r="AR118" s="638"/>
      <c r="AS118" s="638"/>
    </row>
    <row r="119" s="399" customFormat="1" customHeight="1" spans="1:45">
      <c r="A119" s="629"/>
      <c r="B119" s="639"/>
      <c r="C119" s="629"/>
      <c r="D119" s="634"/>
      <c r="E119" s="634"/>
      <c r="F119" s="634"/>
      <c r="G119" s="631"/>
      <c r="H119" s="633"/>
      <c r="I119" s="634"/>
      <c r="J119" s="632"/>
      <c r="K119" s="629"/>
      <c r="L119" s="857"/>
      <c r="M119" s="629"/>
      <c r="N119" s="635"/>
      <c r="O119" s="629"/>
      <c r="P119" s="629"/>
      <c r="Q119" s="629"/>
      <c r="R119" s="636"/>
      <c r="S119" s="637"/>
      <c r="T119" s="638"/>
      <c r="U119" s="639"/>
      <c r="V119" s="640"/>
      <c r="W119" s="640"/>
      <c r="X119" s="641"/>
      <c r="Y119" s="642"/>
      <c r="Z119" s="643"/>
      <c r="AA119" s="644"/>
      <c r="AB119" s="645"/>
      <c r="AC119" s="646"/>
      <c r="AD119" s="647"/>
      <c r="AE119" s="638"/>
      <c r="AF119" s="636"/>
      <c r="AG119" s="636"/>
      <c r="AH119" s="636"/>
      <c r="AI119" s="636"/>
      <c r="AJ119" s="636"/>
      <c r="AK119" s="636"/>
      <c r="AL119" s="636"/>
      <c r="AM119" s="638"/>
      <c r="AN119" s="638"/>
      <c r="AO119" s="638"/>
      <c r="AP119" s="638"/>
      <c r="AQ119" s="638"/>
      <c r="AR119" s="638"/>
      <c r="AS119" s="638"/>
    </row>
    <row r="120" s="399" customFormat="1" customHeight="1" spans="1:45">
      <c r="A120" s="629"/>
      <c r="B120" s="639"/>
      <c r="C120" s="629"/>
      <c r="D120" s="634"/>
      <c r="E120" s="634"/>
      <c r="F120" s="634"/>
      <c r="G120" s="631"/>
      <c r="H120" s="633"/>
      <c r="I120" s="634"/>
      <c r="J120" s="632"/>
      <c r="K120" s="629"/>
      <c r="L120" s="857"/>
      <c r="M120" s="629"/>
      <c r="N120" s="635"/>
      <c r="O120" s="629"/>
      <c r="P120" s="629"/>
      <c r="Q120" s="629"/>
      <c r="R120" s="636"/>
      <c r="S120" s="637"/>
      <c r="T120" s="638"/>
      <c r="U120" s="639"/>
      <c r="V120" s="640"/>
      <c r="W120" s="640"/>
      <c r="X120" s="641"/>
      <c r="Y120" s="642"/>
      <c r="Z120" s="643"/>
      <c r="AA120" s="644"/>
      <c r="AB120" s="645"/>
      <c r="AC120" s="646"/>
      <c r="AD120" s="647"/>
      <c r="AE120" s="638"/>
      <c r="AF120" s="636"/>
      <c r="AG120" s="636"/>
      <c r="AH120" s="636"/>
      <c r="AI120" s="636"/>
      <c r="AJ120" s="636"/>
      <c r="AK120" s="636"/>
      <c r="AL120" s="636"/>
      <c r="AM120" s="638"/>
      <c r="AN120" s="638"/>
      <c r="AO120" s="638"/>
      <c r="AP120" s="638"/>
      <c r="AQ120" s="638"/>
      <c r="AR120" s="638"/>
      <c r="AS120" s="638"/>
    </row>
    <row r="121" s="399" customFormat="1" customHeight="1" spans="1:45">
      <c r="A121" s="629"/>
      <c r="B121" s="639"/>
      <c r="C121" s="629"/>
      <c r="D121" s="634"/>
      <c r="E121" s="634"/>
      <c r="F121" s="634"/>
      <c r="G121" s="631"/>
      <c r="H121" s="633"/>
      <c r="I121" s="634"/>
      <c r="J121" s="632"/>
      <c r="K121" s="629"/>
      <c r="L121" s="857"/>
      <c r="M121" s="629"/>
      <c r="N121" s="635"/>
      <c r="O121" s="629"/>
      <c r="P121" s="629"/>
      <c r="Q121" s="629"/>
      <c r="R121" s="636"/>
      <c r="S121" s="637"/>
      <c r="T121" s="638"/>
      <c r="U121" s="639"/>
      <c r="V121" s="640"/>
      <c r="W121" s="640"/>
      <c r="X121" s="641"/>
      <c r="Y121" s="642"/>
      <c r="Z121" s="643"/>
      <c r="AA121" s="644"/>
      <c r="AB121" s="645"/>
      <c r="AC121" s="646"/>
      <c r="AD121" s="647"/>
      <c r="AE121" s="638"/>
      <c r="AF121" s="636"/>
      <c r="AG121" s="636"/>
      <c r="AH121" s="636"/>
      <c r="AI121" s="636"/>
      <c r="AJ121" s="636"/>
      <c r="AK121" s="636"/>
      <c r="AL121" s="636"/>
      <c r="AM121" s="638"/>
      <c r="AN121" s="638"/>
      <c r="AO121" s="638"/>
      <c r="AP121" s="638"/>
      <c r="AQ121" s="638"/>
      <c r="AR121" s="638"/>
      <c r="AS121" s="638"/>
    </row>
    <row r="122" s="399" customFormat="1" customHeight="1" spans="1:45">
      <c r="A122" s="629"/>
      <c r="B122" s="639"/>
      <c r="C122" s="629"/>
      <c r="D122" s="634"/>
      <c r="E122" s="634"/>
      <c r="F122" s="634"/>
      <c r="G122" s="631"/>
      <c r="H122" s="633"/>
      <c r="I122" s="634"/>
      <c r="J122" s="632"/>
      <c r="K122" s="629"/>
      <c r="L122" s="857"/>
      <c r="M122" s="629"/>
      <c r="N122" s="635"/>
      <c r="O122" s="629"/>
      <c r="P122" s="629"/>
      <c r="Q122" s="629"/>
      <c r="R122" s="636"/>
      <c r="S122" s="637"/>
      <c r="T122" s="638"/>
      <c r="U122" s="639"/>
      <c r="V122" s="640"/>
      <c r="W122" s="640"/>
      <c r="X122" s="641"/>
      <c r="Y122" s="642"/>
      <c r="Z122" s="643"/>
      <c r="AA122" s="644"/>
      <c r="AB122" s="645"/>
      <c r="AC122" s="646"/>
      <c r="AD122" s="647"/>
      <c r="AE122" s="638"/>
      <c r="AF122" s="636"/>
      <c r="AG122" s="636"/>
      <c r="AH122" s="636"/>
      <c r="AI122" s="636"/>
      <c r="AJ122" s="636"/>
      <c r="AK122" s="636"/>
      <c r="AL122" s="636"/>
      <c r="AM122" s="638"/>
      <c r="AN122" s="638"/>
      <c r="AO122" s="638"/>
      <c r="AP122" s="638"/>
      <c r="AQ122" s="638"/>
      <c r="AR122" s="638"/>
      <c r="AS122" s="638"/>
    </row>
    <row r="123" s="399" customFormat="1" customHeight="1" spans="1:45">
      <c r="A123" s="629"/>
      <c r="B123" s="639"/>
      <c r="C123" s="629"/>
      <c r="D123" s="634"/>
      <c r="E123" s="634"/>
      <c r="F123" s="634"/>
      <c r="G123" s="631"/>
      <c r="H123" s="633"/>
      <c r="I123" s="634"/>
      <c r="J123" s="632"/>
      <c r="K123" s="629"/>
      <c r="L123" s="857"/>
      <c r="M123" s="629"/>
      <c r="N123" s="635"/>
      <c r="O123" s="629"/>
      <c r="P123" s="629"/>
      <c r="Q123" s="629"/>
      <c r="R123" s="636"/>
      <c r="S123" s="637"/>
      <c r="T123" s="638"/>
      <c r="U123" s="639"/>
      <c r="V123" s="640"/>
      <c r="W123" s="640"/>
      <c r="X123" s="641"/>
      <c r="Y123" s="642"/>
      <c r="Z123" s="643"/>
      <c r="AA123" s="644"/>
      <c r="AB123" s="645"/>
      <c r="AC123" s="646"/>
      <c r="AD123" s="647"/>
      <c r="AE123" s="638"/>
      <c r="AF123" s="636"/>
      <c r="AG123" s="636"/>
      <c r="AH123" s="636"/>
      <c r="AI123" s="636"/>
      <c r="AJ123" s="636"/>
      <c r="AK123" s="636"/>
      <c r="AL123" s="636"/>
      <c r="AM123" s="638"/>
      <c r="AN123" s="638"/>
      <c r="AO123" s="638"/>
      <c r="AP123" s="638"/>
      <c r="AQ123" s="638"/>
      <c r="AR123" s="638"/>
      <c r="AS123" s="638"/>
    </row>
    <row r="124" s="399" customFormat="1" customHeight="1" spans="1:45">
      <c r="A124" s="629"/>
      <c r="B124" s="639"/>
      <c r="C124" s="629"/>
      <c r="D124" s="634"/>
      <c r="E124" s="634"/>
      <c r="F124" s="634"/>
      <c r="G124" s="631"/>
      <c r="H124" s="633"/>
      <c r="I124" s="634"/>
      <c r="J124" s="632"/>
      <c r="K124" s="629"/>
      <c r="L124" s="857"/>
      <c r="M124" s="629"/>
      <c r="N124" s="635"/>
      <c r="O124" s="629"/>
      <c r="P124" s="629"/>
      <c r="Q124" s="629"/>
      <c r="R124" s="636"/>
      <c r="S124" s="637"/>
      <c r="T124" s="638"/>
      <c r="U124" s="639"/>
      <c r="V124" s="640"/>
      <c r="W124" s="640"/>
      <c r="X124" s="641"/>
      <c r="Y124" s="642"/>
      <c r="Z124" s="643"/>
      <c r="AA124" s="644"/>
      <c r="AB124" s="645"/>
      <c r="AC124" s="646"/>
      <c r="AD124" s="647"/>
      <c r="AE124" s="638"/>
      <c r="AF124" s="636"/>
      <c r="AG124" s="636"/>
      <c r="AH124" s="636"/>
      <c r="AI124" s="636"/>
      <c r="AJ124" s="636"/>
      <c r="AK124" s="636"/>
      <c r="AL124" s="636"/>
      <c r="AM124" s="638"/>
      <c r="AN124" s="638"/>
      <c r="AO124" s="638"/>
      <c r="AP124" s="638"/>
      <c r="AQ124" s="638"/>
      <c r="AR124" s="638"/>
      <c r="AS124" s="638"/>
    </row>
    <row r="125" s="399" customFormat="1" customHeight="1" spans="1:45">
      <c r="A125" s="629"/>
      <c r="B125" s="639"/>
      <c r="C125" s="629"/>
      <c r="D125" s="634"/>
      <c r="E125" s="634"/>
      <c r="F125" s="634"/>
      <c r="G125" s="631"/>
      <c r="H125" s="633"/>
      <c r="I125" s="634"/>
      <c r="J125" s="632"/>
      <c r="K125" s="629"/>
      <c r="L125" s="857"/>
      <c r="M125" s="629"/>
      <c r="N125" s="635"/>
      <c r="O125" s="629"/>
      <c r="P125" s="629"/>
      <c r="Q125" s="629"/>
      <c r="R125" s="636"/>
      <c r="S125" s="637"/>
      <c r="T125" s="638"/>
      <c r="U125" s="639"/>
      <c r="V125" s="640"/>
      <c r="W125" s="640"/>
      <c r="X125" s="641"/>
      <c r="Y125" s="642"/>
      <c r="Z125" s="643"/>
      <c r="AA125" s="644"/>
      <c r="AB125" s="645"/>
      <c r="AC125" s="646"/>
      <c r="AD125" s="647"/>
      <c r="AE125" s="638"/>
      <c r="AF125" s="636"/>
      <c r="AG125" s="636"/>
      <c r="AH125" s="636"/>
      <c r="AI125" s="636"/>
      <c r="AJ125" s="636"/>
      <c r="AK125" s="636"/>
      <c r="AL125" s="636"/>
      <c r="AM125" s="638"/>
      <c r="AN125" s="638"/>
      <c r="AO125" s="638"/>
      <c r="AP125" s="638"/>
      <c r="AQ125" s="638"/>
      <c r="AR125" s="638"/>
      <c r="AS125" s="638"/>
    </row>
    <row r="126" s="399" customFormat="1" customHeight="1" spans="1:45">
      <c r="A126" s="629"/>
      <c r="B126" s="639"/>
      <c r="C126" s="629"/>
      <c r="D126" s="634"/>
      <c r="E126" s="634"/>
      <c r="F126" s="634"/>
      <c r="G126" s="631"/>
      <c r="H126" s="633"/>
      <c r="I126" s="634"/>
      <c r="J126" s="632"/>
      <c r="K126" s="629"/>
      <c r="L126" s="857"/>
      <c r="M126" s="629"/>
      <c r="N126" s="635"/>
      <c r="O126" s="629"/>
      <c r="P126" s="629"/>
      <c r="Q126" s="629"/>
      <c r="R126" s="636"/>
      <c r="S126" s="637"/>
      <c r="T126" s="638"/>
      <c r="U126" s="639"/>
      <c r="V126" s="640"/>
      <c r="W126" s="640"/>
      <c r="X126" s="641"/>
      <c r="Y126" s="642"/>
      <c r="Z126" s="643"/>
      <c r="AA126" s="644"/>
      <c r="AB126" s="645"/>
      <c r="AC126" s="646"/>
      <c r="AD126" s="647"/>
      <c r="AE126" s="638"/>
      <c r="AF126" s="636"/>
      <c r="AG126" s="636"/>
      <c r="AH126" s="636"/>
      <c r="AI126" s="636"/>
      <c r="AJ126" s="636"/>
      <c r="AK126" s="636"/>
      <c r="AL126" s="636"/>
      <c r="AM126" s="638"/>
      <c r="AN126" s="638"/>
      <c r="AO126" s="638"/>
      <c r="AP126" s="638"/>
      <c r="AQ126" s="638"/>
      <c r="AR126" s="638"/>
      <c r="AS126" s="638"/>
    </row>
    <row r="127" s="399" customFormat="1" customHeight="1" spans="1:45">
      <c r="A127" s="629"/>
      <c r="B127" s="639"/>
      <c r="C127" s="629"/>
      <c r="D127" s="634"/>
      <c r="E127" s="634"/>
      <c r="F127" s="634"/>
      <c r="G127" s="631"/>
      <c r="H127" s="633"/>
      <c r="I127" s="634"/>
      <c r="J127" s="632"/>
      <c r="K127" s="629"/>
      <c r="L127" s="857"/>
      <c r="M127" s="629"/>
      <c r="N127" s="635"/>
      <c r="O127" s="629"/>
      <c r="P127" s="629"/>
      <c r="Q127" s="629"/>
      <c r="R127" s="636"/>
      <c r="S127" s="637"/>
      <c r="T127" s="638"/>
      <c r="U127" s="639"/>
      <c r="V127" s="640"/>
      <c r="W127" s="640"/>
      <c r="X127" s="641"/>
      <c r="Y127" s="642"/>
      <c r="Z127" s="643"/>
      <c r="AA127" s="644"/>
      <c r="AB127" s="645"/>
      <c r="AC127" s="646"/>
      <c r="AD127" s="647"/>
      <c r="AE127" s="638"/>
      <c r="AF127" s="636"/>
      <c r="AG127" s="636"/>
      <c r="AH127" s="636"/>
      <c r="AI127" s="636"/>
      <c r="AJ127" s="636"/>
      <c r="AK127" s="636"/>
      <c r="AL127" s="636"/>
      <c r="AM127" s="638"/>
      <c r="AN127" s="638"/>
      <c r="AO127" s="638"/>
      <c r="AP127" s="638"/>
      <c r="AQ127" s="638"/>
      <c r="AR127" s="638"/>
      <c r="AS127" s="638"/>
    </row>
    <row r="128" s="399" customFormat="1" customHeight="1" spans="1:45">
      <c r="A128" s="629"/>
      <c r="B128" s="639"/>
      <c r="C128" s="629"/>
      <c r="D128" s="634"/>
      <c r="E128" s="634"/>
      <c r="F128" s="634"/>
      <c r="G128" s="631"/>
      <c r="H128" s="633"/>
      <c r="I128" s="634"/>
      <c r="J128" s="632"/>
      <c r="K128" s="629"/>
      <c r="L128" s="857"/>
      <c r="M128" s="629"/>
      <c r="N128" s="635"/>
      <c r="O128" s="629"/>
      <c r="P128" s="629"/>
      <c r="Q128" s="629"/>
      <c r="R128" s="636"/>
      <c r="S128" s="637"/>
      <c r="T128" s="638"/>
      <c r="U128" s="639"/>
      <c r="V128" s="640"/>
      <c r="W128" s="640"/>
      <c r="X128" s="641"/>
      <c r="Y128" s="642"/>
      <c r="Z128" s="643"/>
      <c r="AA128" s="644"/>
      <c r="AB128" s="645"/>
      <c r="AC128" s="646"/>
      <c r="AD128" s="647"/>
      <c r="AE128" s="638"/>
      <c r="AF128" s="636"/>
      <c r="AG128" s="636"/>
      <c r="AH128" s="636"/>
      <c r="AI128" s="636"/>
      <c r="AJ128" s="636"/>
      <c r="AK128" s="636"/>
      <c r="AL128" s="636"/>
      <c r="AM128" s="638"/>
      <c r="AN128" s="638"/>
      <c r="AO128" s="638"/>
      <c r="AP128" s="638"/>
      <c r="AQ128" s="638"/>
      <c r="AR128" s="638"/>
      <c r="AS128" s="638"/>
    </row>
    <row r="129" s="399" customFormat="1" customHeight="1" spans="1:45">
      <c r="A129" s="629"/>
      <c r="B129" s="639"/>
      <c r="C129" s="629"/>
      <c r="D129" s="634"/>
      <c r="E129" s="634"/>
      <c r="F129" s="634"/>
      <c r="G129" s="631"/>
      <c r="H129" s="633"/>
      <c r="I129" s="634"/>
      <c r="J129" s="632"/>
      <c r="K129" s="629"/>
      <c r="L129" s="857"/>
      <c r="M129" s="629"/>
      <c r="N129" s="635"/>
      <c r="O129" s="629"/>
      <c r="P129" s="629"/>
      <c r="Q129" s="629"/>
      <c r="R129" s="636"/>
      <c r="S129" s="637"/>
      <c r="T129" s="638"/>
      <c r="U129" s="639"/>
      <c r="V129" s="640"/>
      <c r="W129" s="640"/>
      <c r="X129" s="641"/>
      <c r="Y129" s="642"/>
      <c r="Z129" s="643"/>
      <c r="AA129" s="644"/>
      <c r="AB129" s="645"/>
      <c r="AC129" s="646"/>
      <c r="AD129" s="647"/>
      <c r="AE129" s="638"/>
      <c r="AF129" s="636"/>
      <c r="AG129" s="636"/>
      <c r="AH129" s="636"/>
      <c r="AI129" s="636"/>
      <c r="AJ129" s="636"/>
      <c r="AK129" s="636"/>
      <c r="AL129" s="636"/>
      <c r="AM129" s="638"/>
      <c r="AN129" s="638"/>
      <c r="AO129" s="638"/>
      <c r="AP129" s="638"/>
      <c r="AQ129" s="638"/>
      <c r="AR129" s="638"/>
      <c r="AS129" s="638"/>
    </row>
    <row r="130" s="399" customFormat="1" customHeight="1" spans="1:45">
      <c r="A130" s="629"/>
      <c r="B130" s="639"/>
      <c r="C130" s="629"/>
      <c r="D130" s="634"/>
      <c r="E130" s="634"/>
      <c r="F130" s="634"/>
      <c r="G130" s="631"/>
      <c r="H130" s="633"/>
      <c r="I130" s="634"/>
      <c r="J130" s="632"/>
      <c r="K130" s="629"/>
      <c r="L130" s="857"/>
      <c r="M130" s="629"/>
      <c r="N130" s="635"/>
      <c r="O130" s="629"/>
      <c r="P130" s="629"/>
      <c r="Q130" s="629"/>
      <c r="R130" s="636"/>
      <c r="S130" s="637"/>
      <c r="T130" s="638"/>
      <c r="U130" s="639"/>
      <c r="V130" s="640"/>
      <c r="W130" s="640"/>
      <c r="X130" s="641"/>
      <c r="Y130" s="642"/>
      <c r="Z130" s="643"/>
      <c r="AA130" s="644"/>
      <c r="AB130" s="645"/>
      <c r="AC130" s="646"/>
      <c r="AD130" s="647"/>
      <c r="AE130" s="638"/>
      <c r="AF130" s="636"/>
      <c r="AG130" s="636"/>
      <c r="AH130" s="636"/>
      <c r="AI130" s="636"/>
      <c r="AJ130" s="636"/>
      <c r="AK130" s="636"/>
      <c r="AL130" s="636"/>
      <c r="AM130" s="638"/>
      <c r="AN130" s="638"/>
      <c r="AO130" s="638"/>
      <c r="AP130" s="638"/>
      <c r="AQ130" s="638"/>
      <c r="AR130" s="638"/>
      <c r="AS130" s="638"/>
    </row>
    <row r="131" s="399" customFormat="1" customHeight="1" spans="1:45">
      <c r="A131" s="629"/>
      <c r="B131" s="639"/>
      <c r="C131" s="629"/>
      <c r="D131" s="634"/>
      <c r="E131" s="634"/>
      <c r="F131" s="634"/>
      <c r="G131" s="631"/>
      <c r="H131" s="633"/>
      <c r="I131" s="634"/>
      <c r="J131" s="632"/>
      <c r="K131" s="629"/>
      <c r="L131" s="857"/>
      <c r="M131" s="629"/>
      <c r="N131" s="635"/>
      <c r="O131" s="629"/>
      <c r="P131" s="629"/>
      <c r="Q131" s="629"/>
      <c r="R131" s="636"/>
      <c r="S131" s="637"/>
      <c r="T131" s="638"/>
      <c r="U131" s="639"/>
      <c r="V131" s="640"/>
      <c r="W131" s="640"/>
      <c r="X131" s="641"/>
      <c r="Y131" s="642"/>
      <c r="Z131" s="643"/>
      <c r="AA131" s="644"/>
      <c r="AB131" s="645"/>
      <c r="AC131" s="646"/>
      <c r="AD131" s="647"/>
      <c r="AE131" s="638"/>
      <c r="AF131" s="636"/>
      <c r="AG131" s="636"/>
      <c r="AH131" s="636"/>
      <c r="AI131" s="636"/>
      <c r="AJ131" s="636"/>
      <c r="AK131" s="636"/>
      <c r="AL131" s="636"/>
      <c r="AM131" s="638"/>
      <c r="AN131" s="638"/>
      <c r="AO131" s="638"/>
      <c r="AP131" s="638"/>
      <c r="AQ131" s="638"/>
      <c r="AR131" s="638"/>
      <c r="AS131" s="638"/>
    </row>
    <row r="132" s="399" customFormat="1" customHeight="1" spans="1:45">
      <c r="A132" s="629"/>
      <c r="B132" s="639"/>
      <c r="C132" s="629"/>
      <c r="D132" s="634"/>
      <c r="E132" s="634"/>
      <c r="F132" s="634"/>
      <c r="G132" s="631"/>
      <c r="H132" s="633"/>
      <c r="I132" s="634"/>
      <c r="J132" s="632"/>
      <c r="K132" s="629"/>
      <c r="L132" s="857"/>
      <c r="M132" s="629"/>
      <c r="N132" s="635"/>
      <c r="O132" s="629"/>
      <c r="P132" s="629"/>
      <c r="Q132" s="629"/>
      <c r="R132" s="636"/>
      <c r="S132" s="637"/>
      <c r="T132" s="638"/>
      <c r="U132" s="639"/>
      <c r="V132" s="640"/>
      <c r="W132" s="640"/>
      <c r="X132" s="641"/>
      <c r="Y132" s="642"/>
      <c r="Z132" s="643"/>
      <c r="AA132" s="644"/>
      <c r="AB132" s="645"/>
      <c r="AC132" s="646"/>
      <c r="AD132" s="647"/>
      <c r="AE132" s="638"/>
      <c r="AF132" s="636"/>
      <c r="AG132" s="636"/>
      <c r="AH132" s="636"/>
      <c r="AI132" s="636"/>
      <c r="AJ132" s="636"/>
      <c r="AK132" s="636"/>
      <c r="AL132" s="636"/>
      <c r="AM132" s="638"/>
      <c r="AN132" s="638"/>
      <c r="AO132" s="638"/>
      <c r="AP132" s="638"/>
      <c r="AQ132" s="638"/>
      <c r="AR132" s="638"/>
      <c r="AS132" s="638"/>
    </row>
    <row r="133" s="399" customFormat="1" customHeight="1" spans="1:45">
      <c r="A133" s="629"/>
      <c r="B133" s="639"/>
      <c r="C133" s="629"/>
      <c r="D133" s="634"/>
      <c r="E133" s="634"/>
      <c r="F133" s="634"/>
      <c r="G133" s="631"/>
      <c r="H133" s="633"/>
      <c r="I133" s="634"/>
      <c r="J133" s="632"/>
      <c r="K133" s="629"/>
      <c r="L133" s="857"/>
      <c r="M133" s="629"/>
      <c r="N133" s="635"/>
      <c r="O133" s="629"/>
      <c r="P133" s="629"/>
      <c r="Q133" s="629"/>
      <c r="R133" s="636"/>
      <c r="S133" s="637"/>
      <c r="T133" s="638"/>
      <c r="U133" s="639"/>
      <c r="V133" s="640"/>
      <c r="W133" s="640"/>
      <c r="X133" s="641"/>
      <c r="Y133" s="642"/>
      <c r="Z133" s="643"/>
      <c r="AA133" s="644"/>
      <c r="AB133" s="645"/>
      <c r="AC133" s="646"/>
      <c r="AD133" s="647"/>
      <c r="AE133" s="638"/>
      <c r="AF133" s="636"/>
      <c r="AG133" s="636"/>
      <c r="AH133" s="636"/>
      <c r="AI133" s="636"/>
      <c r="AJ133" s="636"/>
      <c r="AK133" s="636"/>
      <c r="AL133" s="636"/>
      <c r="AM133" s="638"/>
      <c r="AN133" s="638"/>
      <c r="AO133" s="638"/>
      <c r="AP133" s="638"/>
      <c r="AQ133" s="638"/>
      <c r="AR133" s="638"/>
      <c r="AS133" s="638"/>
    </row>
    <row r="134" s="399" customFormat="1" customHeight="1" spans="1:45">
      <c r="A134" s="629"/>
      <c r="B134" s="639"/>
      <c r="C134" s="629"/>
      <c r="D134" s="634"/>
      <c r="E134" s="634"/>
      <c r="F134" s="634"/>
      <c r="G134" s="631"/>
      <c r="H134" s="633"/>
      <c r="I134" s="634"/>
      <c r="J134" s="632"/>
      <c r="K134" s="629"/>
      <c r="L134" s="857"/>
      <c r="M134" s="629"/>
      <c r="N134" s="635"/>
      <c r="O134" s="629"/>
      <c r="P134" s="629"/>
      <c r="Q134" s="629"/>
      <c r="R134" s="636"/>
      <c r="S134" s="637"/>
      <c r="T134" s="638"/>
      <c r="U134" s="639"/>
      <c r="V134" s="640"/>
      <c r="W134" s="640"/>
      <c r="X134" s="641"/>
      <c r="Y134" s="642"/>
      <c r="Z134" s="643"/>
      <c r="AA134" s="644"/>
      <c r="AB134" s="645"/>
      <c r="AC134" s="646"/>
      <c r="AD134" s="647"/>
      <c r="AE134" s="638"/>
      <c r="AF134" s="636"/>
      <c r="AG134" s="636"/>
      <c r="AH134" s="636"/>
      <c r="AI134" s="636"/>
      <c r="AJ134" s="636"/>
      <c r="AK134" s="636"/>
      <c r="AL134" s="636"/>
      <c r="AM134" s="638"/>
      <c r="AN134" s="638"/>
      <c r="AO134" s="638"/>
      <c r="AP134" s="638"/>
      <c r="AQ134" s="638"/>
      <c r="AR134" s="638"/>
      <c r="AS134" s="638"/>
    </row>
    <row r="135" s="399" customFormat="1" customHeight="1" spans="1:45">
      <c r="A135" s="629"/>
      <c r="B135" s="639"/>
      <c r="C135" s="629"/>
      <c r="D135" s="634"/>
      <c r="E135" s="634"/>
      <c r="F135" s="634"/>
      <c r="G135" s="631"/>
      <c r="H135" s="633"/>
      <c r="I135" s="634"/>
      <c r="J135" s="632"/>
      <c r="K135" s="629"/>
      <c r="L135" s="857"/>
      <c r="M135" s="629"/>
      <c r="N135" s="635"/>
      <c r="O135" s="629"/>
      <c r="P135" s="629"/>
      <c r="Q135" s="629"/>
      <c r="R135" s="636"/>
      <c r="S135" s="637"/>
      <c r="T135" s="638"/>
      <c r="U135" s="639"/>
      <c r="V135" s="640"/>
      <c r="W135" s="640"/>
      <c r="X135" s="641"/>
      <c r="Y135" s="642"/>
      <c r="Z135" s="643"/>
      <c r="AA135" s="644"/>
      <c r="AB135" s="645"/>
      <c r="AC135" s="646"/>
      <c r="AD135" s="647"/>
      <c r="AE135" s="638"/>
      <c r="AF135" s="636"/>
      <c r="AG135" s="636"/>
      <c r="AH135" s="636"/>
      <c r="AI135" s="636"/>
      <c r="AJ135" s="636"/>
      <c r="AK135" s="636"/>
      <c r="AL135" s="636"/>
      <c r="AM135" s="638"/>
      <c r="AN135" s="638"/>
      <c r="AO135" s="638"/>
      <c r="AP135" s="638"/>
      <c r="AQ135" s="638"/>
      <c r="AR135" s="638"/>
      <c r="AS135" s="638"/>
    </row>
    <row r="136" s="399" customFormat="1" customHeight="1" spans="1:45">
      <c r="A136" s="629"/>
      <c r="B136" s="639"/>
      <c r="C136" s="629"/>
      <c r="D136" s="634"/>
      <c r="E136" s="634"/>
      <c r="F136" s="634"/>
      <c r="G136" s="631"/>
      <c r="H136" s="633"/>
      <c r="I136" s="634"/>
      <c r="J136" s="632"/>
      <c r="K136" s="629"/>
      <c r="L136" s="857"/>
      <c r="M136" s="629"/>
      <c r="N136" s="635"/>
      <c r="O136" s="629"/>
      <c r="P136" s="629"/>
      <c r="Q136" s="629"/>
      <c r="R136" s="636"/>
      <c r="S136" s="637"/>
      <c r="T136" s="638"/>
      <c r="U136" s="639"/>
      <c r="V136" s="640"/>
      <c r="W136" s="640"/>
      <c r="X136" s="641"/>
      <c r="Y136" s="642"/>
      <c r="Z136" s="643"/>
      <c r="AA136" s="644"/>
      <c r="AB136" s="645"/>
      <c r="AC136" s="646"/>
      <c r="AD136" s="647"/>
      <c r="AE136" s="638"/>
      <c r="AF136" s="636"/>
      <c r="AG136" s="636"/>
      <c r="AH136" s="636"/>
      <c r="AI136" s="636"/>
      <c r="AJ136" s="636"/>
      <c r="AK136" s="636"/>
      <c r="AL136" s="636"/>
      <c r="AM136" s="638"/>
      <c r="AN136" s="638"/>
      <c r="AO136" s="638"/>
      <c r="AP136" s="638"/>
      <c r="AQ136" s="638"/>
      <c r="AR136" s="638"/>
      <c r="AS136" s="638"/>
    </row>
    <row r="137" s="399" customFormat="1" customHeight="1" spans="1:45">
      <c r="A137" s="629"/>
      <c r="B137" s="639"/>
      <c r="C137" s="629"/>
      <c r="D137" s="634"/>
      <c r="E137" s="634"/>
      <c r="F137" s="634"/>
      <c r="G137" s="631"/>
      <c r="H137" s="633"/>
      <c r="I137" s="634"/>
      <c r="J137" s="632"/>
      <c r="K137" s="629"/>
      <c r="L137" s="857"/>
      <c r="M137" s="629"/>
      <c r="N137" s="635"/>
      <c r="O137" s="629"/>
      <c r="P137" s="629"/>
      <c r="Q137" s="629"/>
      <c r="R137" s="636"/>
      <c r="S137" s="637"/>
      <c r="T137" s="638"/>
      <c r="U137" s="639"/>
      <c r="V137" s="640"/>
      <c r="W137" s="640"/>
      <c r="X137" s="641"/>
      <c r="Y137" s="642"/>
      <c r="Z137" s="643"/>
      <c r="AA137" s="644"/>
      <c r="AB137" s="645"/>
      <c r="AC137" s="646"/>
      <c r="AD137" s="647"/>
      <c r="AE137" s="638"/>
      <c r="AF137" s="636"/>
      <c r="AG137" s="636"/>
      <c r="AH137" s="636"/>
      <c r="AI137" s="636"/>
      <c r="AJ137" s="636"/>
      <c r="AK137" s="636"/>
      <c r="AL137" s="636"/>
      <c r="AM137" s="638"/>
      <c r="AN137" s="638"/>
      <c r="AO137" s="638"/>
      <c r="AP137" s="638"/>
      <c r="AQ137" s="638"/>
      <c r="AR137" s="638"/>
      <c r="AS137" s="638"/>
    </row>
    <row r="138" s="399" customFormat="1" customHeight="1" spans="1:45">
      <c r="A138" s="629"/>
      <c r="B138" s="639"/>
      <c r="C138" s="629"/>
      <c r="D138" s="634"/>
      <c r="E138" s="634"/>
      <c r="F138" s="634"/>
      <c r="G138" s="631"/>
      <c r="H138" s="633"/>
      <c r="I138" s="634"/>
      <c r="J138" s="632"/>
      <c r="K138" s="629"/>
      <c r="L138" s="857"/>
      <c r="M138" s="629"/>
      <c r="N138" s="635"/>
      <c r="O138" s="629"/>
      <c r="P138" s="629"/>
      <c r="Q138" s="629"/>
      <c r="R138" s="636"/>
      <c r="S138" s="637"/>
      <c r="T138" s="638"/>
      <c r="U138" s="639"/>
      <c r="V138" s="640"/>
      <c r="W138" s="640"/>
      <c r="X138" s="641"/>
      <c r="Y138" s="642"/>
      <c r="Z138" s="643"/>
      <c r="AA138" s="644"/>
      <c r="AB138" s="645"/>
      <c r="AC138" s="646"/>
      <c r="AD138" s="647"/>
      <c r="AE138" s="638"/>
      <c r="AF138" s="636"/>
      <c r="AG138" s="636"/>
      <c r="AH138" s="636"/>
      <c r="AI138" s="636"/>
      <c r="AJ138" s="636"/>
      <c r="AK138" s="636"/>
      <c r="AL138" s="636"/>
      <c r="AM138" s="638"/>
      <c r="AN138" s="638"/>
      <c r="AO138" s="638"/>
      <c r="AP138" s="638"/>
      <c r="AQ138" s="638"/>
      <c r="AR138" s="638"/>
      <c r="AS138" s="638"/>
    </row>
    <row r="139" s="399" customFormat="1" customHeight="1" spans="1:45">
      <c r="A139" s="629"/>
      <c r="B139" s="639"/>
      <c r="C139" s="629"/>
      <c r="D139" s="634"/>
      <c r="E139" s="634"/>
      <c r="F139" s="634"/>
      <c r="G139" s="631"/>
      <c r="H139" s="633"/>
      <c r="I139" s="634"/>
      <c r="J139" s="632"/>
      <c r="K139" s="629"/>
      <c r="L139" s="857"/>
      <c r="M139" s="629"/>
      <c r="N139" s="635"/>
      <c r="O139" s="629"/>
      <c r="P139" s="629"/>
      <c r="Q139" s="629"/>
      <c r="R139" s="636"/>
      <c r="S139" s="637"/>
      <c r="T139" s="638"/>
      <c r="U139" s="639"/>
      <c r="V139" s="640"/>
      <c r="W139" s="640"/>
      <c r="X139" s="641"/>
      <c r="Y139" s="642"/>
      <c r="Z139" s="643"/>
      <c r="AA139" s="644"/>
      <c r="AB139" s="645"/>
      <c r="AC139" s="646"/>
      <c r="AD139" s="647"/>
      <c r="AE139" s="638"/>
      <c r="AF139" s="636"/>
      <c r="AG139" s="636"/>
      <c r="AH139" s="636"/>
      <c r="AI139" s="636"/>
      <c r="AJ139" s="636"/>
      <c r="AK139" s="636"/>
      <c r="AL139" s="636"/>
      <c r="AM139" s="638"/>
      <c r="AN139" s="638"/>
      <c r="AO139" s="638"/>
      <c r="AP139" s="638"/>
      <c r="AQ139" s="638"/>
      <c r="AR139" s="638"/>
      <c r="AS139" s="638"/>
    </row>
    <row r="140" s="399" customFormat="1" customHeight="1" spans="1:45">
      <c r="A140" s="629"/>
      <c r="B140" s="639"/>
      <c r="C140" s="629"/>
      <c r="D140" s="634"/>
      <c r="E140" s="634"/>
      <c r="F140" s="634"/>
      <c r="G140" s="631"/>
      <c r="H140" s="633"/>
      <c r="I140" s="634"/>
      <c r="J140" s="632"/>
      <c r="K140" s="629"/>
      <c r="L140" s="857"/>
      <c r="M140" s="629"/>
      <c r="N140" s="635"/>
      <c r="O140" s="629"/>
      <c r="P140" s="629"/>
      <c r="Q140" s="629"/>
      <c r="R140" s="636"/>
      <c r="S140" s="637"/>
      <c r="T140" s="638"/>
      <c r="U140" s="639"/>
      <c r="V140" s="640"/>
      <c r="W140" s="640"/>
      <c r="X140" s="641"/>
      <c r="Y140" s="642"/>
      <c r="Z140" s="643"/>
      <c r="AA140" s="644"/>
      <c r="AB140" s="645"/>
      <c r="AC140" s="646"/>
      <c r="AD140" s="647"/>
      <c r="AE140" s="638"/>
      <c r="AF140" s="636"/>
      <c r="AG140" s="636"/>
      <c r="AH140" s="636"/>
      <c r="AI140" s="636"/>
      <c r="AJ140" s="636"/>
      <c r="AK140" s="636"/>
      <c r="AL140" s="636"/>
      <c r="AM140" s="638"/>
      <c r="AN140" s="638"/>
      <c r="AO140" s="638"/>
      <c r="AP140" s="638"/>
      <c r="AQ140" s="638"/>
      <c r="AR140" s="638"/>
      <c r="AS140" s="638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$A1:$XFD1048576" name="Range1"/>
    <protectedRange sqref="AE$1:AS$1048576" name="Range2"/>
  </protectedRanges>
  <autoFilter xmlns:etc="http://www.wps.cn/officeDocument/2017/etCustomData" ref="A1:AS140" etc:filterBottomFollowUsedRange="1">
    <sortState ref="A1:AS140">
      <sortCondition ref="K1"/>
    </sortState>
    <extLst/>
  </autoFilter>
  <sortState ref="A2:AS141">
    <sortCondition ref="D2:D141"/>
  </sortState>
  <mergeCells count="1">
    <mergeCell ref="J57:J58"/>
  </mergeCells>
  <pageMargins left="0.156944444444444" right="0.118055555555556" top="0.196527777777778" bottom="0.156944444444444" header="0.156944444444444" footer="0.0784722222222222"/>
  <pageSetup paperSize="9" scale="90" orientation="landscape" horizontalDpi="600"/>
  <headerFooter>
    <oddFooter>&amp;C第 &amp;P 页，共 &amp;N 页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9"/>
  <sheetViews>
    <sheetView workbookViewId="0">
      <pane xSplit="16" ySplit="1" topLeftCell="Q33" activePane="bottomRight" state="frozen"/>
      <selection/>
      <selection pane="topRight"/>
      <selection pane="bottomLeft"/>
      <selection pane="bottomRight" activeCell="O33" sqref="O33"/>
    </sheetView>
  </sheetViews>
  <sheetFormatPr defaultColWidth="9" defaultRowHeight="23" customHeight="1"/>
  <cols>
    <col min="1" max="1" width="12.6416666666667" style="399" customWidth="1"/>
    <col min="2" max="2" width="14.2583333333333" style="399" customWidth="1"/>
    <col min="3" max="3" width="12.4416666666667" style="399" customWidth="1"/>
    <col min="4" max="5" width="12.6416666666667" style="399" customWidth="1"/>
    <col min="6" max="6" width="10.6416666666667" style="399" customWidth="1"/>
    <col min="7" max="7" width="15.6416666666667" style="400" customWidth="1"/>
    <col min="8" max="8" width="6.65833333333333" style="401" customWidth="1"/>
    <col min="9" max="9" width="6.65833333333333" style="399" hidden="1" customWidth="1"/>
    <col min="10" max="10" width="6.65833333333333" style="400" hidden="1" customWidth="1"/>
    <col min="11" max="12" width="12.6416666666667" style="399" customWidth="1"/>
    <col min="13" max="13" width="7.09166666666667" style="399" hidden="1" customWidth="1"/>
    <col min="14" max="14" width="6.65833333333333" style="399" hidden="1" customWidth="1"/>
    <col min="15" max="15" width="6.18333333333333" style="399" hidden="1" customWidth="1"/>
    <col min="16" max="16" width="12.6416666666667" style="399" hidden="1" customWidth="1"/>
    <col min="17" max="17" width="12.6416666666667" style="399" customWidth="1"/>
    <col min="18" max="18" width="23.5" style="399" customWidth="1"/>
    <col min="19" max="19" width="14.2833333333333" style="399" customWidth="1"/>
    <col min="20" max="20" width="10.75" style="399" customWidth="1"/>
    <col min="21" max="21" width="13.3666666666667" style="399" customWidth="1"/>
    <col min="22" max="22" width="8.44166666666667" style="402" customWidth="1"/>
    <col min="23" max="23" width="15.3333333333333" style="399" customWidth="1"/>
    <col min="24" max="24" width="14.2583333333333" style="400" customWidth="1"/>
    <col min="25" max="25" width="8.90833333333333" style="400" customWidth="1"/>
    <col min="26" max="26" width="24.2583333333333" style="400" customWidth="1"/>
    <col min="27" max="27" width="30.6416666666667" style="399" customWidth="1"/>
    <col min="28" max="28" width="8.64166666666667" style="403" hidden="1" customWidth="1"/>
    <col min="29" max="30" width="10.6416666666667" style="404" hidden="1" customWidth="1"/>
    <col min="31" max="31" width="10.6416666666667" style="405" hidden="1" customWidth="1"/>
    <col min="32" max="32" width="12.9083333333333" style="399" hidden="1" customWidth="1"/>
    <col min="33" max="33" width="4.65833333333333" style="400" customWidth="1"/>
    <col min="34" max="34" width="8.64166666666667" style="400" customWidth="1"/>
    <col min="35" max="35" width="8.64166666666667" style="399" customWidth="1"/>
    <col min="36" max="36" width="14.1916666666667" style="399" customWidth="1"/>
    <col min="37" max="37" width="8.64166666666667" style="399" customWidth="1"/>
    <col min="38" max="38" width="13.25" style="399" customWidth="1"/>
    <col min="39" max="40" width="8.64166666666667" style="399" customWidth="1"/>
    <col min="41" max="43" width="8.64166666666667" style="399" hidden="1" customWidth="1"/>
    <col min="44" max="44" width="7.83333333333333" style="399" hidden="1" customWidth="1"/>
    <col min="45" max="45" width="7.575" style="400" customWidth="1"/>
    <col min="46" max="51" width="6.65833333333333" style="400" customWidth="1"/>
    <col min="52" max="16384" width="9" style="399"/>
  </cols>
  <sheetData>
    <row r="1" s="119" customFormat="1" customHeight="1" spans="1:51">
      <c r="A1" s="406" t="s">
        <v>370</v>
      </c>
      <c r="B1" s="406" t="s">
        <v>371</v>
      </c>
      <c r="C1" s="406" t="s">
        <v>59</v>
      </c>
      <c r="D1" s="407" t="s">
        <v>372</v>
      </c>
      <c r="E1" s="407" t="s">
        <v>373</v>
      </c>
      <c r="F1" s="408" t="s">
        <v>0</v>
      </c>
      <c r="G1" s="409" t="s">
        <v>374</v>
      </c>
      <c r="H1" s="410" t="s">
        <v>62</v>
      </c>
      <c r="I1" s="411" t="s">
        <v>375</v>
      </c>
      <c r="J1" s="409" t="s">
        <v>376</v>
      </c>
      <c r="K1" s="120" t="s">
        <v>680</v>
      </c>
      <c r="L1" s="406" t="s">
        <v>63</v>
      </c>
      <c r="M1" s="406" t="s">
        <v>378</v>
      </c>
      <c r="N1" s="412" t="s">
        <v>379</v>
      </c>
      <c r="O1" s="406" t="s">
        <v>380</v>
      </c>
      <c r="P1" s="411" t="s">
        <v>381</v>
      </c>
      <c r="Q1" s="413" t="s">
        <v>681</v>
      </c>
      <c r="R1" s="413" t="s">
        <v>682</v>
      </c>
      <c r="S1" s="413" t="s">
        <v>396</v>
      </c>
      <c r="T1" s="413" t="s">
        <v>683</v>
      </c>
      <c r="U1" s="248" t="s">
        <v>383</v>
      </c>
      <c r="V1" s="414" t="s">
        <v>384</v>
      </c>
      <c r="W1" s="248" t="s">
        <v>385</v>
      </c>
      <c r="X1" s="248" t="s">
        <v>386</v>
      </c>
      <c r="Y1" s="415" t="s">
        <v>387</v>
      </c>
      <c r="Z1" s="415" t="s">
        <v>388</v>
      </c>
      <c r="AA1" s="416" t="s">
        <v>389</v>
      </c>
      <c r="AB1" s="32" t="s">
        <v>81</v>
      </c>
      <c r="AC1" s="32" t="s">
        <v>82</v>
      </c>
      <c r="AD1" s="32" t="s">
        <v>83</v>
      </c>
      <c r="AE1" s="417" t="s">
        <v>390</v>
      </c>
      <c r="AF1" s="418" t="s">
        <v>391</v>
      </c>
      <c r="AG1" s="415" t="s">
        <v>392</v>
      </c>
      <c r="AH1" s="230" t="s">
        <v>393</v>
      </c>
      <c r="AI1" s="230" t="s">
        <v>394</v>
      </c>
      <c r="AJ1" s="419" t="s">
        <v>684</v>
      </c>
      <c r="AK1" s="419" t="s">
        <v>685</v>
      </c>
      <c r="AL1" s="419" t="s">
        <v>686</v>
      </c>
      <c r="AM1" s="420" t="s">
        <v>395</v>
      </c>
      <c r="AN1" s="420" t="s">
        <v>396</v>
      </c>
      <c r="AO1" s="420" t="s">
        <v>397</v>
      </c>
      <c r="AP1" s="420" t="s">
        <v>398</v>
      </c>
      <c r="AQ1" s="230" t="s">
        <v>399</v>
      </c>
      <c r="AR1" s="230" t="s">
        <v>400</v>
      </c>
      <c r="AS1" s="419" t="s">
        <v>687</v>
      </c>
      <c r="AT1" s="248" t="s">
        <v>402</v>
      </c>
      <c r="AU1" s="248" t="s">
        <v>403</v>
      </c>
      <c r="AV1" s="248" t="s">
        <v>404</v>
      </c>
      <c r="AW1" s="248" t="s">
        <v>405</v>
      </c>
      <c r="AX1" s="248" t="s">
        <v>406</v>
      </c>
      <c r="AY1" s="248" t="s">
        <v>407</v>
      </c>
    </row>
    <row r="2" s="118" customFormat="1" ht="25" customHeight="1" spans="1:51">
      <c r="A2" s="421">
        <v>46083</v>
      </c>
      <c r="B2" s="422" t="s">
        <v>667</v>
      </c>
      <c r="C2" s="421" t="s">
        <v>141</v>
      </c>
      <c r="D2" s="423" t="s">
        <v>106</v>
      </c>
      <c r="E2" s="423" t="s">
        <v>184</v>
      </c>
      <c r="F2" s="424">
        <v>4526168</v>
      </c>
      <c r="G2" s="424" t="s">
        <v>186</v>
      </c>
      <c r="H2" s="425">
        <v>5</v>
      </c>
      <c r="I2" s="425"/>
      <c r="J2" s="426"/>
      <c r="K2" s="144" t="e">
        <f t="shared" ref="K2:K12" si="0">L2-14</f>
        <v>#N/A</v>
      </c>
      <c r="L2" s="144" t="e">
        <f>VLOOKUP($F2,总排期!$F:$U,6,0)</f>
        <v>#N/A</v>
      </c>
      <c r="M2" s="421"/>
      <c r="N2" s="427"/>
      <c r="O2" s="421"/>
      <c r="P2" s="421" t="e">
        <f>VLOOKUP($F2,总排期!$F:$U,11,0)</f>
        <v>#N/A</v>
      </c>
      <c r="Q2" s="421"/>
      <c r="R2" s="187" t="s">
        <v>688</v>
      </c>
      <c r="S2" s="428"/>
      <c r="T2" s="421">
        <v>46218</v>
      </c>
      <c r="U2" s="429"/>
      <c r="V2" s="154" t="e">
        <f>VLOOKUP($F2,总排期!$F:$U,14,0)</f>
        <v>#N/A</v>
      </c>
      <c r="W2" s="154" t="e">
        <f>VLOOKUP($F2,总排期!$F:$U,15,0)</f>
        <v>#N/A</v>
      </c>
      <c r="X2" s="154" t="e">
        <f>VLOOKUP($F2,总排期!$F:$U,16,0)</f>
        <v>#N/A</v>
      </c>
      <c r="Y2" s="196" t="s">
        <v>446</v>
      </c>
      <c r="Z2" s="430" t="s">
        <v>689</v>
      </c>
      <c r="AA2" s="430" t="s">
        <v>690</v>
      </c>
      <c r="AB2" s="431">
        <v>0</v>
      </c>
      <c r="AC2" s="432">
        <f t="shared" ref="AC2:AC23" si="1">H2*AB2</f>
        <v>0</v>
      </c>
      <c r="AD2" s="433">
        <f t="shared" ref="AD2:AD23" si="2">AC2*7.75</f>
        <v>0</v>
      </c>
      <c r="AE2" s="434"/>
      <c r="AF2" s="435" t="s">
        <v>415</v>
      </c>
      <c r="AG2" s="162" t="s">
        <v>416</v>
      </c>
      <c r="AH2" s="176" t="s">
        <v>436</v>
      </c>
      <c r="AI2" s="436" t="s">
        <v>425</v>
      </c>
      <c r="AJ2" s="437" t="s">
        <v>691</v>
      </c>
      <c r="AK2" s="436"/>
      <c r="AL2" s="437" t="s">
        <v>691</v>
      </c>
      <c r="AM2" s="429">
        <v>6</v>
      </c>
      <c r="AN2" s="429">
        <f t="shared" ref="AN2:AN12" si="3">AM2-H2</f>
        <v>1</v>
      </c>
      <c r="AO2" s="429"/>
      <c r="AP2" s="429"/>
      <c r="AQ2" s="429"/>
      <c r="AR2" s="429"/>
      <c r="AS2" s="438">
        <v>46210</v>
      </c>
      <c r="AT2" s="439"/>
      <c r="AU2" s="439"/>
      <c r="AV2" s="439"/>
      <c r="AW2" s="439"/>
      <c r="AX2" s="439"/>
      <c r="AY2" s="439"/>
    </row>
    <row r="3" s="118" customFormat="1" ht="25" customHeight="1" spans="1:51">
      <c r="A3" s="440">
        <v>46148</v>
      </c>
      <c r="B3" s="189" t="s">
        <v>418</v>
      </c>
      <c r="C3" s="188" t="s">
        <v>105</v>
      </c>
      <c r="D3" s="189" t="s">
        <v>692</v>
      </c>
      <c r="E3" s="189" t="s">
        <v>283</v>
      </c>
      <c r="F3" s="192">
        <v>3225130</v>
      </c>
      <c r="G3" s="190" t="s">
        <v>427</v>
      </c>
      <c r="H3" s="441">
        <v>6</v>
      </c>
      <c r="I3" s="192"/>
      <c r="J3" s="150"/>
      <c r="K3" s="144">
        <f t="shared" si="0"/>
        <v>46199</v>
      </c>
      <c r="L3" s="144">
        <f>VLOOKUP($F3,总排期!$F:$U,6,0)</f>
        <v>46213</v>
      </c>
      <c r="M3" s="187"/>
      <c r="N3" s="194"/>
      <c r="O3" s="187"/>
      <c r="P3" s="187">
        <f>VLOOKUP($F3,总排期!$F:$U,11,0)</f>
        <v>46209</v>
      </c>
      <c r="Q3" s="187">
        <v>46211</v>
      </c>
      <c r="R3" s="187" t="s">
        <v>693</v>
      </c>
      <c r="S3" s="442"/>
      <c r="T3" s="187">
        <v>46214</v>
      </c>
      <c r="U3" s="389"/>
      <c r="V3" s="154">
        <f>VLOOKUP($F3,总排期!$F:$U,14,0)</f>
        <v>46172</v>
      </c>
      <c r="W3" s="154" t="str">
        <f>VLOOKUP($F3,总排期!$F:$U,15,0)</f>
        <v>5/27确认文档</v>
      </c>
      <c r="X3" s="154" t="str">
        <f>VLOOKUP($F3,总排期!$F:$U,16,0)</f>
        <v>6/3确认移印箱唛</v>
      </c>
      <c r="Y3" s="167" t="s">
        <v>421</v>
      </c>
      <c r="Z3" s="177" t="s">
        <v>429</v>
      </c>
      <c r="AA3" s="443" t="s">
        <v>423</v>
      </c>
      <c r="AB3" s="197">
        <v>0</v>
      </c>
      <c r="AC3" s="158">
        <f t="shared" si="1"/>
        <v>0</v>
      </c>
      <c r="AD3" s="159">
        <f t="shared" si="2"/>
        <v>0</v>
      </c>
      <c r="AE3" s="444"/>
      <c r="AF3" s="389" t="s">
        <v>415</v>
      </c>
      <c r="AG3" s="162" t="s">
        <v>416</v>
      </c>
      <c r="AH3" s="176" t="s">
        <v>424</v>
      </c>
      <c r="AI3" s="176" t="s">
        <v>425</v>
      </c>
      <c r="AJ3" s="445" t="s">
        <v>691</v>
      </c>
      <c r="AK3" s="176"/>
      <c r="AL3" s="445" t="s">
        <v>691</v>
      </c>
      <c r="AM3" s="389">
        <v>6</v>
      </c>
      <c r="AN3" s="153">
        <f t="shared" si="3"/>
        <v>0</v>
      </c>
      <c r="AO3" s="195"/>
      <c r="AP3" s="195"/>
      <c r="AQ3" s="389"/>
      <c r="AR3" s="389"/>
      <c r="AS3" s="446">
        <v>46209</v>
      </c>
      <c r="AT3" s="176"/>
      <c r="AU3" s="176"/>
      <c r="AV3" s="176"/>
      <c r="AW3" s="176"/>
      <c r="AX3" s="176"/>
      <c r="AY3" s="176"/>
    </row>
    <row r="4" s="118" customFormat="1" ht="25" customHeight="1" spans="1:51">
      <c r="A4" s="440">
        <v>46111</v>
      </c>
      <c r="B4" s="447" t="s">
        <v>430</v>
      </c>
      <c r="C4" s="187" t="s">
        <v>93</v>
      </c>
      <c r="D4" s="146" t="s">
        <v>106</v>
      </c>
      <c r="E4" s="189" t="s">
        <v>245</v>
      </c>
      <c r="F4" s="190">
        <v>1326168</v>
      </c>
      <c r="G4" s="190" t="s">
        <v>246</v>
      </c>
      <c r="H4" s="148">
        <v>6</v>
      </c>
      <c r="I4" s="192"/>
      <c r="J4" s="150"/>
      <c r="K4" s="144">
        <f t="shared" si="0"/>
        <v>46203</v>
      </c>
      <c r="L4" s="144">
        <f>VLOOKUP($F4,总排期!$F:$U,6,0)</f>
        <v>46217</v>
      </c>
      <c r="M4" s="187"/>
      <c r="N4" s="194"/>
      <c r="O4" s="187"/>
      <c r="P4" s="187">
        <f>VLOOKUP($F4,总排期!$F:$U,11,0)</f>
        <v>46219</v>
      </c>
      <c r="Q4" s="187">
        <v>46211</v>
      </c>
      <c r="R4" s="187" t="s">
        <v>694</v>
      </c>
      <c r="S4" s="442"/>
      <c r="T4" s="187">
        <v>46214</v>
      </c>
      <c r="U4" s="389"/>
      <c r="V4" s="154">
        <f>VLOOKUP($F4,总排期!$F:$U,14,0)</f>
        <v>46171</v>
      </c>
      <c r="W4" s="154" t="str">
        <f>VLOOKUP($F4,总排期!$F:$U,15,0)</f>
        <v>4/29确认文档</v>
      </c>
      <c r="X4" s="154" t="str">
        <f>VLOOKUP($F4,总排期!$F:$U,16,0)</f>
        <v>6/11确认移印，7/1确认箱唛</v>
      </c>
      <c r="Y4" s="177" t="s">
        <v>433</v>
      </c>
      <c r="Z4" s="177" t="s">
        <v>434</v>
      </c>
      <c r="AA4" s="170" t="s">
        <v>435</v>
      </c>
      <c r="AB4" s="197">
        <v>0</v>
      </c>
      <c r="AC4" s="158">
        <f t="shared" si="1"/>
        <v>0</v>
      </c>
      <c r="AD4" s="159">
        <f t="shared" si="2"/>
        <v>0</v>
      </c>
      <c r="AE4" s="444"/>
      <c r="AF4" s="389" t="s">
        <v>415</v>
      </c>
      <c r="AG4" s="162" t="s">
        <v>416</v>
      </c>
      <c r="AH4" s="176" t="s">
        <v>436</v>
      </c>
      <c r="AI4" s="164" t="s">
        <v>425</v>
      </c>
      <c r="AJ4" s="448" t="s">
        <v>691</v>
      </c>
      <c r="AK4" s="389"/>
      <c r="AL4" s="448" t="s">
        <v>691</v>
      </c>
      <c r="AM4" s="389">
        <v>6</v>
      </c>
      <c r="AN4" s="153">
        <f t="shared" si="3"/>
        <v>0</v>
      </c>
      <c r="AO4" s="195"/>
      <c r="AP4" s="195"/>
      <c r="AQ4" s="389"/>
      <c r="AR4" s="389"/>
      <c r="AS4" s="446">
        <v>46210</v>
      </c>
      <c r="AT4" s="176"/>
      <c r="AU4" s="176"/>
      <c r="AV4" s="176"/>
      <c r="AW4" s="176"/>
      <c r="AX4" s="176"/>
      <c r="AY4" s="176"/>
    </row>
    <row r="5" s="118" customFormat="1" ht="25" customHeight="1" spans="1:51">
      <c r="A5" s="440">
        <v>46106</v>
      </c>
      <c r="B5" s="447" t="s">
        <v>695</v>
      </c>
      <c r="C5" s="187" t="s">
        <v>125</v>
      </c>
      <c r="D5" s="189" t="s">
        <v>106</v>
      </c>
      <c r="E5" s="189" t="s">
        <v>241</v>
      </c>
      <c r="F5" s="190">
        <v>1526146</v>
      </c>
      <c r="G5" s="190" t="s">
        <v>242</v>
      </c>
      <c r="H5" s="441">
        <v>15</v>
      </c>
      <c r="I5" s="192"/>
      <c r="J5" s="150"/>
      <c r="K5" s="144" t="e">
        <f t="shared" si="0"/>
        <v>#N/A</v>
      </c>
      <c r="L5" s="144" t="e">
        <f>VLOOKUP($F5,总排期!$F:$U,6,0)</f>
        <v>#N/A</v>
      </c>
      <c r="M5" s="187"/>
      <c r="N5" s="194"/>
      <c r="O5" s="187"/>
      <c r="P5" s="187" t="e">
        <f>VLOOKUP($F5,总排期!$F:$U,11,0)</f>
        <v>#N/A</v>
      </c>
      <c r="Q5" s="187"/>
      <c r="R5" s="449" t="s">
        <v>696</v>
      </c>
      <c r="S5" s="449"/>
      <c r="T5" s="187">
        <v>46218</v>
      </c>
      <c r="U5" s="389"/>
      <c r="V5" s="154" t="e">
        <f>VLOOKUP($F5,总排期!$F:$U,14,0)</f>
        <v>#N/A</v>
      </c>
      <c r="W5" s="154" t="e">
        <f>VLOOKUP($F5,总排期!$F:$U,15,0)</f>
        <v>#N/A</v>
      </c>
      <c r="X5" s="154" t="e">
        <f>VLOOKUP($F5,总排期!$F:$U,16,0)</f>
        <v>#N/A</v>
      </c>
      <c r="Y5" s="177" t="s">
        <v>697</v>
      </c>
      <c r="Z5" s="177" t="s">
        <v>698</v>
      </c>
      <c r="AA5" s="443" t="s">
        <v>699</v>
      </c>
      <c r="AB5" s="197">
        <v>0</v>
      </c>
      <c r="AC5" s="158">
        <f t="shared" si="1"/>
        <v>0</v>
      </c>
      <c r="AD5" s="159">
        <f t="shared" si="2"/>
        <v>0</v>
      </c>
      <c r="AE5" s="444"/>
      <c r="AF5" s="389" t="s">
        <v>415</v>
      </c>
      <c r="AG5" s="162" t="s">
        <v>416</v>
      </c>
      <c r="AH5" s="163" t="s">
        <v>436</v>
      </c>
      <c r="AI5" s="389" t="s">
        <v>425</v>
      </c>
      <c r="AJ5" s="448" t="s">
        <v>691</v>
      </c>
      <c r="AK5" s="389"/>
      <c r="AL5" s="448" t="s">
        <v>691</v>
      </c>
      <c r="AM5" s="389">
        <v>16</v>
      </c>
      <c r="AN5" s="153">
        <f t="shared" si="3"/>
        <v>1</v>
      </c>
      <c r="AO5" s="195"/>
      <c r="AP5" s="195"/>
      <c r="AQ5" s="389"/>
      <c r="AR5" s="389"/>
      <c r="AS5" s="446">
        <v>46211</v>
      </c>
      <c r="AT5" s="176"/>
      <c r="AU5" s="176"/>
      <c r="AV5" s="176"/>
      <c r="AW5" s="176"/>
      <c r="AX5" s="176"/>
      <c r="AY5" s="176"/>
    </row>
    <row r="6" s="118" customFormat="1" ht="25" customHeight="1" spans="1:51">
      <c r="A6" s="187">
        <v>46094</v>
      </c>
      <c r="B6" s="188" t="s">
        <v>437</v>
      </c>
      <c r="C6" s="187" t="s">
        <v>210</v>
      </c>
      <c r="D6" s="189" t="s">
        <v>106</v>
      </c>
      <c r="E6" s="189" t="s">
        <v>208</v>
      </c>
      <c r="F6" s="190">
        <v>4526169</v>
      </c>
      <c r="G6" s="190" t="s">
        <v>211</v>
      </c>
      <c r="H6" s="450">
        <v>16</v>
      </c>
      <c r="I6" s="192"/>
      <c r="J6" s="150"/>
      <c r="K6" s="144">
        <f t="shared" si="0"/>
        <v>46206</v>
      </c>
      <c r="L6" s="144">
        <f>VLOOKUP($F6,总排期!$F:$U,6,0)</f>
        <v>46220</v>
      </c>
      <c r="M6" s="187"/>
      <c r="N6" s="194"/>
      <c r="O6" s="187"/>
      <c r="P6" s="187">
        <f>VLOOKUP($F6,总排期!$F:$U,11,0)</f>
        <v>46219</v>
      </c>
      <c r="Q6" s="187">
        <v>46211</v>
      </c>
      <c r="R6" s="187">
        <v>46211</v>
      </c>
      <c r="S6" s="187"/>
      <c r="T6" s="187">
        <v>46223</v>
      </c>
      <c r="U6" s="195"/>
      <c r="V6" s="154">
        <f>VLOOKUP($F6,总排期!$F:$U,14,0)</f>
        <v>46176</v>
      </c>
      <c r="W6" s="154" t="str">
        <f>VLOOKUP($F6,总排期!$F:$U,15,0)</f>
        <v>5/21确认彩盒，6/22确认说明书</v>
      </c>
      <c r="X6" s="154" t="str">
        <f>VLOOKUP($F6,总排期!$F:$U,16,0)</f>
        <v>4/10确认移印，4/30确认箱</v>
      </c>
      <c r="Y6" s="177" t="s">
        <v>446</v>
      </c>
      <c r="Z6" s="196" t="s">
        <v>447</v>
      </c>
      <c r="AA6" s="196" t="s">
        <v>448</v>
      </c>
      <c r="AB6" s="197">
        <v>0</v>
      </c>
      <c r="AC6" s="158">
        <f t="shared" si="1"/>
        <v>0</v>
      </c>
      <c r="AD6" s="159">
        <f t="shared" si="2"/>
        <v>0</v>
      </c>
      <c r="AE6" s="451"/>
      <c r="AF6" s="198" t="s">
        <v>415</v>
      </c>
      <c r="AG6" s="162" t="s">
        <v>416</v>
      </c>
      <c r="AH6" s="176" t="s">
        <v>417</v>
      </c>
      <c r="AI6" s="389"/>
      <c r="AJ6" s="452"/>
      <c r="AK6" s="389"/>
      <c r="AL6" s="452"/>
      <c r="AM6" s="195"/>
      <c r="AN6" s="153">
        <f t="shared" si="3"/>
        <v>-16</v>
      </c>
      <c r="AO6" s="195"/>
      <c r="AP6" s="195"/>
      <c r="AQ6" s="195"/>
      <c r="AR6" s="195"/>
      <c r="AS6" s="199"/>
      <c r="AT6" s="199"/>
      <c r="AU6" s="199"/>
      <c r="AV6" s="199"/>
      <c r="AW6" s="199"/>
      <c r="AX6" s="199"/>
      <c r="AY6" s="199"/>
    </row>
    <row r="7" s="118" customFormat="1" ht="25" customHeight="1" spans="1:51">
      <c r="A7" s="440">
        <v>46163</v>
      </c>
      <c r="B7" s="189" t="s">
        <v>486</v>
      </c>
      <c r="C7" s="187" t="s">
        <v>109</v>
      </c>
      <c r="D7" s="189" t="s">
        <v>106</v>
      </c>
      <c r="E7" s="189" t="s">
        <v>306</v>
      </c>
      <c r="F7" s="190" t="s">
        <v>307</v>
      </c>
      <c r="G7" s="190" t="s">
        <v>308</v>
      </c>
      <c r="H7" s="441">
        <v>28</v>
      </c>
      <c r="I7" s="192"/>
      <c r="J7" s="150"/>
      <c r="K7" s="144" t="e">
        <f t="shared" si="0"/>
        <v>#N/A</v>
      </c>
      <c r="L7" s="144" t="e">
        <f>VLOOKUP($F7,总排期!$F:$U,6,0)</f>
        <v>#N/A</v>
      </c>
      <c r="M7" s="187"/>
      <c r="N7" s="194"/>
      <c r="O7" s="187"/>
      <c r="P7" s="187" t="e">
        <f>VLOOKUP($F7,总排期!$F:$U,11,0)</f>
        <v>#N/A</v>
      </c>
      <c r="Q7" s="187"/>
      <c r="R7" s="187" t="s">
        <v>700</v>
      </c>
      <c r="S7" s="187"/>
      <c r="T7" s="187">
        <v>46223</v>
      </c>
      <c r="U7" s="389"/>
      <c r="V7" s="154" t="e">
        <f>VLOOKUP($F7,总排期!$F:$U,14,0)</f>
        <v>#N/A</v>
      </c>
      <c r="W7" s="154" t="e">
        <f>VLOOKUP($F7,总排期!$F:$U,15,0)</f>
        <v>#N/A</v>
      </c>
      <c r="X7" s="154" t="e">
        <f>VLOOKUP($F7,总排期!$F:$U,16,0)</f>
        <v>#N/A</v>
      </c>
      <c r="Y7" s="167" t="s">
        <v>490</v>
      </c>
      <c r="Z7" s="177" t="s">
        <v>657</v>
      </c>
      <c r="AA7" s="443" t="s">
        <v>701</v>
      </c>
      <c r="AB7" s="197">
        <v>0</v>
      </c>
      <c r="AC7" s="158">
        <f t="shared" si="1"/>
        <v>0</v>
      </c>
      <c r="AD7" s="159">
        <f t="shared" si="2"/>
        <v>0</v>
      </c>
      <c r="AE7" s="444"/>
      <c r="AF7" s="198" t="s">
        <v>415</v>
      </c>
      <c r="AG7" s="162" t="s">
        <v>416</v>
      </c>
      <c r="AH7" s="176" t="s">
        <v>424</v>
      </c>
      <c r="AI7" s="389" t="s">
        <v>425</v>
      </c>
      <c r="AJ7" s="448" t="s">
        <v>691</v>
      </c>
      <c r="AK7" s="389"/>
      <c r="AL7" s="453">
        <v>46210</v>
      </c>
      <c r="AM7" s="389"/>
      <c r="AN7" s="153">
        <f t="shared" si="3"/>
        <v>-28</v>
      </c>
      <c r="AO7" s="195"/>
      <c r="AP7" s="195"/>
      <c r="AQ7" s="389"/>
      <c r="AR7" s="389"/>
      <c r="AS7" s="446"/>
      <c r="AT7" s="176"/>
      <c r="AU7" s="176"/>
      <c r="AV7" s="176"/>
      <c r="AW7" s="176"/>
      <c r="AX7" s="176"/>
      <c r="AY7" s="176"/>
    </row>
    <row r="8" s="118" customFormat="1" ht="25" customHeight="1" spans="1:51">
      <c r="A8" s="454">
        <v>45999</v>
      </c>
      <c r="B8" s="455" t="s">
        <v>449</v>
      </c>
      <c r="C8" s="454" t="s">
        <v>450</v>
      </c>
      <c r="D8" s="456" t="s">
        <v>106</v>
      </c>
      <c r="E8" s="456" t="s">
        <v>124</v>
      </c>
      <c r="F8" s="457">
        <v>3325110</v>
      </c>
      <c r="G8" s="457" t="s">
        <v>451</v>
      </c>
      <c r="H8" s="458">
        <v>6</v>
      </c>
      <c r="I8" s="459"/>
      <c r="J8" s="460"/>
      <c r="K8" s="144">
        <f t="shared" si="0"/>
        <v>46209</v>
      </c>
      <c r="L8" s="144">
        <f>VLOOKUP($F8,总排期!$F:$U,6,0)</f>
        <v>46223</v>
      </c>
      <c r="M8" s="454"/>
      <c r="N8" s="461"/>
      <c r="O8" s="454"/>
      <c r="P8" s="187">
        <f>VLOOKUP($F8,总排期!$F:$U,11,0)</f>
        <v>46192</v>
      </c>
      <c r="Q8" s="187">
        <v>46213</v>
      </c>
      <c r="R8" s="462" t="s">
        <v>702</v>
      </c>
      <c r="S8" s="462"/>
      <c r="T8" s="463">
        <v>46224</v>
      </c>
      <c r="U8" s="389"/>
      <c r="V8" s="154">
        <f>VLOOKUP($F8,总排期!$F:$U,14,0)</f>
        <v>46178</v>
      </c>
      <c r="W8" s="154" t="str">
        <f>VLOOKUP($F8,总排期!$F:$U,15,0)</f>
        <v>1/29收到包装</v>
      </c>
      <c r="X8" s="154" t="str">
        <f>VLOOKUP($F8,总排期!$F:$U,16,0)</f>
        <v>1/21确认箱唛，1/14确认移印</v>
      </c>
      <c r="Y8" s="464" t="s">
        <v>454</v>
      </c>
      <c r="Z8" s="464" t="s">
        <v>455</v>
      </c>
      <c r="AA8" s="465" t="s">
        <v>456</v>
      </c>
      <c r="AB8" s="466">
        <v>0</v>
      </c>
      <c r="AC8" s="467">
        <f t="shared" si="1"/>
        <v>0</v>
      </c>
      <c r="AD8" s="468">
        <f t="shared" si="2"/>
        <v>0</v>
      </c>
      <c r="AE8" s="463"/>
      <c r="AF8" s="469" t="s">
        <v>415</v>
      </c>
      <c r="AG8" s="162" t="s">
        <v>416</v>
      </c>
      <c r="AH8" s="470" t="s">
        <v>424</v>
      </c>
      <c r="AI8" s="470" t="s">
        <v>425</v>
      </c>
      <c r="AJ8" s="448" t="s">
        <v>691</v>
      </c>
      <c r="AK8" s="471"/>
      <c r="AL8" s="448" t="s">
        <v>691</v>
      </c>
      <c r="AM8" s="472">
        <v>6</v>
      </c>
      <c r="AN8" s="153">
        <f t="shared" si="3"/>
        <v>0</v>
      </c>
      <c r="AO8" s="472"/>
      <c r="AP8" s="471"/>
      <c r="AQ8" s="471"/>
      <c r="AR8" s="471"/>
      <c r="AS8" s="473">
        <v>46211</v>
      </c>
      <c r="AT8" s="471"/>
      <c r="AU8" s="471"/>
      <c r="AV8" s="471"/>
      <c r="AW8" s="199"/>
      <c r="AX8" s="199"/>
      <c r="AY8" s="199"/>
    </row>
    <row r="9" s="118" customFormat="1" ht="25" customHeight="1" spans="1:51">
      <c r="A9" s="187">
        <v>46083</v>
      </c>
      <c r="B9" s="188" t="s">
        <v>667</v>
      </c>
      <c r="C9" s="187" t="s">
        <v>141</v>
      </c>
      <c r="D9" s="189" t="s">
        <v>106</v>
      </c>
      <c r="E9" s="189" t="s">
        <v>184</v>
      </c>
      <c r="F9" s="190">
        <v>4526146</v>
      </c>
      <c r="G9" s="190" t="s">
        <v>185</v>
      </c>
      <c r="H9" s="192">
        <v>6</v>
      </c>
      <c r="I9" s="192"/>
      <c r="J9" s="150"/>
      <c r="K9" s="144" t="e">
        <f t="shared" si="0"/>
        <v>#N/A</v>
      </c>
      <c r="L9" s="144" t="e">
        <f>VLOOKUP($F9,总排期!$F:$U,6,0)</f>
        <v>#N/A</v>
      </c>
      <c r="M9" s="187"/>
      <c r="N9" s="194"/>
      <c r="O9" s="187"/>
      <c r="P9" s="187" t="e">
        <f>VLOOKUP($F9,总排期!$F:$U,11,0)</f>
        <v>#N/A</v>
      </c>
      <c r="Q9" s="187"/>
      <c r="R9" s="187" t="s">
        <v>703</v>
      </c>
      <c r="S9" s="442"/>
      <c r="T9" s="187">
        <v>46223</v>
      </c>
      <c r="U9" s="195"/>
      <c r="V9" s="154" t="e">
        <f>VLOOKUP($F9,总排期!$F:$U,14,0)</f>
        <v>#N/A</v>
      </c>
      <c r="W9" s="154" t="e">
        <f>VLOOKUP($F9,总排期!$F:$U,15,0)</f>
        <v>#N/A</v>
      </c>
      <c r="X9" s="154" t="e">
        <f>VLOOKUP($F9,总排期!$F:$U,16,0)</f>
        <v>#N/A</v>
      </c>
      <c r="Y9" s="196" t="s">
        <v>446</v>
      </c>
      <c r="Z9" s="196" t="s">
        <v>704</v>
      </c>
      <c r="AA9" s="196" t="s">
        <v>690</v>
      </c>
      <c r="AB9" s="197">
        <v>0</v>
      </c>
      <c r="AC9" s="158">
        <f t="shared" si="1"/>
        <v>0</v>
      </c>
      <c r="AD9" s="159">
        <f t="shared" si="2"/>
        <v>0</v>
      </c>
      <c r="AE9" s="451"/>
      <c r="AF9" s="198" t="s">
        <v>415</v>
      </c>
      <c r="AG9" s="162" t="s">
        <v>416</v>
      </c>
      <c r="AH9" s="176" t="s">
        <v>436</v>
      </c>
      <c r="AI9" s="389" t="s">
        <v>425</v>
      </c>
      <c r="AJ9" s="448" t="s">
        <v>691</v>
      </c>
      <c r="AK9" s="389"/>
      <c r="AL9" s="448" t="s">
        <v>691</v>
      </c>
      <c r="AM9" s="195">
        <v>6</v>
      </c>
      <c r="AN9" s="153">
        <f t="shared" si="3"/>
        <v>0</v>
      </c>
      <c r="AO9" s="195"/>
      <c r="AP9" s="195"/>
      <c r="AQ9" s="195"/>
      <c r="AR9" s="195"/>
      <c r="AS9" s="446">
        <v>46213</v>
      </c>
      <c r="AT9" s="199"/>
      <c r="AU9" s="199"/>
      <c r="AV9" s="199"/>
      <c r="AW9" s="199"/>
      <c r="AX9" s="199"/>
      <c r="AY9" s="199"/>
    </row>
    <row r="10" s="118" customFormat="1" ht="25" customHeight="1" spans="1:51">
      <c r="A10" s="440">
        <v>46161</v>
      </c>
      <c r="B10" s="189" t="s">
        <v>480</v>
      </c>
      <c r="C10" s="188" t="s">
        <v>98</v>
      </c>
      <c r="D10" s="189" t="s">
        <v>106</v>
      </c>
      <c r="E10" s="189" t="s">
        <v>302</v>
      </c>
      <c r="F10" s="192">
        <v>4724113</v>
      </c>
      <c r="G10" s="190" t="s">
        <v>303</v>
      </c>
      <c r="H10" s="441">
        <v>3</v>
      </c>
      <c r="I10" s="192"/>
      <c r="J10" s="150"/>
      <c r="K10" s="144" t="e">
        <f t="shared" si="0"/>
        <v>#N/A</v>
      </c>
      <c r="L10" s="144" t="e">
        <f>VLOOKUP($F10,总排期!$F:$U,6,0)</f>
        <v>#N/A</v>
      </c>
      <c r="M10" s="187"/>
      <c r="N10" s="194"/>
      <c r="O10" s="187"/>
      <c r="P10" s="187" t="e">
        <f>VLOOKUP($F10,总排期!$F:$U,11,0)</f>
        <v>#N/A</v>
      </c>
      <c r="Q10" s="187"/>
      <c r="R10" s="187" t="s">
        <v>705</v>
      </c>
      <c r="S10" s="187"/>
      <c r="T10" s="187">
        <v>46225</v>
      </c>
      <c r="U10" s="389"/>
      <c r="V10" s="154" t="e">
        <f>VLOOKUP($F10,总排期!$F:$U,14,0)</f>
        <v>#N/A</v>
      </c>
      <c r="W10" s="154" t="e">
        <f>VLOOKUP($F10,总排期!$F:$U,15,0)</f>
        <v>#N/A</v>
      </c>
      <c r="X10" s="154" t="e">
        <f>VLOOKUP($F10,总排期!$F:$U,16,0)</f>
        <v>#N/A</v>
      </c>
      <c r="Y10" s="177" t="s">
        <v>483</v>
      </c>
      <c r="Z10" s="177" t="s">
        <v>706</v>
      </c>
      <c r="AA10" s="443" t="s">
        <v>707</v>
      </c>
      <c r="AB10" s="197">
        <v>0</v>
      </c>
      <c r="AC10" s="158">
        <f t="shared" si="1"/>
        <v>0</v>
      </c>
      <c r="AD10" s="159">
        <f t="shared" si="2"/>
        <v>0</v>
      </c>
      <c r="AE10" s="444"/>
      <c r="AF10" s="389" t="s">
        <v>415</v>
      </c>
      <c r="AG10" s="162" t="s">
        <v>416</v>
      </c>
      <c r="AH10" s="176" t="s">
        <v>424</v>
      </c>
      <c r="AI10" s="389" t="s">
        <v>425</v>
      </c>
      <c r="AJ10" s="448" t="s">
        <v>691</v>
      </c>
      <c r="AK10" s="389"/>
      <c r="AL10" s="453">
        <v>46210</v>
      </c>
      <c r="AM10" s="389">
        <v>3</v>
      </c>
      <c r="AN10" s="153">
        <f t="shared" si="3"/>
        <v>0</v>
      </c>
      <c r="AO10" s="195"/>
      <c r="AP10" s="195"/>
      <c r="AQ10" s="389"/>
      <c r="AR10" s="389"/>
      <c r="AS10" s="446"/>
      <c r="AT10" s="176"/>
      <c r="AU10" s="176"/>
      <c r="AV10" s="176"/>
      <c r="AW10" s="176"/>
      <c r="AX10" s="176"/>
      <c r="AY10" s="176"/>
    </row>
    <row r="11" s="118" customFormat="1" ht="25" customHeight="1" spans="1:51">
      <c r="A11" s="187">
        <v>46080</v>
      </c>
      <c r="B11" s="188" t="s">
        <v>466</v>
      </c>
      <c r="C11" s="187" t="s">
        <v>91</v>
      </c>
      <c r="D11" s="189" t="s">
        <v>106</v>
      </c>
      <c r="E11" s="189" t="s">
        <v>170</v>
      </c>
      <c r="F11" s="190">
        <v>1426155</v>
      </c>
      <c r="G11" s="190" t="s">
        <v>171</v>
      </c>
      <c r="H11" s="441">
        <v>7</v>
      </c>
      <c r="I11" s="192"/>
      <c r="J11" s="150"/>
      <c r="K11" s="144">
        <f t="shared" si="0"/>
        <v>46213</v>
      </c>
      <c r="L11" s="144">
        <f>VLOOKUP($F11,总排期!$F:$U,6,0)</f>
        <v>46227</v>
      </c>
      <c r="M11" s="187"/>
      <c r="N11" s="194"/>
      <c r="O11" s="187"/>
      <c r="P11" s="187">
        <f>VLOOKUP($F11,总排期!$F:$U,11,0)</f>
        <v>46219</v>
      </c>
      <c r="Q11" s="187"/>
      <c r="R11" s="187" t="s">
        <v>708</v>
      </c>
      <c r="S11" s="187"/>
      <c r="T11" s="187">
        <v>46227</v>
      </c>
      <c r="U11" s="195"/>
      <c r="V11" s="154">
        <f>VLOOKUP($F11,总排期!$F:$U,14,0)</f>
        <v>0</v>
      </c>
      <c r="W11" s="154" t="str">
        <f>VLOOKUP($F11,总排期!$F:$U,15,0)</f>
        <v>4/2确认包装</v>
      </c>
      <c r="X11" s="154" t="str">
        <f>VLOOKUP($F11,总排期!$F:$U,16,0)</f>
        <v>4/2确认箱唛移印</v>
      </c>
      <c r="Y11" s="177" t="s">
        <v>441</v>
      </c>
      <c r="Z11" s="196" t="s">
        <v>469</v>
      </c>
      <c r="AA11" s="196" t="s">
        <v>470</v>
      </c>
      <c r="AB11" s="197">
        <v>0</v>
      </c>
      <c r="AC11" s="158">
        <f t="shared" si="1"/>
        <v>0</v>
      </c>
      <c r="AD11" s="159">
        <f t="shared" si="2"/>
        <v>0</v>
      </c>
      <c r="AE11" s="451"/>
      <c r="AF11" s="198" t="s">
        <v>415</v>
      </c>
      <c r="AG11" s="162" t="s">
        <v>416</v>
      </c>
      <c r="AH11" s="176" t="s">
        <v>424</v>
      </c>
      <c r="AI11" s="389" t="s">
        <v>425</v>
      </c>
      <c r="AJ11" s="448" t="s">
        <v>691</v>
      </c>
      <c r="AK11" s="389"/>
      <c r="AL11" s="453">
        <v>46214</v>
      </c>
      <c r="AM11" s="195">
        <v>18</v>
      </c>
      <c r="AN11" s="153">
        <f t="shared" si="3"/>
        <v>11</v>
      </c>
      <c r="AO11" s="195"/>
      <c r="AP11" s="195"/>
      <c r="AQ11" s="195"/>
      <c r="AR11" s="195"/>
      <c r="AS11" s="446">
        <v>46210</v>
      </c>
      <c r="AT11" s="199"/>
      <c r="AU11" s="199"/>
      <c r="AV11" s="199"/>
      <c r="AW11" s="199"/>
      <c r="AX11" s="199"/>
      <c r="AY11" s="199"/>
    </row>
    <row r="12" s="118" customFormat="1" ht="25" customHeight="1" spans="1:51">
      <c r="A12" s="187">
        <v>46080</v>
      </c>
      <c r="B12" s="188" t="s">
        <v>466</v>
      </c>
      <c r="C12" s="187" t="s">
        <v>91</v>
      </c>
      <c r="D12" s="189" t="s">
        <v>106</v>
      </c>
      <c r="E12" s="189" t="s">
        <v>172</v>
      </c>
      <c r="F12" s="190">
        <v>1426169</v>
      </c>
      <c r="G12" s="190" t="s">
        <v>173</v>
      </c>
      <c r="H12" s="441">
        <v>15</v>
      </c>
      <c r="I12" s="192"/>
      <c r="J12" s="150"/>
      <c r="K12" s="144">
        <f t="shared" si="0"/>
        <v>46213</v>
      </c>
      <c r="L12" s="144">
        <f>VLOOKUP($F12,总排期!$F:$U,6,0)</f>
        <v>46227</v>
      </c>
      <c r="M12" s="187"/>
      <c r="N12" s="194"/>
      <c r="O12" s="187"/>
      <c r="P12" s="187">
        <f>VLOOKUP($F12,总排期!$F:$U,11,0)</f>
        <v>46220</v>
      </c>
      <c r="Q12" s="187"/>
      <c r="R12" s="187" t="s">
        <v>709</v>
      </c>
      <c r="S12" s="187"/>
      <c r="T12" s="187">
        <v>46230</v>
      </c>
      <c r="U12" s="195"/>
      <c r="V12" s="154">
        <f>VLOOKUP($F12,总排期!$F:$U,14,0)</f>
        <v>46196</v>
      </c>
      <c r="W12" s="154" t="str">
        <f>VLOOKUP($F12,总排期!$F:$U,15,0)</f>
        <v>5/21确认彩盒,7/3确认说明书</v>
      </c>
      <c r="X12" s="154" t="str">
        <f>VLOOKUP($F12,总排期!$F:$U,16,0)</f>
        <v>5/25确认箱，5/21确认移印</v>
      </c>
      <c r="Y12" s="177" t="s">
        <v>441</v>
      </c>
      <c r="Z12" s="196" t="s">
        <v>473</v>
      </c>
      <c r="AA12" s="196" t="s">
        <v>470</v>
      </c>
      <c r="AB12" s="197">
        <v>0</v>
      </c>
      <c r="AC12" s="158">
        <f t="shared" si="1"/>
        <v>0</v>
      </c>
      <c r="AD12" s="159">
        <f t="shared" si="2"/>
        <v>0</v>
      </c>
      <c r="AE12" s="451"/>
      <c r="AF12" s="198" t="s">
        <v>415</v>
      </c>
      <c r="AG12" s="162" t="s">
        <v>416</v>
      </c>
      <c r="AH12" s="176" t="s">
        <v>417</v>
      </c>
      <c r="AI12" s="389"/>
      <c r="AJ12" s="389"/>
      <c r="AK12" s="389"/>
      <c r="AL12" s="389"/>
      <c r="AM12" s="195"/>
      <c r="AN12" s="153">
        <f t="shared" si="3"/>
        <v>-15</v>
      </c>
      <c r="AO12" s="195"/>
      <c r="AP12" s="195"/>
      <c r="AQ12" s="195"/>
      <c r="AR12" s="195"/>
      <c r="AS12" s="199"/>
      <c r="AT12" s="199"/>
      <c r="AU12" s="199"/>
      <c r="AV12" s="199"/>
      <c r="AW12" s="199"/>
      <c r="AX12" s="199"/>
      <c r="AY12" s="199"/>
    </row>
    <row r="13" s="118" customFormat="1" ht="25" customHeight="1" spans="1:51">
      <c r="A13" s="440">
        <v>46164</v>
      </c>
      <c r="B13" s="189" t="s">
        <v>474</v>
      </c>
      <c r="C13" s="188" t="s">
        <v>236</v>
      </c>
      <c r="D13" s="189" t="s">
        <v>692</v>
      </c>
      <c r="E13" s="189" t="s">
        <v>312</v>
      </c>
      <c r="F13" s="192">
        <v>5226146</v>
      </c>
      <c r="G13" s="190" t="s">
        <v>313</v>
      </c>
      <c r="H13" s="441">
        <v>8</v>
      </c>
      <c r="I13" s="192"/>
      <c r="J13" s="150"/>
      <c r="K13" s="144">
        <f t="shared" ref="K13:K40" si="4">L13-14</f>
        <v>46216</v>
      </c>
      <c r="L13" s="144">
        <f>VLOOKUP($F13,总排期!$F:$U,6,0)</f>
        <v>46230</v>
      </c>
      <c r="M13" s="187"/>
      <c r="N13" s="194"/>
      <c r="O13" s="187"/>
      <c r="P13" s="187">
        <f>VLOOKUP($F13,总排期!$F:$U,11,0)</f>
        <v>46219</v>
      </c>
      <c r="Q13" s="187"/>
      <c r="R13" s="187" t="s">
        <v>710</v>
      </c>
      <c r="S13" s="187"/>
      <c r="T13" s="187">
        <v>46227</v>
      </c>
      <c r="U13" s="389"/>
      <c r="V13" s="154">
        <f>VLOOKUP($F13,总排期!$F:$U,14,0)</f>
        <v>46197</v>
      </c>
      <c r="W13" s="154" t="str">
        <f>VLOOKUP($F13,总排期!$F:$U,15,0)</f>
        <v>6/10确认文档</v>
      </c>
      <c r="X13" s="154" t="str">
        <f>VLOOKUP($F13,总排期!$F:$U,16,0)</f>
        <v>6/1确认箱唛移印</v>
      </c>
      <c r="Y13" s="177" t="s">
        <v>477</v>
      </c>
      <c r="Z13" s="462" t="s">
        <v>478</v>
      </c>
      <c r="AA13" s="443" t="s">
        <v>479</v>
      </c>
      <c r="AB13" s="197">
        <v>0</v>
      </c>
      <c r="AC13" s="158">
        <f t="shared" si="1"/>
        <v>0</v>
      </c>
      <c r="AD13" s="159">
        <f t="shared" si="2"/>
        <v>0</v>
      </c>
      <c r="AE13" s="444"/>
      <c r="AF13" s="389" t="s">
        <v>415</v>
      </c>
      <c r="AG13" s="162" t="s">
        <v>416</v>
      </c>
      <c r="AH13" s="176" t="s">
        <v>436</v>
      </c>
      <c r="AI13" s="389" t="s">
        <v>425</v>
      </c>
      <c r="AJ13" s="474" t="s">
        <v>711</v>
      </c>
      <c r="AK13" s="389"/>
      <c r="AL13" s="474" t="s">
        <v>691</v>
      </c>
      <c r="AM13" s="389">
        <v>12</v>
      </c>
      <c r="AN13" s="153">
        <f t="shared" ref="AN13:AN40" si="5">AM13-H13</f>
        <v>4</v>
      </c>
      <c r="AO13" s="195"/>
      <c r="AP13" s="195"/>
      <c r="AQ13" s="389"/>
      <c r="AR13" s="389"/>
      <c r="AS13" s="176"/>
      <c r="AT13" s="176"/>
      <c r="AU13" s="176"/>
      <c r="AV13" s="176"/>
      <c r="AW13" s="176"/>
      <c r="AX13" s="176"/>
      <c r="AY13" s="176"/>
    </row>
    <row r="14" s="118" customFormat="1" ht="25" customHeight="1" spans="1:51">
      <c r="A14" s="440">
        <v>46142</v>
      </c>
      <c r="B14" s="189" t="s">
        <v>480</v>
      </c>
      <c r="C14" s="188" t="s">
        <v>98</v>
      </c>
      <c r="D14" s="189" t="s">
        <v>692</v>
      </c>
      <c r="E14" s="189" t="s">
        <v>281</v>
      </c>
      <c r="F14" s="192">
        <v>4726146</v>
      </c>
      <c r="G14" s="190" t="s">
        <v>282</v>
      </c>
      <c r="H14" s="441">
        <v>4</v>
      </c>
      <c r="I14" s="192"/>
      <c r="J14" s="150"/>
      <c r="K14" s="144">
        <f t="shared" si="4"/>
        <v>46217</v>
      </c>
      <c r="L14" s="144">
        <f>VLOOKUP($F14,总排期!$F:$U,6,0)</f>
        <v>46231</v>
      </c>
      <c r="M14" s="187"/>
      <c r="N14" s="194"/>
      <c r="O14" s="187"/>
      <c r="P14" s="187">
        <f>VLOOKUP($F14,总排期!$F:$U,11,0)</f>
        <v>46220</v>
      </c>
      <c r="Q14" s="187"/>
      <c r="R14" s="449" t="s">
        <v>703</v>
      </c>
      <c r="S14" s="449"/>
      <c r="T14" s="187">
        <v>46223</v>
      </c>
      <c r="U14" s="389"/>
      <c r="V14" s="154">
        <f>VLOOKUP($F14,总排期!$F:$U,14,0)</f>
        <v>46198</v>
      </c>
      <c r="W14" s="154" t="str">
        <f>VLOOKUP($F14,总排期!$F:$U,15,0)</f>
        <v>4/30确认文档</v>
      </c>
      <c r="X14" s="154" t="str">
        <f>VLOOKUP($F14,总排期!$F:$U,16,0)</f>
        <v>5/6确认箱唛移印</v>
      </c>
      <c r="Y14" s="177" t="s">
        <v>483</v>
      </c>
      <c r="Z14" s="177" t="s">
        <v>484</v>
      </c>
      <c r="AA14" s="443" t="s">
        <v>485</v>
      </c>
      <c r="AB14" s="197">
        <v>0</v>
      </c>
      <c r="AC14" s="158">
        <f t="shared" si="1"/>
        <v>0</v>
      </c>
      <c r="AD14" s="159">
        <f t="shared" si="2"/>
        <v>0</v>
      </c>
      <c r="AE14" s="444"/>
      <c r="AF14" s="389" t="s">
        <v>415</v>
      </c>
      <c r="AG14" s="162" t="s">
        <v>416</v>
      </c>
      <c r="AH14" s="176" t="s">
        <v>436</v>
      </c>
      <c r="AI14" s="389" t="s">
        <v>425</v>
      </c>
      <c r="AJ14" s="475" t="s">
        <v>712</v>
      </c>
      <c r="AK14" s="389"/>
      <c r="AL14" s="475" t="s">
        <v>691</v>
      </c>
      <c r="AM14" s="389">
        <v>4</v>
      </c>
      <c r="AN14" s="153">
        <f t="shared" si="5"/>
        <v>0</v>
      </c>
      <c r="AO14" s="195"/>
      <c r="AP14" s="195"/>
      <c r="AQ14" s="389"/>
      <c r="AR14" s="389"/>
      <c r="AS14" s="176"/>
      <c r="AT14" s="176"/>
      <c r="AU14" s="176"/>
      <c r="AV14" s="176"/>
      <c r="AW14" s="176"/>
      <c r="AX14" s="176"/>
      <c r="AY14" s="176"/>
    </row>
    <row r="15" s="118" customFormat="1" ht="25" customHeight="1" spans="1:51">
      <c r="A15" s="440">
        <v>46169</v>
      </c>
      <c r="B15" s="447" t="s">
        <v>504</v>
      </c>
      <c r="C15" s="188" t="s">
        <v>105</v>
      </c>
      <c r="D15" s="189" t="s">
        <v>692</v>
      </c>
      <c r="E15" s="189" t="s">
        <v>317</v>
      </c>
      <c r="F15" s="192">
        <v>3226159</v>
      </c>
      <c r="G15" s="190" t="s">
        <v>318</v>
      </c>
      <c r="H15" s="441">
        <v>8</v>
      </c>
      <c r="I15" s="192"/>
      <c r="J15" s="150"/>
      <c r="K15" s="144">
        <f t="shared" si="4"/>
        <v>46238</v>
      </c>
      <c r="L15" s="144">
        <f>VLOOKUP($F15,总排期!$F:$U,6,0)</f>
        <v>46252</v>
      </c>
      <c r="M15" s="187"/>
      <c r="N15" s="194"/>
      <c r="O15" s="187"/>
      <c r="P15" s="187">
        <f>VLOOKUP($F15,总排期!$F:$U,11,0)</f>
        <v>46234</v>
      </c>
      <c r="Q15" s="187"/>
      <c r="R15" s="187" t="s">
        <v>713</v>
      </c>
      <c r="S15" s="187"/>
      <c r="T15" s="187">
        <v>46238</v>
      </c>
      <c r="U15" s="389"/>
      <c r="V15" s="154">
        <f>VLOOKUP($F15,总排期!$F:$U,14,0)</f>
        <v>46177</v>
      </c>
      <c r="W15" s="154" t="str">
        <f>VLOOKUP($F15,总排期!$F:$U,15,0)</f>
        <v>6/3确认文档</v>
      </c>
      <c r="X15" s="154" t="str">
        <f>VLOOKUP($F15,总排期!$F:$U,16,0)</f>
        <v>6/15确认箱唛及移印</v>
      </c>
      <c r="Y15" s="177" t="s">
        <v>507</v>
      </c>
      <c r="Z15" s="476" t="s">
        <v>508</v>
      </c>
      <c r="AA15" s="443" t="s">
        <v>509</v>
      </c>
      <c r="AB15" s="197">
        <v>0</v>
      </c>
      <c r="AC15" s="158">
        <f t="shared" si="1"/>
        <v>0</v>
      </c>
      <c r="AD15" s="159">
        <f t="shared" si="2"/>
        <v>0</v>
      </c>
      <c r="AE15" s="444"/>
      <c r="AF15" s="389" t="s">
        <v>415</v>
      </c>
      <c r="AG15" s="162" t="s">
        <v>416</v>
      </c>
      <c r="AH15" s="176" t="s">
        <v>424</v>
      </c>
      <c r="AI15" s="389" t="s">
        <v>425</v>
      </c>
      <c r="AJ15" s="389"/>
      <c r="AK15" s="389"/>
      <c r="AL15" s="389"/>
      <c r="AM15" s="389">
        <v>8</v>
      </c>
      <c r="AN15" s="153">
        <f t="shared" si="5"/>
        <v>0</v>
      </c>
      <c r="AO15" s="195"/>
      <c r="AP15" s="195"/>
      <c r="AQ15" s="389"/>
      <c r="AR15" s="389"/>
      <c r="AS15" s="176"/>
      <c r="AT15" s="176"/>
      <c r="AU15" s="176"/>
      <c r="AV15" s="176"/>
      <c r="AW15" s="176"/>
      <c r="AX15" s="176"/>
      <c r="AY15" s="176"/>
    </row>
    <row r="16" s="118" customFormat="1" ht="25" customHeight="1" spans="1:51">
      <c r="A16" s="168">
        <v>46121</v>
      </c>
      <c r="B16" s="175" t="s">
        <v>576</v>
      </c>
      <c r="C16" s="144" t="s">
        <v>268</v>
      </c>
      <c r="D16" s="189" t="s">
        <v>692</v>
      </c>
      <c r="E16" s="146" t="s">
        <v>269</v>
      </c>
      <c r="F16" s="147">
        <v>3626146</v>
      </c>
      <c r="G16" s="147" t="s">
        <v>270</v>
      </c>
      <c r="H16" s="441">
        <v>6</v>
      </c>
      <c r="I16" s="192"/>
      <c r="J16" s="150"/>
      <c r="K16" s="144">
        <f t="shared" si="4"/>
        <v>46238</v>
      </c>
      <c r="L16" s="144">
        <f>VLOOKUP($F16,总排期!$F:$U,6,0)</f>
        <v>46252</v>
      </c>
      <c r="M16" s="187"/>
      <c r="N16" s="194"/>
      <c r="O16" s="187"/>
      <c r="P16" s="187">
        <f>VLOOKUP($F16,总排期!$F:$U,11,0)</f>
        <v>46234</v>
      </c>
      <c r="Q16" s="187"/>
      <c r="R16" s="187" t="s">
        <v>714</v>
      </c>
      <c r="S16" s="187"/>
      <c r="T16" s="187">
        <v>46238</v>
      </c>
      <c r="U16" s="389"/>
      <c r="V16" s="154">
        <f>VLOOKUP($F16,总排期!$F:$U,14,0)</f>
        <v>46203</v>
      </c>
      <c r="W16" s="154" t="str">
        <f>VLOOKUP($F16,总排期!$F:$U,15,0)</f>
        <v>4/9确认文档</v>
      </c>
      <c r="X16" s="154" t="str">
        <f>VLOOKUP($F16,总排期!$F:$U,16,0)</f>
        <v>5/14确认移印，5/8箱唛确认</v>
      </c>
      <c r="Y16" s="177" t="s">
        <v>579</v>
      </c>
      <c r="Z16" s="443" t="s">
        <v>580</v>
      </c>
      <c r="AA16" s="443" t="s">
        <v>581</v>
      </c>
      <c r="AB16" s="197">
        <v>0</v>
      </c>
      <c r="AC16" s="158">
        <f t="shared" si="1"/>
        <v>0</v>
      </c>
      <c r="AD16" s="159">
        <f t="shared" si="2"/>
        <v>0</v>
      </c>
      <c r="AE16" s="444"/>
      <c r="AF16" s="389" t="s">
        <v>415</v>
      </c>
      <c r="AG16" s="162" t="s">
        <v>416</v>
      </c>
      <c r="AH16" s="176" t="s">
        <v>436</v>
      </c>
      <c r="AI16" s="389" t="s">
        <v>425</v>
      </c>
      <c r="AJ16" s="436"/>
      <c r="AK16" s="389"/>
      <c r="AL16" s="436"/>
      <c r="AM16" s="389">
        <v>12</v>
      </c>
      <c r="AN16" s="153">
        <f t="shared" si="5"/>
        <v>6</v>
      </c>
      <c r="AO16" s="195"/>
      <c r="AP16" s="195"/>
      <c r="AQ16" s="389"/>
      <c r="AR16" s="389"/>
      <c r="AS16" s="176"/>
      <c r="AT16" s="176"/>
      <c r="AU16" s="176"/>
      <c r="AV16" s="176"/>
      <c r="AW16" s="176"/>
      <c r="AX16" s="176"/>
      <c r="AY16" s="176"/>
    </row>
    <row r="17" s="117" customFormat="1" ht="25" customHeight="1" spans="1:51">
      <c r="A17" s="477">
        <v>46091</v>
      </c>
      <c r="B17" s="478" t="s">
        <v>486</v>
      </c>
      <c r="C17" s="479" t="s">
        <v>109</v>
      </c>
      <c r="D17" s="480" t="s">
        <v>106</v>
      </c>
      <c r="E17" s="480" t="s">
        <v>197</v>
      </c>
      <c r="F17" s="481" t="s">
        <v>198</v>
      </c>
      <c r="G17" s="481" t="s">
        <v>199</v>
      </c>
      <c r="H17" s="482">
        <v>12</v>
      </c>
      <c r="I17" s="483"/>
      <c r="J17" s="484"/>
      <c r="K17" s="479">
        <f t="shared" si="4"/>
        <v>46223</v>
      </c>
      <c r="L17" s="479">
        <f>VLOOKUP($F17,总排期!$F:$U,6,0)</f>
        <v>46237</v>
      </c>
      <c r="M17" s="477"/>
      <c r="N17" s="485"/>
      <c r="O17" s="477"/>
      <c r="P17" s="477">
        <f>VLOOKUP($F17,总排期!$F:$U,11,0)</f>
        <v>46233</v>
      </c>
      <c r="Q17" s="477"/>
      <c r="R17" s="486" t="s">
        <v>715</v>
      </c>
      <c r="S17" s="477"/>
      <c r="T17" s="477">
        <v>46227</v>
      </c>
      <c r="U17" s="487"/>
      <c r="V17" s="488">
        <f>VLOOKUP($F17,总排期!$F:$U,14,0)</f>
        <v>46206</v>
      </c>
      <c r="W17" s="488" t="str">
        <f>VLOOKUP($F17,总排期!$F:$U,15,0)</f>
        <v>6/3收到包装</v>
      </c>
      <c r="X17" s="488" t="str">
        <f>VLOOKUP($F17,总排期!$F:$U,16,0)</f>
        <v>5/11确认箱唛,6/5确认移印</v>
      </c>
      <c r="Y17" s="489" t="s">
        <v>490</v>
      </c>
      <c r="Z17" s="490" t="s">
        <v>491</v>
      </c>
      <c r="AA17" s="491" t="s">
        <v>492</v>
      </c>
      <c r="AB17" s="492">
        <v>0</v>
      </c>
      <c r="AC17" s="493">
        <f t="shared" si="1"/>
        <v>0</v>
      </c>
      <c r="AD17" s="494">
        <f t="shared" si="2"/>
        <v>0</v>
      </c>
      <c r="AE17" s="495"/>
      <c r="AF17" s="496" t="s">
        <v>415</v>
      </c>
      <c r="AG17" s="497" t="s">
        <v>416</v>
      </c>
      <c r="AH17" s="176" t="s">
        <v>436</v>
      </c>
      <c r="AI17" s="498"/>
      <c r="AJ17" s="498"/>
      <c r="AK17" s="498"/>
      <c r="AL17" s="499"/>
      <c r="AM17" s="487"/>
      <c r="AN17" s="500">
        <f t="shared" si="5"/>
        <v>-12</v>
      </c>
      <c r="AO17" s="487"/>
      <c r="AP17" s="487"/>
      <c r="AQ17" s="487"/>
      <c r="AR17" s="487"/>
      <c r="AS17" s="501"/>
      <c r="AT17" s="501"/>
      <c r="AU17" s="501"/>
      <c r="AV17" s="501"/>
      <c r="AW17" s="501"/>
      <c r="AX17" s="501"/>
      <c r="AY17" s="501"/>
    </row>
    <row r="18" s="395" customFormat="1" ht="25" customHeight="1" spans="1:51">
      <c r="A18" s="440">
        <v>46157</v>
      </c>
      <c r="B18" s="189" t="s">
        <v>493</v>
      </c>
      <c r="C18" s="145" t="s">
        <v>152</v>
      </c>
      <c r="D18" s="189" t="s">
        <v>692</v>
      </c>
      <c r="E18" s="189" t="s">
        <v>294</v>
      </c>
      <c r="F18" s="192">
        <v>1226168</v>
      </c>
      <c r="G18" s="147" t="s">
        <v>295</v>
      </c>
      <c r="H18" s="441">
        <v>12</v>
      </c>
      <c r="I18" s="192"/>
      <c r="J18" s="150"/>
      <c r="K18" s="144">
        <f t="shared" si="4"/>
        <v>46223</v>
      </c>
      <c r="L18" s="144">
        <f>VLOOKUP($F18,总排期!$F:$U,6,0)</f>
        <v>46237</v>
      </c>
      <c r="M18" s="187"/>
      <c r="N18" s="194"/>
      <c r="O18" s="187"/>
      <c r="P18" s="187">
        <f>VLOOKUP($F18,总排期!$F:$U,11,0)</f>
        <v>46227</v>
      </c>
      <c r="Q18" s="187"/>
      <c r="R18" s="187" t="s">
        <v>716</v>
      </c>
      <c r="S18" s="187"/>
      <c r="T18" s="187">
        <v>46233</v>
      </c>
      <c r="U18" s="176"/>
      <c r="V18" s="154">
        <f>VLOOKUP($F18,总排期!$F:$U,14,0)</f>
        <v>46193</v>
      </c>
      <c r="W18" s="154" t="str">
        <f>VLOOKUP($F18,总排期!$F:$U,15,0)</f>
        <v>7/9确认彩盒，7/13确认说明书</v>
      </c>
      <c r="X18" s="154" t="str">
        <f>VLOOKUP($F18,总排期!$F:$U,16,0)</f>
        <v>6/12确认箱唛,6/22确认移印</v>
      </c>
      <c r="Y18" s="177" t="s">
        <v>477</v>
      </c>
      <c r="Z18" s="177" t="s">
        <v>498</v>
      </c>
      <c r="AA18" s="443" t="s">
        <v>717</v>
      </c>
      <c r="AB18" s="197">
        <v>0</v>
      </c>
      <c r="AC18" s="158">
        <f t="shared" si="1"/>
        <v>0</v>
      </c>
      <c r="AD18" s="159">
        <f t="shared" si="2"/>
        <v>0</v>
      </c>
      <c r="AE18" s="444"/>
      <c r="AF18" s="389" t="s">
        <v>415</v>
      </c>
      <c r="AG18" s="162" t="s">
        <v>416</v>
      </c>
      <c r="AH18" s="176" t="s">
        <v>436</v>
      </c>
      <c r="AI18" s="389" t="s">
        <v>425</v>
      </c>
      <c r="AJ18" s="475" t="s">
        <v>718</v>
      </c>
      <c r="AK18" s="389"/>
      <c r="AL18" s="502"/>
      <c r="AM18" s="389">
        <v>18</v>
      </c>
      <c r="AN18" s="153">
        <f t="shared" si="5"/>
        <v>6</v>
      </c>
      <c r="AO18" s="195"/>
      <c r="AP18" s="195"/>
      <c r="AQ18" s="389"/>
      <c r="AR18" s="389"/>
      <c r="AS18" s="176"/>
      <c r="AT18" s="176"/>
      <c r="AU18" s="176"/>
      <c r="AV18" s="176"/>
      <c r="AW18" s="176"/>
      <c r="AX18" s="176"/>
      <c r="AY18" s="176"/>
    </row>
    <row r="19" s="118" customFormat="1" ht="25" customHeight="1" spans="1:51">
      <c r="A19" s="201">
        <v>46169</v>
      </c>
      <c r="B19" s="202" t="s">
        <v>504</v>
      </c>
      <c r="C19" s="123" t="s">
        <v>105</v>
      </c>
      <c r="D19" s="204" t="s">
        <v>692</v>
      </c>
      <c r="E19" s="204" t="s">
        <v>317</v>
      </c>
      <c r="F19" s="207">
        <v>3226169</v>
      </c>
      <c r="G19" s="125" t="s">
        <v>321</v>
      </c>
      <c r="H19" s="206">
        <v>12</v>
      </c>
      <c r="I19" s="207"/>
      <c r="J19" s="128"/>
      <c r="K19" s="122">
        <f t="shared" si="4"/>
        <v>46226</v>
      </c>
      <c r="L19" s="122">
        <f>VLOOKUP($F19,总排期!$F:$U,6,0)</f>
        <v>46240</v>
      </c>
      <c r="M19" s="203"/>
      <c r="N19" s="210"/>
      <c r="O19" s="203"/>
      <c r="P19" s="203">
        <f>VLOOKUP($F19,总排期!$F:$U,11,0)</f>
        <v>46234</v>
      </c>
      <c r="Q19" s="203"/>
      <c r="R19" s="203" t="s">
        <v>719</v>
      </c>
      <c r="S19" s="203"/>
      <c r="T19" s="446">
        <v>46240</v>
      </c>
      <c r="U19" s="211"/>
      <c r="V19" s="131">
        <f>VLOOKUP($F19,总排期!$F:$U,14,0)</f>
        <v>46203</v>
      </c>
      <c r="W19" s="131" t="str">
        <f>VLOOKUP($F19,总排期!$F:$U,15,0)</f>
        <v>5/4收到包装，7/3确认说明书</v>
      </c>
      <c r="X19" s="131" t="str">
        <f>VLOOKUP($F19,总排期!$F:$U,16,0)</f>
        <v>6/15确认箱唛及移印</v>
      </c>
      <c r="Y19" s="212" t="s">
        <v>507</v>
      </c>
      <c r="Z19" s="503" t="s">
        <v>512</v>
      </c>
      <c r="AA19" s="213" t="s">
        <v>509</v>
      </c>
      <c r="AB19" s="214">
        <v>0</v>
      </c>
      <c r="AC19" s="135">
        <f t="shared" si="1"/>
        <v>0</v>
      </c>
      <c r="AD19" s="136">
        <f t="shared" si="2"/>
        <v>0</v>
      </c>
      <c r="AE19" s="227"/>
      <c r="AF19" s="211" t="s">
        <v>415</v>
      </c>
      <c r="AG19" s="139" t="s">
        <v>416</v>
      </c>
      <c r="AH19" s="217" t="s">
        <v>417</v>
      </c>
      <c r="AI19" s="211"/>
      <c r="AJ19" s="211"/>
      <c r="AK19" s="211"/>
      <c r="AL19" s="211"/>
      <c r="AM19" s="211"/>
      <c r="AN19" s="130">
        <f t="shared" si="5"/>
        <v>-12</v>
      </c>
      <c r="AO19" s="216"/>
      <c r="AP19" s="216"/>
      <c r="AQ19" s="211"/>
      <c r="AR19" s="211"/>
      <c r="AS19" s="217"/>
      <c r="AT19" s="217"/>
      <c r="AU19" s="217"/>
      <c r="AV19" s="217"/>
      <c r="AW19" s="217"/>
      <c r="AX19" s="217"/>
      <c r="AY19" s="217"/>
    </row>
    <row r="20" s="117" customFormat="1" ht="25" customHeight="1" spans="1:51">
      <c r="A20" s="440">
        <v>46151</v>
      </c>
      <c r="B20" s="189" t="s">
        <v>519</v>
      </c>
      <c r="C20" s="145" t="s">
        <v>152</v>
      </c>
      <c r="D20" s="189" t="s">
        <v>692</v>
      </c>
      <c r="E20" s="189" t="s">
        <v>292</v>
      </c>
      <c r="F20" s="192">
        <v>1226169</v>
      </c>
      <c r="G20" s="147" t="s">
        <v>293</v>
      </c>
      <c r="H20" s="441">
        <v>12</v>
      </c>
      <c r="I20" s="192"/>
      <c r="J20" s="150"/>
      <c r="K20" s="144">
        <f t="shared" si="4"/>
        <v>46227</v>
      </c>
      <c r="L20" s="144">
        <f>VLOOKUP($F20,总排期!$F:$U,6,0)</f>
        <v>46241</v>
      </c>
      <c r="M20" s="187"/>
      <c r="N20" s="194"/>
      <c r="O20" s="187"/>
      <c r="P20" s="187">
        <f>VLOOKUP($F20,总排期!$F:$U,11,0)</f>
        <v>46231</v>
      </c>
      <c r="Q20" s="187"/>
      <c r="R20" s="187" t="s">
        <v>720</v>
      </c>
      <c r="S20" s="187"/>
      <c r="T20" s="187">
        <v>46233</v>
      </c>
      <c r="U20" s="389"/>
      <c r="V20" s="154">
        <f>VLOOKUP($F20,总排期!$F:$U,14,0)</f>
        <v>46203</v>
      </c>
      <c r="W20" s="154" t="str">
        <f>VLOOKUP($F20,总排期!$F:$U,15,0)</f>
        <v>5/28确认包装</v>
      </c>
      <c r="X20" s="154" t="str">
        <f>VLOOKUP($F20,总排期!$F:$U,16,0)</f>
        <v>6/16确认箱唛，6/25确认移印</v>
      </c>
      <c r="Y20" s="177" t="s">
        <v>522</v>
      </c>
      <c r="Z20" s="177" t="s">
        <v>523</v>
      </c>
      <c r="AA20" s="443" t="s">
        <v>524</v>
      </c>
      <c r="AB20" s="197">
        <v>0</v>
      </c>
      <c r="AC20" s="158">
        <f t="shared" si="1"/>
        <v>0</v>
      </c>
      <c r="AD20" s="159">
        <f t="shared" si="2"/>
        <v>0</v>
      </c>
      <c r="AE20" s="444"/>
      <c r="AF20" s="389" t="s">
        <v>415</v>
      </c>
      <c r="AG20" s="162" t="s">
        <v>416</v>
      </c>
      <c r="AH20" s="176" t="s">
        <v>417</v>
      </c>
      <c r="AI20" s="389"/>
      <c r="AJ20" s="389"/>
      <c r="AK20" s="389"/>
      <c r="AL20" s="389"/>
      <c r="AM20" s="389"/>
      <c r="AN20" s="153">
        <f t="shared" si="5"/>
        <v>-12</v>
      </c>
      <c r="AO20" s="195"/>
      <c r="AP20" s="195"/>
      <c r="AQ20" s="389"/>
      <c r="AR20" s="389"/>
      <c r="AS20" s="176"/>
      <c r="AT20" s="176"/>
      <c r="AU20" s="176"/>
      <c r="AV20" s="176"/>
      <c r="AW20" s="176"/>
      <c r="AX20" s="176"/>
      <c r="AY20" s="176"/>
    </row>
    <row r="21" s="119" customFormat="1" ht="25" customHeight="1" spans="1:51">
      <c r="A21" s="504">
        <v>46161</v>
      </c>
      <c r="B21" s="505" t="s">
        <v>525</v>
      </c>
      <c r="C21" s="230" t="s">
        <v>174</v>
      </c>
      <c r="D21" s="506" t="s">
        <v>155</v>
      </c>
      <c r="E21" s="505" t="s">
        <v>300</v>
      </c>
      <c r="F21" s="234">
        <v>3026146</v>
      </c>
      <c r="G21" s="232" t="s">
        <v>301</v>
      </c>
      <c r="H21" s="507">
        <v>6</v>
      </c>
      <c r="I21" s="506"/>
      <c r="J21" s="235"/>
      <c r="K21" s="229">
        <f t="shared" si="4"/>
        <v>46227</v>
      </c>
      <c r="L21" s="229">
        <f>VLOOKUP($F21,总排期!$F:$U,6,0)</f>
        <v>46241</v>
      </c>
      <c r="M21" s="508"/>
      <c r="N21" s="509"/>
      <c r="O21" s="508"/>
      <c r="P21" s="508">
        <f>VLOOKUP($F21,总排期!$F:$U,11,0)</f>
        <v>46239</v>
      </c>
      <c r="Q21" s="508"/>
      <c r="R21" s="477" t="s">
        <v>721</v>
      </c>
      <c r="S21" s="508"/>
      <c r="T21" s="508">
        <v>46233</v>
      </c>
      <c r="U21" s="510"/>
      <c r="V21" s="239" t="str">
        <f>VLOOKUP($F21,总排期!$F:$U,14,0)</f>
        <v>6/25</v>
      </c>
      <c r="W21" s="239" t="str">
        <f>VLOOKUP($F21,总排期!$F:$U,15,0)</f>
        <v>5/19确认文档</v>
      </c>
      <c r="X21" s="239" t="str">
        <f>VLOOKUP($F21,总排期!$F:$U,16,0)</f>
        <v>5/26确认箱唛移印</v>
      </c>
      <c r="Y21" s="511" t="s">
        <v>529</v>
      </c>
      <c r="Z21" s="511" t="s">
        <v>530</v>
      </c>
      <c r="AA21" s="512" t="s">
        <v>531</v>
      </c>
      <c r="AB21" s="242">
        <v>0</v>
      </c>
      <c r="AC21" s="513">
        <f t="shared" si="1"/>
        <v>0</v>
      </c>
      <c r="AD21" s="514">
        <f t="shared" si="2"/>
        <v>0</v>
      </c>
      <c r="AE21" s="515"/>
      <c r="AF21" s="498" t="s">
        <v>415</v>
      </c>
      <c r="AG21" s="247" t="s">
        <v>416</v>
      </c>
      <c r="AH21" s="516" t="s">
        <v>436</v>
      </c>
      <c r="AI21" s="517" t="s">
        <v>425</v>
      </c>
      <c r="AJ21" s="518" t="s">
        <v>722</v>
      </c>
      <c r="AK21" s="517"/>
      <c r="AL21" s="517"/>
      <c r="AM21" s="510">
        <v>6</v>
      </c>
      <c r="AN21" s="130">
        <f t="shared" si="5"/>
        <v>0</v>
      </c>
      <c r="AO21" s="216"/>
      <c r="AP21" s="216"/>
      <c r="AQ21" s="510"/>
      <c r="AR21" s="510"/>
      <c r="AS21" s="516"/>
      <c r="AT21" s="516"/>
      <c r="AU21" s="516"/>
      <c r="AV21" s="516"/>
      <c r="AW21" s="516"/>
      <c r="AX21" s="516"/>
      <c r="AY21" s="516"/>
    </row>
    <row r="22" s="118" customFormat="1" ht="25" customHeight="1" spans="1:51">
      <c r="A22" s="440">
        <v>46157</v>
      </c>
      <c r="B22" s="189" t="s">
        <v>493</v>
      </c>
      <c r="C22" s="145" t="s">
        <v>152</v>
      </c>
      <c r="D22" s="189" t="s">
        <v>692</v>
      </c>
      <c r="E22" s="189" t="s">
        <v>298</v>
      </c>
      <c r="F22" s="192">
        <v>1226157</v>
      </c>
      <c r="G22" s="147" t="s">
        <v>299</v>
      </c>
      <c r="H22" s="441">
        <v>8</v>
      </c>
      <c r="I22" s="192"/>
      <c r="J22" s="150"/>
      <c r="K22" s="144">
        <f t="shared" si="4"/>
        <v>46226</v>
      </c>
      <c r="L22" s="144">
        <f>VLOOKUP($F22,总排期!$F:$U,6,0)</f>
        <v>46240</v>
      </c>
      <c r="M22" s="187"/>
      <c r="N22" s="194"/>
      <c r="O22" s="187"/>
      <c r="P22" s="187">
        <f>VLOOKUP($F22,总排期!$F:$U,11,0)</f>
        <v>46230</v>
      </c>
      <c r="Q22" s="187"/>
      <c r="R22" s="421" t="s">
        <v>723</v>
      </c>
      <c r="S22" s="187"/>
      <c r="T22" s="187">
        <v>46233</v>
      </c>
      <c r="U22" s="176"/>
      <c r="V22" s="154">
        <f>VLOOKUP($F22,总排期!$F:$U,14,0)</f>
        <v>46212</v>
      </c>
      <c r="W22" s="154" t="str">
        <f>VLOOKUP($F22,总排期!$F:$U,15,0)</f>
        <v>6/5确认文档</v>
      </c>
      <c r="X22" s="154" t="str">
        <f>VLOOKUP($F22,总排期!$F:$U,16,0)</f>
        <v>6/12确认箱唛,6/15确认移印</v>
      </c>
      <c r="Y22" s="177" t="s">
        <v>477</v>
      </c>
      <c r="Z22" s="177" t="s">
        <v>517</v>
      </c>
      <c r="AA22" s="443" t="s">
        <v>724</v>
      </c>
      <c r="AB22" s="197">
        <v>0</v>
      </c>
      <c r="AC22" s="158">
        <f t="shared" si="1"/>
        <v>0</v>
      </c>
      <c r="AD22" s="159">
        <f t="shared" si="2"/>
        <v>0</v>
      </c>
      <c r="AE22" s="444"/>
      <c r="AF22" s="389" t="s">
        <v>415</v>
      </c>
      <c r="AG22" s="162" t="s">
        <v>416</v>
      </c>
      <c r="AH22" s="176" t="s">
        <v>436</v>
      </c>
      <c r="AI22" s="389"/>
      <c r="AJ22" s="436"/>
      <c r="AK22" s="389"/>
      <c r="AL22" s="389"/>
      <c r="AM22" s="389"/>
      <c r="AN22" s="153">
        <f t="shared" si="5"/>
        <v>-8</v>
      </c>
      <c r="AO22" s="195"/>
      <c r="AP22" s="195"/>
      <c r="AQ22" s="389"/>
      <c r="AR22" s="389"/>
      <c r="AS22" s="176"/>
      <c r="AT22" s="176"/>
      <c r="AU22" s="176"/>
      <c r="AV22" s="176"/>
      <c r="AW22" s="176"/>
      <c r="AX22" s="176"/>
      <c r="AY22" s="176"/>
    </row>
    <row r="23" s="119" customFormat="1" ht="25" customHeight="1" spans="1:51">
      <c r="A23" s="440">
        <v>46164</v>
      </c>
      <c r="B23" s="189" t="s">
        <v>565</v>
      </c>
      <c r="C23" s="145" t="s">
        <v>314</v>
      </c>
      <c r="D23" s="192"/>
      <c r="E23" s="189" t="s">
        <v>315</v>
      </c>
      <c r="F23" s="190" t="s">
        <v>41</v>
      </c>
      <c r="G23" s="147" t="s">
        <v>316</v>
      </c>
      <c r="H23" s="148">
        <v>8</v>
      </c>
      <c r="I23" s="519">
        <v>6</v>
      </c>
      <c r="J23" s="520">
        <f>H23/I23</f>
        <v>1</v>
      </c>
      <c r="K23" s="144">
        <f t="shared" si="4"/>
        <v>46237</v>
      </c>
      <c r="L23" s="144">
        <f>VLOOKUP($F23,总排期!$F:$U,6,0)</f>
        <v>46251</v>
      </c>
      <c r="M23" s="187"/>
      <c r="N23" s="194"/>
      <c r="O23" s="187"/>
      <c r="P23" s="194">
        <v>46251</v>
      </c>
      <c r="Q23" s="187"/>
      <c r="R23" s="187" t="s">
        <v>725</v>
      </c>
      <c r="S23" s="185"/>
      <c r="T23" s="446">
        <v>46240</v>
      </c>
      <c r="U23" s="188"/>
      <c r="V23" s="154">
        <f>VLOOKUP($F23,总排期!$F:$U,14,0)</f>
        <v>0</v>
      </c>
      <c r="W23" s="154" t="str">
        <f>VLOOKUP($F23,总排期!$F:$U,15,0)</f>
        <v>6/15确认彩盒，拼图更新2026，6/24确认说明书</v>
      </c>
      <c r="X23" s="154" t="str">
        <f>VLOOKUP($F23,总排期!$F:$U,16,0)</f>
        <v>6/25确认移印箱唛</v>
      </c>
      <c r="Y23" s="177" t="s">
        <v>567</v>
      </c>
      <c r="Z23" s="521" t="s">
        <v>568</v>
      </c>
      <c r="AA23" s="443" t="s">
        <v>569</v>
      </c>
      <c r="AB23" s="522"/>
      <c r="AC23" s="164" t="s">
        <v>415</v>
      </c>
      <c r="AD23" s="162" t="s">
        <v>416</v>
      </c>
      <c r="AE23" s="176" t="s">
        <v>424</v>
      </c>
      <c r="AF23" s="389" t="s">
        <v>425</v>
      </c>
      <c r="AG23" s="162" t="s">
        <v>416</v>
      </c>
      <c r="AH23" s="176" t="s">
        <v>424</v>
      </c>
      <c r="AI23" s="195"/>
      <c r="AJ23" s="195"/>
      <c r="AK23" s="389"/>
      <c r="AL23" s="389"/>
      <c r="AM23" s="176">
        <v>8</v>
      </c>
      <c r="AN23" s="130">
        <f t="shared" si="5"/>
        <v>0</v>
      </c>
      <c r="AO23" s="176"/>
      <c r="AP23" s="176"/>
      <c r="AQ23" s="176"/>
      <c r="AR23" s="176"/>
      <c r="AS23" s="176"/>
      <c r="AT23" s="462"/>
      <c r="AU23" s="462"/>
      <c r="AV23" s="462"/>
      <c r="AW23" s="462"/>
      <c r="AX23" s="462"/>
      <c r="AY23" s="462"/>
    </row>
    <row r="24" s="119" customFormat="1" ht="25" customHeight="1" spans="1:51">
      <c r="A24" s="508">
        <v>46091</v>
      </c>
      <c r="B24" s="523" t="s">
        <v>486</v>
      </c>
      <c r="C24" s="229" t="s">
        <v>109</v>
      </c>
      <c r="D24" s="505" t="s">
        <v>106</v>
      </c>
      <c r="E24" s="505" t="s">
        <v>194</v>
      </c>
      <c r="F24" s="524" t="s">
        <v>195</v>
      </c>
      <c r="G24" s="525" t="s">
        <v>196</v>
      </c>
      <c r="H24" s="526">
        <v>18</v>
      </c>
      <c r="I24" s="506"/>
      <c r="J24" s="235"/>
      <c r="K24" s="229">
        <f t="shared" si="4"/>
        <v>46232</v>
      </c>
      <c r="L24" s="229">
        <f>VLOOKUP($F24,总排期!$F:$U,6,0)</f>
        <v>46246</v>
      </c>
      <c r="M24" s="508"/>
      <c r="N24" s="509"/>
      <c r="O24" s="508"/>
      <c r="P24" s="527">
        <f>VLOOKUP($F24,总排期!$F:$U,11,0)</f>
        <v>46233</v>
      </c>
      <c r="Q24" s="528"/>
      <c r="R24" s="486" t="s">
        <v>726</v>
      </c>
      <c r="S24" s="528"/>
      <c r="T24" s="528">
        <v>46223</v>
      </c>
      <c r="U24" s="529"/>
      <c r="V24" s="239">
        <f>VLOOKUP($F24,总排期!$F:$U,14,0)</f>
        <v>46205</v>
      </c>
      <c r="W24" s="239" t="str">
        <f>VLOOKUP($F24,总排期!$F:$U,15,0)</f>
        <v>6/3收到包装</v>
      </c>
      <c r="X24" s="239" t="str">
        <f>VLOOKUP($F24,总排期!$F:$U,16,0)</f>
        <v>5/11确认箱唛,6/5确认移印</v>
      </c>
      <c r="Y24" s="511" t="s">
        <v>727</v>
      </c>
      <c r="Z24" s="530" t="s">
        <v>551</v>
      </c>
      <c r="AA24" s="491" t="s">
        <v>552</v>
      </c>
      <c r="AB24" s="242">
        <v>0</v>
      </c>
      <c r="AC24" s="513">
        <f t="shared" ref="AC24:AC40" si="6">H24*AB24</f>
        <v>0</v>
      </c>
      <c r="AD24" s="514">
        <f t="shared" ref="AD24:AD40" si="7">AC24*7.75</f>
        <v>0</v>
      </c>
      <c r="AE24" s="315"/>
      <c r="AF24" s="531"/>
      <c r="AG24" s="247" t="s">
        <v>416</v>
      </c>
      <c r="AH24" s="532" t="s">
        <v>436</v>
      </c>
      <c r="AI24" s="517"/>
      <c r="AJ24" s="517"/>
      <c r="AK24" s="517"/>
      <c r="AL24" s="517"/>
      <c r="AM24" s="510"/>
      <c r="AN24" s="130">
        <f t="shared" si="5"/>
        <v>-18</v>
      </c>
      <c r="AO24" s="216"/>
      <c r="AP24" s="216"/>
      <c r="AQ24" s="533"/>
      <c r="AR24" s="533"/>
      <c r="AS24" s="534"/>
      <c r="AT24" s="534"/>
      <c r="AU24" s="534"/>
      <c r="AV24" s="534"/>
      <c r="AW24" s="534"/>
      <c r="AX24" s="534"/>
      <c r="AY24" s="534"/>
    </row>
    <row r="25" s="118" customFormat="1" ht="25" customHeight="1" spans="1:51">
      <c r="A25" s="440">
        <v>46136</v>
      </c>
      <c r="B25" s="189" t="s">
        <v>532</v>
      </c>
      <c r="C25" s="187" t="s">
        <v>88</v>
      </c>
      <c r="D25" s="189" t="s">
        <v>692</v>
      </c>
      <c r="E25" s="189" t="s">
        <v>274</v>
      </c>
      <c r="F25" s="190">
        <v>1026156</v>
      </c>
      <c r="G25" s="190" t="s">
        <v>533</v>
      </c>
      <c r="H25" s="441">
        <v>12</v>
      </c>
      <c r="I25" s="192"/>
      <c r="J25" s="535"/>
      <c r="K25" s="144">
        <f t="shared" si="4"/>
        <v>46230</v>
      </c>
      <c r="L25" s="144">
        <f>VLOOKUP($F25,总排期!$F:$U,6,0)</f>
        <v>46244</v>
      </c>
      <c r="M25" s="187"/>
      <c r="N25" s="194"/>
      <c r="O25" s="187"/>
      <c r="P25" s="536">
        <f>VLOOKUP($F25,总排期!$F:$U,11,0)</f>
        <v>46232</v>
      </c>
      <c r="Q25" s="421"/>
      <c r="R25" s="421" t="s">
        <v>728</v>
      </c>
      <c r="S25" s="421"/>
      <c r="T25" s="187">
        <v>46244</v>
      </c>
      <c r="U25" s="537"/>
      <c r="V25" s="154">
        <f>VLOOKUP($F25,总排期!$F:$U,14,0)</f>
        <v>46204</v>
      </c>
      <c r="W25" s="154" t="str">
        <f>VLOOKUP($F25,总排期!$F:$U,15,0)</f>
        <v>6/26确认文档</v>
      </c>
      <c r="X25" s="154" t="str">
        <f>VLOOKUP($F25,总排期!$F:$U,16,0)</f>
        <v>6/25确认移印箱唛</v>
      </c>
      <c r="Y25" s="177" t="s">
        <v>536</v>
      </c>
      <c r="Z25" s="177" t="s">
        <v>537</v>
      </c>
      <c r="AA25" s="443" t="s">
        <v>538</v>
      </c>
      <c r="AB25" s="197">
        <v>0</v>
      </c>
      <c r="AC25" s="538">
        <f t="shared" si="6"/>
        <v>0</v>
      </c>
      <c r="AD25" s="539">
        <f t="shared" si="7"/>
        <v>0</v>
      </c>
      <c r="AE25" s="444"/>
      <c r="AF25" s="389"/>
      <c r="AG25" s="446" t="s">
        <v>416</v>
      </c>
      <c r="AH25" s="176" t="s">
        <v>417</v>
      </c>
      <c r="AI25" s="389"/>
      <c r="AJ25" s="389"/>
      <c r="AK25" s="389"/>
      <c r="AL25" s="389"/>
      <c r="AM25" s="389"/>
      <c r="AN25" s="195">
        <f t="shared" si="5"/>
        <v>-12</v>
      </c>
      <c r="AO25" s="195"/>
      <c r="AP25" s="195"/>
      <c r="AQ25" s="389"/>
      <c r="AR25" s="389"/>
      <c r="AS25" s="176"/>
      <c r="AT25" s="176"/>
      <c r="AU25" s="176"/>
      <c r="AV25" s="176"/>
      <c r="AW25" s="176"/>
      <c r="AX25" s="176"/>
      <c r="AY25" s="176"/>
    </row>
    <row r="26" s="118" customFormat="1" ht="25" customHeight="1" spans="1:51">
      <c r="A26" s="440">
        <v>46163</v>
      </c>
      <c r="B26" s="189" t="s">
        <v>539</v>
      </c>
      <c r="C26" s="145" t="s">
        <v>309</v>
      </c>
      <c r="D26" s="189" t="s">
        <v>106</v>
      </c>
      <c r="E26" s="189" t="s">
        <v>310</v>
      </c>
      <c r="F26" s="192">
        <v>3526107</v>
      </c>
      <c r="G26" s="147" t="s">
        <v>311</v>
      </c>
      <c r="H26" s="148">
        <v>3</v>
      </c>
      <c r="I26" s="192"/>
      <c r="J26" s="150"/>
      <c r="K26" s="144">
        <f t="shared" si="4"/>
        <v>46230</v>
      </c>
      <c r="L26" s="144">
        <f>VLOOKUP($F26,总排期!$F:$U,6,0)</f>
        <v>46244</v>
      </c>
      <c r="M26" s="187"/>
      <c r="N26" s="194"/>
      <c r="O26" s="187"/>
      <c r="P26" s="536">
        <f>VLOOKUP($F26,总排期!$F:$U,11,0)</f>
        <v>46251</v>
      </c>
      <c r="Q26" s="421"/>
      <c r="R26" s="421" t="s">
        <v>728</v>
      </c>
      <c r="S26" s="421"/>
      <c r="T26" s="187">
        <v>46244</v>
      </c>
      <c r="U26" s="537"/>
      <c r="V26" s="154">
        <f>VLOOKUP($F26,总排期!$F:$U,14,0)</f>
        <v>46198</v>
      </c>
      <c r="W26" s="154" t="str">
        <f>VLOOKUP($F26,总排期!$F:$U,15,0)</f>
        <v>5/22确认包装</v>
      </c>
      <c r="X26" s="154" t="str">
        <f>VLOOKUP($F26,总排期!$F:$U,16,0)</f>
        <v>7/16确认箱唛移印</v>
      </c>
      <c r="Y26" s="177" t="s">
        <v>542</v>
      </c>
      <c r="Z26" s="177" t="s">
        <v>543</v>
      </c>
      <c r="AA26" s="443" t="s">
        <v>544</v>
      </c>
      <c r="AB26" s="157">
        <v>0</v>
      </c>
      <c r="AC26" s="158">
        <f t="shared" si="6"/>
        <v>0</v>
      </c>
      <c r="AD26" s="159">
        <f t="shared" si="7"/>
        <v>0</v>
      </c>
      <c r="AE26" s="444"/>
      <c r="AF26" s="389" t="s">
        <v>415</v>
      </c>
      <c r="AG26" s="162" t="s">
        <v>416</v>
      </c>
      <c r="AH26" s="176" t="s">
        <v>436</v>
      </c>
      <c r="AI26" s="176" t="s">
        <v>425</v>
      </c>
      <c r="AJ26" s="176"/>
      <c r="AK26" s="176"/>
      <c r="AL26" s="176"/>
      <c r="AM26" s="389"/>
      <c r="AN26" s="153">
        <f t="shared" si="5"/>
        <v>-3</v>
      </c>
      <c r="AO26" s="195"/>
      <c r="AP26" s="195"/>
      <c r="AQ26" s="389"/>
      <c r="AR26" s="389"/>
      <c r="AS26" s="176"/>
      <c r="AT26" s="176"/>
      <c r="AU26" s="176"/>
      <c r="AV26" s="176"/>
      <c r="AW26" s="176"/>
      <c r="AX26" s="176"/>
      <c r="AY26" s="176"/>
    </row>
    <row r="27" s="396" customFormat="1" ht="25" customHeight="1" spans="1:51">
      <c r="A27" s="540">
        <v>260</v>
      </c>
      <c r="B27" s="423" t="s">
        <v>519</v>
      </c>
      <c r="C27" s="422" t="s">
        <v>545</v>
      </c>
      <c r="D27" s="423" t="s">
        <v>692</v>
      </c>
      <c r="E27" s="423" t="s">
        <v>290</v>
      </c>
      <c r="F27" s="425">
        <v>3326103</v>
      </c>
      <c r="G27" s="424" t="s">
        <v>291</v>
      </c>
      <c r="H27" s="541">
        <v>8</v>
      </c>
      <c r="I27" s="425"/>
      <c r="J27" s="426"/>
      <c r="K27" s="144">
        <f t="shared" si="4"/>
        <v>46230</v>
      </c>
      <c r="L27" s="144">
        <f>VLOOKUP($F27,总排期!$F:$U,6,0)</f>
        <v>46244</v>
      </c>
      <c r="M27" s="421"/>
      <c r="N27" s="427"/>
      <c r="O27" s="421"/>
      <c r="P27" s="536">
        <f>VLOOKUP($F27,总排期!$F:$U,11,0)</f>
        <v>46231</v>
      </c>
      <c r="Q27" s="421"/>
      <c r="R27" s="421" t="s">
        <v>729</v>
      </c>
      <c r="S27" s="421"/>
      <c r="T27" s="421">
        <v>46244</v>
      </c>
      <c r="U27" s="542"/>
      <c r="V27" s="154">
        <f>VLOOKUP($F27,总排期!$F:$U,14,0)</f>
        <v>46207</v>
      </c>
      <c r="W27" s="154" t="str">
        <f>VLOOKUP($F27,总排期!$F:$U,15,0)</f>
        <v>7/9确认包装</v>
      </c>
      <c r="X27" s="154" t="str">
        <f>VLOOKUP($F27,总排期!$F:$U,16,0)</f>
        <v>6/16确认箱唛，6/25确认移印</v>
      </c>
      <c r="Y27" s="543" t="s">
        <v>547</v>
      </c>
      <c r="Z27" s="544" t="s">
        <v>548</v>
      </c>
      <c r="AA27" s="545" t="s">
        <v>730</v>
      </c>
      <c r="AB27" s="431">
        <v>0</v>
      </c>
      <c r="AC27" s="432">
        <f t="shared" si="6"/>
        <v>0</v>
      </c>
      <c r="AD27" s="433">
        <f t="shared" si="7"/>
        <v>0</v>
      </c>
      <c r="AE27" s="546"/>
      <c r="AF27" s="436" t="s">
        <v>415</v>
      </c>
      <c r="AG27" s="438" t="s">
        <v>416</v>
      </c>
      <c r="AH27" s="176" t="s">
        <v>424</v>
      </c>
      <c r="AI27" s="547" t="s">
        <v>425</v>
      </c>
      <c r="AJ27" s="547"/>
      <c r="AK27" s="547"/>
      <c r="AL27" s="547"/>
      <c r="AM27" s="436">
        <v>4</v>
      </c>
      <c r="AN27" s="153">
        <f t="shared" si="5"/>
        <v>-4</v>
      </c>
      <c r="AO27" s="429"/>
      <c r="AP27" s="429"/>
      <c r="AQ27" s="436"/>
      <c r="AR27" s="436"/>
      <c r="AS27" s="547"/>
      <c r="AT27" s="547"/>
      <c r="AU27" s="547"/>
      <c r="AV27" s="547"/>
      <c r="AW27" s="547"/>
      <c r="AX27" s="547"/>
      <c r="AY27" s="547"/>
    </row>
    <row r="28" s="397" customFormat="1" ht="25" customHeight="1" spans="1:51">
      <c r="A28" s="548">
        <v>46169</v>
      </c>
      <c r="B28" s="549" t="s">
        <v>504</v>
      </c>
      <c r="C28" s="550" t="s">
        <v>105</v>
      </c>
      <c r="D28" s="505" t="s">
        <v>692</v>
      </c>
      <c r="E28" s="551" t="s">
        <v>317</v>
      </c>
      <c r="F28" s="552">
        <v>3226164</v>
      </c>
      <c r="G28" s="553" t="s">
        <v>320</v>
      </c>
      <c r="H28" s="554">
        <v>10</v>
      </c>
      <c r="I28" s="552"/>
      <c r="J28" s="555"/>
      <c r="K28" s="229">
        <f t="shared" si="4"/>
        <v>46237</v>
      </c>
      <c r="L28" s="229">
        <f>VLOOKUP($F28,总排期!$F:$U,6,0)</f>
        <v>46251</v>
      </c>
      <c r="M28" s="528"/>
      <c r="N28" s="556"/>
      <c r="O28" s="528"/>
      <c r="P28" s="527">
        <f>VLOOKUP($F28,总排期!$F:$U,11,0)</f>
        <v>46234</v>
      </c>
      <c r="Q28" s="528"/>
      <c r="R28" s="486" t="s">
        <v>731</v>
      </c>
      <c r="S28" s="486" t="s">
        <v>732</v>
      </c>
      <c r="T28" s="421">
        <v>46251</v>
      </c>
      <c r="U28" s="557"/>
      <c r="V28" s="239">
        <f>VLOOKUP($F28,总排期!$F:$U,14,0)</f>
        <v>46213</v>
      </c>
      <c r="W28" s="239" t="str">
        <f>VLOOKUP($F28,总排期!$F:$U,15,0)</f>
        <v>7/14确认包装</v>
      </c>
      <c r="X28" s="239" t="str">
        <f>VLOOKUP($F28,总排期!$F:$U,16,0)</f>
        <v>6/15确认箱唛及移印</v>
      </c>
      <c r="Y28" s="558" t="s">
        <v>507</v>
      </c>
      <c r="Z28" s="559" t="s">
        <v>583</v>
      </c>
      <c r="AA28" s="560" t="s">
        <v>509</v>
      </c>
      <c r="AB28" s="561">
        <v>0</v>
      </c>
      <c r="AC28" s="562">
        <f t="shared" si="6"/>
        <v>0</v>
      </c>
      <c r="AD28" s="563">
        <f t="shared" si="7"/>
        <v>0</v>
      </c>
      <c r="AE28" s="564"/>
      <c r="AF28" s="565" t="s">
        <v>415</v>
      </c>
      <c r="AG28" s="566" t="s">
        <v>416</v>
      </c>
      <c r="AH28" s="532" t="s">
        <v>436</v>
      </c>
      <c r="AI28" s="398"/>
      <c r="AJ28" s="398"/>
      <c r="AK28" s="398"/>
      <c r="AL28" s="398"/>
      <c r="AM28" s="398"/>
      <c r="AN28" s="567">
        <f t="shared" si="5"/>
        <v>-10</v>
      </c>
      <c r="AO28" s="567"/>
      <c r="AP28" s="567"/>
      <c r="AQ28" s="398"/>
      <c r="AR28" s="398"/>
      <c r="AS28" s="568"/>
      <c r="AT28" s="568"/>
      <c r="AU28" s="568"/>
      <c r="AV28" s="568"/>
      <c r="AW28" s="568"/>
      <c r="AX28" s="568"/>
      <c r="AY28" s="568"/>
    </row>
    <row r="29" s="118" customFormat="1" ht="25" customHeight="1" spans="1:51">
      <c r="A29" s="440">
        <v>46121</v>
      </c>
      <c r="B29" s="447" t="s">
        <v>555</v>
      </c>
      <c r="C29" s="144" t="s">
        <v>102</v>
      </c>
      <c r="D29" s="189" t="s">
        <v>692</v>
      </c>
      <c r="E29" s="189" t="s">
        <v>263</v>
      </c>
      <c r="F29" s="190">
        <v>3826164</v>
      </c>
      <c r="G29" s="147" t="s">
        <v>264</v>
      </c>
      <c r="H29" s="148">
        <v>12</v>
      </c>
      <c r="I29" s="192"/>
      <c r="J29" s="150"/>
      <c r="K29" s="144">
        <f t="shared" si="4"/>
        <v>46234</v>
      </c>
      <c r="L29" s="144">
        <f>VLOOKUP($F29,总排期!$F:$U,6,0)</f>
        <v>46248</v>
      </c>
      <c r="M29" s="187"/>
      <c r="N29" s="194"/>
      <c r="O29" s="187"/>
      <c r="P29" s="536">
        <f>VLOOKUP($F29,总排期!$F:$U,11,0)</f>
        <v>46234</v>
      </c>
      <c r="Q29" s="421"/>
      <c r="R29" s="421" t="s">
        <v>733</v>
      </c>
      <c r="S29" s="421"/>
      <c r="T29" s="421">
        <v>46251</v>
      </c>
      <c r="U29" s="537"/>
      <c r="V29" s="154">
        <f>VLOOKUP($F29,总排期!$F:$U,14,0)</f>
        <v>46210</v>
      </c>
      <c r="W29" s="154" t="str">
        <f>VLOOKUP($F29,总排期!$F:$U,15,0)</f>
        <v>7/3确认彩盒，7/10确认说明书</v>
      </c>
      <c r="X29" s="154" t="str">
        <f>VLOOKUP($F29,总排期!$F:$U,16,0)</f>
        <v>6/17确认箱唛，移印待确认</v>
      </c>
      <c r="Y29" s="177" t="s">
        <v>558</v>
      </c>
      <c r="Z29" s="177" t="s">
        <v>559</v>
      </c>
      <c r="AA29" s="443" t="s">
        <v>734</v>
      </c>
      <c r="AB29" s="157">
        <v>0</v>
      </c>
      <c r="AC29" s="158">
        <f t="shared" si="6"/>
        <v>0</v>
      </c>
      <c r="AD29" s="159">
        <f t="shared" si="7"/>
        <v>0</v>
      </c>
      <c r="AE29" s="444"/>
      <c r="AF29" s="164" t="s">
        <v>415</v>
      </c>
      <c r="AG29" s="162" t="s">
        <v>416</v>
      </c>
      <c r="AH29" s="176" t="s">
        <v>436</v>
      </c>
      <c r="AI29" s="164"/>
      <c r="AJ29" s="389"/>
      <c r="AK29" s="389"/>
      <c r="AL29" s="389"/>
      <c r="AM29" s="389"/>
      <c r="AN29" s="153">
        <f t="shared" si="5"/>
        <v>-12</v>
      </c>
      <c r="AO29" s="195"/>
      <c r="AP29" s="195"/>
      <c r="AQ29" s="389"/>
      <c r="AR29" s="389"/>
      <c r="AS29" s="176"/>
      <c r="AT29" s="176"/>
      <c r="AU29" s="176"/>
      <c r="AV29" s="176"/>
      <c r="AW29" s="176"/>
      <c r="AX29" s="176"/>
      <c r="AY29" s="176"/>
    </row>
    <row r="30" s="118" customFormat="1" ht="25" customHeight="1" spans="1:51">
      <c r="A30" s="440">
        <v>46111</v>
      </c>
      <c r="B30" s="447" t="s">
        <v>430</v>
      </c>
      <c r="C30" s="187" t="s">
        <v>93</v>
      </c>
      <c r="D30" s="189" t="s">
        <v>692</v>
      </c>
      <c r="E30" s="189" t="s">
        <v>247</v>
      </c>
      <c r="F30" s="190">
        <v>1326103</v>
      </c>
      <c r="G30" s="147" t="s">
        <v>248</v>
      </c>
      <c r="H30" s="148">
        <v>12</v>
      </c>
      <c r="I30" s="192"/>
      <c r="J30" s="150"/>
      <c r="K30" s="144">
        <f t="shared" si="4"/>
        <v>46237</v>
      </c>
      <c r="L30" s="144">
        <f>VLOOKUP($F30,总排期!$F:$U,6,0)</f>
        <v>46251</v>
      </c>
      <c r="M30" s="187"/>
      <c r="N30" s="194"/>
      <c r="O30" s="187"/>
      <c r="P30" s="187">
        <f>VLOOKUP($F30,总排期!$F:$U,11,0)</f>
        <v>46240</v>
      </c>
      <c r="Q30" s="569"/>
      <c r="R30" s="421" t="s">
        <v>735</v>
      </c>
      <c r="S30" s="421"/>
      <c r="T30" s="421">
        <v>46251</v>
      </c>
      <c r="U30" s="537"/>
      <c r="V30" s="154">
        <f>VLOOKUP($F30,总排期!$F:$U,14,0)</f>
        <v>46218</v>
      </c>
      <c r="W30" s="154" t="str">
        <f>VLOOKUP($F30,总排期!$F:$U,15,0)</f>
        <v>7/8确认包装</v>
      </c>
      <c r="X30" s="154" t="str">
        <f>VLOOKUP($F30,总排期!$F:$U,16,0)</f>
        <v>6/11确认移印，7/1确认箱唛</v>
      </c>
      <c r="Y30" s="177" t="s">
        <v>562</v>
      </c>
      <c r="Z30" s="177" t="s">
        <v>563</v>
      </c>
      <c r="AA30" s="443" t="s">
        <v>564</v>
      </c>
      <c r="AB30" s="197">
        <v>0</v>
      </c>
      <c r="AC30" s="158">
        <f t="shared" si="6"/>
        <v>0</v>
      </c>
      <c r="AD30" s="159">
        <f t="shared" si="7"/>
        <v>0</v>
      </c>
      <c r="AE30" s="444"/>
      <c r="AF30" s="389" t="s">
        <v>415</v>
      </c>
      <c r="AG30" s="162" t="s">
        <v>416</v>
      </c>
      <c r="AH30" s="176" t="s">
        <v>424</v>
      </c>
      <c r="AI30" s="176" t="s">
        <v>425</v>
      </c>
      <c r="AJ30" s="176"/>
      <c r="AK30" s="176"/>
      <c r="AL30" s="176"/>
      <c r="AM30" s="389">
        <v>6</v>
      </c>
      <c r="AN30" s="153">
        <f t="shared" si="5"/>
        <v>-6</v>
      </c>
      <c r="AO30" s="195"/>
      <c r="AP30" s="195"/>
      <c r="AQ30" s="389"/>
      <c r="AR30" s="389"/>
      <c r="AS30" s="176"/>
      <c r="AT30" s="176"/>
      <c r="AU30" s="176"/>
      <c r="AV30" s="176"/>
      <c r="AW30" s="176"/>
      <c r="AX30" s="176"/>
      <c r="AY30" s="176"/>
    </row>
    <row r="31" s="119" customFormat="1" ht="25" customHeight="1" spans="1:51">
      <c r="A31" s="504">
        <v>46111</v>
      </c>
      <c r="B31" s="570" t="s">
        <v>430</v>
      </c>
      <c r="C31" s="508" t="s">
        <v>93</v>
      </c>
      <c r="D31" s="505" t="s">
        <v>692</v>
      </c>
      <c r="E31" s="505" t="s">
        <v>247</v>
      </c>
      <c r="F31" s="524">
        <v>1326164</v>
      </c>
      <c r="G31" s="525" t="s">
        <v>250</v>
      </c>
      <c r="H31" s="233">
        <v>12</v>
      </c>
      <c r="I31" s="506"/>
      <c r="J31" s="235"/>
      <c r="K31" s="229">
        <f t="shared" si="4"/>
        <v>46239</v>
      </c>
      <c r="L31" s="229">
        <f>VLOOKUP($F31,总排期!$F:$U,6,0)</f>
        <v>46253</v>
      </c>
      <c r="M31" s="508"/>
      <c r="N31" s="509"/>
      <c r="O31" s="508"/>
      <c r="P31" s="508">
        <f>VLOOKUP($F31,总排期!$F:$U,11,0)</f>
        <v>46240</v>
      </c>
      <c r="Q31" s="508"/>
      <c r="R31" s="486" t="s">
        <v>736</v>
      </c>
      <c r="S31" s="486" t="s">
        <v>732</v>
      </c>
      <c r="T31" s="421">
        <v>46251</v>
      </c>
      <c r="U31" s="571"/>
      <c r="V31" s="239">
        <f>VLOOKUP($F31,总排期!$F:$U,14,0)</f>
        <v>46218</v>
      </c>
      <c r="W31" s="239" t="str">
        <f>VLOOKUP($F31,总排期!$F:$U,15,0)</f>
        <v>7/6确认彩盒，7/10确认说明书</v>
      </c>
      <c r="X31" s="239" t="str">
        <f>VLOOKUP($F31,总排期!$F:$U,16,0)</f>
        <v>6/11确认移印，7/1确认箱唛</v>
      </c>
      <c r="Y31" s="511" t="s">
        <v>562</v>
      </c>
      <c r="Z31" s="572" t="s">
        <v>586</v>
      </c>
      <c r="AA31" s="512" t="s">
        <v>587</v>
      </c>
      <c r="AB31" s="573">
        <v>0</v>
      </c>
      <c r="AC31" s="513">
        <f t="shared" si="6"/>
        <v>0</v>
      </c>
      <c r="AD31" s="514">
        <f t="shared" si="7"/>
        <v>0</v>
      </c>
      <c r="AE31" s="515"/>
      <c r="AF31" s="517" t="s">
        <v>415</v>
      </c>
      <c r="AG31" s="247" t="s">
        <v>416</v>
      </c>
      <c r="AH31" s="532" t="s">
        <v>436</v>
      </c>
      <c r="AI31" s="574"/>
      <c r="AJ31" s="510"/>
      <c r="AK31" s="510"/>
      <c r="AL31" s="510"/>
      <c r="AM31" s="510"/>
      <c r="AN31" s="130">
        <f t="shared" si="5"/>
        <v>-12</v>
      </c>
      <c r="AO31" s="216"/>
      <c r="AP31" s="216"/>
      <c r="AQ31" s="510"/>
      <c r="AR31" s="510"/>
      <c r="AS31" s="516"/>
      <c r="AT31" s="516"/>
      <c r="AU31" s="516"/>
      <c r="AV31" s="516"/>
      <c r="AW31" s="516"/>
      <c r="AX31" s="516"/>
      <c r="AY31" s="516"/>
    </row>
    <row r="32" s="118" customFormat="1" ht="25" customHeight="1" spans="1:51">
      <c r="A32" s="440">
        <v>46111</v>
      </c>
      <c r="B32" s="447" t="s">
        <v>430</v>
      </c>
      <c r="C32" s="144" t="s">
        <v>93</v>
      </c>
      <c r="D32" s="189" t="s">
        <v>106</v>
      </c>
      <c r="E32" s="189" t="s">
        <v>247</v>
      </c>
      <c r="F32" s="190">
        <v>1326110</v>
      </c>
      <c r="G32" s="147" t="s">
        <v>249</v>
      </c>
      <c r="H32" s="148">
        <v>12</v>
      </c>
      <c r="I32" s="192"/>
      <c r="J32" s="150"/>
      <c r="K32" s="144">
        <f t="shared" si="4"/>
        <v>46237</v>
      </c>
      <c r="L32" s="144">
        <f>VLOOKUP($F32,总排期!$F:$U,6,0)</f>
        <v>46251</v>
      </c>
      <c r="M32" s="187"/>
      <c r="N32" s="194"/>
      <c r="O32" s="187"/>
      <c r="P32" s="187">
        <f>VLOOKUP($F32,总排期!$F:$U,11,0)</f>
        <v>46240</v>
      </c>
      <c r="Q32" s="187"/>
      <c r="R32" s="187" t="s">
        <v>737</v>
      </c>
      <c r="S32" s="187"/>
      <c r="T32" s="569"/>
      <c r="U32" s="389"/>
      <c r="V32" s="154">
        <f>VLOOKUP($F32,总排期!$F:$U,14,0)</f>
        <v>46213</v>
      </c>
      <c r="W32" s="154" t="str">
        <f>VLOOKUP($F32,总排期!$F:$U,15,0)</f>
        <v>6/25确认文档</v>
      </c>
      <c r="X32" s="154" t="str">
        <f>VLOOKUP($F32,总排期!$F:$U,16,0)</f>
        <v>6/11确认移印，7/1确认箱唛</v>
      </c>
      <c r="Y32" s="177" t="s">
        <v>562</v>
      </c>
      <c r="Z32" s="167" t="s">
        <v>574</v>
      </c>
      <c r="AA32" s="443" t="s">
        <v>575</v>
      </c>
      <c r="AB32" s="197">
        <v>0</v>
      </c>
      <c r="AC32" s="158">
        <f t="shared" si="6"/>
        <v>0</v>
      </c>
      <c r="AD32" s="159">
        <f t="shared" si="7"/>
        <v>0</v>
      </c>
      <c r="AE32" s="444"/>
      <c r="AF32" s="389" t="s">
        <v>415</v>
      </c>
      <c r="AG32" s="162" t="s">
        <v>416</v>
      </c>
      <c r="AH32" s="176" t="s">
        <v>424</v>
      </c>
      <c r="AI32" s="164"/>
      <c r="AJ32" s="389"/>
      <c r="AK32" s="389"/>
      <c r="AL32" s="389"/>
      <c r="AM32" s="389"/>
      <c r="AN32" s="153">
        <f t="shared" si="5"/>
        <v>-12</v>
      </c>
      <c r="AO32" s="195"/>
      <c r="AP32" s="195"/>
      <c r="AQ32" s="389"/>
      <c r="AR32" s="389"/>
      <c r="AS32" s="176"/>
      <c r="AT32" s="176"/>
      <c r="AU32" s="176"/>
      <c r="AV32" s="176"/>
      <c r="AW32" s="176"/>
      <c r="AX32" s="176"/>
      <c r="AY32" s="176"/>
    </row>
    <row r="33" s="118" customFormat="1" ht="25" customHeight="1" spans="1:51">
      <c r="A33" s="440">
        <v>46121</v>
      </c>
      <c r="B33" s="447" t="s">
        <v>576</v>
      </c>
      <c r="C33" s="144" t="s">
        <v>268</v>
      </c>
      <c r="D33" s="189" t="s">
        <v>692</v>
      </c>
      <c r="E33" s="189" t="s">
        <v>269</v>
      </c>
      <c r="F33" s="190">
        <v>3626164</v>
      </c>
      <c r="G33" s="147" t="s">
        <v>271</v>
      </c>
      <c r="H33" s="169">
        <v>6</v>
      </c>
      <c r="I33" s="441"/>
      <c r="J33" s="150"/>
      <c r="K33" s="144">
        <f t="shared" si="4"/>
        <v>46240</v>
      </c>
      <c r="L33" s="144">
        <f>VLOOKUP($F33,总排期!$F:$U,6,0)</f>
        <v>46254</v>
      </c>
      <c r="M33" s="187"/>
      <c r="N33" s="194"/>
      <c r="O33" s="187"/>
      <c r="P33" s="187">
        <f>VLOOKUP($F33,总排期!$F:$U,11,0)</f>
        <v>46234</v>
      </c>
      <c r="Q33" s="187"/>
      <c r="R33" s="187" t="s">
        <v>738</v>
      </c>
      <c r="S33" s="187"/>
      <c r="T33" s="575">
        <v>46251</v>
      </c>
      <c r="U33" s="389"/>
      <c r="V33" s="154">
        <f>VLOOKUP($F33,总排期!$F:$U,14,0)</f>
        <v>46218</v>
      </c>
      <c r="W33" s="154" t="str">
        <f>VLOOKUP($F33,总排期!$F:$U,15,0)</f>
        <v>7/6确认彩盒，7/13确认说明书</v>
      </c>
      <c r="X33" s="154" t="str">
        <f>VLOOKUP($F33,总排期!$F:$U,16,0)</f>
        <v>移印待确认，5/8箱唛确认</v>
      </c>
      <c r="Y33" s="177" t="s">
        <v>579</v>
      </c>
      <c r="Z33" s="170" t="s">
        <v>590</v>
      </c>
      <c r="AA33" s="443" t="s">
        <v>591</v>
      </c>
      <c r="AB33" s="157">
        <v>0</v>
      </c>
      <c r="AC33" s="158">
        <f t="shared" si="6"/>
        <v>0</v>
      </c>
      <c r="AD33" s="159">
        <f t="shared" si="7"/>
        <v>0</v>
      </c>
      <c r="AE33" s="444"/>
      <c r="AF33" s="389" t="s">
        <v>415</v>
      </c>
      <c r="AG33" s="162" t="s">
        <v>416</v>
      </c>
      <c r="AH33" s="176" t="s">
        <v>436</v>
      </c>
      <c r="AI33" s="164"/>
      <c r="AJ33" s="389"/>
      <c r="AK33" s="389"/>
      <c r="AL33" s="389"/>
      <c r="AM33" s="389"/>
      <c r="AN33" s="153">
        <f t="shared" si="5"/>
        <v>-6</v>
      </c>
      <c r="AO33" s="195"/>
      <c r="AP33" s="195"/>
      <c r="AQ33" s="389"/>
      <c r="AR33" s="389"/>
      <c r="AS33" s="176"/>
      <c r="AT33" s="176"/>
      <c r="AU33" s="176"/>
      <c r="AV33" s="176"/>
      <c r="AW33" s="176"/>
      <c r="AX33" s="176"/>
      <c r="AY33" s="176"/>
    </row>
    <row r="34" s="118" customFormat="1" ht="25" customHeight="1" spans="1:51">
      <c r="A34" s="440">
        <v>46151</v>
      </c>
      <c r="B34" s="189" t="s">
        <v>519</v>
      </c>
      <c r="C34" s="145" t="s">
        <v>152</v>
      </c>
      <c r="D34" s="189" t="s">
        <v>692</v>
      </c>
      <c r="E34" s="189" t="s">
        <v>288</v>
      </c>
      <c r="F34" s="192">
        <v>1226156</v>
      </c>
      <c r="G34" s="147" t="s">
        <v>289</v>
      </c>
      <c r="H34" s="148">
        <v>12</v>
      </c>
      <c r="I34" s="192"/>
      <c r="J34" s="150"/>
      <c r="K34" s="144">
        <f t="shared" si="4"/>
        <v>46237</v>
      </c>
      <c r="L34" s="144">
        <f>VLOOKUP($F34,总排期!$F:$U,6,0)</f>
        <v>46251</v>
      </c>
      <c r="M34" s="187"/>
      <c r="N34" s="194"/>
      <c r="O34" s="187"/>
      <c r="P34" s="187">
        <f>VLOOKUP($F34,总排期!$F:$U,11,0)</f>
        <v>46248</v>
      </c>
      <c r="Q34" s="187"/>
      <c r="R34" s="187" t="s">
        <v>739</v>
      </c>
      <c r="S34" s="187"/>
      <c r="T34" s="187"/>
      <c r="U34" s="389"/>
      <c r="V34" s="154">
        <f>VLOOKUP($F34,总排期!$F:$U,14,0)</f>
        <v>46210</v>
      </c>
      <c r="W34" s="154" t="str">
        <f>VLOOKUP($F34,总排期!$F:$U,15,0)</f>
        <v>6/23确认文档</v>
      </c>
      <c r="X34" s="154" t="str">
        <f>VLOOKUP($F34,总排期!$F:$U,16,0)</f>
        <v>6/22确认箱唛，6/25确认移印</v>
      </c>
      <c r="Y34" s="177" t="s">
        <v>522</v>
      </c>
      <c r="Z34" s="167" t="s">
        <v>572</v>
      </c>
      <c r="AA34" s="443" t="s">
        <v>524</v>
      </c>
      <c r="AB34" s="197">
        <v>0</v>
      </c>
      <c r="AC34" s="158">
        <f t="shared" si="6"/>
        <v>0</v>
      </c>
      <c r="AD34" s="159">
        <f t="shared" si="7"/>
        <v>0</v>
      </c>
      <c r="AE34" s="444"/>
      <c r="AF34" s="389"/>
      <c r="AG34" s="162" t="s">
        <v>416</v>
      </c>
      <c r="AH34" s="176" t="s">
        <v>436</v>
      </c>
      <c r="AI34" s="389"/>
      <c r="AJ34" s="389"/>
      <c r="AK34" s="389"/>
      <c r="AL34" s="389"/>
      <c r="AM34" s="389"/>
      <c r="AN34" s="153">
        <f t="shared" si="5"/>
        <v>-12</v>
      </c>
      <c r="AO34" s="195"/>
      <c r="AP34" s="195"/>
      <c r="AQ34" s="389"/>
      <c r="AR34" s="389"/>
      <c r="AS34" s="176"/>
      <c r="AT34" s="176"/>
      <c r="AU34" s="176"/>
      <c r="AV34" s="176"/>
      <c r="AW34" s="176"/>
      <c r="AX34" s="176"/>
      <c r="AY34" s="176"/>
    </row>
    <row r="35" s="119" customFormat="1" ht="25" customHeight="1" spans="1:51">
      <c r="A35" s="504">
        <v>46148</v>
      </c>
      <c r="B35" s="505" t="s">
        <v>418</v>
      </c>
      <c r="C35" s="230" t="s">
        <v>105</v>
      </c>
      <c r="D35" s="505" t="s">
        <v>692</v>
      </c>
      <c r="E35" s="505" t="s">
        <v>285</v>
      </c>
      <c r="F35" s="524">
        <v>3226156</v>
      </c>
      <c r="G35" s="525" t="s">
        <v>286</v>
      </c>
      <c r="H35" s="233">
        <v>12</v>
      </c>
      <c r="I35" s="506"/>
      <c r="J35" s="235"/>
      <c r="K35" s="229" t="e">
        <f t="shared" si="4"/>
        <v>#VALUE!</v>
      </c>
      <c r="L35" s="229" t="str">
        <f>VLOOKUP($F35,总排期!$F:$U,6,0)</f>
        <v>待复</v>
      </c>
      <c r="M35" s="508"/>
      <c r="N35" s="509"/>
      <c r="O35" s="508"/>
      <c r="P35" s="508">
        <f>VLOOKUP($F35,总排期!$F:$U,11,0)</f>
        <v>46249</v>
      </c>
      <c r="Q35" s="508"/>
      <c r="R35" s="508"/>
      <c r="S35" s="508"/>
      <c r="T35" s="508"/>
      <c r="U35" s="510"/>
      <c r="V35" s="239">
        <f>VLOOKUP($F35,总排期!$F:$U,14,0)</f>
        <v>46213</v>
      </c>
      <c r="W35" s="239" t="str">
        <f>VLOOKUP($F35,总排期!$F:$U,15,0)</f>
        <v>欠</v>
      </c>
      <c r="X35" s="239" t="str">
        <f>VLOOKUP($F35,总排期!$F:$U,16,0)</f>
        <v>6/3确认移印箱唛</v>
      </c>
      <c r="Y35" s="511" t="s">
        <v>507</v>
      </c>
      <c r="Z35" s="572" t="s">
        <v>677</v>
      </c>
      <c r="AA35" s="512" t="s">
        <v>423</v>
      </c>
      <c r="AB35" s="242">
        <v>0</v>
      </c>
      <c r="AC35" s="513">
        <f t="shared" si="6"/>
        <v>0</v>
      </c>
      <c r="AD35" s="514">
        <f t="shared" si="7"/>
        <v>0</v>
      </c>
      <c r="AE35" s="515"/>
      <c r="AF35" s="517"/>
      <c r="AG35" s="247" t="s">
        <v>416</v>
      </c>
      <c r="AH35" s="532" t="s">
        <v>436</v>
      </c>
      <c r="AI35" s="510"/>
      <c r="AJ35" s="510"/>
      <c r="AK35" s="510"/>
      <c r="AL35" s="510"/>
      <c r="AM35" s="510"/>
      <c r="AN35" s="216">
        <f t="shared" si="5"/>
        <v>-12</v>
      </c>
      <c r="AO35" s="216"/>
      <c r="AP35" s="216"/>
      <c r="AQ35" s="510"/>
      <c r="AR35" s="510"/>
      <c r="AS35" s="516"/>
      <c r="AT35" s="516"/>
      <c r="AU35" s="516"/>
      <c r="AV35" s="516"/>
      <c r="AW35" s="516"/>
      <c r="AX35" s="516"/>
      <c r="AY35" s="516"/>
    </row>
    <row r="36" s="119" customFormat="1" ht="25" customHeight="1" spans="1:51">
      <c r="A36" s="504">
        <v>46189</v>
      </c>
      <c r="B36" s="505" t="s">
        <v>592</v>
      </c>
      <c r="C36" s="419" t="s">
        <v>109</v>
      </c>
      <c r="D36" s="505" t="s">
        <v>692</v>
      </c>
      <c r="E36" s="480" t="s">
        <v>324</v>
      </c>
      <c r="F36" s="481" t="s">
        <v>27</v>
      </c>
      <c r="G36" s="525" t="s">
        <v>325</v>
      </c>
      <c r="H36" s="233">
        <v>6</v>
      </c>
      <c r="I36" s="506"/>
      <c r="J36" s="235"/>
      <c r="K36" s="229">
        <f t="shared" si="4"/>
        <v>46240</v>
      </c>
      <c r="L36" s="229">
        <f>VLOOKUP($F36,总排期!$F:$U,6,0)</f>
        <v>46254</v>
      </c>
      <c r="M36" s="508"/>
      <c r="N36" s="509"/>
      <c r="O36" s="508"/>
      <c r="P36" s="508">
        <f>VLOOKUP($F36,总排期!$F:$U,11,0)</f>
        <v>46251</v>
      </c>
      <c r="Q36" s="508"/>
      <c r="R36" s="508"/>
      <c r="S36" s="508"/>
      <c r="T36" s="508"/>
      <c r="U36" s="510"/>
      <c r="V36" s="239">
        <f>VLOOKUP($F36,总排期!$F:$U,14,0)</f>
        <v>46208</v>
      </c>
      <c r="W36" s="239" t="str">
        <f>VLOOKUP($F36,总排期!$F:$U,15,0)</f>
        <v>7/15确认包装</v>
      </c>
      <c r="X36" s="239" t="str">
        <f>VLOOKUP($F36,总排期!$F:$U,16,0)</f>
        <v>7/24确认箱唛，7/13确认移印，7/27确认邮包盒唛头</v>
      </c>
      <c r="Y36" s="511"/>
      <c r="Z36" s="576" t="s">
        <v>596</v>
      </c>
      <c r="AA36" s="491" t="s">
        <v>597</v>
      </c>
      <c r="AB36" s="242">
        <v>0</v>
      </c>
      <c r="AC36" s="513">
        <f t="shared" si="6"/>
        <v>0</v>
      </c>
      <c r="AD36" s="514">
        <f t="shared" si="7"/>
        <v>0</v>
      </c>
      <c r="AE36" s="515"/>
      <c r="AF36" s="498" t="s">
        <v>415</v>
      </c>
      <c r="AG36" s="247" t="s">
        <v>416</v>
      </c>
      <c r="AH36" s="516" t="s">
        <v>424</v>
      </c>
      <c r="AI36" s="248" t="s">
        <v>425</v>
      </c>
      <c r="AJ36" s="532"/>
      <c r="AK36" s="532"/>
      <c r="AL36" s="532"/>
      <c r="AM36" s="510"/>
      <c r="AN36" s="216">
        <f t="shared" si="5"/>
        <v>-6</v>
      </c>
      <c r="AO36" s="510"/>
      <c r="AP36" s="510"/>
      <c r="AQ36" s="510"/>
      <c r="AR36" s="510"/>
      <c r="AS36" s="516"/>
      <c r="AT36" s="516"/>
      <c r="AU36" s="516"/>
      <c r="AV36" s="516"/>
      <c r="AW36" s="516"/>
      <c r="AX36" s="516"/>
      <c r="AY36" s="516"/>
    </row>
    <row r="37" s="397" customFormat="1" ht="25" customHeight="1" spans="1:51">
      <c r="A37" s="548">
        <v>46189</v>
      </c>
      <c r="B37" s="551" t="s">
        <v>592</v>
      </c>
      <c r="C37" s="577" t="s">
        <v>109</v>
      </c>
      <c r="D37" s="505" t="s">
        <v>692</v>
      </c>
      <c r="E37" s="578" t="s">
        <v>324</v>
      </c>
      <c r="F37" s="553" t="s">
        <v>28</v>
      </c>
      <c r="G37" s="553" t="s">
        <v>326</v>
      </c>
      <c r="H37" s="579">
        <v>6</v>
      </c>
      <c r="I37" s="552"/>
      <c r="J37" s="555"/>
      <c r="K37" s="229">
        <f t="shared" si="4"/>
        <v>46240</v>
      </c>
      <c r="L37" s="229">
        <f>VLOOKUP($F37,总排期!$F:$U,6,0)</f>
        <v>46254</v>
      </c>
      <c r="M37" s="528"/>
      <c r="N37" s="556"/>
      <c r="O37" s="528"/>
      <c r="P37" s="527">
        <f>VLOOKUP($F37,总排期!$F:$U,11,0)</f>
        <v>46251</v>
      </c>
      <c r="Q37" s="528"/>
      <c r="R37" s="528"/>
      <c r="S37" s="528"/>
      <c r="T37" s="528"/>
      <c r="U37" s="557"/>
      <c r="V37" s="239">
        <f>VLOOKUP($F37,总排期!$F:$U,14,0)</f>
        <v>46208</v>
      </c>
      <c r="W37" s="239" t="str">
        <f>VLOOKUP($F37,总排期!$F:$U,15,0)</f>
        <v>7/15确认包装</v>
      </c>
      <c r="X37" s="239" t="str">
        <f>VLOOKUP($F37,总排期!$F:$U,16,0)</f>
        <v>7/24确认箱唛，7/13确认移印，7/27确认邮包盒唛头</v>
      </c>
      <c r="Y37" s="558"/>
      <c r="Z37" s="580" t="s">
        <v>598</v>
      </c>
      <c r="AA37" s="581" t="s">
        <v>597</v>
      </c>
      <c r="AB37" s="561">
        <v>0</v>
      </c>
      <c r="AC37" s="562">
        <f t="shared" si="6"/>
        <v>0</v>
      </c>
      <c r="AD37" s="563">
        <f t="shared" si="7"/>
        <v>0</v>
      </c>
      <c r="AE37" s="564"/>
      <c r="AF37" s="565" t="s">
        <v>415</v>
      </c>
      <c r="AG37" s="566" t="s">
        <v>416</v>
      </c>
      <c r="AH37" s="568" t="s">
        <v>424</v>
      </c>
      <c r="AI37" s="565" t="s">
        <v>425</v>
      </c>
      <c r="AJ37" s="565"/>
      <c r="AK37" s="565"/>
      <c r="AL37" s="565"/>
      <c r="AM37" s="398"/>
      <c r="AN37" s="567">
        <f t="shared" si="5"/>
        <v>-6</v>
      </c>
      <c r="AO37" s="398"/>
      <c r="AP37" s="398"/>
      <c r="AQ37" s="398"/>
      <c r="AR37" s="398"/>
      <c r="AS37" s="568"/>
      <c r="AT37" s="568"/>
      <c r="AU37" s="568"/>
      <c r="AV37" s="568"/>
      <c r="AW37" s="568"/>
      <c r="AX37" s="568"/>
      <c r="AY37" s="568"/>
    </row>
    <row r="38" s="119" customFormat="1" ht="25" customHeight="1" spans="1:51">
      <c r="A38" s="504">
        <v>46189</v>
      </c>
      <c r="B38" s="505" t="s">
        <v>592</v>
      </c>
      <c r="C38" s="419" t="s">
        <v>109</v>
      </c>
      <c r="D38" s="505" t="s">
        <v>692</v>
      </c>
      <c r="E38" s="480" t="s">
        <v>324</v>
      </c>
      <c r="F38" s="481" t="s">
        <v>32</v>
      </c>
      <c r="G38" s="525" t="s">
        <v>33</v>
      </c>
      <c r="H38" s="233">
        <v>6</v>
      </c>
      <c r="I38" s="506"/>
      <c r="J38" s="235"/>
      <c r="K38" s="229">
        <f t="shared" si="4"/>
        <v>46240</v>
      </c>
      <c r="L38" s="229">
        <f>VLOOKUP($F38,总排期!$F:$U,6,0)</f>
        <v>46254</v>
      </c>
      <c r="M38" s="508"/>
      <c r="N38" s="509"/>
      <c r="O38" s="508"/>
      <c r="P38" s="527">
        <f>VLOOKUP($F38,总排期!$F:$U,11,0)</f>
        <v>46251</v>
      </c>
      <c r="Q38" s="528"/>
      <c r="R38" s="528"/>
      <c r="S38" s="528"/>
      <c r="T38" s="528"/>
      <c r="U38" s="571"/>
      <c r="V38" s="239">
        <f>VLOOKUP($F38,总排期!$F:$U,14,0)</f>
        <v>46208</v>
      </c>
      <c r="W38" s="239" t="str">
        <f>VLOOKUP($F38,总排期!$F:$U,15,0)</f>
        <v>说明书翻单26031303，彩盒7/15更新</v>
      </c>
      <c r="X38" s="239" t="str">
        <f>VLOOKUP($F38,总排期!$F:$U,16,0)</f>
        <v>7/24确认箱唛，7/13确认移印，7/27确认邮包盒唛头</v>
      </c>
      <c r="Y38" s="511"/>
      <c r="Z38" s="576" t="s">
        <v>606</v>
      </c>
      <c r="AA38" s="491" t="s">
        <v>601</v>
      </c>
      <c r="AB38" s="242">
        <v>0</v>
      </c>
      <c r="AC38" s="513">
        <f t="shared" si="6"/>
        <v>0</v>
      </c>
      <c r="AD38" s="514">
        <f t="shared" si="7"/>
        <v>0</v>
      </c>
      <c r="AE38" s="515"/>
      <c r="AF38" s="498" t="s">
        <v>415</v>
      </c>
      <c r="AG38" s="247" t="s">
        <v>416</v>
      </c>
      <c r="AH38" s="582" t="s">
        <v>424</v>
      </c>
      <c r="AI38" s="583" t="s">
        <v>425</v>
      </c>
      <c r="AJ38" s="498"/>
      <c r="AK38" s="498"/>
      <c r="AL38" s="498"/>
      <c r="AM38" s="510"/>
      <c r="AN38" s="216">
        <f t="shared" si="5"/>
        <v>-6</v>
      </c>
      <c r="AO38" s="510"/>
      <c r="AP38" s="510"/>
      <c r="AQ38" s="510"/>
      <c r="AR38" s="510"/>
      <c r="AS38" s="516"/>
      <c r="AT38" s="516"/>
      <c r="AU38" s="516"/>
      <c r="AV38" s="516"/>
      <c r="AW38" s="516"/>
      <c r="AX38" s="516"/>
      <c r="AY38" s="516"/>
    </row>
    <row r="39" s="119" customFormat="1" ht="25" customHeight="1" spans="1:51">
      <c r="A39" s="504">
        <v>46189</v>
      </c>
      <c r="B39" s="505" t="s">
        <v>592</v>
      </c>
      <c r="C39" s="419" t="s">
        <v>109</v>
      </c>
      <c r="D39" s="505" t="s">
        <v>692</v>
      </c>
      <c r="E39" s="480" t="s">
        <v>324</v>
      </c>
      <c r="F39" s="481" t="s">
        <v>34</v>
      </c>
      <c r="G39" s="525" t="s">
        <v>327</v>
      </c>
      <c r="H39" s="233">
        <v>6</v>
      </c>
      <c r="I39" s="506"/>
      <c r="J39" s="235"/>
      <c r="K39" s="229">
        <f t="shared" si="4"/>
        <v>46240</v>
      </c>
      <c r="L39" s="229">
        <f>VLOOKUP($F39,总排期!$F:$U,6,0)</f>
        <v>46254</v>
      </c>
      <c r="M39" s="508"/>
      <c r="N39" s="509"/>
      <c r="O39" s="508"/>
      <c r="P39" s="508">
        <f>VLOOKUP($F39,总排期!$F:$U,11,0)</f>
        <v>46251</v>
      </c>
      <c r="Q39" s="584"/>
      <c r="R39" s="584"/>
      <c r="S39" s="584"/>
      <c r="T39" s="584"/>
      <c r="U39" s="510"/>
      <c r="V39" s="239">
        <f>VLOOKUP($F39,总排期!$F:$U,14,0)</f>
        <v>46208</v>
      </c>
      <c r="W39" s="239" t="str">
        <f>VLOOKUP($F39,总排期!$F:$U,15,0)</f>
        <v>7/15确认包装</v>
      </c>
      <c r="X39" s="239" t="str">
        <f>VLOOKUP($F39,总排期!$F:$U,16,0)</f>
        <v>7/24确认箱唛，7/13确认移印，7/27确认邮包盒唛头</v>
      </c>
      <c r="Y39" s="511"/>
      <c r="Z39" s="576" t="s">
        <v>607</v>
      </c>
      <c r="AA39" s="491" t="s">
        <v>597</v>
      </c>
      <c r="AB39" s="242">
        <v>0</v>
      </c>
      <c r="AC39" s="513">
        <f t="shared" si="6"/>
        <v>0</v>
      </c>
      <c r="AD39" s="514">
        <f t="shared" si="7"/>
        <v>0</v>
      </c>
      <c r="AE39" s="515"/>
      <c r="AF39" s="498" t="s">
        <v>415</v>
      </c>
      <c r="AG39" s="247" t="s">
        <v>416</v>
      </c>
      <c r="AH39" s="516" t="s">
        <v>424</v>
      </c>
      <c r="AI39" s="532" t="s">
        <v>425</v>
      </c>
      <c r="AJ39" s="532"/>
      <c r="AK39" s="532"/>
      <c r="AL39" s="532"/>
      <c r="AM39" s="510"/>
      <c r="AN39" s="216">
        <f t="shared" si="5"/>
        <v>-6</v>
      </c>
      <c r="AO39" s="510"/>
      <c r="AP39" s="510"/>
      <c r="AQ39" s="510"/>
      <c r="AR39" s="510"/>
      <c r="AS39" s="516"/>
      <c r="AT39" s="516"/>
      <c r="AU39" s="516"/>
      <c r="AV39" s="516"/>
      <c r="AW39" s="516"/>
      <c r="AX39" s="516"/>
      <c r="AY39" s="516"/>
    </row>
    <row r="40" s="119" customFormat="1" ht="25" customHeight="1" spans="1:51">
      <c r="A40" s="504">
        <v>46189</v>
      </c>
      <c r="B40" s="505" t="s">
        <v>592</v>
      </c>
      <c r="C40" s="419" t="s">
        <v>109</v>
      </c>
      <c r="D40" s="505" t="s">
        <v>692</v>
      </c>
      <c r="E40" s="480" t="s">
        <v>324</v>
      </c>
      <c r="F40" s="481" t="s">
        <v>332</v>
      </c>
      <c r="G40" s="525" t="s">
        <v>328</v>
      </c>
      <c r="H40" s="233">
        <v>6</v>
      </c>
      <c r="I40" s="506"/>
      <c r="J40" s="235"/>
      <c r="K40" s="229">
        <f t="shared" si="4"/>
        <v>46240</v>
      </c>
      <c r="L40" s="229">
        <f>VLOOKUP($F40,总排期!$F:$U,6,0)</f>
        <v>46254</v>
      </c>
      <c r="M40" s="508"/>
      <c r="N40" s="509"/>
      <c r="O40" s="508"/>
      <c r="P40" s="508">
        <f>VLOOKUP($F40,总排期!$F:$U,11,0)</f>
        <v>46251</v>
      </c>
      <c r="Q40" s="508"/>
      <c r="R40" s="477"/>
      <c r="S40" s="508"/>
      <c r="T40" s="508"/>
      <c r="U40" s="510"/>
      <c r="V40" s="239">
        <f>VLOOKUP($F40,总排期!$F:$U,14,0)</f>
        <v>46208</v>
      </c>
      <c r="W40" s="239" t="str">
        <f>VLOOKUP($F40,总排期!$F:$U,15,0)</f>
        <v>7/15确认包装</v>
      </c>
      <c r="X40" s="239" t="str">
        <f>VLOOKUP($F40,总排期!$F:$U,16,0)</f>
        <v>7/24确认箱唛，7/13确认移印，7/27确认邮包盒唛头</v>
      </c>
      <c r="Y40" s="511"/>
      <c r="Z40" s="576" t="s">
        <v>603</v>
      </c>
      <c r="AA40" s="491" t="s">
        <v>604</v>
      </c>
      <c r="AB40" s="242">
        <v>0</v>
      </c>
      <c r="AC40" s="513">
        <f t="shared" si="6"/>
        <v>0</v>
      </c>
      <c r="AD40" s="514">
        <f t="shared" si="7"/>
        <v>0</v>
      </c>
      <c r="AE40" s="515"/>
      <c r="AF40" s="498" t="s">
        <v>415</v>
      </c>
      <c r="AG40" s="247" t="s">
        <v>416</v>
      </c>
      <c r="AH40" s="516" t="s">
        <v>424</v>
      </c>
      <c r="AI40" s="517" t="s">
        <v>425</v>
      </c>
      <c r="AJ40" s="517"/>
      <c r="AK40" s="517"/>
      <c r="AL40" s="517"/>
      <c r="AM40" s="510"/>
      <c r="AN40" s="216">
        <f t="shared" si="5"/>
        <v>-6</v>
      </c>
      <c r="AO40" s="510"/>
      <c r="AP40" s="510"/>
      <c r="AQ40" s="510"/>
      <c r="AR40" s="510"/>
      <c r="AS40" s="516"/>
      <c r="AT40" s="516"/>
      <c r="AU40" s="516"/>
      <c r="AV40" s="516"/>
      <c r="AW40" s="516"/>
      <c r="AX40" s="516"/>
      <c r="AY40" s="516"/>
    </row>
    <row r="41" s="398" customFormat="1" customHeight="1" spans="1:51">
      <c r="A41" s="585"/>
      <c r="B41" s="565"/>
      <c r="C41" s="565"/>
      <c r="E41" s="498"/>
      <c r="F41" s="586"/>
      <c r="G41" s="587"/>
      <c r="H41" s="588"/>
      <c r="I41" s="589"/>
      <c r="J41" s="590"/>
      <c r="K41" s="237"/>
      <c r="L41" s="237"/>
      <c r="P41" s="237"/>
      <c r="Q41" s="237"/>
      <c r="V41" s="591"/>
      <c r="X41" s="568"/>
      <c r="Y41" s="568"/>
      <c r="Z41" s="592"/>
      <c r="AA41" s="592"/>
      <c r="AB41" s="593"/>
      <c r="AC41" s="594"/>
      <c r="AD41" s="595"/>
      <c r="AE41" s="596"/>
      <c r="AG41" s="568"/>
      <c r="AH41" s="568"/>
      <c r="AS41" s="568"/>
      <c r="AT41" s="568"/>
      <c r="AU41" s="568"/>
      <c r="AV41" s="568"/>
      <c r="AW41" s="568"/>
      <c r="AX41" s="568"/>
      <c r="AY41" s="568"/>
    </row>
    <row r="42" s="398" customFormat="1" customHeight="1" spans="1:51">
      <c r="A42" s="585"/>
      <c r="B42" s="565"/>
      <c r="C42" s="565"/>
      <c r="E42" s="498"/>
      <c r="F42" s="586"/>
      <c r="G42" s="587"/>
      <c r="H42" s="588"/>
      <c r="I42" s="589"/>
      <c r="J42" s="590"/>
      <c r="K42" s="237"/>
      <c r="L42" s="237"/>
      <c r="P42" s="237"/>
      <c r="Q42" s="237"/>
      <c r="V42" s="591"/>
      <c r="X42" s="568"/>
      <c r="Y42" s="568"/>
      <c r="Z42" s="592"/>
      <c r="AA42" s="592"/>
      <c r="AB42" s="593"/>
      <c r="AC42" s="594"/>
      <c r="AD42" s="595"/>
      <c r="AE42" s="596"/>
      <c r="AG42" s="568"/>
      <c r="AH42" s="568"/>
      <c r="AS42" s="568"/>
      <c r="AT42" s="568"/>
      <c r="AU42" s="568"/>
      <c r="AV42" s="568"/>
      <c r="AW42" s="568"/>
      <c r="AX42" s="568"/>
      <c r="AY42" s="568"/>
    </row>
    <row r="43" s="398" customFormat="1" customHeight="1" spans="1:51">
      <c r="A43" s="585"/>
      <c r="B43" s="565"/>
      <c r="C43" s="565"/>
      <c r="E43" s="498"/>
      <c r="F43" s="586"/>
      <c r="G43" s="587"/>
      <c r="H43" s="588"/>
      <c r="I43" s="589"/>
      <c r="J43" s="590"/>
      <c r="K43" s="237"/>
      <c r="L43" s="237"/>
      <c r="P43" s="237"/>
      <c r="Q43" s="237"/>
      <c r="V43" s="591"/>
      <c r="X43" s="568"/>
      <c r="Y43" s="568"/>
      <c r="Z43" s="592"/>
      <c r="AA43" s="592"/>
      <c r="AB43" s="593"/>
      <c r="AC43" s="594"/>
      <c r="AD43" s="595"/>
      <c r="AE43" s="596"/>
      <c r="AG43" s="568"/>
      <c r="AH43" s="568"/>
      <c r="AS43" s="568"/>
      <c r="AT43" s="568"/>
      <c r="AU43" s="568"/>
      <c r="AV43" s="568"/>
      <c r="AW43" s="568"/>
      <c r="AX43" s="568"/>
      <c r="AY43" s="568"/>
    </row>
    <row r="44" s="397" customFormat="1" ht="25" customHeight="1" spans="1:51">
      <c r="A44" s="597"/>
      <c r="B44" s="598"/>
      <c r="C44" s="528"/>
      <c r="D44" s="551"/>
      <c r="E44" s="551"/>
      <c r="F44" s="599"/>
      <c r="G44" s="600"/>
      <c r="H44" s="579"/>
      <c r="I44" s="552"/>
      <c r="J44" s="600"/>
      <c r="K44" s="528"/>
      <c r="L44" s="528"/>
      <c r="M44" s="528"/>
      <c r="N44" s="556"/>
      <c r="O44" s="528"/>
      <c r="P44" s="528"/>
      <c r="Q44" s="528"/>
      <c r="R44" s="528"/>
      <c r="S44" s="528"/>
      <c r="T44" s="528"/>
      <c r="U44" s="601"/>
      <c r="V44" s="602"/>
      <c r="W44" s="603"/>
      <c r="X44" s="550"/>
      <c r="Y44" s="604"/>
      <c r="Z44" s="604"/>
      <c r="AA44" s="604"/>
      <c r="AB44" s="561"/>
      <c r="AC44" s="562"/>
      <c r="AD44" s="605"/>
      <c r="AE44" s="564"/>
      <c r="AF44" s="606"/>
      <c r="AG44" s="607"/>
      <c r="AH44" s="607"/>
      <c r="AI44" s="606"/>
      <c r="AJ44" s="606"/>
      <c r="AK44" s="606"/>
      <c r="AL44" s="606"/>
      <c r="AM44" s="601"/>
      <c r="AN44" s="601"/>
      <c r="AO44" s="601"/>
      <c r="AP44" s="601"/>
      <c r="AQ44" s="601"/>
      <c r="AR44" s="601"/>
      <c r="AS44" s="603"/>
      <c r="AT44" s="603"/>
      <c r="AU44" s="603"/>
      <c r="AV44" s="603"/>
      <c r="AW44" s="603"/>
      <c r="AX44" s="603"/>
      <c r="AY44" s="603"/>
    </row>
    <row r="45" s="119" customFormat="1" ht="25" customHeight="1" spans="1:51">
      <c r="A45" s="608"/>
      <c r="B45" s="609"/>
      <c r="C45" s="610"/>
      <c r="D45" s="609"/>
      <c r="E45" s="609"/>
      <c r="F45" s="611"/>
      <c r="G45" s="612" t="s">
        <v>678</v>
      </c>
      <c r="H45" s="613">
        <f>SUM(H2:H44)</f>
        <v>368</v>
      </c>
      <c r="I45" s="614"/>
      <c r="J45" s="615"/>
      <c r="K45" s="610"/>
      <c r="L45" s="610"/>
      <c r="M45" s="610"/>
      <c r="N45" s="616"/>
      <c r="O45" s="610"/>
      <c r="P45" s="610"/>
      <c r="Q45" s="610"/>
      <c r="R45" s="610"/>
      <c r="S45" s="610"/>
      <c r="T45" s="610"/>
      <c r="U45" s="617"/>
      <c r="V45" s="618"/>
      <c r="W45" s="619"/>
      <c r="X45" s="620"/>
      <c r="Y45" s="621"/>
      <c r="Z45" s="621"/>
      <c r="AA45" s="621"/>
      <c r="AB45" s="622"/>
      <c r="AC45" s="623">
        <f>SUM(AC2:AC44)</f>
        <v>0</v>
      </c>
      <c r="AD45" s="623">
        <f>SUM(AD2:AD44)</f>
        <v>0</v>
      </c>
      <c r="AE45" s="624"/>
      <c r="AF45" s="625"/>
      <c r="AG45" s="626"/>
      <c r="AH45" s="627"/>
      <c r="AI45" s="625"/>
      <c r="AJ45" s="625"/>
      <c r="AK45" s="625"/>
      <c r="AL45" s="625"/>
      <c r="AM45" s="617"/>
      <c r="AN45" s="617"/>
      <c r="AO45" s="617"/>
      <c r="AP45" s="617"/>
      <c r="AQ45" s="617"/>
      <c r="AR45" s="617"/>
      <c r="AS45" s="619"/>
      <c r="AT45" s="619"/>
      <c r="AU45" s="619"/>
      <c r="AV45" s="619"/>
      <c r="AW45" s="619"/>
      <c r="AX45" s="619"/>
      <c r="AY45" s="619"/>
    </row>
    <row r="46" s="399" customFormat="1" ht="25" customHeight="1" spans="1:51">
      <c r="A46" s="628"/>
      <c r="B46" s="628"/>
      <c r="C46" s="629"/>
      <c r="D46" s="630"/>
      <c r="E46" s="630"/>
      <c r="F46" s="631"/>
      <c r="G46" s="632"/>
      <c r="H46" s="633"/>
      <c r="I46" s="634"/>
      <c r="J46" s="632"/>
      <c r="K46" s="629"/>
      <c r="L46" s="629"/>
      <c r="M46" s="629"/>
      <c r="N46" s="635"/>
      <c r="O46" s="629"/>
      <c r="P46" s="629"/>
      <c r="Q46" s="629"/>
      <c r="R46" s="629"/>
      <c r="S46" s="629"/>
      <c r="T46" s="629"/>
      <c r="U46" s="636"/>
      <c r="V46" s="637"/>
      <c r="W46" s="638"/>
      <c r="X46" s="639"/>
      <c r="Y46" s="640"/>
      <c r="Z46" s="640"/>
      <c r="AA46" s="641"/>
      <c r="AB46" s="642"/>
      <c r="AC46" s="643"/>
      <c r="AD46" s="644"/>
      <c r="AE46" s="645"/>
      <c r="AF46" s="646"/>
      <c r="AG46" s="647"/>
      <c r="AH46" s="638"/>
      <c r="AI46" s="636"/>
      <c r="AJ46" s="636"/>
      <c r="AK46" s="636"/>
      <c r="AL46" s="636"/>
      <c r="AM46" s="636"/>
      <c r="AN46" s="636"/>
      <c r="AO46" s="636"/>
      <c r="AP46" s="636"/>
      <c r="AQ46" s="636"/>
      <c r="AR46" s="636"/>
      <c r="AS46" s="638"/>
      <c r="AT46" s="638"/>
      <c r="AU46" s="638"/>
      <c r="AV46" s="638"/>
      <c r="AW46" s="638"/>
      <c r="AX46" s="638"/>
      <c r="AY46" s="638"/>
    </row>
    <row r="47" s="399" customFormat="1" ht="25" customHeight="1" spans="1:51">
      <c r="A47" s="648"/>
      <c r="B47" s="649"/>
      <c r="C47" s="629"/>
      <c r="D47" s="634"/>
      <c r="E47" s="650"/>
      <c r="F47" s="634"/>
      <c r="G47" s="631"/>
      <c r="H47" s="633"/>
      <c r="I47" s="634"/>
      <c r="J47" s="632"/>
      <c r="K47" s="629"/>
      <c r="L47" s="629"/>
      <c r="M47" s="629"/>
      <c r="N47" s="635"/>
      <c r="O47" s="629"/>
      <c r="P47" s="629"/>
      <c r="Q47" s="629"/>
      <c r="R47" s="629"/>
      <c r="S47" s="629"/>
      <c r="T47" s="629"/>
      <c r="U47" s="636"/>
      <c r="V47" s="637" t="s">
        <v>679</v>
      </c>
      <c r="W47" s="638"/>
      <c r="X47" s="639"/>
      <c r="Y47" s="640"/>
      <c r="Z47" s="640"/>
      <c r="AA47" s="641"/>
      <c r="AB47" s="642"/>
      <c r="AC47" s="643"/>
      <c r="AD47" s="644"/>
      <c r="AE47" s="645"/>
      <c r="AF47" s="646"/>
      <c r="AG47" s="647"/>
      <c r="AH47" s="638"/>
      <c r="AI47" s="636"/>
      <c r="AJ47" s="636"/>
      <c r="AK47" s="636"/>
      <c r="AL47" s="636"/>
      <c r="AM47" s="636"/>
      <c r="AN47" s="636"/>
      <c r="AO47" s="636"/>
      <c r="AP47" s="636"/>
      <c r="AQ47" s="636"/>
      <c r="AR47" s="636"/>
      <c r="AS47" s="638"/>
      <c r="AT47" s="638"/>
      <c r="AU47" s="638"/>
      <c r="AV47" s="638"/>
      <c r="AW47" s="638"/>
      <c r="AX47" s="638"/>
      <c r="AY47" s="638"/>
    </row>
    <row r="48" s="399" customFormat="1" ht="25" customHeight="1" spans="1:51">
      <c r="A48" s="651" t="s">
        <v>357</v>
      </c>
      <c r="B48" s="639"/>
      <c r="C48" s="629"/>
      <c r="D48" s="630"/>
      <c r="E48" s="630"/>
      <c r="F48" s="631"/>
      <c r="G48" s="632"/>
      <c r="H48" s="633"/>
      <c r="I48" s="634"/>
      <c r="J48" s="632"/>
      <c r="K48" s="629"/>
      <c r="L48" s="629"/>
      <c r="M48" s="629"/>
      <c r="N48" s="635"/>
      <c r="O48" s="629"/>
      <c r="P48" s="629"/>
      <c r="Q48" s="629"/>
      <c r="R48" s="629"/>
      <c r="S48" s="629"/>
      <c r="T48" s="629"/>
      <c r="U48" s="652"/>
      <c r="V48" s="637"/>
      <c r="W48" s="653"/>
      <c r="X48" s="639"/>
      <c r="Y48" s="654"/>
      <c r="Z48" s="654"/>
      <c r="AA48" s="654"/>
      <c r="AB48" s="655"/>
      <c r="AC48" s="643"/>
      <c r="AD48" s="644"/>
      <c r="AE48" s="645"/>
      <c r="AF48" s="646"/>
      <c r="AG48" s="647"/>
      <c r="AH48" s="647"/>
      <c r="AI48" s="646"/>
      <c r="AJ48" s="646"/>
      <c r="AK48" s="646"/>
      <c r="AL48" s="646"/>
      <c r="AM48" s="652"/>
      <c r="AN48" s="652"/>
      <c r="AO48" s="652"/>
      <c r="AP48" s="652"/>
      <c r="AQ48" s="652"/>
      <c r="AR48" s="652"/>
      <c r="AS48" s="653"/>
      <c r="AT48" s="653"/>
      <c r="AU48" s="653"/>
      <c r="AV48" s="653"/>
      <c r="AW48" s="653"/>
      <c r="AX48" s="653"/>
      <c r="AY48" s="653"/>
    </row>
    <row r="49" s="399" customFormat="1" ht="25" customHeight="1" spans="1:51">
      <c r="A49" s="648"/>
      <c r="B49" s="630"/>
      <c r="C49" s="639"/>
      <c r="D49" s="634"/>
      <c r="E49" s="630"/>
      <c r="F49" s="634"/>
      <c r="G49" s="631"/>
      <c r="H49" s="633"/>
      <c r="I49" s="634"/>
      <c r="J49" s="656"/>
      <c r="K49" s="629"/>
      <c r="L49" s="629"/>
      <c r="M49" s="629"/>
      <c r="N49" s="635"/>
      <c r="O49" s="629"/>
      <c r="P49" s="629"/>
      <c r="Q49" s="629"/>
      <c r="R49" s="629"/>
      <c r="S49" s="629"/>
      <c r="T49" s="629"/>
      <c r="U49" s="636"/>
      <c r="V49" s="637"/>
      <c r="W49" s="638"/>
      <c r="X49" s="639"/>
      <c r="Y49" s="640"/>
      <c r="Z49" s="119"/>
      <c r="AA49" s="641"/>
      <c r="AB49" s="642"/>
      <c r="AC49" s="643"/>
      <c r="AD49" s="657"/>
      <c r="AE49" s="645"/>
      <c r="AF49" s="646"/>
      <c r="AG49" s="658"/>
      <c r="AH49" s="638"/>
      <c r="AI49" s="636"/>
      <c r="AJ49" s="636"/>
      <c r="AK49" s="636"/>
      <c r="AL49" s="636"/>
      <c r="AM49" s="636"/>
      <c r="AN49" s="636"/>
      <c r="AO49" s="636"/>
      <c r="AP49" s="636"/>
      <c r="AQ49" s="636"/>
      <c r="AR49" s="636"/>
      <c r="AS49" s="638"/>
      <c r="AT49" s="638"/>
      <c r="AU49" s="638"/>
      <c r="AV49" s="638"/>
      <c r="AW49" s="638"/>
      <c r="AX49" s="638"/>
      <c r="AY49" s="638"/>
    </row>
    <row r="50" s="399" customFormat="1" ht="25" customHeight="1" spans="1:51">
      <c r="A50" s="504" t="s">
        <v>362</v>
      </c>
      <c r="B50" s="505" t="s">
        <v>363</v>
      </c>
      <c r="C50" s="639"/>
      <c r="D50" s="634"/>
      <c r="E50" s="630"/>
      <c r="F50" s="634"/>
      <c r="G50" s="631"/>
      <c r="H50" s="633"/>
      <c r="I50" s="634"/>
      <c r="J50" s="656"/>
      <c r="K50" s="629"/>
      <c r="L50" s="629"/>
      <c r="M50" s="629"/>
      <c r="N50" s="635"/>
      <c r="O50" s="629"/>
      <c r="P50" s="629"/>
      <c r="Q50" s="629"/>
      <c r="R50" s="629"/>
      <c r="S50" s="629"/>
      <c r="T50" s="629"/>
      <c r="U50" s="636"/>
      <c r="V50" s="637"/>
      <c r="W50" s="638"/>
      <c r="X50" s="639"/>
      <c r="Y50" s="640"/>
      <c r="Z50" s="119"/>
      <c r="AA50" s="641"/>
      <c r="AB50" s="642"/>
      <c r="AC50" s="643"/>
      <c r="AD50" s="657"/>
      <c r="AE50" s="645"/>
      <c r="AF50" s="646"/>
      <c r="AG50" s="658"/>
      <c r="AH50" s="638"/>
      <c r="AI50" s="636"/>
      <c r="AJ50" s="636"/>
      <c r="AK50" s="636"/>
      <c r="AL50" s="636"/>
      <c r="AM50" s="636"/>
      <c r="AN50" s="636"/>
      <c r="AO50" s="636"/>
      <c r="AP50" s="636"/>
      <c r="AQ50" s="636"/>
      <c r="AR50" s="636"/>
      <c r="AS50" s="638"/>
      <c r="AT50" s="638"/>
      <c r="AU50" s="638"/>
      <c r="AV50" s="638"/>
      <c r="AW50" s="638"/>
      <c r="AX50" s="638"/>
      <c r="AY50" s="638"/>
    </row>
    <row r="51" s="399" customFormat="1" ht="25" customHeight="1" spans="1:51">
      <c r="A51" s="354" t="s">
        <v>366</v>
      </c>
      <c r="B51" s="393" t="s">
        <v>367</v>
      </c>
      <c r="C51" s="639"/>
      <c r="D51" s="634"/>
      <c r="E51" s="630"/>
      <c r="F51" s="634"/>
      <c r="G51" s="631"/>
      <c r="H51" s="633"/>
      <c r="I51" s="634"/>
      <c r="J51" s="656"/>
      <c r="K51" s="629"/>
      <c r="L51" s="629"/>
      <c r="M51" s="629"/>
      <c r="N51" s="635"/>
      <c r="O51" s="629"/>
      <c r="P51" s="629"/>
      <c r="Q51" s="629"/>
      <c r="R51" s="629"/>
      <c r="S51" s="629"/>
      <c r="T51" s="629"/>
      <c r="U51" s="636"/>
      <c r="V51" s="637"/>
      <c r="W51" s="638"/>
      <c r="X51" s="639"/>
      <c r="Y51" s="640"/>
      <c r="Z51" s="640"/>
      <c r="AA51" s="641"/>
      <c r="AB51" s="642"/>
      <c r="AC51" s="643"/>
      <c r="AD51" s="657"/>
      <c r="AE51" s="645"/>
      <c r="AF51" s="646"/>
      <c r="AG51" s="658"/>
      <c r="AH51" s="638"/>
      <c r="AI51" s="636"/>
      <c r="AJ51" s="636"/>
      <c r="AK51" s="636"/>
      <c r="AL51" s="636"/>
      <c r="AM51" s="636"/>
      <c r="AN51" s="636"/>
      <c r="AO51" s="636"/>
      <c r="AP51" s="636"/>
      <c r="AQ51" s="636"/>
      <c r="AR51" s="636"/>
      <c r="AS51" s="638"/>
      <c r="AT51" s="638"/>
      <c r="AU51" s="638"/>
      <c r="AV51" s="638"/>
      <c r="AW51" s="638"/>
      <c r="AX51" s="638"/>
      <c r="AY51" s="638"/>
    </row>
    <row r="52" s="399" customFormat="1" ht="25" customHeight="1" spans="1:51">
      <c r="A52" s="659" t="s">
        <v>368</v>
      </c>
      <c r="B52" s="660" t="s">
        <v>369</v>
      </c>
      <c r="C52" s="639"/>
      <c r="D52" s="634"/>
      <c r="E52" s="630"/>
      <c r="F52" s="634"/>
      <c r="G52" s="631"/>
      <c r="H52" s="633"/>
      <c r="I52" s="634"/>
      <c r="J52" s="656"/>
      <c r="K52" s="629"/>
      <c r="L52" s="629"/>
      <c r="M52" s="629"/>
      <c r="N52" s="635"/>
      <c r="O52" s="629"/>
      <c r="P52" s="629"/>
      <c r="Q52" s="629"/>
      <c r="R52" s="629"/>
      <c r="S52" s="629"/>
      <c r="T52" s="629"/>
      <c r="U52" s="636"/>
      <c r="V52" s="637"/>
      <c r="W52" s="638"/>
      <c r="X52" s="639"/>
      <c r="Y52" s="640"/>
      <c r="Z52" s="640"/>
      <c r="AA52" s="641"/>
      <c r="AB52" s="642"/>
      <c r="AC52" s="643"/>
      <c r="AD52" s="657"/>
      <c r="AE52" s="645"/>
      <c r="AF52" s="646"/>
      <c r="AG52" s="658"/>
      <c r="AH52" s="638"/>
      <c r="AI52" s="636"/>
      <c r="AJ52" s="636"/>
      <c r="AK52" s="636"/>
      <c r="AL52" s="636"/>
      <c r="AM52" s="636"/>
      <c r="AN52" s="636"/>
      <c r="AO52" s="636"/>
      <c r="AP52" s="636"/>
      <c r="AQ52" s="636"/>
      <c r="AR52" s="636"/>
      <c r="AS52" s="638"/>
      <c r="AT52" s="638"/>
      <c r="AU52" s="638"/>
      <c r="AV52" s="638"/>
      <c r="AW52" s="638"/>
      <c r="AX52" s="638"/>
      <c r="AY52" s="638"/>
    </row>
    <row r="53" s="399" customFormat="1" ht="25" customHeight="1" spans="1:51">
      <c r="A53" s="661" t="s">
        <v>360</v>
      </c>
      <c r="B53" s="231" t="s">
        <v>361</v>
      </c>
      <c r="C53" s="629"/>
      <c r="D53" s="662"/>
      <c r="E53" s="663"/>
      <c r="F53" s="634"/>
      <c r="G53" s="631"/>
      <c r="H53" s="633"/>
      <c r="I53" s="634"/>
      <c r="J53" s="632"/>
      <c r="K53" s="629"/>
      <c r="L53" s="629"/>
      <c r="M53" s="629"/>
      <c r="N53" s="635"/>
      <c r="O53" s="629"/>
      <c r="P53" s="629"/>
      <c r="Q53" s="629"/>
      <c r="R53" s="629"/>
      <c r="S53" s="629"/>
      <c r="T53" s="629"/>
      <c r="U53" s="636"/>
      <c r="V53" s="637"/>
      <c r="W53" s="638"/>
      <c r="X53" s="639"/>
      <c r="Y53" s="640"/>
      <c r="Z53" s="640"/>
      <c r="AA53" s="641"/>
      <c r="AB53" s="642"/>
      <c r="AC53" s="643"/>
      <c r="AD53" s="644"/>
      <c r="AE53" s="645"/>
      <c r="AF53" s="646"/>
      <c r="AG53" s="647"/>
      <c r="AH53" s="638"/>
      <c r="AI53" s="636"/>
      <c r="AJ53" s="636"/>
      <c r="AK53" s="636"/>
      <c r="AL53" s="636"/>
      <c r="AM53" s="636"/>
      <c r="AN53" s="636"/>
      <c r="AO53" s="636"/>
      <c r="AP53" s="636"/>
      <c r="AQ53" s="636"/>
      <c r="AR53" s="636"/>
      <c r="AS53" s="638"/>
      <c r="AT53" s="638"/>
      <c r="AU53" s="638"/>
      <c r="AV53" s="638"/>
      <c r="AW53" s="638"/>
      <c r="AX53" s="638"/>
      <c r="AY53" s="638"/>
    </row>
    <row r="54" s="399" customFormat="1" ht="25" customHeight="1" spans="1:51">
      <c r="A54" s="628" t="s">
        <v>364</v>
      </c>
      <c r="B54" s="628" t="s">
        <v>365</v>
      </c>
      <c r="C54" s="629"/>
      <c r="D54" s="634"/>
      <c r="E54" s="663"/>
      <c r="F54" s="634"/>
      <c r="G54" s="632"/>
      <c r="H54" s="633"/>
      <c r="I54" s="634"/>
      <c r="J54" s="632"/>
      <c r="K54" s="629"/>
      <c r="L54" s="629"/>
      <c r="M54" s="629"/>
      <c r="N54" s="635"/>
      <c r="O54" s="629"/>
      <c r="P54" s="629"/>
      <c r="Q54" s="629"/>
      <c r="R54" s="629"/>
      <c r="S54" s="629"/>
      <c r="T54" s="629"/>
      <c r="U54" s="636"/>
      <c r="V54" s="637"/>
      <c r="W54" s="638"/>
      <c r="X54" s="639"/>
      <c r="Y54" s="640"/>
      <c r="Z54" s="640"/>
      <c r="AA54" s="641"/>
      <c r="AB54" s="642"/>
      <c r="AC54" s="643"/>
      <c r="AD54" s="644"/>
      <c r="AE54" s="645"/>
      <c r="AF54" s="646"/>
      <c r="AG54" s="647"/>
      <c r="AH54" s="638"/>
      <c r="AI54" s="636"/>
      <c r="AJ54" s="636"/>
      <c r="AK54" s="636"/>
      <c r="AL54" s="636"/>
      <c r="AM54" s="636"/>
      <c r="AN54" s="636"/>
      <c r="AO54" s="636"/>
      <c r="AP54" s="636"/>
      <c r="AQ54" s="636"/>
      <c r="AR54" s="636"/>
      <c r="AS54" s="638"/>
      <c r="AT54" s="638"/>
      <c r="AU54" s="638"/>
      <c r="AV54" s="638"/>
      <c r="AW54" s="638"/>
      <c r="AX54" s="638"/>
      <c r="AY54" s="638"/>
    </row>
    <row r="55" s="399" customFormat="1" ht="25" customHeight="1" spans="1:51">
      <c r="A55" s="648" t="s">
        <v>358</v>
      </c>
      <c r="B55" s="649" t="s">
        <v>359</v>
      </c>
      <c r="C55" s="629"/>
      <c r="D55" s="630"/>
      <c r="E55" s="630"/>
      <c r="F55" s="631"/>
      <c r="G55" s="632"/>
      <c r="H55" s="633"/>
      <c r="I55" s="634"/>
      <c r="J55" s="632"/>
      <c r="K55" s="629"/>
      <c r="L55" s="629"/>
      <c r="M55" s="629"/>
      <c r="N55" s="635"/>
      <c r="O55" s="629"/>
      <c r="P55" s="629"/>
      <c r="Q55" s="629"/>
      <c r="R55" s="629"/>
      <c r="S55" s="629"/>
      <c r="T55" s="629"/>
      <c r="U55" s="652"/>
      <c r="V55" s="637"/>
      <c r="W55" s="653"/>
      <c r="X55" s="639"/>
      <c r="Y55" s="654"/>
      <c r="Z55" s="654"/>
      <c r="AA55" s="654"/>
      <c r="AB55" s="655"/>
      <c r="AC55" s="643"/>
      <c r="AD55" s="644"/>
      <c r="AE55" s="645"/>
      <c r="AF55" s="646"/>
      <c r="AG55" s="647"/>
      <c r="AH55" s="647"/>
      <c r="AI55" s="646"/>
      <c r="AJ55" s="646"/>
      <c r="AK55" s="646"/>
      <c r="AL55" s="646"/>
      <c r="AM55" s="652"/>
      <c r="AN55" s="652"/>
      <c r="AO55" s="652"/>
      <c r="AP55" s="652"/>
      <c r="AQ55" s="652"/>
      <c r="AR55" s="652"/>
      <c r="AS55" s="653"/>
      <c r="AT55" s="653"/>
      <c r="AU55" s="653"/>
      <c r="AV55" s="653"/>
      <c r="AW55" s="653"/>
      <c r="AX55" s="653"/>
      <c r="AY55" s="653"/>
    </row>
    <row r="56" s="399" customFormat="1" customHeight="1" spans="1:51">
      <c r="A56" s="629"/>
      <c r="B56" s="639"/>
      <c r="C56" s="629"/>
      <c r="D56" s="634"/>
      <c r="E56" s="634"/>
      <c r="F56" s="634"/>
      <c r="G56" s="631"/>
      <c r="H56" s="633"/>
      <c r="I56" s="634"/>
      <c r="J56" s="632"/>
      <c r="K56" s="629"/>
      <c r="L56" s="629"/>
      <c r="M56" s="629"/>
      <c r="N56" s="635"/>
      <c r="O56" s="629"/>
      <c r="P56" s="629"/>
      <c r="Q56" s="629"/>
      <c r="R56" s="629"/>
      <c r="S56" s="629"/>
      <c r="T56" s="629"/>
      <c r="U56" s="636"/>
      <c r="V56" s="637"/>
      <c r="W56" s="638"/>
      <c r="X56" s="639"/>
      <c r="Y56" s="640"/>
      <c r="Z56" s="640"/>
      <c r="AA56" s="641"/>
      <c r="AB56" s="642"/>
      <c r="AC56" s="643"/>
      <c r="AD56" s="644"/>
      <c r="AE56" s="645"/>
      <c r="AF56" s="646"/>
      <c r="AG56" s="647"/>
      <c r="AH56" s="638"/>
      <c r="AI56" s="636"/>
      <c r="AJ56" s="636"/>
      <c r="AK56" s="636"/>
      <c r="AL56" s="636"/>
      <c r="AM56" s="636"/>
      <c r="AN56" s="636"/>
      <c r="AO56" s="636"/>
      <c r="AP56" s="636"/>
      <c r="AQ56" s="636"/>
      <c r="AR56" s="636"/>
      <c r="AS56" s="638"/>
      <c r="AT56" s="638"/>
      <c r="AU56" s="638"/>
      <c r="AV56" s="638"/>
      <c r="AW56" s="638"/>
      <c r="AX56" s="638"/>
      <c r="AY56" s="638"/>
    </row>
    <row r="57" s="399" customFormat="1" customHeight="1" spans="1:51">
      <c r="A57" s="629"/>
      <c r="B57" s="639"/>
      <c r="C57" s="629"/>
      <c r="D57" s="634"/>
      <c r="E57" s="634"/>
      <c r="F57" s="634"/>
      <c r="G57" s="631"/>
      <c r="H57" s="633"/>
      <c r="I57" s="634"/>
      <c r="J57" s="632"/>
      <c r="K57" s="629"/>
      <c r="L57" s="629"/>
      <c r="M57" s="629"/>
      <c r="N57" s="635"/>
      <c r="O57" s="629"/>
      <c r="P57" s="629"/>
      <c r="Q57" s="629"/>
      <c r="R57" s="629"/>
      <c r="S57" s="629"/>
      <c r="T57" s="629"/>
      <c r="U57" s="636"/>
      <c r="V57" s="637"/>
      <c r="W57" s="638"/>
      <c r="X57" s="639"/>
      <c r="Y57" s="640"/>
      <c r="Z57" s="640"/>
      <c r="AA57" s="641"/>
      <c r="AB57" s="642"/>
      <c r="AC57" s="643"/>
      <c r="AD57" s="644"/>
      <c r="AE57" s="645"/>
      <c r="AF57" s="646"/>
      <c r="AG57" s="647"/>
      <c r="AH57" s="638"/>
      <c r="AI57" s="636"/>
      <c r="AJ57" s="636"/>
      <c r="AK57" s="636"/>
      <c r="AL57" s="636"/>
      <c r="AM57" s="636"/>
      <c r="AN57" s="636"/>
      <c r="AO57" s="636"/>
      <c r="AP57" s="636"/>
      <c r="AQ57" s="636"/>
      <c r="AR57" s="636"/>
      <c r="AS57" s="638"/>
      <c r="AT57" s="638"/>
      <c r="AU57" s="638"/>
      <c r="AV57" s="638"/>
      <c r="AW57" s="638"/>
      <c r="AX57" s="638"/>
      <c r="AY57" s="638"/>
    </row>
    <row r="58" s="399" customFormat="1" customHeight="1" spans="1:51">
      <c r="A58" s="629"/>
      <c r="B58" s="639"/>
      <c r="C58" s="629"/>
      <c r="D58" s="634"/>
      <c r="E58" s="634"/>
      <c r="F58" s="634"/>
      <c r="G58" s="631"/>
      <c r="H58" s="633"/>
      <c r="I58" s="634"/>
      <c r="J58" s="632"/>
      <c r="K58" s="629"/>
      <c r="L58" s="629"/>
      <c r="M58" s="629"/>
      <c r="N58" s="635"/>
      <c r="O58" s="629"/>
      <c r="P58" s="629"/>
      <c r="Q58" s="629"/>
      <c r="R58" s="629"/>
      <c r="S58" s="629"/>
      <c r="T58" s="629"/>
      <c r="U58" s="636"/>
      <c r="V58" s="637"/>
      <c r="W58" s="638"/>
      <c r="X58" s="639"/>
      <c r="Y58" s="640"/>
      <c r="Z58" s="640"/>
      <c r="AA58" s="641"/>
      <c r="AB58" s="642"/>
      <c r="AC58" s="643"/>
      <c r="AD58" s="644"/>
      <c r="AE58" s="645"/>
      <c r="AF58" s="646"/>
      <c r="AG58" s="647"/>
      <c r="AH58" s="638"/>
      <c r="AI58" s="636"/>
      <c r="AJ58" s="636"/>
      <c r="AK58" s="636"/>
      <c r="AL58" s="636"/>
      <c r="AM58" s="636"/>
      <c r="AN58" s="636"/>
      <c r="AO58" s="636"/>
      <c r="AP58" s="636"/>
      <c r="AQ58" s="636"/>
      <c r="AR58" s="636"/>
      <c r="AS58" s="638"/>
      <c r="AT58" s="638"/>
      <c r="AU58" s="638"/>
      <c r="AV58" s="638"/>
      <c r="AW58" s="638"/>
      <c r="AX58" s="638"/>
      <c r="AY58" s="638"/>
    </row>
    <row r="59" s="399" customFormat="1" customHeight="1" spans="1:51">
      <c r="A59" s="629"/>
      <c r="B59" s="639"/>
      <c r="C59" s="629"/>
      <c r="D59" s="634"/>
      <c r="E59" s="634"/>
      <c r="F59" s="634"/>
      <c r="G59" s="631"/>
      <c r="H59" s="633"/>
      <c r="I59" s="634"/>
      <c r="J59" s="632"/>
      <c r="K59" s="629"/>
      <c r="L59" s="629"/>
      <c r="M59" s="629"/>
      <c r="N59" s="635"/>
      <c r="O59" s="629"/>
      <c r="P59" s="629"/>
      <c r="Q59" s="629"/>
      <c r="R59" s="629"/>
      <c r="S59" s="629"/>
      <c r="T59" s="629"/>
      <c r="U59" s="636"/>
      <c r="V59" s="637"/>
      <c r="W59" s="638"/>
      <c r="X59" s="639"/>
      <c r="Y59" s="640"/>
      <c r="Z59" s="640"/>
      <c r="AA59" s="641"/>
      <c r="AB59" s="642"/>
      <c r="AC59" s="643"/>
      <c r="AD59" s="644"/>
      <c r="AE59" s="645"/>
      <c r="AF59" s="646"/>
      <c r="AG59" s="647"/>
      <c r="AH59" s="638"/>
      <c r="AI59" s="636"/>
      <c r="AJ59" s="636"/>
      <c r="AK59" s="636"/>
      <c r="AL59" s="636"/>
      <c r="AM59" s="636"/>
      <c r="AN59" s="636"/>
      <c r="AO59" s="636"/>
      <c r="AP59" s="636"/>
      <c r="AQ59" s="636"/>
      <c r="AR59" s="636"/>
      <c r="AS59" s="638"/>
      <c r="AT59" s="638"/>
      <c r="AU59" s="638"/>
      <c r="AV59" s="638"/>
      <c r="AW59" s="638"/>
      <c r="AX59" s="638"/>
      <c r="AY59" s="638"/>
    </row>
    <row r="60" s="399" customFormat="1" customHeight="1" spans="1:51">
      <c r="A60" s="629"/>
      <c r="B60" s="639"/>
      <c r="C60" s="629"/>
      <c r="D60" s="634"/>
      <c r="E60" s="634"/>
      <c r="F60" s="634"/>
      <c r="G60" s="631"/>
      <c r="H60" s="633"/>
      <c r="I60" s="634"/>
      <c r="J60" s="632"/>
      <c r="K60" s="629"/>
      <c r="L60" s="629"/>
      <c r="M60" s="629"/>
      <c r="N60" s="635"/>
      <c r="O60" s="629"/>
      <c r="P60" s="629"/>
      <c r="Q60" s="629"/>
      <c r="R60" s="629"/>
      <c r="S60" s="629"/>
      <c r="T60" s="629"/>
      <c r="U60" s="636"/>
      <c r="V60" s="637"/>
      <c r="W60" s="638"/>
      <c r="X60" s="639"/>
      <c r="Y60" s="640"/>
      <c r="Z60" s="640"/>
      <c r="AA60" s="641"/>
      <c r="AB60" s="642"/>
      <c r="AC60" s="643"/>
      <c r="AD60" s="644"/>
      <c r="AE60" s="645"/>
      <c r="AF60" s="646"/>
      <c r="AG60" s="647"/>
      <c r="AH60" s="638"/>
      <c r="AI60" s="636"/>
      <c r="AJ60" s="636"/>
      <c r="AK60" s="636"/>
      <c r="AL60" s="636"/>
      <c r="AM60" s="636"/>
      <c r="AN60" s="636"/>
      <c r="AO60" s="636"/>
      <c r="AP60" s="636"/>
      <c r="AQ60" s="636"/>
      <c r="AR60" s="636"/>
      <c r="AS60" s="638"/>
      <c r="AT60" s="638"/>
      <c r="AU60" s="638"/>
      <c r="AV60" s="638"/>
      <c r="AW60" s="638"/>
      <c r="AX60" s="638"/>
      <c r="AY60" s="638"/>
    </row>
    <row r="61" s="399" customFormat="1" customHeight="1" spans="1:51">
      <c r="A61" s="629"/>
      <c r="B61" s="639"/>
      <c r="C61" s="629"/>
      <c r="D61" s="634"/>
      <c r="E61" s="634"/>
      <c r="F61" s="634"/>
      <c r="G61" s="631"/>
      <c r="H61" s="633"/>
      <c r="I61" s="634"/>
      <c r="J61" s="632"/>
      <c r="K61" s="629"/>
      <c r="L61" s="629"/>
      <c r="M61" s="629"/>
      <c r="N61" s="635"/>
      <c r="O61" s="629"/>
      <c r="P61" s="629"/>
      <c r="Q61" s="629"/>
      <c r="R61" s="629"/>
      <c r="S61" s="629"/>
      <c r="T61" s="629"/>
      <c r="U61" s="636"/>
      <c r="V61" s="637"/>
      <c r="W61" s="638"/>
      <c r="X61" s="639"/>
      <c r="Y61" s="640"/>
      <c r="Z61" s="640"/>
      <c r="AA61" s="641"/>
      <c r="AB61" s="642"/>
      <c r="AC61" s="643"/>
      <c r="AD61" s="644"/>
      <c r="AE61" s="645"/>
      <c r="AF61" s="646"/>
      <c r="AG61" s="647"/>
      <c r="AH61" s="638"/>
      <c r="AI61" s="636"/>
      <c r="AJ61" s="636"/>
      <c r="AK61" s="636"/>
      <c r="AL61" s="636"/>
      <c r="AM61" s="636"/>
      <c r="AN61" s="636"/>
      <c r="AO61" s="636"/>
      <c r="AP61" s="636"/>
      <c r="AQ61" s="636"/>
      <c r="AR61" s="636"/>
      <c r="AS61" s="638"/>
      <c r="AT61" s="638"/>
      <c r="AU61" s="638"/>
      <c r="AV61" s="638"/>
      <c r="AW61" s="638"/>
      <c r="AX61" s="638"/>
      <c r="AY61" s="638"/>
    </row>
    <row r="62" s="399" customFormat="1" customHeight="1" spans="1:51">
      <c r="A62" s="629"/>
      <c r="B62" s="639"/>
      <c r="C62" s="629"/>
      <c r="D62" s="634"/>
      <c r="E62" s="634"/>
      <c r="F62" s="634"/>
      <c r="G62" s="631"/>
      <c r="H62" s="633"/>
      <c r="I62" s="634"/>
      <c r="J62" s="632"/>
      <c r="K62" s="629"/>
      <c r="L62" s="629"/>
      <c r="M62" s="629"/>
      <c r="N62" s="635"/>
      <c r="O62" s="629"/>
      <c r="P62" s="629"/>
      <c r="Q62" s="629"/>
      <c r="R62" s="629"/>
      <c r="S62" s="629"/>
      <c r="T62" s="629"/>
      <c r="U62" s="636"/>
      <c r="V62" s="637"/>
      <c r="W62" s="638"/>
      <c r="X62" s="639"/>
      <c r="Y62" s="640"/>
      <c r="Z62" s="640"/>
      <c r="AA62" s="641"/>
      <c r="AB62" s="642"/>
      <c r="AC62" s="643"/>
      <c r="AD62" s="644"/>
      <c r="AE62" s="645"/>
      <c r="AF62" s="646"/>
      <c r="AG62" s="647"/>
      <c r="AH62" s="638"/>
      <c r="AI62" s="636"/>
      <c r="AJ62" s="636"/>
      <c r="AK62" s="636"/>
      <c r="AL62" s="636"/>
      <c r="AM62" s="636"/>
      <c r="AN62" s="636"/>
      <c r="AO62" s="636"/>
      <c r="AP62" s="636"/>
      <c r="AQ62" s="636"/>
      <c r="AR62" s="636"/>
      <c r="AS62" s="638"/>
      <c r="AT62" s="638"/>
      <c r="AU62" s="638"/>
      <c r="AV62" s="638"/>
      <c r="AW62" s="638"/>
      <c r="AX62" s="638"/>
      <c r="AY62" s="638"/>
    </row>
    <row r="63" s="399" customFormat="1" customHeight="1" spans="1:51">
      <c r="A63" s="629"/>
      <c r="B63" s="639"/>
      <c r="C63" s="629"/>
      <c r="D63" s="634"/>
      <c r="E63" s="634"/>
      <c r="F63" s="634"/>
      <c r="G63" s="631"/>
      <c r="H63" s="633"/>
      <c r="I63" s="634"/>
      <c r="J63" s="632"/>
      <c r="K63" s="629"/>
      <c r="L63" s="629"/>
      <c r="M63" s="629"/>
      <c r="N63" s="635"/>
      <c r="O63" s="629"/>
      <c r="P63" s="629"/>
      <c r="Q63" s="629"/>
      <c r="R63" s="629"/>
      <c r="S63" s="629"/>
      <c r="T63" s="629"/>
      <c r="U63" s="636"/>
      <c r="V63" s="637"/>
      <c r="W63" s="638"/>
      <c r="X63" s="639"/>
      <c r="Y63" s="640"/>
      <c r="Z63" s="640"/>
      <c r="AA63" s="641"/>
      <c r="AB63" s="642"/>
      <c r="AC63" s="643"/>
      <c r="AD63" s="644"/>
      <c r="AE63" s="645"/>
      <c r="AF63" s="646"/>
      <c r="AG63" s="647"/>
      <c r="AH63" s="638"/>
      <c r="AI63" s="636"/>
      <c r="AJ63" s="636"/>
      <c r="AK63" s="636"/>
      <c r="AL63" s="636"/>
      <c r="AM63" s="636"/>
      <c r="AN63" s="636"/>
      <c r="AO63" s="636"/>
      <c r="AP63" s="636"/>
      <c r="AQ63" s="636"/>
      <c r="AR63" s="636"/>
      <c r="AS63" s="638"/>
      <c r="AT63" s="638"/>
      <c r="AU63" s="638"/>
      <c r="AV63" s="638"/>
      <c r="AW63" s="638"/>
      <c r="AX63" s="638"/>
      <c r="AY63" s="638"/>
    </row>
    <row r="64" s="399" customFormat="1" customHeight="1" spans="1:51">
      <c r="A64" s="629"/>
      <c r="B64" s="639"/>
      <c r="C64" s="629"/>
      <c r="D64" s="634"/>
      <c r="E64" s="634"/>
      <c r="F64" s="634"/>
      <c r="G64" s="631"/>
      <c r="H64" s="633"/>
      <c r="I64" s="634"/>
      <c r="J64" s="632"/>
      <c r="K64" s="629"/>
      <c r="L64" s="629"/>
      <c r="M64" s="629"/>
      <c r="N64" s="635"/>
      <c r="O64" s="629"/>
      <c r="P64" s="629"/>
      <c r="Q64" s="629"/>
      <c r="R64" s="629"/>
      <c r="S64" s="629"/>
      <c r="T64" s="629"/>
      <c r="U64" s="636"/>
      <c r="V64" s="637"/>
      <c r="W64" s="638"/>
      <c r="X64" s="639"/>
      <c r="Y64" s="640"/>
      <c r="Z64" s="640"/>
      <c r="AA64" s="641"/>
      <c r="AB64" s="642"/>
      <c r="AC64" s="643"/>
      <c r="AD64" s="644"/>
      <c r="AE64" s="645"/>
      <c r="AF64" s="646"/>
      <c r="AG64" s="647"/>
      <c r="AH64" s="638"/>
      <c r="AI64" s="636"/>
      <c r="AJ64" s="636"/>
      <c r="AK64" s="636"/>
      <c r="AL64" s="636"/>
      <c r="AM64" s="636"/>
      <c r="AN64" s="636"/>
      <c r="AO64" s="636"/>
      <c r="AP64" s="636"/>
      <c r="AQ64" s="636"/>
      <c r="AR64" s="636"/>
      <c r="AS64" s="638"/>
      <c r="AT64" s="638"/>
      <c r="AU64" s="638"/>
      <c r="AV64" s="638"/>
      <c r="AW64" s="638"/>
      <c r="AX64" s="638"/>
      <c r="AY64" s="638"/>
    </row>
    <row r="65" s="399" customFormat="1" customHeight="1" spans="1:51">
      <c r="A65" s="629"/>
      <c r="B65" s="639"/>
      <c r="C65" s="629"/>
      <c r="D65" s="634"/>
      <c r="E65" s="634"/>
      <c r="F65" s="634"/>
      <c r="G65" s="631"/>
      <c r="H65" s="633"/>
      <c r="I65" s="634"/>
      <c r="J65" s="632"/>
      <c r="K65" s="629"/>
      <c r="L65" s="629"/>
      <c r="M65" s="629"/>
      <c r="N65" s="635"/>
      <c r="O65" s="629"/>
      <c r="P65" s="629"/>
      <c r="Q65" s="629"/>
      <c r="R65" s="629"/>
      <c r="S65" s="629"/>
      <c r="T65" s="629"/>
      <c r="U65" s="636"/>
      <c r="V65" s="637"/>
      <c r="W65" s="638"/>
      <c r="X65" s="639"/>
      <c r="Y65" s="640"/>
      <c r="Z65" s="640"/>
      <c r="AA65" s="641"/>
      <c r="AB65" s="642"/>
      <c r="AC65" s="643"/>
      <c r="AD65" s="644"/>
      <c r="AE65" s="645"/>
      <c r="AF65" s="646"/>
      <c r="AG65" s="647"/>
      <c r="AH65" s="638"/>
      <c r="AI65" s="636"/>
      <c r="AJ65" s="636"/>
      <c r="AK65" s="636"/>
      <c r="AL65" s="636"/>
      <c r="AM65" s="636"/>
      <c r="AN65" s="636"/>
      <c r="AO65" s="636"/>
      <c r="AP65" s="636"/>
      <c r="AQ65" s="636"/>
      <c r="AR65" s="636"/>
      <c r="AS65" s="638"/>
      <c r="AT65" s="638"/>
      <c r="AU65" s="638"/>
      <c r="AV65" s="638"/>
      <c r="AW65" s="638"/>
      <c r="AX65" s="638"/>
      <c r="AY65" s="638"/>
    </row>
    <row r="66" s="399" customFormat="1" customHeight="1" spans="1:51">
      <c r="A66" s="629"/>
      <c r="B66" s="639"/>
      <c r="C66" s="629"/>
      <c r="D66" s="634"/>
      <c r="E66" s="634"/>
      <c r="F66" s="634"/>
      <c r="G66" s="631"/>
      <c r="H66" s="633"/>
      <c r="I66" s="634"/>
      <c r="J66" s="632"/>
      <c r="K66" s="629"/>
      <c r="L66" s="629"/>
      <c r="M66" s="629"/>
      <c r="N66" s="635"/>
      <c r="O66" s="629"/>
      <c r="P66" s="629"/>
      <c r="Q66" s="629"/>
      <c r="R66" s="629"/>
      <c r="S66" s="629"/>
      <c r="T66" s="629"/>
      <c r="U66" s="636"/>
      <c r="V66" s="637"/>
      <c r="W66" s="638"/>
      <c r="X66" s="639"/>
      <c r="Y66" s="640"/>
      <c r="Z66" s="640"/>
      <c r="AA66" s="641"/>
      <c r="AB66" s="642"/>
      <c r="AC66" s="643"/>
      <c r="AD66" s="644"/>
      <c r="AE66" s="645"/>
      <c r="AF66" s="646"/>
      <c r="AG66" s="647"/>
      <c r="AH66" s="638"/>
      <c r="AI66" s="636"/>
      <c r="AJ66" s="636"/>
      <c r="AK66" s="636"/>
      <c r="AL66" s="636"/>
      <c r="AM66" s="636"/>
      <c r="AN66" s="636"/>
      <c r="AO66" s="636"/>
      <c r="AP66" s="636"/>
      <c r="AQ66" s="636"/>
      <c r="AR66" s="636"/>
      <c r="AS66" s="638"/>
      <c r="AT66" s="638"/>
      <c r="AU66" s="638"/>
      <c r="AV66" s="638"/>
      <c r="AW66" s="638"/>
      <c r="AX66" s="638"/>
      <c r="AY66" s="638"/>
    </row>
    <row r="67" s="399" customFormat="1" customHeight="1" spans="1:51">
      <c r="A67" s="629"/>
      <c r="B67" s="639"/>
      <c r="C67" s="629"/>
      <c r="D67" s="634"/>
      <c r="E67" s="634"/>
      <c r="F67" s="634"/>
      <c r="G67" s="631"/>
      <c r="H67" s="633"/>
      <c r="I67" s="634"/>
      <c r="J67" s="632"/>
      <c r="K67" s="629"/>
      <c r="L67" s="629"/>
      <c r="M67" s="629"/>
      <c r="N67" s="635"/>
      <c r="O67" s="629"/>
      <c r="P67" s="629"/>
      <c r="Q67" s="629"/>
      <c r="R67" s="629"/>
      <c r="S67" s="629"/>
      <c r="T67" s="629"/>
      <c r="U67" s="636"/>
      <c r="V67" s="637"/>
      <c r="W67" s="638"/>
      <c r="X67" s="639"/>
      <c r="Y67" s="640"/>
      <c r="Z67" s="640"/>
      <c r="AA67" s="641"/>
      <c r="AB67" s="642"/>
      <c r="AC67" s="643"/>
      <c r="AD67" s="644"/>
      <c r="AE67" s="645"/>
      <c r="AF67" s="646"/>
      <c r="AG67" s="647"/>
      <c r="AH67" s="638"/>
      <c r="AI67" s="636"/>
      <c r="AJ67" s="636"/>
      <c r="AK67" s="636"/>
      <c r="AL67" s="636"/>
      <c r="AM67" s="636"/>
      <c r="AN67" s="636"/>
      <c r="AO67" s="636"/>
      <c r="AP67" s="636"/>
      <c r="AQ67" s="636"/>
      <c r="AR67" s="636"/>
      <c r="AS67" s="638"/>
      <c r="AT67" s="638"/>
      <c r="AU67" s="638"/>
      <c r="AV67" s="638"/>
      <c r="AW67" s="638"/>
      <c r="AX67" s="638"/>
      <c r="AY67" s="638"/>
    </row>
    <row r="68" s="399" customFormat="1" customHeight="1" spans="1:51">
      <c r="A68" s="629"/>
      <c r="B68" s="639"/>
      <c r="C68" s="629"/>
      <c r="D68" s="634"/>
      <c r="E68" s="634"/>
      <c r="F68" s="634"/>
      <c r="G68" s="631"/>
      <c r="H68" s="633"/>
      <c r="I68" s="634"/>
      <c r="J68" s="632"/>
      <c r="K68" s="629"/>
      <c r="L68" s="629"/>
      <c r="M68" s="629"/>
      <c r="N68" s="635"/>
      <c r="O68" s="629"/>
      <c r="P68" s="629"/>
      <c r="Q68" s="629"/>
      <c r="R68" s="629"/>
      <c r="S68" s="629"/>
      <c r="T68" s="629"/>
      <c r="U68" s="636"/>
      <c r="V68" s="637"/>
      <c r="W68" s="638"/>
      <c r="X68" s="639"/>
      <c r="Y68" s="640"/>
      <c r="Z68" s="640"/>
      <c r="AA68" s="641"/>
      <c r="AB68" s="642"/>
      <c r="AC68" s="643"/>
      <c r="AD68" s="644"/>
      <c r="AE68" s="645"/>
      <c r="AF68" s="646"/>
      <c r="AG68" s="647"/>
      <c r="AH68" s="638"/>
      <c r="AI68" s="636"/>
      <c r="AJ68" s="636"/>
      <c r="AK68" s="636"/>
      <c r="AL68" s="636"/>
      <c r="AM68" s="636"/>
      <c r="AN68" s="636"/>
      <c r="AO68" s="636"/>
      <c r="AP68" s="636"/>
      <c r="AQ68" s="636"/>
      <c r="AR68" s="636"/>
      <c r="AS68" s="638"/>
      <c r="AT68" s="638"/>
      <c r="AU68" s="638"/>
      <c r="AV68" s="638"/>
      <c r="AW68" s="638"/>
      <c r="AX68" s="638"/>
      <c r="AY68" s="638"/>
    </row>
    <row r="69" s="399" customFormat="1" customHeight="1" spans="1:51">
      <c r="A69" s="629"/>
      <c r="B69" s="639"/>
      <c r="C69" s="629"/>
      <c r="D69" s="634"/>
      <c r="E69" s="634"/>
      <c r="F69" s="634"/>
      <c r="G69" s="631"/>
      <c r="H69" s="633"/>
      <c r="I69" s="634"/>
      <c r="J69" s="632"/>
      <c r="K69" s="629"/>
      <c r="L69" s="629"/>
      <c r="M69" s="629"/>
      <c r="N69" s="635"/>
      <c r="O69" s="629"/>
      <c r="P69" s="629"/>
      <c r="Q69" s="629"/>
      <c r="R69" s="629"/>
      <c r="S69" s="629"/>
      <c r="T69" s="629"/>
      <c r="U69" s="636"/>
      <c r="V69" s="637"/>
      <c r="W69" s="638"/>
      <c r="X69" s="639"/>
      <c r="Y69" s="640"/>
      <c r="Z69" s="640"/>
      <c r="AA69" s="641"/>
      <c r="AB69" s="642"/>
      <c r="AC69" s="643"/>
      <c r="AD69" s="644"/>
      <c r="AE69" s="645"/>
      <c r="AF69" s="646"/>
      <c r="AG69" s="647"/>
      <c r="AH69" s="638"/>
      <c r="AI69" s="636"/>
      <c r="AJ69" s="636"/>
      <c r="AK69" s="636"/>
      <c r="AL69" s="636"/>
      <c r="AM69" s="636"/>
      <c r="AN69" s="636"/>
      <c r="AO69" s="636"/>
      <c r="AP69" s="636"/>
      <c r="AQ69" s="636"/>
      <c r="AR69" s="636"/>
      <c r="AS69" s="638"/>
      <c r="AT69" s="638"/>
      <c r="AU69" s="638"/>
      <c r="AV69" s="638"/>
      <c r="AW69" s="638"/>
      <c r="AX69" s="638"/>
      <c r="AY69" s="638"/>
    </row>
    <row r="70" s="399" customFormat="1" customHeight="1" spans="1:51">
      <c r="A70" s="629"/>
      <c r="B70" s="639"/>
      <c r="C70" s="629"/>
      <c r="D70" s="634"/>
      <c r="E70" s="634"/>
      <c r="F70" s="634"/>
      <c r="G70" s="631"/>
      <c r="H70" s="633"/>
      <c r="I70" s="634"/>
      <c r="J70" s="632"/>
      <c r="K70" s="629"/>
      <c r="L70" s="629"/>
      <c r="M70" s="629"/>
      <c r="N70" s="635"/>
      <c r="O70" s="629"/>
      <c r="P70" s="629"/>
      <c r="Q70" s="629"/>
      <c r="R70" s="629"/>
      <c r="S70" s="629"/>
      <c r="T70" s="629"/>
      <c r="U70" s="636"/>
      <c r="V70" s="637"/>
      <c r="W70" s="638"/>
      <c r="X70" s="639"/>
      <c r="Y70" s="640"/>
      <c r="Z70" s="640"/>
      <c r="AA70" s="641"/>
      <c r="AB70" s="642"/>
      <c r="AC70" s="643"/>
      <c r="AD70" s="644"/>
      <c r="AE70" s="645"/>
      <c r="AF70" s="646"/>
      <c r="AG70" s="647"/>
      <c r="AH70" s="638"/>
      <c r="AI70" s="636"/>
      <c r="AJ70" s="636"/>
      <c r="AK70" s="636"/>
      <c r="AL70" s="636"/>
      <c r="AM70" s="636"/>
      <c r="AN70" s="636"/>
      <c r="AO70" s="636"/>
      <c r="AP70" s="636"/>
      <c r="AQ70" s="636"/>
      <c r="AR70" s="636"/>
      <c r="AS70" s="638"/>
      <c r="AT70" s="638"/>
      <c r="AU70" s="638"/>
      <c r="AV70" s="638"/>
      <c r="AW70" s="638"/>
      <c r="AX70" s="638"/>
      <c r="AY70" s="638"/>
    </row>
    <row r="71" s="399" customFormat="1" customHeight="1" spans="1:51">
      <c r="A71" s="629"/>
      <c r="B71" s="639"/>
      <c r="C71" s="629"/>
      <c r="D71" s="634"/>
      <c r="E71" s="634"/>
      <c r="F71" s="634"/>
      <c r="G71" s="631"/>
      <c r="H71" s="633"/>
      <c r="I71" s="634"/>
      <c r="J71" s="632"/>
      <c r="K71" s="629"/>
      <c r="L71" s="629"/>
      <c r="M71" s="629"/>
      <c r="N71" s="635"/>
      <c r="O71" s="629"/>
      <c r="P71" s="629"/>
      <c r="Q71" s="629"/>
      <c r="R71" s="629"/>
      <c r="S71" s="629"/>
      <c r="T71" s="629"/>
      <c r="U71" s="636"/>
      <c r="V71" s="637"/>
      <c r="W71" s="638"/>
      <c r="X71" s="639"/>
      <c r="Y71" s="640"/>
      <c r="Z71" s="640"/>
      <c r="AA71" s="641"/>
      <c r="AB71" s="642"/>
      <c r="AC71" s="643"/>
      <c r="AD71" s="644"/>
      <c r="AE71" s="645"/>
      <c r="AF71" s="646"/>
      <c r="AG71" s="647"/>
      <c r="AH71" s="638"/>
      <c r="AI71" s="636"/>
      <c r="AJ71" s="636"/>
      <c r="AK71" s="636"/>
      <c r="AL71" s="636"/>
      <c r="AM71" s="636"/>
      <c r="AN71" s="636"/>
      <c r="AO71" s="636"/>
      <c r="AP71" s="636"/>
      <c r="AQ71" s="636"/>
      <c r="AR71" s="636"/>
      <c r="AS71" s="638"/>
      <c r="AT71" s="638"/>
      <c r="AU71" s="638"/>
      <c r="AV71" s="638"/>
      <c r="AW71" s="638"/>
      <c r="AX71" s="638"/>
      <c r="AY71" s="638"/>
    </row>
    <row r="72" s="399" customFormat="1" customHeight="1" spans="1:51">
      <c r="A72" s="629"/>
      <c r="B72" s="639"/>
      <c r="C72" s="629"/>
      <c r="D72" s="634"/>
      <c r="E72" s="634"/>
      <c r="F72" s="634"/>
      <c r="G72" s="631"/>
      <c r="H72" s="633"/>
      <c r="I72" s="634"/>
      <c r="J72" s="632"/>
      <c r="K72" s="629"/>
      <c r="L72" s="629"/>
      <c r="M72" s="629"/>
      <c r="N72" s="635"/>
      <c r="O72" s="629"/>
      <c r="P72" s="629"/>
      <c r="Q72" s="629"/>
      <c r="R72" s="629"/>
      <c r="S72" s="629"/>
      <c r="T72" s="629"/>
      <c r="U72" s="636"/>
      <c r="V72" s="637"/>
      <c r="W72" s="638"/>
      <c r="X72" s="639"/>
      <c r="Y72" s="640"/>
      <c r="Z72" s="640"/>
      <c r="AA72" s="641"/>
      <c r="AB72" s="642"/>
      <c r="AC72" s="643"/>
      <c r="AD72" s="644"/>
      <c r="AE72" s="645"/>
      <c r="AF72" s="646"/>
      <c r="AG72" s="647"/>
      <c r="AH72" s="638"/>
      <c r="AI72" s="636"/>
      <c r="AJ72" s="636"/>
      <c r="AK72" s="636"/>
      <c r="AL72" s="636"/>
      <c r="AM72" s="636"/>
      <c r="AN72" s="636"/>
      <c r="AO72" s="636"/>
      <c r="AP72" s="636"/>
      <c r="AQ72" s="636"/>
      <c r="AR72" s="636"/>
      <c r="AS72" s="638"/>
      <c r="AT72" s="638"/>
      <c r="AU72" s="638"/>
      <c r="AV72" s="638"/>
      <c r="AW72" s="638"/>
      <c r="AX72" s="638"/>
      <c r="AY72" s="638"/>
    </row>
    <row r="73" s="399" customFormat="1" customHeight="1" spans="1:51">
      <c r="A73" s="629"/>
      <c r="B73" s="639"/>
      <c r="C73" s="629"/>
      <c r="D73" s="634"/>
      <c r="E73" s="634"/>
      <c r="F73" s="634"/>
      <c r="G73" s="631"/>
      <c r="H73" s="633"/>
      <c r="I73" s="634"/>
      <c r="J73" s="632"/>
      <c r="K73" s="629"/>
      <c r="L73" s="629"/>
      <c r="M73" s="629"/>
      <c r="N73" s="635"/>
      <c r="O73" s="629"/>
      <c r="P73" s="629"/>
      <c r="Q73" s="629"/>
      <c r="R73" s="629"/>
      <c r="S73" s="629"/>
      <c r="T73" s="629"/>
      <c r="U73" s="636"/>
      <c r="V73" s="637"/>
      <c r="W73" s="638"/>
      <c r="X73" s="639"/>
      <c r="Y73" s="640"/>
      <c r="Z73" s="640"/>
      <c r="AA73" s="641"/>
      <c r="AB73" s="642"/>
      <c r="AC73" s="643"/>
      <c r="AD73" s="644"/>
      <c r="AE73" s="645"/>
      <c r="AF73" s="646"/>
      <c r="AG73" s="647"/>
      <c r="AH73" s="638"/>
      <c r="AI73" s="636"/>
      <c r="AJ73" s="636"/>
      <c r="AK73" s="636"/>
      <c r="AL73" s="636"/>
      <c r="AM73" s="636"/>
      <c r="AN73" s="636"/>
      <c r="AO73" s="636"/>
      <c r="AP73" s="636"/>
      <c r="AQ73" s="636"/>
      <c r="AR73" s="636"/>
      <c r="AS73" s="638"/>
      <c r="AT73" s="638"/>
      <c r="AU73" s="638"/>
      <c r="AV73" s="638"/>
      <c r="AW73" s="638"/>
      <c r="AX73" s="638"/>
      <c r="AY73" s="638"/>
    </row>
    <row r="74" s="399" customFormat="1" customHeight="1" spans="1:51">
      <c r="A74" s="629"/>
      <c r="B74" s="639"/>
      <c r="C74" s="629"/>
      <c r="D74" s="634"/>
      <c r="E74" s="634"/>
      <c r="F74" s="634"/>
      <c r="G74" s="631"/>
      <c r="H74" s="633"/>
      <c r="I74" s="634"/>
      <c r="J74" s="632"/>
      <c r="K74" s="629"/>
      <c r="L74" s="629"/>
      <c r="M74" s="629"/>
      <c r="N74" s="635"/>
      <c r="O74" s="629"/>
      <c r="P74" s="629"/>
      <c r="Q74" s="629"/>
      <c r="R74" s="629"/>
      <c r="S74" s="629"/>
      <c r="T74" s="629"/>
      <c r="U74" s="636"/>
      <c r="V74" s="637"/>
      <c r="W74" s="638"/>
      <c r="X74" s="639"/>
      <c r="Y74" s="640"/>
      <c r="Z74" s="640"/>
      <c r="AA74" s="641"/>
      <c r="AB74" s="642"/>
      <c r="AC74" s="643"/>
      <c r="AD74" s="644"/>
      <c r="AE74" s="645"/>
      <c r="AF74" s="646"/>
      <c r="AG74" s="647"/>
      <c r="AH74" s="638"/>
      <c r="AI74" s="636"/>
      <c r="AJ74" s="636"/>
      <c r="AK74" s="636"/>
      <c r="AL74" s="636"/>
      <c r="AM74" s="636"/>
      <c r="AN74" s="636"/>
      <c r="AO74" s="636"/>
      <c r="AP74" s="636"/>
      <c r="AQ74" s="636"/>
      <c r="AR74" s="636"/>
      <c r="AS74" s="638"/>
      <c r="AT74" s="638"/>
      <c r="AU74" s="638"/>
      <c r="AV74" s="638"/>
      <c r="AW74" s="638"/>
      <c r="AX74" s="638"/>
      <c r="AY74" s="638"/>
    </row>
    <row r="75" s="399" customFormat="1" customHeight="1" spans="1:51">
      <c r="A75" s="629"/>
      <c r="B75" s="639"/>
      <c r="C75" s="629"/>
      <c r="D75" s="634"/>
      <c r="E75" s="634"/>
      <c r="F75" s="634"/>
      <c r="G75" s="631"/>
      <c r="H75" s="633"/>
      <c r="I75" s="634"/>
      <c r="J75" s="632"/>
      <c r="K75" s="629"/>
      <c r="L75" s="629"/>
      <c r="M75" s="629"/>
      <c r="N75" s="635"/>
      <c r="O75" s="629"/>
      <c r="P75" s="629"/>
      <c r="Q75" s="629"/>
      <c r="R75" s="629"/>
      <c r="S75" s="629"/>
      <c r="T75" s="629"/>
      <c r="U75" s="636"/>
      <c r="V75" s="637"/>
      <c r="W75" s="638"/>
      <c r="X75" s="639"/>
      <c r="Y75" s="640"/>
      <c r="Z75" s="640"/>
      <c r="AA75" s="641"/>
      <c r="AB75" s="642"/>
      <c r="AC75" s="643"/>
      <c r="AD75" s="644"/>
      <c r="AE75" s="645"/>
      <c r="AF75" s="646"/>
      <c r="AG75" s="647"/>
      <c r="AH75" s="638"/>
      <c r="AI75" s="636"/>
      <c r="AJ75" s="636"/>
      <c r="AK75" s="636"/>
      <c r="AL75" s="636"/>
      <c r="AM75" s="636"/>
      <c r="AN75" s="636"/>
      <c r="AO75" s="636"/>
      <c r="AP75" s="636"/>
      <c r="AQ75" s="636"/>
      <c r="AR75" s="636"/>
      <c r="AS75" s="638"/>
      <c r="AT75" s="638"/>
      <c r="AU75" s="638"/>
      <c r="AV75" s="638"/>
      <c r="AW75" s="638"/>
      <c r="AX75" s="638"/>
      <c r="AY75" s="638"/>
    </row>
    <row r="76" s="399" customFormat="1" customHeight="1" spans="1:51">
      <c r="A76" s="629"/>
      <c r="B76" s="639"/>
      <c r="C76" s="629"/>
      <c r="D76" s="634"/>
      <c r="E76" s="634"/>
      <c r="F76" s="634"/>
      <c r="G76" s="631"/>
      <c r="H76" s="633"/>
      <c r="I76" s="634"/>
      <c r="J76" s="632"/>
      <c r="K76" s="629"/>
      <c r="L76" s="629"/>
      <c r="M76" s="629"/>
      <c r="N76" s="635"/>
      <c r="O76" s="629"/>
      <c r="P76" s="629"/>
      <c r="Q76" s="629"/>
      <c r="R76" s="629"/>
      <c r="S76" s="629"/>
      <c r="T76" s="629"/>
      <c r="U76" s="636"/>
      <c r="V76" s="637"/>
      <c r="W76" s="638"/>
      <c r="X76" s="639"/>
      <c r="Y76" s="640"/>
      <c r="Z76" s="640"/>
      <c r="AA76" s="641"/>
      <c r="AB76" s="642"/>
      <c r="AC76" s="643"/>
      <c r="AD76" s="644"/>
      <c r="AE76" s="645"/>
      <c r="AF76" s="646"/>
      <c r="AG76" s="647"/>
      <c r="AH76" s="638"/>
      <c r="AI76" s="636"/>
      <c r="AJ76" s="636"/>
      <c r="AK76" s="636"/>
      <c r="AL76" s="636"/>
      <c r="AM76" s="636"/>
      <c r="AN76" s="636"/>
      <c r="AO76" s="636"/>
      <c r="AP76" s="636"/>
      <c r="AQ76" s="636"/>
      <c r="AR76" s="636"/>
      <c r="AS76" s="638"/>
      <c r="AT76" s="638"/>
      <c r="AU76" s="638"/>
      <c r="AV76" s="638"/>
      <c r="AW76" s="638"/>
      <c r="AX76" s="638"/>
      <c r="AY76" s="638"/>
    </row>
    <row r="77" s="399" customFormat="1" customHeight="1" spans="1:51">
      <c r="A77" s="629"/>
      <c r="B77" s="639"/>
      <c r="C77" s="629"/>
      <c r="D77" s="634"/>
      <c r="E77" s="634"/>
      <c r="F77" s="634"/>
      <c r="G77" s="631"/>
      <c r="H77" s="633"/>
      <c r="I77" s="634"/>
      <c r="J77" s="632"/>
      <c r="K77" s="629"/>
      <c r="L77" s="629"/>
      <c r="M77" s="629"/>
      <c r="N77" s="635"/>
      <c r="O77" s="629"/>
      <c r="P77" s="629"/>
      <c r="Q77" s="629"/>
      <c r="R77" s="629"/>
      <c r="S77" s="629"/>
      <c r="T77" s="629"/>
      <c r="U77" s="636"/>
      <c r="V77" s="637"/>
      <c r="W77" s="638"/>
      <c r="X77" s="639"/>
      <c r="Y77" s="640"/>
      <c r="Z77" s="640"/>
      <c r="AA77" s="641"/>
      <c r="AB77" s="642"/>
      <c r="AC77" s="643"/>
      <c r="AD77" s="644"/>
      <c r="AE77" s="645"/>
      <c r="AF77" s="646"/>
      <c r="AG77" s="647"/>
      <c r="AH77" s="638"/>
      <c r="AI77" s="636"/>
      <c r="AJ77" s="636"/>
      <c r="AK77" s="636"/>
      <c r="AL77" s="636"/>
      <c r="AM77" s="636"/>
      <c r="AN77" s="636"/>
      <c r="AO77" s="636"/>
      <c r="AP77" s="636"/>
      <c r="AQ77" s="636"/>
      <c r="AR77" s="636"/>
      <c r="AS77" s="638"/>
      <c r="AT77" s="638"/>
      <c r="AU77" s="638"/>
      <c r="AV77" s="638"/>
      <c r="AW77" s="638"/>
      <c r="AX77" s="638"/>
      <c r="AY77" s="638"/>
    </row>
    <row r="78" s="399" customFormat="1" customHeight="1" spans="1:51">
      <c r="A78" s="629"/>
      <c r="B78" s="639"/>
      <c r="C78" s="629"/>
      <c r="D78" s="634"/>
      <c r="E78" s="634"/>
      <c r="F78" s="634"/>
      <c r="G78" s="631"/>
      <c r="H78" s="633"/>
      <c r="I78" s="634"/>
      <c r="J78" s="632"/>
      <c r="K78" s="629"/>
      <c r="L78" s="629"/>
      <c r="M78" s="629"/>
      <c r="N78" s="635"/>
      <c r="O78" s="629"/>
      <c r="P78" s="629"/>
      <c r="Q78" s="629"/>
      <c r="R78" s="629"/>
      <c r="S78" s="629"/>
      <c r="T78" s="629"/>
      <c r="U78" s="636"/>
      <c r="V78" s="637"/>
      <c r="W78" s="638"/>
      <c r="X78" s="639"/>
      <c r="Y78" s="640"/>
      <c r="Z78" s="640"/>
      <c r="AA78" s="641"/>
      <c r="AB78" s="642"/>
      <c r="AC78" s="643"/>
      <c r="AD78" s="644"/>
      <c r="AE78" s="645"/>
      <c r="AF78" s="646"/>
      <c r="AG78" s="647"/>
      <c r="AH78" s="638"/>
      <c r="AI78" s="636"/>
      <c r="AJ78" s="636"/>
      <c r="AK78" s="636"/>
      <c r="AL78" s="636"/>
      <c r="AM78" s="636"/>
      <c r="AN78" s="636"/>
      <c r="AO78" s="636"/>
      <c r="AP78" s="636"/>
      <c r="AQ78" s="636"/>
      <c r="AR78" s="636"/>
      <c r="AS78" s="638"/>
      <c r="AT78" s="638"/>
      <c r="AU78" s="638"/>
      <c r="AV78" s="638"/>
      <c r="AW78" s="638"/>
      <c r="AX78" s="638"/>
      <c r="AY78" s="638"/>
    </row>
    <row r="79" s="399" customFormat="1" customHeight="1" spans="1:51">
      <c r="A79" s="629"/>
      <c r="B79" s="639"/>
      <c r="C79" s="629"/>
      <c r="D79" s="634"/>
      <c r="E79" s="634"/>
      <c r="F79" s="634"/>
      <c r="G79" s="631"/>
      <c r="H79" s="633"/>
      <c r="I79" s="634"/>
      <c r="J79" s="632"/>
      <c r="K79" s="629"/>
      <c r="L79" s="629"/>
      <c r="M79" s="629"/>
      <c r="N79" s="635"/>
      <c r="O79" s="629"/>
      <c r="P79" s="629"/>
      <c r="Q79" s="629"/>
      <c r="R79" s="629"/>
      <c r="S79" s="629"/>
      <c r="T79" s="629"/>
      <c r="U79" s="636"/>
      <c r="V79" s="637"/>
      <c r="W79" s="638"/>
      <c r="X79" s="639"/>
      <c r="Y79" s="640"/>
      <c r="Z79" s="640"/>
      <c r="AA79" s="641"/>
      <c r="AB79" s="642"/>
      <c r="AC79" s="643"/>
      <c r="AD79" s="644"/>
      <c r="AE79" s="645"/>
      <c r="AF79" s="646"/>
      <c r="AG79" s="647"/>
      <c r="AH79" s="638"/>
      <c r="AI79" s="636"/>
      <c r="AJ79" s="636"/>
      <c r="AK79" s="636"/>
      <c r="AL79" s="636"/>
      <c r="AM79" s="636"/>
      <c r="AN79" s="636"/>
      <c r="AO79" s="636"/>
      <c r="AP79" s="636"/>
      <c r="AQ79" s="636"/>
      <c r="AR79" s="636"/>
      <c r="AS79" s="638"/>
      <c r="AT79" s="638"/>
      <c r="AU79" s="638"/>
      <c r="AV79" s="638"/>
      <c r="AW79" s="638"/>
      <c r="AX79" s="638"/>
      <c r="AY79" s="638"/>
    </row>
    <row r="80" s="399" customFormat="1" customHeight="1" spans="1:51">
      <c r="A80" s="629"/>
      <c r="B80" s="639"/>
      <c r="C80" s="629"/>
      <c r="D80" s="634"/>
      <c r="E80" s="634"/>
      <c r="F80" s="634"/>
      <c r="G80" s="631"/>
      <c r="H80" s="633"/>
      <c r="I80" s="634"/>
      <c r="J80" s="632"/>
      <c r="K80" s="629"/>
      <c r="L80" s="629"/>
      <c r="M80" s="629"/>
      <c r="N80" s="635"/>
      <c r="O80" s="629"/>
      <c r="P80" s="629"/>
      <c r="Q80" s="629"/>
      <c r="R80" s="629"/>
      <c r="S80" s="629"/>
      <c r="T80" s="629"/>
      <c r="U80" s="636"/>
      <c r="V80" s="637"/>
      <c r="W80" s="638"/>
      <c r="X80" s="639"/>
      <c r="Y80" s="640"/>
      <c r="Z80" s="640"/>
      <c r="AA80" s="641"/>
      <c r="AB80" s="642"/>
      <c r="AC80" s="643"/>
      <c r="AD80" s="644"/>
      <c r="AE80" s="645"/>
      <c r="AF80" s="646"/>
      <c r="AG80" s="647"/>
      <c r="AH80" s="638"/>
      <c r="AI80" s="636"/>
      <c r="AJ80" s="636"/>
      <c r="AK80" s="636"/>
      <c r="AL80" s="636"/>
      <c r="AM80" s="636"/>
      <c r="AN80" s="636"/>
      <c r="AO80" s="636"/>
      <c r="AP80" s="636"/>
      <c r="AQ80" s="636"/>
      <c r="AR80" s="636"/>
      <c r="AS80" s="638"/>
      <c r="AT80" s="638"/>
      <c r="AU80" s="638"/>
      <c r="AV80" s="638"/>
      <c r="AW80" s="638"/>
      <c r="AX80" s="638"/>
      <c r="AY80" s="638"/>
    </row>
    <row r="81" s="399" customFormat="1" customHeight="1" spans="1:51">
      <c r="A81" s="629"/>
      <c r="B81" s="639"/>
      <c r="C81" s="629"/>
      <c r="D81" s="634"/>
      <c r="E81" s="634"/>
      <c r="F81" s="634"/>
      <c r="G81" s="631"/>
      <c r="H81" s="633"/>
      <c r="I81" s="634"/>
      <c r="J81" s="632"/>
      <c r="K81" s="629"/>
      <c r="L81" s="629"/>
      <c r="M81" s="629"/>
      <c r="N81" s="635"/>
      <c r="O81" s="629"/>
      <c r="P81" s="629"/>
      <c r="Q81" s="629"/>
      <c r="R81" s="629"/>
      <c r="S81" s="629"/>
      <c r="T81" s="629"/>
      <c r="U81" s="636"/>
      <c r="V81" s="637"/>
      <c r="W81" s="638"/>
      <c r="X81" s="639"/>
      <c r="Y81" s="640"/>
      <c r="Z81" s="640"/>
      <c r="AA81" s="641"/>
      <c r="AB81" s="642"/>
      <c r="AC81" s="643"/>
      <c r="AD81" s="644"/>
      <c r="AE81" s="645"/>
      <c r="AF81" s="646"/>
      <c r="AG81" s="647"/>
      <c r="AH81" s="638"/>
      <c r="AI81" s="636"/>
      <c r="AJ81" s="636"/>
      <c r="AK81" s="636"/>
      <c r="AL81" s="636"/>
      <c r="AM81" s="636"/>
      <c r="AN81" s="636"/>
      <c r="AO81" s="636"/>
      <c r="AP81" s="636"/>
      <c r="AQ81" s="636"/>
      <c r="AR81" s="636"/>
      <c r="AS81" s="638"/>
      <c r="AT81" s="638"/>
      <c r="AU81" s="638"/>
      <c r="AV81" s="638"/>
      <c r="AW81" s="638"/>
      <c r="AX81" s="638"/>
      <c r="AY81" s="638"/>
    </row>
    <row r="82" s="399" customFormat="1" customHeight="1" spans="1:51">
      <c r="A82" s="629"/>
      <c r="B82" s="639"/>
      <c r="C82" s="629"/>
      <c r="D82" s="634"/>
      <c r="E82" s="634"/>
      <c r="F82" s="634"/>
      <c r="G82" s="631"/>
      <c r="H82" s="633"/>
      <c r="I82" s="634"/>
      <c r="J82" s="632"/>
      <c r="K82" s="629"/>
      <c r="L82" s="629"/>
      <c r="M82" s="629"/>
      <c r="N82" s="635"/>
      <c r="O82" s="629"/>
      <c r="P82" s="629"/>
      <c r="Q82" s="629"/>
      <c r="R82" s="629"/>
      <c r="S82" s="629"/>
      <c r="T82" s="629"/>
      <c r="U82" s="636"/>
      <c r="V82" s="637"/>
      <c r="W82" s="638"/>
      <c r="X82" s="639"/>
      <c r="Y82" s="640"/>
      <c r="Z82" s="640"/>
      <c r="AA82" s="641"/>
      <c r="AB82" s="642"/>
      <c r="AC82" s="643"/>
      <c r="AD82" s="644"/>
      <c r="AE82" s="645"/>
      <c r="AF82" s="646"/>
      <c r="AG82" s="647"/>
      <c r="AH82" s="638"/>
      <c r="AI82" s="636"/>
      <c r="AJ82" s="636"/>
      <c r="AK82" s="636"/>
      <c r="AL82" s="636"/>
      <c r="AM82" s="636"/>
      <c r="AN82" s="636"/>
      <c r="AO82" s="636"/>
      <c r="AP82" s="636"/>
      <c r="AQ82" s="636"/>
      <c r="AR82" s="636"/>
      <c r="AS82" s="638"/>
      <c r="AT82" s="638"/>
      <c r="AU82" s="638"/>
      <c r="AV82" s="638"/>
      <c r="AW82" s="638"/>
      <c r="AX82" s="638"/>
      <c r="AY82" s="638"/>
    </row>
    <row r="83" s="399" customFormat="1" customHeight="1" spans="1:51">
      <c r="A83" s="629"/>
      <c r="B83" s="639"/>
      <c r="C83" s="629"/>
      <c r="D83" s="634"/>
      <c r="E83" s="634"/>
      <c r="F83" s="634"/>
      <c r="G83" s="631"/>
      <c r="H83" s="633"/>
      <c r="I83" s="634"/>
      <c r="J83" s="632"/>
      <c r="K83" s="629"/>
      <c r="L83" s="629"/>
      <c r="M83" s="629"/>
      <c r="N83" s="635"/>
      <c r="O83" s="629"/>
      <c r="P83" s="629"/>
      <c r="Q83" s="629"/>
      <c r="R83" s="629"/>
      <c r="S83" s="629"/>
      <c r="T83" s="629"/>
      <c r="U83" s="636"/>
      <c r="V83" s="637"/>
      <c r="W83" s="638"/>
      <c r="X83" s="639"/>
      <c r="Y83" s="640"/>
      <c r="Z83" s="640"/>
      <c r="AA83" s="641"/>
      <c r="AB83" s="642"/>
      <c r="AC83" s="643"/>
      <c r="AD83" s="644"/>
      <c r="AE83" s="645"/>
      <c r="AF83" s="646"/>
      <c r="AG83" s="647"/>
      <c r="AH83" s="638"/>
      <c r="AI83" s="636"/>
      <c r="AJ83" s="636"/>
      <c r="AK83" s="636"/>
      <c r="AL83" s="636"/>
      <c r="AM83" s="636"/>
      <c r="AN83" s="636"/>
      <c r="AO83" s="636"/>
      <c r="AP83" s="636"/>
      <c r="AQ83" s="636"/>
      <c r="AR83" s="636"/>
      <c r="AS83" s="638"/>
      <c r="AT83" s="638"/>
      <c r="AU83" s="638"/>
      <c r="AV83" s="638"/>
      <c r="AW83" s="638"/>
      <c r="AX83" s="638"/>
      <c r="AY83" s="638"/>
    </row>
    <row r="84" s="399" customFormat="1" customHeight="1" spans="1:51">
      <c r="A84" s="629"/>
      <c r="B84" s="639"/>
      <c r="C84" s="629"/>
      <c r="D84" s="634"/>
      <c r="E84" s="634"/>
      <c r="F84" s="634"/>
      <c r="G84" s="631"/>
      <c r="H84" s="633"/>
      <c r="I84" s="634"/>
      <c r="J84" s="632"/>
      <c r="K84" s="629"/>
      <c r="L84" s="629"/>
      <c r="M84" s="629"/>
      <c r="N84" s="635"/>
      <c r="O84" s="629"/>
      <c r="P84" s="629"/>
      <c r="Q84" s="629"/>
      <c r="R84" s="629"/>
      <c r="S84" s="629"/>
      <c r="T84" s="629"/>
      <c r="U84" s="636"/>
      <c r="V84" s="637"/>
      <c r="W84" s="638"/>
      <c r="X84" s="639"/>
      <c r="Y84" s="640"/>
      <c r="Z84" s="640"/>
      <c r="AA84" s="641"/>
      <c r="AB84" s="642"/>
      <c r="AC84" s="643"/>
      <c r="AD84" s="644"/>
      <c r="AE84" s="645"/>
      <c r="AF84" s="646"/>
      <c r="AG84" s="647"/>
      <c r="AH84" s="638"/>
      <c r="AI84" s="636"/>
      <c r="AJ84" s="636"/>
      <c r="AK84" s="636"/>
      <c r="AL84" s="636"/>
      <c r="AM84" s="636"/>
      <c r="AN84" s="636"/>
      <c r="AO84" s="636"/>
      <c r="AP84" s="636"/>
      <c r="AQ84" s="636"/>
      <c r="AR84" s="636"/>
      <c r="AS84" s="638"/>
      <c r="AT84" s="638"/>
      <c r="AU84" s="638"/>
      <c r="AV84" s="638"/>
      <c r="AW84" s="638"/>
      <c r="AX84" s="638"/>
      <c r="AY84" s="638"/>
    </row>
    <row r="85" s="399" customFormat="1" customHeight="1" spans="1:51">
      <c r="A85" s="629"/>
      <c r="B85" s="639"/>
      <c r="C85" s="629"/>
      <c r="D85" s="634"/>
      <c r="E85" s="634"/>
      <c r="F85" s="634"/>
      <c r="G85" s="631"/>
      <c r="H85" s="633"/>
      <c r="I85" s="634"/>
      <c r="J85" s="632"/>
      <c r="K85" s="629"/>
      <c r="L85" s="629"/>
      <c r="M85" s="629"/>
      <c r="N85" s="635"/>
      <c r="O85" s="629"/>
      <c r="P85" s="629"/>
      <c r="Q85" s="629"/>
      <c r="R85" s="629"/>
      <c r="S85" s="629"/>
      <c r="T85" s="629"/>
      <c r="U85" s="636"/>
      <c r="V85" s="637"/>
      <c r="W85" s="638"/>
      <c r="X85" s="639"/>
      <c r="Y85" s="640"/>
      <c r="Z85" s="640"/>
      <c r="AA85" s="641"/>
      <c r="AB85" s="642"/>
      <c r="AC85" s="643"/>
      <c r="AD85" s="644"/>
      <c r="AE85" s="645"/>
      <c r="AF85" s="646"/>
      <c r="AG85" s="647"/>
      <c r="AH85" s="638"/>
      <c r="AI85" s="636"/>
      <c r="AJ85" s="636"/>
      <c r="AK85" s="636"/>
      <c r="AL85" s="636"/>
      <c r="AM85" s="636"/>
      <c r="AN85" s="636"/>
      <c r="AO85" s="636"/>
      <c r="AP85" s="636"/>
      <c r="AQ85" s="636"/>
      <c r="AR85" s="636"/>
      <c r="AS85" s="638"/>
      <c r="AT85" s="638"/>
      <c r="AU85" s="638"/>
      <c r="AV85" s="638"/>
      <c r="AW85" s="638"/>
      <c r="AX85" s="638"/>
      <c r="AY85" s="638"/>
    </row>
    <row r="86" s="399" customFormat="1" customHeight="1" spans="1:51">
      <c r="A86" s="629"/>
      <c r="B86" s="639"/>
      <c r="C86" s="629"/>
      <c r="D86" s="634"/>
      <c r="E86" s="634"/>
      <c r="F86" s="634"/>
      <c r="G86" s="631"/>
      <c r="H86" s="633"/>
      <c r="I86" s="634"/>
      <c r="J86" s="632"/>
      <c r="K86" s="629"/>
      <c r="L86" s="629"/>
      <c r="M86" s="629"/>
      <c r="N86" s="635"/>
      <c r="O86" s="629"/>
      <c r="P86" s="629"/>
      <c r="Q86" s="629"/>
      <c r="R86" s="629"/>
      <c r="S86" s="629"/>
      <c r="T86" s="629"/>
      <c r="U86" s="636"/>
      <c r="V86" s="637"/>
      <c r="W86" s="638"/>
      <c r="X86" s="639"/>
      <c r="Y86" s="640"/>
      <c r="Z86" s="640"/>
      <c r="AA86" s="641"/>
      <c r="AB86" s="642"/>
      <c r="AC86" s="643"/>
      <c r="AD86" s="644"/>
      <c r="AE86" s="645"/>
      <c r="AF86" s="646"/>
      <c r="AG86" s="647"/>
      <c r="AH86" s="638"/>
      <c r="AI86" s="636"/>
      <c r="AJ86" s="636"/>
      <c r="AK86" s="636"/>
      <c r="AL86" s="636"/>
      <c r="AM86" s="636"/>
      <c r="AN86" s="636"/>
      <c r="AO86" s="636"/>
      <c r="AP86" s="636"/>
      <c r="AQ86" s="636"/>
      <c r="AR86" s="636"/>
      <c r="AS86" s="638"/>
      <c r="AT86" s="638"/>
      <c r="AU86" s="638"/>
      <c r="AV86" s="638"/>
      <c r="AW86" s="638"/>
      <c r="AX86" s="638"/>
      <c r="AY86" s="638"/>
    </row>
    <row r="87" s="399" customFormat="1" customHeight="1" spans="1:51">
      <c r="A87" s="629"/>
      <c r="B87" s="639"/>
      <c r="C87" s="629"/>
      <c r="D87" s="634"/>
      <c r="E87" s="634"/>
      <c r="F87" s="634"/>
      <c r="G87" s="631"/>
      <c r="H87" s="633"/>
      <c r="I87" s="634"/>
      <c r="J87" s="632"/>
      <c r="K87" s="629"/>
      <c r="L87" s="629"/>
      <c r="M87" s="629"/>
      <c r="N87" s="635"/>
      <c r="O87" s="629"/>
      <c r="P87" s="629"/>
      <c r="Q87" s="629"/>
      <c r="R87" s="629"/>
      <c r="S87" s="629"/>
      <c r="T87" s="629"/>
      <c r="U87" s="636"/>
      <c r="V87" s="637"/>
      <c r="W87" s="638"/>
      <c r="X87" s="639"/>
      <c r="Y87" s="640"/>
      <c r="Z87" s="640"/>
      <c r="AA87" s="641"/>
      <c r="AB87" s="642"/>
      <c r="AC87" s="643"/>
      <c r="AD87" s="644"/>
      <c r="AE87" s="645"/>
      <c r="AF87" s="646"/>
      <c r="AG87" s="647"/>
      <c r="AH87" s="638"/>
      <c r="AI87" s="636"/>
      <c r="AJ87" s="636"/>
      <c r="AK87" s="636"/>
      <c r="AL87" s="636"/>
      <c r="AM87" s="636"/>
      <c r="AN87" s="636"/>
      <c r="AO87" s="636"/>
      <c r="AP87" s="636"/>
      <c r="AQ87" s="636"/>
      <c r="AR87" s="636"/>
      <c r="AS87" s="638"/>
      <c r="AT87" s="638"/>
      <c r="AU87" s="638"/>
      <c r="AV87" s="638"/>
      <c r="AW87" s="638"/>
      <c r="AX87" s="638"/>
      <c r="AY87" s="638"/>
    </row>
    <row r="88" s="399" customFormat="1" customHeight="1" spans="1:51">
      <c r="A88" s="629"/>
      <c r="B88" s="639"/>
      <c r="C88" s="629"/>
      <c r="D88" s="634"/>
      <c r="E88" s="634"/>
      <c r="F88" s="634"/>
      <c r="G88" s="631"/>
      <c r="H88" s="633"/>
      <c r="I88" s="634"/>
      <c r="J88" s="632"/>
      <c r="K88" s="629"/>
      <c r="L88" s="629"/>
      <c r="M88" s="629"/>
      <c r="N88" s="635"/>
      <c r="O88" s="629"/>
      <c r="P88" s="629"/>
      <c r="Q88" s="629"/>
      <c r="R88" s="629"/>
      <c r="S88" s="629"/>
      <c r="T88" s="629"/>
      <c r="U88" s="636"/>
      <c r="V88" s="637"/>
      <c r="W88" s="638"/>
      <c r="X88" s="639"/>
      <c r="Y88" s="640"/>
      <c r="Z88" s="640"/>
      <c r="AA88" s="641"/>
      <c r="AB88" s="642"/>
      <c r="AC88" s="643"/>
      <c r="AD88" s="644"/>
      <c r="AE88" s="645"/>
      <c r="AF88" s="646"/>
      <c r="AG88" s="647"/>
      <c r="AH88" s="638"/>
      <c r="AI88" s="636"/>
      <c r="AJ88" s="636"/>
      <c r="AK88" s="636"/>
      <c r="AL88" s="636"/>
      <c r="AM88" s="636"/>
      <c r="AN88" s="636"/>
      <c r="AO88" s="636"/>
      <c r="AP88" s="636"/>
      <c r="AQ88" s="636"/>
      <c r="AR88" s="636"/>
      <c r="AS88" s="638"/>
      <c r="AT88" s="638"/>
      <c r="AU88" s="638"/>
      <c r="AV88" s="638"/>
      <c r="AW88" s="638"/>
      <c r="AX88" s="638"/>
      <c r="AY88" s="638"/>
    </row>
    <row r="89" s="399" customFormat="1" customHeight="1" spans="1:51">
      <c r="A89" s="629"/>
      <c r="B89" s="639"/>
      <c r="C89" s="629"/>
      <c r="D89" s="634"/>
      <c r="E89" s="634"/>
      <c r="F89" s="634"/>
      <c r="G89" s="631"/>
      <c r="H89" s="633"/>
      <c r="I89" s="634"/>
      <c r="J89" s="632"/>
      <c r="K89" s="629"/>
      <c r="L89" s="629"/>
      <c r="M89" s="629"/>
      <c r="N89" s="635"/>
      <c r="O89" s="629"/>
      <c r="P89" s="629"/>
      <c r="Q89" s="629"/>
      <c r="R89" s="629"/>
      <c r="S89" s="629"/>
      <c r="T89" s="629"/>
      <c r="U89" s="636"/>
      <c r="V89" s="637"/>
      <c r="W89" s="638"/>
      <c r="X89" s="639"/>
      <c r="Y89" s="640"/>
      <c r="Z89" s="640"/>
      <c r="AA89" s="641"/>
      <c r="AB89" s="642"/>
      <c r="AC89" s="643"/>
      <c r="AD89" s="644"/>
      <c r="AE89" s="645"/>
      <c r="AF89" s="646"/>
      <c r="AG89" s="647"/>
      <c r="AH89" s="638"/>
      <c r="AI89" s="636"/>
      <c r="AJ89" s="636"/>
      <c r="AK89" s="636"/>
      <c r="AL89" s="636"/>
      <c r="AM89" s="636"/>
      <c r="AN89" s="636"/>
      <c r="AO89" s="636"/>
      <c r="AP89" s="636"/>
      <c r="AQ89" s="636"/>
      <c r="AR89" s="636"/>
      <c r="AS89" s="638"/>
      <c r="AT89" s="638"/>
      <c r="AU89" s="638"/>
      <c r="AV89" s="638"/>
      <c r="AW89" s="638"/>
      <c r="AX89" s="638"/>
      <c r="AY89" s="638"/>
    </row>
    <row r="90" s="399" customFormat="1" customHeight="1" spans="1:51">
      <c r="A90" s="629"/>
      <c r="B90" s="639"/>
      <c r="C90" s="629"/>
      <c r="D90" s="634"/>
      <c r="E90" s="634"/>
      <c r="F90" s="634"/>
      <c r="G90" s="631"/>
      <c r="H90" s="633"/>
      <c r="I90" s="634"/>
      <c r="J90" s="632"/>
      <c r="K90" s="629"/>
      <c r="L90" s="629"/>
      <c r="M90" s="629"/>
      <c r="N90" s="635"/>
      <c r="O90" s="629"/>
      <c r="P90" s="629"/>
      <c r="Q90" s="629"/>
      <c r="R90" s="629"/>
      <c r="S90" s="629"/>
      <c r="T90" s="629"/>
      <c r="U90" s="636"/>
      <c r="V90" s="637"/>
      <c r="W90" s="638"/>
      <c r="X90" s="639"/>
      <c r="Y90" s="640"/>
      <c r="Z90" s="640"/>
      <c r="AA90" s="641"/>
      <c r="AB90" s="642"/>
      <c r="AC90" s="643"/>
      <c r="AD90" s="644"/>
      <c r="AE90" s="645"/>
      <c r="AF90" s="646"/>
      <c r="AG90" s="647"/>
      <c r="AH90" s="638"/>
      <c r="AI90" s="636"/>
      <c r="AJ90" s="636"/>
      <c r="AK90" s="636"/>
      <c r="AL90" s="636"/>
      <c r="AM90" s="636"/>
      <c r="AN90" s="636"/>
      <c r="AO90" s="636"/>
      <c r="AP90" s="636"/>
      <c r="AQ90" s="636"/>
      <c r="AR90" s="636"/>
      <c r="AS90" s="638"/>
      <c r="AT90" s="638"/>
      <c r="AU90" s="638"/>
      <c r="AV90" s="638"/>
      <c r="AW90" s="638"/>
      <c r="AX90" s="638"/>
      <c r="AY90" s="638"/>
    </row>
    <row r="91" s="399" customFormat="1" customHeight="1" spans="1:51">
      <c r="A91" s="629"/>
      <c r="B91" s="639"/>
      <c r="C91" s="629"/>
      <c r="D91" s="634"/>
      <c r="E91" s="634"/>
      <c r="F91" s="634"/>
      <c r="G91" s="631"/>
      <c r="H91" s="633"/>
      <c r="I91" s="634"/>
      <c r="J91" s="632"/>
      <c r="K91" s="629"/>
      <c r="L91" s="629"/>
      <c r="M91" s="629"/>
      <c r="N91" s="635"/>
      <c r="O91" s="629"/>
      <c r="P91" s="629"/>
      <c r="Q91" s="629"/>
      <c r="R91" s="629"/>
      <c r="S91" s="629"/>
      <c r="T91" s="629"/>
      <c r="U91" s="636"/>
      <c r="V91" s="637"/>
      <c r="W91" s="638"/>
      <c r="X91" s="639"/>
      <c r="Y91" s="640"/>
      <c r="Z91" s="640"/>
      <c r="AA91" s="641"/>
      <c r="AB91" s="642"/>
      <c r="AC91" s="643"/>
      <c r="AD91" s="644"/>
      <c r="AE91" s="645"/>
      <c r="AF91" s="646"/>
      <c r="AG91" s="647"/>
      <c r="AH91" s="638"/>
      <c r="AI91" s="636"/>
      <c r="AJ91" s="636"/>
      <c r="AK91" s="636"/>
      <c r="AL91" s="636"/>
      <c r="AM91" s="636"/>
      <c r="AN91" s="636"/>
      <c r="AO91" s="636"/>
      <c r="AP91" s="636"/>
      <c r="AQ91" s="636"/>
      <c r="AR91" s="636"/>
      <c r="AS91" s="638"/>
      <c r="AT91" s="638"/>
      <c r="AU91" s="638"/>
      <c r="AV91" s="638"/>
      <c r="AW91" s="638"/>
      <c r="AX91" s="638"/>
      <c r="AY91" s="638"/>
    </row>
    <row r="92" s="399" customFormat="1" customHeight="1" spans="1:51">
      <c r="A92" s="629"/>
      <c r="B92" s="639"/>
      <c r="C92" s="629"/>
      <c r="D92" s="634"/>
      <c r="E92" s="634"/>
      <c r="F92" s="634"/>
      <c r="G92" s="631"/>
      <c r="H92" s="633"/>
      <c r="I92" s="634"/>
      <c r="J92" s="632"/>
      <c r="K92" s="629"/>
      <c r="L92" s="629"/>
      <c r="M92" s="629"/>
      <c r="N92" s="635"/>
      <c r="O92" s="629"/>
      <c r="P92" s="629"/>
      <c r="Q92" s="629"/>
      <c r="R92" s="629"/>
      <c r="S92" s="629"/>
      <c r="T92" s="629"/>
      <c r="U92" s="636"/>
      <c r="V92" s="637"/>
      <c r="W92" s="638"/>
      <c r="X92" s="639"/>
      <c r="Y92" s="640"/>
      <c r="Z92" s="640"/>
      <c r="AA92" s="641"/>
      <c r="AB92" s="642"/>
      <c r="AC92" s="643"/>
      <c r="AD92" s="644"/>
      <c r="AE92" s="645"/>
      <c r="AF92" s="646"/>
      <c r="AG92" s="647"/>
      <c r="AH92" s="638"/>
      <c r="AI92" s="636"/>
      <c r="AJ92" s="636"/>
      <c r="AK92" s="636"/>
      <c r="AL92" s="636"/>
      <c r="AM92" s="636"/>
      <c r="AN92" s="636"/>
      <c r="AO92" s="636"/>
      <c r="AP92" s="636"/>
      <c r="AQ92" s="636"/>
      <c r="AR92" s="636"/>
      <c r="AS92" s="638"/>
      <c r="AT92" s="638"/>
      <c r="AU92" s="638"/>
      <c r="AV92" s="638"/>
      <c r="AW92" s="638"/>
      <c r="AX92" s="638"/>
      <c r="AY92" s="638"/>
    </row>
    <row r="93" s="399" customFormat="1" customHeight="1" spans="1:51">
      <c r="A93" s="629"/>
      <c r="B93" s="639"/>
      <c r="C93" s="629"/>
      <c r="D93" s="634"/>
      <c r="E93" s="634"/>
      <c r="F93" s="634"/>
      <c r="G93" s="631"/>
      <c r="H93" s="633"/>
      <c r="I93" s="634"/>
      <c r="J93" s="632"/>
      <c r="K93" s="629"/>
      <c r="L93" s="629"/>
      <c r="M93" s="629"/>
      <c r="N93" s="635"/>
      <c r="O93" s="629"/>
      <c r="P93" s="629"/>
      <c r="Q93" s="629"/>
      <c r="R93" s="629"/>
      <c r="S93" s="629"/>
      <c r="T93" s="629"/>
      <c r="U93" s="636"/>
      <c r="V93" s="637"/>
      <c r="W93" s="638"/>
      <c r="X93" s="639"/>
      <c r="Y93" s="640"/>
      <c r="Z93" s="640"/>
      <c r="AA93" s="641"/>
      <c r="AB93" s="642"/>
      <c r="AC93" s="643"/>
      <c r="AD93" s="644"/>
      <c r="AE93" s="645"/>
      <c r="AF93" s="646"/>
      <c r="AG93" s="647"/>
      <c r="AH93" s="638"/>
      <c r="AI93" s="636"/>
      <c r="AJ93" s="636"/>
      <c r="AK93" s="636"/>
      <c r="AL93" s="636"/>
      <c r="AM93" s="636"/>
      <c r="AN93" s="636"/>
      <c r="AO93" s="636"/>
      <c r="AP93" s="636"/>
      <c r="AQ93" s="636"/>
      <c r="AR93" s="636"/>
      <c r="AS93" s="638"/>
      <c r="AT93" s="638"/>
      <c r="AU93" s="638"/>
      <c r="AV93" s="638"/>
      <c r="AW93" s="638"/>
      <c r="AX93" s="638"/>
      <c r="AY93" s="638"/>
    </row>
    <row r="94" s="399" customFormat="1" customHeight="1" spans="1:51">
      <c r="A94" s="629"/>
      <c r="B94" s="639"/>
      <c r="C94" s="629"/>
      <c r="D94" s="634"/>
      <c r="E94" s="634"/>
      <c r="F94" s="634"/>
      <c r="G94" s="631"/>
      <c r="H94" s="633"/>
      <c r="I94" s="634"/>
      <c r="J94" s="632"/>
      <c r="K94" s="629"/>
      <c r="L94" s="629"/>
      <c r="M94" s="629"/>
      <c r="N94" s="635"/>
      <c r="O94" s="629"/>
      <c r="P94" s="629"/>
      <c r="Q94" s="629"/>
      <c r="R94" s="629"/>
      <c r="S94" s="629"/>
      <c r="T94" s="629"/>
      <c r="U94" s="636"/>
      <c r="V94" s="637"/>
      <c r="W94" s="638"/>
      <c r="X94" s="639"/>
      <c r="Y94" s="640"/>
      <c r="Z94" s="640"/>
      <c r="AA94" s="641"/>
      <c r="AB94" s="642"/>
      <c r="AC94" s="643"/>
      <c r="AD94" s="644"/>
      <c r="AE94" s="645"/>
      <c r="AF94" s="646"/>
      <c r="AG94" s="647"/>
      <c r="AH94" s="638"/>
      <c r="AI94" s="636"/>
      <c r="AJ94" s="636"/>
      <c r="AK94" s="636"/>
      <c r="AL94" s="636"/>
      <c r="AM94" s="636"/>
      <c r="AN94" s="636"/>
      <c r="AO94" s="636"/>
      <c r="AP94" s="636"/>
      <c r="AQ94" s="636"/>
      <c r="AR94" s="636"/>
      <c r="AS94" s="638"/>
      <c r="AT94" s="638"/>
      <c r="AU94" s="638"/>
      <c r="AV94" s="638"/>
      <c r="AW94" s="638"/>
      <c r="AX94" s="638"/>
      <c r="AY94" s="638"/>
    </row>
    <row r="95" s="399" customFormat="1" customHeight="1" spans="1:51">
      <c r="A95" s="629"/>
      <c r="B95" s="639"/>
      <c r="C95" s="629"/>
      <c r="D95" s="634"/>
      <c r="E95" s="634"/>
      <c r="F95" s="634"/>
      <c r="G95" s="631"/>
      <c r="H95" s="633"/>
      <c r="I95" s="634"/>
      <c r="J95" s="632"/>
      <c r="K95" s="629"/>
      <c r="L95" s="629"/>
      <c r="M95" s="629"/>
      <c r="N95" s="635"/>
      <c r="O95" s="629"/>
      <c r="P95" s="629"/>
      <c r="Q95" s="629"/>
      <c r="R95" s="629"/>
      <c r="S95" s="629"/>
      <c r="T95" s="629"/>
      <c r="U95" s="636"/>
      <c r="V95" s="637"/>
      <c r="W95" s="638"/>
      <c r="X95" s="639"/>
      <c r="Y95" s="640"/>
      <c r="Z95" s="640"/>
      <c r="AA95" s="641"/>
      <c r="AB95" s="642"/>
      <c r="AC95" s="643"/>
      <c r="AD95" s="644"/>
      <c r="AE95" s="645"/>
      <c r="AF95" s="646"/>
      <c r="AG95" s="647"/>
      <c r="AH95" s="638"/>
      <c r="AI95" s="636"/>
      <c r="AJ95" s="636"/>
      <c r="AK95" s="636"/>
      <c r="AL95" s="636"/>
      <c r="AM95" s="636"/>
      <c r="AN95" s="636"/>
      <c r="AO95" s="636"/>
      <c r="AP95" s="636"/>
      <c r="AQ95" s="636"/>
      <c r="AR95" s="636"/>
      <c r="AS95" s="638"/>
      <c r="AT95" s="638"/>
      <c r="AU95" s="638"/>
      <c r="AV95" s="638"/>
      <c r="AW95" s="638"/>
      <c r="AX95" s="638"/>
      <c r="AY95" s="638"/>
    </row>
    <row r="96" s="399" customFormat="1" customHeight="1" spans="1:51">
      <c r="A96" s="629"/>
      <c r="B96" s="639"/>
      <c r="C96" s="629"/>
      <c r="D96" s="634"/>
      <c r="E96" s="634"/>
      <c r="F96" s="634"/>
      <c r="G96" s="631"/>
      <c r="H96" s="633"/>
      <c r="I96" s="634"/>
      <c r="J96" s="632"/>
      <c r="K96" s="629"/>
      <c r="L96" s="629"/>
      <c r="M96" s="629"/>
      <c r="N96" s="635"/>
      <c r="O96" s="629"/>
      <c r="P96" s="629"/>
      <c r="Q96" s="629"/>
      <c r="R96" s="629"/>
      <c r="S96" s="629"/>
      <c r="T96" s="629"/>
      <c r="U96" s="636"/>
      <c r="V96" s="637"/>
      <c r="W96" s="638"/>
      <c r="X96" s="639"/>
      <c r="Y96" s="640"/>
      <c r="Z96" s="640"/>
      <c r="AA96" s="641"/>
      <c r="AB96" s="642"/>
      <c r="AC96" s="643"/>
      <c r="AD96" s="644"/>
      <c r="AE96" s="645"/>
      <c r="AF96" s="646"/>
      <c r="AG96" s="647"/>
      <c r="AH96" s="638"/>
      <c r="AI96" s="636"/>
      <c r="AJ96" s="636"/>
      <c r="AK96" s="636"/>
      <c r="AL96" s="636"/>
      <c r="AM96" s="636"/>
      <c r="AN96" s="636"/>
      <c r="AO96" s="636"/>
      <c r="AP96" s="636"/>
      <c r="AQ96" s="636"/>
      <c r="AR96" s="636"/>
      <c r="AS96" s="638"/>
      <c r="AT96" s="638"/>
      <c r="AU96" s="638"/>
      <c r="AV96" s="638"/>
      <c r="AW96" s="638"/>
      <c r="AX96" s="638"/>
      <c r="AY96" s="638"/>
    </row>
    <row r="97" s="399" customFormat="1" customHeight="1" spans="1:51">
      <c r="A97" s="629"/>
      <c r="B97" s="639"/>
      <c r="C97" s="629"/>
      <c r="D97" s="634"/>
      <c r="E97" s="634"/>
      <c r="F97" s="634"/>
      <c r="G97" s="631"/>
      <c r="H97" s="633"/>
      <c r="I97" s="634"/>
      <c r="J97" s="632"/>
      <c r="K97" s="629"/>
      <c r="L97" s="629"/>
      <c r="M97" s="629"/>
      <c r="N97" s="635"/>
      <c r="O97" s="629"/>
      <c r="P97" s="629"/>
      <c r="Q97" s="629"/>
      <c r="R97" s="629"/>
      <c r="S97" s="629"/>
      <c r="T97" s="629"/>
      <c r="U97" s="636"/>
      <c r="V97" s="637"/>
      <c r="W97" s="638"/>
      <c r="X97" s="639"/>
      <c r="Y97" s="640"/>
      <c r="Z97" s="640"/>
      <c r="AA97" s="641"/>
      <c r="AB97" s="642"/>
      <c r="AC97" s="643"/>
      <c r="AD97" s="644"/>
      <c r="AE97" s="645"/>
      <c r="AF97" s="646"/>
      <c r="AG97" s="647"/>
      <c r="AH97" s="638"/>
      <c r="AI97" s="636"/>
      <c r="AJ97" s="636"/>
      <c r="AK97" s="636"/>
      <c r="AL97" s="636"/>
      <c r="AM97" s="636"/>
      <c r="AN97" s="636"/>
      <c r="AO97" s="636"/>
      <c r="AP97" s="636"/>
      <c r="AQ97" s="636"/>
      <c r="AR97" s="636"/>
      <c r="AS97" s="638"/>
      <c r="AT97" s="638"/>
      <c r="AU97" s="638"/>
      <c r="AV97" s="638"/>
      <c r="AW97" s="638"/>
      <c r="AX97" s="638"/>
      <c r="AY97" s="638"/>
    </row>
    <row r="98" s="399" customFormat="1" customHeight="1" spans="1:51">
      <c r="A98" s="629"/>
      <c r="B98" s="639"/>
      <c r="C98" s="629"/>
      <c r="D98" s="634"/>
      <c r="E98" s="634"/>
      <c r="F98" s="634"/>
      <c r="G98" s="631"/>
      <c r="H98" s="633"/>
      <c r="I98" s="634"/>
      <c r="J98" s="632"/>
      <c r="K98" s="629"/>
      <c r="L98" s="629"/>
      <c r="M98" s="629"/>
      <c r="N98" s="635"/>
      <c r="O98" s="629"/>
      <c r="P98" s="629"/>
      <c r="Q98" s="629"/>
      <c r="R98" s="629"/>
      <c r="S98" s="629"/>
      <c r="T98" s="629"/>
      <c r="U98" s="636"/>
      <c r="V98" s="637"/>
      <c r="W98" s="638"/>
      <c r="X98" s="639"/>
      <c r="Y98" s="640"/>
      <c r="Z98" s="640"/>
      <c r="AA98" s="641"/>
      <c r="AB98" s="642"/>
      <c r="AC98" s="643"/>
      <c r="AD98" s="644"/>
      <c r="AE98" s="645"/>
      <c r="AF98" s="646"/>
      <c r="AG98" s="647"/>
      <c r="AH98" s="638"/>
      <c r="AI98" s="636"/>
      <c r="AJ98" s="636"/>
      <c r="AK98" s="636"/>
      <c r="AL98" s="636"/>
      <c r="AM98" s="636"/>
      <c r="AN98" s="636"/>
      <c r="AO98" s="636"/>
      <c r="AP98" s="636"/>
      <c r="AQ98" s="636"/>
      <c r="AR98" s="636"/>
      <c r="AS98" s="638"/>
      <c r="AT98" s="638"/>
      <c r="AU98" s="638"/>
      <c r="AV98" s="638"/>
      <c r="AW98" s="638"/>
      <c r="AX98" s="638"/>
      <c r="AY98" s="638"/>
    </row>
    <row r="99" s="399" customFormat="1" customHeight="1" spans="1:51">
      <c r="A99" s="629"/>
      <c r="B99" s="639"/>
      <c r="C99" s="629"/>
      <c r="D99" s="634"/>
      <c r="E99" s="634"/>
      <c r="F99" s="634"/>
      <c r="G99" s="631"/>
      <c r="H99" s="633"/>
      <c r="I99" s="634"/>
      <c r="J99" s="632"/>
      <c r="K99" s="629"/>
      <c r="L99" s="629"/>
      <c r="M99" s="629"/>
      <c r="N99" s="635"/>
      <c r="O99" s="629"/>
      <c r="P99" s="629"/>
      <c r="Q99" s="629"/>
      <c r="R99" s="629"/>
      <c r="S99" s="629"/>
      <c r="T99" s="629"/>
      <c r="U99" s="636"/>
      <c r="V99" s="637"/>
      <c r="W99" s="638"/>
      <c r="X99" s="639"/>
      <c r="Y99" s="640"/>
      <c r="Z99" s="640"/>
      <c r="AA99" s="641"/>
      <c r="AB99" s="642"/>
      <c r="AC99" s="643"/>
      <c r="AD99" s="644"/>
      <c r="AE99" s="645"/>
      <c r="AF99" s="646"/>
      <c r="AG99" s="647"/>
      <c r="AH99" s="638"/>
      <c r="AI99" s="636"/>
      <c r="AJ99" s="636"/>
      <c r="AK99" s="636"/>
      <c r="AL99" s="636"/>
      <c r="AM99" s="636"/>
      <c r="AN99" s="636"/>
      <c r="AO99" s="636"/>
      <c r="AP99" s="636"/>
      <c r="AQ99" s="636"/>
      <c r="AR99" s="636"/>
      <c r="AS99" s="638"/>
      <c r="AT99" s="638"/>
      <c r="AU99" s="638"/>
      <c r="AV99" s="638"/>
      <c r="AW99" s="638"/>
      <c r="AX99" s="638"/>
      <c r="AY99" s="638"/>
    </row>
    <row r="100" s="399" customFormat="1" customHeight="1" spans="1:51">
      <c r="A100" s="629"/>
      <c r="B100" s="639"/>
      <c r="C100" s="629"/>
      <c r="D100" s="634"/>
      <c r="E100" s="634"/>
      <c r="F100" s="634"/>
      <c r="G100" s="631"/>
      <c r="H100" s="633"/>
      <c r="I100" s="634"/>
      <c r="J100" s="632"/>
      <c r="K100" s="629"/>
      <c r="L100" s="629"/>
      <c r="M100" s="629"/>
      <c r="N100" s="635"/>
      <c r="O100" s="629"/>
      <c r="P100" s="629"/>
      <c r="Q100" s="629"/>
      <c r="R100" s="629"/>
      <c r="S100" s="629"/>
      <c r="T100" s="629"/>
      <c r="U100" s="636"/>
      <c r="V100" s="637"/>
      <c r="W100" s="638"/>
      <c r="X100" s="639"/>
      <c r="Y100" s="640"/>
      <c r="Z100" s="640"/>
      <c r="AA100" s="641"/>
      <c r="AB100" s="642"/>
      <c r="AC100" s="643"/>
      <c r="AD100" s="644"/>
      <c r="AE100" s="645"/>
      <c r="AF100" s="646"/>
      <c r="AG100" s="647"/>
      <c r="AH100" s="638"/>
      <c r="AI100" s="636"/>
      <c r="AJ100" s="636"/>
      <c r="AK100" s="636"/>
      <c r="AL100" s="636"/>
      <c r="AM100" s="636"/>
      <c r="AN100" s="636"/>
      <c r="AO100" s="636"/>
      <c r="AP100" s="636"/>
      <c r="AQ100" s="636"/>
      <c r="AR100" s="636"/>
      <c r="AS100" s="638"/>
      <c r="AT100" s="638"/>
      <c r="AU100" s="638"/>
      <c r="AV100" s="638"/>
      <c r="AW100" s="638"/>
      <c r="AX100" s="638"/>
      <c r="AY100" s="638"/>
    </row>
    <row r="101" s="399" customFormat="1" customHeight="1" spans="1:51">
      <c r="A101" s="629"/>
      <c r="B101" s="639"/>
      <c r="C101" s="629"/>
      <c r="D101" s="634"/>
      <c r="E101" s="634"/>
      <c r="F101" s="634"/>
      <c r="G101" s="631"/>
      <c r="H101" s="633"/>
      <c r="I101" s="634"/>
      <c r="J101" s="632"/>
      <c r="K101" s="629"/>
      <c r="L101" s="629"/>
      <c r="M101" s="629"/>
      <c r="N101" s="635"/>
      <c r="O101" s="629"/>
      <c r="P101" s="629"/>
      <c r="Q101" s="629"/>
      <c r="R101" s="629"/>
      <c r="S101" s="629"/>
      <c r="T101" s="629"/>
      <c r="U101" s="636"/>
      <c r="V101" s="637"/>
      <c r="W101" s="638"/>
      <c r="X101" s="639"/>
      <c r="Y101" s="640"/>
      <c r="Z101" s="640"/>
      <c r="AA101" s="641"/>
      <c r="AB101" s="642"/>
      <c r="AC101" s="643"/>
      <c r="AD101" s="644"/>
      <c r="AE101" s="645"/>
      <c r="AF101" s="646"/>
      <c r="AG101" s="647"/>
      <c r="AH101" s="638"/>
      <c r="AI101" s="636"/>
      <c r="AJ101" s="636"/>
      <c r="AK101" s="636"/>
      <c r="AL101" s="636"/>
      <c r="AM101" s="636"/>
      <c r="AN101" s="636"/>
      <c r="AO101" s="636"/>
      <c r="AP101" s="636"/>
      <c r="AQ101" s="636"/>
      <c r="AR101" s="636"/>
      <c r="AS101" s="638"/>
      <c r="AT101" s="638"/>
      <c r="AU101" s="638"/>
      <c r="AV101" s="638"/>
      <c r="AW101" s="638"/>
      <c r="AX101" s="638"/>
      <c r="AY101" s="638"/>
    </row>
    <row r="102" s="399" customFormat="1" customHeight="1" spans="1:51">
      <c r="A102" s="629"/>
      <c r="B102" s="639"/>
      <c r="C102" s="629"/>
      <c r="D102" s="634"/>
      <c r="E102" s="634"/>
      <c r="F102" s="634"/>
      <c r="G102" s="631"/>
      <c r="H102" s="633"/>
      <c r="I102" s="634"/>
      <c r="J102" s="632"/>
      <c r="K102" s="629"/>
      <c r="L102" s="629"/>
      <c r="M102" s="629"/>
      <c r="N102" s="635"/>
      <c r="O102" s="629"/>
      <c r="P102" s="629"/>
      <c r="Q102" s="629"/>
      <c r="R102" s="629"/>
      <c r="S102" s="629"/>
      <c r="T102" s="629"/>
      <c r="U102" s="636"/>
      <c r="V102" s="637"/>
      <c r="W102" s="638"/>
      <c r="X102" s="639"/>
      <c r="Y102" s="640"/>
      <c r="Z102" s="640"/>
      <c r="AA102" s="641"/>
      <c r="AB102" s="642"/>
      <c r="AC102" s="643"/>
      <c r="AD102" s="644"/>
      <c r="AE102" s="645"/>
      <c r="AF102" s="646"/>
      <c r="AG102" s="647"/>
      <c r="AH102" s="638"/>
      <c r="AI102" s="636"/>
      <c r="AJ102" s="636"/>
      <c r="AK102" s="636"/>
      <c r="AL102" s="636"/>
      <c r="AM102" s="636"/>
      <c r="AN102" s="636"/>
      <c r="AO102" s="636"/>
      <c r="AP102" s="636"/>
      <c r="AQ102" s="636"/>
      <c r="AR102" s="636"/>
      <c r="AS102" s="638"/>
      <c r="AT102" s="638"/>
      <c r="AU102" s="638"/>
      <c r="AV102" s="638"/>
      <c r="AW102" s="638"/>
      <c r="AX102" s="638"/>
      <c r="AY102" s="638"/>
    </row>
    <row r="103" s="399" customFormat="1" customHeight="1" spans="1:51">
      <c r="A103" s="629"/>
      <c r="B103" s="639"/>
      <c r="C103" s="629"/>
      <c r="D103" s="634"/>
      <c r="E103" s="634"/>
      <c r="F103" s="634"/>
      <c r="G103" s="631"/>
      <c r="H103" s="633"/>
      <c r="I103" s="634"/>
      <c r="J103" s="632"/>
      <c r="K103" s="629"/>
      <c r="L103" s="629"/>
      <c r="M103" s="629"/>
      <c r="N103" s="635"/>
      <c r="O103" s="629"/>
      <c r="P103" s="629"/>
      <c r="Q103" s="629"/>
      <c r="R103" s="629"/>
      <c r="S103" s="629"/>
      <c r="T103" s="629"/>
      <c r="U103" s="636"/>
      <c r="V103" s="637"/>
      <c r="W103" s="638"/>
      <c r="X103" s="639"/>
      <c r="Y103" s="640"/>
      <c r="Z103" s="640"/>
      <c r="AA103" s="641"/>
      <c r="AB103" s="642"/>
      <c r="AC103" s="643"/>
      <c r="AD103" s="644"/>
      <c r="AE103" s="645"/>
      <c r="AF103" s="646"/>
      <c r="AG103" s="647"/>
      <c r="AH103" s="638"/>
      <c r="AI103" s="636"/>
      <c r="AJ103" s="636"/>
      <c r="AK103" s="636"/>
      <c r="AL103" s="636"/>
      <c r="AM103" s="636"/>
      <c r="AN103" s="636"/>
      <c r="AO103" s="636"/>
      <c r="AP103" s="636"/>
      <c r="AQ103" s="636"/>
      <c r="AR103" s="636"/>
      <c r="AS103" s="638"/>
      <c r="AT103" s="638"/>
      <c r="AU103" s="638"/>
      <c r="AV103" s="638"/>
      <c r="AW103" s="638"/>
      <c r="AX103" s="638"/>
      <c r="AY103" s="638"/>
    </row>
    <row r="104" s="399" customFormat="1" customHeight="1" spans="1:51">
      <c r="A104" s="629"/>
      <c r="B104" s="639"/>
      <c r="C104" s="629"/>
      <c r="D104" s="634"/>
      <c r="E104" s="634"/>
      <c r="F104" s="634"/>
      <c r="G104" s="631"/>
      <c r="H104" s="633"/>
      <c r="I104" s="634"/>
      <c r="J104" s="632"/>
      <c r="K104" s="629"/>
      <c r="L104" s="629"/>
      <c r="M104" s="629"/>
      <c r="N104" s="635"/>
      <c r="O104" s="629"/>
      <c r="P104" s="629"/>
      <c r="Q104" s="629"/>
      <c r="R104" s="629"/>
      <c r="S104" s="629"/>
      <c r="T104" s="629"/>
      <c r="U104" s="636"/>
      <c r="V104" s="637"/>
      <c r="W104" s="638"/>
      <c r="X104" s="639"/>
      <c r="Y104" s="640"/>
      <c r="Z104" s="640"/>
      <c r="AA104" s="641"/>
      <c r="AB104" s="642"/>
      <c r="AC104" s="643"/>
      <c r="AD104" s="644"/>
      <c r="AE104" s="645"/>
      <c r="AF104" s="646"/>
      <c r="AG104" s="647"/>
      <c r="AH104" s="638"/>
      <c r="AI104" s="636"/>
      <c r="AJ104" s="636"/>
      <c r="AK104" s="636"/>
      <c r="AL104" s="636"/>
      <c r="AM104" s="636"/>
      <c r="AN104" s="636"/>
      <c r="AO104" s="636"/>
      <c r="AP104" s="636"/>
      <c r="AQ104" s="636"/>
      <c r="AR104" s="636"/>
      <c r="AS104" s="638"/>
      <c r="AT104" s="638"/>
      <c r="AU104" s="638"/>
      <c r="AV104" s="638"/>
      <c r="AW104" s="638"/>
      <c r="AX104" s="638"/>
      <c r="AY104" s="638"/>
    </row>
    <row r="105" s="399" customFormat="1" customHeight="1" spans="1:51">
      <c r="A105" s="629"/>
      <c r="B105" s="639"/>
      <c r="C105" s="629"/>
      <c r="D105" s="634"/>
      <c r="E105" s="634"/>
      <c r="F105" s="634"/>
      <c r="G105" s="631"/>
      <c r="H105" s="633"/>
      <c r="I105" s="634"/>
      <c r="J105" s="632"/>
      <c r="K105" s="629"/>
      <c r="L105" s="629"/>
      <c r="M105" s="629"/>
      <c r="N105" s="635"/>
      <c r="O105" s="629"/>
      <c r="P105" s="629"/>
      <c r="Q105" s="629"/>
      <c r="R105" s="629"/>
      <c r="S105" s="629"/>
      <c r="T105" s="629"/>
      <c r="U105" s="636"/>
      <c r="V105" s="637"/>
      <c r="W105" s="638"/>
      <c r="X105" s="639"/>
      <c r="Y105" s="640"/>
      <c r="Z105" s="640"/>
      <c r="AA105" s="641"/>
      <c r="AB105" s="642"/>
      <c r="AC105" s="643"/>
      <c r="AD105" s="644"/>
      <c r="AE105" s="645"/>
      <c r="AF105" s="646"/>
      <c r="AG105" s="647"/>
      <c r="AH105" s="638"/>
      <c r="AI105" s="636"/>
      <c r="AJ105" s="636"/>
      <c r="AK105" s="636"/>
      <c r="AL105" s="636"/>
      <c r="AM105" s="636"/>
      <c r="AN105" s="636"/>
      <c r="AO105" s="636"/>
      <c r="AP105" s="636"/>
      <c r="AQ105" s="636"/>
      <c r="AR105" s="636"/>
      <c r="AS105" s="638"/>
      <c r="AT105" s="638"/>
      <c r="AU105" s="638"/>
      <c r="AV105" s="638"/>
      <c r="AW105" s="638"/>
      <c r="AX105" s="638"/>
      <c r="AY105" s="638"/>
    </row>
    <row r="106" s="399" customFormat="1" customHeight="1" spans="1:51">
      <c r="A106" s="629"/>
      <c r="B106" s="639"/>
      <c r="C106" s="629"/>
      <c r="D106" s="634"/>
      <c r="E106" s="634"/>
      <c r="F106" s="634"/>
      <c r="G106" s="631"/>
      <c r="H106" s="633"/>
      <c r="I106" s="634"/>
      <c r="J106" s="632"/>
      <c r="K106" s="629"/>
      <c r="L106" s="629"/>
      <c r="M106" s="629"/>
      <c r="N106" s="635"/>
      <c r="O106" s="629"/>
      <c r="P106" s="629"/>
      <c r="Q106" s="629"/>
      <c r="R106" s="629"/>
      <c r="S106" s="629"/>
      <c r="T106" s="629"/>
      <c r="U106" s="636"/>
      <c r="V106" s="637"/>
      <c r="W106" s="638"/>
      <c r="X106" s="639"/>
      <c r="Y106" s="640"/>
      <c r="Z106" s="640"/>
      <c r="AA106" s="641"/>
      <c r="AB106" s="642"/>
      <c r="AC106" s="643"/>
      <c r="AD106" s="644"/>
      <c r="AE106" s="645"/>
      <c r="AF106" s="646"/>
      <c r="AG106" s="647"/>
      <c r="AH106" s="638"/>
      <c r="AI106" s="636"/>
      <c r="AJ106" s="636"/>
      <c r="AK106" s="636"/>
      <c r="AL106" s="636"/>
      <c r="AM106" s="636"/>
      <c r="AN106" s="636"/>
      <c r="AO106" s="636"/>
      <c r="AP106" s="636"/>
      <c r="AQ106" s="636"/>
      <c r="AR106" s="636"/>
      <c r="AS106" s="638"/>
      <c r="AT106" s="638"/>
      <c r="AU106" s="638"/>
      <c r="AV106" s="638"/>
      <c r="AW106" s="638"/>
      <c r="AX106" s="638"/>
      <c r="AY106" s="638"/>
    </row>
    <row r="107" s="399" customFormat="1" customHeight="1" spans="1:51">
      <c r="A107" s="629"/>
      <c r="B107" s="639"/>
      <c r="C107" s="629"/>
      <c r="D107" s="634"/>
      <c r="E107" s="634"/>
      <c r="F107" s="634"/>
      <c r="G107" s="631"/>
      <c r="H107" s="633"/>
      <c r="I107" s="634"/>
      <c r="J107" s="632"/>
      <c r="K107" s="629"/>
      <c r="L107" s="629"/>
      <c r="M107" s="629"/>
      <c r="N107" s="635"/>
      <c r="O107" s="629"/>
      <c r="P107" s="629"/>
      <c r="Q107" s="629"/>
      <c r="R107" s="629"/>
      <c r="S107" s="629"/>
      <c r="T107" s="629"/>
      <c r="U107" s="636"/>
      <c r="V107" s="637"/>
      <c r="W107" s="638"/>
      <c r="X107" s="639"/>
      <c r="Y107" s="640"/>
      <c r="Z107" s="640"/>
      <c r="AA107" s="641"/>
      <c r="AB107" s="642"/>
      <c r="AC107" s="643"/>
      <c r="AD107" s="644"/>
      <c r="AE107" s="645"/>
      <c r="AF107" s="646"/>
      <c r="AG107" s="647"/>
      <c r="AH107" s="638"/>
      <c r="AI107" s="636"/>
      <c r="AJ107" s="636"/>
      <c r="AK107" s="636"/>
      <c r="AL107" s="636"/>
      <c r="AM107" s="636"/>
      <c r="AN107" s="636"/>
      <c r="AO107" s="636"/>
      <c r="AP107" s="636"/>
      <c r="AQ107" s="636"/>
      <c r="AR107" s="636"/>
      <c r="AS107" s="638"/>
      <c r="AT107" s="638"/>
      <c r="AU107" s="638"/>
      <c r="AV107" s="638"/>
      <c r="AW107" s="638"/>
      <c r="AX107" s="638"/>
      <c r="AY107" s="638"/>
    </row>
    <row r="108" s="399" customFormat="1" customHeight="1" spans="1:51">
      <c r="A108" s="629"/>
      <c r="B108" s="639"/>
      <c r="C108" s="629"/>
      <c r="D108" s="634"/>
      <c r="E108" s="634"/>
      <c r="F108" s="634"/>
      <c r="G108" s="631"/>
      <c r="H108" s="633"/>
      <c r="I108" s="634"/>
      <c r="J108" s="632"/>
      <c r="K108" s="629"/>
      <c r="L108" s="629"/>
      <c r="M108" s="629"/>
      <c r="N108" s="635"/>
      <c r="O108" s="629"/>
      <c r="P108" s="629"/>
      <c r="Q108" s="629"/>
      <c r="R108" s="629"/>
      <c r="S108" s="629"/>
      <c r="T108" s="629"/>
      <c r="U108" s="636"/>
      <c r="V108" s="637"/>
      <c r="W108" s="638"/>
      <c r="X108" s="639"/>
      <c r="Y108" s="640"/>
      <c r="Z108" s="640"/>
      <c r="AA108" s="641"/>
      <c r="AB108" s="642"/>
      <c r="AC108" s="643"/>
      <c r="AD108" s="644"/>
      <c r="AE108" s="645"/>
      <c r="AF108" s="646"/>
      <c r="AG108" s="647"/>
      <c r="AH108" s="638"/>
      <c r="AI108" s="636"/>
      <c r="AJ108" s="636"/>
      <c r="AK108" s="636"/>
      <c r="AL108" s="636"/>
      <c r="AM108" s="636"/>
      <c r="AN108" s="636"/>
      <c r="AO108" s="636"/>
      <c r="AP108" s="636"/>
      <c r="AQ108" s="636"/>
      <c r="AR108" s="636"/>
      <c r="AS108" s="638"/>
      <c r="AT108" s="638"/>
      <c r="AU108" s="638"/>
      <c r="AV108" s="638"/>
      <c r="AW108" s="638"/>
      <c r="AX108" s="638"/>
      <c r="AY108" s="638"/>
    </row>
    <row r="109" s="399" customFormat="1" customHeight="1" spans="1:51">
      <c r="A109" s="629"/>
      <c r="B109" s="639"/>
      <c r="C109" s="629"/>
      <c r="D109" s="634"/>
      <c r="E109" s="634"/>
      <c r="F109" s="634"/>
      <c r="G109" s="631"/>
      <c r="H109" s="633"/>
      <c r="I109" s="634"/>
      <c r="J109" s="632"/>
      <c r="K109" s="629"/>
      <c r="L109" s="629"/>
      <c r="M109" s="629"/>
      <c r="N109" s="635"/>
      <c r="O109" s="629"/>
      <c r="P109" s="629"/>
      <c r="Q109" s="629"/>
      <c r="R109" s="629"/>
      <c r="S109" s="629"/>
      <c r="T109" s="629"/>
      <c r="U109" s="636"/>
      <c r="V109" s="637"/>
      <c r="W109" s="638"/>
      <c r="X109" s="639"/>
      <c r="Y109" s="640"/>
      <c r="Z109" s="640"/>
      <c r="AA109" s="641"/>
      <c r="AB109" s="642"/>
      <c r="AC109" s="643"/>
      <c r="AD109" s="644"/>
      <c r="AE109" s="645"/>
      <c r="AF109" s="646"/>
      <c r="AG109" s="647"/>
      <c r="AH109" s="638"/>
      <c r="AI109" s="636"/>
      <c r="AJ109" s="636"/>
      <c r="AK109" s="636"/>
      <c r="AL109" s="636"/>
      <c r="AM109" s="636"/>
      <c r="AN109" s="636"/>
      <c r="AO109" s="636"/>
      <c r="AP109" s="636"/>
      <c r="AQ109" s="636"/>
      <c r="AR109" s="636"/>
      <c r="AS109" s="638"/>
      <c r="AT109" s="638"/>
      <c r="AU109" s="638"/>
      <c r="AV109" s="638"/>
      <c r="AW109" s="638"/>
      <c r="AX109" s="638"/>
      <c r="AY109" s="63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Y109" etc:filterBottomFollowUsedRange="1">
    <extLst/>
  </autoFilter>
  <pageMargins left="0.75" right="0.75" top="1" bottom="1" header="0.5" footer="0.5"/>
  <pageSetup paperSize="9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FF"/>
  </sheetPr>
  <dimension ref="A1:AS175"/>
  <sheetViews>
    <sheetView workbookViewId="0">
      <pane xSplit="10" ySplit="1" topLeftCell="K39" activePane="bottomRight" state="frozen"/>
      <selection/>
      <selection pane="topRight"/>
      <selection pane="bottomLeft"/>
      <selection pane="bottomRight" activeCell="O5" sqref="O5"/>
    </sheetView>
  </sheetViews>
  <sheetFormatPr defaultColWidth="9" defaultRowHeight="25" customHeight="1"/>
  <cols>
    <col min="1" max="1" width="12.6416666666667" style="14" customWidth="1"/>
    <col min="2" max="2" width="10.6416666666667" style="14" hidden="1" customWidth="1"/>
    <col min="3" max="3" width="8.64166666666667" style="15" customWidth="1"/>
    <col min="4" max="5" width="12.6416666666667" style="14" customWidth="1"/>
    <col min="6" max="6" width="10.6416666666667" style="14" customWidth="1"/>
    <col min="7" max="7" width="15.6416666666667" style="15" customWidth="1"/>
    <col min="8" max="8" width="6.65833333333333" style="16" customWidth="1"/>
    <col min="9" max="9" width="6.65833333333333" style="14" customWidth="1"/>
    <col min="10" max="10" width="17.2916666666667" style="15" customWidth="1"/>
    <col min="11" max="13" width="12.6416666666667" style="14" customWidth="1"/>
    <col min="14" max="14" width="6.65833333333333" style="14" customWidth="1"/>
    <col min="15" max="17" width="12.6416666666667" style="14" customWidth="1"/>
    <col min="18" max="18" width="8.64166666666667" style="14" customWidth="1"/>
    <col min="19" max="19" width="10.6416666666667" style="15" customWidth="1"/>
    <col min="20" max="20" width="10.6416666666667" style="14" customWidth="1"/>
    <col min="21" max="22" width="10.6416666666667" style="15" customWidth="1"/>
    <col min="23" max="23" width="15.6416666666667" style="15" customWidth="1"/>
    <col min="24" max="24" width="30.6416666666667" style="14" customWidth="1"/>
    <col min="25" max="25" width="8.64166666666667" style="17" customWidth="1"/>
    <col min="26" max="27" width="10.6416666666667" style="18" customWidth="1"/>
    <col min="28" max="28" width="12.3583333333333" style="19" customWidth="1"/>
    <col min="29" max="29" width="10.6416666666667" style="14" customWidth="1"/>
    <col min="30" max="30" width="4.65833333333333" style="15" customWidth="1"/>
    <col min="31" max="31" width="8.64166666666667" style="15" customWidth="1"/>
    <col min="32" max="36" width="8.64166666666667" style="14" customWidth="1"/>
    <col min="37" max="43" width="6.65833333333333" style="15" customWidth="1"/>
    <col min="44" max="16384" width="9" style="14"/>
  </cols>
  <sheetData>
    <row r="1" s="11" customFormat="1" customHeight="1" spans="1:43">
      <c r="A1" s="20" t="s">
        <v>370</v>
      </c>
      <c r="B1" s="20" t="s">
        <v>371</v>
      </c>
      <c r="C1" s="20" t="s">
        <v>59</v>
      </c>
      <c r="D1" s="21" t="s">
        <v>740</v>
      </c>
      <c r="E1" s="22" t="s">
        <v>741</v>
      </c>
      <c r="F1" s="22" t="s">
        <v>0</v>
      </c>
      <c r="G1" s="23" t="s">
        <v>374</v>
      </c>
      <c r="H1" s="24" t="s">
        <v>62</v>
      </c>
      <c r="I1" s="25" t="s">
        <v>375</v>
      </c>
      <c r="J1" s="23" t="s">
        <v>376</v>
      </c>
      <c r="K1" s="20" t="s">
        <v>742</v>
      </c>
      <c r="L1" s="20" t="s">
        <v>63</v>
      </c>
      <c r="M1" s="20" t="s">
        <v>378</v>
      </c>
      <c r="N1" s="26" t="s">
        <v>379</v>
      </c>
      <c r="O1" s="20" t="s">
        <v>380</v>
      </c>
      <c r="P1" s="25" t="s">
        <v>381</v>
      </c>
      <c r="Q1" s="25" t="s">
        <v>743</v>
      </c>
      <c r="R1" s="28" t="s">
        <v>383</v>
      </c>
      <c r="S1" s="28" t="s">
        <v>384</v>
      </c>
      <c r="T1" s="28" t="s">
        <v>744</v>
      </c>
      <c r="U1" s="28" t="s">
        <v>745</v>
      </c>
      <c r="V1" s="29" t="s">
        <v>387</v>
      </c>
      <c r="W1" s="29" t="s">
        <v>388</v>
      </c>
      <c r="X1" s="30" t="s">
        <v>389</v>
      </c>
      <c r="Y1" s="31" t="s">
        <v>746</v>
      </c>
      <c r="Z1" s="32" t="s">
        <v>82</v>
      </c>
      <c r="AA1" s="32" t="s">
        <v>83</v>
      </c>
      <c r="AB1" s="33" t="s">
        <v>390</v>
      </c>
      <c r="AC1" s="34" t="s">
        <v>391</v>
      </c>
      <c r="AD1" s="29" t="s">
        <v>392</v>
      </c>
      <c r="AE1" s="35" t="s">
        <v>393</v>
      </c>
      <c r="AF1" s="35" t="s">
        <v>394</v>
      </c>
      <c r="AG1" s="35" t="s">
        <v>395</v>
      </c>
      <c r="AH1" s="35" t="s">
        <v>396</v>
      </c>
      <c r="AI1" s="35" t="s">
        <v>399</v>
      </c>
      <c r="AJ1" s="35" t="s">
        <v>400</v>
      </c>
      <c r="AK1" s="35" t="s">
        <v>401</v>
      </c>
      <c r="AL1" s="28" t="s">
        <v>402</v>
      </c>
      <c r="AM1" s="28" t="s">
        <v>403</v>
      </c>
      <c r="AN1" s="28" t="s">
        <v>404</v>
      </c>
      <c r="AO1" s="28" t="s">
        <v>405</v>
      </c>
      <c r="AP1" s="28" t="s">
        <v>406</v>
      </c>
      <c r="AQ1" s="28" t="s">
        <v>407</v>
      </c>
    </row>
    <row r="2" s="254" customFormat="1" customHeight="1" spans="1:43">
      <c r="A2" s="259">
        <v>45943</v>
      </c>
      <c r="B2" s="260" t="s">
        <v>747</v>
      </c>
      <c r="C2" s="259" t="s">
        <v>84</v>
      </c>
      <c r="D2" s="261"/>
      <c r="E2" s="261" t="s">
        <v>85</v>
      </c>
      <c r="F2" s="262">
        <v>1825103</v>
      </c>
      <c r="G2" s="262" t="s">
        <v>748</v>
      </c>
      <c r="H2" s="263">
        <v>6000</v>
      </c>
      <c r="I2" s="264">
        <v>6</v>
      </c>
      <c r="J2" s="265">
        <v>1000</v>
      </c>
      <c r="K2" s="259">
        <v>46027</v>
      </c>
      <c r="L2" s="266" t="s">
        <v>691</v>
      </c>
      <c r="M2" s="259"/>
      <c r="N2" s="267"/>
      <c r="O2" s="259"/>
      <c r="P2" s="259">
        <v>46023</v>
      </c>
      <c r="Q2" s="259"/>
      <c r="R2" s="268"/>
      <c r="S2" s="269">
        <v>45962</v>
      </c>
      <c r="T2" s="270" t="s">
        <v>749</v>
      </c>
      <c r="U2" s="260" t="s">
        <v>750</v>
      </c>
      <c r="V2" s="271" t="s">
        <v>751</v>
      </c>
      <c r="W2" s="271" t="s">
        <v>752</v>
      </c>
      <c r="X2" s="271" t="s">
        <v>753</v>
      </c>
      <c r="Y2" s="272">
        <v>2.119</v>
      </c>
      <c r="Z2" s="273">
        <v>12714</v>
      </c>
      <c r="AA2" s="274">
        <v>98533.5</v>
      </c>
      <c r="AB2" s="245" t="s">
        <v>754</v>
      </c>
      <c r="AC2" s="275" t="s">
        <v>415</v>
      </c>
      <c r="AD2" s="276" t="s">
        <v>416</v>
      </c>
      <c r="AE2" s="277" t="s">
        <v>424</v>
      </c>
      <c r="AF2" s="278" t="s">
        <v>425</v>
      </c>
      <c r="AG2" s="268">
        <v>6000</v>
      </c>
      <c r="AH2" s="268">
        <v>0</v>
      </c>
      <c r="AI2" s="268"/>
      <c r="AJ2" s="268"/>
      <c r="AK2" s="270"/>
      <c r="AL2" s="270"/>
      <c r="AM2" s="270"/>
      <c r="AN2" s="270"/>
      <c r="AO2" s="270"/>
      <c r="AP2" s="270"/>
      <c r="AQ2" s="270"/>
    </row>
    <row r="3" s="254" customFormat="1" customHeight="1" spans="1:43">
      <c r="A3" s="259">
        <v>45943</v>
      </c>
      <c r="B3" s="260" t="s">
        <v>747</v>
      </c>
      <c r="C3" s="259" t="s">
        <v>84</v>
      </c>
      <c r="D3" s="261"/>
      <c r="E3" s="261" t="s">
        <v>85</v>
      </c>
      <c r="F3" s="262">
        <v>1825155</v>
      </c>
      <c r="G3" s="262" t="s">
        <v>755</v>
      </c>
      <c r="H3" s="263">
        <v>5004</v>
      </c>
      <c r="I3" s="264">
        <v>6</v>
      </c>
      <c r="J3" s="265">
        <v>834</v>
      </c>
      <c r="K3" s="259">
        <v>46027</v>
      </c>
      <c r="L3" s="266" t="s">
        <v>691</v>
      </c>
      <c r="M3" s="259"/>
      <c r="N3" s="267"/>
      <c r="O3" s="259"/>
      <c r="P3" s="259">
        <v>46023</v>
      </c>
      <c r="Q3" s="259"/>
      <c r="R3" s="268"/>
      <c r="S3" s="269">
        <v>45954</v>
      </c>
      <c r="T3" s="270" t="s">
        <v>749</v>
      </c>
      <c r="U3" s="260" t="s">
        <v>750</v>
      </c>
      <c r="V3" s="271" t="s">
        <v>751</v>
      </c>
      <c r="W3" s="271" t="s">
        <v>756</v>
      </c>
      <c r="X3" s="271" t="s">
        <v>757</v>
      </c>
      <c r="Y3" s="272">
        <v>4.516</v>
      </c>
      <c r="Z3" s="273">
        <v>22598.06</v>
      </c>
      <c r="AA3" s="274">
        <v>175134.97</v>
      </c>
      <c r="AB3" s="245" t="s">
        <v>754</v>
      </c>
      <c r="AC3" s="275" t="s">
        <v>415</v>
      </c>
      <c r="AD3" s="276" t="s">
        <v>416</v>
      </c>
      <c r="AE3" s="277" t="s">
        <v>424</v>
      </c>
      <c r="AF3" s="278" t="s">
        <v>425</v>
      </c>
      <c r="AG3" s="268">
        <v>5004</v>
      </c>
      <c r="AH3" s="268">
        <v>0</v>
      </c>
      <c r="AI3" s="268"/>
      <c r="AJ3" s="268"/>
      <c r="AK3" s="270"/>
      <c r="AL3" s="270"/>
      <c r="AM3" s="270"/>
      <c r="AN3" s="270"/>
      <c r="AO3" s="270"/>
      <c r="AP3" s="270"/>
      <c r="AQ3" s="270"/>
    </row>
    <row r="4" s="254" customFormat="1" customHeight="1" spans="1:43">
      <c r="A4" s="259">
        <v>45954</v>
      </c>
      <c r="B4" s="260" t="s">
        <v>532</v>
      </c>
      <c r="C4" s="279" t="s">
        <v>88</v>
      </c>
      <c r="D4" s="261"/>
      <c r="E4" s="261" t="s">
        <v>89</v>
      </c>
      <c r="F4" s="262">
        <v>1025103</v>
      </c>
      <c r="G4" s="262" t="s">
        <v>73</v>
      </c>
      <c r="H4" s="263">
        <v>4002</v>
      </c>
      <c r="I4" s="264">
        <v>6</v>
      </c>
      <c r="J4" s="265">
        <v>667</v>
      </c>
      <c r="K4" s="259">
        <v>46009</v>
      </c>
      <c r="L4" s="266" t="s">
        <v>691</v>
      </c>
      <c r="M4" s="259"/>
      <c r="N4" s="267"/>
      <c r="O4" s="259"/>
      <c r="P4" s="259">
        <v>46010</v>
      </c>
      <c r="Q4" s="259"/>
      <c r="R4" s="268"/>
      <c r="S4" s="269">
        <v>45975</v>
      </c>
      <c r="T4" s="270" t="s">
        <v>758</v>
      </c>
      <c r="U4" s="260" t="s">
        <v>759</v>
      </c>
      <c r="V4" s="271" t="s">
        <v>760</v>
      </c>
      <c r="W4" s="271" t="s">
        <v>761</v>
      </c>
      <c r="X4" s="271" t="s">
        <v>762</v>
      </c>
      <c r="Y4" s="272">
        <v>2.119</v>
      </c>
      <c r="Z4" s="273">
        <v>8480.24</v>
      </c>
      <c r="AA4" s="274">
        <v>65721.86</v>
      </c>
      <c r="AB4" s="245" t="s">
        <v>763</v>
      </c>
      <c r="AC4" s="275" t="s">
        <v>415</v>
      </c>
      <c r="AD4" s="276" t="s">
        <v>416</v>
      </c>
      <c r="AE4" s="277" t="s">
        <v>424</v>
      </c>
      <c r="AF4" s="278" t="s">
        <v>425</v>
      </c>
      <c r="AG4" s="268">
        <v>4002</v>
      </c>
      <c r="AH4" s="268">
        <v>0</v>
      </c>
      <c r="AI4" s="268"/>
      <c r="AJ4" s="268"/>
      <c r="AK4" s="270"/>
      <c r="AL4" s="270"/>
      <c r="AM4" s="270"/>
      <c r="AN4" s="270"/>
      <c r="AO4" s="270"/>
      <c r="AP4" s="270"/>
      <c r="AQ4" s="270"/>
    </row>
    <row r="5" s="254" customFormat="1" customHeight="1" spans="1:43">
      <c r="A5" s="259">
        <v>45954</v>
      </c>
      <c r="B5" s="260" t="s">
        <v>532</v>
      </c>
      <c r="C5" s="279" t="s">
        <v>88</v>
      </c>
      <c r="D5" s="261"/>
      <c r="E5" s="261" t="s">
        <v>89</v>
      </c>
      <c r="F5" s="262">
        <v>1025117</v>
      </c>
      <c r="G5" s="262" t="s">
        <v>70</v>
      </c>
      <c r="H5" s="263">
        <v>3000</v>
      </c>
      <c r="I5" s="264">
        <v>6</v>
      </c>
      <c r="J5" s="265">
        <v>500</v>
      </c>
      <c r="K5" s="259">
        <v>46009</v>
      </c>
      <c r="L5" s="266" t="s">
        <v>691</v>
      </c>
      <c r="M5" s="259"/>
      <c r="N5" s="267"/>
      <c r="O5" s="259"/>
      <c r="P5" s="259">
        <v>46010</v>
      </c>
      <c r="Q5" s="259"/>
      <c r="R5" s="268"/>
      <c r="S5" s="269">
        <v>45975</v>
      </c>
      <c r="T5" s="270" t="s">
        <v>764</v>
      </c>
      <c r="U5" s="260" t="s">
        <v>759</v>
      </c>
      <c r="V5" s="271" t="s">
        <v>760</v>
      </c>
      <c r="W5" s="271" t="s">
        <v>765</v>
      </c>
      <c r="X5" s="271" t="s">
        <v>766</v>
      </c>
      <c r="Y5" s="272">
        <v>2.656</v>
      </c>
      <c r="Z5" s="273">
        <v>7968</v>
      </c>
      <c r="AA5" s="274">
        <v>61752</v>
      </c>
      <c r="AB5" s="245" t="s">
        <v>763</v>
      </c>
      <c r="AC5" s="275" t="s">
        <v>415</v>
      </c>
      <c r="AD5" s="276" t="s">
        <v>416</v>
      </c>
      <c r="AE5" s="277" t="s">
        <v>424</v>
      </c>
      <c r="AF5" s="278" t="s">
        <v>425</v>
      </c>
      <c r="AG5" s="268">
        <v>3000</v>
      </c>
      <c r="AH5" s="268">
        <v>0</v>
      </c>
      <c r="AI5" s="268"/>
      <c r="AJ5" s="268"/>
      <c r="AK5" s="270"/>
      <c r="AL5" s="270"/>
      <c r="AM5" s="270"/>
      <c r="AN5" s="270"/>
      <c r="AO5" s="270"/>
      <c r="AP5" s="270"/>
      <c r="AQ5" s="270"/>
    </row>
    <row r="6" s="254" customFormat="1" customHeight="1" spans="1:43">
      <c r="A6" s="259">
        <v>45954</v>
      </c>
      <c r="B6" s="260" t="s">
        <v>532</v>
      </c>
      <c r="C6" s="279" t="s">
        <v>88</v>
      </c>
      <c r="D6" s="261"/>
      <c r="E6" s="261" t="s">
        <v>89</v>
      </c>
      <c r="F6" s="262">
        <v>1025155</v>
      </c>
      <c r="G6" s="262" t="s">
        <v>90</v>
      </c>
      <c r="H6" s="263">
        <v>8004</v>
      </c>
      <c r="I6" s="264">
        <v>6</v>
      </c>
      <c r="J6" s="265">
        <v>1334</v>
      </c>
      <c r="K6" s="259">
        <v>46009</v>
      </c>
      <c r="L6" s="266" t="s">
        <v>691</v>
      </c>
      <c r="M6" s="259"/>
      <c r="N6" s="267"/>
      <c r="O6" s="259"/>
      <c r="P6" s="259">
        <v>46010</v>
      </c>
      <c r="Q6" s="259"/>
      <c r="R6" s="268"/>
      <c r="S6" s="269">
        <v>45975</v>
      </c>
      <c r="T6" s="270" t="s">
        <v>767</v>
      </c>
      <c r="U6" s="260" t="s">
        <v>759</v>
      </c>
      <c r="V6" s="271" t="s">
        <v>760</v>
      </c>
      <c r="W6" s="271" t="s">
        <v>768</v>
      </c>
      <c r="X6" s="271" t="s">
        <v>769</v>
      </c>
      <c r="Y6" s="272">
        <v>4.516</v>
      </c>
      <c r="Z6" s="273">
        <v>36146.06</v>
      </c>
      <c r="AA6" s="274">
        <v>280131.97</v>
      </c>
      <c r="AB6" s="245" t="s">
        <v>763</v>
      </c>
      <c r="AC6" s="275" t="s">
        <v>415</v>
      </c>
      <c r="AD6" s="276" t="s">
        <v>416</v>
      </c>
      <c r="AE6" s="277" t="s">
        <v>424</v>
      </c>
      <c r="AF6" s="278" t="s">
        <v>425</v>
      </c>
      <c r="AG6" s="268">
        <v>8004</v>
      </c>
      <c r="AH6" s="268">
        <v>0</v>
      </c>
      <c r="AI6" s="268"/>
      <c r="AJ6" s="268"/>
      <c r="AK6" s="270"/>
      <c r="AL6" s="270"/>
      <c r="AM6" s="270"/>
      <c r="AN6" s="270"/>
      <c r="AO6" s="270"/>
      <c r="AP6" s="270"/>
      <c r="AQ6" s="270"/>
    </row>
    <row r="7" s="254" customFormat="1" customHeight="1" spans="1:43">
      <c r="A7" s="259">
        <v>45985</v>
      </c>
      <c r="B7" s="260" t="s">
        <v>770</v>
      </c>
      <c r="C7" s="259" t="s">
        <v>109</v>
      </c>
      <c r="D7" s="261"/>
      <c r="E7" s="261" t="s">
        <v>110</v>
      </c>
      <c r="F7" s="262" t="s">
        <v>24</v>
      </c>
      <c r="G7" s="262" t="s">
        <v>111</v>
      </c>
      <c r="H7" s="263">
        <v>12600</v>
      </c>
      <c r="I7" s="264">
        <v>6</v>
      </c>
      <c r="J7" s="265">
        <v>2100</v>
      </c>
      <c r="K7" s="259">
        <v>46030</v>
      </c>
      <c r="L7" s="266">
        <v>46030</v>
      </c>
      <c r="M7" s="259"/>
      <c r="N7" s="267"/>
      <c r="O7" s="259"/>
      <c r="P7" s="259">
        <v>46037</v>
      </c>
      <c r="Q7" s="259"/>
      <c r="R7" s="268"/>
      <c r="S7" s="269">
        <v>45996</v>
      </c>
      <c r="T7" s="270" t="s">
        <v>771</v>
      </c>
      <c r="U7" s="270" t="s">
        <v>772</v>
      </c>
      <c r="V7" s="270" t="s">
        <v>773</v>
      </c>
      <c r="W7" s="271" t="s">
        <v>774</v>
      </c>
      <c r="X7" s="271" t="s">
        <v>775</v>
      </c>
      <c r="Y7" s="272">
        <v>2.089</v>
      </c>
      <c r="Z7" s="273">
        <v>26321.4</v>
      </c>
      <c r="AA7" s="274">
        <v>203990.85</v>
      </c>
      <c r="AB7" s="245" t="s">
        <v>776</v>
      </c>
      <c r="AC7" s="275" t="s">
        <v>415</v>
      </c>
      <c r="AD7" s="276" t="s">
        <v>416</v>
      </c>
      <c r="AE7" s="277" t="s">
        <v>424</v>
      </c>
      <c r="AF7" s="278" t="s">
        <v>425</v>
      </c>
      <c r="AG7" s="268">
        <v>12600</v>
      </c>
      <c r="AH7" s="268">
        <v>0</v>
      </c>
      <c r="AI7" s="268"/>
      <c r="AJ7" s="268" t="s">
        <v>691</v>
      </c>
      <c r="AK7" s="270"/>
      <c r="AL7" s="270"/>
      <c r="AM7" s="270"/>
      <c r="AN7" s="270"/>
      <c r="AO7" s="270"/>
      <c r="AP7" s="270"/>
      <c r="AQ7" s="270"/>
    </row>
    <row r="8" s="254" customFormat="1" customHeight="1" spans="1:43">
      <c r="A8" s="259">
        <v>45968</v>
      </c>
      <c r="B8" s="260" t="s">
        <v>777</v>
      </c>
      <c r="C8" s="259" t="s">
        <v>93</v>
      </c>
      <c r="D8" s="261"/>
      <c r="E8" s="261" t="s">
        <v>94</v>
      </c>
      <c r="F8" s="262">
        <v>1324138</v>
      </c>
      <c r="G8" s="262" t="s">
        <v>95</v>
      </c>
      <c r="H8" s="263">
        <v>5004</v>
      </c>
      <c r="I8" s="264">
        <v>6</v>
      </c>
      <c r="J8" s="265">
        <v>834</v>
      </c>
      <c r="K8" s="259">
        <v>46035</v>
      </c>
      <c r="L8" s="269">
        <v>46035</v>
      </c>
      <c r="M8" s="259"/>
      <c r="N8" s="267"/>
      <c r="O8" s="259"/>
      <c r="P8" s="259">
        <v>46028</v>
      </c>
      <c r="Q8" s="259"/>
      <c r="R8" s="268"/>
      <c r="S8" s="269">
        <v>45978</v>
      </c>
      <c r="T8" s="270" t="s">
        <v>778</v>
      </c>
      <c r="U8" s="260" t="s">
        <v>779</v>
      </c>
      <c r="V8" s="271" t="s">
        <v>780</v>
      </c>
      <c r="W8" s="271" t="s">
        <v>781</v>
      </c>
      <c r="X8" s="271" t="s">
        <v>782</v>
      </c>
      <c r="Y8" s="272">
        <v>3.865</v>
      </c>
      <c r="Z8" s="273">
        <v>19340.46</v>
      </c>
      <c r="AA8" s="274">
        <v>149888.57</v>
      </c>
      <c r="AB8" s="245" t="s">
        <v>783</v>
      </c>
      <c r="AC8" s="275" t="s">
        <v>415</v>
      </c>
      <c r="AD8" s="276" t="s">
        <v>416</v>
      </c>
      <c r="AE8" s="277" t="s">
        <v>424</v>
      </c>
      <c r="AF8" s="278" t="s">
        <v>425</v>
      </c>
      <c r="AG8" s="268">
        <v>5004</v>
      </c>
      <c r="AH8" s="268">
        <v>0</v>
      </c>
      <c r="AI8" s="268"/>
      <c r="AJ8" s="268"/>
      <c r="AK8" s="270"/>
      <c r="AL8" s="270"/>
      <c r="AM8" s="270"/>
      <c r="AN8" s="270"/>
      <c r="AO8" s="270"/>
      <c r="AP8" s="270"/>
      <c r="AQ8" s="270"/>
    </row>
    <row r="9" s="254" customFormat="1" customHeight="1" spans="1:43">
      <c r="A9" s="259">
        <v>45968</v>
      </c>
      <c r="B9" s="260" t="s">
        <v>777</v>
      </c>
      <c r="C9" s="259" t="s">
        <v>93</v>
      </c>
      <c r="D9" s="261"/>
      <c r="E9" s="261" t="s">
        <v>96</v>
      </c>
      <c r="F9" s="262">
        <v>1325107</v>
      </c>
      <c r="G9" s="262" t="s">
        <v>97</v>
      </c>
      <c r="H9" s="263">
        <v>6000</v>
      </c>
      <c r="I9" s="264">
        <v>6</v>
      </c>
      <c r="J9" s="265">
        <v>1000</v>
      </c>
      <c r="K9" s="259">
        <v>46035</v>
      </c>
      <c r="L9" s="269">
        <v>46035</v>
      </c>
      <c r="M9" s="259"/>
      <c r="N9" s="267"/>
      <c r="O9" s="259"/>
      <c r="P9" s="259">
        <v>46028</v>
      </c>
      <c r="Q9" s="259"/>
      <c r="R9" s="268"/>
      <c r="S9" s="269">
        <v>45978</v>
      </c>
      <c r="T9" s="270" t="s">
        <v>784</v>
      </c>
      <c r="U9" s="260" t="s">
        <v>785</v>
      </c>
      <c r="V9" s="271" t="s">
        <v>780</v>
      </c>
      <c r="W9" s="271" t="s">
        <v>786</v>
      </c>
      <c r="X9" s="271" t="s">
        <v>782</v>
      </c>
      <c r="Y9" s="272">
        <v>3.912</v>
      </c>
      <c r="Z9" s="273">
        <v>23472</v>
      </c>
      <c r="AA9" s="274">
        <v>181908</v>
      </c>
      <c r="AB9" s="245" t="s">
        <v>783</v>
      </c>
      <c r="AC9" s="275" t="s">
        <v>415</v>
      </c>
      <c r="AD9" s="276" t="s">
        <v>416</v>
      </c>
      <c r="AE9" s="277" t="s">
        <v>417</v>
      </c>
      <c r="AF9" s="278"/>
      <c r="AG9" s="268"/>
      <c r="AH9" s="268"/>
      <c r="AI9" s="268"/>
      <c r="AJ9" s="268"/>
      <c r="AK9" s="270"/>
      <c r="AL9" s="270"/>
      <c r="AM9" s="270"/>
      <c r="AN9" s="270"/>
      <c r="AO9" s="270"/>
      <c r="AP9" s="270"/>
      <c r="AQ9" s="270"/>
    </row>
    <row r="10" s="254" customFormat="1" customHeight="1" spans="1:43">
      <c r="A10" s="259">
        <v>45972</v>
      </c>
      <c r="B10" s="260" t="s">
        <v>480</v>
      </c>
      <c r="C10" s="259" t="s">
        <v>98</v>
      </c>
      <c r="D10" s="261"/>
      <c r="E10" s="261" t="s">
        <v>99</v>
      </c>
      <c r="F10" s="262">
        <v>4726107</v>
      </c>
      <c r="G10" s="262" t="s">
        <v>100</v>
      </c>
      <c r="H10" s="263">
        <v>5076</v>
      </c>
      <c r="I10" s="264">
        <v>6</v>
      </c>
      <c r="J10" s="265">
        <f>H10/I10</f>
        <v>846</v>
      </c>
      <c r="K10" s="259">
        <v>46045</v>
      </c>
      <c r="L10" s="269" t="s">
        <v>438</v>
      </c>
      <c r="M10" s="259"/>
      <c r="N10" s="267"/>
      <c r="O10" s="259"/>
      <c r="P10" s="259">
        <v>45690</v>
      </c>
      <c r="Q10" s="259"/>
      <c r="R10" s="268"/>
      <c r="S10" s="269">
        <v>46009</v>
      </c>
      <c r="T10" s="270" t="s">
        <v>787</v>
      </c>
      <c r="U10" s="260" t="s">
        <v>779</v>
      </c>
      <c r="V10" s="271" t="s">
        <v>788</v>
      </c>
      <c r="W10" s="271" t="s">
        <v>789</v>
      </c>
      <c r="X10" s="271" t="s">
        <v>485</v>
      </c>
      <c r="Y10" s="272">
        <v>3.912</v>
      </c>
      <c r="Z10" s="273">
        <f>H10*Y10</f>
        <v>19857.31</v>
      </c>
      <c r="AA10" s="274">
        <f>Z10*7.75</f>
        <v>153894.15</v>
      </c>
      <c r="AB10" s="245" t="s">
        <v>790</v>
      </c>
      <c r="AC10" s="275" t="s">
        <v>415</v>
      </c>
      <c r="AD10" s="276" t="s">
        <v>416</v>
      </c>
      <c r="AE10" s="277" t="s">
        <v>417</v>
      </c>
      <c r="AF10" s="278"/>
      <c r="AG10" s="268"/>
      <c r="AH10" s="268"/>
      <c r="AI10" s="268"/>
      <c r="AJ10" s="268"/>
      <c r="AK10" s="270"/>
      <c r="AL10" s="270"/>
      <c r="AM10" s="270"/>
      <c r="AN10" s="270"/>
      <c r="AO10" s="270"/>
      <c r="AP10" s="270"/>
      <c r="AQ10" s="270"/>
    </row>
    <row r="11" s="254" customFormat="1" customHeight="1" spans="1:43">
      <c r="A11" s="259">
        <v>45954</v>
      </c>
      <c r="B11" s="260"/>
      <c r="C11" s="259" t="s">
        <v>91</v>
      </c>
      <c r="D11" s="261"/>
      <c r="E11" s="261" t="s">
        <v>92</v>
      </c>
      <c r="F11" s="262">
        <v>1426107</v>
      </c>
      <c r="G11" s="262" t="s">
        <v>791</v>
      </c>
      <c r="H11" s="263">
        <v>8520</v>
      </c>
      <c r="I11" s="264">
        <v>6</v>
      </c>
      <c r="J11" s="265">
        <f>H11/I11</f>
        <v>1420</v>
      </c>
      <c r="K11" s="259">
        <v>46048</v>
      </c>
      <c r="L11" s="269">
        <v>46052</v>
      </c>
      <c r="M11" s="259"/>
      <c r="N11" s="267"/>
      <c r="O11" s="259"/>
      <c r="P11" s="259">
        <v>46048</v>
      </c>
      <c r="Q11" s="259"/>
      <c r="R11" s="268"/>
      <c r="S11" s="269">
        <v>46016</v>
      </c>
      <c r="T11" s="270" t="s">
        <v>792</v>
      </c>
      <c r="U11" s="260" t="s">
        <v>793</v>
      </c>
      <c r="V11" s="271" t="s">
        <v>794</v>
      </c>
      <c r="W11" s="271" t="s">
        <v>795</v>
      </c>
      <c r="X11" s="271" t="s">
        <v>796</v>
      </c>
      <c r="Y11" s="272">
        <v>3.912</v>
      </c>
      <c r="Z11" s="273">
        <f>H11*Y11</f>
        <v>33330.24</v>
      </c>
      <c r="AA11" s="274">
        <f>Z11*7.75</f>
        <v>258309.36</v>
      </c>
      <c r="AB11" s="245" t="s">
        <v>797</v>
      </c>
      <c r="AC11" s="275" t="s">
        <v>415</v>
      </c>
      <c r="AD11" s="276" t="s">
        <v>416</v>
      </c>
      <c r="AE11" s="277" t="s">
        <v>417</v>
      </c>
      <c r="AF11" s="278"/>
      <c r="AG11" s="268"/>
      <c r="AH11" s="268"/>
      <c r="AI11" s="268"/>
      <c r="AJ11" s="268"/>
      <c r="AK11" s="270"/>
      <c r="AL11" s="270"/>
      <c r="AM11" s="270"/>
      <c r="AN11" s="270"/>
      <c r="AO11" s="270"/>
      <c r="AP11" s="270"/>
      <c r="AQ11" s="270"/>
    </row>
    <row r="12" s="254" customFormat="1" customHeight="1" spans="1:43">
      <c r="A12" s="259">
        <v>46001</v>
      </c>
      <c r="B12" s="260" t="s">
        <v>532</v>
      </c>
      <c r="C12" s="259" t="s">
        <v>88</v>
      </c>
      <c r="D12" s="261"/>
      <c r="E12" s="261" t="s">
        <v>130</v>
      </c>
      <c r="F12" s="262">
        <v>1025103</v>
      </c>
      <c r="G12" s="262" t="s">
        <v>131</v>
      </c>
      <c r="H12" s="263">
        <v>4002</v>
      </c>
      <c r="I12" s="264">
        <v>6</v>
      </c>
      <c r="J12" s="265">
        <v>667</v>
      </c>
      <c r="K12" s="259">
        <v>46045</v>
      </c>
      <c r="L12" s="269">
        <v>46049</v>
      </c>
      <c r="M12" s="259"/>
      <c r="N12" s="267"/>
      <c r="O12" s="259"/>
      <c r="P12" s="259">
        <v>46052</v>
      </c>
      <c r="Q12" s="259"/>
      <c r="R12" s="268"/>
      <c r="S12" s="269">
        <v>46020</v>
      </c>
      <c r="T12" s="270" t="s">
        <v>798</v>
      </c>
      <c r="U12" s="260" t="s">
        <v>799</v>
      </c>
      <c r="V12" s="271" t="s">
        <v>800</v>
      </c>
      <c r="W12" s="271" t="s">
        <v>801</v>
      </c>
      <c r="X12" s="271" t="s">
        <v>762</v>
      </c>
      <c r="Y12" s="272">
        <v>2.119</v>
      </c>
      <c r="Z12" s="273">
        <v>8480.24</v>
      </c>
      <c r="AA12" s="274">
        <v>65721.86</v>
      </c>
      <c r="AB12" s="245" t="s">
        <v>802</v>
      </c>
      <c r="AC12" s="275" t="s">
        <v>415</v>
      </c>
      <c r="AD12" s="276" t="s">
        <v>416</v>
      </c>
      <c r="AE12" s="277" t="s">
        <v>424</v>
      </c>
      <c r="AF12" s="277" t="s">
        <v>425</v>
      </c>
      <c r="AG12" s="268">
        <v>4002</v>
      </c>
      <c r="AH12" s="268">
        <v>0</v>
      </c>
      <c r="AI12" s="268"/>
      <c r="AJ12" s="268"/>
      <c r="AK12" s="276">
        <v>46036</v>
      </c>
      <c r="AL12" s="270"/>
      <c r="AM12" s="270"/>
      <c r="AN12" s="270"/>
      <c r="AO12" s="270"/>
      <c r="AP12" s="270"/>
      <c r="AQ12" s="270"/>
    </row>
    <row r="13" s="254" customFormat="1" customHeight="1" spans="1:43">
      <c r="A13" s="259">
        <v>46001</v>
      </c>
      <c r="B13" s="260" t="s">
        <v>532</v>
      </c>
      <c r="C13" s="259" t="s">
        <v>88</v>
      </c>
      <c r="D13" s="261"/>
      <c r="E13" s="261" t="s">
        <v>132</v>
      </c>
      <c r="F13" s="262">
        <v>1025155</v>
      </c>
      <c r="G13" s="262" t="s">
        <v>133</v>
      </c>
      <c r="H13" s="263">
        <v>6000</v>
      </c>
      <c r="I13" s="264">
        <v>6</v>
      </c>
      <c r="J13" s="265">
        <v>1000</v>
      </c>
      <c r="K13" s="259">
        <v>46045</v>
      </c>
      <c r="L13" s="269">
        <v>46049</v>
      </c>
      <c r="M13" s="259"/>
      <c r="N13" s="267"/>
      <c r="O13" s="259"/>
      <c r="P13" s="259">
        <v>46052</v>
      </c>
      <c r="Q13" s="259"/>
      <c r="R13" s="268"/>
      <c r="S13" s="269">
        <v>46014</v>
      </c>
      <c r="T13" s="270" t="s">
        <v>798</v>
      </c>
      <c r="U13" s="260" t="s">
        <v>799</v>
      </c>
      <c r="V13" s="271" t="s">
        <v>800</v>
      </c>
      <c r="W13" s="271" t="s">
        <v>803</v>
      </c>
      <c r="X13" s="271" t="s">
        <v>769</v>
      </c>
      <c r="Y13" s="272">
        <v>4.516</v>
      </c>
      <c r="Z13" s="273">
        <v>27096</v>
      </c>
      <c r="AA13" s="274">
        <v>209994</v>
      </c>
      <c r="AB13" s="245" t="s">
        <v>802</v>
      </c>
      <c r="AC13" s="275" t="s">
        <v>415</v>
      </c>
      <c r="AD13" s="276" t="s">
        <v>416</v>
      </c>
      <c r="AE13" s="277" t="s">
        <v>424</v>
      </c>
      <c r="AF13" s="277" t="s">
        <v>425</v>
      </c>
      <c r="AG13" s="268">
        <v>6000</v>
      </c>
      <c r="AH13" s="268">
        <v>0</v>
      </c>
      <c r="AI13" s="268"/>
      <c r="AJ13" s="268"/>
      <c r="AK13" s="276">
        <v>46042</v>
      </c>
      <c r="AL13" s="270"/>
      <c r="AM13" s="270"/>
      <c r="AN13" s="270"/>
      <c r="AO13" s="270"/>
      <c r="AP13" s="270"/>
      <c r="AQ13" s="270"/>
    </row>
    <row r="14" s="254" customFormat="1" customHeight="1" spans="1:43">
      <c r="A14" s="259">
        <v>46001</v>
      </c>
      <c r="B14" s="260" t="s">
        <v>532</v>
      </c>
      <c r="C14" s="259" t="s">
        <v>88</v>
      </c>
      <c r="D14" s="261"/>
      <c r="E14" s="261" t="s">
        <v>134</v>
      </c>
      <c r="F14" s="262">
        <v>1025155</v>
      </c>
      <c r="G14" s="262" t="s">
        <v>133</v>
      </c>
      <c r="H14" s="263">
        <v>2004</v>
      </c>
      <c r="I14" s="264">
        <v>6</v>
      </c>
      <c r="J14" s="265">
        <v>334</v>
      </c>
      <c r="K14" s="259">
        <v>46045</v>
      </c>
      <c r="L14" s="269">
        <v>46049</v>
      </c>
      <c r="M14" s="259"/>
      <c r="N14" s="267"/>
      <c r="O14" s="259"/>
      <c r="P14" s="259">
        <v>46052</v>
      </c>
      <c r="Q14" s="259"/>
      <c r="R14" s="268"/>
      <c r="S14" s="269">
        <v>46014</v>
      </c>
      <c r="T14" s="270" t="s">
        <v>798</v>
      </c>
      <c r="U14" s="260" t="s">
        <v>799</v>
      </c>
      <c r="V14" s="271" t="s">
        <v>800</v>
      </c>
      <c r="W14" s="271" t="s">
        <v>803</v>
      </c>
      <c r="X14" s="271" t="s">
        <v>769</v>
      </c>
      <c r="Y14" s="272">
        <v>4.516</v>
      </c>
      <c r="Z14" s="273">
        <v>9050.06</v>
      </c>
      <c r="AA14" s="274">
        <v>70137.97</v>
      </c>
      <c r="AB14" s="245" t="s">
        <v>802</v>
      </c>
      <c r="AC14" s="275" t="s">
        <v>415</v>
      </c>
      <c r="AD14" s="276" t="s">
        <v>416</v>
      </c>
      <c r="AE14" s="277" t="s">
        <v>424</v>
      </c>
      <c r="AF14" s="277" t="s">
        <v>425</v>
      </c>
      <c r="AG14" s="268">
        <v>2004</v>
      </c>
      <c r="AH14" s="268">
        <v>0</v>
      </c>
      <c r="AI14" s="268"/>
      <c r="AJ14" s="268"/>
      <c r="AK14" s="276">
        <v>46044</v>
      </c>
      <c r="AL14" s="270"/>
      <c r="AM14" s="270"/>
      <c r="AN14" s="270"/>
      <c r="AO14" s="270"/>
      <c r="AP14" s="270"/>
      <c r="AQ14" s="270"/>
    </row>
    <row r="15" s="254" customFormat="1" customHeight="1" spans="1:43">
      <c r="A15" s="259">
        <v>46001</v>
      </c>
      <c r="B15" s="260" t="s">
        <v>532</v>
      </c>
      <c r="C15" s="259" t="s">
        <v>88</v>
      </c>
      <c r="D15" s="261"/>
      <c r="E15" s="261" t="s">
        <v>135</v>
      </c>
      <c r="F15" s="262">
        <v>1026107</v>
      </c>
      <c r="G15" s="262" t="s">
        <v>136</v>
      </c>
      <c r="H15" s="263">
        <v>6000</v>
      </c>
      <c r="I15" s="264">
        <v>6</v>
      </c>
      <c r="J15" s="265">
        <v>1000</v>
      </c>
      <c r="K15" s="259">
        <v>46045</v>
      </c>
      <c r="L15" s="269">
        <v>46049</v>
      </c>
      <c r="M15" s="259"/>
      <c r="N15" s="267"/>
      <c r="O15" s="259"/>
      <c r="P15" s="259">
        <v>46052</v>
      </c>
      <c r="Q15" s="259"/>
      <c r="R15" s="268"/>
      <c r="S15" s="269">
        <v>46008</v>
      </c>
      <c r="T15" s="270" t="s">
        <v>787</v>
      </c>
      <c r="U15" s="260" t="s">
        <v>799</v>
      </c>
      <c r="V15" s="271" t="s">
        <v>800</v>
      </c>
      <c r="W15" s="271" t="s">
        <v>804</v>
      </c>
      <c r="X15" s="271" t="s">
        <v>769</v>
      </c>
      <c r="Y15" s="272">
        <v>3.912</v>
      </c>
      <c r="Z15" s="273">
        <v>23472</v>
      </c>
      <c r="AA15" s="274">
        <v>181908</v>
      </c>
      <c r="AB15" s="245" t="s">
        <v>802</v>
      </c>
      <c r="AC15" s="275" t="s">
        <v>415</v>
      </c>
      <c r="AD15" s="276" t="s">
        <v>416</v>
      </c>
      <c r="AE15" s="277" t="s">
        <v>417</v>
      </c>
      <c r="AF15" s="277"/>
      <c r="AG15" s="268"/>
      <c r="AH15" s="268"/>
      <c r="AI15" s="268"/>
      <c r="AJ15" s="268"/>
      <c r="AK15" s="270"/>
      <c r="AL15" s="270"/>
      <c r="AM15" s="270"/>
      <c r="AN15" s="270"/>
      <c r="AO15" s="270"/>
      <c r="AP15" s="270"/>
      <c r="AQ15" s="270"/>
    </row>
    <row r="16" s="254" customFormat="1" customHeight="1" spans="1:43">
      <c r="A16" s="259">
        <v>45978</v>
      </c>
      <c r="B16" s="260" t="s">
        <v>805</v>
      </c>
      <c r="C16" s="259" t="s">
        <v>105</v>
      </c>
      <c r="D16" s="261"/>
      <c r="E16" s="261" t="s">
        <v>107</v>
      </c>
      <c r="F16" s="262">
        <v>3225107</v>
      </c>
      <c r="G16" s="262" t="s">
        <v>108</v>
      </c>
      <c r="H16" s="263">
        <v>7200</v>
      </c>
      <c r="I16" s="264">
        <v>6</v>
      </c>
      <c r="J16" s="265">
        <v>1200</v>
      </c>
      <c r="K16" s="259">
        <v>46045</v>
      </c>
      <c r="L16" s="269" t="s">
        <v>438</v>
      </c>
      <c r="M16" s="259"/>
      <c r="N16" s="267"/>
      <c r="O16" s="259"/>
      <c r="P16" s="259">
        <v>46045</v>
      </c>
      <c r="Q16" s="259"/>
      <c r="R16" s="268"/>
      <c r="S16" s="269">
        <v>45993</v>
      </c>
      <c r="T16" s="270" t="s">
        <v>806</v>
      </c>
      <c r="U16" s="260" t="s">
        <v>807</v>
      </c>
      <c r="V16" s="271" t="s">
        <v>808</v>
      </c>
      <c r="W16" s="271" t="s">
        <v>809</v>
      </c>
      <c r="X16" s="271" t="s">
        <v>509</v>
      </c>
      <c r="Y16" s="272">
        <v>3.912</v>
      </c>
      <c r="Z16" s="273">
        <v>28166.4</v>
      </c>
      <c r="AA16" s="274">
        <v>218289.6</v>
      </c>
      <c r="AB16" s="245" t="s">
        <v>810</v>
      </c>
      <c r="AC16" s="275" t="s">
        <v>415</v>
      </c>
      <c r="AD16" s="276" t="s">
        <v>416</v>
      </c>
      <c r="AE16" s="277" t="s">
        <v>417</v>
      </c>
      <c r="AF16" s="278"/>
      <c r="AG16" s="268"/>
      <c r="AH16" s="268"/>
      <c r="AI16" s="268"/>
      <c r="AJ16" s="268"/>
      <c r="AK16" s="270"/>
      <c r="AL16" s="270"/>
      <c r="AM16" s="270"/>
      <c r="AN16" s="270"/>
      <c r="AO16" s="270"/>
      <c r="AP16" s="270"/>
      <c r="AQ16" s="270"/>
    </row>
    <row r="17" s="254" customFormat="1" customHeight="1" spans="1:43">
      <c r="A17" s="259">
        <v>46003</v>
      </c>
      <c r="B17" s="260" t="s">
        <v>811</v>
      </c>
      <c r="C17" s="259" t="s">
        <v>105</v>
      </c>
      <c r="D17" s="261"/>
      <c r="E17" s="261" t="s">
        <v>138</v>
      </c>
      <c r="F17" s="262">
        <v>3222103</v>
      </c>
      <c r="G17" s="262" t="s">
        <v>139</v>
      </c>
      <c r="H17" s="263">
        <v>1500</v>
      </c>
      <c r="I17" s="264">
        <v>6</v>
      </c>
      <c r="J17" s="265">
        <v>250</v>
      </c>
      <c r="K17" s="259">
        <v>46042</v>
      </c>
      <c r="L17" s="269">
        <v>46051</v>
      </c>
      <c r="M17" s="259"/>
      <c r="N17" s="267"/>
      <c r="O17" s="259"/>
      <c r="P17" s="259">
        <v>46049</v>
      </c>
      <c r="Q17" s="259"/>
      <c r="R17" s="268"/>
      <c r="S17" s="269">
        <v>46020</v>
      </c>
      <c r="T17" s="270" t="s">
        <v>812</v>
      </c>
      <c r="U17" s="270" t="s">
        <v>813</v>
      </c>
      <c r="V17" s="271" t="s">
        <v>808</v>
      </c>
      <c r="W17" s="271" t="s">
        <v>814</v>
      </c>
      <c r="X17" s="271" t="s">
        <v>815</v>
      </c>
      <c r="Y17" s="272">
        <v>1.937</v>
      </c>
      <c r="Z17" s="273">
        <v>2905.5</v>
      </c>
      <c r="AA17" s="274">
        <v>22517.63</v>
      </c>
      <c r="AB17" s="245" t="s">
        <v>816</v>
      </c>
      <c r="AC17" s="275" t="s">
        <v>415</v>
      </c>
      <c r="AD17" s="276" t="s">
        <v>416</v>
      </c>
      <c r="AE17" s="277" t="s">
        <v>424</v>
      </c>
      <c r="AF17" s="277" t="s">
        <v>425</v>
      </c>
      <c r="AG17" s="268">
        <v>1500</v>
      </c>
      <c r="AH17" s="268">
        <v>0</v>
      </c>
      <c r="AI17" s="268"/>
      <c r="AJ17" s="268"/>
      <c r="AK17" s="276">
        <v>46039</v>
      </c>
      <c r="AL17" s="270"/>
      <c r="AM17" s="270"/>
      <c r="AN17" s="270"/>
      <c r="AO17" s="270"/>
      <c r="AP17" s="270"/>
      <c r="AQ17" s="270"/>
    </row>
    <row r="18" s="254" customFormat="1" customHeight="1" spans="1:43">
      <c r="A18" s="259">
        <v>46003</v>
      </c>
      <c r="B18" s="260" t="s">
        <v>811</v>
      </c>
      <c r="C18" s="259" t="s">
        <v>105</v>
      </c>
      <c r="D18" s="261"/>
      <c r="E18" s="261" t="s">
        <v>138</v>
      </c>
      <c r="F18" s="262">
        <v>3222103</v>
      </c>
      <c r="G18" s="262" t="s">
        <v>139</v>
      </c>
      <c r="H18" s="263">
        <v>1104</v>
      </c>
      <c r="I18" s="264">
        <v>6</v>
      </c>
      <c r="J18" s="265">
        <v>184</v>
      </c>
      <c r="K18" s="259">
        <v>46042</v>
      </c>
      <c r="L18" s="269">
        <v>46051</v>
      </c>
      <c r="M18" s="259"/>
      <c r="N18" s="267"/>
      <c r="O18" s="259"/>
      <c r="P18" s="259">
        <v>46049</v>
      </c>
      <c r="Q18" s="259"/>
      <c r="R18" s="268"/>
      <c r="S18" s="269">
        <v>46020</v>
      </c>
      <c r="T18" s="270" t="s">
        <v>812</v>
      </c>
      <c r="U18" s="270" t="s">
        <v>813</v>
      </c>
      <c r="V18" s="271" t="s">
        <v>808</v>
      </c>
      <c r="W18" s="271" t="s">
        <v>814</v>
      </c>
      <c r="X18" s="271" t="s">
        <v>815</v>
      </c>
      <c r="Y18" s="272">
        <v>1.937</v>
      </c>
      <c r="Z18" s="273">
        <v>2138.45</v>
      </c>
      <c r="AA18" s="274">
        <v>16572.99</v>
      </c>
      <c r="AB18" s="245" t="s">
        <v>816</v>
      </c>
      <c r="AC18" s="275" t="s">
        <v>415</v>
      </c>
      <c r="AD18" s="276" t="s">
        <v>416</v>
      </c>
      <c r="AE18" s="277" t="s">
        <v>424</v>
      </c>
      <c r="AF18" s="277" t="s">
        <v>425</v>
      </c>
      <c r="AG18" s="268">
        <v>1104</v>
      </c>
      <c r="AH18" s="268">
        <v>0</v>
      </c>
      <c r="AI18" s="268"/>
      <c r="AJ18" s="268"/>
      <c r="AK18" s="276">
        <v>46041</v>
      </c>
      <c r="AL18" s="270"/>
      <c r="AM18" s="270"/>
      <c r="AN18" s="270"/>
      <c r="AO18" s="270"/>
      <c r="AP18" s="270"/>
      <c r="AQ18" s="270"/>
    </row>
    <row r="19" s="254" customFormat="1" customHeight="1" spans="1:43">
      <c r="A19" s="259">
        <v>46003</v>
      </c>
      <c r="B19" s="260" t="s">
        <v>811</v>
      </c>
      <c r="C19" s="259" t="s">
        <v>105</v>
      </c>
      <c r="D19" s="261"/>
      <c r="E19" s="261" t="s">
        <v>138</v>
      </c>
      <c r="F19" s="262">
        <v>3222110</v>
      </c>
      <c r="G19" s="262" t="s">
        <v>140</v>
      </c>
      <c r="H19" s="263">
        <v>1500</v>
      </c>
      <c r="I19" s="264">
        <v>6</v>
      </c>
      <c r="J19" s="265">
        <v>250</v>
      </c>
      <c r="K19" s="259">
        <v>46042</v>
      </c>
      <c r="L19" s="269">
        <v>46051</v>
      </c>
      <c r="M19" s="259"/>
      <c r="N19" s="267"/>
      <c r="O19" s="259"/>
      <c r="P19" s="259">
        <v>46049</v>
      </c>
      <c r="Q19" s="259"/>
      <c r="R19" s="268"/>
      <c r="S19" s="269">
        <v>46010</v>
      </c>
      <c r="T19" s="270" t="s">
        <v>812</v>
      </c>
      <c r="U19" s="270" t="s">
        <v>813</v>
      </c>
      <c r="V19" s="271" t="s">
        <v>808</v>
      </c>
      <c r="W19" s="271" t="s">
        <v>817</v>
      </c>
      <c r="X19" s="271" t="s">
        <v>757</v>
      </c>
      <c r="Y19" s="272">
        <v>3.06</v>
      </c>
      <c r="Z19" s="273">
        <v>4590</v>
      </c>
      <c r="AA19" s="274">
        <v>35572.5</v>
      </c>
      <c r="AB19" s="245" t="s">
        <v>816</v>
      </c>
      <c r="AC19" s="275" t="s">
        <v>415</v>
      </c>
      <c r="AD19" s="276" t="s">
        <v>416</v>
      </c>
      <c r="AE19" s="277" t="s">
        <v>424</v>
      </c>
      <c r="AF19" s="277" t="s">
        <v>425</v>
      </c>
      <c r="AG19" s="268">
        <v>1500</v>
      </c>
      <c r="AH19" s="268">
        <v>0</v>
      </c>
      <c r="AI19" s="268"/>
      <c r="AJ19" s="268"/>
      <c r="AK19" s="276">
        <v>46043</v>
      </c>
      <c r="AL19" s="270"/>
      <c r="AM19" s="270"/>
      <c r="AN19" s="270"/>
      <c r="AO19" s="270"/>
      <c r="AP19" s="270"/>
      <c r="AQ19" s="270"/>
    </row>
    <row r="20" s="254" customFormat="1" customHeight="1" spans="1:43">
      <c r="A20" s="259">
        <v>46003</v>
      </c>
      <c r="B20" s="260" t="s">
        <v>811</v>
      </c>
      <c r="C20" s="259" t="s">
        <v>105</v>
      </c>
      <c r="D20" s="261"/>
      <c r="E20" s="261" t="s">
        <v>138</v>
      </c>
      <c r="F20" s="262">
        <v>3222110</v>
      </c>
      <c r="G20" s="262" t="s">
        <v>140</v>
      </c>
      <c r="H20" s="263">
        <v>1104</v>
      </c>
      <c r="I20" s="264">
        <v>6</v>
      </c>
      <c r="J20" s="265">
        <v>184</v>
      </c>
      <c r="K20" s="259">
        <v>46042</v>
      </c>
      <c r="L20" s="269">
        <v>46051</v>
      </c>
      <c r="M20" s="259"/>
      <c r="N20" s="267"/>
      <c r="O20" s="259"/>
      <c r="P20" s="259">
        <v>46049</v>
      </c>
      <c r="Q20" s="259"/>
      <c r="R20" s="268"/>
      <c r="S20" s="269">
        <v>46010</v>
      </c>
      <c r="T20" s="270" t="s">
        <v>812</v>
      </c>
      <c r="U20" s="270" t="s">
        <v>813</v>
      </c>
      <c r="V20" s="271" t="s">
        <v>808</v>
      </c>
      <c r="W20" s="271" t="s">
        <v>817</v>
      </c>
      <c r="X20" s="271" t="s">
        <v>757</v>
      </c>
      <c r="Y20" s="272">
        <v>3.06</v>
      </c>
      <c r="Z20" s="273">
        <v>3378.24</v>
      </c>
      <c r="AA20" s="274">
        <v>26181.36</v>
      </c>
      <c r="AB20" s="245" t="s">
        <v>816</v>
      </c>
      <c r="AC20" s="275" t="s">
        <v>415</v>
      </c>
      <c r="AD20" s="276" t="s">
        <v>416</v>
      </c>
      <c r="AE20" s="277" t="s">
        <v>424</v>
      </c>
      <c r="AF20" s="277" t="s">
        <v>425</v>
      </c>
      <c r="AG20" s="268">
        <v>1104</v>
      </c>
      <c r="AH20" s="268">
        <v>0</v>
      </c>
      <c r="AI20" s="268"/>
      <c r="AJ20" s="268"/>
      <c r="AK20" s="276">
        <v>46043</v>
      </c>
      <c r="AL20" s="270"/>
      <c r="AM20" s="270"/>
      <c r="AN20" s="270"/>
      <c r="AO20" s="270"/>
      <c r="AP20" s="270"/>
      <c r="AQ20" s="270"/>
    </row>
    <row r="21" s="254" customFormat="1" customHeight="1" spans="1:43">
      <c r="A21" s="259">
        <v>45992</v>
      </c>
      <c r="B21" s="260" t="s">
        <v>617</v>
      </c>
      <c r="C21" s="259" t="s">
        <v>120</v>
      </c>
      <c r="D21" s="261"/>
      <c r="E21" s="261" t="s">
        <v>121</v>
      </c>
      <c r="F21" s="262" t="s">
        <v>122</v>
      </c>
      <c r="G21" s="262" t="s">
        <v>72</v>
      </c>
      <c r="H21" s="263">
        <v>2208</v>
      </c>
      <c r="I21" s="264">
        <v>6</v>
      </c>
      <c r="J21" s="265">
        <f t="shared" ref="J21:J66" si="0">H21/I21</f>
        <v>368</v>
      </c>
      <c r="K21" s="259">
        <f>P21-7</f>
        <v>46045</v>
      </c>
      <c r="L21" s="269">
        <v>46051</v>
      </c>
      <c r="M21" s="259"/>
      <c r="N21" s="267"/>
      <c r="O21" s="259"/>
      <c r="P21" s="259">
        <v>46052</v>
      </c>
      <c r="Q21" s="259"/>
      <c r="R21" s="268"/>
      <c r="S21" s="269">
        <v>46016</v>
      </c>
      <c r="T21" s="270" t="s">
        <v>818</v>
      </c>
      <c r="U21" s="260" t="s">
        <v>819</v>
      </c>
      <c r="V21" s="271" t="s">
        <v>820</v>
      </c>
      <c r="W21" s="271" t="s">
        <v>821</v>
      </c>
      <c r="X21" s="271" t="s">
        <v>822</v>
      </c>
      <c r="Y21" s="272">
        <v>2.09</v>
      </c>
      <c r="Z21" s="273">
        <f t="shared" ref="Z21:Z66" si="1">H21*Y21</f>
        <v>4614.72</v>
      </c>
      <c r="AA21" s="274">
        <f t="shared" ref="AA21:AA66" si="2">Z21*7.75</f>
        <v>35764.08</v>
      </c>
      <c r="AB21" s="245" t="s">
        <v>823</v>
      </c>
      <c r="AC21" s="275" t="s">
        <v>415</v>
      </c>
      <c r="AD21" s="276" t="s">
        <v>416</v>
      </c>
      <c r="AE21" s="277" t="s">
        <v>424</v>
      </c>
      <c r="AF21" s="278" t="s">
        <v>425</v>
      </c>
      <c r="AG21" s="268">
        <f>2172+36</f>
        <v>2208</v>
      </c>
      <c r="AH21" s="268">
        <f>AG21-H21</f>
        <v>0</v>
      </c>
      <c r="AI21" s="268"/>
      <c r="AJ21" s="268"/>
      <c r="AK21" s="276">
        <v>46044</v>
      </c>
      <c r="AL21" s="270"/>
      <c r="AM21" s="270"/>
      <c r="AN21" s="270"/>
      <c r="AO21" s="270"/>
      <c r="AP21" s="270"/>
      <c r="AQ21" s="270"/>
    </row>
    <row r="22" s="254" customFormat="1" customHeight="1" spans="1:43">
      <c r="A22" s="259">
        <v>45992</v>
      </c>
      <c r="B22" s="260" t="s">
        <v>617</v>
      </c>
      <c r="C22" s="259" t="s">
        <v>120</v>
      </c>
      <c r="D22" s="261"/>
      <c r="E22" s="261" t="s">
        <v>121</v>
      </c>
      <c r="F22" s="262">
        <v>1126148</v>
      </c>
      <c r="G22" s="262" t="s">
        <v>114</v>
      </c>
      <c r="H22" s="263">
        <v>1500</v>
      </c>
      <c r="I22" s="264">
        <v>6</v>
      </c>
      <c r="J22" s="265">
        <f t="shared" si="0"/>
        <v>250</v>
      </c>
      <c r="K22" s="259">
        <f>P22-7</f>
        <v>46045</v>
      </c>
      <c r="L22" s="269">
        <v>46051</v>
      </c>
      <c r="M22" s="259"/>
      <c r="N22" s="267"/>
      <c r="O22" s="259"/>
      <c r="P22" s="259">
        <v>46052</v>
      </c>
      <c r="Q22" s="259"/>
      <c r="R22" s="268"/>
      <c r="S22" s="269">
        <v>46006</v>
      </c>
      <c r="T22" s="270" t="s">
        <v>824</v>
      </c>
      <c r="U22" s="260" t="s">
        <v>819</v>
      </c>
      <c r="V22" s="271" t="s">
        <v>820</v>
      </c>
      <c r="W22" s="271" t="s">
        <v>825</v>
      </c>
      <c r="X22" s="271" t="s">
        <v>826</v>
      </c>
      <c r="Y22" s="272">
        <v>3.912</v>
      </c>
      <c r="Z22" s="273">
        <f t="shared" si="1"/>
        <v>5868</v>
      </c>
      <c r="AA22" s="274">
        <f t="shared" si="2"/>
        <v>45477</v>
      </c>
      <c r="AB22" s="245" t="s">
        <v>823</v>
      </c>
      <c r="AC22" s="275" t="s">
        <v>415</v>
      </c>
      <c r="AD22" s="276" t="s">
        <v>416</v>
      </c>
      <c r="AE22" s="277" t="s">
        <v>417</v>
      </c>
      <c r="AF22" s="278"/>
      <c r="AG22" s="268"/>
      <c r="AH22" s="268"/>
      <c r="AI22" s="268"/>
      <c r="AJ22" s="268"/>
      <c r="AK22" s="270"/>
      <c r="AL22" s="270"/>
      <c r="AM22" s="270"/>
      <c r="AN22" s="270"/>
      <c r="AO22" s="270"/>
      <c r="AP22" s="270"/>
      <c r="AQ22" s="270"/>
    </row>
    <row r="23" s="255" customFormat="1" customHeight="1" spans="1:43">
      <c r="A23" s="280">
        <v>45975</v>
      </c>
      <c r="B23" s="281" t="s">
        <v>827</v>
      </c>
      <c r="C23" s="280" t="s">
        <v>102</v>
      </c>
      <c r="D23" s="282"/>
      <c r="E23" s="282" t="s">
        <v>103</v>
      </c>
      <c r="F23" s="283">
        <v>3826107</v>
      </c>
      <c r="G23" s="283" t="s">
        <v>104</v>
      </c>
      <c r="H23" s="284">
        <v>6168</v>
      </c>
      <c r="I23" s="285">
        <v>6</v>
      </c>
      <c r="J23" s="286">
        <f t="shared" si="0"/>
        <v>1028</v>
      </c>
      <c r="K23" s="280">
        <v>46052</v>
      </c>
      <c r="L23" s="287">
        <v>46055</v>
      </c>
      <c r="M23" s="280"/>
      <c r="N23" s="288"/>
      <c r="O23" s="280"/>
      <c r="P23" s="280">
        <v>46052</v>
      </c>
      <c r="Q23" s="280"/>
      <c r="R23" s="289"/>
      <c r="S23" s="287">
        <v>46021</v>
      </c>
      <c r="T23" s="290" t="s">
        <v>824</v>
      </c>
      <c r="U23" s="281" t="s">
        <v>828</v>
      </c>
      <c r="V23" s="291" t="s">
        <v>829</v>
      </c>
      <c r="W23" s="291" t="s">
        <v>830</v>
      </c>
      <c r="X23" s="291" t="s">
        <v>734</v>
      </c>
      <c r="Y23" s="292">
        <v>3.912</v>
      </c>
      <c r="Z23" s="243">
        <f t="shared" si="1"/>
        <v>24129.22</v>
      </c>
      <c r="AA23" s="244">
        <f t="shared" si="2"/>
        <v>187001.46</v>
      </c>
      <c r="AB23" s="245" t="s">
        <v>831</v>
      </c>
      <c r="AC23" s="293" t="s">
        <v>415</v>
      </c>
      <c r="AD23" s="294" t="s">
        <v>416</v>
      </c>
      <c r="AE23" s="295" t="s">
        <v>417</v>
      </c>
      <c r="AF23" s="296"/>
      <c r="AG23" s="289"/>
      <c r="AH23" s="289"/>
      <c r="AI23" s="289"/>
      <c r="AJ23" s="289"/>
      <c r="AK23" s="290"/>
      <c r="AL23" s="290"/>
      <c r="AM23" s="290"/>
      <c r="AN23" s="290"/>
      <c r="AO23" s="290"/>
      <c r="AP23" s="290"/>
      <c r="AQ23" s="290"/>
    </row>
    <row r="24" s="254" customFormat="1" customHeight="1" spans="1:43">
      <c r="A24" s="259">
        <v>46027</v>
      </c>
      <c r="B24" s="260" t="s">
        <v>486</v>
      </c>
      <c r="C24" s="259" t="s">
        <v>109</v>
      </c>
      <c r="D24" s="261"/>
      <c r="E24" s="261" t="s">
        <v>144</v>
      </c>
      <c r="F24" s="262" t="s">
        <v>145</v>
      </c>
      <c r="G24" s="262" t="s">
        <v>111</v>
      </c>
      <c r="H24" s="263">
        <v>13620</v>
      </c>
      <c r="I24" s="264">
        <v>6</v>
      </c>
      <c r="J24" s="265">
        <f t="shared" si="0"/>
        <v>2270</v>
      </c>
      <c r="K24" s="259">
        <v>46086</v>
      </c>
      <c r="L24" s="297">
        <v>46090</v>
      </c>
      <c r="M24" s="259"/>
      <c r="N24" s="267"/>
      <c r="O24" s="259"/>
      <c r="P24" s="259">
        <v>46086</v>
      </c>
      <c r="Q24" s="259"/>
      <c r="R24" s="268"/>
      <c r="S24" s="269">
        <v>46037</v>
      </c>
      <c r="T24" s="270" t="s">
        <v>832</v>
      </c>
      <c r="U24" s="260" t="s">
        <v>833</v>
      </c>
      <c r="V24" s="270" t="s">
        <v>834</v>
      </c>
      <c r="W24" s="271" t="s">
        <v>774</v>
      </c>
      <c r="X24" s="271" t="s">
        <v>835</v>
      </c>
      <c r="Y24" s="272">
        <v>1.913</v>
      </c>
      <c r="Z24" s="273">
        <f t="shared" si="1"/>
        <v>26055.06</v>
      </c>
      <c r="AA24" s="274">
        <f t="shared" si="2"/>
        <v>201926.72</v>
      </c>
      <c r="AB24" s="245" t="s">
        <v>836</v>
      </c>
      <c r="AC24" s="275" t="s">
        <v>415</v>
      </c>
      <c r="AD24" s="276" t="s">
        <v>416</v>
      </c>
      <c r="AE24" s="277" t="s">
        <v>424</v>
      </c>
      <c r="AF24" s="278" t="s">
        <v>425</v>
      </c>
      <c r="AG24" s="268">
        <f>13584+36</f>
        <v>13620</v>
      </c>
      <c r="AH24" s="268">
        <f>AG24-H24</f>
        <v>0</v>
      </c>
      <c r="AI24" s="268"/>
      <c r="AJ24" s="268"/>
      <c r="AK24" s="270"/>
      <c r="AL24" s="270"/>
      <c r="AM24" s="270"/>
      <c r="AN24" s="270"/>
      <c r="AO24" s="270"/>
      <c r="AP24" s="270"/>
      <c r="AQ24" s="270"/>
    </row>
    <row r="25" s="255" customFormat="1" customHeight="1" spans="1:43">
      <c r="A25" s="280">
        <v>45988</v>
      </c>
      <c r="B25" s="281" t="s">
        <v>837</v>
      </c>
      <c r="C25" s="280" t="s">
        <v>112</v>
      </c>
      <c r="D25" s="282"/>
      <c r="E25" s="282" t="s">
        <v>113</v>
      </c>
      <c r="F25" s="283">
        <v>1126148</v>
      </c>
      <c r="G25" s="283" t="s">
        <v>114</v>
      </c>
      <c r="H25" s="284">
        <v>822</v>
      </c>
      <c r="I25" s="285">
        <v>6</v>
      </c>
      <c r="J25" s="286">
        <f t="shared" si="0"/>
        <v>137</v>
      </c>
      <c r="K25" s="280">
        <f>P25-7</f>
        <v>46045</v>
      </c>
      <c r="L25" s="287">
        <v>46051</v>
      </c>
      <c r="M25" s="280"/>
      <c r="N25" s="288"/>
      <c r="O25" s="280"/>
      <c r="P25" s="280">
        <v>46052</v>
      </c>
      <c r="Q25" s="280"/>
      <c r="R25" s="289"/>
      <c r="S25" s="287">
        <v>46006</v>
      </c>
      <c r="T25" s="290" t="s">
        <v>824</v>
      </c>
      <c r="U25" s="281" t="s">
        <v>838</v>
      </c>
      <c r="V25" s="291" t="s">
        <v>820</v>
      </c>
      <c r="W25" s="291" t="s">
        <v>825</v>
      </c>
      <c r="X25" s="291" t="s">
        <v>826</v>
      </c>
      <c r="Y25" s="292">
        <v>3.912</v>
      </c>
      <c r="Z25" s="243">
        <f t="shared" si="1"/>
        <v>3215.66</v>
      </c>
      <c r="AA25" s="244">
        <f t="shared" si="2"/>
        <v>24921.37</v>
      </c>
      <c r="AB25" s="245" t="s">
        <v>839</v>
      </c>
      <c r="AC25" s="293" t="s">
        <v>415</v>
      </c>
      <c r="AD25" s="294" t="s">
        <v>416</v>
      </c>
      <c r="AE25" s="295" t="s">
        <v>417</v>
      </c>
      <c r="AF25" s="296"/>
      <c r="AG25" s="289"/>
      <c r="AH25" s="289"/>
      <c r="AI25" s="289"/>
      <c r="AJ25" s="289"/>
      <c r="AK25" s="290"/>
      <c r="AL25" s="290"/>
      <c r="AM25" s="290"/>
      <c r="AN25" s="290"/>
      <c r="AO25" s="290"/>
      <c r="AP25" s="290"/>
      <c r="AQ25" s="290"/>
    </row>
    <row r="26" s="254" customFormat="1" customHeight="1" spans="1:43">
      <c r="A26" s="259">
        <v>45988</v>
      </c>
      <c r="B26" s="260" t="s">
        <v>837</v>
      </c>
      <c r="C26" s="259" t="s">
        <v>112</v>
      </c>
      <c r="D26" s="261"/>
      <c r="E26" s="261" t="s">
        <v>115</v>
      </c>
      <c r="F26" s="262">
        <v>1126148</v>
      </c>
      <c r="G26" s="262" t="s">
        <v>114</v>
      </c>
      <c r="H26" s="263">
        <v>426</v>
      </c>
      <c r="I26" s="264">
        <v>6</v>
      </c>
      <c r="J26" s="265">
        <f t="shared" si="0"/>
        <v>71</v>
      </c>
      <c r="K26" s="259">
        <f>P26-7</f>
        <v>46045</v>
      </c>
      <c r="L26" s="269">
        <v>46051</v>
      </c>
      <c r="M26" s="259"/>
      <c r="N26" s="267"/>
      <c r="O26" s="259"/>
      <c r="P26" s="259">
        <v>46052</v>
      </c>
      <c r="Q26" s="259"/>
      <c r="R26" s="268"/>
      <c r="S26" s="269">
        <v>46006</v>
      </c>
      <c r="T26" s="270" t="s">
        <v>824</v>
      </c>
      <c r="U26" s="260" t="s">
        <v>838</v>
      </c>
      <c r="V26" s="271" t="s">
        <v>820</v>
      </c>
      <c r="W26" s="271" t="s">
        <v>825</v>
      </c>
      <c r="X26" s="271" t="s">
        <v>826</v>
      </c>
      <c r="Y26" s="272">
        <v>3.912</v>
      </c>
      <c r="Z26" s="273">
        <f t="shared" si="1"/>
        <v>1666.51</v>
      </c>
      <c r="AA26" s="274">
        <f t="shared" si="2"/>
        <v>12915.45</v>
      </c>
      <c r="AB26" s="245" t="s">
        <v>840</v>
      </c>
      <c r="AC26" s="275" t="s">
        <v>415</v>
      </c>
      <c r="AD26" s="276" t="s">
        <v>416</v>
      </c>
      <c r="AE26" s="277" t="s">
        <v>417</v>
      </c>
      <c r="AF26" s="278"/>
      <c r="AG26" s="268"/>
      <c r="AH26" s="268"/>
      <c r="AI26" s="268"/>
      <c r="AJ26" s="268"/>
      <c r="AK26" s="270"/>
      <c r="AL26" s="270"/>
      <c r="AM26" s="270"/>
      <c r="AN26" s="270"/>
      <c r="AO26" s="270"/>
      <c r="AP26" s="270"/>
      <c r="AQ26" s="270"/>
    </row>
    <row r="27" s="254" customFormat="1" customHeight="1" spans="1:43">
      <c r="A27" s="259">
        <v>46009</v>
      </c>
      <c r="B27" s="260" t="s">
        <v>667</v>
      </c>
      <c r="C27" s="259" t="s">
        <v>141</v>
      </c>
      <c r="D27" s="261"/>
      <c r="E27" s="261" t="s">
        <v>142</v>
      </c>
      <c r="F27" s="262">
        <v>4524138</v>
      </c>
      <c r="G27" s="262" t="s">
        <v>143</v>
      </c>
      <c r="H27" s="263">
        <v>11190</v>
      </c>
      <c r="I27" s="264">
        <v>6</v>
      </c>
      <c r="J27" s="265">
        <f t="shared" si="0"/>
        <v>1865</v>
      </c>
      <c r="K27" s="259">
        <v>46087</v>
      </c>
      <c r="L27" s="297">
        <v>46087</v>
      </c>
      <c r="M27" s="259"/>
      <c r="N27" s="267"/>
      <c r="O27" s="259"/>
      <c r="P27" s="259">
        <v>46087</v>
      </c>
      <c r="Q27" s="259"/>
      <c r="R27" s="268"/>
      <c r="S27" s="269">
        <v>45665</v>
      </c>
      <c r="T27" s="270" t="s">
        <v>841</v>
      </c>
      <c r="U27" s="260" t="s">
        <v>842</v>
      </c>
      <c r="V27" s="271" t="s">
        <v>843</v>
      </c>
      <c r="W27" s="271" t="s">
        <v>669</v>
      </c>
      <c r="X27" s="271" t="s">
        <v>757</v>
      </c>
      <c r="Y27" s="272">
        <v>3.865</v>
      </c>
      <c r="Z27" s="273">
        <f t="shared" si="1"/>
        <v>43249.35</v>
      </c>
      <c r="AA27" s="274">
        <f t="shared" si="2"/>
        <v>335182.46</v>
      </c>
      <c r="AB27" s="245" t="s">
        <v>844</v>
      </c>
      <c r="AC27" s="275" t="s">
        <v>415</v>
      </c>
      <c r="AD27" s="276" t="s">
        <v>416</v>
      </c>
      <c r="AE27" s="277" t="s">
        <v>424</v>
      </c>
      <c r="AF27" s="277" t="s">
        <v>425</v>
      </c>
      <c r="AG27" s="268">
        <v>11190</v>
      </c>
      <c r="AH27" s="268">
        <f>AG27-H27</f>
        <v>0</v>
      </c>
      <c r="AI27" s="268"/>
      <c r="AJ27" s="268"/>
      <c r="AK27" s="270"/>
      <c r="AL27" s="270"/>
      <c r="AM27" s="270"/>
      <c r="AN27" s="270"/>
      <c r="AO27" s="270"/>
      <c r="AP27" s="270"/>
      <c r="AQ27" s="270"/>
    </row>
    <row r="28" s="255" customFormat="1" customHeight="1" spans="1:43">
      <c r="A28" s="280">
        <v>46052</v>
      </c>
      <c r="B28" s="281" t="s">
        <v>845</v>
      </c>
      <c r="C28" s="280" t="s">
        <v>109</v>
      </c>
      <c r="D28" s="282"/>
      <c r="E28" s="282" t="s">
        <v>151</v>
      </c>
      <c r="F28" s="283" t="s">
        <v>42</v>
      </c>
      <c r="G28" s="283" t="s">
        <v>7</v>
      </c>
      <c r="H28" s="284">
        <v>4380</v>
      </c>
      <c r="I28" s="285">
        <v>6</v>
      </c>
      <c r="J28" s="286">
        <f t="shared" si="0"/>
        <v>730</v>
      </c>
      <c r="K28" s="280">
        <v>46104</v>
      </c>
      <c r="L28" s="298">
        <v>46104</v>
      </c>
      <c r="M28" s="280"/>
      <c r="N28" s="288"/>
      <c r="O28" s="280"/>
      <c r="P28" s="280">
        <v>46104</v>
      </c>
      <c r="Q28" s="280"/>
      <c r="R28" s="287">
        <v>46080</v>
      </c>
      <c r="S28" s="287">
        <v>46058</v>
      </c>
      <c r="T28" s="290" t="s">
        <v>846</v>
      </c>
      <c r="U28" s="281" t="s">
        <v>847</v>
      </c>
      <c r="V28" s="290" t="s">
        <v>834</v>
      </c>
      <c r="W28" s="291" t="s">
        <v>848</v>
      </c>
      <c r="X28" s="291" t="s">
        <v>849</v>
      </c>
      <c r="Y28" s="292">
        <v>4.214</v>
      </c>
      <c r="Z28" s="243">
        <f t="shared" si="1"/>
        <v>18457.32</v>
      </c>
      <c r="AA28" s="244">
        <f t="shared" si="2"/>
        <v>143044.23</v>
      </c>
      <c r="AB28" s="245" t="s">
        <v>850</v>
      </c>
      <c r="AC28" s="293" t="s">
        <v>415</v>
      </c>
      <c r="AD28" s="294" t="s">
        <v>416</v>
      </c>
      <c r="AE28" s="295" t="s">
        <v>424</v>
      </c>
      <c r="AF28" s="296" t="s">
        <v>425</v>
      </c>
      <c r="AG28" s="289">
        <f>2520+3462+3456+4374+858+30</f>
        <v>14700</v>
      </c>
      <c r="AH28" s="289">
        <f>AG28-H28</f>
        <v>10320</v>
      </c>
      <c r="AI28" s="289"/>
      <c r="AJ28" s="289"/>
      <c r="AK28" s="290"/>
      <c r="AL28" s="290"/>
      <c r="AM28" s="290"/>
      <c r="AN28" s="290"/>
      <c r="AO28" s="290"/>
      <c r="AP28" s="290"/>
      <c r="AQ28" s="290"/>
    </row>
    <row r="29" s="255" customFormat="1" customHeight="1" spans="1:43">
      <c r="A29" s="280">
        <v>46052</v>
      </c>
      <c r="B29" s="281" t="s">
        <v>845</v>
      </c>
      <c r="C29" s="280" t="s">
        <v>109</v>
      </c>
      <c r="D29" s="282"/>
      <c r="E29" s="282" t="s">
        <v>151</v>
      </c>
      <c r="F29" s="283" t="s">
        <v>42</v>
      </c>
      <c r="G29" s="283" t="s">
        <v>7</v>
      </c>
      <c r="H29" s="284">
        <f>14700-4380</f>
        <v>10320</v>
      </c>
      <c r="I29" s="285">
        <v>6</v>
      </c>
      <c r="J29" s="286">
        <f t="shared" si="0"/>
        <v>1720</v>
      </c>
      <c r="K29" s="280">
        <v>46104</v>
      </c>
      <c r="L29" s="298">
        <v>46104</v>
      </c>
      <c r="M29" s="280"/>
      <c r="N29" s="288"/>
      <c r="O29" s="280"/>
      <c r="P29" s="280">
        <v>46104</v>
      </c>
      <c r="Q29" s="280"/>
      <c r="R29" s="287">
        <v>46080</v>
      </c>
      <c r="S29" s="287">
        <v>46058</v>
      </c>
      <c r="T29" s="290" t="s">
        <v>846</v>
      </c>
      <c r="U29" s="281" t="s">
        <v>847</v>
      </c>
      <c r="V29" s="290" t="s">
        <v>834</v>
      </c>
      <c r="W29" s="291" t="s">
        <v>848</v>
      </c>
      <c r="X29" s="291" t="s">
        <v>849</v>
      </c>
      <c r="Y29" s="292">
        <v>4.214</v>
      </c>
      <c r="Z29" s="243">
        <f t="shared" si="1"/>
        <v>43488.48</v>
      </c>
      <c r="AA29" s="244">
        <f t="shared" si="2"/>
        <v>337035.72</v>
      </c>
      <c r="AB29" s="245" t="s">
        <v>851</v>
      </c>
      <c r="AC29" s="293" t="s">
        <v>415</v>
      </c>
      <c r="AD29" s="294" t="s">
        <v>416</v>
      </c>
      <c r="AE29" s="295" t="s">
        <v>424</v>
      </c>
      <c r="AF29" s="296" t="s">
        <v>425</v>
      </c>
      <c r="AG29" s="289">
        <f>2520+3462+3456+4374+858+30</f>
        <v>14700</v>
      </c>
      <c r="AH29" s="289">
        <f>AG29-H29</f>
        <v>4380</v>
      </c>
      <c r="AI29" s="289"/>
      <c r="AJ29" s="289"/>
      <c r="AK29" s="290"/>
      <c r="AL29" s="290"/>
      <c r="AM29" s="290"/>
      <c r="AN29" s="290"/>
      <c r="AO29" s="290"/>
      <c r="AP29" s="290"/>
      <c r="AQ29" s="290"/>
    </row>
    <row r="30" s="255" customFormat="1" customHeight="1" spans="1:43">
      <c r="A30" s="280">
        <v>46038</v>
      </c>
      <c r="B30" s="281" t="s">
        <v>852</v>
      </c>
      <c r="C30" s="280" t="s">
        <v>102</v>
      </c>
      <c r="D30" s="282"/>
      <c r="E30" s="282" t="s">
        <v>146</v>
      </c>
      <c r="F30" s="283" t="s">
        <v>147</v>
      </c>
      <c r="G30" s="283" t="s">
        <v>148</v>
      </c>
      <c r="H30" s="284">
        <v>2304</v>
      </c>
      <c r="I30" s="285">
        <v>6</v>
      </c>
      <c r="J30" s="286">
        <f t="shared" si="0"/>
        <v>384</v>
      </c>
      <c r="K30" s="280">
        <v>46104</v>
      </c>
      <c r="L30" s="298">
        <v>46111</v>
      </c>
      <c r="M30" s="280"/>
      <c r="N30" s="288"/>
      <c r="O30" s="280"/>
      <c r="P30" s="280">
        <v>46104</v>
      </c>
      <c r="Q30" s="280"/>
      <c r="R30" s="289"/>
      <c r="S30" s="287" t="s">
        <v>853</v>
      </c>
      <c r="T30" s="290" t="s">
        <v>854</v>
      </c>
      <c r="U30" s="281" t="s">
        <v>855</v>
      </c>
      <c r="V30" s="291" t="s">
        <v>856</v>
      </c>
      <c r="W30" s="291" t="s">
        <v>857</v>
      </c>
      <c r="X30" s="291" t="s">
        <v>858</v>
      </c>
      <c r="Y30" s="292">
        <v>7.285</v>
      </c>
      <c r="Z30" s="243">
        <f t="shared" si="1"/>
        <v>16784.64</v>
      </c>
      <c r="AA30" s="244">
        <f t="shared" si="2"/>
        <v>130080.96</v>
      </c>
      <c r="AB30" s="245" t="s">
        <v>859</v>
      </c>
      <c r="AC30" s="293" t="s">
        <v>415</v>
      </c>
      <c r="AD30" s="294" t="s">
        <v>416</v>
      </c>
      <c r="AE30" s="295" t="s">
        <v>860</v>
      </c>
      <c r="AF30" s="296"/>
      <c r="AG30" s="289"/>
      <c r="AH30" s="289">
        <f>AG30-H30</f>
        <v>-2304</v>
      </c>
      <c r="AI30" s="289"/>
      <c r="AJ30" s="289"/>
      <c r="AK30" s="290"/>
      <c r="AL30" s="290"/>
      <c r="AM30" s="290"/>
      <c r="AN30" s="290"/>
      <c r="AO30" s="290"/>
      <c r="AP30" s="290"/>
      <c r="AQ30" s="290"/>
    </row>
    <row r="31" s="255" customFormat="1" customHeight="1" spans="1:43">
      <c r="A31" s="299">
        <v>46038</v>
      </c>
      <c r="B31" s="300" t="s">
        <v>852</v>
      </c>
      <c r="C31" s="299" t="s">
        <v>102</v>
      </c>
      <c r="D31" s="301"/>
      <c r="E31" s="301" t="s">
        <v>146</v>
      </c>
      <c r="F31" s="302" t="s">
        <v>149</v>
      </c>
      <c r="G31" s="302" t="s">
        <v>150</v>
      </c>
      <c r="H31" s="303">
        <v>1704</v>
      </c>
      <c r="I31" s="304">
        <v>6</v>
      </c>
      <c r="J31" s="305">
        <f t="shared" si="0"/>
        <v>284</v>
      </c>
      <c r="K31" s="299">
        <v>46104</v>
      </c>
      <c r="L31" s="306">
        <v>46111</v>
      </c>
      <c r="M31" s="299"/>
      <c r="N31" s="307"/>
      <c r="O31" s="299"/>
      <c r="P31" s="299">
        <v>46104</v>
      </c>
      <c r="Q31" s="299"/>
      <c r="R31" s="308"/>
      <c r="S31" s="309" t="s">
        <v>861</v>
      </c>
      <c r="T31" s="310" t="s">
        <v>854</v>
      </c>
      <c r="U31" s="300" t="s">
        <v>855</v>
      </c>
      <c r="V31" s="311" t="s">
        <v>856</v>
      </c>
      <c r="W31" s="311" t="s">
        <v>862</v>
      </c>
      <c r="X31" s="311" t="s">
        <v>863</v>
      </c>
      <c r="Y31" s="312">
        <v>3.359</v>
      </c>
      <c r="Z31" s="313">
        <f t="shared" si="1"/>
        <v>5723.74</v>
      </c>
      <c r="AA31" s="314">
        <f t="shared" si="2"/>
        <v>44358.99</v>
      </c>
      <c r="AB31" s="315" t="s">
        <v>859</v>
      </c>
      <c r="AC31" s="316" t="s">
        <v>415</v>
      </c>
      <c r="AD31" s="317" t="s">
        <v>416</v>
      </c>
      <c r="AE31" s="318" t="s">
        <v>860</v>
      </c>
      <c r="AF31" s="319"/>
      <c r="AG31" s="308"/>
      <c r="AH31" s="308">
        <f>AG31-H31</f>
        <v>-1704</v>
      </c>
      <c r="AI31" s="308"/>
      <c r="AJ31" s="308"/>
      <c r="AK31" s="310"/>
      <c r="AL31" s="310"/>
      <c r="AM31" s="310"/>
      <c r="AN31" s="310"/>
      <c r="AO31" s="310"/>
      <c r="AP31" s="310"/>
      <c r="AQ31" s="310"/>
    </row>
    <row r="32" s="256" customFormat="1" customHeight="1" spans="1:43">
      <c r="A32" s="280">
        <v>46000</v>
      </c>
      <c r="B32" s="280" t="s">
        <v>128</v>
      </c>
      <c r="C32" s="280" t="s">
        <v>128</v>
      </c>
      <c r="D32" s="282"/>
      <c r="E32" s="282" t="s">
        <v>126</v>
      </c>
      <c r="F32" s="283">
        <v>4726103</v>
      </c>
      <c r="G32" s="283" t="s">
        <v>129</v>
      </c>
      <c r="H32" s="284">
        <v>3000</v>
      </c>
      <c r="I32" s="285">
        <v>6</v>
      </c>
      <c r="J32" s="286">
        <f t="shared" si="0"/>
        <v>500</v>
      </c>
      <c r="K32" s="280">
        <v>46159</v>
      </c>
      <c r="L32" s="298"/>
      <c r="M32" s="280"/>
      <c r="N32" s="288"/>
      <c r="O32" s="280"/>
      <c r="P32" s="320">
        <v>46159</v>
      </c>
      <c r="Q32" s="280"/>
      <c r="R32" s="289"/>
      <c r="S32" s="287"/>
      <c r="T32" s="290"/>
      <c r="U32" s="281"/>
      <c r="V32" s="291"/>
      <c r="W32" s="321" t="s">
        <v>864</v>
      </c>
      <c r="X32" s="321" t="s">
        <v>865</v>
      </c>
      <c r="Y32" s="292">
        <v>1.937</v>
      </c>
      <c r="Z32" s="243">
        <f t="shared" si="1"/>
        <v>5811</v>
      </c>
      <c r="AA32" s="244">
        <f t="shared" si="2"/>
        <v>45035.25</v>
      </c>
      <c r="AB32" s="245" t="s">
        <v>866</v>
      </c>
      <c r="AC32" s="293"/>
      <c r="AD32" s="294" t="s">
        <v>416</v>
      </c>
      <c r="AE32" s="295"/>
      <c r="AF32" s="296"/>
      <c r="AG32" s="289"/>
      <c r="AH32" s="289"/>
      <c r="AI32" s="289"/>
      <c r="AJ32" s="289"/>
      <c r="AK32" s="290"/>
      <c r="AL32" s="290"/>
      <c r="AM32" s="290"/>
      <c r="AN32" s="290"/>
      <c r="AO32" s="290"/>
      <c r="AP32" s="290"/>
      <c r="AQ32" s="290"/>
    </row>
    <row r="33" s="257" customFormat="1" customHeight="1" spans="1:45">
      <c r="A33" s="280">
        <v>46000</v>
      </c>
      <c r="B33" s="260"/>
      <c r="C33" s="280" t="s">
        <v>125</v>
      </c>
      <c r="D33" s="261"/>
      <c r="E33" s="282" t="s">
        <v>126</v>
      </c>
      <c r="F33" s="283">
        <v>1526103</v>
      </c>
      <c r="G33" s="283" t="s">
        <v>127</v>
      </c>
      <c r="H33" s="284">
        <v>3000</v>
      </c>
      <c r="I33" s="264">
        <v>6</v>
      </c>
      <c r="J33" s="286">
        <f t="shared" si="0"/>
        <v>500</v>
      </c>
      <c r="K33" s="259">
        <v>46140</v>
      </c>
      <c r="L33" s="298"/>
      <c r="M33" s="259"/>
      <c r="N33" s="267"/>
      <c r="O33" s="259"/>
      <c r="P33" s="322">
        <v>46140</v>
      </c>
      <c r="Q33" s="259"/>
      <c r="R33" s="268"/>
      <c r="S33" s="269"/>
      <c r="T33" s="270"/>
      <c r="U33" s="260"/>
      <c r="V33" s="271"/>
      <c r="W33" s="323" t="s">
        <v>867</v>
      </c>
      <c r="X33" s="321" t="s">
        <v>865</v>
      </c>
      <c r="Y33" s="292">
        <v>1.937</v>
      </c>
      <c r="Z33" s="243">
        <f t="shared" si="1"/>
        <v>5811</v>
      </c>
      <c r="AA33" s="244">
        <f t="shared" si="2"/>
        <v>45035.25</v>
      </c>
      <c r="AB33" s="245" t="s">
        <v>866</v>
      </c>
      <c r="AC33" s="275"/>
      <c r="AD33" s="294" t="s">
        <v>416</v>
      </c>
      <c r="AE33" s="277"/>
      <c r="AF33" s="278"/>
      <c r="AG33" s="268"/>
      <c r="AH33" s="268"/>
      <c r="AI33" s="268"/>
      <c r="AJ33" s="268"/>
      <c r="AK33" s="270"/>
      <c r="AL33" s="270"/>
      <c r="AM33" s="270"/>
      <c r="AN33" s="270"/>
      <c r="AO33" s="270"/>
      <c r="AP33" s="270"/>
      <c r="AQ33" s="270"/>
    </row>
    <row r="34" s="257" customFormat="1" customHeight="1" spans="1:45">
      <c r="A34" s="280">
        <v>46077</v>
      </c>
      <c r="B34" s="280" t="s">
        <v>120</v>
      </c>
      <c r="C34" s="280" t="s">
        <v>120</v>
      </c>
      <c r="E34" s="282" t="s">
        <v>160</v>
      </c>
      <c r="F34" s="283">
        <v>1125131</v>
      </c>
      <c r="G34" s="283" t="s">
        <v>161</v>
      </c>
      <c r="H34" s="284">
        <v>3600</v>
      </c>
      <c r="I34" s="264">
        <v>6</v>
      </c>
      <c r="J34" s="286">
        <f t="shared" si="0"/>
        <v>600</v>
      </c>
      <c r="K34" s="259">
        <v>46141</v>
      </c>
      <c r="L34" s="298"/>
      <c r="M34" s="259"/>
      <c r="N34" s="267"/>
      <c r="O34" s="259"/>
      <c r="P34" s="322">
        <v>46141</v>
      </c>
      <c r="Q34" s="259"/>
      <c r="R34" s="268"/>
      <c r="S34" s="269"/>
      <c r="T34" s="270"/>
      <c r="U34" s="260"/>
      <c r="V34" s="271"/>
      <c r="W34" s="323" t="s">
        <v>868</v>
      </c>
      <c r="X34" s="323" t="s">
        <v>869</v>
      </c>
      <c r="Y34" s="292">
        <v>2.081</v>
      </c>
      <c r="Z34" s="243">
        <f t="shared" si="1"/>
        <v>7491.6</v>
      </c>
      <c r="AA34" s="244">
        <f t="shared" si="2"/>
        <v>58059.9</v>
      </c>
      <c r="AB34" s="245" t="s">
        <v>870</v>
      </c>
      <c r="AC34" s="275"/>
      <c r="AD34" s="294" t="s">
        <v>416</v>
      </c>
      <c r="AE34" s="277"/>
      <c r="AF34" s="278"/>
      <c r="AG34" s="268"/>
      <c r="AH34" s="268"/>
      <c r="AI34" s="268"/>
      <c r="AJ34" s="268"/>
      <c r="AK34" s="270"/>
      <c r="AL34" s="270"/>
      <c r="AM34" s="270"/>
      <c r="AN34" s="270"/>
      <c r="AO34" s="270"/>
      <c r="AP34" s="270"/>
      <c r="AQ34" s="270"/>
    </row>
    <row r="35" s="258" customFormat="1" customHeight="1" spans="1:45">
      <c r="A35" s="280">
        <v>46077</v>
      </c>
      <c r="B35" s="280" t="s">
        <v>120</v>
      </c>
      <c r="C35" s="280" t="s">
        <v>120</v>
      </c>
      <c r="E35" s="282" t="s">
        <v>160</v>
      </c>
      <c r="F35" s="283" t="s">
        <v>166</v>
      </c>
      <c r="G35" s="283" t="s">
        <v>167</v>
      </c>
      <c r="H35" s="284">
        <v>3000</v>
      </c>
      <c r="I35" s="324">
        <v>6</v>
      </c>
      <c r="J35" s="286">
        <f t="shared" si="0"/>
        <v>500</v>
      </c>
      <c r="K35" s="259">
        <v>46141</v>
      </c>
      <c r="P35" s="322">
        <v>46141</v>
      </c>
      <c r="S35" s="325"/>
      <c r="U35" s="325"/>
      <c r="V35" s="325"/>
      <c r="W35" s="326" t="s">
        <v>871</v>
      </c>
      <c r="X35" s="326" t="s">
        <v>869</v>
      </c>
      <c r="Y35" s="292">
        <v>2.656</v>
      </c>
      <c r="Z35" s="243">
        <f t="shared" si="1"/>
        <v>7968</v>
      </c>
      <c r="AA35" s="244">
        <f t="shared" si="2"/>
        <v>61752</v>
      </c>
      <c r="AB35" s="245" t="s">
        <v>870</v>
      </c>
      <c r="AD35" s="294" t="s">
        <v>416</v>
      </c>
      <c r="AE35" s="325"/>
      <c r="AK35" s="325"/>
      <c r="AL35" s="325"/>
      <c r="AM35" s="325"/>
      <c r="AN35" s="325"/>
      <c r="AO35" s="325"/>
      <c r="AP35" s="325"/>
      <c r="AQ35" s="325"/>
    </row>
    <row r="36" s="257" customFormat="1" customHeight="1" spans="1:45">
      <c r="A36" s="327">
        <v>46087</v>
      </c>
      <c r="B36" s="260"/>
      <c r="C36" s="328" t="s">
        <v>187</v>
      </c>
      <c r="D36" s="261"/>
      <c r="E36" s="282" t="s">
        <v>188</v>
      </c>
      <c r="F36" s="283">
        <v>3126107</v>
      </c>
      <c r="G36" s="283" t="s">
        <v>189</v>
      </c>
      <c r="H36" s="284">
        <v>5004</v>
      </c>
      <c r="I36" s="257">
        <v>6</v>
      </c>
      <c r="J36" s="286">
        <f t="shared" si="0"/>
        <v>834</v>
      </c>
      <c r="K36" s="280">
        <v>46136</v>
      </c>
      <c r="L36" s="298"/>
      <c r="M36" s="259"/>
      <c r="N36" s="267"/>
      <c r="O36" s="259"/>
      <c r="P36" s="320">
        <v>46136</v>
      </c>
      <c r="Q36" s="259"/>
      <c r="R36" s="268"/>
      <c r="S36" s="269"/>
      <c r="T36" s="270"/>
      <c r="U36" s="260"/>
      <c r="V36" s="271"/>
      <c r="W36" s="323" t="s">
        <v>872</v>
      </c>
      <c r="X36" s="323" t="s">
        <v>873</v>
      </c>
      <c r="Y36" s="292">
        <v>3.912</v>
      </c>
      <c r="Z36" s="243">
        <f t="shared" si="1"/>
        <v>19575.65</v>
      </c>
      <c r="AA36" s="244">
        <f t="shared" si="2"/>
        <v>151711.29</v>
      </c>
      <c r="AB36" s="245" t="s">
        <v>874</v>
      </c>
      <c r="AC36" s="275"/>
      <c r="AD36" s="294" t="s">
        <v>416</v>
      </c>
      <c r="AE36" s="277"/>
      <c r="AF36" s="278"/>
      <c r="AG36" s="268"/>
      <c r="AH36" s="268"/>
      <c r="AI36" s="268"/>
      <c r="AJ36" s="268"/>
      <c r="AK36" s="270"/>
      <c r="AL36" s="270"/>
      <c r="AM36" s="270"/>
      <c r="AN36" s="270"/>
      <c r="AO36" s="270"/>
      <c r="AP36" s="270"/>
      <c r="AQ36" s="270"/>
    </row>
    <row r="37" s="255" customFormat="1" customHeight="1" spans="1:45">
      <c r="A37" s="280">
        <v>46077</v>
      </c>
      <c r="B37" s="281" t="s">
        <v>875</v>
      </c>
      <c r="C37" s="280" t="s">
        <v>109</v>
      </c>
      <c r="D37" s="282"/>
      <c r="E37" s="282" t="s">
        <v>164</v>
      </c>
      <c r="F37" s="283" t="s">
        <v>165</v>
      </c>
      <c r="G37" s="283" t="s">
        <v>23</v>
      </c>
      <c r="H37" s="284">
        <v>11014</v>
      </c>
      <c r="I37" s="285">
        <v>2</v>
      </c>
      <c r="J37" s="286">
        <f t="shared" si="0"/>
        <v>5507</v>
      </c>
      <c r="K37" s="280">
        <v>46142</v>
      </c>
      <c r="L37" s="298">
        <v>46147</v>
      </c>
      <c r="M37" s="280"/>
      <c r="N37" s="288"/>
      <c r="O37" s="280"/>
      <c r="P37" s="280">
        <v>46142</v>
      </c>
      <c r="Q37" s="280"/>
      <c r="R37" s="289" t="s">
        <v>876</v>
      </c>
      <c r="S37" s="287">
        <v>46098</v>
      </c>
      <c r="T37" s="290" t="s">
        <v>877</v>
      </c>
      <c r="U37" s="281" t="s">
        <v>878</v>
      </c>
      <c r="V37" s="291" t="s">
        <v>879</v>
      </c>
      <c r="W37" s="291" t="s">
        <v>880</v>
      </c>
      <c r="X37" s="291" t="s">
        <v>881</v>
      </c>
      <c r="Y37" s="292">
        <v>2.137</v>
      </c>
      <c r="Z37" s="243">
        <f t="shared" si="1"/>
        <v>23536.92</v>
      </c>
      <c r="AA37" s="244">
        <f t="shared" si="2"/>
        <v>182411.13</v>
      </c>
      <c r="AB37" s="245" t="s">
        <v>882</v>
      </c>
      <c r="AC37" s="293" t="s">
        <v>415</v>
      </c>
      <c r="AD37" s="294" t="s">
        <v>416</v>
      </c>
      <c r="AE37" s="295" t="s">
        <v>424</v>
      </c>
      <c r="AF37" s="295" t="s">
        <v>425</v>
      </c>
      <c r="AG37" s="289">
        <f>6840+3330+3060+1080+3240+3574+1508+516+2250+6120+3240+1080+8174+4336+3400</f>
        <v>51748</v>
      </c>
      <c r="AH37" s="289">
        <f>AG37-H37</f>
        <v>40734</v>
      </c>
      <c r="AI37" s="289"/>
      <c r="AJ37" s="289"/>
      <c r="AK37" s="290"/>
      <c r="AL37" s="290"/>
      <c r="AM37" s="290"/>
      <c r="AN37" s="290"/>
      <c r="AO37" s="290"/>
      <c r="AP37" s="290"/>
      <c r="AQ37" s="290"/>
    </row>
    <row r="38" s="255" customFormat="1" customHeight="1" spans="1:45">
      <c r="A38" s="280">
        <v>46077</v>
      </c>
      <c r="B38" s="281" t="s">
        <v>486</v>
      </c>
      <c r="C38" s="280" t="s">
        <v>109</v>
      </c>
      <c r="D38" s="282"/>
      <c r="E38" s="282" t="s">
        <v>162</v>
      </c>
      <c r="F38" s="283" t="s">
        <v>163</v>
      </c>
      <c r="G38" s="283" t="s">
        <v>23</v>
      </c>
      <c r="H38" s="284">
        <v>2700</v>
      </c>
      <c r="I38" s="285">
        <v>6</v>
      </c>
      <c r="J38" s="286">
        <f t="shared" si="0"/>
        <v>450</v>
      </c>
      <c r="K38" s="280">
        <v>46142</v>
      </c>
      <c r="L38" s="298">
        <v>46147</v>
      </c>
      <c r="M38" s="280"/>
      <c r="N38" s="288"/>
      <c r="O38" s="280"/>
      <c r="P38" s="280">
        <v>46142</v>
      </c>
      <c r="Q38" s="280"/>
      <c r="R38" s="289"/>
      <c r="S38" s="287">
        <v>46098</v>
      </c>
      <c r="T38" s="290" t="s">
        <v>883</v>
      </c>
      <c r="U38" s="281" t="s">
        <v>878</v>
      </c>
      <c r="V38" s="291" t="s">
        <v>879</v>
      </c>
      <c r="W38" s="291" t="s">
        <v>880</v>
      </c>
      <c r="X38" s="291" t="s">
        <v>884</v>
      </c>
      <c r="Y38" s="292">
        <v>2.063</v>
      </c>
      <c r="Z38" s="243">
        <f t="shared" si="1"/>
        <v>5570.1</v>
      </c>
      <c r="AA38" s="244">
        <f t="shared" si="2"/>
        <v>43168.28</v>
      </c>
      <c r="AB38" s="245" t="s">
        <v>882</v>
      </c>
      <c r="AC38" s="293" t="s">
        <v>415</v>
      </c>
      <c r="AD38" s="294" t="s">
        <v>416</v>
      </c>
      <c r="AE38" s="295" t="s">
        <v>424</v>
      </c>
      <c r="AF38" s="295" t="s">
        <v>425</v>
      </c>
      <c r="AG38" s="289">
        <f>2664+36</f>
        <v>2700</v>
      </c>
      <c r="AH38" s="289">
        <f>AG38-H38</f>
        <v>0</v>
      </c>
      <c r="AI38" s="289"/>
      <c r="AJ38" s="289"/>
      <c r="AK38" s="290"/>
      <c r="AL38" s="290"/>
      <c r="AM38" s="290"/>
      <c r="AN38" s="290"/>
      <c r="AO38" s="290"/>
      <c r="AP38" s="290"/>
      <c r="AQ38" s="290"/>
    </row>
    <row r="39" s="257" customFormat="1" customHeight="1" spans="1:45">
      <c r="A39" s="280">
        <v>46077</v>
      </c>
      <c r="B39" s="260"/>
      <c r="C39" s="280" t="s">
        <v>109</v>
      </c>
      <c r="D39" s="261"/>
      <c r="E39" s="282" t="s">
        <v>164</v>
      </c>
      <c r="F39" s="283" t="s">
        <v>165</v>
      </c>
      <c r="G39" s="283" t="s">
        <v>23</v>
      </c>
      <c r="H39" s="284">
        <v>13588</v>
      </c>
      <c r="I39" s="285">
        <v>2</v>
      </c>
      <c r="J39" s="286">
        <f t="shared" si="0"/>
        <v>6794</v>
      </c>
      <c r="K39" s="320">
        <v>46143</v>
      </c>
      <c r="L39" s="298"/>
      <c r="M39" s="259"/>
      <c r="N39" s="267"/>
      <c r="O39" s="259"/>
      <c r="P39" s="280">
        <v>46143</v>
      </c>
      <c r="Q39" s="259"/>
      <c r="R39" s="268"/>
      <c r="S39" s="269"/>
      <c r="T39" s="270"/>
      <c r="U39" s="260"/>
      <c r="V39" s="291" t="s">
        <v>879</v>
      </c>
      <c r="W39" s="291" t="s">
        <v>880</v>
      </c>
      <c r="X39" s="291" t="s">
        <v>881</v>
      </c>
      <c r="Y39" s="292">
        <v>2.137</v>
      </c>
      <c r="Z39" s="243">
        <f t="shared" si="1"/>
        <v>29037.56</v>
      </c>
      <c r="AA39" s="244">
        <f t="shared" si="2"/>
        <v>225041.09</v>
      </c>
      <c r="AB39" s="245" t="s">
        <v>885</v>
      </c>
      <c r="AC39" s="293" t="s">
        <v>415</v>
      </c>
      <c r="AD39" s="294" t="s">
        <v>416</v>
      </c>
      <c r="AE39" s="277"/>
      <c r="AF39" s="278"/>
      <c r="AG39" s="268"/>
      <c r="AH39" s="268"/>
      <c r="AI39" s="268"/>
      <c r="AJ39" s="268"/>
      <c r="AK39" s="270"/>
      <c r="AL39" s="270"/>
      <c r="AM39" s="270"/>
      <c r="AN39" s="270"/>
      <c r="AO39" s="270"/>
      <c r="AP39" s="270"/>
      <c r="AQ39" s="270"/>
    </row>
    <row r="40" s="257" customFormat="1" customHeight="1" spans="1:45">
      <c r="A40" s="280">
        <v>46077</v>
      </c>
      <c r="B40" s="260"/>
      <c r="C40" s="280" t="s">
        <v>109</v>
      </c>
      <c r="D40" s="261"/>
      <c r="E40" s="282" t="s">
        <v>164</v>
      </c>
      <c r="F40" s="283" t="s">
        <v>165</v>
      </c>
      <c r="G40" s="283" t="s">
        <v>23</v>
      </c>
      <c r="H40" s="284">
        <v>13588</v>
      </c>
      <c r="I40" s="285">
        <v>2</v>
      </c>
      <c r="J40" s="286">
        <f t="shared" si="0"/>
        <v>6794</v>
      </c>
      <c r="K40" s="320">
        <v>46143</v>
      </c>
      <c r="L40" s="298"/>
      <c r="M40" s="259"/>
      <c r="N40" s="267"/>
      <c r="O40" s="259"/>
      <c r="P40" s="280">
        <v>46143</v>
      </c>
      <c r="Q40" s="259"/>
      <c r="R40" s="268"/>
      <c r="S40" s="269"/>
      <c r="T40" s="270"/>
      <c r="U40" s="260"/>
      <c r="V40" s="271"/>
      <c r="W40" s="323" t="s">
        <v>886</v>
      </c>
      <c r="X40" s="323" t="s">
        <v>887</v>
      </c>
      <c r="Y40" s="292">
        <v>2.137</v>
      </c>
      <c r="Z40" s="243">
        <f t="shared" si="1"/>
        <v>29037.56</v>
      </c>
      <c r="AA40" s="244">
        <f t="shared" si="2"/>
        <v>225041.09</v>
      </c>
      <c r="AB40" s="245" t="s">
        <v>888</v>
      </c>
      <c r="AC40" s="293" t="s">
        <v>415</v>
      </c>
      <c r="AD40" s="294" t="s">
        <v>416</v>
      </c>
      <c r="AE40" s="277"/>
      <c r="AF40" s="278"/>
      <c r="AG40" s="268"/>
      <c r="AH40" s="268"/>
      <c r="AI40" s="268"/>
      <c r="AJ40" s="268"/>
      <c r="AK40" s="270"/>
      <c r="AL40" s="270"/>
      <c r="AM40" s="270"/>
      <c r="AN40" s="270"/>
      <c r="AO40" s="270"/>
      <c r="AP40" s="270"/>
      <c r="AQ40" s="270"/>
    </row>
    <row r="41" s="257" customFormat="1" customHeight="1" spans="1:45">
      <c r="A41" s="280">
        <v>46077</v>
      </c>
      <c r="B41" s="260"/>
      <c r="C41" s="280" t="s">
        <v>109</v>
      </c>
      <c r="D41" s="261"/>
      <c r="E41" s="282" t="s">
        <v>164</v>
      </c>
      <c r="F41" s="283" t="s">
        <v>165</v>
      </c>
      <c r="G41" s="283" t="s">
        <v>23</v>
      </c>
      <c r="H41" s="284">
        <v>13588</v>
      </c>
      <c r="I41" s="285">
        <v>2</v>
      </c>
      <c r="J41" s="286">
        <f t="shared" si="0"/>
        <v>6794</v>
      </c>
      <c r="K41" s="320">
        <v>46143</v>
      </c>
      <c r="L41" s="298"/>
      <c r="M41" s="259"/>
      <c r="N41" s="267"/>
      <c r="O41" s="259"/>
      <c r="P41" s="280">
        <v>46143</v>
      </c>
      <c r="Q41" s="259"/>
      <c r="R41" s="268"/>
      <c r="S41" s="269"/>
      <c r="T41" s="270"/>
      <c r="U41" s="260"/>
      <c r="V41" s="271"/>
      <c r="W41" s="323" t="s">
        <v>886</v>
      </c>
      <c r="X41" s="323" t="s">
        <v>887</v>
      </c>
      <c r="Y41" s="292">
        <v>2.137</v>
      </c>
      <c r="Z41" s="243">
        <f t="shared" si="1"/>
        <v>29037.56</v>
      </c>
      <c r="AA41" s="244">
        <f t="shared" si="2"/>
        <v>225041.09</v>
      </c>
      <c r="AB41" s="245" t="s">
        <v>889</v>
      </c>
      <c r="AC41" s="293" t="s">
        <v>415</v>
      </c>
      <c r="AD41" s="294" t="s">
        <v>416</v>
      </c>
      <c r="AE41" s="277"/>
      <c r="AF41" s="278"/>
      <c r="AG41" s="268"/>
      <c r="AH41" s="268"/>
      <c r="AI41" s="268"/>
      <c r="AJ41" s="268"/>
      <c r="AK41" s="270"/>
      <c r="AL41" s="270"/>
      <c r="AM41" s="270"/>
      <c r="AN41" s="270"/>
      <c r="AO41" s="270"/>
      <c r="AP41" s="270"/>
      <c r="AQ41" s="270"/>
    </row>
    <row r="42" s="255" customFormat="1" customHeight="1" spans="1:45">
      <c r="A42" s="329">
        <v>45999</v>
      </c>
      <c r="B42" s="330" t="s">
        <v>449</v>
      </c>
      <c r="C42" s="329" t="s">
        <v>450</v>
      </c>
      <c r="D42" s="331"/>
      <c r="E42" s="331" t="s">
        <v>124</v>
      </c>
      <c r="F42" s="332">
        <v>3325103</v>
      </c>
      <c r="G42" s="332" t="s">
        <v>890</v>
      </c>
      <c r="H42" s="333">
        <v>3000</v>
      </c>
      <c r="I42" s="334">
        <v>6</v>
      </c>
      <c r="J42" s="335">
        <f t="shared" si="0"/>
        <v>500</v>
      </c>
      <c r="K42" s="329">
        <v>46134</v>
      </c>
      <c r="L42" s="336">
        <v>46135</v>
      </c>
      <c r="M42" s="329"/>
      <c r="N42" s="337"/>
      <c r="O42" s="329"/>
      <c r="P42" s="329">
        <v>46134</v>
      </c>
      <c r="Q42" s="329"/>
      <c r="R42" s="338"/>
      <c r="S42" s="339">
        <v>46098</v>
      </c>
      <c r="T42" s="340" t="s">
        <v>452</v>
      </c>
      <c r="U42" s="341" t="s">
        <v>453</v>
      </c>
      <c r="V42" s="342" t="s">
        <v>454</v>
      </c>
      <c r="W42" s="342" t="s">
        <v>891</v>
      </c>
      <c r="X42" s="342" t="s">
        <v>892</v>
      </c>
      <c r="Y42" s="343">
        <v>2.176</v>
      </c>
      <c r="Z42" s="344">
        <f t="shared" si="1"/>
        <v>6528</v>
      </c>
      <c r="AA42" s="345">
        <f t="shared" si="2"/>
        <v>50592</v>
      </c>
      <c r="AB42" s="245" t="s">
        <v>893</v>
      </c>
      <c r="AC42" s="346" t="s">
        <v>415</v>
      </c>
      <c r="AD42" s="340" t="s">
        <v>416</v>
      </c>
      <c r="AE42" s="347" t="s">
        <v>424</v>
      </c>
      <c r="AF42" s="347" t="s">
        <v>425</v>
      </c>
      <c r="AG42" s="338">
        <f>1296+1704</f>
        <v>3000</v>
      </c>
      <c r="AH42" s="338">
        <f t="shared" ref="AH42:AH66" si="3">AG42-H42</f>
        <v>0</v>
      </c>
      <c r="AI42" s="338"/>
      <c r="AJ42" s="338"/>
      <c r="AK42" s="341"/>
      <c r="AL42" s="341"/>
      <c r="AM42" s="341"/>
      <c r="AN42" s="341"/>
      <c r="AO42" s="341"/>
      <c r="AP42" s="341"/>
      <c r="AQ42" s="341"/>
    </row>
    <row r="43" s="255" customFormat="1" customHeight="1" spans="1:45">
      <c r="A43" s="280">
        <v>46087</v>
      </c>
      <c r="B43" s="281" t="s">
        <v>654</v>
      </c>
      <c r="C43" s="280" t="s">
        <v>109</v>
      </c>
      <c r="D43" s="282"/>
      <c r="E43" s="282" t="s">
        <v>190</v>
      </c>
      <c r="F43" s="283" t="s">
        <v>24</v>
      </c>
      <c r="G43" s="283" t="s">
        <v>25</v>
      </c>
      <c r="H43" s="285">
        <v>15600</v>
      </c>
      <c r="I43" s="285">
        <v>6</v>
      </c>
      <c r="J43" s="286">
        <f t="shared" si="0"/>
        <v>2600</v>
      </c>
      <c r="K43" s="280">
        <f>P43-7</f>
        <v>46150</v>
      </c>
      <c r="L43" s="298">
        <v>46157</v>
      </c>
      <c r="M43" s="280"/>
      <c r="N43" s="288"/>
      <c r="O43" s="280"/>
      <c r="P43" s="280">
        <v>46157</v>
      </c>
      <c r="Q43" s="280"/>
      <c r="R43" s="289"/>
      <c r="S43" s="287">
        <v>46111</v>
      </c>
      <c r="T43" s="290" t="s">
        <v>894</v>
      </c>
      <c r="U43" s="281" t="s">
        <v>895</v>
      </c>
      <c r="V43" s="290" t="s">
        <v>896</v>
      </c>
      <c r="W43" s="291" t="s">
        <v>897</v>
      </c>
      <c r="X43" s="291" t="s">
        <v>775</v>
      </c>
      <c r="Y43" s="292">
        <v>2.051</v>
      </c>
      <c r="Z43" s="243">
        <f t="shared" si="1"/>
        <v>31995.6</v>
      </c>
      <c r="AA43" s="244">
        <f t="shared" si="2"/>
        <v>247965.9</v>
      </c>
      <c r="AB43" s="245" t="s">
        <v>898</v>
      </c>
      <c r="AC43" s="293" t="s">
        <v>415</v>
      </c>
      <c r="AD43" s="294" t="s">
        <v>416</v>
      </c>
      <c r="AE43" s="295" t="s">
        <v>424</v>
      </c>
      <c r="AF43" s="295" t="s">
        <v>425</v>
      </c>
      <c r="AG43" s="289">
        <f>5832+7128+2640</f>
        <v>15600</v>
      </c>
      <c r="AH43" s="289">
        <f t="shared" si="3"/>
        <v>0</v>
      </c>
      <c r="AI43" s="289"/>
      <c r="AJ43" s="289"/>
      <c r="AK43" s="290"/>
      <c r="AL43" s="290"/>
      <c r="AM43" s="290"/>
      <c r="AN43" s="290"/>
      <c r="AO43" s="290"/>
      <c r="AP43" s="290"/>
      <c r="AQ43" s="290"/>
    </row>
    <row r="44" s="255" customFormat="1" customHeight="1" spans="1:45">
      <c r="A44" s="348">
        <v>46101</v>
      </c>
      <c r="B44" s="282" t="s">
        <v>617</v>
      </c>
      <c r="C44" s="280" t="s">
        <v>120</v>
      </c>
      <c r="D44" s="282"/>
      <c r="E44" s="282" t="s">
        <v>229</v>
      </c>
      <c r="F44" s="283">
        <v>1125131</v>
      </c>
      <c r="G44" s="283" t="s">
        <v>230</v>
      </c>
      <c r="H44" s="284">
        <v>6300</v>
      </c>
      <c r="I44" s="285">
        <v>6</v>
      </c>
      <c r="J44" s="286">
        <f t="shared" si="0"/>
        <v>1050</v>
      </c>
      <c r="K44" s="280">
        <f>P44-7</f>
        <v>46150</v>
      </c>
      <c r="L44" s="298">
        <v>46159</v>
      </c>
      <c r="M44" s="280"/>
      <c r="N44" s="288"/>
      <c r="O44" s="280"/>
      <c r="P44" s="280">
        <v>46157</v>
      </c>
      <c r="Q44" s="280"/>
      <c r="R44" s="296"/>
      <c r="S44" s="287">
        <v>46122</v>
      </c>
      <c r="T44" s="295" t="s">
        <v>899</v>
      </c>
      <c r="U44" s="281" t="s">
        <v>900</v>
      </c>
      <c r="V44" s="349" t="s">
        <v>901</v>
      </c>
      <c r="W44" s="349" t="s">
        <v>871</v>
      </c>
      <c r="X44" s="350" t="s">
        <v>902</v>
      </c>
      <c r="Y44" s="292">
        <v>2.081</v>
      </c>
      <c r="Z44" s="243">
        <f t="shared" si="1"/>
        <v>13110.3</v>
      </c>
      <c r="AA44" s="244">
        <f t="shared" si="2"/>
        <v>101604.83</v>
      </c>
      <c r="AB44" s="245" t="s">
        <v>903</v>
      </c>
      <c r="AC44" s="296" t="s">
        <v>415</v>
      </c>
      <c r="AD44" s="294" t="s">
        <v>416</v>
      </c>
      <c r="AE44" s="295" t="s">
        <v>424</v>
      </c>
      <c r="AF44" s="295" t="s">
        <v>425</v>
      </c>
      <c r="AG44" s="296">
        <f>1440+4830+30</f>
        <v>6300</v>
      </c>
      <c r="AH44" s="289">
        <f t="shared" si="3"/>
        <v>0</v>
      </c>
      <c r="AI44" s="296"/>
      <c r="AJ44" s="296"/>
      <c r="AK44" s="295"/>
      <c r="AL44" s="295"/>
      <c r="AM44" s="295"/>
      <c r="AN44" s="295"/>
      <c r="AO44" s="295"/>
      <c r="AP44" s="295"/>
      <c r="AQ44" s="295"/>
    </row>
    <row r="45" s="255" customFormat="1" customHeight="1" spans="1:45">
      <c r="A45" s="280">
        <v>46091</v>
      </c>
      <c r="B45" s="281" t="s">
        <v>486</v>
      </c>
      <c r="C45" s="280" t="s">
        <v>109</v>
      </c>
      <c r="D45" s="282"/>
      <c r="E45" s="282" t="s">
        <v>203</v>
      </c>
      <c r="F45" s="283" t="s">
        <v>204</v>
      </c>
      <c r="G45" s="283" t="s">
        <v>205</v>
      </c>
      <c r="H45" s="351">
        <v>9000</v>
      </c>
      <c r="I45" s="285">
        <v>6</v>
      </c>
      <c r="J45" s="286">
        <f t="shared" si="0"/>
        <v>1500</v>
      </c>
      <c r="K45" s="280">
        <v>46172</v>
      </c>
      <c r="L45" s="298" t="s">
        <v>904</v>
      </c>
      <c r="M45" s="280"/>
      <c r="N45" s="288"/>
      <c r="O45" s="280"/>
      <c r="P45" s="280">
        <v>46172</v>
      </c>
      <c r="Q45" s="144"/>
      <c r="R45" s="289"/>
      <c r="S45" s="287">
        <v>46152</v>
      </c>
      <c r="T45" s="290" t="s">
        <v>905</v>
      </c>
      <c r="U45" s="281" t="s">
        <v>906</v>
      </c>
      <c r="V45" s="352" t="s">
        <v>727</v>
      </c>
      <c r="W45" s="291" t="s">
        <v>907</v>
      </c>
      <c r="X45" s="291" t="s">
        <v>908</v>
      </c>
      <c r="Y45" s="292">
        <v>2.587</v>
      </c>
      <c r="Z45" s="243">
        <f t="shared" si="1"/>
        <v>23283</v>
      </c>
      <c r="AA45" s="244">
        <f t="shared" si="2"/>
        <v>180443.25</v>
      </c>
      <c r="AB45" s="245" t="s">
        <v>909</v>
      </c>
      <c r="AC45" s="293" t="s">
        <v>415</v>
      </c>
      <c r="AD45" s="294" t="s">
        <v>416</v>
      </c>
      <c r="AE45" s="295" t="s">
        <v>417</v>
      </c>
      <c r="AF45" s="296"/>
      <c r="AG45" s="289"/>
      <c r="AH45" s="289">
        <f t="shared" si="3"/>
        <v>-9000</v>
      </c>
      <c r="AI45" s="289"/>
      <c r="AJ45" s="289"/>
      <c r="AK45" s="289"/>
      <c r="AL45" s="289"/>
      <c r="AM45" s="290"/>
      <c r="AN45" s="290"/>
      <c r="AO45" s="290"/>
      <c r="AP45" s="290"/>
      <c r="AQ45" s="290"/>
      <c r="AR45" s="290"/>
      <c r="AS45" s="290"/>
    </row>
    <row r="46" s="255" customFormat="1" customHeight="1" spans="1:45">
      <c r="A46" s="280">
        <v>46080</v>
      </c>
      <c r="B46" s="281" t="s">
        <v>525</v>
      </c>
      <c r="C46" s="280" t="s">
        <v>174</v>
      </c>
      <c r="D46" s="282"/>
      <c r="E46" s="282" t="s">
        <v>175</v>
      </c>
      <c r="F46" s="283">
        <v>3023072</v>
      </c>
      <c r="G46" s="283" t="s">
        <v>176</v>
      </c>
      <c r="H46" s="284">
        <v>3000</v>
      </c>
      <c r="I46" s="285">
        <v>6</v>
      </c>
      <c r="J46" s="286">
        <f t="shared" si="0"/>
        <v>500</v>
      </c>
      <c r="K46" s="280">
        <f>P46-7</f>
        <v>46162</v>
      </c>
      <c r="L46" s="298">
        <v>46168</v>
      </c>
      <c r="M46" s="280"/>
      <c r="N46" s="288"/>
      <c r="O46" s="280"/>
      <c r="P46" s="280">
        <v>46169</v>
      </c>
      <c r="Q46" s="144"/>
      <c r="R46" s="289"/>
      <c r="S46" s="287" t="s">
        <v>910</v>
      </c>
      <c r="T46" s="290" t="s">
        <v>911</v>
      </c>
      <c r="U46" s="281" t="s">
        <v>912</v>
      </c>
      <c r="V46" s="291" t="s">
        <v>913</v>
      </c>
      <c r="W46" s="291" t="s">
        <v>914</v>
      </c>
      <c r="X46" s="291" t="s">
        <v>915</v>
      </c>
      <c r="Y46" s="292">
        <v>4.624</v>
      </c>
      <c r="Z46" s="243">
        <f t="shared" si="1"/>
        <v>13872</v>
      </c>
      <c r="AA46" s="244">
        <f t="shared" si="2"/>
        <v>107508</v>
      </c>
      <c r="AB46" s="245" t="s">
        <v>916</v>
      </c>
      <c r="AC46" s="293" t="s">
        <v>415</v>
      </c>
      <c r="AD46" s="294" t="s">
        <v>416</v>
      </c>
      <c r="AE46" s="295" t="s">
        <v>424</v>
      </c>
      <c r="AF46" s="295" t="s">
        <v>425</v>
      </c>
      <c r="AG46" s="289">
        <f>840+1758+354+48</f>
        <v>3000</v>
      </c>
      <c r="AH46" s="289">
        <f t="shared" si="3"/>
        <v>0</v>
      </c>
      <c r="AI46" s="289"/>
      <c r="AJ46" s="289"/>
      <c r="AK46" s="289"/>
      <c r="AL46" s="289"/>
      <c r="AM46" s="290"/>
      <c r="AN46" s="290"/>
      <c r="AO46" s="290"/>
      <c r="AP46" s="290"/>
      <c r="AQ46" s="290"/>
      <c r="AR46" s="290"/>
      <c r="AS46" s="290"/>
    </row>
    <row r="47" s="255" customFormat="1" customHeight="1" spans="1:45">
      <c r="A47" s="280">
        <v>46080</v>
      </c>
      <c r="B47" s="281" t="s">
        <v>525</v>
      </c>
      <c r="C47" s="280" t="s">
        <v>174</v>
      </c>
      <c r="D47" s="282"/>
      <c r="E47" s="282" t="s">
        <v>175</v>
      </c>
      <c r="F47" s="283">
        <v>3025130</v>
      </c>
      <c r="G47" s="283" t="s">
        <v>917</v>
      </c>
      <c r="H47" s="284">
        <v>2502</v>
      </c>
      <c r="I47" s="285">
        <v>6</v>
      </c>
      <c r="J47" s="286">
        <f t="shared" si="0"/>
        <v>417</v>
      </c>
      <c r="K47" s="280">
        <f>P47-7</f>
        <v>46162</v>
      </c>
      <c r="L47" s="306">
        <v>46168</v>
      </c>
      <c r="M47" s="280"/>
      <c r="N47" s="288"/>
      <c r="O47" s="280"/>
      <c r="P47" s="280">
        <v>46169</v>
      </c>
      <c r="Q47" s="144"/>
      <c r="R47" s="289"/>
      <c r="S47" s="287" t="s">
        <v>691</v>
      </c>
      <c r="T47" s="290" t="s">
        <v>918</v>
      </c>
      <c r="U47" s="281" t="s">
        <v>912</v>
      </c>
      <c r="V47" s="291" t="s">
        <v>913</v>
      </c>
      <c r="W47" s="291" t="s">
        <v>919</v>
      </c>
      <c r="X47" s="291" t="s">
        <v>915</v>
      </c>
      <c r="Y47" s="292">
        <v>3.345</v>
      </c>
      <c r="Z47" s="243">
        <f t="shared" si="1"/>
        <v>8369.19</v>
      </c>
      <c r="AA47" s="244">
        <f t="shared" si="2"/>
        <v>64861.22</v>
      </c>
      <c r="AB47" s="245" t="s">
        <v>916</v>
      </c>
      <c r="AC47" s="293" t="s">
        <v>415</v>
      </c>
      <c r="AD47" s="294" t="s">
        <v>416</v>
      </c>
      <c r="AE47" s="295" t="s">
        <v>424</v>
      </c>
      <c r="AF47" s="295" t="s">
        <v>425</v>
      </c>
      <c r="AG47" s="289">
        <f>2100+336+66</f>
        <v>2502</v>
      </c>
      <c r="AH47" s="289">
        <f t="shared" si="3"/>
        <v>0</v>
      </c>
      <c r="AI47" s="293">
        <v>46169</v>
      </c>
      <c r="AJ47" s="289">
        <f>AI47-L47</f>
        <v>1</v>
      </c>
      <c r="AK47" s="289"/>
      <c r="AL47" s="289"/>
      <c r="AM47" s="290"/>
      <c r="AN47" s="290"/>
      <c r="AO47" s="290"/>
      <c r="AP47" s="290"/>
      <c r="AQ47" s="290"/>
      <c r="AR47" s="290"/>
      <c r="AS47" s="290"/>
    </row>
    <row r="48" s="255" customFormat="1" customHeight="1" spans="1:45">
      <c r="A48" s="280">
        <v>46080</v>
      </c>
      <c r="B48" s="281" t="s">
        <v>525</v>
      </c>
      <c r="C48" s="280" t="s">
        <v>174</v>
      </c>
      <c r="D48" s="282"/>
      <c r="E48" s="282" t="s">
        <v>175</v>
      </c>
      <c r="F48" s="283">
        <v>3026107</v>
      </c>
      <c r="G48" s="283" t="s">
        <v>178</v>
      </c>
      <c r="H48" s="284">
        <v>1500</v>
      </c>
      <c r="I48" s="285">
        <v>6</v>
      </c>
      <c r="J48" s="286">
        <f t="shared" si="0"/>
        <v>250</v>
      </c>
      <c r="K48" s="280">
        <f>P48-7</f>
        <v>46162</v>
      </c>
      <c r="L48" s="298">
        <v>46168</v>
      </c>
      <c r="M48" s="280"/>
      <c r="N48" s="288"/>
      <c r="O48" s="280"/>
      <c r="P48" s="280">
        <v>46169</v>
      </c>
      <c r="Q48" s="144"/>
      <c r="R48" s="289"/>
      <c r="S48" s="287" t="s">
        <v>691</v>
      </c>
      <c r="T48" s="290" t="s">
        <v>920</v>
      </c>
      <c r="U48" s="281" t="s">
        <v>912</v>
      </c>
      <c r="V48" s="291" t="s">
        <v>913</v>
      </c>
      <c r="W48" s="291" t="s">
        <v>921</v>
      </c>
      <c r="X48" s="291" t="s">
        <v>915</v>
      </c>
      <c r="Y48" s="292">
        <v>3.912</v>
      </c>
      <c r="Z48" s="243">
        <f t="shared" si="1"/>
        <v>5868</v>
      </c>
      <c r="AA48" s="244">
        <f t="shared" si="2"/>
        <v>45477</v>
      </c>
      <c r="AB48" s="245" t="s">
        <v>916</v>
      </c>
      <c r="AC48" s="293" t="s">
        <v>415</v>
      </c>
      <c r="AD48" s="294" t="s">
        <v>416</v>
      </c>
      <c r="AE48" s="295" t="s">
        <v>436</v>
      </c>
      <c r="AF48" s="295" t="s">
        <v>425</v>
      </c>
      <c r="AG48" s="289">
        <f>1332+168+12</f>
        <v>1512</v>
      </c>
      <c r="AH48" s="289">
        <f t="shared" si="3"/>
        <v>12</v>
      </c>
      <c r="AI48" s="293">
        <v>46156</v>
      </c>
      <c r="AJ48" s="289">
        <f>AI48-L48</f>
        <v>-12</v>
      </c>
      <c r="AK48" s="289"/>
      <c r="AL48" s="289"/>
      <c r="AM48" s="290"/>
      <c r="AN48" s="290"/>
      <c r="AO48" s="290"/>
      <c r="AP48" s="290"/>
      <c r="AQ48" s="290"/>
      <c r="AR48" s="290"/>
      <c r="AS48" s="290"/>
    </row>
    <row r="49" s="255" customFormat="1" customHeight="1" spans="1:45">
      <c r="A49" s="348">
        <v>46115</v>
      </c>
      <c r="B49" s="353" t="s">
        <v>532</v>
      </c>
      <c r="C49" s="280" t="s">
        <v>88</v>
      </c>
      <c r="D49" s="282"/>
      <c r="E49" s="282" t="s">
        <v>259</v>
      </c>
      <c r="F49" s="283">
        <v>1026107</v>
      </c>
      <c r="G49" s="283" t="s">
        <v>136</v>
      </c>
      <c r="H49" s="284">
        <v>5004</v>
      </c>
      <c r="I49" s="285">
        <v>6</v>
      </c>
      <c r="J49" s="286">
        <f t="shared" si="0"/>
        <v>834</v>
      </c>
      <c r="K49" s="280">
        <f>P49-7</f>
        <v>46167</v>
      </c>
      <c r="L49" s="306">
        <v>46174</v>
      </c>
      <c r="M49" s="280"/>
      <c r="N49" s="288"/>
      <c r="O49" s="280"/>
      <c r="P49" s="280">
        <v>46174</v>
      </c>
      <c r="Q49" s="144"/>
      <c r="R49" s="296"/>
      <c r="S49" s="349" t="s">
        <v>459</v>
      </c>
      <c r="T49" s="295" t="s">
        <v>460</v>
      </c>
      <c r="U49" s="295" t="s">
        <v>461</v>
      </c>
      <c r="V49" s="352" t="s">
        <v>462</v>
      </c>
      <c r="W49" s="349" t="s">
        <v>463</v>
      </c>
      <c r="X49" s="350" t="s">
        <v>922</v>
      </c>
      <c r="Y49" s="292">
        <v>3.912</v>
      </c>
      <c r="Z49" s="243">
        <f t="shared" si="1"/>
        <v>19575.65</v>
      </c>
      <c r="AA49" s="244">
        <f t="shared" si="2"/>
        <v>151711.29</v>
      </c>
      <c r="AB49" s="245" t="s">
        <v>923</v>
      </c>
      <c r="AC49" s="296" t="s">
        <v>415</v>
      </c>
      <c r="AD49" s="294" t="s">
        <v>416</v>
      </c>
      <c r="AE49" s="295" t="s">
        <v>436</v>
      </c>
      <c r="AF49" s="295" t="s">
        <v>425</v>
      </c>
      <c r="AG49" s="296">
        <v>5004</v>
      </c>
      <c r="AH49" s="289">
        <f t="shared" si="3"/>
        <v>0</v>
      </c>
      <c r="AI49" s="289"/>
      <c r="AJ49" s="289"/>
      <c r="AK49" s="296"/>
      <c r="AL49" s="296"/>
      <c r="AM49" s="295"/>
      <c r="AN49" s="295"/>
      <c r="AO49" s="295"/>
      <c r="AP49" s="295"/>
      <c r="AQ49" s="295"/>
      <c r="AR49" s="295"/>
      <c r="AS49" s="295"/>
    </row>
    <row r="50" s="255" customFormat="1" customHeight="1" spans="1:45">
      <c r="A50" s="348">
        <v>46098</v>
      </c>
      <c r="B50" s="353" t="s">
        <v>924</v>
      </c>
      <c r="C50" s="280" t="s">
        <v>91</v>
      </c>
      <c r="D50" s="282"/>
      <c r="E50" s="282" t="s">
        <v>217</v>
      </c>
      <c r="F50" s="283">
        <v>1426146</v>
      </c>
      <c r="G50" s="283" t="s">
        <v>209</v>
      </c>
      <c r="H50" s="284">
        <v>12000</v>
      </c>
      <c r="I50" s="285">
        <v>6</v>
      </c>
      <c r="J50" s="286">
        <f t="shared" si="0"/>
        <v>2000</v>
      </c>
      <c r="K50" s="280">
        <v>46181</v>
      </c>
      <c r="L50" s="298">
        <v>46188</v>
      </c>
      <c r="M50" s="280"/>
      <c r="N50" s="288"/>
      <c r="O50" s="280"/>
      <c r="P50" s="280">
        <v>46181</v>
      </c>
      <c r="Q50" s="229"/>
      <c r="R50" s="296"/>
      <c r="S50" s="287">
        <v>46142</v>
      </c>
      <c r="T50" s="295" t="s">
        <v>925</v>
      </c>
      <c r="U50" s="281" t="s">
        <v>440</v>
      </c>
      <c r="V50" s="349" t="s">
        <v>926</v>
      </c>
      <c r="W50" s="349" t="s">
        <v>927</v>
      </c>
      <c r="X50" s="291" t="s">
        <v>443</v>
      </c>
      <c r="Y50" s="292">
        <v>2.59</v>
      </c>
      <c r="Z50" s="243">
        <f t="shared" si="1"/>
        <v>31080</v>
      </c>
      <c r="AA50" s="244">
        <f t="shared" si="2"/>
        <v>240870</v>
      </c>
      <c r="AB50" s="245" t="s">
        <v>928</v>
      </c>
      <c r="AC50" s="296" t="s">
        <v>415</v>
      </c>
      <c r="AD50" s="294" t="s">
        <v>416</v>
      </c>
      <c r="AE50" s="295" t="s">
        <v>436</v>
      </c>
      <c r="AF50" s="296" t="s">
        <v>425</v>
      </c>
      <c r="AG50" s="296">
        <f>2112+2640+1584+1584+1530+2112+438</f>
        <v>12000</v>
      </c>
      <c r="AH50" s="289">
        <f t="shared" si="3"/>
        <v>0</v>
      </c>
      <c r="AI50" s="289"/>
      <c r="AJ50" s="289"/>
      <c r="AK50" s="296"/>
      <c r="AL50" s="296"/>
      <c r="AM50" s="295"/>
      <c r="AN50" s="295"/>
      <c r="AO50" s="295"/>
      <c r="AP50" s="295"/>
      <c r="AQ50" s="295"/>
      <c r="AR50" s="295"/>
      <c r="AS50" s="295"/>
    </row>
    <row r="51" s="255" customFormat="1" customHeight="1" spans="1:45">
      <c r="A51" s="354">
        <v>46098</v>
      </c>
      <c r="B51" s="355" t="s">
        <v>924</v>
      </c>
      <c r="C51" s="299" t="s">
        <v>91</v>
      </c>
      <c r="D51" s="301"/>
      <c r="E51" s="282" t="s">
        <v>217</v>
      </c>
      <c r="F51" s="302">
        <v>1426146</v>
      </c>
      <c r="G51" s="302" t="s">
        <v>209</v>
      </c>
      <c r="H51" s="303">
        <v>9000</v>
      </c>
      <c r="I51" s="304">
        <v>6</v>
      </c>
      <c r="J51" s="286">
        <f t="shared" si="0"/>
        <v>1500</v>
      </c>
      <c r="K51" s="280">
        <v>46181</v>
      </c>
      <c r="L51" s="298">
        <v>46188</v>
      </c>
      <c r="M51" s="299"/>
      <c r="N51" s="307"/>
      <c r="O51" s="299"/>
      <c r="P51" s="280">
        <v>46181</v>
      </c>
      <c r="Q51" s="187"/>
      <c r="R51" s="319"/>
      <c r="S51" s="309">
        <v>46142</v>
      </c>
      <c r="T51" s="295" t="s">
        <v>925</v>
      </c>
      <c r="U51" s="300" t="s">
        <v>440</v>
      </c>
      <c r="V51" s="352" t="s">
        <v>926</v>
      </c>
      <c r="W51" s="352" t="s">
        <v>927</v>
      </c>
      <c r="X51" s="311" t="s">
        <v>443</v>
      </c>
      <c r="Y51" s="312">
        <v>2.59</v>
      </c>
      <c r="Z51" s="243">
        <f t="shared" si="1"/>
        <v>23310</v>
      </c>
      <c r="AA51" s="244">
        <f t="shared" si="2"/>
        <v>180652.5</v>
      </c>
      <c r="AB51" s="245" t="s">
        <v>928</v>
      </c>
      <c r="AC51" s="319" t="s">
        <v>415</v>
      </c>
      <c r="AD51" s="294" t="s">
        <v>416</v>
      </c>
      <c r="AE51" s="318" t="s">
        <v>436</v>
      </c>
      <c r="AF51" s="319" t="s">
        <v>425</v>
      </c>
      <c r="AG51" s="319">
        <f>5280+1920+1800</f>
        <v>9000</v>
      </c>
      <c r="AH51" s="289">
        <f t="shared" si="3"/>
        <v>0</v>
      </c>
      <c r="AI51" s="308"/>
      <c r="AJ51" s="308"/>
      <c r="AK51" s="319"/>
      <c r="AL51" s="319"/>
      <c r="AM51" s="318"/>
      <c r="AN51" s="318"/>
      <c r="AO51" s="318"/>
      <c r="AP51" s="318"/>
      <c r="AQ51" s="318"/>
      <c r="AR51" s="318"/>
      <c r="AS51" s="318"/>
    </row>
    <row r="52" s="255" customFormat="1" customHeight="1" spans="1:45">
      <c r="A52" s="348">
        <v>46106</v>
      </c>
      <c r="B52" s="282" t="s">
        <v>466</v>
      </c>
      <c r="C52" s="280" t="s">
        <v>91</v>
      </c>
      <c r="D52" s="282"/>
      <c r="E52" s="282" t="s">
        <v>239</v>
      </c>
      <c r="F52" s="283">
        <v>1422110</v>
      </c>
      <c r="G52" s="283" t="s">
        <v>240</v>
      </c>
      <c r="H52" s="284">
        <v>12000</v>
      </c>
      <c r="I52" s="285">
        <v>6</v>
      </c>
      <c r="J52" s="286">
        <f t="shared" si="0"/>
        <v>2000</v>
      </c>
      <c r="K52" s="280">
        <v>46176</v>
      </c>
      <c r="L52" s="306">
        <v>46177</v>
      </c>
      <c r="M52" s="280"/>
      <c r="N52" s="288"/>
      <c r="O52" s="280"/>
      <c r="P52" s="280">
        <v>46176</v>
      </c>
      <c r="Q52" s="122"/>
      <c r="R52" s="296"/>
      <c r="S52" s="287" t="s">
        <v>691</v>
      </c>
      <c r="T52" s="295" t="s">
        <v>929</v>
      </c>
      <c r="U52" s="281" t="s">
        <v>468</v>
      </c>
      <c r="V52" s="349" t="s">
        <v>926</v>
      </c>
      <c r="W52" s="349" t="s">
        <v>930</v>
      </c>
      <c r="X52" s="350" t="s">
        <v>931</v>
      </c>
      <c r="Y52" s="292">
        <v>3.06</v>
      </c>
      <c r="Z52" s="243">
        <f t="shared" si="1"/>
        <v>36720</v>
      </c>
      <c r="AA52" s="244">
        <f t="shared" si="2"/>
        <v>284580</v>
      </c>
      <c r="AB52" s="245" t="s">
        <v>932</v>
      </c>
      <c r="AC52" s="296" t="s">
        <v>415</v>
      </c>
      <c r="AD52" s="294" t="s">
        <v>416</v>
      </c>
      <c r="AE52" s="295" t="s">
        <v>424</v>
      </c>
      <c r="AF52" s="295" t="s">
        <v>425</v>
      </c>
      <c r="AG52" s="296">
        <f>420+8346+2520+714</f>
        <v>12000</v>
      </c>
      <c r="AH52" s="289">
        <f t="shared" si="3"/>
        <v>0</v>
      </c>
      <c r="AI52" s="289"/>
      <c r="AJ52" s="289"/>
      <c r="AK52" s="296"/>
      <c r="AL52" s="296"/>
      <c r="AM52" s="295"/>
      <c r="AN52" s="295"/>
      <c r="AO52" s="295"/>
      <c r="AP52" s="295"/>
      <c r="AQ52" s="295"/>
      <c r="AR52" s="295"/>
      <c r="AS52" s="295"/>
    </row>
    <row r="53" s="255" customFormat="1" customHeight="1" spans="1:45">
      <c r="A53" s="354">
        <v>46100</v>
      </c>
      <c r="B53" s="301" t="s">
        <v>933</v>
      </c>
      <c r="C53" s="299" t="s">
        <v>109</v>
      </c>
      <c r="D53" s="301"/>
      <c r="E53" s="301" t="s">
        <v>227</v>
      </c>
      <c r="F53" s="302">
        <v>1125087</v>
      </c>
      <c r="G53" s="302" t="s">
        <v>228</v>
      </c>
      <c r="H53" s="303">
        <v>984</v>
      </c>
      <c r="I53" s="304">
        <v>12</v>
      </c>
      <c r="J53" s="286">
        <f t="shared" si="0"/>
        <v>82</v>
      </c>
      <c r="K53" s="280">
        <f>P53-7</f>
        <v>46150</v>
      </c>
      <c r="L53" s="306">
        <v>46160</v>
      </c>
      <c r="M53" s="299"/>
      <c r="N53" s="307"/>
      <c r="O53" s="299"/>
      <c r="P53" s="299">
        <v>46157</v>
      </c>
      <c r="Q53" s="299"/>
      <c r="R53" s="319" t="s">
        <v>934</v>
      </c>
      <c r="S53" s="309" t="s">
        <v>910</v>
      </c>
      <c r="T53" s="318" t="s">
        <v>935</v>
      </c>
      <c r="U53" s="300" t="s">
        <v>468</v>
      </c>
      <c r="V53" s="352" t="s">
        <v>936</v>
      </c>
      <c r="W53" s="352" t="s">
        <v>937</v>
      </c>
      <c r="X53" s="356" t="s">
        <v>938</v>
      </c>
      <c r="Y53" s="312">
        <v>4.686</v>
      </c>
      <c r="Z53" s="243">
        <f t="shared" si="1"/>
        <v>4611.02</v>
      </c>
      <c r="AA53" s="244">
        <f t="shared" si="2"/>
        <v>35735.41</v>
      </c>
      <c r="AB53" s="245" t="s">
        <v>939</v>
      </c>
      <c r="AC53" s="319" t="s">
        <v>415</v>
      </c>
      <c r="AD53" s="294" t="s">
        <v>416</v>
      </c>
      <c r="AE53" s="318" t="s">
        <v>417</v>
      </c>
      <c r="AF53" s="319"/>
      <c r="AG53" s="319"/>
      <c r="AH53" s="289">
        <f t="shared" si="3"/>
        <v>-984</v>
      </c>
      <c r="AI53" s="308"/>
      <c r="AJ53" s="308"/>
      <c r="AK53" s="319"/>
      <c r="AL53" s="319"/>
      <c r="AM53" s="318"/>
      <c r="AN53" s="318"/>
      <c r="AO53" s="318"/>
      <c r="AP53" s="318"/>
      <c r="AQ53" s="318"/>
      <c r="AR53" s="318"/>
      <c r="AS53" s="318"/>
    </row>
    <row r="54" s="255" customFormat="1" customHeight="1" spans="1:45">
      <c r="A54" s="348">
        <v>46100</v>
      </c>
      <c r="B54" s="282" t="s">
        <v>933</v>
      </c>
      <c r="C54" s="280" t="s">
        <v>109</v>
      </c>
      <c r="D54" s="282"/>
      <c r="E54" s="282" t="s">
        <v>227</v>
      </c>
      <c r="F54" s="283">
        <v>1125087</v>
      </c>
      <c r="G54" s="283" t="s">
        <v>228</v>
      </c>
      <c r="H54" s="284">
        <v>516</v>
      </c>
      <c r="I54" s="285">
        <v>12</v>
      </c>
      <c r="J54" s="286">
        <f t="shared" si="0"/>
        <v>43</v>
      </c>
      <c r="K54" s="280">
        <f>P54-7</f>
        <v>46150</v>
      </c>
      <c r="L54" s="298">
        <v>46160</v>
      </c>
      <c r="M54" s="280"/>
      <c r="N54" s="288"/>
      <c r="O54" s="280"/>
      <c r="P54" s="280">
        <v>46157</v>
      </c>
      <c r="Q54" s="280"/>
      <c r="R54" s="296" t="s">
        <v>934</v>
      </c>
      <c r="S54" s="287" t="s">
        <v>910</v>
      </c>
      <c r="T54" s="295" t="s">
        <v>935</v>
      </c>
      <c r="U54" s="281" t="s">
        <v>468</v>
      </c>
      <c r="V54" s="349" t="s">
        <v>936</v>
      </c>
      <c r="W54" s="349" t="s">
        <v>937</v>
      </c>
      <c r="X54" s="350" t="s">
        <v>938</v>
      </c>
      <c r="Y54" s="292">
        <v>4.686</v>
      </c>
      <c r="Z54" s="243">
        <f t="shared" si="1"/>
        <v>2417.98</v>
      </c>
      <c r="AA54" s="244">
        <f t="shared" si="2"/>
        <v>18739.35</v>
      </c>
      <c r="AB54" s="245" t="s">
        <v>940</v>
      </c>
      <c r="AC54" s="296" t="s">
        <v>415</v>
      </c>
      <c r="AD54" s="294" t="s">
        <v>416</v>
      </c>
      <c r="AE54" s="318" t="s">
        <v>417</v>
      </c>
      <c r="AF54" s="296"/>
      <c r="AG54" s="296"/>
      <c r="AH54" s="289">
        <f t="shared" si="3"/>
        <v>-516</v>
      </c>
      <c r="AI54" s="289"/>
      <c r="AJ54" s="289"/>
      <c r="AK54" s="296"/>
      <c r="AL54" s="296"/>
      <c r="AM54" s="295"/>
      <c r="AN54" s="295"/>
      <c r="AO54" s="295"/>
      <c r="AP54" s="295"/>
      <c r="AQ54" s="295"/>
      <c r="AR54" s="295"/>
      <c r="AS54" s="295"/>
    </row>
    <row r="55" s="255" customFormat="1" customHeight="1" spans="1:45">
      <c r="A55" s="348">
        <v>46094</v>
      </c>
      <c r="B55" s="282" t="s">
        <v>941</v>
      </c>
      <c r="C55" s="280" t="s">
        <v>88</v>
      </c>
      <c r="D55" s="282"/>
      <c r="E55" s="282" t="s">
        <v>206</v>
      </c>
      <c r="F55" s="283">
        <v>1026169</v>
      </c>
      <c r="G55" s="283" t="s">
        <v>207</v>
      </c>
      <c r="H55" s="284">
        <v>1122</v>
      </c>
      <c r="I55" s="285">
        <v>6</v>
      </c>
      <c r="J55" s="286">
        <f t="shared" si="0"/>
        <v>187</v>
      </c>
      <c r="K55" s="280">
        <v>46178</v>
      </c>
      <c r="L55" s="298">
        <v>46180</v>
      </c>
      <c r="M55" s="280"/>
      <c r="N55" s="288"/>
      <c r="O55" s="280"/>
      <c r="P55" s="280">
        <v>46178</v>
      </c>
      <c r="Q55" s="280"/>
      <c r="R55" s="296"/>
      <c r="S55" s="287">
        <v>46152</v>
      </c>
      <c r="T55" s="290" t="s">
        <v>942</v>
      </c>
      <c r="U55" s="281" t="s">
        <v>943</v>
      </c>
      <c r="V55" s="349" t="s">
        <v>944</v>
      </c>
      <c r="W55" s="349" t="s">
        <v>945</v>
      </c>
      <c r="X55" s="350" t="s">
        <v>946</v>
      </c>
      <c r="Y55" s="292">
        <v>3.031</v>
      </c>
      <c r="Z55" s="243">
        <f t="shared" si="1"/>
        <v>3400.78</v>
      </c>
      <c r="AA55" s="244">
        <f t="shared" si="2"/>
        <v>26356.05</v>
      </c>
      <c r="AB55" s="245" t="s">
        <v>947</v>
      </c>
      <c r="AC55" s="296" t="s">
        <v>415</v>
      </c>
      <c r="AD55" s="294" t="s">
        <v>416</v>
      </c>
      <c r="AE55" s="295" t="s">
        <v>417</v>
      </c>
      <c r="AF55" s="296"/>
      <c r="AG55" s="296"/>
      <c r="AH55" s="289">
        <f t="shared" si="3"/>
        <v>-1122</v>
      </c>
      <c r="AI55" s="289"/>
      <c r="AJ55" s="289"/>
      <c r="AK55" s="296"/>
      <c r="AL55" s="296"/>
      <c r="AM55" s="295"/>
      <c r="AN55" s="295"/>
      <c r="AO55" s="295"/>
      <c r="AP55" s="295"/>
      <c r="AQ55" s="295"/>
      <c r="AR55" s="295"/>
      <c r="AS55" s="295"/>
    </row>
    <row r="56" s="255" customFormat="1" customHeight="1" spans="1:45">
      <c r="A56" s="280">
        <v>46091</v>
      </c>
      <c r="B56" s="281" t="s">
        <v>486</v>
      </c>
      <c r="C56" s="280" t="s">
        <v>109</v>
      </c>
      <c r="D56" s="282"/>
      <c r="E56" s="282" t="s">
        <v>191</v>
      </c>
      <c r="F56" s="283" t="s">
        <v>192</v>
      </c>
      <c r="G56" s="283" t="s">
        <v>193</v>
      </c>
      <c r="H56" s="351">
        <v>13680</v>
      </c>
      <c r="I56" s="285">
        <v>6</v>
      </c>
      <c r="J56" s="286">
        <f t="shared" si="0"/>
        <v>2280</v>
      </c>
      <c r="K56" s="280">
        <v>46174</v>
      </c>
      <c r="L56" s="298" t="s">
        <v>948</v>
      </c>
      <c r="M56" s="280"/>
      <c r="N56" s="288"/>
      <c r="O56" s="280"/>
      <c r="P56" s="280">
        <v>46174</v>
      </c>
      <c r="Q56" s="144"/>
      <c r="R56" s="289"/>
      <c r="S56" s="287" t="s">
        <v>949</v>
      </c>
      <c r="T56" s="290" t="s">
        <v>950</v>
      </c>
      <c r="U56" s="281" t="s">
        <v>951</v>
      </c>
      <c r="V56" s="349" t="s">
        <v>727</v>
      </c>
      <c r="W56" s="291" t="s">
        <v>952</v>
      </c>
      <c r="X56" s="291" t="s">
        <v>908</v>
      </c>
      <c r="Y56" s="292">
        <v>2.603</v>
      </c>
      <c r="Z56" s="243">
        <f t="shared" si="1"/>
        <v>35609.04</v>
      </c>
      <c r="AA56" s="244">
        <f t="shared" si="2"/>
        <v>275970.06</v>
      </c>
      <c r="AB56" s="245" t="s">
        <v>953</v>
      </c>
      <c r="AC56" s="293" t="s">
        <v>415</v>
      </c>
      <c r="AD56" s="294" t="s">
        <v>416</v>
      </c>
      <c r="AE56" s="295" t="s">
        <v>417</v>
      </c>
      <c r="AF56" s="296" t="s">
        <v>425</v>
      </c>
      <c r="AG56" s="289"/>
      <c r="AH56" s="289">
        <f t="shared" si="3"/>
        <v>-13680</v>
      </c>
      <c r="AI56" s="289"/>
      <c r="AJ56" s="289"/>
      <c r="AK56" s="289"/>
      <c r="AL56" s="289"/>
      <c r="AM56" s="290"/>
      <c r="AN56" s="290"/>
      <c r="AO56" s="290"/>
      <c r="AP56" s="290"/>
      <c r="AQ56" s="290"/>
      <c r="AR56" s="290"/>
      <c r="AS56" s="290"/>
    </row>
    <row r="57" s="255" customFormat="1" customHeight="1" spans="1:45">
      <c r="A57" s="348">
        <v>46112</v>
      </c>
      <c r="B57" s="282" t="s">
        <v>954</v>
      </c>
      <c r="C57" s="280" t="s">
        <v>93</v>
      </c>
      <c r="D57" s="282"/>
      <c r="E57" s="282" t="s">
        <v>251</v>
      </c>
      <c r="F57" s="283">
        <v>1325130</v>
      </c>
      <c r="G57" s="283" t="s">
        <v>252</v>
      </c>
      <c r="H57" s="284">
        <v>5400</v>
      </c>
      <c r="I57" s="285">
        <v>6</v>
      </c>
      <c r="J57" s="286">
        <f t="shared" si="0"/>
        <v>900</v>
      </c>
      <c r="K57" s="280">
        <v>46178</v>
      </c>
      <c r="L57" s="298">
        <v>46181</v>
      </c>
      <c r="M57" s="280"/>
      <c r="N57" s="288"/>
      <c r="O57" s="280"/>
      <c r="P57" s="280">
        <v>46181</v>
      </c>
      <c r="Q57" s="122"/>
      <c r="R57" s="296"/>
      <c r="S57" s="287">
        <v>46142</v>
      </c>
      <c r="T57" s="295" t="s">
        <v>481</v>
      </c>
      <c r="U57" s="281" t="s">
        <v>955</v>
      </c>
      <c r="V57" s="291" t="s">
        <v>956</v>
      </c>
      <c r="W57" s="349" t="s">
        <v>957</v>
      </c>
      <c r="X57" s="350" t="s">
        <v>958</v>
      </c>
      <c r="Y57" s="292">
        <v>3.345</v>
      </c>
      <c r="Z57" s="243">
        <f t="shared" si="1"/>
        <v>18063</v>
      </c>
      <c r="AA57" s="244">
        <f t="shared" si="2"/>
        <v>139988.25</v>
      </c>
      <c r="AB57" s="245" t="s">
        <v>959</v>
      </c>
      <c r="AC57" s="296" t="s">
        <v>415</v>
      </c>
      <c r="AD57" s="294" t="s">
        <v>416</v>
      </c>
      <c r="AE57" s="295" t="s">
        <v>424</v>
      </c>
      <c r="AF57" s="296" t="s">
        <v>425</v>
      </c>
      <c r="AG57" s="296">
        <f>6120+360+360+162</f>
        <v>7002</v>
      </c>
      <c r="AH57" s="289">
        <f t="shared" si="3"/>
        <v>1602</v>
      </c>
      <c r="AI57" s="289"/>
      <c r="AJ57" s="289"/>
      <c r="AK57" s="296"/>
      <c r="AL57" s="296"/>
      <c r="AM57" s="295"/>
      <c r="AN57" s="295"/>
      <c r="AO57" s="295"/>
      <c r="AP57" s="295"/>
      <c r="AQ57" s="295"/>
      <c r="AR57" s="295"/>
      <c r="AS57" s="295"/>
    </row>
    <row r="58" s="255" customFormat="1" customHeight="1" spans="1:45">
      <c r="A58" s="348">
        <v>46094</v>
      </c>
      <c r="B58" s="282" t="s">
        <v>592</v>
      </c>
      <c r="C58" s="280" t="s">
        <v>109</v>
      </c>
      <c r="D58" s="285"/>
      <c r="E58" s="282" t="s">
        <v>212</v>
      </c>
      <c r="F58" s="283" t="s">
        <v>213</v>
      </c>
      <c r="G58" s="283" t="s">
        <v>214</v>
      </c>
      <c r="H58" s="284">
        <v>1002</v>
      </c>
      <c r="I58" s="285">
        <v>6</v>
      </c>
      <c r="J58" s="286">
        <f t="shared" si="0"/>
        <v>167</v>
      </c>
      <c r="K58" s="280">
        <f>P58-7</f>
        <v>46162</v>
      </c>
      <c r="L58" s="306">
        <v>46168</v>
      </c>
      <c r="M58" s="280"/>
      <c r="N58" s="288"/>
      <c r="O58" s="280"/>
      <c r="P58" s="280">
        <v>46169</v>
      </c>
      <c r="Q58" s="144"/>
      <c r="R58" s="296"/>
      <c r="S58" s="287" t="s">
        <v>691</v>
      </c>
      <c r="T58" s="295" t="s">
        <v>925</v>
      </c>
      <c r="U58" s="281" t="s">
        <v>960</v>
      </c>
      <c r="V58" s="349" t="s">
        <v>896</v>
      </c>
      <c r="W58" s="349" t="s">
        <v>961</v>
      </c>
      <c r="X58" s="350" t="s">
        <v>962</v>
      </c>
      <c r="Y58" s="292">
        <v>3.351</v>
      </c>
      <c r="Z58" s="243">
        <f t="shared" si="1"/>
        <v>3357.7</v>
      </c>
      <c r="AA58" s="244">
        <f t="shared" si="2"/>
        <v>26022.18</v>
      </c>
      <c r="AB58" s="245" t="s">
        <v>963</v>
      </c>
      <c r="AC58" s="296" t="s">
        <v>415</v>
      </c>
      <c r="AD58" s="294" t="s">
        <v>416</v>
      </c>
      <c r="AE58" s="295" t="s">
        <v>424</v>
      </c>
      <c r="AF58" s="295" t="s">
        <v>425</v>
      </c>
      <c r="AG58" s="296">
        <v>1002</v>
      </c>
      <c r="AH58" s="289">
        <f t="shared" si="3"/>
        <v>0</v>
      </c>
      <c r="AI58" s="293">
        <v>46168</v>
      </c>
      <c r="AJ58" s="289">
        <f>AI58-L58</f>
        <v>0</v>
      </c>
      <c r="AK58" s="296"/>
      <c r="AL58" s="296"/>
      <c r="AM58" s="295"/>
      <c r="AN58" s="295"/>
      <c r="AO58" s="295"/>
      <c r="AP58" s="295"/>
      <c r="AQ58" s="295"/>
      <c r="AR58" s="295"/>
      <c r="AS58" s="295"/>
    </row>
    <row r="59" s="255" customFormat="1" customHeight="1" spans="1:45">
      <c r="A59" s="348">
        <v>46094</v>
      </c>
      <c r="B59" s="282" t="s">
        <v>592</v>
      </c>
      <c r="C59" s="280" t="s">
        <v>109</v>
      </c>
      <c r="D59" s="357"/>
      <c r="E59" s="282" t="s">
        <v>212</v>
      </c>
      <c r="F59" s="283" t="s">
        <v>215</v>
      </c>
      <c r="G59" s="283" t="s">
        <v>216</v>
      </c>
      <c r="H59" s="284">
        <v>3804</v>
      </c>
      <c r="I59" s="285">
        <v>6</v>
      </c>
      <c r="J59" s="286">
        <f t="shared" si="0"/>
        <v>634</v>
      </c>
      <c r="K59" s="280">
        <f>P59-7</f>
        <v>46162</v>
      </c>
      <c r="L59" s="298">
        <v>46168</v>
      </c>
      <c r="M59" s="280"/>
      <c r="N59" s="288"/>
      <c r="O59" s="280"/>
      <c r="P59" s="280">
        <v>46169</v>
      </c>
      <c r="Q59" s="122"/>
      <c r="R59" s="296"/>
      <c r="S59" s="287" t="s">
        <v>691</v>
      </c>
      <c r="T59" s="318" t="s">
        <v>925</v>
      </c>
      <c r="U59" s="281" t="s">
        <v>960</v>
      </c>
      <c r="V59" s="349" t="s">
        <v>896</v>
      </c>
      <c r="W59" s="349" t="s">
        <v>964</v>
      </c>
      <c r="X59" s="350" t="s">
        <v>965</v>
      </c>
      <c r="Y59" s="292">
        <v>2.913</v>
      </c>
      <c r="Z59" s="243">
        <f t="shared" si="1"/>
        <v>11081.05</v>
      </c>
      <c r="AA59" s="244">
        <f t="shared" si="2"/>
        <v>85878.14</v>
      </c>
      <c r="AB59" s="245" t="s">
        <v>963</v>
      </c>
      <c r="AC59" s="296" t="s">
        <v>415</v>
      </c>
      <c r="AD59" s="294" t="s">
        <v>416</v>
      </c>
      <c r="AE59" s="295" t="s">
        <v>424</v>
      </c>
      <c r="AF59" s="295" t="s">
        <v>425</v>
      </c>
      <c r="AG59" s="296">
        <f>3804</f>
        <v>3804</v>
      </c>
      <c r="AH59" s="289">
        <f t="shared" si="3"/>
        <v>0</v>
      </c>
      <c r="AI59" s="293">
        <v>46163</v>
      </c>
      <c r="AJ59" s="289">
        <f>AI59-L59</f>
        <v>-5</v>
      </c>
      <c r="AK59" s="296"/>
      <c r="AL59" s="296"/>
      <c r="AM59" s="295"/>
      <c r="AN59" s="295"/>
      <c r="AO59" s="295"/>
      <c r="AP59" s="295"/>
      <c r="AQ59" s="295"/>
      <c r="AR59" s="295"/>
      <c r="AS59" s="295"/>
    </row>
    <row r="60" s="255" customFormat="1" customHeight="1" spans="1:45">
      <c r="A60" s="280">
        <v>46057</v>
      </c>
      <c r="B60" s="281" t="s">
        <v>966</v>
      </c>
      <c r="C60" s="280" t="s">
        <v>152</v>
      </c>
      <c r="D60" s="282"/>
      <c r="E60" s="282" t="s">
        <v>153</v>
      </c>
      <c r="F60" s="283">
        <v>1226146</v>
      </c>
      <c r="G60" s="283" t="s">
        <v>154</v>
      </c>
      <c r="H60" s="284">
        <v>11760</v>
      </c>
      <c r="I60" s="285">
        <v>6</v>
      </c>
      <c r="J60" s="286">
        <f t="shared" si="0"/>
        <v>1960</v>
      </c>
      <c r="K60" s="280">
        <v>46174</v>
      </c>
      <c r="L60" s="298">
        <v>46174</v>
      </c>
      <c r="M60" s="280"/>
      <c r="N60" s="288"/>
      <c r="O60" s="280"/>
      <c r="P60" s="280">
        <v>46174</v>
      </c>
      <c r="Q60" s="144"/>
      <c r="R60" s="289"/>
      <c r="S60" s="287">
        <v>46142</v>
      </c>
      <c r="T60" s="290" t="s">
        <v>967</v>
      </c>
      <c r="U60" s="281" t="s">
        <v>968</v>
      </c>
      <c r="V60" s="291" t="s">
        <v>969</v>
      </c>
      <c r="W60" s="291" t="s">
        <v>970</v>
      </c>
      <c r="X60" s="291" t="s">
        <v>971</v>
      </c>
      <c r="Y60" s="292">
        <v>2.57</v>
      </c>
      <c r="Z60" s="243">
        <f t="shared" si="1"/>
        <v>30223.2</v>
      </c>
      <c r="AA60" s="244">
        <f t="shared" si="2"/>
        <v>234229.8</v>
      </c>
      <c r="AB60" s="245" t="s">
        <v>972</v>
      </c>
      <c r="AC60" s="293" t="s">
        <v>415</v>
      </c>
      <c r="AD60" s="294" t="s">
        <v>416</v>
      </c>
      <c r="AE60" s="295" t="s">
        <v>436</v>
      </c>
      <c r="AF60" s="296" t="s">
        <v>425</v>
      </c>
      <c r="AG60" s="289">
        <f>528+1056+4224+528+5424</f>
        <v>11760</v>
      </c>
      <c r="AH60" s="289">
        <f t="shared" si="3"/>
        <v>0</v>
      </c>
      <c r="AI60" s="289"/>
      <c r="AJ60" s="289"/>
      <c r="AK60" s="289"/>
      <c r="AL60" s="289"/>
      <c r="AM60" s="290"/>
      <c r="AN60" s="290"/>
      <c r="AO60" s="290"/>
      <c r="AP60" s="290"/>
      <c r="AQ60" s="290"/>
      <c r="AR60" s="290"/>
      <c r="AS60" s="290"/>
    </row>
    <row r="61" s="255" customFormat="1" customHeight="1" spans="1:45">
      <c r="A61" s="280">
        <v>46057</v>
      </c>
      <c r="B61" s="281" t="s">
        <v>973</v>
      </c>
      <c r="C61" s="280" t="s">
        <v>974</v>
      </c>
      <c r="D61" s="282"/>
      <c r="E61" s="282" t="s">
        <v>156</v>
      </c>
      <c r="F61" s="283">
        <v>1422110</v>
      </c>
      <c r="G61" s="283" t="s">
        <v>157</v>
      </c>
      <c r="H61" s="284">
        <v>4002</v>
      </c>
      <c r="I61" s="285">
        <v>6</v>
      </c>
      <c r="J61" s="286">
        <f t="shared" si="0"/>
        <v>667</v>
      </c>
      <c r="K61" s="280">
        <v>46167</v>
      </c>
      <c r="L61" s="306">
        <v>46185</v>
      </c>
      <c r="M61" s="280"/>
      <c r="N61" s="288"/>
      <c r="O61" s="280"/>
      <c r="P61" s="280">
        <v>46167</v>
      </c>
      <c r="Q61" s="122"/>
      <c r="R61" s="289"/>
      <c r="S61" s="287">
        <v>46137</v>
      </c>
      <c r="T61" s="318" t="s">
        <v>975</v>
      </c>
      <c r="U61" s="281" t="s">
        <v>976</v>
      </c>
      <c r="V61" s="291" t="s">
        <v>913</v>
      </c>
      <c r="W61" s="291" t="s">
        <v>977</v>
      </c>
      <c r="X61" s="291" t="s">
        <v>978</v>
      </c>
      <c r="Y61" s="292">
        <v>3.977</v>
      </c>
      <c r="Z61" s="243">
        <f t="shared" si="1"/>
        <v>15915.95</v>
      </c>
      <c r="AA61" s="244">
        <f t="shared" si="2"/>
        <v>123348.61</v>
      </c>
      <c r="AB61" s="245" t="s">
        <v>979</v>
      </c>
      <c r="AC61" s="293" t="s">
        <v>415</v>
      </c>
      <c r="AD61" s="294" t="s">
        <v>416</v>
      </c>
      <c r="AE61" s="295" t="s">
        <v>424</v>
      </c>
      <c r="AF61" s="295" t="s">
        <v>425</v>
      </c>
      <c r="AG61" s="289">
        <f>3948+54</f>
        <v>4002</v>
      </c>
      <c r="AH61" s="289">
        <f t="shared" si="3"/>
        <v>0</v>
      </c>
      <c r="AI61" s="289"/>
      <c r="AJ61" s="289"/>
      <c r="AK61" s="289"/>
      <c r="AL61" s="289"/>
      <c r="AM61" s="290"/>
      <c r="AN61" s="290"/>
      <c r="AO61" s="290"/>
      <c r="AP61" s="290"/>
      <c r="AQ61" s="290"/>
      <c r="AR61" s="290"/>
      <c r="AS61" s="290"/>
    </row>
    <row r="62" s="255" customFormat="1" customHeight="1" spans="1:45">
      <c r="A62" s="280">
        <v>46135</v>
      </c>
      <c r="B62" s="281" t="s">
        <v>973</v>
      </c>
      <c r="C62" s="280" t="s">
        <v>273</v>
      </c>
      <c r="D62" s="282"/>
      <c r="E62" s="282" t="s">
        <v>156</v>
      </c>
      <c r="F62" s="283">
        <v>5426155</v>
      </c>
      <c r="G62" s="283" t="s">
        <v>159</v>
      </c>
      <c r="H62" s="284">
        <v>1002</v>
      </c>
      <c r="I62" s="285">
        <v>6</v>
      </c>
      <c r="J62" s="286">
        <f t="shared" si="0"/>
        <v>167</v>
      </c>
      <c r="K62" s="280">
        <v>46167</v>
      </c>
      <c r="L62" s="306">
        <v>46185</v>
      </c>
      <c r="M62" s="280"/>
      <c r="N62" s="288"/>
      <c r="O62" s="280"/>
      <c r="P62" s="280">
        <v>46167</v>
      </c>
      <c r="Q62" s="122"/>
      <c r="R62" s="289"/>
      <c r="S62" s="287">
        <v>46142</v>
      </c>
      <c r="T62" s="318" t="s">
        <v>980</v>
      </c>
      <c r="U62" s="281" t="s">
        <v>976</v>
      </c>
      <c r="V62" s="311" t="s">
        <v>981</v>
      </c>
      <c r="W62" s="291" t="s">
        <v>982</v>
      </c>
      <c r="X62" s="291" t="s">
        <v>978</v>
      </c>
      <c r="Y62" s="292">
        <v>3.977</v>
      </c>
      <c r="Z62" s="243">
        <f t="shared" si="1"/>
        <v>3984.95</v>
      </c>
      <c r="AA62" s="244">
        <f t="shared" si="2"/>
        <v>30883.36</v>
      </c>
      <c r="AB62" s="245" t="s">
        <v>979</v>
      </c>
      <c r="AC62" s="293" t="s">
        <v>415</v>
      </c>
      <c r="AD62" s="294"/>
      <c r="AE62" s="295" t="s">
        <v>424</v>
      </c>
      <c r="AF62" s="295" t="s">
        <v>425</v>
      </c>
      <c r="AG62" s="289">
        <v>1002</v>
      </c>
      <c r="AH62" s="289">
        <f t="shared" si="3"/>
        <v>0</v>
      </c>
      <c r="AI62" s="289"/>
      <c r="AJ62" s="289"/>
      <c r="AK62" s="289"/>
      <c r="AL62" s="289"/>
      <c r="AM62" s="290"/>
      <c r="AN62" s="290"/>
      <c r="AO62" s="290"/>
      <c r="AP62" s="290"/>
      <c r="AQ62" s="290"/>
      <c r="AR62" s="290"/>
      <c r="AS62" s="290"/>
    </row>
    <row r="63" s="255" customFormat="1" customHeight="1" spans="1:45">
      <c r="A63" s="348">
        <v>46115</v>
      </c>
      <c r="B63" s="353" t="s">
        <v>532</v>
      </c>
      <c r="C63" s="280" t="s">
        <v>88</v>
      </c>
      <c r="D63" s="282"/>
      <c r="E63" s="282" t="s">
        <v>260</v>
      </c>
      <c r="F63" s="283">
        <v>1025110</v>
      </c>
      <c r="G63" s="283" t="s">
        <v>261</v>
      </c>
      <c r="H63" s="284">
        <v>3000</v>
      </c>
      <c r="I63" s="285">
        <v>6</v>
      </c>
      <c r="J63" s="286">
        <f t="shared" si="0"/>
        <v>500</v>
      </c>
      <c r="K63" s="280">
        <f>P63-7</f>
        <v>46183</v>
      </c>
      <c r="L63" s="306">
        <v>46188</v>
      </c>
      <c r="M63" s="280"/>
      <c r="N63" s="288"/>
      <c r="O63" s="280"/>
      <c r="P63" s="280">
        <v>46190</v>
      </c>
      <c r="Q63" s="122"/>
      <c r="R63" s="296"/>
      <c r="S63" s="349" t="s">
        <v>459</v>
      </c>
      <c r="T63" s="295" t="s">
        <v>929</v>
      </c>
      <c r="U63" s="295" t="s">
        <v>461</v>
      </c>
      <c r="V63" s="349" t="s">
        <v>462</v>
      </c>
      <c r="W63" s="349" t="s">
        <v>983</v>
      </c>
      <c r="X63" s="350" t="s">
        <v>984</v>
      </c>
      <c r="Y63" s="292">
        <v>3.06</v>
      </c>
      <c r="Z63" s="243">
        <f t="shared" si="1"/>
        <v>9180</v>
      </c>
      <c r="AA63" s="244">
        <f t="shared" si="2"/>
        <v>71145</v>
      </c>
      <c r="AB63" s="245" t="s">
        <v>985</v>
      </c>
      <c r="AC63" s="296" t="s">
        <v>415</v>
      </c>
      <c r="AD63" s="294" t="s">
        <v>416</v>
      </c>
      <c r="AE63" s="295" t="s">
        <v>424</v>
      </c>
      <c r="AF63" s="296" t="s">
        <v>425</v>
      </c>
      <c r="AG63" s="296">
        <f>2988+12</f>
        <v>3000</v>
      </c>
      <c r="AH63" s="289">
        <f t="shared" si="3"/>
        <v>0</v>
      </c>
      <c r="AI63" s="289"/>
      <c r="AJ63" s="289"/>
      <c r="AK63" s="296"/>
      <c r="AL63" s="293"/>
      <c r="AM63" s="293">
        <v>46186</v>
      </c>
      <c r="AN63" s="295"/>
      <c r="AO63" s="295"/>
      <c r="AP63" s="295"/>
      <c r="AQ63" s="295"/>
      <c r="AR63" s="295"/>
      <c r="AS63" s="295"/>
    </row>
    <row r="64" s="255" customFormat="1" customHeight="1" spans="1:45">
      <c r="A64" s="348">
        <v>46115</v>
      </c>
      <c r="B64" s="353" t="s">
        <v>532</v>
      </c>
      <c r="C64" s="280" t="s">
        <v>88</v>
      </c>
      <c r="D64" s="282"/>
      <c r="E64" s="282" t="s">
        <v>262</v>
      </c>
      <c r="F64" s="283">
        <v>1026107</v>
      </c>
      <c r="G64" s="283" t="s">
        <v>136</v>
      </c>
      <c r="H64" s="284">
        <v>3996</v>
      </c>
      <c r="I64" s="285">
        <v>6</v>
      </c>
      <c r="J64" s="286">
        <f t="shared" si="0"/>
        <v>666</v>
      </c>
      <c r="K64" s="280">
        <f>P64-7</f>
        <v>46183</v>
      </c>
      <c r="L64" s="298">
        <v>46188</v>
      </c>
      <c r="M64" s="280"/>
      <c r="N64" s="288"/>
      <c r="O64" s="280"/>
      <c r="P64" s="280">
        <v>46190</v>
      </c>
      <c r="Q64" s="144"/>
      <c r="R64" s="296"/>
      <c r="S64" s="349" t="s">
        <v>459</v>
      </c>
      <c r="T64" s="295" t="s">
        <v>460</v>
      </c>
      <c r="U64" s="295" t="s">
        <v>461</v>
      </c>
      <c r="V64" s="349" t="s">
        <v>462</v>
      </c>
      <c r="W64" s="349" t="s">
        <v>463</v>
      </c>
      <c r="X64" s="350" t="s">
        <v>922</v>
      </c>
      <c r="Y64" s="292">
        <v>3.912</v>
      </c>
      <c r="Z64" s="243">
        <f t="shared" si="1"/>
        <v>15632.35</v>
      </c>
      <c r="AA64" s="244">
        <f t="shared" si="2"/>
        <v>121150.71</v>
      </c>
      <c r="AB64" s="245" t="s">
        <v>985</v>
      </c>
      <c r="AC64" s="296" t="s">
        <v>415</v>
      </c>
      <c r="AD64" s="294" t="s">
        <v>416</v>
      </c>
      <c r="AE64" s="295" t="s">
        <v>436</v>
      </c>
      <c r="AF64" s="295" t="s">
        <v>425</v>
      </c>
      <c r="AG64" s="296">
        <f>1008+2772+216</f>
        <v>3996</v>
      </c>
      <c r="AH64" s="289">
        <f t="shared" si="3"/>
        <v>0</v>
      </c>
      <c r="AI64" s="289"/>
      <c r="AJ64" s="289"/>
      <c r="AK64" s="296"/>
      <c r="AL64" s="296"/>
      <c r="AM64" s="295"/>
      <c r="AN64" s="295"/>
      <c r="AO64" s="295"/>
      <c r="AP64" s="295"/>
      <c r="AQ64" s="295"/>
      <c r="AR64" s="295"/>
      <c r="AS64" s="295"/>
    </row>
    <row r="65" s="255" customFormat="1" customHeight="1" spans="1:45">
      <c r="A65" s="280" t="s">
        <v>986</v>
      </c>
      <c r="B65" s="281" t="s">
        <v>617</v>
      </c>
      <c r="C65" s="280" t="s">
        <v>120</v>
      </c>
      <c r="D65" s="282"/>
      <c r="E65" s="282" t="s">
        <v>168</v>
      </c>
      <c r="F65" s="283">
        <v>1126146</v>
      </c>
      <c r="G65" s="283" t="s">
        <v>169</v>
      </c>
      <c r="H65" s="284">
        <v>2400</v>
      </c>
      <c r="I65" s="285">
        <v>6</v>
      </c>
      <c r="J65" s="286">
        <v>400</v>
      </c>
      <c r="K65" s="280" t="s">
        <v>987</v>
      </c>
      <c r="L65" s="298">
        <v>46199</v>
      </c>
      <c r="M65" s="280"/>
      <c r="N65" s="288"/>
      <c r="O65" s="280">
        <v>46204</v>
      </c>
      <c r="P65" s="280" t="s">
        <v>988</v>
      </c>
      <c r="Q65" s="144"/>
      <c r="R65" s="289"/>
      <c r="S65" s="287" t="s">
        <v>691</v>
      </c>
      <c r="T65" s="290" t="s">
        <v>989</v>
      </c>
      <c r="U65" s="281" t="s">
        <v>990</v>
      </c>
      <c r="V65" s="291" t="s">
        <v>901</v>
      </c>
      <c r="W65" s="291" t="s">
        <v>952</v>
      </c>
      <c r="X65" s="291" t="s">
        <v>991</v>
      </c>
      <c r="Y65" s="292">
        <v>2.57</v>
      </c>
      <c r="Z65" s="243">
        <v>6168</v>
      </c>
      <c r="AA65" s="244">
        <v>47802</v>
      </c>
      <c r="AB65" s="245" t="s">
        <v>992</v>
      </c>
      <c r="AC65" s="293" t="s">
        <v>415</v>
      </c>
      <c r="AD65" s="294" t="s">
        <v>416</v>
      </c>
      <c r="AE65" s="295" t="s">
        <v>436</v>
      </c>
      <c r="AF65" s="296" t="s">
        <v>425</v>
      </c>
      <c r="AG65" s="289">
        <v>2400</v>
      </c>
      <c r="AH65" s="289">
        <v>0</v>
      </c>
      <c r="AI65" s="293">
        <v>46191</v>
      </c>
      <c r="AJ65" s="289"/>
      <c r="AK65" s="289"/>
      <c r="AL65" s="289"/>
      <c r="AM65" s="290"/>
      <c r="AN65" s="290"/>
      <c r="AO65" s="290"/>
      <c r="AP65" s="290"/>
      <c r="AQ65" s="290"/>
      <c r="AR65" s="358"/>
      <c r="AS65" s="358"/>
    </row>
    <row r="66" s="255" customFormat="1" customHeight="1" spans="1:45">
      <c r="A66" s="280" t="s">
        <v>986</v>
      </c>
      <c r="B66" s="281" t="s">
        <v>617</v>
      </c>
      <c r="C66" s="280" t="s">
        <v>120</v>
      </c>
      <c r="D66" s="282"/>
      <c r="E66" s="282" t="s">
        <v>168</v>
      </c>
      <c r="F66" s="283">
        <v>1126168</v>
      </c>
      <c r="G66" s="283" t="s">
        <v>65</v>
      </c>
      <c r="H66" s="284">
        <v>2400</v>
      </c>
      <c r="I66" s="285">
        <v>6</v>
      </c>
      <c r="J66" s="286">
        <v>400</v>
      </c>
      <c r="K66" s="280" t="s">
        <v>988</v>
      </c>
      <c r="L66" s="298">
        <v>46199</v>
      </c>
      <c r="M66" s="280"/>
      <c r="N66" s="288"/>
      <c r="O66" s="280">
        <v>46204</v>
      </c>
      <c r="P66" s="280" t="s">
        <v>988</v>
      </c>
      <c r="Q66" s="144"/>
      <c r="R66" s="289"/>
      <c r="S66" s="287">
        <v>46155</v>
      </c>
      <c r="T66" s="290" t="s">
        <v>993</v>
      </c>
      <c r="U66" s="281" t="s">
        <v>990</v>
      </c>
      <c r="V66" s="291" t="s">
        <v>901</v>
      </c>
      <c r="W66" s="291" t="s">
        <v>994</v>
      </c>
      <c r="X66" s="291" t="s">
        <v>991</v>
      </c>
      <c r="Y66" s="292">
        <v>3.392</v>
      </c>
      <c r="Z66" s="243">
        <v>8140.8</v>
      </c>
      <c r="AA66" s="244">
        <v>63091.2</v>
      </c>
      <c r="AB66" s="245" t="s">
        <v>992</v>
      </c>
      <c r="AC66" s="293" t="s">
        <v>415</v>
      </c>
      <c r="AD66" s="294" t="s">
        <v>416</v>
      </c>
      <c r="AE66" s="295" t="s">
        <v>417</v>
      </c>
      <c r="AF66" s="296"/>
      <c r="AG66" s="289"/>
      <c r="AH66" s="289">
        <v>-2400</v>
      </c>
      <c r="AI66" s="289"/>
      <c r="AJ66" s="289"/>
      <c r="AK66" s="289"/>
      <c r="AL66" s="289"/>
      <c r="AM66" s="290"/>
      <c r="AN66" s="290"/>
      <c r="AO66" s="290"/>
      <c r="AP66" s="290"/>
      <c r="AQ66" s="290"/>
      <c r="AR66" s="358"/>
      <c r="AS66" s="358"/>
    </row>
    <row r="67" s="255" customFormat="1" customHeight="1" spans="1:45">
      <c r="A67" s="348">
        <v>46098</v>
      </c>
      <c r="B67" s="282" t="s">
        <v>486</v>
      </c>
      <c r="C67" s="280" t="s">
        <v>218</v>
      </c>
      <c r="D67" s="282"/>
      <c r="E67" s="282" t="s">
        <v>219</v>
      </c>
      <c r="F67" s="283" t="s">
        <v>226</v>
      </c>
      <c r="G67" s="283" t="s">
        <v>205</v>
      </c>
      <c r="H67" s="284">
        <v>4200</v>
      </c>
      <c r="I67" s="285">
        <v>6</v>
      </c>
      <c r="J67" s="286">
        <v>700</v>
      </c>
      <c r="K67" s="280">
        <v>46196</v>
      </c>
      <c r="L67" s="298" t="s">
        <v>995</v>
      </c>
      <c r="M67" s="280"/>
      <c r="N67" s="288"/>
      <c r="O67" s="359">
        <v>46203</v>
      </c>
      <c r="P67" s="280">
        <v>46183</v>
      </c>
      <c r="Q67" s="280"/>
      <c r="R67" s="296"/>
      <c r="S67" s="287">
        <v>46168</v>
      </c>
      <c r="T67" s="290" t="s">
        <v>996</v>
      </c>
      <c r="U67" s="281" t="s">
        <v>997</v>
      </c>
      <c r="V67" s="349" t="s">
        <v>727</v>
      </c>
      <c r="W67" s="349" t="s">
        <v>615</v>
      </c>
      <c r="X67" s="350" t="s">
        <v>998</v>
      </c>
      <c r="Y67" s="292">
        <v>2.587</v>
      </c>
      <c r="Z67" s="243">
        <v>10865.4</v>
      </c>
      <c r="AA67" s="244">
        <v>84206.85</v>
      </c>
      <c r="AB67" s="245" t="s">
        <v>999</v>
      </c>
      <c r="AC67" s="296" t="s">
        <v>415</v>
      </c>
      <c r="AD67" s="294" t="s">
        <v>416</v>
      </c>
      <c r="AE67" s="295" t="s">
        <v>417</v>
      </c>
      <c r="AF67" s="296"/>
      <c r="AG67" s="296"/>
      <c r="AH67" s="289">
        <v>-4200</v>
      </c>
      <c r="AI67" s="295"/>
      <c r="AJ67" s="295"/>
      <c r="AK67" s="295"/>
      <c r="AL67" s="295"/>
      <c r="AM67" s="295"/>
      <c r="AN67" s="295"/>
      <c r="AO67" s="295"/>
    </row>
    <row r="68" s="255" customFormat="1" customHeight="1" spans="1:45">
      <c r="A68" s="348">
        <v>46098</v>
      </c>
      <c r="B68" s="282" t="s">
        <v>486</v>
      </c>
      <c r="C68" s="280" t="s">
        <v>218</v>
      </c>
      <c r="D68" s="282"/>
      <c r="E68" s="282" t="s">
        <v>219</v>
      </c>
      <c r="F68" s="283" t="s">
        <v>224</v>
      </c>
      <c r="G68" s="283" t="s">
        <v>225</v>
      </c>
      <c r="H68" s="284">
        <v>5100</v>
      </c>
      <c r="I68" s="285">
        <v>6</v>
      </c>
      <c r="J68" s="286">
        <v>850</v>
      </c>
      <c r="K68" s="280">
        <v>46197</v>
      </c>
      <c r="L68" s="306" t="s">
        <v>1000</v>
      </c>
      <c r="M68" s="280"/>
      <c r="N68" s="288"/>
      <c r="O68" s="360">
        <v>46203</v>
      </c>
      <c r="P68" s="280">
        <v>46183</v>
      </c>
      <c r="Q68" s="280"/>
      <c r="R68" s="296"/>
      <c r="S68" s="309">
        <v>46155</v>
      </c>
      <c r="T68" s="290" t="s">
        <v>501</v>
      </c>
      <c r="U68" s="281" t="s">
        <v>997</v>
      </c>
      <c r="V68" s="349" t="s">
        <v>727</v>
      </c>
      <c r="W68" s="349" t="s">
        <v>1001</v>
      </c>
      <c r="X68" s="350" t="s">
        <v>998</v>
      </c>
      <c r="Y68" s="292">
        <v>3.396</v>
      </c>
      <c r="Z68" s="243">
        <v>17319.6</v>
      </c>
      <c r="AA68" s="244">
        <v>134226.9</v>
      </c>
      <c r="AB68" s="245" t="s">
        <v>999</v>
      </c>
      <c r="AC68" s="296" t="s">
        <v>415</v>
      </c>
      <c r="AD68" s="294" t="s">
        <v>416</v>
      </c>
      <c r="AE68" s="295" t="s">
        <v>436</v>
      </c>
      <c r="AF68" s="296" t="s">
        <v>425</v>
      </c>
      <c r="AG68" s="296">
        <v>5100</v>
      </c>
      <c r="AH68" s="289">
        <v>0</v>
      </c>
      <c r="AI68" s="294">
        <v>46197</v>
      </c>
      <c r="AJ68" s="295"/>
      <c r="AK68" s="295"/>
      <c r="AL68" s="295"/>
      <c r="AM68" s="295"/>
      <c r="AN68" s="295"/>
      <c r="AO68" s="295"/>
    </row>
    <row r="69" s="255" customFormat="1" customHeight="1" spans="1:45">
      <c r="A69" s="348">
        <v>46104</v>
      </c>
      <c r="B69" s="353" t="s">
        <v>1002</v>
      </c>
      <c r="C69" s="280" t="s">
        <v>102</v>
      </c>
      <c r="D69" s="282"/>
      <c r="E69" s="282" t="s">
        <v>233</v>
      </c>
      <c r="F69" s="283">
        <v>3826146</v>
      </c>
      <c r="G69" s="283" t="s">
        <v>234</v>
      </c>
      <c r="H69" s="284">
        <v>13680</v>
      </c>
      <c r="I69" s="285">
        <v>6</v>
      </c>
      <c r="J69" s="286">
        <v>2280</v>
      </c>
      <c r="K69" s="280">
        <v>46182</v>
      </c>
      <c r="L69" s="298">
        <v>46195</v>
      </c>
      <c r="M69" s="280"/>
      <c r="N69" s="288"/>
      <c r="O69" s="359">
        <v>46206</v>
      </c>
      <c r="P69" s="280">
        <v>46189</v>
      </c>
      <c r="Q69" s="280"/>
      <c r="R69" s="296"/>
      <c r="S69" s="287">
        <v>46142</v>
      </c>
      <c r="T69" s="290" t="s">
        <v>1003</v>
      </c>
      <c r="U69" s="281" t="s">
        <v>461</v>
      </c>
      <c r="V69" s="291" t="s">
        <v>1004</v>
      </c>
      <c r="W69" s="349" t="s">
        <v>1005</v>
      </c>
      <c r="X69" s="350" t="s">
        <v>734</v>
      </c>
      <c r="Y69" s="292">
        <v>2.59</v>
      </c>
      <c r="Z69" s="243">
        <v>35431.2</v>
      </c>
      <c r="AA69" s="244">
        <v>274591.8</v>
      </c>
      <c r="AB69" s="245" t="s">
        <v>1006</v>
      </c>
      <c r="AC69" s="293" t="s">
        <v>415</v>
      </c>
      <c r="AD69" s="294" t="s">
        <v>416</v>
      </c>
      <c r="AE69" s="295" t="s">
        <v>436</v>
      </c>
      <c r="AF69" s="296" t="s">
        <v>425</v>
      </c>
      <c r="AG69" s="296">
        <v>13680</v>
      </c>
      <c r="AH69" s="289">
        <v>0</v>
      </c>
      <c r="AI69" s="294">
        <v>46196</v>
      </c>
      <c r="AJ69" s="295"/>
      <c r="AK69" s="295"/>
      <c r="AL69" s="295"/>
      <c r="AM69" s="295"/>
      <c r="AN69" s="295"/>
      <c r="AO69" s="295"/>
    </row>
    <row r="70" s="255" customFormat="1" customHeight="1" spans="1:45">
      <c r="A70" s="361">
        <v>46098</v>
      </c>
      <c r="B70" s="362" t="s">
        <v>486</v>
      </c>
      <c r="C70" s="363" t="s">
        <v>218</v>
      </c>
      <c r="D70" s="362"/>
      <c r="E70" s="362" t="s">
        <v>219</v>
      </c>
      <c r="F70" s="364" t="s">
        <v>220</v>
      </c>
      <c r="G70" s="364" t="s">
        <v>193</v>
      </c>
      <c r="H70" s="365">
        <v>5460</v>
      </c>
      <c r="I70" s="366">
        <v>6</v>
      </c>
      <c r="J70" s="367">
        <f t="shared" ref="J70:J80" si="4">H70/I70</f>
        <v>910</v>
      </c>
      <c r="K70" s="363">
        <f t="shared" ref="K70:K74" si="5">P70-7</f>
        <v>46176</v>
      </c>
      <c r="L70" s="368" t="s">
        <v>995</v>
      </c>
      <c r="M70" s="363"/>
      <c r="N70" s="369"/>
      <c r="O70" s="359">
        <v>46204</v>
      </c>
      <c r="P70" s="363">
        <v>46183</v>
      </c>
      <c r="Q70" s="370"/>
      <c r="R70" s="371"/>
      <c r="S70" s="360">
        <v>46142</v>
      </c>
      <c r="T70" s="372" t="s">
        <v>501</v>
      </c>
      <c r="U70" s="373" t="s">
        <v>997</v>
      </c>
      <c r="V70" s="374" t="s">
        <v>727</v>
      </c>
      <c r="W70" s="374" t="s">
        <v>1007</v>
      </c>
      <c r="X70" s="375" t="s">
        <v>998</v>
      </c>
      <c r="Y70" s="376">
        <v>2.603</v>
      </c>
      <c r="Z70" s="377">
        <f t="shared" ref="Z70:Z80" si="6">H70*Y70</f>
        <v>14212.38</v>
      </c>
      <c r="AA70" s="378">
        <f t="shared" ref="AA70:AA80" si="7">Z70*7.75</f>
        <v>110145.95</v>
      </c>
      <c r="AB70" s="245" t="s">
        <v>1008</v>
      </c>
      <c r="AC70" s="379" t="s">
        <v>415</v>
      </c>
      <c r="AD70" s="380" t="s">
        <v>416</v>
      </c>
      <c r="AE70" s="381" t="s">
        <v>436</v>
      </c>
      <c r="AF70" s="379" t="s">
        <v>425</v>
      </c>
      <c r="AG70" s="371">
        <f>528+3168+1764</f>
        <v>5460</v>
      </c>
      <c r="AH70" s="289">
        <f t="shared" ref="AH70:AH80" si="8">AG70-H70</f>
        <v>0</v>
      </c>
      <c r="AI70" s="382"/>
      <c r="AJ70" s="382"/>
      <c r="AK70" s="383"/>
      <c r="AL70" s="383"/>
      <c r="AM70" s="381"/>
      <c r="AN70" s="381"/>
      <c r="AO70" s="381"/>
      <c r="AP70" s="381"/>
      <c r="AQ70" s="318"/>
      <c r="AR70" s="318"/>
      <c r="AS70" s="318"/>
    </row>
    <row r="71" s="255" customFormat="1" customHeight="1" spans="1:45">
      <c r="A71" s="280">
        <v>46091</v>
      </c>
      <c r="B71" s="281" t="s">
        <v>486</v>
      </c>
      <c r="C71" s="280" t="s">
        <v>109</v>
      </c>
      <c r="D71" s="282"/>
      <c r="E71" s="282" t="s">
        <v>200</v>
      </c>
      <c r="F71" s="283" t="s">
        <v>201</v>
      </c>
      <c r="G71" s="283" t="s">
        <v>202</v>
      </c>
      <c r="H71" s="351">
        <v>10800</v>
      </c>
      <c r="I71" s="285">
        <v>6</v>
      </c>
      <c r="J71" s="286">
        <f t="shared" si="4"/>
        <v>1800</v>
      </c>
      <c r="K71" s="280">
        <v>46197</v>
      </c>
      <c r="L71" s="384" t="s">
        <v>1009</v>
      </c>
      <c r="M71" s="280"/>
      <c r="N71" s="288"/>
      <c r="O71" s="360">
        <v>46203</v>
      </c>
      <c r="P71" s="280">
        <v>46188</v>
      </c>
      <c r="Q71" s="280"/>
      <c r="R71" s="289"/>
      <c r="S71" s="287">
        <v>46155</v>
      </c>
      <c r="T71" s="290" t="s">
        <v>1010</v>
      </c>
      <c r="U71" s="300" t="s">
        <v>906</v>
      </c>
      <c r="V71" s="352" t="s">
        <v>727</v>
      </c>
      <c r="W71" s="291" t="s">
        <v>994</v>
      </c>
      <c r="X71" s="291" t="s">
        <v>908</v>
      </c>
      <c r="Y71" s="292">
        <v>3.396</v>
      </c>
      <c r="Z71" s="243">
        <f t="shared" si="6"/>
        <v>36676.8</v>
      </c>
      <c r="AA71" s="244">
        <f t="shared" si="7"/>
        <v>284245.2</v>
      </c>
      <c r="AB71" s="245" t="s">
        <v>1011</v>
      </c>
      <c r="AC71" s="293" t="s">
        <v>415</v>
      </c>
      <c r="AD71" s="294" t="s">
        <v>416</v>
      </c>
      <c r="AE71" s="295" t="s">
        <v>417</v>
      </c>
      <c r="AF71" s="296"/>
      <c r="AG71" s="289"/>
      <c r="AH71" s="289">
        <f t="shared" si="8"/>
        <v>-10800</v>
      </c>
      <c r="AI71" s="130"/>
      <c r="AJ71" s="130"/>
      <c r="AK71" s="130"/>
      <c r="AL71" s="130"/>
      <c r="AM71" s="290"/>
      <c r="AN71" s="290"/>
      <c r="AO71" s="290"/>
      <c r="AP71" s="290"/>
      <c r="AQ71" s="290"/>
      <c r="AR71" s="290"/>
      <c r="AS71" s="290"/>
    </row>
    <row r="72" s="255" customFormat="1" customHeight="1" spans="1:45">
      <c r="A72" s="348">
        <v>46104</v>
      </c>
      <c r="B72" s="353" t="s">
        <v>1002</v>
      </c>
      <c r="C72" s="280" t="s">
        <v>102</v>
      </c>
      <c r="D72" s="256"/>
      <c r="E72" s="282" t="s">
        <v>233</v>
      </c>
      <c r="F72" s="283">
        <v>3826168</v>
      </c>
      <c r="G72" s="283" t="s">
        <v>235</v>
      </c>
      <c r="H72" s="284">
        <v>4680</v>
      </c>
      <c r="I72" s="285">
        <v>6</v>
      </c>
      <c r="J72" s="286">
        <f t="shared" si="4"/>
        <v>780</v>
      </c>
      <c r="K72" s="280">
        <v>46202</v>
      </c>
      <c r="L72" s="306">
        <v>46203</v>
      </c>
      <c r="M72" s="280"/>
      <c r="N72" s="288"/>
      <c r="O72" s="359">
        <v>46206</v>
      </c>
      <c r="P72" s="280">
        <v>46189</v>
      </c>
      <c r="Q72" s="280"/>
      <c r="R72" s="296"/>
      <c r="S72" s="287">
        <v>46152</v>
      </c>
      <c r="T72" s="290" t="s">
        <v>431</v>
      </c>
      <c r="U72" s="300" t="s">
        <v>461</v>
      </c>
      <c r="V72" s="311" t="s">
        <v>1004</v>
      </c>
      <c r="W72" s="349" t="s">
        <v>1012</v>
      </c>
      <c r="X72" s="350" t="s">
        <v>734</v>
      </c>
      <c r="Y72" s="292">
        <v>3.382</v>
      </c>
      <c r="Z72" s="243">
        <f t="shared" si="6"/>
        <v>15827.76</v>
      </c>
      <c r="AA72" s="244">
        <f t="shared" si="7"/>
        <v>122665.14</v>
      </c>
      <c r="AB72" s="245" t="s">
        <v>1013</v>
      </c>
      <c r="AC72" s="296" t="s">
        <v>415</v>
      </c>
      <c r="AD72" s="294" t="s">
        <v>416</v>
      </c>
      <c r="AE72" s="295" t="s">
        <v>436</v>
      </c>
      <c r="AF72" s="296" t="s">
        <v>425</v>
      </c>
      <c r="AG72" s="296">
        <f>1008+1512+1374+714+72</f>
        <v>4680</v>
      </c>
      <c r="AH72" s="289">
        <f t="shared" si="8"/>
        <v>0</v>
      </c>
      <c r="AI72" s="130"/>
      <c r="AJ72" s="130"/>
      <c r="AK72" s="141"/>
      <c r="AL72" s="141"/>
      <c r="AM72" s="294">
        <v>46202</v>
      </c>
      <c r="AN72" s="295"/>
      <c r="AO72" s="295"/>
      <c r="AP72" s="295"/>
      <c r="AQ72" s="295"/>
      <c r="AR72" s="295"/>
      <c r="AS72" s="295"/>
    </row>
    <row r="73" s="255" customFormat="1" customHeight="1" spans="1:45">
      <c r="A73" s="348">
        <v>46125</v>
      </c>
      <c r="B73" s="282" t="s">
        <v>933</v>
      </c>
      <c r="C73" s="280" t="s">
        <v>109</v>
      </c>
      <c r="D73" s="282"/>
      <c r="E73" s="282" t="s">
        <v>272</v>
      </c>
      <c r="F73" s="283">
        <v>1125087</v>
      </c>
      <c r="G73" s="283" t="s">
        <v>228</v>
      </c>
      <c r="H73" s="284">
        <v>3312</v>
      </c>
      <c r="I73" s="285">
        <v>12</v>
      </c>
      <c r="J73" s="286">
        <f t="shared" si="4"/>
        <v>276</v>
      </c>
      <c r="K73" s="280">
        <f t="shared" si="5"/>
        <v>46183</v>
      </c>
      <c r="L73" s="298">
        <v>46197</v>
      </c>
      <c r="M73" s="280"/>
      <c r="N73" s="288"/>
      <c r="O73" s="359">
        <v>46205</v>
      </c>
      <c r="P73" s="280">
        <v>46190</v>
      </c>
      <c r="Q73" s="280"/>
      <c r="R73" s="296" t="s">
        <v>934</v>
      </c>
      <c r="S73" s="287" t="s">
        <v>910</v>
      </c>
      <c r="T73" s="295" t="s">
        <v>1014</v>
      </c>
      <c r="U73" s="281" t="s">
        <v>461</v>
      </c>
      <c r="V73" s="349" t="s">
        <v>1015</v>
      </c>
      <c r="W73" s="349" t="s">
        <v>1016</v>
      </c>
      <c r="X73" s="350" t="s">
        <v>1017</v>
      </c>
      <c r="Y73" s="292">
        <v>4.906</v>
      </c>
      <c r="Z73" s="243">
        <f t="shared" si="6"/>
        <v>16248.67</v>
      </c>
      <c r="AA73" s="244">
        <f t="shared" si="7"/>
        <v>125927.19</v>
      </c>
      <c r="AB73" s="245" t="s">
        <v>1018</v>
      </c>
      <c r="AC73" s="296" t="s">
        <v>415</v>
      </c>
      <c r="AD73" s="294" t="s">
        <v>416</v>
      </c>
      <c r="AE73" s="295" t="s">
        <v>417</v>
      </c>
      <c r="AF73" s="296"/>
      <c r="AG73" s="296"/>
      <c r="AH73" s="289">
        <f t="shared" si="8"/>
        <v>-3312</v>
      </c>
      <c r="AI73" s="130"/>
      <c r="AJ73" s="130"/>
      <c r="AK73" s="141"/>
      <c r="AL73" s="141"/>
      <c r="AM73" s="295"/>
      <c r="AN73" s="295"/>
      <c r="AO73" s="295"/>
      <c r="AP73" s="295"/>
      <c r="AQ73" s="295"/>
      <c r="AR73" s="295"/>
      <c r="AS73" s="295"/>
    </row>
    <row r="74" s="255" customFormat="1" customHeight="1" spans="1:45">
      <c r="A74" s="348">
        <v>46125</v>
      </c>
      <c r="B74" s="282" t="s">
        <v>933</v>
      </c>
      <c r="C74" s="280" t="s">
        <v>109</v>
      </c>
      <c r="D74" s="282"/>
      <c r="E74" s="282" t="s">
        <v>272</v>
      </c>
      <c r="F74" s="283">
        <v>1125087</v>
      </c>
      <c r="G74" s="283" t="s">
        <v>228</v>
      </c>
      <c r="H74" s="284">
        <v>2016</v>
      </c>
      <c r="I74" s="285">
        <v>12</v>
      </c>
      <c r="J74" s="286">
        <f t="shared" si="4"/>
        <v>168</v>
      </c>
      <c r="K74" s="280">
        <f t="shared" si="5"/>
        <v>46183</v>
      </c>
      <c r="L74" s="306">
        <v>46197</v>
      </c>
      <c r="M74" s="280"/>
      <c r="N74" s="288"/>
      <c r="O74" s="360">
        <v>46205</v>
      </c>
      <c r="P74" s="280">
        <v>46190</v>
      </c>
      <c r="Q74" s="280"/>
      <c r="R74" s="296" t="s">
        <v>934</v>
      </c>
      <c r="S74" s="309" t="s">
        <v>910</v>
      </c>
      <c r="T74" s="295" t="s">
        <v>1014</v>
      </c>
      <c r="U74" s="281" t="s">
        <v>461</v>
      </c>
      <c r="V74" s="349" t="s">
        <v>1015</v>
      </c>
      <c r="W74" s="349" t="s">
        <v>1019</v>
      </c>
      <c r="X74" s="350" t="s">
        <v>1017</v>
      </c>
      <c r="Y74" s="292">
        <v>4.906</v>
      </c>
      <c r="Z74" s="243">
        <f t="shared" si="6"/>
        <v>9890.5</v>
      </c>
      <c r="AA74" s="244">
        <f t="shared" si="7"/>
        <v>76651.38</v>
      </c>
      <c r="AB74" s="245" t="s">
        <v>1020</v>
      </c>
      <c r="AC74" s="296" t="s">
        <v>415</v>
      </c>
      <c r="AD74" s="294" t="s">
        <v>416</v>
      </c>
      <c r="AE74" s="295" t="s">
        <v>417</v>
      </c>
      <c r="AF74" s="296"/>
      <c r="AG74" s="296"/>
      <c r="AH74" s="289">
        <f t="shared" si="8"/>
        <v>-2016</v>
      </c>
      <c r="AI74" s="130"/>
      <c r="AJ74" s="130"/>
      <c r="AK74" s="141"/>
      <c r="AL74" s="141"/>
      <c r="AM74" s="295"/>
      <c r="AN74" s="295"/>
      <c r="AO74" s="295"/>
      <c r="AP74" s="295"/>
      <c r="AQ74" s="295"/>
      <c r="AR74" s="295"/>
      <c r="AS74" s="295"/>
    </row>
    <row r="75" s="255" customFormat="1" customHeight="1" spans="1:45">
      <c r="A75" s="280">
        <v>46080</v>
      </c>
      <c r="B75" s="281" t="s">
        <v>667</v>
      </c>
      <c r="C75" s="280" t="s">
        <v>141</v>
      </c>
      <c r="D75" s="385"/>
      <c r="E75" s="282" t="s">
        <v>179</v>
      </c>
      <c r="F75" s="283">
        <v>4522098</v>
      </c>
      <c r="G75" s="283" t="s">
        <v>18</v>
      </c>
      <c r="H75" s="284">
        <v>10320</v>
      </c>
      <c r="I75" s="285">
        <v>6</v>
      </c>
      <c r="J75" s="286">
        <f t="shared" si="4"/>
        <v>1720</v>
      </c>
      <c r="K75" s="280">
        <v>46202</v>
      </c>
      <c r="L75" s="306">
        <v>46205</v>
      </c>
      <c r="M75" s="280"/>
      <c r="N75" s="288"/>
      <c r="O75" s="359">
        <v>46210</v>
      </c>
      <c r="P75" s="280">
        <v>46203</v>
      </c>
      <c r="Q75" s="280"/>
      <c r="R75" s="289"/>
      <c r="S75" s="287">
        <v>46157</v>
      </c>
      <c r="T75" s="290" t="s">
        <v>1021</v>
      </c>
      <c r="U75" s="281" t="s">
        <v>1022</v>
      </c>
      <c r="V75" s="311" t="s">
        <v>446</v>
      </c>
      <c r="W75" s="291" t="s">
        <v>1023</v>
      </c>
      <c r="X75" s="291" t="s">
        <v>1024</v>
      </c>
      <c r="Y75" s="292">
        <v>3.699</v>
      </c>
      <c r="Z75" s="243">
        <f t="shared" si="6"/>
        <v>38173.68</v>
      </c>
      <c r="AA75" s="244">
        <f t="shared" si="7"/>
        <v>295846.02</v>
      </c>
      <c r="AB75" s="245" t="s">
        <v>1025</v>
      </c>
      <c r="AC75" s="293" t="s">
        <v>415</v>
      </c>
      <c r="AD75" s="294" t="s">
        <v>416</v>
      </c>
      <c r="AE75" s="295" t="s">
        <v>424</v>
      </c>
      <c r="AF75" s="295" t="s">
        <v>425</v>
      </c>
      <c r="AG75" s="289">
        <f>420+9822+78</f>
        <v>10320</v>
      </c>
      <c r="AH75" s="289">
        <f t="shared" si="8"/>
        <v>0</v>
      </c>
      <c r="AI75" s="130"/>
      <c r="AJ75" s="130"/>
      <c r="AK75" s="130"/>
      <c r="AL75" s="130"/>
      <c r="AM75" s="294">
        <v>46196</v>
      </c>
      <c r="AN75" s="290"/>
      <c r="AO75" s="290"/>
      <c r="AP75" s="290"/>
      <c r="AQ75" s="290"/>
      <c r="AR75" s="290"/>
      <c r="AS75" s="290"/>
    </row>
    <row r="76" s="255" customFormat="1" customHeight="1" spans="1:45">
      <c r="A76" s="280">
        <v>46057</v>
      </c>
      <c r="B76" s="281" t="s">
        <v>1026</v>
      </c>
      <c r="C76" s="280" t="s">
        <v>1027</v>
      </c>
      <c r="D76" s="282"/>
      <c r="E76" s="282" t="s">
        <v>158</v>
      </c>
      <c r="F76" s="283">
        <v>5426155</v>
      </c>
      <c r="G76" s="283" t="s">
        <v>159</v>
      </c>
      <c r="H76" s="284">
        <v>4002</v>
      </c>
      <c r="I76" s="285">
        <v>6</v>
      </c>
      <c r="J76" s="286">
        <f t="shared" si="4"/>
        <v>667</v>
      </c>
      <c r="K76" s="280">
        <v>46167</v>
      </c>
      <c r="L76" s="306">
        <v>46185</v>
      </c>
      <c r="M76" s="280"/>
      <c r="N76" s="288"/>
      <c r="O76" s="280"/>
      <c r="P76" s="280">
        <v>46167</v>
      </c>
      <c r="Q76" s="280"/>
      <c r="R76" s="289"/>
      <c r="S76" s="287">
        <v>46142</v>
      </c>
      <c r="T76" s="318" t="s">
        <v>975</v>
      </c>
      <c r="U76" s="281" t="s">
        <v>976</v>
      </c>
      <c r="V76" s="291" t="s">
        <v>981</v>
      </c>
      <c r="W76" s="291" t="s">
        <v>982</v>
      </c>
      <c r="X76" s="291" t="s">
        <v>978</v>
      </c>
      <c r="Y76" s="292">
        <v>3.977</v>
      </c>
      <c r="Z76" s="243">
        <f t="shared" si="6"/>
        <v>15915.95</v>
      </c>
      <c r="AA76" s="244">
        <f t="shared" si="7"/>
        <v>123348.61</v>
      </c>
      <c r="AB76" s="245" t="s">
        <v>1028</v>
      </c>
      <c r="AC76" s="293" t="s">
        <v>415</v>
      </c>
      <c r="AD76" s="294" t="s">
        <v>416</v>
      </c>
      <c r="AE76" s="295" t="s">
        <v>424</v>
      </c>
      <c r="AF76" s="295" t="s">
        <v>425</v>
      </c>
      <c r="AG76" s="289">
        <f>60+3942</f>
        <v>4002</v>
      </c>
      <c r="AH76" s="289">
        <f t="shared" si="8"/>
        <v>0</v>
      </c>
      <c r="AI76" s="289"/>
      <c r="AJ76" s="289"/>
      <c r="AK76" s="289"/>
      <c r="AL76" s="289"/>
      <c r="AM76" s="290"/>
      <c r="AN76" s="290"/>
      <c r="AO76" s="290"/>
      <c r="AP76" s="290"/>
      <c r="AQ76" s="290"/>
      <c r="AR76" s="290"/>
      <c r="AS76" s="290"/>
    </row>
    <row r="77" s="255" customFormat="1" customHeight="1" spans="1:45">
      <c r="A77" s="348">
        <v>46121</v>
      </c>
      <c r="B77" s="353" t="s">
        <v>555</v>
      </c>
      <c r="C77" s="280" t="s">
        <v>102</v>
      </c>
      <c r="D77" s="282"/>
      <c r="E77" s="282" t="s">
        <v>265</v>
      </c>
      <c r="F77" s="283">
        <v>3821113</v>
      </c>
      <c r="G77" s="283" t="s">
        <v>266</v>
      </c>
      <c r="H77" s="284">
        <v>3600</v>
      </c>
      <c r="I77" s="285">
        <v>6</v>
      </c>
      <c r="J77" s="286">
        <f t="shared" si="4"/>
        <v>600</v>
      </c>
      <c r="K77" s="280">
        <v>46204</v>
      </c>
      <c r="L77" s="306">
        <v>46206</v>
      </c>
      <c r="M77" s="280"/>
      <c r="N77" s="288"/>
      <c r="O77" s="306">
        <v>46213</v>
      </c>
      <c r="P77" s="280">
        <v>46204</v>
      </c>
      <c r="Q77" s="280"/>
      <c r="R77" s="296"/>
      <c r="S77" s="287">
        <v>46169</v>
      </c>
      <c r="T77" s="295" t="s">
        <v>481</v>
      </c>
      <c r="U77" s="281" t="s">
        <v>1029</v>
      </c>
      <c r="V77" s="349" t="s">
        <v>1004</v>
      </c>
      <c r="W77" s="349" t="s">
        <v>1030</v>
      </c>
      <c r="X77" s="350" t="s">
        <v>1031</v>
      </c>
      <c r="Y77" s="292">
        <v>3.105</v>
      </c>
      <c r="Z77" s="243">
        <f t="shared" si="6"/>
        <v>11178</v>
      </c>
      <c r="AA77" s="244">
        <f t="shared" si="7"/>
        <v>86629.5</v>
      </c>
      <c r="AB77" s="245" t="s">
        <v>1032</v>
      </c>
      <c r="AC77" s="296" t="s">
        <v>415</v>
      </c>
      <c r="AD77" s="294" t="s">
        <v>416</v>
      </c>
      <c r="AE77" s="295" t="s">
        <v>424</v>
      </c>
      <c r="AF77" s="295" t="s">
        <v>425</v>
      </c>
      <c r="AG77" s="296">
        <f>2454+1134+12</f>
        <v>3600</v>
      </c>
      <c r="AH77" s="289">
        <f t="shared" si="8"/>
        <v>0</v>
      </c>
      <c r="AI77" s="130"/>
      <c r="AJ77" s="130"/>
      <c r="AK77" s="141"/>
      <c r="AL77" s="141"/>
      <c r="AM77" s="295"/>
      <c r="AN77" s="295"/>
      <c r="AO77" s="295"/>
      <c r="AP77" s="295"/>
      <c r="AQ77" s="295"/>
      <c r="AR77" s="295"/>
      <c r="AS77" s="295"/>
    </row>
    <row r="78" s="255" customFormat="1" customHeight="1" spans="1:45">
      <c r="A78" s="348">
        <v>46121</v>
      </c>
      <c r="B78" s="353" t="s">
        <v>555</v>
      </c>
      <c r="C78" s="280" t="s">
        <v>102</v>
      </c>
      <c r="D78" s="282"/>
      <c r="E78" s="282" t="s">
        <v>265</v>
      </c>
      <c r="F78" s="283">
        <v>3824138</v>
      </c>
      <c r="G78" s="283" t="s">
        <v>267</v>
      </c>
      <c r="H78" s="284">
        <v>9600</v>
      </c>
      <c r="I78" s="285">
        <v>6</v>
      </c>
      <c r="J78" s="286">
        <f t="shared" si="4"/>
        <v>1600</v>
      </c>
      <c r="K78" s="280">
        <v>46204</v>
      </c>
      <c r="L78" s="298">
        <v>46206</v>
      </c>
      <c r="M78" s="280"/>
      <c r="N78" s="288"/>
      <c r="O78" s="386">
        <v>46213</v>
      </c>
      <c r="P78" s="280">
        <v>46204</v>
      </c>
      <c r="Q78" s="280"/>
      <c r="R78" s="296"/>
      <c r="S78" s="287">
        <v>46169</v>
      </c>
      <c r="T78" s="295" t="s">
        <v>481</v>
      </c>
      <c r="U78" s="281" t="s">
        <v>1029</v>
      </c>
      <c r="V78" s="352" t="s">
        <v>1004</v>
      </c>
      <c r="W78" s="349" t="s">
        <v>1033</v>
      </c>
      <c r="X78" s="350" t="s">
        <v>1034</v>
      </c>
      <c r="Y78" s="292">
        <v>3.865</v>
      </c>
      <c r="Z78" s="243">
        <f t="shared" si="6"/>
        <v>37104</v>
      </c>
      <c r="AA78" s="244">
        <f t="shared" si="7"/>
        <v>287556</v>
      </c>
      <c r="AB78" s="245" t="s">
        <v>1032</v>
      </c>
      <c r="AC78" s="296" t="s">
        <v>415</v>
      </c>
      <c r="AD78" s="294" t="s">
        <v>416</v>
      </c>
      <c r="AE78" s="295" t="s">
        <v>424</v>
      </c>
      <c r="AF78" s="295" t="s">
        <v>425</v>
      </c>
      <c r="AG78" s="296">
        <f>810+8784+12</f>
        <v>9606</v>
      </c>
      <c r="AH78" s="289">
        <f t="shared" si="8"/>
        <v>6</v>
      </c>
      <c r="AI78" s="130"/>
      <c r="AJ78" s="130"/>
      <c r="AK78" s="141"/>
      <c r="AL78" s="141"/>
      <c r="AM78" s="294" t="s">
        <v>1035</v>
      </c>
      <c r="AN78" s="295"/>
      <c r="AO78" s="295"/>
      <c r="AP78" s="295"/>
      <c r="AQ78" s="295"/>
      <c r="AR78" s="295"/>
      <c r="AS78" s="295"/>
    </row>
    <row r="79" s="255" customFormat="1" customHeight="1" spans="1:45">
      <c r="A79" s="354">
        <v>46104</v>
      </c>
      <c r="B79" s="301" t="s">
        <v>1036</v>
      </c>
      <c r="C79" s="299" t="s">
        <v>88</v>
      </c>
      <c r="D79" s="301"/>
      <c r="E79" s="301" t="s">
        <v>231</v>
      </c>
      <c r="F79" s="302">
        <v>1026169</v>
      </c>
      <c r="G79" s="302" t="s">
        <v>207</v>
      </c>
      <c r="H79" s="303">
        <v>10440</v>
      </c>
      <c r="I79" s="304">
        <v>6</v>
      </c>
      <c r="J79" s="286">
        <f t="shared" si="4"/>
        <v>1740</v>
      </c>
      <c r="K79" s="280">
        <v>46208</v>
      </c>
      <c r="L79" s="298">
        <v>46213</v>
      </c>
      <c r="M79" s="299"/>
      <c r="N79" s="307"/>
      <c r="O79" s="306">
        <v>46214</v>
      </c>
      <c r="P79" s="299">
        <v>46209</v>
      </c>
      <c r="Q79" s="299"/>
      <c r="R79" s="319"/>
      <c r="S79" s="309">
        <v>46168</v>
      </c>
      <c r="T79" s="290" t="s">
        <v>942</v>
      </c>
      <c r="U79" s="281" t="s">
        <v>943</v>
      </c>
      <c r="V79" s="349" t="s">
        <v>944</v>
      </c>
      <c r="W79" s="352" t="s">
        <v>1037</v>
      </c>
      <c r="X79" s="356" t="s">
        <v>1038</v>
      </c>
      <c r="Y79" s="312">
        <v>2.573</v>
      </c>
      <c r="Z79" s="243">
        <f t="shared" si="6"/>
        <v>26862.12</v>
      </c>
      <c r="AA79" s="244">
        <f t="shared" si="7"/>
        <v>208181.43</v>
      </c>
      <c r="AB79" s="245" t="s">
        <v>1039</v>
      </c>
      <c r="AC79" s="319" t="s">
        <v>415</v>
      </c>
      <c r="AD79" s="294" t="s">
        <v>416</v>
      </c>
      <c r="AE79" s="295" t="s">
        <v>417</v>
      </c>
      <c r="AF79" s="296"/>
      <c r="AG79" s="319"/>
      <c r="AH79" s="289">
        <f t="shared" si="8"/>
        <v>-10440</v>
      </c>
      <c r="AI79" s="216"/>
      <c r="AJ79" s="216"/>
      <c r="AK79" s="211"/>
      <c r="AL79" s="211"/>
      <c r="AM79" s="318"/>
      <c r="AN79" s="318"/>
      <c r="AO79" s="318"/>
      <c r="AP79" s="318"/>
      <c r="AQ79" s="318"/>
      <c r="AR79" s="318"/>
      <c r="AS79" s="318"/>
    </row>
    <row r="80" s="255" customFormat="1" customHeight="1" spans="1:45">
      <c r="A80" s="348">
        <v>46114</v>
      </c>
      <c r="B80" s="353" t="s">
        <v>924</v>
      </c>
      <c r="C80" s="280" t="s">
        <v>91</v>
      </c>
      <c r="D80" s="282"/>
      <c r="E80" s="282" t="s">
        <v>255</v>
      </c>
      <c r="F80" s="283">
        <v>1426146</v>
      </c>
      <c r="G80" s="283" t="s">
        <v>209</v>
      </c>
      <c r="H80" s="284">
        <v>15000</v>
      </c>
      <c r="I80" s="285">
        <v>6</v>
      </c>
      <c r="J80" s="286">
        <f t="shared" si="4"/>
        <v>2500</v>
      </c>
      <c r="K80" s="280">
        <v>46204</v>
      </c>
      <c r="L80" s="306">
        <v>46206</v>
      </c>
      <c r="M80" s="280"/>
      <c r="N80" s="288"/>
      <c r="O80" s="306">
        <v>46217</v>
      </c>
      <c r="P80" s="280">
        <v>46204</v>
      </c>
      <c r="Q80" s="280"/>
      <c r="R80" s="296"/>
      <c r="S80" s="309">
        <v>46142</v>
      </c>
      <c r="T80" s="290" t="s">
        <v>439</v>
      </c>
      <c r="U80" s="281" t="s">
        <v>440</v>
      </c>
      <c r="V80" s="349" t="s">
        <v>441</v>
      </c>
      <c r="W80" s="349" t="s">
        <v>1040</v>
      </c>
      <c r="X80" s="291" t="s">
        <v>443</v>
      </c>
      <c r="Y80" s="292">
        <v>2.59</v>
      </c>
      <c r="Z80" s="243">
        <f t="shared" si="6"/>
        <v>38850</v>
      </c>
      <c r="AA80" s="244">
        <f t="shared" si="7"/>
        <v>301087.5</v>
      </c>
      <c r="AB80" s="245" t="s">
        <v>1041</v>
      </c>
      <c r="AC80" s="296" t="s">
        <v>415</v>
      </c>
      <c r="AD80" s="294" t="s">
        <v>416</v>
      </c>
      <c r="AE80" s="295" t="s">
        <v>436</v>
      </c>
      <c r="AF80" s="296" t="s">
        <v>425</v>
      </c>
      <c r="AG80" s="296">
        <f>1056+2640+2112+1584+528+528+1056+528+528+1056+1584+1800</f>
        <v>15000</v>
      </c>
      <c r="AH80" s="289">
        <f t="shared" si="8"/>
        <v>0</v>
      </c>
      <c r="AI80" s="130"/>
      <c r="AJ80" s="130"/>
      <c r="AK80" s="141"/>
      <c r="AL80" s="141"/>
      <c r="AM80" s="294">
        <v>46204</v>
      </c>
      <c r="AN80" s="295"/>
      <c r="AO80" s="295"/>
      <c r="AP80" s="295"/>
      <c r="AQ80" s="295"/>
      <c r="AR80" s="295"/>
      <c r="AS80" s="295"/>
    </row>
    <row r="81" s="255" customFormat="1" customHeight="1" spans="1:45">
      <c r="A81" s="348">
        <v>46105</v>
      </c>
      <c r="B81" s="353" t="s">
        <v>1042</v>
      </c>
      <c r="C81" s="280" t="s">
        <v>236</v>
      </c>
      <c r="D81" s="282"/>
      <c r="E81" s="282" t="s">
        <v>237</v>
      </c>
      <c r="F81" s="283">
        <v>5226155</v>
      </c>
      <c r="G81" s="283" t="s">
        <v>238</v>
      </c>
      <c r="H81" s="284">
        <v>2004</v>
      </c>
      <c r="I81" s="285">
        <v>6</v>
      </c>
      <c r="J81" s="286">
        <f t="shared" ref="J81:J87" si="9">H81/I81</f>
        <v>334</v>
      </c>
      <c r="K81" s="280">
        <f>P81-7</f>
        <v>46167</v>
      </c>
      <c r="L81" s="306" t="s">
        <v>1043</v>
      </c>
      <c r="M81" s="280"/>
      <c r="N81" s="288"/>
      <c r="O81" s="280"/>
      <c r="P81" s="280">
        <v>46174</v>
      </c>
      <c r="Q81" s="280"/>
      <c r="R81" s="296"/>
      <c r="S81" s="287"/>
      <c r="T81" s="318" t="s">
        <v>1044</v>
      </c>
      <c r="U81" s="281" t="s">
        <v>461</v>
      </c>
      <c r="V81" s="349" t="s">
        <v>969</v>
      </c>
      <c r="W81" s="349" t="s">
        <v>1045</v>
      </c>
      <c r="X81" s="291" t="s">
        <v>978</v>
      </c>
      <c r="Y81" s="292">
        <v>4.3</v>
      </c>
      <c r="Z81" s="243">
        <f t="shared" ref="Z81:Z87" si="10">H81*Y81</f>
        <v>8617.2</v>
      </c>
      <c r="AA81" s="244">
        <f t="shared" ref="AA81:AA87" si="11">Z81*7.75</f>
        <v>66783.3</v>
      </c>
      <c r="AB81" s="245" t="s">
        <v>1046</v>
      </c>
      <c r="AC81" s="296" t="s">
        <v>415</v>
      </c>
      <c r="AD81" s="294" t="s">
        <v>416</v>
      </c>
      <c r="AE81" s="295" t="s">
        <v>424</v>
      </c>
      <c r="AF81" s="295" t="s">
        <v>425</v>
      </c>
      <c r="AG81" s="296">
        <f>1968+36</f>
        <v>2004</v>
      </c>
      <c r="AH81" s="289">
        <f t="shared" ref="AH81:AH86" si="12">AG81-H81</f>
        <v>0</v>
      </c>
      <c r="AI81" s="289"/>
      <c r="AJ81" s="289"/>
      <c r="AK81" s="296"/>
      <c r="AL81" s="296"/>
      <c r="AM81" s="295"/>
      <c r="AN81" s="295"/>
      <c r="AO81" s="295"/>
      <c r="AP81" s="295"/>
      <c r="AQ81" s="295"/>
      <c r="AR81" s="295"/>
      <c r="AS81" s="295"/>
    </row>
    <row r="82" s="255" customFormat="1" customHeight="1" spans="1:45">
      <c r="A82" s="280">
        <v>46083</v>
      </c>
      <c r="B82" s="281" t="s">
        <v>617</v>
      </c>
      <c r="C82" s="280" t="s">
        <v>120</v>
      </c>
      <c r="D82" s="296"/>
      <c r="E82" s="282" t="s">
        <v>180</v>
      </c>
      <c r="F82" s="283">
        <v>1125103</v>
      </c>
      <c r="G82" s="283" t="s">
        <v>4</v>
      </c>
      <c r="H82" s="285">
        <v>1800</v>
      </c>
      <c r="I82" s="285">
        <v>6</v>
      </c>
      <c r="J82" s="286">
        <f t="shared" si="9"/>
        <v>300</v>
      </c>
      <c r="K82" s="280">
        <v>46208</v>
      </c>
      <c r="L82" s="298">
        <v>46213</v>
      </c>
      <c r="M82" s="280"/>
      <c r="N82" s="288"/>
      <c r="O82" s="280"/>
      <c r="P82" s="280">
        <v>46209</v>
      </c>
      <c r="Q82" s="280"/>
      <c r="R82" s="289"/>
      <c r="S82" s="287" t="s">
        <v>691</v>
      </c>
      <c r="T82" s="290" t="s">
        <v>1047</v>
      </c>
      <c r="U82" s="281" t="s">
        <v>1048</v>
      </c>
      <c r="V82" s="291" t="s">
        <v>1049</v>
      </c>
      <c r="W82" s="291" t="s">
        <v>620</v>
      </c>
      <c r="X82" s="291" t="s">
        <v>1050</v>
      </c>
      <c r="Y82" s="292">
        <v>1.899</v>
      </c>
      <c r="Z82" s="243">
        <f t="shared" si="10"/>
        <v>3418.2</v>
      </c>
      <c r="AA82" s="244">
        <f t="shared" si="11"/>
        <v>26491.05</v>
      </c>
      <c r="AB82" s="245" t="s">
        <v>1051</v>
      </c>
      <c r="AC82" s="293" t="s">
        <v>415</v>
      </c>
      <c r="AD82" s="294" t="s">
        <v>416</v>
      </c>
      <c r="AE82" s="295" t="s">
        <v>424</v>
      </c>
      <c r="AF82" s="295" t="s">
        <v>425</v>
      </c>
      <c r="AG82" s="289">
        <v>1800</v>
      </c>
      <c r="AH82" s="289">
        <f t="shared" si="12"/>
        <v>0</v>
      </c>
      <c r="AI82" s="130"/>
      <c r="AJ82" s="130"/>
      <c r="AK82" s="130"/>
      <c r="AL82" s="130"/>
      <c r="AM82" s="294">
        <v>46201</v>
      </c>
      <c r="AN82" s="290"/>
      <c r="AO82" s="290"/>
      <c r="AP82" s="290"/>
      <c r="AQ82" s="290"/>
      <c r="AR82" s="290"/>
      <c r="AS82" s="290"/>
    </row>
    <row r="83" s="255" customFormat="1" customHeight="1" spans="1:45">
      <c r="A83" s="280">
        <v>46083</v>
      </c>
      <c r="B83" s="281" t="s">
        <v>617</v>
      </c>
      <c r="C83" s="280" t="s">
        <v>120</v>
      </c>
      <c r="D83" s="282"/>
      <c r="E83" s="282" t="s">
        <v>180</v>
      </c>
      <c r="F83" s="283">
        <v>1126169</v>
      </c>
      <c r="G83" s="283" t="s">
        <v>181</v>
      </c>
      <c r="H83" s="285">
        <v>3000</v>
      </c>
      <c r="I83" s="285">
        <v>6</v>
      </c>
      <c r="J83" s="286">
        <f t="shared" si="9"/>
        <v>500</v>
      </c>
      <c r="K83" s="280">
        <v>46208</v>
      </c>
      <c r="L83" s="387">
        <v>46213</v>
      </c>
      <c r="M83" s="280"/>
      <c r="N83" s="288"/>
      <c r="O83" s="280"/>
      <c r="P83" s="280">
        <v>46209</v>
      </c>
      <c r="Q83" s="280"/>
      <c r="R83" s="289"/>
      <c r="S83" s="287">
        <v>46152</v>
      </c>
      <c r="T83" s="290" t="s">
        <v>431</v>
      </c>
      <c r="U83" s="281" t="s">
        <v>1048</v>
      </c>
      <c r="V83" s="291" t="s">
        <v>1049</v>
      </c>
      <c r="W83" s="291" t="s">
        <v>625</v>
      </c>
      <c r="X83" s="291" t="s">
        <v>1050</v>
      </c>
      <c r="Y83" s="292">
        <v>2.573</v>
      </c>
      <c r="Z83" s="243">
        <f t="shared" si="10"/>
        <v>7719</v>
      </c>
      <c r="AA83" s="244">
        <f t="shared" si="11"/>
        <v>59822.25</v>
      </c>
      <c r="AB83" s="245" t="s">
        <v>1051</v>
      </c>
      <c r="AC83" s="293" t="s">
        <v>415</v>
      </c>
      <c r="AD83" s="294" t="s">
        <v>416</v>
      </c>
      <c r="AE83" s="295" t="s">
        <v>417</v>
      </c>
      <c r="AF83" s="296"/>
      <c r="AG83" s="289"/>
      <c r="AH83" s="289">
        <f t="shared" si="12"/>
        <v>-3000</v>
      </c>
      <c r="AI83" s="130"/>
      <c r="AJ83" s="130"/>
      <c r="AK83" s="130"/>
      <c r="AL83" s="130"/>
      <c r="AM83" s="290"/>
      <c r="AN83" s="290"/>
      <c r="AO83" s="290"/>
      <c r="AP83" s="290"/>
      <c r="AQ83" s="290"/>
      <c r="AR83" s="290"/>
      <c r="AS83" s="290"/>
    </row>
    <row r="84" s="255" customFormat="1" customHeight="1" spans="1:45">
      <c r="A84" s="299">
        <v>46083</v>
      </c>
      <c r="B84" s="300" t="s">
        <v>667</v>
      </c>
      <c r="C84" s="299" t="s">
        <v>141</v>
      </c>
      <c r="D84" s="301"/>
      <c r="E84" s="301" t="s">
        <v>184</v>
      </c>
      <c r="F84" s="302">
        <v>4526168</v>
      </c>
      <c r="G84" s="302" t="s">
        <v>186</v>
      </c>
      <c r="H84" s="304">
        <v>4998</v>
      </c>
      <c r="I84" s="304">
        <v>6</v>
      </c>
      <c r="J84" s="286">
        <f t="shared" si="9"/>
        <v>833</v>
      </c>
      <c r="K84" s="299">
        <v>46217</v>
      </c>
      <c r="L84" s="368">
        <v>46218</v>
      </c>
      <c r="M84" s="299"/>
      <c r="N84" s="307"/>
      <c r="O84" s="298">
        <v>46224</v>
      </c>
      <c r="P84" s="299">
        <v>46209</v>
      </c>
      <c r="Q84" s="299"/>
      <c r="R84" s="308"/>
      <c r="S84" s="287">
        <v>46155</v>
      </c>
      <c r="T84" s="290" t="s">
        <v>929</v>
      </c>
      <c r="U84" s="281" t="s">
        <v>1052</v>
      </c>
      <c r="V84" s="311" t="s">
        <v>446</v>
      </c>
      <c r="W84" s="311" t="s">
        <v>689</v>
      </c>
      <c r="X84" s="311" t="s">
        <v>690</v>
      </c>
      <c r="Y84" s="312">
        <v>3.392</v>
      </c>
      <c r="Z84" s="243">
        <f t="shared" si="10"/>
        <v>16953.22</v>
      </c>
      <c r="AA84" s="244">
        <f t="shared" si="11"/>
        <v>131387.46</v>
      </c>
      <c r="AB84" s="245" t="s">
        <v>1053</v>
      </c>
      <c r="AC84" s="293" t="s">
        <v>415</v>
      </c>
      <c r="AD84" s="294" t="s">
        <v>416</v>
      </c>
      <c r="AE84" s="295" t="s">
        <v>436</v>
      </c>
      <c r="AF84" s="296" t="s">
        <v>425</v>
      </c>
      <c r="AG84" s="308">
        <f>2808+936+468+642+126+18</f>
        <v>4998</v>
      </c>
      <c r="AH84" s="289">
        <f t="shared" si="12"/>
        <v>0</v>
      </c>
      <c r="AI84" s="195"/>
      <c r="AJ84" s="195"/>
      <c r="AK84" s="195"/>
      <c r="AL84" s="195"/>
      <c r="AM84" s="317" t="s">
        <v>444</v>
      </c>
      <c r="AN84" s="310"/>
      <c r="AO84" s="310"/>
      <c r="AP84" s="310"/>
      <c r="AQ84" s="310"/>
      <c r="AR84" s="310"/>
      <c r="AS84" s="310"/>
    </row>
    <row r="85" s="255" customFormat="1" customHeight="1" spans="1:45">
      <c r="A85" s="348">
        <v>46115</v>
      </c>
      <c r="B85" s="353" t="s">
        <v>457</v>
      </c>
      <c r="C85" s="280" t="s">
        <v>88</v>
      </c>
      <c r="D85" s="282"/>
      <c r="E85" s="282" t="s">
        <v>256</v>
      </c>
      <c r="F85" s="283">
        <v>1026107</v>
      </c>
      <c r="G85" s="283" t="s">
        <v>136</v>
      </c>
      <c r="H85" s="284">
        <v>390</v>
      </c>
      <c r="I85" s="285">
        <v>6</v>
      </c>
      <c r="J85" s="286">
        <f t="shared" si="9"/>
        <v>65</v>
      </c>
      <c r="K85" s="280">
        <v>46210</v>
      </c>
      <c r="L85" s="298" t="s">
        <v>1054</v>
      </c>
      <c r="M85" s="280"/>
      <c r="N85" s="288"/>
      <c r="O85" s="298">
        <v>46210</v>
      </c>
      <c r="P85" s="299">
        <v>46174</v>
      </c>
      <c r="Q85" s="280"/>
      <c r="R85" s="296" t="s">
        <v>458</v>
      </c>
      <c r="S85" s="349" t="s">
        <v>459</v>
      </c>
      <c r="T85" s="295" t="s">
        <v>460</v>
      </c>
      <c r="U85" s="295" t="s">
        <v>461</v>
      </c>
      <c r="V85" s="349" t="s">
        <v>462</v>
      </c>
      <c r="W85" s="349" t="s">
        <v>463</v>
      </c>
      <c r="X85" s="350" t="s">
        <v>464</v>
      </c>
      <c r="Y85" s="292">
        <v>4.765</v>
      </c>
      <c r="Z85" s="243">
        <f t="shared" si="10"/>
        <v>1858.35</v>
      </c>
      <c r="AA85" s="244">
        <f t="shared" si="11"/>
        <v>14402.21</v>
      </c>
      <c r="AB85" s="245" t="s">
        <v>1055</v>
      </c>
      <c r="AC85" s="296" t="s">
        <v>415</v>
      </c>
      <c r="AD85" s="294" t="s">
        <v>416</v>
      </c>
      <c r="AE85" s="295" t="s">
        <v>436</v>
      </c>
      <c r="AF85" s="295" t="s">
        <v>425</v>
      </c>
      <c r="AG85" s="296">
        <v>390</v>
      </c>
      <c r="AH85" s="289">
        <f t="shared" si="12"/>
        <v>0</v>
      </c>
      <c r="AI85" s="130"/>
      <c r="AJ85" s="130"/>
      <c r="AK85" s="141"/>
      <c r="AL85" s="141"/>
      <c r="AM85" s="295"/>
      <c r="AN85" s="295"/>
      <c r="AO85" s="295"/>
      <c r="AP85" s="295"/>
      <c r="AQ85" s="295"/>
      <c r="AR85" s="295"/>
      <c r="AS85" s="295"/>
    </row>
    <row r="86" s="255" customFormat="1" customHeight="1" spans="1:45">
      <c r="A86" s="354">
        <v>46169</v>
      </c>
      <c r="B86" s="388" t="s">
        <v>1056</v>
      </c>
      <c r="C86" s="301" t="s">
        <v>152</v>
      </c>
      <c r="D86" s="285"/>
      <c r="E86" s="301" t="s">
        <v>322</v>
      </c>
      <c r="F86" s="304">
        <v>1226146</v>
      </c>
      <c r="G86" s="302" t="s">
        <v>154</v>
      </c>
      <c r="H86" s="303">
        <v>5760</v>
      </c>
      <c r="I86" s="304">
        <v>6</v>
      </c>
      <c r="J86" s="286">
        <f t="shared" si="9"/>
        <v>960</v>
      </c>
      <c r="K86" s="299">
        <v>46218</v>
      </c>
      <c r="L86" s="298">
        <v>46219</v>
      </c>
      <c r="M86" s="299"/>
      <c r="N86" s="307"/>
      <c r="O86" s="387">
        <v>46224</v>
      </c>
      <c r="P86" s="299">
        <v>46218</v>
      </c>
      <c r="Q86" s="299"/>
      <c r="R86" s="319"/>
      <c r="S86" s="287">
        <v>46186</v>
      </c>
      <c r="T86" s="295" t="s">
        <v>1057</v>
      </c>
      <c r="U86" s="295" t="s">
        <v>1058</v>
      </c>
      <c r="V86" s="291" t="s">
        <v>477</v>
      </c>
      <c r="W86" s="388" t="s">
        <v>1059</v>
      </c>
      <c r="X86" s="356" t="s">
        <v>524</v>
      </c>
      <c r="Y86" s="312">
        <v>2.57</v>
      </c>
      <c r="Z86" s="243">
        <f t="shared" si="10"/>
        <v>14803.2</v>
      </c>
      <c r="AA86" s="244">
        <f t="shared" si="11"/>
        <v>114724.8</v>
      </c>
      <c r="AB86" s="245" t="s">
        <v>1060</v>
      </c>
      <c r="AC86" s="296" t="s">
        <v>415</v>
      </c>
      <c r="AD86" s="294" t="s">
        <v>416</v>
      </c>
      <c r="AE86" s="295" t="s">
        <v>436</v>
      </c>
      <c r="AF86" s="296" t="s">
        <v>425</v>
      </c>
      <c r="AG86" s="319">
        <f>528+1056+1884+1056+924+312</f>
        <v>5760</v>
      </c>
      <c r="AH86" s="289">
        <f t="shared" si="12"/>
        <v>0</v>
      </c>
      <c r="AI86" s="195"/>
      <c r="AJ86" s="195"/>
      <c r="AK86" s="389"/>
      <c r="AL86" s="389"/>
      <c r="AM86" s="317">
        <v>46217</v>
      </c>
      <c r="AN86" s="318"/>
      <c r="AO86" s="318"/>
      <c r="AP86" s="318"/>
      <c r="AQ86" s="318"/>
      <c r="AR86" s="318"/>
      <c r="AS86" s="318"/>
    </row>
    <row r="87" s="255" customFormat="1" customHeight="1" spans="1:45">
      <c r="A87" s="348">
        <v>46104</v>
      </c>
      <c r="B87" s="282" t="s">
        <v>1036</v>
      </c>
      <c r="C87" s="280" t="s">
        <v>88</v>
      </c>
      <c r="D87" s="282"/>
      <c r="E87" s="282" t="s">
        <v>232</v>
      </c>
      <c r="F87" s="283">
        <v>1026169</v>
      </c>
      <c r="G87" s="283" t="s">
        <v>207</v>
      </c>
      <c r="H87" s="284">
        <v>10440</v>
      </c>
      <c r="I87" s="285">
        <v>6</v>
      </c>
      <c r="J87" s="286">
        <f t="shared" si="9"/>
        <v>1740</v>
      </c>
      <c r="K87" s="280">
        <v>46212</v>
      </c>
      <c r="L87" s="298">
        <v>46213</v>
      </c>
      <c r="M87" s="280"/>
      <c r="N87" s="288"/>
      <c r="O87" s="298">
        <v>46226</v>
      </c>
      <c r="P87" s="280">
        <v>46209</v>
      </c>
      <c r="Q87" s="280"/>
      <c r="R87" s="296"/>
      <c r="S87" s="287">
        <v>46168</v>
      </c>
      <c r="T87" s="310" t="s">
        <v>942</v>
      </c>
      <c r="U87" s="281" t="s">
        <v>943</v>
      </c>
      <c r="V87" s="352" t="s">
        <v>944</v>
      </c>
      <c r="W87" s="349" t="s">
        <v>1037</v>
      </c>
      <c r="X87" s="350" t="s">
        <v>1038</v>
      </c>
      <c r="Y87" s="292">
        <v>2.573</v>
      </c>
      <c r="Z87" s="243">
        <f t="shared" si="10"/>
        <v>26862.12</v>
      </c>
      <c r="AA87" s="244">
        <f t="shared" si="11"/>
        <v>208181.43</v>
      </c>
      <c r="AB87" s="245" t="s">
        <v>1061</v>
      </c>
      <c r="AC87" s="296" t="s">
        <v>415</v>
      </c>
      <c r="AD87" s="294" t="s">
        <v>416</v>
      </c>
      <c r="AE87" s="295" t="s">
        <v>417</v>
      </c>
      <c r="AF87" s="296"/>
      <c r="AG87" s="296"/>
      <c r="AH87" s="289"/>
      <c r="AI87" s="130"/>
      <c r="AJ87" s="130"/>
      <c r="AK87" s="141"/>
      <c r="AL87" s="141"/>
      <c r="AM87" s="295"/>
      <c r="AN87" s="295"/>
      <c r="AO87" s="295"/>
      <c r="AP87" s="295"/>
      <c r="AQ87" s="295"/>
      <c r="AR87" s="295"/>
      <c r="AS87" s="295"/>
    </row>
    <row r="88" s="255" customFormat="1" customHeight="1" spans="1:45">
      <c r="A88" s="354">
        <v>46163</v>
      </c>
      <c r="B88" s="301" t="s">
        <v>486</v>
      </c>
      <c r="C88" s="299" t="s">
        <v>109</v>
      </c>
      <c r="D88" s="304" t="s">
        <v>1062</v>
      </c>
      <c r="E88" s="301" t="s">
        <v>306</v>
      </c>
      <c r="F88" s="302" t="s">
        <v>307</v>
      </c>
      <c r="G88" s="302" t="s">
        <v>308</v>
      </c>
      <c r="H88" s="303">
        <v>10980</v>
      </c>
      <c r="I88" s="304">
        <v>6</v>
      </c>
      <c r="J88" s="286">
        <v>1830</v>
      </c>
      <c r="K88" s="299">
        <v>46223</v>
      </c>
      <c r="L88" s="306" t="s">
        <v>1063</v>
      </c>
      <c r="M88" s="299"/>
      <c r="N88" s="307"/>
      <c r="O88" s="387">
        <v>46228</v>
      </c>
      <c r="P88" s="299">
        <v>46219</v>
      </c>
      <c r="Q88" s="299"/>
      <c r="R88" s="319"/>
      <c r="S88" s="309">
        <v>46169</v>
      </c>
      <c r="T88" s="318" t="s">
        <v>1064</v>
      </c>
      <c r="U88" s="300" t="s">
        <v>1065</v>
      </c>
      <c r="V88" s="352" t="s">
        <v>490</v>
      </c>
      <c r="W88" s="352" t="s">
        <v>657</v>
      </c>
      <c r="X88" s="356" t="s">
        <v>701</v>
      </c>
      <c r="Y88" s="312">
        <v>3.899</v>
      </c>
      <c r="Z88" s="243">
        <v>42811.02</v>
      </c>
      <c r="AA88" s="244">
        <v>331785.41</v>
      </c>
      <c r="AB88" s="245" t="s">
        <v>1066</v>
      </c>
      <c r="AC88" s="316" t="s">
        <v>415</v>
      </c>
      <c r="AD88" s="294" t="s">
        <v>416</v>
      </c>
      <c r="AE88" s="318" t="s">
        <v>424</v>
      </c>
      <c r="AF88" s="319" t="s">
        <v>425</v>
      </c>
      <c r="AG88" s="319">
        <v>10980</v>
      </c>
      <c r="AH88" s="289">
        <v>0</v>
      </c>
      <c r="AI88" s="195"/>
      <c r="AJ88" s="195"/>
      <c r="AK88" s="389"/>
      <c r="AL88" s="389"/>
      <c r="AM88" s="317">
        <v>46223</v>
      </c>
      <c r="AN88" s="318"/>
      <c r="AO88" s="318"/>
      <c r="AP88" s="318"/>
      <c r="AQ88" s="318"/>
      <c r="AR88" s="318"/>
      <c r="AS88" s="318"/>
    </row>
    <row r="89" s="255" customFormat="1" customHeight="1" spans="1:45">
      <c r="A89" s="354">
        <v>46162</v>
      </c>
      <c r="B89" s="301" t="s">
        <v>654</v>
      </c>
      <c r="C89" s="299" t="s">
        <v>109</v>
      </c>
      <c r="D89" s="304" t="s">
        <v>1067</v>
      </c>
      <c r="E89" s="301" t="s">
        <v>304</v>
      </c>
      <c r="F89" s="302" t="s">
        <v>24</v>
      </c>
      <c r="G89" s="302" t="s">
        <v>25</v>
      </c>
      <c r="H89" s="303">
        <v>15600</v>
      </c>
      <c r="I89" s="304">
        <v>6</v>
      </c>
      <c r="J89" s="286">
        <f>H89/I89</f>
        <v>2600</v>
      </c>
      <c r="K89" s="299">
        <v>46217</v>
      </c>
      <c r="L89" s="368" t="s">
        <v>1068</v>
      </c>
      <c r="M89" s="299"/>
      <c r="N89" s="307"/>
      <c r="O89" s="298">
        <v>46228</v>
      </c>
      <c r="P89" s="299">
        <v>46219</v>
      </c>
      <c r="Q89" s="299"/>
      <c r="R89" s="319"/>
      <c r="S89" s="287">
        <v>46178</v>
      </c>
      <c r="T89" s="295" t="s">
        <v>1069</v>
      </c>
      <c r="U89" s="281" t="s">
        <v>1070</v>
      </c>
      <c r="V89" s="352" t="s">
        <v>490</v>
      </c>
      <c r="W89" s="352" t="s">
        <v>897</v>
      </c>
      <c r="X89" s="356" t="s">
        <v>775</v>
      </c>
      <c r="Y89" s="312">
        <v>2.051</v>
      </c>
      <c r="Z89" s="243">
        <f>H89*Y89</f>
        <v>31995.6</v>
      </c>
      <c r="AA89" s="244">
        <f>Z89*7.75</f>
        <v>247965.9</v>
      </c>
      <c r="AB89" s="245" t="s">
        <v>1071</v>
      </c>
      <c r="AC89" s="293" t="s">
        <v>415</v>
      </c>
      <c r="AD89" s="294" t="s">
        <v>416</v>
      </c>
      <c r="AE89" s="295" t="s">
        <v>424</v>
      </c>
      <c r="AF89" s="295" t="s">
        <v>425</v>
      </c>
      <c r="AG89" s="319">
        <f>7128+6480+1992</f>
        <v>15600</v>
      </c>
      <c r="AH89" s="289">
        <f>AG89-H89</f>
        <v>0</v>
      </c>
      <c r="AI89" s="195"/>
      <c r="AJ89" s="195"/>
      <c r="AK89" s="389"/>
      <c r="AL89" s="389"/>
      <c r="AM89" s="317">
        <v>46216</v>
      </c>
      <c r="AN89" s="318"/>
      <c r="AO89" s="318"/>
      <c r="AP89" s="318"/>
      <c r="AQ89" s="318"/>
      <c r="AR89" s="318"/>
      <c r="AS89" s="318"/>
    </row>
    <row r="90" s="255" customFormat="1" customHeight="1" spans="1:45">
      <c r="A90" s="354">
        <v>46157</v>
      </c>
      <c r="B90" s="301" t="s">
        <v>493</v>
      </c>
      <c r="C90" s="300" t="s">
        <v>1072</v>
      </c>
      <c r="D90" s="304"/>
      <c r="E90" s="301" t="s">
        <v>296</v>
      </c>
      <c r="F90" s="304">
        <v>1026157</v>
      </c>
      <c r="G90" s="302" t="s">
        <v>297</v>
      </c>
      <c r="H90" s="303">
        <v>8400</v>
      </c>
      <c r="I90" s="390">
        <v>4</v>
      </c>
      <c r="J90" s="391">
        <v>2100</v>
      </c>
      <c r="K90" s="280">
        <v>46230</v>
      </c>
      <c r="L90" s="392" t="s">
        <v>1073</v>
      </c>
      <c r="M90" s="299"/>
      <c r="N90" s="307"/>
      <c r="O90" s="387">
        <v>46233</v>
      </c>
      <c r="P90" s="307">
        <v>46214</v>
      </c>
      <c r="Q90" s="299"/>
      <c r="R90" s="318" t="s">
        <v>1074</v>
      </c>
      <c r="S90" s="309">
        <v>46182</v>
      </c>
      <c r="T90" s="318" t="s">
        <v>1075</v>
      </c>
      <c r="U90" s="300" t="s">
        <v>516</v>
      </c>
      <c r="V90" s="352" t="s">
        <v>462</v>
      </c>
      <c r="W90" s="352" t="s">
        <v>1076</v>
      </c>
      <c r="X90" s="356" t="s">
        <v>1077</v>
      </c>
      <c r="Y90" s="312">
        <v>4.772</v>
      </c>
      <c r="Z90" s="243">
        <v>40084.8</v>
      </c>
      <c r="AA90" s="244">
        <v>310657.2</v>
      </c>
      <c r="AB90" s="245" t="s">
        <v>1078</v>
      </c>
      <c r="AC90" s="319" t="s">
        <v>415</v>
      </c>
      <c r="AD90" s="294" t="s">
        <v>416</v>
      </c>
      <c r="AE90" s="318" t="s">
        <v>417</v>
      </c>
      <c r="AF90" s="296"/>
      <c r="AG90" s="319"/>
      <c r="AH90" s="289">
        <v>-8400</v>
      </c>
      <c r="AI90" s="318"/>
      <c r="AJ90" s="318"/>
      <c r="AK90" s="318"/>
      <c r="AL90" s="318"/>
      <c r="AM90" s="318"/>
      <c r="AN90" s="318"/>
      <c r="AO90" s="318"/>
    </row>
    <row r="91" s="255" customFormat="1" customHeight="1" spans="1:45">
      <c r="A91" s="354">
        <v>46161</v>
      </c>
      <c r="B91" s="301" t="s">
        <v>480</v>
      </c>
      <c r="C91" s="300" t="s">
        <v>1079</v>
      </c>
      <c r="D91" s="304"/>
      <c r="E91" s="301" t="s">
        <v>302</v>
      </c>
      <c r="F91" s="304">
        <v>1521113</v>
      </c>
      <c r="G91" s="302" t="s">
        <v>9</v>
      </c>
      <c r="H91" s="303">
        <v>1500</v>
      </c>
      <c r="I91" s="304">
        <v>6</v>
      </c>
      <c r="J91" s="286">
        <v>250</v>
      </c>
      <c r="K91" s="299">
        <v>46225</v>
      </c>
      <c r="L91" s="306">
        <v>46226</v>
      </c>
      <c r="M91" s="299"/>
      <c r="N91" s="307"/>
      <c r="O91" s="306">
        <v>46232</v>
      </c>
      <c r="P91" s="299">
        <v>46220</v>
      </c>
      <c r="Q91" s="299"/>
      <c r="R91" s="319"/>
      <c r="S91" s="352" t="s">
        <v>1080</v>
      </c>
      <c r="T91" s="318" t="s">
        <v>1081</v>
      </c>
      <c r="U91" s="300" t="s">
        <v>1082</v>
      </c>
      <c r="V91" s="352" t="s">
        <v>697</v>
      </c>
      <c r="W91" s="352" t="s">
        <v>1083</v>
      </c>
      <c r="X91" s="356" t="s">
        <v>1084</v>
      </c>
      <c r="Y91" s="312">
        <v>3.198</v>
      </c>
      <c r="Z91" s="243">
        <v>4797</v>
      </c>
      <c r="AA91" s="244">
        <v>37176.75</v>
      </c>
      <c r="AB91" s="245" t="s">
        <v>1085</v>
      </c>
      <c r="AC91" s="393" t="s">
        <v>1086</v>
      </c>
      <c r="AD91" s="294" t="s">
        <v>416</v>
      </c>
      <c r="AE91" s="318" t="s">
        <v>424</v>
      </c>
      <c r="AF91" s="319" t="s">
        <v>425</v>
      </c>
      <c r="AG91" s="319">
        <v>1500</v>
      </c>
      <c r="AH91" s="289">
        <v>0</v>
      </c>
      <c r="AI91" s="317">
        <v>46211</v>
      </c>
      <c r="AJ91" s="318"/>
      <c r="AK91" s="318"/>
      <c r="AL91" s="318"/>
      <c r="AM91" s="318"/>
      <c r="AN91" s="318"/>
      <c r="AO91" s="318"/>
    </row>
    <row r="92" s="255" customFormat="1" customHeight="1" spans="1:45">
      <c r="A92" s="354">
        <v>46161</v>
      </c>
      <c r="B92" s="301" t="s">
        <v>480</v>
      </c>
      <c r="C92" s="300" t="s">
        <v>98</v>
      </c>
      <c r="D92" s="304"/>
      <c r="E92" s="301" t="s">
        <v>302</v>
      </c>
      <c r="F92" s="304">
        <v>4724113</v>
      </c>
      <c r="G92" s="302" t="s">
        <v>303</v>
      </c>
      <c r="H92" s="303">
        <v>3000</v>
      </c>
      <c r="I92" s="304">
        <v>6</v>
      </c>
      <c r="J92" s="286">
        <v>500</v>
      </c>
      <c r="K92" s="288">
        <v>46225</v>
      </c>
      <c r="L92" s="386">
        <v>46226</v>
      </c>
      <c r="M92" s="299"/>
      <c r="N92" s="307"/>
      <c r="O92" s="387">
        <v>46232</v>
      </c>
      <c r="P92" s="299">
        <v>46220</v>
      </c>
      <c r="Q92" s="299"/>
      <c r="R92" s="319"/>
      <c r="S92" s="352" t="s">
        <v>1080</v>
      </c>
      <c r="T92" s="318" t="s">
        <v>527</v>
      </c>
      <c r="U92" s="300" t="s">
        <v>1082</v>
      </c>
      <c r="V92" s="352" t="s">
        <v>483</v>
      </c>
      <c r="W92" s="352" t="s">
        <v>706</v>
      </c>
      <c r="X92" s="356" t="s">
        <v>707</v>
      </c>
      <c r="Y92" s="312">
        <v>3.198</v>
      </c>
      <c r="Z92" s="243">
        <v>9594</v>
      </c>
      <c r="AA92" s="244">
        <v>74353.5</v>
      </c>
      <c r="AB92" s="245" t="s">
        <v>1085</v>
      </c>
      <c r="AC92" s="319" t="s">
        <v>415</v>
      </c>
      <c r="AD92" s="294" t="s">
        <v>416</v>
      </c>
      <c r="AE92" s="318" t="s">
        <v>424</v>
      </c>
      <c r="AF92" s="319" t="s">
        <v>425</v>
      </c>
      <c r="AG92" s="319">
        <v>3000</v>
      </c>
      <c r="AH92" s="289">
        <v>0</v>
      </c>
      <c r="AI92" s="317">
        <v>46213</v>
      </c>
      <c r="AJ92" s="318"/>
      <c r="AK92" s="318"/>
      <c r="AL92" s="318"/>
      <c r="AM92" s="318"/>
      <c r="AN92" s="318"/>
      <c r="AO92" s="318"/>
    </row>
    <row r="93" s="255" customFormat="1" customHeight="1" spans="1:45">
      <c r="A93" s="354">
        <v>46106</v>
      </c>
      <c r="B93" s="355" t="s">
        <v>695</v>
      </c>
      <c r="C93" s="299" t="s">
        <v>125</v>
      </c>
      <c r="D93" s="301"/>
      <c r="E93" s="301" t="s">
        <v>243</v>
      </c>
      <c r="F93" s="302">
        <v>1525138</v>
      </c>
      <c r="G93" s="302" t="s">
        <v>244</v>
      </c>
      <c r="H93" s="303">
        <v>1704</v>
      </c>
      <c r="I93" s="304">
        <v>6</v>
      </c>
      <c r="J93" s="286">
        <v>284</v>
      </c>
      <c r="K93" s="280">
        <v>46219</v>
      </c>
      <c r="L93" s="306">
        <v>46220</v>
      </c>
      <c r="M93" s="299"/>
      <c r="N93" s="307"/>
      <c r="O93" s="298">
        <v>46223</v>
      </c>
      <c r="P93" s="299">
        <v>46205</v>
      </c>
      <c r="Q93" s="299"/>
      <c r="R93" s="319"/>
      <c r="S93" s="287" t="s">
        <v>691</v>
      </c>
      <c r="T93" s="295" t="s">
        <v>1087</v>
      </c>
      <c r="U93" s="281" t="s">
        <v>1088</v>
      </c>
      <c r="V93" s="349" t="s">
        <v>697</v>
      </c>
      <c r="W93" s="352" t="s">
        <v>1089</v>
      </c>
      <c r="X93" s="356" t="s">
        <v>1090</v>
      </c>
      <c r="Y93" s="312">
        <v>3.865</v>
      </c>
      <c r="Z93" s="243">
        <v>6585.96</v>
      </c>
      <c r="AA93" s="244">
        <v>51041.19</v>
      </c>
      <c r="AB93" s="245" t="s">
        <v>1091</v>
      </c>
      <c r="AC93" s="319" t="s">
        <v>415</v>
      </c>
      <c r="AD93" s="294" t="s">
        <v>416</v>
      </c>
      <c r="AE93" s="318" t="s">
        <v>424</v>
      </c>
      <c r="AF93" s="318" t="s">
        <v>425</v>
      </c>
      <c r="AG93" s="319">
        <v>1704</v>
      </c>
      <c r="AH93" s="289">
        <v>0</v>
      </c>
      <c r="AI93" s="317">
        <v>46199</v>
      </c>
      <c r="AJ93" s="318"/>
      <c r="AK93" s="318"/>
      <c r="AL93" s="318"/>
      <c r="AM93" s="318"/>
      <c r="AN93" s="318"/>
      <c r="AO93" s="318"/>
    </row>
    <row r="94" s="255" customFormat="1" customHeight="1" spans="1:45">
      <c r="A94" s="354">
        <v>46106</v>
      </c>
      <c r="B94" s="355" t="s">
        <v>695</v>
      </c>
      <c r="C94" s="299" t="s">
        <v>125</v>
      </c>
      <c r="D94" s="301"/>
      <c r="E94" s="301" t="s">
        <v>241</v>
      </c>
      <c r="F94" s="302">
        <v>1526146</v>
      </c>
      <c r="G94" s="302" t="s">
        <v>242</v>
      </c>
      <c r="H94" s="303">
        <v>4002</v>
      </c>
      <c r="I94" s="304">
        <v>6</v>
      </c>
      <c r="J94" s="286">
        <v>667</v>
      </c>
      <c r="K94" s="280">
        <v>46219</v>
      </c>
      <c r="L94" s="306">
        <v>46220</v>
      </c>
      <c r="M94" s="299"/>
      <c r="N94" s="307"/>
      <c r="O94" s="387">
        <v>46223</v>
      </c>
      <c r="P94" s="299">
        <v>46205</v>
      </c>
      <c r="Q94" s="299"/>
      <c r="R94" s="319"/>
      <c r="S94" s="349" t="s">
        <v>1092</v>
      </c>
      <c r="T94" s="318" t="s">
        <v>1093</v>
      </c>
      <c r="U94" s="281" t="s">
        <v>1088</v>
      </c>
      <c r="V94" s="352" t="s">
        <v>697</v>
      </c>
      <c r="W94" s="352" t="s">
        <v>698</v>
      </c>
      <c r="X94" s="350" t="s">
        <v>699</v>
      </c>
      <c r="Y94" s="312">
        <v>2.59</v>
      </c>
      <c r="Z94" s="243">
        <v>10365.18</v>
      </c>
      <c r="AA94" s="244">
        <v>80330.15</v>
      </c>
      <c r="AB94" s="245" t="s">
        <v>1091</v>
      </c>
      <c r="AC94" s="319" t="s">
        <v>415</v>
      </c>
      <c r="AD94" s="294" t="s">
        <v>416</v>
      </c>
      <c r="AE94" s="318" t="s">
        <v>436</v>
      </c>
      <c r="AF94" s="296" t="s">
        <v>425</v>
      </c>
      <c r="AG94" s="319">
        <v>4002</v>
      </c>
      <c r="AH94" s="289">
        <v>0</v>
      </c>
      <c r="AI94" s="317" t="s">
        <v>444</v>
      </c>
      <c r="AJ94" s="318"/>
      <c r="AK94" s="318"/>
      <c r="AL94" s="318"/>
      <c r="AM94" s="318"/>
      <c r="AN94" s="318"/>
      <c r="AO94" s="318"/>
    </row>
    <row r="95" s="255" customFormat="1" customHeight="1" spans="1:45">
      <c r="A95" s="299">
        <v>46083</v>
      </c>
      <c r="B95" s="300" t="s">
        <v>667</v>
      </c>
      <c r="C95" s="299" t="s">
        <v>141</v>
      </c>
      <c r="D95" s="301"/>
      <c r="E95" s="301" t="s">
        <v>184</v>
      </c>
      <c r="F95" s="302">
        <v>4526146</v>
      </c>
      <c r="G95" s="302" t="s">
        <v>185</v>
      </c>
      <c r="H95" s="303">
        <v>8004</v>
      </c>
      <c r="I95" s="304">
        <v>6</v>
      </c>
      <c r="J95" s="286">
        <v>1334</v>
      </c>
      <c r="K95" s="288">
        <v>46224</v>
      </c>
      <c r="L95" s="306">
        <v>46225</v>
      </c>
      <c r="M95" s="299"/>
      <c r="N95" s="307"/>
      <c r="O95" s="298">
        <v>46236</v>
      </c>
      <c r="P95" s="299">
        <v>46209</v>
      </c>
      <c r="Q95" s="299"/>
      <c r="R95" s="308"/>
      <c r="S95" s="309">
        <v>46185</v>
      </c>
      <c r="T95" s="310" t="s">
        <v>1093</v>
      </c>
      <c r="U95" s="300" t="s">
        <v>1052</v>
      </c>
      <c r="V95" s="311" t="s">
        <v>446</v>
      </c>
      <c r="W95" s="311" t="s">
        <v>704</v>
      </c>
      <c r="X95" s="311" t="s">
        <v>690</v>
      </c>
      <c r="Y95" s="312">
        <v>2.57</v>
      </c>
      <c r="Z95" s="243">
        <v>20570.28</v>
      </c>
      <c r="AA95" s="244">
        <v>159419.67</v>
      </c>
      <c r="AB95" s="245" t="s">
        <v>1094</v>
      </c>
      <c r="AC95" s="316" t="s">
        <v>415</v>
      </c>
      <c r="AD95" s="294" t="s">
        <v>416</v>
      </c>
      <c r="AE95" s="318" t="s">
        <v>436</v>
      </c>
      <c r="AF95" s="319" t="s">
        <v>425</v>
      </c>
      <c r="AG95" s="308">
        <v>8004</v>
      </c>
      <c r="AH95" s="289">
        <v>0</v>
      </c>
      <c r="AI95" s="310" t="s">
        <v>1095</v>
      </c>
      <c r="AJ95" s="310"/>
      <c r="AK95" s="310"/>
      <c r="AL95" s="310"/>
      <c r="AM95" s="310"/>
      <c r="AN95" s="310"/>
      <c r="AO95" s="310"/>
    </row>
    <row r="96" s="255" customFormat="1" customHeight="1" spans="1:45">
      <c r="A96" s="299">
        <v>46083</v>
      </c>
      <c r="B96" s="300" t="s">
        <v>667</v>
      </c>
      <c r="C96" s="299" t="s">
        <v>141</v>
      </c>
      <c r="D96" s="301"/>
      <c r="E96" s="301" t="s">
        <v>182</v>
      </c>
      <c r="F96" s="302">
        <v>4525159</v>
      </c>
      <c r="G96" s="302" t="s">
        <v>183</v>
      </c>
      <c r="H96" s="304">
        <v>3000</v>
      </c>
      <c r="I96" s="304">
        <v>6</v>
      </c>
      <c r="J96" s="286">
        <v>500</v>
      </c>
      <c r="K96" s="280">
        <v>46224</v>
      </c>
      <c r="L96" s="306">
        <v>46225</v>
      </c>
      <c r="M96" s="299"/>
      <c r="N96" s="307"/>
      <c r="O96" s="298">
        <v>46236</v>
      </c>
      <c r="P96" s="280">
        <v>46190</v>
      </c>
      <c r="Q96" s="299"/>
      <c r="R96" s="308"/>
      <c r="S96" s="309" t="s">
        <v>691</v>
      </c>
      <c r="T96" s="310" t="s">
        <v>1096</v>
      </c>
      <c r="U96" s="300" t="s">
        <v>895</v>
      </c>
      <c r="V96" s="291" t="s">
        <v>1097</v>
      </c>
      <c r="W96" s="311" t="s">
        <v>671</v>
      </c>
      <c r="X96" s="311" t="s">
        <v>1098</v>
      </c>
      <c r="Y96" s="312">
        <v>3.545</v>
      </c>
      <c r="Z96" s="243">
        <v>10635</v>
      </c>
      <c r="AA96" s="244">
        <v>82421.25</v>
      </c>
      <c r="AB96" s="245" t="s">
        <v>1094</v>
      </c>
      <c r="AC96" s="316" t="s">
        <v>415</v>
      </c>
      <c r="AD96" s="294" t="s">
        <v>416</v>
      </c>
      <c r="AE96" s="318" t="s">
        <v>424</v>
      </c>
      <c r="AF96" s="318" t="s">
        <v>425</v>
      </c>
      <c r="AG96" s="308">
        <v>3000</v>
      </c>
      <c r="AH96" s="289">
        <v>0</v>
      </c>
      <c r="AI96" s="316"/>
      <c r="AJ96" s="310"/>
      <c r="AK96" s="310"/>
      <c r="AL96" s="310"/>
      <c r="AM96" s="310"/>
      <c r="AN96" s="310"/>
      <c r="AO96" s="310"/>
    </row>
    <row r="97" s="255" customFormat="1" customHeight="1" spans="1:45">
      <c r="A97" s="348">
        <v>46112</v>
      </c>
      <c r="B97" s="282" t="s">
        <v>954</v>
      </c>
      <c r="C97" s="280" t="s">
        <v>93</v>
      </c>
      <c r="D97" s="282"/>
      <c r="E97" s="282" t="s">
        <v>251</v>
      </c>
      <c r="F97" s="283">
        <v>1325130</v>
      </c>
      <c r="G97" s="283" t="s">
        <v>252</v>
      </c>
      <c r="H97" s="284">
        <f>7002-5400</f>
        <v>1602</v>
      </c>
      <c r="I97" s="285">
        <v>6</v>
      </c>
      <c r="J97" s="286">
        <f>H97/I97</f>
        <v>267</v>
      </c>
      <c r="K97" s="280">
        <v>46178</v>
      </c>
      <c r="L97" s="298">
        <v>46181</v>
      </c>
      <c r="M97" s="280"/>
      <c r="N97" s="288"/>
      <c r="O97" s="280"/>
      <c r="P97" s="280">
        <v>46181</v>
      </c>
      <c r="Q97" s="122"/>
      <c r="R97" s="296"/>
      <c r="S97" s="287">
        <v>46142</v>
      </c>
      <c r="T97" s="295" t="s">
        <v>481</v>
      </c>
      <c r="U97" s="281" t="s">
        <v>955</v>
      </c>
      <c r="V97" s="291" t="s">
        <v>956</v>
      </c>
      <c r="W97" s="349" t="s">
        <v>957</v>
      </c>
      <c r="X97" s="350" t="s">
        <v>958</v>
      </c>
      <c r="Y97" s="292">
        <v>3.345</v>
      </c>
      <c r="Z97" s="243">
        <f>H97*Y97</f>
        <v>5358.69</v>
      </c>
      <c r="AA97" s="244">
        <f>Z97*7.75</f>
        <v>41529.85</v>
      </c>
      <c r="AB97" s="245" t="s">
        <v>1099</v>
      </c>
      <c r="AC97" s="296" t="s">
        <v>415</v>
      </c>
      <c r="AD97" s="294" t="s">
        <v>416</v>
      </c>
      <c r="AE97" s="295" t="s">
        <v>424</v>
      </c>
      <c r="AF97" s="296" t="s">
        <v>425</v>
      </c>
      <c r="AG97" s="296">
        <f>6120+360+360+162</f>
        <v>7002</v>
      </c>
      <c r="AH97" s="289">
        <f>AG97-H97</f>
        <v>5400</v>
      </c>
      <c r="AI97" s="289"/>
      <c r="AJ97" s="289"/>
      <c r="AK97" s="296"/>
      <c r="AL97" s="296"/>
      <c r="AM97" s="295"/>
      <c r="AN97" s="295"/>
      <c r="AO97" s="295"/>
      <c r="AP97" s="295"/>
      <c r="AQ97" s="295"/>
      <c r="AR97" s="295"/>
      <c r="AS97" s="295"/>
    </row>
    <row r="98" s="255" customFormat="1" customHeight="1" spans="1:45">
      <c r="A98" s="354">
        <v>46141</v>
      </c>
      <c r="B98" s="301" t="s">
        <v>777</v>
      </c>
      <c r="C98" s="300" t="s">
        <v>93</v>
      </c>
      <c r="D98" s="301"/>
      <c r="E98" s="301" t="s">
        <v>278</v>
      </c>
      <c r="F98" s="302">
        <v>1324138</v>
      </c>
      <c r="G98" s="302" t="s">
        <v>279</v>
      </c>
      <c r="H98" s="303">
        <v>3000</v>
      </c>
      <c r="I98" s="304">
        <v>6</v>
      </c>
      <c r="J98" s="286">
        <v>500</v>
      </c>
      <c r="K98" s="280">
        <v>46220</v>
      </c>
      <c r="L98" s="306">
        <v>46224</v>
      </c>
      <c r="M98" s="299"/>
      <c r="N98" s="307"/>
      <c r="O98" s="298">
        <v>46237</v>
      </c>
      <c r="P98" s="299">
        <v>46204</v>
      </c>
      <c r="Q98" s="299"/>
      <c r="R98" s="319"/>
      <c r="S98" s="352" t="s">
        <v>1100</v>
      </c>
      <c r="T98" s="318" t="s">
        <v>1101</v>
      </c>
      <c r="U98" s="281" t="s">
        <v>1102</v>
      </c>
      <c r="V98" s="352" t="s">
        <v>433</v>
      </c>
      <c r="W98" s="352" t="s">
        <v>781</v>
      </c>
      <c r="X98" s="356" t="s">
        <v>1103</v>
      </c>
      <c r="Y98" s="312">
        <v>3.865</v>
      </c>
      <c r="Z98" s="243">
        <v>11595</v>
      </c>
      <c r="AA98" s="244">
        <v>89861.25</v>
      </c>
      <c r="AB98" s="245" t="s">
        <v>1099</v>
      </c>
      <c r="AC98" s="319" t="s">
        <v>415</v>
      </c>
      <c r="AD98" s="294" t="s">
        <v>416</v>
      </c>
      <c r="AE98" s="318" t="s">
        <v>424</v>
      </c>
      <c r="AF98" s="295" t="s">
        <v>425</v>
      </c>
      <c r="AG98" s="319">
        <v>3000</v>
      </c>
      <c r="AH98" s="289">
        <v>0</v>
      </c>
      <c r="AI98" s="317">
        <v>46205</v>
      </c>
      <c r="AJ98" s="318"/>
      <c r="AK98" s="318"/>
      <c r="AL98" s="318"/>
      <c r="AM98" s="318"/>
      <c r="AN98" s="318"/>
      <c r="AO98" s="318"/>
    </row>
    <row r="99" s="255" customFormat="1" customHeight="1" spans="1:45">
      <c r="A99" s="354">
        <v>46141</v>
      </c>
      <c r="B99" s="301" t="s">
        <v>777</v>
      </c>
      <c r="C99" s="300" t="s">
        <v>93</v>
      </c>
      <c r="D99" s="304"/>
      <c r="E99" s="301" t="s">
        <v>278</v>
      </c>
      <c r="F99" s="304">
        <v>1326146</v>
      </c>
      <c r="G99" s="302" t="s">
        <v>277</v>
      </c>
      <c r="H99" s="303">
        <v>600</v>
      </c>
      <c r="I99" s="390">
        <v>6</v>
      </c>
      <c r="J99" s="391">
        <v>100</v>
      </c>
      <c r="K99" s="280">
        <v>46220</v>
      </c>
      <c r="L99" s="386">
        <v>46224</v>
      </c>
      <c r="M99" s="299"/>
      <c r="N99" s="307"/>
      <c r="O99" s="387">
        <v>46237</v>
      </c>
      <c r="P99" s="307">
        <v>46204</v>
      </c>
      <c r="Q99" s="299"/>
      <c r="R99" s="296"/>
      <c r="S99" s="352" t="s">
        <v>1092</v>
      </c>
      <c r="T99" s="318" t="s">
        <v>481</v>
      </c>
      <c r="U99" s="300" t="s">
        <v>1102</v>
      </c>
      <c r="V99" s="352" t="s">
        <v>433</v>
      </c>
      <c r="W99" s="352" t="s">
        <v>1104</v>
      </c>
      <c r="X99" s="356" t="s">
        <v>1103</v>
      </c>
      <c r="Y99" s="312">
        <v>2.59</v>
      </c>
      <c r="Z99" s="243">
        <v>1554</v>
      </c>
      <c r="AA99" s="244">
        <v>12043.5</v>
      </c>
      <c r="AB99" s="245" t="s">
        <v>1099</v>
      </c>
      <c r="AC99" s="319" t="s">
        <v>415</v>
      </c>
      <c r="AD99" s="294" t="s">
        <v>416</v>
      </c>
      <c r="AE99" s="318" t="s">
        <v>436</v>
      </c>
      <c r="AF99" s="296" t="s">
        <v>425</v>
      </c>
      <c r="AG99" s="319">
        <v>600</v>
      </c>
      <c r="AH99" s="289">
        <v>0</v>
      </c>
      <c r="AI99" s="317">
        <v>46218</v>
      </c>
      <c r="AJ99" s="318"/>
      <c r="AK99" s="318"/>
      <c r="AL99" s="318"/>
      <c r="AM99" s="318"/>
      <c r="AN99" s="318"/>
      <c r="AO99" s="318"/>
    </row>
    <row r="100" s="255" customFormat="1" customHeight="1" spans="1:45">
      <c r="A100" s="354">
        <v>46141</v>
      </c>
      <c r="B100" s="301" t="s">
        <v>777</v>
      </c>
      <c r="C100" s="300" t="s">
        <v>93</v>
      </c>
      <c r="D100" s="301"/>
      <c r="E100" s="301" t="s">
        <v>278</v>
      </c>
      <c r="F100" s="302">
        <v>1325107</v>
      </c>
      <c r="G100" s="302" t="s">
        <v>280</v>
      </c>
      <c r="H100" s="303">
        <v>3204</v>
      </c>
      <c r="I100" s="304">
        <v>6</v>
      </c>
      <c r="J100" s="286">
        <v>534</v>
      </c>
      <c r="K100" s="280">
        <v>46223</v>
      </c>
      <c r="L100" s="306">
        <v>46224</v>
      </c>
      <c r="M100" s="299"/>
      <c r="N100" s="307"/>
      <c r="O100" s="387">
        <v>46228</v>
      </c>
      <c r="P100" s="299">
        <v>46204</v>
      </c>
      <c r="Q100" s="299"/>
      <c r="R100" s="319"/>
      <c r="S100" s="352" t="s">
        <v>1105</v>
      </c>
      <c r="T100" s="318" t="s">
        <v>1106</v>
      </c>
      <c r="U100" s="300" t="s">
        <v>1102</v>
      </c>
      <c r="V100" s="352" t="s">
        <v>433</v>
      </c>
      <c r="W100" s="352" t="s">
        <v>1107</v>
      </c>
      <c r="X100" s="356" t="s">
        <v>1103</v>
      </c>
      <c r="Y100" s="292">
        <v>3.912</v>
      </c>
      <c r="Z100" s="243">
        <v>12534.05</v>
      </c>
      <c r="AA100" s="244">
        <v>97138.89</v>
      </c>
      <c r="AB100" s="245" t="s">
        <v>1099</v>
      </c>
      <c r="AC100" s="319" t="s">
        <v>415</v>
      </c>
      <c r="AD100" s="294" t="s">
        <v>416</v>
      </c>
      <c r="AE100" s="318" t="s">
        <v>436</v>
      </c>
      <c r="AF100" s="295" t="s">
        <v>425</v>
      </c>
      <c r="AG100" s="319">
        <v>3204</v>
      </c>
      <c r="AH100" s="289">
        <v>0</v>
      </c>
      <c r="AI100" s="317">
        <v>46202</v>
      </c>
      <c r="AJ100" s="318"/>
      <c r="AK100" s="318"/>
      <c r="AL100" s="318"/>
      <c r="AM100" s="318"/>
      <c r="AN100" s="318"/>
      <c r="AO100" s="318"/>
    </row>
    <row r="101" s="255" customFormat="1" customHeight="1" spans="1:45">
      <c r="A101" s="394">
        <v>46141</v>
      </c>
      <c r="B101" s="388" t="s">
        <v>777</v>
      </c>
      <c r="C101" s="300" t="s">
        <v>93</v>
      </c>
      <c r="D101" s="388"/>
      <c r="E101" s="301" t="s">
        <v>276</v>
      </c>
      <c r="F101" s="302">
        <v>1326146</v>
      </c>
      <c r="G101" s="302" t="s">
        <v>277</v>
      </c>
      <c r="H101" s="303">
        <v>5400</v>
      </c>
      <c r="I101" s="390">
        <v>6</v>
      </c>
      <c r="J101" s="391">
        <v>900</v>
      </c>
      <c r="K101" s="280">
        <v>46220</v>
      </c>
      <c r="L101" s="386">
        <v>46224</v>
      </c>
      <c r="M101" s="299"/>
      <c r="N101" s="307"/>
      <c r="O101" s="387">
        <v>46237</v>
      </c>
      <c r="P101" s="307">
        <v>46204</v>
      </c>
      <c r="Q101" s="299"/>
      <c r="R101" s="319"/>
      <c r="S101" s="352" t="s">
        <v>1092</v>
      </c>
      <c r="T101" s="295" t="s">
        <v>481</v>
      </c>
      <c r="U101" s="300" t="s">
        <v>1102</v>
      </c>
      <c r="V101" s="352" t="s">
        <v>433</v>
      </c>
      <c r="W101" s="352" t="s">
        <v>1108</v>
      </c>
      <c r="X101" s="356" t="s">
        <v>1103</v>
      </c>
      <c r="Y101" s="312">
        <v>2.59</v>
      </c>
      <c r="Z101" s="243">
        <v>13986</v>
      </c>
      <c r="AA101" s="244">
        <v>108391.5</v>
      </c>
      <c r="AB101" s="245" t="s">
        <v>1099</v>
      </c>
      <c r="AC101" s="319" t="s">
        <v>415</v>
      </c>
      <c r="AD101" s="294" t="s">
        <v>416</v>
      </c>
      <c r="AE101" s="318" t="s">
        <v>436</v>
      </c>
      <c r="AF101" s="296" t="s">
        <v>425</v>
      </c>
      <c r="AG101" s="319">
        <v>5400</v>
      </c>
      <c r="AH101" s="289">
        <v>0</v>
      </c>
      <c r="AI101" s="317">
        <v>46217</v>
      </c>
      <c r="AJ101" s="318"/>
      <c r="AK101" s="318"/>
      <c r="AL101" s="318"/>
      <c r="AM101" s="318"/>
      <c r="AN101" s="318"/>
      <c r="AO101" s="318"/>
    </row>
    <row r="102" s="255" customFormat="1" customHeight="1" spans="1:45">
      <c r="A102" s="354">
        <v>46114</v>
      </c>
      <c r="B102" s="301" t="s">
        <v>1109</v>
      </c>
      <c r="C102" s="299" t="s">
        <v>91</v>
      </c>
      <c r="D102" s="301"/>
      <c r="E102" s="301" t="s">
        <v>253</v>
      </c>
      <c r="F102" s="302">
        <v>1424113</v>
      </c>
      <c r="G102" s="302" t="s">
        <v>254</v>
      </c>
      <c r="H102" s="303">
        <v>20010</v>
      </c>
      <c r="I102" s="304">
        <v>6</v>
      </c>
      <c r="J102" s="286">
        <v>3335</v>
      </c>
      <c r="K102" s="280">
        <v>46215</v>
      </c>
      <c r="L102" s="306">
        <v>46217</v>
      </c>
      <c r="M102" s="299"/>
      <c r="N102" s="307"/>
      <c r="O102" s="298">
        <v>46237</v>
      </c>
      <c r="P102" s="280">
        <v>46219</v>
      </c>
      <c r="Q102" s="299"/>
      <c r="R102" s="319"/>
      <c r="S102" s="309">
        <v>46172</v>
      </c>
      <c r="T102" s="295" t="s">
        <v>1110</v>
      </c>
      <c r="U102" s="281" t="s">
        <v>1111</v>
      </c>
      <c r="V102" s="349" t="s">
        <v>441</v>
      </c>
      <c r="W102" s="352" t="s">
        <v>1112</v>
      </c>
      <c r="X102" s="356" t="s">
        <v>1113</v>
      </c>
      <c r="Y102" s="312">
        <v>3.105</v>
      </c>
      <c r="Z102" s="243">
        <v>62131.05</v>
      </c>
      <c r="AA102" s="244">
        <v>481515.64</v>
      </c>
      <c r="AB102" s="245" t="s">
        <v>1114</v>
      </c>
      <c r="AC102" s="319" t="s">
        <v>415</v>
      </c>
      <c r="AD102" s="294" t="s">
        <v>416</v>
      </c>
      <c r="AE102" s="295" t="s">
        <v>424</v>
      </c>
      <c r="AF102" s="319" t="s">
        <v>425</v>
      </c>
      <c r="AG102" s="319">
        <v>20010</v>
      </c>
      <c r="AH102" s="289">
        <v>0</v>
      </c>
      <c r="AI102" s="317">
        <v>46210</v>
      </c>
      <c r="AJ102" s="318"/>
      <c r="AK102" s="318"/>
      <c r="AL102" s="318"/>
      <c r="AM102" s="318"/>
      <c r="AN102" s="318"/>
      <c r="AO102" s="318"/>
    </row>
    <row r="103" s="255" customFormat="1" customHeight="1" spans="1:45">
      <c r="A103" s="299"/>
      <c r="B103" s="300"/>
      <c r="C103" s="299"/>
      <c r="D103" s="301"/>
      <c r="E103" s="301"/>
      <c r="F103" s="302"/>
      <c r="G103" s="302"/>
      <c r="H103" s="304"/>
      <c r="I103" s="304"/>
      <c r="J103" s="286"/>
      <c r="K103" s="299"/>
      <c r="L103" s="306"/>
      <c r="M103" s="299"/>
      <c r="N103" s="307"/>
      <c r="O103" s="298"/>
      <c r="P103" s="299"/>
      <c r="Q103" s="299"/>
      <c r="R103" s="308"/>
      <c r="S103" s="287"/>
      <c r="T103" s="290"/>
      <c r="U103" s="281"/>
      <c r="V103" s="311"/>
      <c r="W103" s="311"/>
      <c r="X103" s="311"/>
      <c r="Y103" s="312"/>
      <c r="Z103" s="243"/>
      <c r="AA103" s="244"/>
      <c r="AB103" s="245"/>
      <c r="AC103" s="293"/>
      <c r="AD103" s="294"/>
      <c r="AE103" s="295"/>
      <c r="AF103" s="296"/>
      <c r="AG103" s="308"/>
      <c r="AH103" s="289"/>
      <c r="AI103" s="195"/>
      <c r="AJ103" s="195"/>
      <c r="AK103" s="195"/>
      <c r="AL103" s="195"/>
      <c r="AM103" s="317"/>
      <c r="AN103" s="310"/>
      <c r="AO103" s="310"/>
      <c r="AP103" s="310"/>
      <c r="AQ103" s="310"/>
      <c r="AR103" s="358"/>
      <c r="AS103" s="358"/>
    </row>
    <row r="104" s="255" customFormat="1" customHeight="1" spans="1:45">
      <c r="A104" s="299"/>
      <c r="B104" s="300"/>
      <c r="C104" s="299"/>
      <c r="D104" s="301"/>
      <c r="E104" s="301"/>
      <c r="F104" s="302"/>
      <c r="G104" s="302"/>
      <c r="H104" s="304"/>
      <c r="I104" s="304"/>
      <c r="J104" s="286"/>
      <c r="K104" s="299"/>
      <c r="L104" s="306"/>
      <c r="M104" s="299"/>
      <c r="N104" s="307"/>
      <c r="O104" s="298"/>
      <c r="P104" s="299"/>
      <c r="Q104" s="299"/>
      <c r="R104" s="308"/>
      <c r="S104" s="287"/>
      <c r="T104" s="290"/>
      <c r="U104" s="281"/>
      <c r="V104" s="311"/>
      <c r="W104" s="311"/>
      <c r="X104" s="311"/>
      <c r="Y104" s="312"/>
      <c r="Z104" s="243"/>
      <c r="AA104" s="244"/>
      <c r="AB104" s="245"/>
      <c r="AC104" s="293"/>
      <c r="AD104" s="294"/>
      <c r="AE104" s="295"/>
      <c r="AF104" s="296"/>
      <c r="AG104" s="308"/>
      <c r="AH104" s="289"/>
      <c r="AI104" s="195"/>
      <c r="AJ104" s="195"/>
      <c r="AK104" s="195"/>
      <c r="AL104" s="195"/>
      <c r="AM104" s="317"/>
      <c r="AN104" s="310"/>
      <c r="AO104" s="310"/>
      <c r="AP104" s="310"/>
      <c r="AQ104" s="310"/>
      <c r="AR104" s="358"/>
      <c r="AS104" s="358"/>
    </row>
    <row r="105" s="255" customFormat="1" customHeight="1" spans="1:45">
      <c r="A105" s="299"/>
      <c r="B105" s="300"/>
      <c r="C105" s="299"/>
      <c r="D105" s="301"/>
      <c r="E105" s="301"/>
      <c r="F105" s="302"/>
      <c r="G105" s="302"/>
      <c r="H105" s="304"/>
      <c r="I105" s="304"/>
      <c r="J105" s="286"/>
      <c r="K105" s="299"/>
      <c r="L105" s="306"/>
      <c r="M105" s="299"/>
      <c r="N105" s="307"/>
      <c r="O105" s="298"/>
      <c r="P105" s="299"/>
      <c r="Q105" s="299"/>
      <c r="R105" s="308"/>
      <c r="S105" s="287"/>
      <c r="T105" s="290"/>
      <c r="U105" s="281"/>
      <c r="V105" s="311"/>
      <c r="W105" s="311"/>
      <c r="X105" s="311"/>
      <c r="Y105" s="312"/>
      <c r="Z105" s="243"/>
      <c r="AA105" s="244"/>
      <c r="AB105" s="245"/>
      <c r="AC105" s="293"/>
      <c r="AD105" s="294"/>
      <c r="AE105" s="295"/>
      <c r="AF105" s="296"/>
      <c r="AG105" s="308"/>
      <c r="AH105" s="289"/>
      <c r="AI105" s="195"/>
      <c r="AJ105" s="195"/>
      <c r="AK105" s="195"/>
      <c r="AL105" s="195"/>
      <c r="AM105" s="317"/>
      <c r="AN105" s="310"/>
      <c r="AO105" s="310"/>
      <c r="AP105" s="310"/>
      <c r="AQ105" s="310"/>
      <c r="AR105" s="358"/>
      <c r="AS105" s="358"/>
    </row>
    <row r="106" s="255" customFormat="1" customHeight="1" spans="1:45">
      <c r="A106" s="299"/>
      <c r="B106" s="300"/>
      <c r="C106" s="299"/>
      <c r="D106" s="301"/>
      <c r="E106" s="301"/>
      <c r="F106" s="302"/>
      <c r="G106" s="302"/>
      <c r="H106" s="304"/>
      <c r="I106" s="304"/>
      <c r="J106" s="286"/>
      <c r="K106" s="299"/>
      <c r="L106" s="306"/>
      <c r="M106" s="299"/>
      <c r="N106" s="307"/>
      <c r="O106" s="298"/>
      <c r="P106" s="299"/>
      <c r="Q106" s="299"/>
      <c r="R106" s="308"/>
      <c r="S106" s="287"/>
      <c r="T106" s="290"/>
      <c r="U106" s="281"/>
      <c r="V106" s="311"/>
      <c r="W106" s="311"/>
      <c r="X106" s="311"/>
      <c r="Y106" s="312"/>
      <c r="Z106" s="243"/>
      <c r="AA106" s="244"/>
      <c r="AB106" s="245"/>
      <c r="AC106" s="293"/>
      <c r="AD106" s="294"/>
      <c r="AE106" s="295"/>
      <c r="AF106" s="296"/>
      <c r="AG106" s="308"/>
      <c r="AH106" s="289"/>
      <c r="AI106" s="195"/>
      <c r="AJ106" s="195"/>
      <c r="AK106" s="195"/>
      <c r="AL106" s="195"/>
      <c r="AM106" s="317"/>
      <c r="AN106" s="310"/>
      <c r="AO106" s="310"/>
      <c r="AP106" s="310"/>
      <c r="AQ106" s="310"/>
      <c r="AR106" s="358"/>
      <c r="AS106" s="358"/>
    </row>
    <row r="107" s="255" customFormat="1" customHeight="1" spans="1:45">
      <c r="A107" s="299"/>
      <c r="B107" s="300"/>
      <c r="C107" s="299"/>
      <c r="D107" s="301"/>
      <c r="E107" s="301"/>
      <c r="F107" s="302"/>
      <c r="G107" s="302"/>
      <c r="H107" s="304"/>
      <c r="I107" s="304"/>
      <c r="J107" s="286"/>
      <c r="K107" s="299"/>
      <c r="L107" s="306"/>
      <c r="M107" s="299"/>
      <c r="N107" s="307"/>
      <c r="O107" s="298"/>
      <c r="P107" s="299"/>
      <c r="Q107" s="299"/>
      <c r="R107" s="308"/>
      <c r="S107" s="287"/>
      <c r="T107" s="290"/>
      <c r="U107" s="281"/>
      <c r="V107" s="311"/>
      <c r="W107" s="311"/>
      <c r="X107" s="311"/>
      <c r="Y107" s="312"/>
      <c r="Z107" s="243"/>
      <c r="AA107" s="244"/>
      <c r="AB107" s="245"/>
      <c r="AC107" s="293"/>
      <c r="AD107" s="294"/>
      <c r="AE107" s="295"/>
      <c r="AF107" s="296"/>
      <c r="AG107" s="308"/>
      <c r="AH107" s="289"/>
      <c r="AI107" s="195"/>
      <c r="AJ107" s="195"/>
      <c r="AK107" s="195"/>
      <c r="AL107" s="195"/>
      <c r="AM107" s="317"/>
      <c r="AN107" s="310"/>
      <c r="AO107" s="310"/>
      <c r="AP107" s="310"/>
      <c r="AQ107" s="310"/>
      <c r="AR107" s="358"/>
      <c r="AS107" s="358"/>
    </row>
    <row r="108" s="255" customFormat="1" customHeight="1" spans="1:45">
      <c r="A108" s="299"/>
      <c r="B108" s="300"/>
      <c r="C108" s="299"/>
      <c r="D108" s="301"/>
      <c r="E108" s="301"/>
      <c r="F108" s="302"/>
      <c r="G108" s="302"/>
      <c r="H108" s="304"/>
      <c r="I108" s="304"/>
      <c r="J108" s="286"/>
      <c r="K108" s="299"/>
      <c r="L108" s="306"/>
      <c r="M108" s="299"/>
      <c r="N108" s="307"/>
      <c r="O108" s="298"/>
      <c r="P108" s="299"/>
      <c r="Q108" s="299"/>
      <c r="R108" s="308"/>
      <c r="S108" s="287"/>
      <c r="T108" s="290"/>
      <c r="U108" s="281"/>
      <c r="V108" s="311"/>
      <c r="W108" s="311"/>
      <c r="X108" s="311"/>
      <c r="Y108" s="312"/>
      <c r="Z108" s="243"/>
      <c r="AA108" s="244"/>
      <c r="AB108" s="245"/>
      <c r="AC108" s="293"/>
      <c r="AD108" s="294"/>
      <c r="AE108" s="295"/>
      <c r="AF108" s="296"/>
      <c r="AG108" s="308"/>
      <c r="AH108" s="289"/>
      <c r="AI108" s="195"/>
      <c r="AJ108" s="195"/>
      <c r="AK108" s="195"/>
      <c r="AL108" s="195"/>
      <c r="AM108" s="317"/>
      <c r="AN108" s="310"/>
      <c r="AO108" s="310"/>
      <c r="AP108" s="310"/>
      <c r="AQ108" s="310"/>
      <c r="AR108" s="358"/>
      <c r="AS108" s="358"/>
    </row>
    <row r="109" s="255" customFormat="1" customHeight="1" spans="1:45">
      <c r="A109" s="299"/>
      <c r="B109" s="300"/>
      <c r="C109" s="299"/>
      <c r="D109" s="301"/>
      <c r="E109" s="301"/>
      <c r="F109" s="302"/>
      <c r="G109" s="302"/>
      <c r="H109" s="304"/>
      <c r="I109" s="304"/>
      <c r="J109" s="286"/>
      <c r="K109" s="299"/>
      <c r="L109" s="306"/>
      <c r="M109" s="299"/>
      <c r="N109" s="307"/>
      <c r="O109" s="298"/>
      <c r="P109" s="299"/>
      <c r="Q109" s="299"/>
      <c r="R109" s="308"/>
      <c r="S109" s="287"/>
      <c r="T109" s="290"/>
      <c r="U109" s="281"/>
      <c r="V109" s="311"/>
      <c r="W109" s="311"/>
      <c r="X109" s="311"/>
      <c r="Y109" s="312"/>
      <c r="Z109" s="243"/>
      <c r="AA109" s="244"/>
      <c r="AB109" s="245"/>
      <c r="AC109" s="293"/>
      <c r="AD109" s="294"/>
      <c r="AE109" s="295"/>
      <c r="AF109" s="296"/>
      <c r="AG109" s="308"/>
      <c r="AH109" s="289"/>
      <c r="AI109" s="195"/>
      <c r="AJ109" s="195"/>
      <c r="AK109" s="195"/>
      <c r="AL109" s="195"/>
      <c r="AM109" s="317"/>
      <c r="AN109" s="310"/>
      <c r="AO109" s="310"/>
      <c r="AP109" s="310"/>
      <c r="AQ109" s="310"/>
      <c r="AR109" s="358"/>
      <c r="AS109" s="358"/>
    </row>
    <row r="110" s="255" customFormat="1" customHeight="1" spans="1:45">
      <c r="A110" s="280"/>
      <c r="B110" s="281"/>
      <c r="C110" s="280"/>
      <c r="D110" s="282"/>
      <c r="E110" s="282"/>
      <c r="F110" s="283"/>
      <c r="G110" s="283"/>
      <c r="H110" s="351"/>
      <c r="I110" s="285"/>
      <c r="J110" s="286"/>
      <c r="K110" s="280"/>
      <c r="L110" s="298"/>
      <c r="M110" s="280"/>
      <c r="N110" s="288"/>
      <c r="O110" s="280"/>
      <c r="P110" s="280"/>
      <c r="Q110" s="144"/>
      <c r="R110" s="289"/>
      <c r="S110" s="287"/>
      <c r="T110" s="290"/>
      <c r="U110" s="281"/>
      <c r="V110" s="349"/>
      <c r="W110" s="291"/>
      <c r="X110" s="291"/>
      <c r="Y110" s="292"/>
      <c r="Z110" s="243"/>
      <c r="AA110" s="244"/>
      <c r="AB110" s="245"/>
      <c r="AC110" s="293"/>
      <c r="AD110" s="294"/>
      <c r="AE110" s="295"/>
      <c r="AF110" s="296"/>
      <c r="AG110" s="289"/>
      <c r="AH110" s="289"/>
      <c r="AI110" s="289"/>
      <c r="AJ110" s="289"/>
      <c r="AK110" s="289"/>
      <c r="AL110" s="289"/>
      <c r="AM110" s="290"/>
      <c r="AN110" s="290"/>
      <c r="AO110" s="290"/>
      <c r="AP110" s="290"/>
      <c r="AQ110" s="290"/>
      <c r="AR110" s="358"/>
      <c r="AS110" s="358"/>
    </row>
    <row r="111" s="11" customFormat="1" customHeight="1" spans="1:45">
      <c r="A111" s="71"/>
      <c r="B111" s="35"/>
      <c r="C111" s="251"/>
      <c r="D111" s="72"/>
      <c r="E111" s="72"/>
      <c r="F111" s="73"/>
      <c r="G111" s="73"/>
      <c r="H111" s="74">
        <f>SUM(H1:H49)</f>
        <v>266254</v>
      </c>
      <c r="I111" s="75"/>
      <c r="J111" s="76"/>
      <c r="K111" s="71"/>
      <c r="L111" s="71"/>
      <c r="M111" s="71"/>
      <c r="N111" s="77"/>
      <c r="O111" s="71"/>
      <c r="P111" s="71"/>
      <c r="Q111" s="71"/>
      <c r="R111" s="79"/>
      <c r="S111" s="35"/>
      <c r="T111" s="80"/>
      <c r="U111" s="35"/>
      <c r="V111" s="81"/>
      <c r="W111" s="81"/>
      <c r="X111" s="81"/>
      <c r="Y111" s="82"/>
      <c r="Z111" s="83">
        <f>SUM(Z1:Z110)</f>
        <v>1746516.85</v>
      </c>
      <c r="AA111" s="83">
        <f>SUM(AA2:AA110)</f>
        <v>13535505.68</v>
      </c>
      <c r="AB111" s="85"/>
      <c r="AC111" s="86"/>
      <c r="AD111" s="87"/>
      <c r="AE111" s="28"/>
      <c r="AF111" s="88"/>
      <c r="AG111" s="79"/>
      <c r="AH111" s="79"/>
      <c r="AI111" s="79"/>
      <c r="AJ111" s="79"/>
      <c r="AK111" s="80"/>
      <c r="AL111" s="80"/>
      <c r="AM111" s="80"/>
      <c r="AN111" s="80"/>
      <c r="AO111" s="80"/>
      <c r="AP111" s="80"/>
      <c r="AQ111" s="80"/>
    </row>
    <row r="112" s="13" customFormat="1" customHeight="1" spans="1:45">
      <c r="A112" s="89"/>
      <c r="B112" s="90"/>
      <c r="C112" s="253"/>
      <c r="D112" s="91"/>
      <c r="E112" s="91"/>
      <c r="F112" s="92"/>
      <c r="G112" s="92"/>
      <c r="H112" s="93"/>
      <c r="I112" s="94"/>
      <c r="J112" s="95"/>
      <c r="K112" s="89"/>
      <c r="L112" s="89"/>
      <c r="M112" s="89"/>
      <c r="N112" s="96"/>
      <c r="O112" s="89"/>
      <c r="P112" s="89"/>
      <c r="Q112" s="89"/>
      <c r="R112" s="98"/>
      <c r="S112" s="90"/>
      <c r="T112" s="99"/>
      <c r="U112" s="90"/>
      <c r="V112" s="100"/>
      <c r="W112" s="100"/>
      <c r="X112" s="100"/>
      <c r="Y112" s="101"/>
      <c r="Z112" s="102"/>
      <c r="AA112" s="103"/>
      <c r="AB112" s="104"/>
      <c r="AC112" s="105"/>
      <c r="AD112" s="106"/>
      <c r="AE112" s="107"/>
      <c r="AF112" s="108"/>
      <c r="AG112" s="98"/>
      <c r="AH112" s="98"/>
      <c r="AI112" s="98"/>
      <c r="AJ112" s="98"/>
      <c r="AK112" s="99"/>
      <c r="AL112" s="99"/>
      <c r="AM112" s="99"/>
      <c r="AN112" s="99"/>
      <c r="AO112" s="99"/>
      <c r="AP112" s="99"/>
      <c r="AQ112" s="99"/>
    </row>
    <row r="113" s="13" customFormat="1" customHeight="1" spans="1:43">
      <c r="A113" s="89"/>
      <c r="B113" s="90"/>
      <c r="C113" s="253"/>
      <c r="D113" s="94"/>
      <c r="E113" s="94"/>
      <c r="F113" s="94"/>
      <c r="G113" s="92"/>
      <c r="H113" s="93"/>
      <c r="I113" s="94"/>
      <c r="J113" s="109"/>
      <c r="K113" s="89"/>
      <c r="L113" s="89"/>
      <c r="M113" s="89"/>
      <c r="N113" s="96"/>
      <c r="O113" s="89"/>
      <c r="P113" s="89"/>
      <c r="Q113" s="89"/>
      <c r="R113" s="110"/>
      <c r="S113" s="90"/>
      <c r="T113" s="111"/>
      <c r="U113" s="90"/>
      <c r="V113" s="112"/>
      <c r="W113" s="112"/>
      <c r="X113" s="113"/>
      <c r="Y113" s="101"/>
      <c r="Z113" s="102"/>
      <c r="AA113" s="114"/>
      <c r="AB113" s="115"/>
      <c r="AC113" s="108"/>
      <c r="AD113" s="116"/>
      <c r="AE113" s="111"/>
      <c r="AF113" s="110"/>
      <c r="AG113" s="110"/>
      <c r="AH113" s="110"/>
      <c r="AI113" s="110"/>
      <c r="AJ113" s="110"/>
      <c r="AK113" s="111"/>
      <c r="AL113" s="111"/>
      <c r="AM113" s="111"/>
      <c r="AN113" s="111"/>
      <c r="AO113" s="111"/>
      <c r="AP113" s="111"/>
      <c r="AQ113" s="111"/>
    </row>
    <row r="114" s="13" customFormat="1" customHeight="1" spans="1:43">
      <c r="A114" s="89"/>
      <c r="B114" s="90"/>
      <c r="C114" s="253"/>
      <c r="D114" s="94"/>
      <c r="E114" s="94"/>
      <c r="F114" s="94"/>
      <c r="G114" s="92"/>
      <c r="H114" s="93"/>
      <c r="I114" s="94"/>
      <c r="J114" s="109"/>
      <c r="K114" s="89"/>
      <c r="L114" s="89"/>
      <c r="M114" s="89"/>
      <c r="N114" s="96"/>
      <c r="O114" s="89"/>
      <c r="P114" s="89"/>
      <c r="Q114" s="89"/>
      <c r="R114" s="110"/>
      <c r="S114" s="90"/>
      <c r="T114" s="111"/>
      <c r="U114" s="90"/>
      <c r="V114" s="112"/>
      <c r="W114" s="112"/>
      <c r="X114" s="113"/>
      <c r="Y114" s="101"/>
      <c r="Z114" s="102"/>
      <c r="AA114" s="114"/>
      <c r="AB114" s="115"/>
      <c r="AC114" s="108"/>
      <c r="AD114" s="116"/>
      <c r="AE114" s="111"/>
      <c r="AF114" s="110"/>
      <c r="AG114" s="110"/>
      <c r="AH114" s="110"/>
      <c r="AI114" s="110"/>
      <c r="AJ114" s="110"/>
      <c r="AK114" s="111"/>
      <c r="AL114" s="111"/>
      <c r="AM114" s="111"/>
      <c r="AN114" s="111"/>
      <c r="AO114" s="111"/>
      <c r="AP114" s="111"/>
      <c r="AQ114" s="111"/>
    </row>
    <row r="115" s="13" customFormat="1" customHeight="1" spans="1:43">
      <c r="A115" s="89"/>
      <c r="B115" s="90"/>
      <c r="C115" s="253"/>
      <c r="D115" s="94"/>
      <c r="E115" s="94"/>
      <c r="F115" s="94"/>
      <c r="G115" s="92"/>
      <c r="H115" s="93"/>
      <c r="I115" s="94"/>
      <c r="J115" s="109"/>
      <c r="K115" s="89"/>
      <c r="L115" s="89"/>
      <c r="M115" s="89"/>
      <c r="N115" s="96"/>
      <c r="O115" s="89"/>
      <c r="P115" s="89"/>
      <c r="Q115" s="89"/>
      <c r="R115" s="110"/>
      <c r="S115" s="90"/>
      <c r="T115" s="111"/>
      <c r="U115" s="90"/>
      <c r="V115" s="112"/>
      <c r="W115" s="112"/>
      <c r="X115" s="113"/>
      <c r="Y115" s="101"/>
      <c r="Z115" s="102"/>
      <c r="AA115" s="114"/>
      <c r="AB115" s="115"/>
      <c r="AC115" s="108"/>
      <c r="AD115" s="116"/>
      <c r="AE115" s="111"/>
      <c r="AF115" s="110"/>
      <c r="AG115" s="110"/>
      <c r="AH115" s="110"/>
      <c r="AI115" s="110"/>
      <c r="AJ115" s="110"/>
      <c r="AK115" s="111"/>
      <c r="AL115" s="111"/>
      <c r="AM115" s="111"/>
      <c r="AN115" s="111"/>
      <c r="AO115" s="111"/>
      <c r="AP115" s="111"/>
      <c r="AQ115" s="111"/>
    </row>
    <row r="116" s="13" customFormat="1" customHeight="1" spans="1:43">
      <c r="A116" s="89"/>
      <c r="B116" s="90"/>
      <c r="C116" s="253"/>
      <c r="D116" s="94"/>
      <c r="E116" s="94"/>
      <c r="F116" s="94"/>
      <c r="G116" s="92"/>
      <c r="H116" s="93"/>
      <c r="I116" s="94"/>
      <c r="J116" s="109"/>
      <c r="K116" s="89"/>
      <c r="L116" s="89"/>
      <c r="M116" s="89"/>
      <c r="N116" s="96"/>
      <c r="O116" s="89"/>
      <c r="P116" s="89"/>
      <c r="Q116" s="89"/>
      <c r="R116" s="110"/>
      <c r="S116" s="90"/>
      <c r="T116" s="111"/>
      <c r="U116" s="90"/>
      <c r="V116" s="112"/>
      <c r="W116" s="112"/>
      <c r="X116" s="113"/>
      <c r="Y116" s="101"/>
      <c r="Z116" s="102"/>
      <c r="AA116" s="114"/>
      <c r="AB116" s="115"/>
      <c r="AC116" s="108"/>
      <c r="AD116" s="116"/>
      <c r="AE116" s="111"/>
      <c r="AF116" s="110"/>
      <c r="AG116" s="110"/>
      <c r="AH116" s="110"/>
      <c r="AI116" s="110"/>
      <c r="AJ116" s="110"/>
      <c r="AK116" s="111"/>
      <c r="AL116" s="111"/>
      <c r="AM116" s="111"/>
      <c r="AN116" s="111"/>
      <c r="AO116" s="111"/>
      <c r="AP116" s="111"/>
      <c r="AQ116" s="111"/>
    </row>
    <row r="117" s="13" customFormat="1" customHeight="1" spans="1:43">
      <c r="A117" s="89"/>
      <c r="B117" s="90"/>
      <c r="C117" s="253"/>
      <c r="D117" s="94"/>
      <c r="E117" s="94"/>
      <c r="F117" s="94"/>
      <c r="G117" s="92"/>
      <c r="H117" s="93"/>
      <c r="I117" s="94"/>
      <c r="J117" s="109"/>
      <c r="K117" s="89"/>
      <c r="L117" s="89"/>
      <c r="M117" s="89"/>
      <c r="N117" s="96"/>
      <c r="O117" s="89"/>
      <c r="P117" s="89"/>
      <c r="Q117" s="89"/>
      <c r="R117" s="110"/>
      <c r="S117" s="90"/>
      <c r="T117" s="111"/>
      <c r="U117" s="90"/>
      <c r="V117" s="112"/>
      <c r="W117" s="112"/>
      <c r="X117" s="113"/>
      <c r="Y117" s="101"/>
      <c r="Z117" s="102"/>
      <c r="AA117" s="114"/>
      <c r="AB117" s="115"/>
      <c r="AC117" s="108"/>
      <c r="AD117" s="116"/>
      <c r="AE117" s="111"/>
      <c r="AF117" s="110"/>
      <c r="AG117" s="110"/>
      <c r="AH117" s="110"/>
      <c r="AI117" s="110"/>
      <c r="AJ117" s="110"/>
      <c r="AK117" s="111"/>
      <c r="AL117" s="111"/>
      <c r="AM117" s="111"/>
      <c r="AN117" s="111"/>
      <c r="AO117" s="111"/>
      <c r="AP117" s="111"/>
      <c r="AQ117" s="111"/>
    </row>
    <row r="118" s="13" customFormat="1" customHeight="1" spans="1:43">
      <c r="A118" s="89"/>
      <c r="B118" s="90"/>
      <c r="C118" s="253"/>
      <c r="D118" s="94"/>
      <c r="E118" s="94"/>
      <c r="F118" s="94"/>
      <c r="G118" s="92"/>
      <c r="H118" s="93"/>
      <c r="I118" s="94"/>
      <c r="J118" s="109"/>
      <c r="K118" s="89"/>
      <c r="L118" s="89"/>
      <c r="M118" s="89"/>
      <c r="N118" s="96"/>
      <c r="O118" s="89"/>
      <c r="P118" s="89"/>
      <c r="Q118" s="89"/>
      <c r="R118" s="110"/>
      <c r="S118" s="90"/>
      <c r="T118" s="111"/>
      <c r="U118" s="90"/>
      <c r="V118" s="112"/>
      <c r="W118" s="112"/>
      <c r="X118" s="113"/>
      <c r="Y118" s="101"/>
      <c r="Z118" s="102"/>
      <c r="AA118" s="114"/>
      <c r="AB118" s="115"/>
      <c r="AC118" s="108"/>
      <c r="AD118" s="116"/>
      <c r="AE118" s="111"/>
      <c r="AF118" s="110"/>
      <c r="AG118" s="110"/>
      <c r="AH118" s="110"/>
      <c r="AI118" s="110"/>
      <c r="AJ118" s="110"/>
      <c r="AK118" s="111"/>
      <c r="AL118" s="111"/>
      <c r="AM118" s="111"/>
      <c r="AN118" s="111"/>
      <c r="AO118" s="111"/>
      <c r="AP118" s="111"/>
      <c r="AQ118" s="111"/>
    </row>
    <row r="119" s="13" customFormat="1" customHeight="1" spans="1:43">
      <c r="A119" s="89"/>
      <c r="B119" s="90"/>
      <c r="C119" s="253"/>
      <c r="D119" s="94"/>
      <c r="E119" s="94"/>
      <c r="F119" s="94"/>
      <c r="G119" s="92"/>
      <c r="H119" s="93"/>
      <c r="I119" s="94"/>
      <c r="J119" s="109"/>
      <c r="K119" s="89"/>
      <c r="L119" s="89"/>
      <c r="M119" s="89"/>
      <c r="N119" s="96"/>
      <c r="O119" s="89"/>
      <c r="P119" s="89"/>
      <c r="Q119" s="89"/>
      <c r="R119" s="110"/>
      <c r="S119" s="90"/>
      <c r="T119" s="111"/>
      <c r="U119" s="90"/>
      <c r="V119" s="112"/>
      <c r="W119" s="112"/>
      <c r="X119" s="113"/>
      <c r="Y119" s="101"/>
      <c r="Z119" s="102"/>
      <c r="AA119" s="114"/>
      <c r="AB119" s="115"/>
      <c r="AC119" s="108"/>
      <c r="AD119" s="116"/>
      <c r="AE119" s="111"/>
      <c r="AF119" s="110"/>
      <c r="AG119" s="110"/>
      <c r="AH119" s="110"/>
      <c r="AI119" s="110"/>
      <c r="AJ119" s="110"/>
      <c r="AK119" s="111"/>
      <c r="AL119" s="111"/>
      <c r="AM119" s="111"/>
      <c r="AN119" s="111"/>
      <c r="AO119" s="111"/>
      <c r="AP119" s="111"/>
      <c r="AQ119" s="111"/>
    </row>
    <row r="120" s="13" customFormat="1" customHeight="1" spans="1:43">
      <c r="A120" s="89"/>
      <c r="B120" s="90"/>
      <c r="C120" s="253"/>
      <c r="D120" s="94"/>
      <c r="E120" s="94"/>
      <c r="F120" s="94"/>
      <c r="G120" s="92"/>
      <c r="H120" s="93"/>
      <c r="I120" s="94"/>
      <c r="J120" s="109"/>
      <c r="K120" s="89"/>
      <c r="L120" s="89"/>
      <c r="M120" s="89"/>
      <c r="N120" s="96"/>
      <c r="O120" s="89"/>
      <c r="P120" s="89"/>
      <c r="Q120" s="89"/>
      <c r="R120" s="110"/>
      <c r="S120" s="90"/>
      <c r="T120" s="111"/>
      <c r="U120" s="90"/>
      <c r="V120" s="112"/>
      <c r="W120" s="112"/>
      <c r="X120" s="113"/>
      <c r="Y120" s="101"/>
      <c r="Z120" s="102"/>
      <c r="AA120" s="114"/>
      <c r="AB120" s="115"/>
      <c r="AC120" s="108"/>
      <c r="AD120" s="116"/>
      <c r="AE120" s="111"/>
      <c r="AF120" s="110"/>
      <c r="AG120" s="110"/>
      <c r="AH120" s="110"/>
      <c r="AI120" s="110"/>
      <c r="AJ120" s="110"/>
      <c r="AK120" s="111"/>
      <c r="AL120" s="111"/>
      <c r="AM120" s="111"/>
      <c r="AN120" s="111"/>
      <c r="AO120" s="111"/>
      <c r="AP120" s="111"/>
      <c r="AQ120" s="111"/>
    </row>
    <row r="121" s="13" customFormat="1" customHeight="1" spans="1:43">
      <c r="A121" s="89"/>
      <c r="B121" s="90"/>
      <c r="C121" s="253"/>
      <c r="D121" s="94"/>
      <c r="E121" s="94"/>
      <c r="F121" s="94"/>
      <c r="G121" s="92"/>
      <c r="H121" s="93"/>
      <c r="I121" s="94"/>
      <c r="J121" s="109"/>
      <c r="K121" s="89"/>
      <c r="L121" s="89"/>
      <c r="M121" s="89"/>
      <c r="N121" s="96"/>
      <c r="O121" s="89"/>
      <c r="P121" s="89"/>
      <c r="Q121" s="89"/>
      <c r="R121" s="110"/>
      <c r="S121" s="90"/>
      <c r="T121" s="111"/>
      <c r="U121" s="90"/>
      <c r="V121" s="112"/>
      <c r="W121" s="112"/>
      <c r="X121" s="113"/>
      <c r="Y121" s="101"/>
      <c r="Z121" s="102"/>
      <c r="AA121" s="114"/>
      <c r="AB121" s="115"/>
      <c r="AC121" s="108"/>
      <c r="AD121" s="116"/>
      <c r="AE121" s="111"/>
      <c r="AF121" s="110"/>
      <c r="AG121" s="110"/>
      <c r="AH121" s="110"/>
      <c r="AI121" s="110"/>
      <c r="AJ121" s="110"/>
      <c r="AK121" s="111"/>
      <c r="AL121" s="111"/>
      <c r="AM121" s="111"/>
      <c r="AN121" s="111"/>
      <c r="AO121" s="111"/>
      <c r="AP121" s="111"/>
      <c r="AQ121" s="111"/>
    </row>
    <row r="122" s="13" customFormat="1" customHeight="1" spans="1:43">
      <c r="A122" s="89"/>
      <c r="B122" s="90"/>
      <c r="C122" s="253"/>
      <c r="D122" s="94"/>
      <c r="E122" s="94"/>
      <c r="F122" s="94"/>
      <c r="G122" s="92"/>
      <c r="H122" s="93"/>
      <c r="I122" s="94"/>
      <c r="J122" s="109"/>
      <c r="K122" s="89"/>
      <c r="L122" s="89"/>
      <c r="M122" s="89"/>
      <c r="N122" s="96"/>
      <c r="O122" s="89"/>
      <c r="P122" s="89"/>
      <c r="Q122" s="89"/>
      <c r="R122" s="110"/>
      <c r="S122" s="90"/>
      <c r="T122" s="111"/>
      <c r="U122" s="90"/>
      <c r="V122" s="112"/>
      <c r="W122" s="112"/>
      <c r="X122" s="113"/>
      <c r="Y122" s="101"/>
      <c r="Z122" s="102"/>
      <c r="AA122" s="114"/>
      <c r="AB122" s="115"/>
      <c r="AC122" s="108"/>
      <c r="AD122" s="116"/>
      <c r="AE122" s="111"/>
      <c r="AF122" s="110"/>
      <c r="AG122" s="110"/>
      <c r="AH122" s="110"/>
      <c r="AI122" s="110"/>
      <c r="AJ122" s="110"/>
      <c r="AK122" s="111"/>
      <c r="AL122" s="111"/>
      <c r="AM122" s="111"/>
      <c r="AN122" s="111"/>
      <c r="AO122" s="111"/>
      <c r="AP122" s="111"/>
      <c r="AQ122" s="111"/>
    </row>
    <row r="123" s="13" customFormat="1" customHeight="1" spans="1:43">
      <c r="A123" s="89"/>
      <c r="B123" s="90"/>
      <c r="C123" s="253"/>
      <c r="D123" s="94"/>
      <c r="E123" s="94"/>
      <c r="F123" s="94"/>
      <c r="G123" s="92"/>
      <c r="H123" s="93"/>
      <c r="I123" s="94"/>
      <c r="J123" s="109"/>
      <c r="K123" s="89"/>
      <c r="L123" s="89"/>
      <c r="M123" s="89"/>
      <c r="N123" s="96"/>
      <c r="O123" s="89"/>
      <c r="P123" s="89"/>
      <c r="Q123" s="89"/>
      <c r="R123" s="110"/>
      <c r="S123" s="90"/>
      <c r="T123" s="111"/>
      <c r="U123" s="90"/>
      <c r="V123" s="112"/>
      <c r="W123" s="112"/>
      <c r="X123" s="113"/>
      <c r="Y123" s="101"/>
      <c r="Z123" s="102"/>
      <c r="AA123" s="114"/>
      <c r="AB123" s="115"/>
      <c r="AC123" s="108"/>
      <c r="AD123" s="116"/>
      <c r="AE123" s="111"/>
      <c r="AF123" s="110"/>
      <c r="AG123" s="110"/>
      <c r="AH123" s="110"/>
      <c r="AI123" s="110"/>
      <c r="AJ123" s="110"/>
      <c r="AK123" s="111"/>
      <c r="AL123" s="111"/>
      <c r="AM123" s="111"/>
      <c r="AN123" s="111"/>
      <c r="AO123" s="111"/>
      <c r="AP123" s="111"/>
      <c r="AQ123" s="111"/>
    </row>
    <row r="124" s="13" customFormat="1" customHeight="1" spans="1:43">
      <c r="A124" s="89"/>
      <c r="B124" s="90"/>
      <c r="C124" s="253"/>
      <c r="D124" s="94"/>
      <c r="E124" s="94"/>
      <c r="F124" s="94"/>
      <c r="G124" s="92"/>
      <c r="H124" s="93"/>
      <c r="I124" s="94"/>
      <c r="J124" s="109"/>
      <c r="K124" s="89"/>
      <c r="L124" s="89"/>
      <c r="M124" s="89"/>
      <c r="N124" s="96"/>
      <c r="O124" s="89"/>
      <c r="P124" s="89"/>
      <c r="Q124" s="89"/>
      <c r="R124" s="110"/>
      <c r="S124" s="90"/>
      <c r="T124" s="111"/>
      <c r="U124" s="90"/>
      <c r="V124" s="112"/>
      <c r="W124" s="112"/>
      <c r="X124" s="113"/>
      <c r="Y124" s="101"/>
      <c r="Z124" s="102"/>
      <c r="AA124" s="114"/>
      <c r="AB124" s="115"/>
      <c r="AC124" s="108"/>
      <c r="AD124" s="116"/>
      <c r="AE124" s="111"/>
      <c r="AF124" s="110"/>
      <c r="AG124" s="110"/>
      <c r="AH124" s="110"/>
      <c r="AI124" s="110"/>
      <c r="AJ124" s="110"/>
      <c r="AK124" s="111"/>
      <c r="AL124" s="111"/>
      <c r="AM124" s="111"/>
      <c r="AN124" s="111"/>
      <c r="AO124" s="111"/>
      <c r="AP124" s="111"/>
      <c r="AQ124" s="111"/>
    </row>
    <row r="125" s="13" customFormat="1" customHeight="1" spans="1:43">
      <c r="A125" s="89"/>
      <c r="B125" s="90"/>
      <c r="C125" s="253"/>
      <c r="D125" s="94"/>
      <c r="E125" s="94"/>
      <c r="F125" s="94"/>
      <c r="G125" s="92"/>
      <c r="H125" s="93"/>
      <c r="I125" s="94"/>
      <c r="J125" s="109"/>
      <c r="K125" s="89"/>
      <c r="L125" s="89"/>
      <c r="M125" s="89"/>
      <c r="N125" s="96"/>
      <c r="O125" s="89"/>
      <c r="P125" s="89"/>
      <c r="Q125" s="89"/>
      <c r="R125" s="110"/>
      <c r="S125" s="90"/>
      <c r="T125" s="111"/>
      <c r="U125" s="90"/>
      <c r="V125" s="112"/>
      <c r="W125" s="112"/>
      <c r="X125" s="113"/>
      <c r="Y125" s="101"/>
      <c r="Z125" s="102"/>
      <c r="AA125" s="114"/>
      <c r="AB125" s="115"/>
      <c r="AC125" s="108"/>
      <c r="AD125" s="116"/>
      <c r="AE125" s="111"/>
      <c r="AF125" s="110"/>
      <c r="AG125" s="110"/>
      <c r="AH125" s="110"/>
      <c r="AI125" s="110"/>
      <c r="AJ125" s="110"/>
      <c r="AK125" s="111"/>
      <c r="AL125" s="111"/>
      <c r="AM125" s="111"/>
      <c r="AN125" s="111"/>
      <c r="AO125" s="111"/>
      <c r="AP125" s="111"/>
      <c r="AQ125" s="111"/>
    </row>
    <row r="126" s="13" customFormat="1" customHeight="1" spans="1:43">
      <c r="A126" s="89"/>
      <c r="B126" s="90"/>
      <c r="C126" s="253"/>
      <c r="D126" s="94"/>
      <c r="E126" s="94"/>
      <c r="F126" s="94"/>
      <c r="G126" s="92"/>
      <c r="H126" s="93"/>
      <c r="I126" s="94"/>
      <c r="J126" s="109"/>
      <c r="K126" s="89"/>
      <c r="L126" s="89"/>
      <c r="M126" s="89"/>
      <c r="N126" s="96"/>
      <c r="O126" s="89"/>
      <c r="P126" s="89"/>
      <c r="Q126" s="89"/>
      <c r="R126" s="110"/>
      <c r="S126" s="90"/>
      <c r="T126" s="111"/>
      <c r="U126" s="90"/>
      <c r="V126" s="112"/>
      <c r="W126" s="112"/>
      <c r="X126" s="113"/>
      <c r="Y126" s="101"/>
      <c r="Z126" s="102"/>
      <c r="AA126" s="114"/>
      <c r="AB126" s="115"/>
      <c r="AC126" s="108"/>
      <c r="AD126" s="116"/>
      <c r="AE126" s="111"/>
      <c r="AF126" s="110"/>
      <c r="AG126" s="110"/>
      <c r="AH126" s="110"/>
      <c r="AI126" s="110"/>
      <c r="AJ126" s="110"/>
      <c r="AK126" s="111"/>
      <c r="AL126" s="111"/>
      <c r="AM126" s="111"/>
      <c r="AN126" s="111"/>
      <c r="AO126" s="111"/>
      <c r="AP126" s="111"/>
      <c r="AQ126" s="111"/>
    </row>
    <row r="127" s="13" customFormat="1" customHeight="1" spans="1:43">
      <c r="A127" s="89"/>
      <c r="B127" s="90"/>
      <c r="C127" s="253"/>
      <c r="D127" s="94"/>
      <c r="E127" s="94"/>
      <c r="F127" s="94"/>
      <c r="G127" s="92"/>
      <c r="H127" s="93"/>
      <c r="I127" s="94"/>
      <c r="J127" s="109"/>
      <c r="K127" s="89"/>
      <c r="L127" s="89"/>
      <c r="M127" s="89"/>
      <c r="N127" s="96"/>
      <c r="O127" s="89"/>
      <c r="P127" s="89"/>
      <c r="Q127" s="89"/>
      <c r="R127" s="110"/>
      <c r="S127" s="90"/>
      <c r="T127" s="111"/>
      <c r="U127" s="90"/>
      <c r="V127" s="112"/>
      <c r="W127" s="112"/>
      <c r="X127" s="113"/>
      <c r="Y127" s="101"/>
      <c r="Z127" s="102"/>
      <c r="AA127" s="114"/>
      <c r="AB127" s="115"/>
      <c r="AC127" s="108"/>
      <c r="AD127" s="116"/>
      <c r="AE127" s="111"/>
      <c r="AF127" s="110"/>
      <c r="AG127" s="110"/>
      <c r="AH127" s="110"/>
      <c r="AI127" s="110"/>
      <c r="AJ127" s="110"/>
      <c r="AK127" s="111"/>
      <c r="AL127" s="111"/>
      <c r="AM127" s="111"/>
      <c r="AN127" s="111"/>
      <c r="AO127" s="111"/>
      <c r="AP127" s="111"/>
      <c r="AQ127" s="111"/>
    </row>
    <row r="128" s="13" customFormat="1" customHeight="1" spans="1:43">
      <c r="A128" s="89"/>
      <c r="B128" s="90"/>
      <c r="C128" s="253"/>
      <c r="D128" s="94"/>
      <c r="E128" s="94"/>
      <c r="F128" s="94"/>
      <c r="G128" s="92"/>
      <c r="H128" s="93"/>
      <c r="I128" s="94"/>
      <c r="J128" s="109"/>
      <c r="K128" s="89"/>
      <c r="L128" s="89"/>
      <c r="M128" s="89"/>
      <c r="N128" s="96"/>
      <c r="O128" s="89"/>
      <c r="P128" s="89"/>
      <c r="Q128" s="89"/>
      <c r="R128" s="110"/>
      <c r="S128" s="90"/>
      <c r="T128" s="111"/>
      <c r="U128" s="90"/>
      <c r="V128" s="112"/>
      <c r="W128" s="112"/>
      <c r="X128" s="113"/>
      <c r="Y128" s="101"/>
      <c r="Z128" s="102"/>
      <c r="AA128" s="114"/>
      <c r="AB128" s="115"/>
      <c r="AC128" s="108"/>
      <c r="AD128" s="116"/>
      <c r="AE128" s="111"/>
      <c r="AF128" s="110"/>
      <c r="AG128" s="110"/>
      <c r="AH128" s="110"/>
      <c r="AI128" s="110"/>
      <c r="AJ128" s="110"/>
      <c r="AK128" s="111"/>
      <c r="AL128" s="111"/>
      <c r="AM128" s="111"/>
      <c r="AN128" s="111"/>
      <c r="AO128" s="111"/>
      <c r="AP128" s="111"/>
      <c r="AQ128" s="111"/>
    </row>
    <row r="129" s="13" customFormat="1" customHeight="1" spans="1:43">
      <c r="A129" s="89"/>
      <c r="B129" s="90"/>
      <c r="C129" s="253"/>
      <c r="D129" s="94"/>
      <c r="E129" s="94"/>
      <c r="F129" s="94"/>
      <c r="G129" s="92"/>
      <c r="H129" s="93"/>
      <c r="I129" s="94"/>
      <c r="J129" s="109"/>
      <c r="K129" s="89"/>
      <c r="L129" s="89"/>
      <c r="M129" s="89"/>
      <c r="N129" s="96"/>
      <c r="O129" s="89"/>
      <c r="P129" s="89"/>
      <c r="Q129" s="89"/>
      <c r="R129" s="110"/>
      <c r="S129" s="90"/>
      <c r="T129" s="111"/>
      <c r="U129" s="90"/>
      <c r="V129" s="112"/>
      <c r="W129" s="112"/>
      <c r="X129" s="113"/>
      <c r="Y129" s="101"/>
      <c r="Z129" s="102"/>
      <c r="AA129" s="114"/>
      <c r="AB129" s="115"/>
      <c r="AC129" s="108"/>
      <c r="AD129" s="116"/>
      <c r="AE129" s="111"/>
      <c r="AF129" s="110"/>
      <c r="AG129" s="110"/>
      <c r="AH129" s="110"/>
      <c r="AI129" s="110"/>
      <c r="AJ129" s="110"/>
      <c r="AK129" s="111"/>
      <c r="AL129" s="111"/>
      <c r="AM129" s="111"/>
      <c r="AN129" s="111"/>
      <c r="AO129" s="111"/>
      <c r="AP129" s="111"/>
      <c r="AQ129" s="111"/>
    </row>
    <row r="130" s="13" customFormat="1" customHeight="1" spans="1:43">
      <c r="A130" s="89"/>
      <c r="B130" s="90"/>
      <c r="C130" s="253"/>
      <c r="D130" s="94"/>
      <c r="E130" s="94"/>
      <c r="F130" s="94"/>
      <c r="G130" s="92"/>
      <c r="H130" s="93"/>
      <c r="I130" s="94"/>
      <c r="J130" s="109"/>
      <c r="K130" s="89"/>
      <c r="L130" s="89"/>
      <c r="M130" s="89"/>
      <c r="N130" s="96"/>
      <c r="O130" s="89"/>
      <c r="P130" s="89"/>
      <c r="Q130" s="89"/>
      <c r="R130" s="110"/>
      <c r="S130" s="90"/>
      <c r="T130" s="111"/>
      <c r="U130" s="90"/>
      <c r="V130" s="112"/>
      <c r="W130" s="112"/>
      <c r="X130" s="113"/>
      <c r="Y130" s="101"/>
      <c r="Z130" s="102"/>
      <c r="AA130" s="114"/>
      <c r="AB130" s="115"/>
      <c r="AC130" s="108"/>
      <c r="AD130" s="116"/>
      <c r="AE130" s="111"/>
      <c r="AF130" s="110"/>
      <c r="AG130" s="110"/>
      <c r="AH130" s="110"/>
      <c r="AI130" s="110"/>
      <c r="AJ130" s="110"/>
      <c r="AK130" s="111"/>
      <c r="AL130" s="111"/>
      <c r="AM130" s="111"/>
      <c r="AN130" s="111"/>
      <c r="AO130" s="111"/>
      <c r="AP130" s="111"/>
      <c r="AQ130" s="111"/>
    </row>
    <row r="131" s="13" customFormat="1" customHeight="1" spans="1:43">
      <c r="A131" s="89"/>
      <c r="B131" s="90"/>
      <c r="C131" s="253"/>
      <c r="D131" s="94"/>
      <c r="E131" s="94"/>
      <c r="F131" s="94"/>
      <c r="G131" s="92"/>
      <c r="H131" s="93"/>
      <c r="I131" s="94"/>
      <c r="J131" s="109"/>
      <c r="K131" s="89"/>
      <c r="L131" s="89"/>
      <c r="M131" s="89"/>
      <c r="N131" s="96"/>
      <c r="O131" s="89"/>
      <c r="P131" s="89"/>
      <c r="Q131" s="89"/>
      <c r="R131" s="110"/>
      <c r="S131" s="90"/>
      <c r="T131" s="111"/>
      <c r="U131" s="90"/>
      <c r="V131" s="112"/>
      <c r="W131" s="112"/>
      <c r="X131" s="113"/>
      <c r="Y131" s="101"/>
      <c r="Z131" s="102"/>
      <c r="AA131" s="114"/>
      <c r="AB131" s="115"/>
      <c r="AC131" s="108"/>
      <c r="AD131" s="116"/>
      <c r="AE131" s="111"/>
      <c r="AF131" s="110"/>
      <c r="AG131" s="110"/>
      <c r="AH131" s="110"/>
      <c r="AI131" s="110"/>
      <c r="AJ131" s="110"/>
      <c r="AK131" s="111"/>
      <c r="AL131" s="111"/>
      <c r="AM131" s="111"/>
      <c r="AN131" s="111"/>
      <c r="AO131" s="111"/>
      <c r="AP131" s="111"/>
      <c r="AQ131" s="111"/>
    </row>
    <row r="132" s="13" customFormat="1" customHeight="1" spans="1:43">
      <c r="A132" s="89"/>
      <c r="B132" s="90"/>
      <c r="C132" s="253"/>
      <c r="D132" s="94"/>
      <c r="E132" s="94"/>
      <c r="F132" s="94"/>
      <c r="G132" s="92"/>
      <c r="H132" s="93"/>
      <c r="I132" s="94"/>
      <c r="J132" s="109"/>
      <c r="K132" s="89"/>
      <c r="L132" s="89"/>
      <c r="M132" s="89"/>
      <c r="N132" s="96"/>
      <c r="O132" s="89"/>
      <c r="P132" s="89"/>
      <c r="Q132" s="89"/>
      <c r="R132" s="110"/>
      <c r="S132" s="90"/>
      <c r="T132" s="111"/>
      <c r="U132" s="90"/>
      <c r="V132" s="112"/>
      <c r="W132" s="112"/>
      <c r="X132" s="113"/>
      <c r="Y132" s="101"/>
      <c r="Z132" s="102"/>
      <c r="AA132" s="114"/>
      <c r="AB132" s="115"/>
      <c r="AC132" s="108"/>
      <c r="AD132" s="116"/>
      <c r="AE132" s="111"/>
      <c r="AF132" s="110"/>
      <c r="AG132" s="110"/>
      <c r="AH132" s="110"/>
      <c r="AI132" s="110"/>
      <c r="AJ132" s="110"/>
      <c r="AK132" s="111"/>
      <c r="AL132" s="111"/>
      <c r="AM132" s="111"/>
      <c r="AN132" s="111"/>
      <c r="AO132" s="111"/>
      <c r="AP132" s="111"/>
      <c r="AQ132" s="111"/>
    </row>
    <row r="133" s="13" customFormat="1" customHeight="1" spans="1:43">
      <c r="A133" s="89"/>
      <c r="B133" s="90"/>
      <c r="C133" s="253"/>
      <c r="D133" s="94"/>
      <c r="E133" s="94"/>
      <c r="F133" s="94"/>
      <c r="G133" s="92"/>
      <c r="H133" s="93"/>
      <c r="I133" s="94"/>
      <c r="J133" s="109"/>
      <c r="K133" s="89"/>
      <c r="L133" s="89"/>
      <c r="M133" s="89"/>
      <c r="N133" s="96"/>
      <c r="O133" s="89"/>
      <c r="P133" s="89"/>
      <c r="Q133" s="89"/>
      <c r="R133" s="110"/>
      <c r="S133" s="90"/>
      <c r="T133" s="111"/>
      <c r="U133" s="90"/>
      <c r="V133" s="112"/>
      <c r="W133" s="112"/>
      <c r="X133" s="113"/>
      <c r="Y133" s="101"/>
      <c r="Z133" s="102"/>
      <c r="AA133" s="114"/>
      <c r="AB133" s="115"/>
      <c r="AC133" s="108"/>
      <c r="AD133" s="116"/>
      <c r="AE133" s="111"/>
      <c r="AF133" s="110"/>
      <c r="AG133" s="110"/>
      <c r="AH133" s="110"/>
      <c r="AI133" s="110"/>
      <c r="AJ133" s="110"/>
      <c r="AK133" s="111"/>
      <c r="AL133" s="111"/>
      <c r="AM133" s="111"/>
      <c r="AN133" s="111"/>
      <c r="AO133" s="111"/>
      <c r="AP133" s="111"/>
      <c r="AQ133" s="111"/>
    </row>
    <row r="134" s="13" customFormat="1" customHeight="1" spans="1:43">
      <c r="A134" s="89"/>
      <c r="B134" s="90"/>
      <c r="C134" s="253"/>
      <c r="D134" s="94"/>
      <c r="E134" s="94"/>
      <c r="F134" s="94"/>
      <c r="G134" s="92"/>
      <c r="H134" s="93"/>
      <c r="I134" s="94"/>
      <c r="J134" s="109"/>
      <c r="K134" s="89"/>
      <c r="L134" s="89"/>
      <c r="M134" s="89"/>
      <c r="N134" s="96"/>
      <c r="O134" s="89"/>
      <c r="P134" s="89"/>
      <c r="Q134" s="89"/>
      <c r="R134" s="110"/>
      <c r="S134" s="90"/>
      <c r="T134" s="111"/>
      <c r="U134" s="90"/>
      <c r="V134" s="112"/>
      <c r="W134" s="112"/>
      <c r="X134" s="113"/>
      <c r="Y134" s="101"/>
      <c r="Z134" s="102"/>
      <c r="AA134" s="114"/>
      <c r="AB134" s="115"/>
      <c r="AC134" s="108"/>
      <c r="AD134" s="116"/>
      <c r="AE134" s="111"/>
      <c r="AF134" s="110"/>
      <c r="AG134" s="110"/>
      <c r="AH134" s="110"/>
      <c r="AI134" s="110"/>
      <c r="AJ134" s="110"/>
      <c r="AK134" s="111"/>
      <c r="AL134" s="111"/>
      <c r="AM134" s="111"/>
      <c r="AN134" s="111"/>
      <c r="AO134" s="111"/>
      <c r="AP134" s="111"/>
      <c r="AQ134" s="111"/>
    </row>
    <row r="135" s="13" customFormat="1" customHeight="1" spans="1:43">
      <c r="A135" s="89"/>
      <c r="B135" s="90"/>
      <c r="C135" s="253"/>
      <c r="D135" s="94"/>
      <c r="E135" s="94"/>
      <c r="F135" s="94"/>
      <c r="G135" s="92"/>
      <c r="H135" s="93"/>
      <c r="I135" s="94"/>
      <c r="J135" s="109"/>
      <c r="K135" s="89"/>
      <c r="L135" s="89"/>
      <c r="M135" s="89"/>
      <c r="N135" s="96"/>
      <c r="O135" s="89"/>
      <c r="P135" s="89"/>
      <c r="Q135" s="89"/>
      <c r="R135" s="110"/>
      <c r="S135" s="90"/>
      <c r="T135" s="111"/>
      <c r="U135" s="90"/>
      <c r="V135" s="112"/>
      <c r="W135" s="112"/>
      <c r="X135" s="113"/>
      <c r="Y135" s="101"/>
      <c r="Z135" s="102"/>
      <c r="AA135" s="114"/>
      <c r="AB135" s="115"/>
      <c r="AC135" s="108"/>
      <c r="AD135" s="116"/>
      <c r="AE135" s="111"/>
      <c r="AF135" s="110"/>
      <c r="AG135" s="110"/>
      <c r="AH135" s="110"/>
      <c r="AI135" s="110"/>
      <c r="AJ135" s="110"/>
      <c r="AK135" s="111"/>
      <c r="AL135" s="111"/>
      <c r="AM135" s="111"/>
      <c r="AN135" s="111"/>
      <c r="AO135" s="111"/>
      <c r="AP135" s="111"/>
      <c r="AQ135" s="111"/>
    </row>
    <row r="136" s="13" customFormat="1" customHeight="1" spans="1:43">
      <c r="A136" s="89"/>
      <c r="B136" s="90"/>
      <c r="C136" s="253"/>
      <c r="D136" s="94"/>
      <c r="E136" s="94"/>
      <c r="F136" s="94"/>
      <c r="G136" s="92"/>
      <c r="H136" s="93"/>
      <c r="I136" s="94"/>
      <c r="J136" s="109"/>
      <c r="K136" s="89"/>
      <c r="L136" s="89"/>
      <c r="M136" s="89"/>
      <c r="N136" s="96"/>
      <c r="O136" s="89"/>
      <c r="P136" s="89"/>
      <c r="Q136" s="89"/>
      <c r="R136" s="110"/>
      <c r="S136" s="90"/>
      <c r="T136" s="111"/>
      <c r="U136" s="90"/>
      <c r="V136" s="112"/>
      <c r="W136" s="112"/>
      <c r="X136" s="113"/>
      <c r="Y136" s="101"/>
      <c r="Z136" s="102"/>
      <c r="AA136" s="114"/>
      <c r="AB136" s="115"/>
      <c r="AC136" s="108"/>
      <c r="AD136" s="116"/>
      <c r="AE136" s="111"/>
      <c r="AF136" s="110"/>
      <c r="AG136" s="110"/>
      <c r="AH136" s="110"/>
      <c r="AI136" s="110"/>
      <c r="AJ136" s="110"/>
      <c r="AK136" s="111"/>
      <c r="AL136" s="111"/>
      <c r="AM136" s="111"/>
      <c r="AN136" s="111"/>
      <c r="AO136" s="111"/>
      <c r="AP136" s="111"/>
      <c r="AQ136" s="111"/>
    </row>
    <row r="137" s="13" customFormat="1" customHeight="1" spans="1:43">
      <c r="A137" s="89"/>
      <c r="B137" s="90"/>
      <c r="C137" s="253"/>
      <c r="D137" s="94"/>
      <c r="E137" s="94"/>
      <c r="F137" s="94"/>
      <c r="G137" s="92"/>
      <c r="H137" s="93"/>
      <c r="I137" s="94"/>
      <c r="J137" s="109"/>
      <c r="K137" s="89"/>
      <c r="L137" s="89"/>
      <c r="M137" s="89"/>
      <c r="N137" s="96"/>
      <c r="O137" s="89"/>
      <c r="P137" s="89"/>
      <c r="Q137" s="89"/>
      <c r="R137" s="110"/>
      <c r="S137" s="90"/>
      <c r="T137" s="111"/>
      <c r="U137" s="90"/>
      <c r="V137" s="112"/>
      <c r="W137" s="112"/>
      <c r="X137" s="113"/>
      <c r="Y137" s="101"/>
      <c r="Z137" s="102"/>
      <c r="AA137" s="114"/>
      <c r="AB137" s="115"/>
      <c r="AC137" s="108"/>
      <c r="AD137" s="116"/>
      <c r="AE137" s="111"/>
      <c r="AF137" s="110"/>
      <c r="AG137" s="110"/>
      <c r="AH137" s="110"/>
      <c r="AI137" s="110"/>
      <c r="AJ137" s="110"/>
      <c r="AK137" s="111"/>
      <c r="AL137" s="111"/>
      <c r="AM137" s="111"/>
      <c r="AN137" s="111"/>
      <c r="AO137" s="111"/>
      <c r="AP137" s="111"/>
      <c r="AQ137" s="111"/>
    </row>
    <row r="138" s="13" customFormat="1" customHeight="1" spans="1:43">
      <c r="A138" s="89"/>
      <c r="B138" s="90"/>
      <c r="C138" s="253"/>
      <c r="D138" s="94"/>
      <c r="E138" s="94"/>
      <c r="F138" s="94"/>
      <c r="G138" s="92"/>
      <c r="H138" s="93"/>
      <c r="I138" s="94"/>
      <c r="J138" s="109"/>
      <c r="K138" s="89"/>
      <c r="L138" s="89"/>
      <c r="M138" s="89"/>
      <c r="N138" s="96"/>
      <c r="O138" s="89"/>
      <c r="P138" s="89"/>
      <c r="Q138" s="89"/>
      <c r="R138" s="110"/>
      <c r="S138" s="90"/>
      <c r="T138" s="111"/>
      <c r="U138" s="90"/>
      <c r="V138" s="112"/>
      <c r="W138" s="112"/>
      <c r="X138" s="113"/>
      <c r="Y138" s="101"/>
      <c r="Z138" s="102"/>
      <c r="AA138" s="114"/>
      <c r="AB138" s="115"/>
      <c r="AC138" s="108"/>
      <c r="AD138" s="116"/>
      <c r="AE138" s="111"/>
      <c r="AF138" s="110"/>
      <c r="AG138" s="110"/>
      <c r="AH138" s="110"/>
      <c r="AI138" s="110"/>
      <c r="AJ138" s="110"/>
      <c r="AK138" s="111"/>
      <c r="AL138" s="111"/>
      <c r="AM138" s="111"/>
      <c r="AN138" s="111"/>
      <c r="AO138" s="111"/>
      <c r="AP138" s="111"/>
      <c r="AQ138" s="111"/>
    </row>
    <row r="139" s="13" customFormat="1" customHeight="1" spans="1:43">
      <c r="A139" s="89"/>
      <c r="B139" s="90"/>
      <c r="C139" s="253"/>
      <c r="D139" s="94"/>
      <c r="E139" s="94"/>
      <c r="F139" s="94"/>
      <c r="G139" s="92"/>
      <c r="H139" s="93"/>
      <c r="I139" s="94"/>
      <c r="J139" s="109"/>
      <c r="K139" s="89"/>
      <c r="L139" s="89"/>
      <c r="M139" s="89"/>
      <c r="N139" s="96"/>
      <c r="O139" s="89"/>
      <c r="P139" s="89"/>
      <c r="Q139" s="89"/>
      <c r="R139" s="110"/>
      <c r="S139" s="90"/>
      <c r="T139" s="111"/>
      <c r="U139" s="90"/>
      <c r="V139" s="112"/>
      <c r="W139" s="112"/>
      <c r="X139" s="113"/>
      <c r="Y139" s="101"/>
      <c r="Z139" s="102"/>
      <c r="AA139" s="114"/>
      <c r="AB139" s="115"/>
      <c r="AC139" s="108"/>
      <c r="AD139" s="116"/>
      <c r="AE139" s="111"/>
      <c r="AF139" s="110"/>
      <c r="AG139" s="110"/>
      <c r="AH139" s="110"/>
      <c r="AI139" s="110"/>
      <c r="AJ139" s="110"/>
      <c r="AK139" s="111"/>
      <c r="AL139" s="111"/>
      <c r="AM139" s="111"/>
      <c r="AN139" s="111"/>
      <c r="AO139" s="111"/>
      <c r="AP139" s="111"/>
      <c r="AQ139" s="111"/>
    </row>
    <row r="140" s="13" customFormat="1" customHeight="1" spans="1:43">
      <c r="A140" s="89"/>
      <c r="B140" s="90"/>
      <c r="C140" s="253"/>
      <c r="D140" s="94"/>
      <c r="E140" s="94"/>
      <c r="F140" s="94"/>
      <c r="G140" s="92"/>
      <c r="H140" s="93"/>
      <c r="I140" s="94"/>
      <c r="J140" s="109"/>
      <c r="K140" s="89"/>
      <c r="L140" s="89"/>
      <c r="M140" s="89"/>
      <c r="N140" s="96"/>
      <c r="O140" s="89"/>
      <c r="P140" s="89"/>
      <c r="Q140" s="89"/>
      <c r="R140" s="110"/>
      <c r="S140" s="90"/>
      <c r="T140" s="111"/>
      <c r="U140" s="90"/>
      <c r="V140" s="112"/>
      <c r="W140" s="112"/>
      <c r="X140" s="113"/>
      <c r="Y140" s="101"/>
      <c r="Z140" s="102"/>
      <c r="AA140" s="114"/>
      <c r="AB140" s="115"/>
      <c r="AC140" s="108"/>
      <c r="AD140" s="116"/>
      <c r="AE140" s="111"/>
      <c r="AF140" s="110"/>
      <c r="AG140" s="110"/>
      <c r="AH140" s="110"/>
      <c r="AI140" s="110"/>
      <c r="AJ140" s="110"/>
      <c r="AK140" s="111"/>
      <c r="AL140" s="111"/>
      <c r="AM140" s="111"/>
      <c r="AN140" s="111"/>
      <c r="AO140" s="111"/>
      <c r="AP140" s="111"/>
      <c r="AQ140" s="111"/>
    </row>
    <row r="141" s="13" customFormat="1" customHeight="1" spans="1:43">
      <c r="A141" s="89"/>
      <c r="B141" s="90"/>
      <c r="C141" s="253"/>
      <c r="D141" s="94"/>
      <c r="E141" s="94"/>
      <c r="F141" s="94"/>
      <c r="G141" s="92"/>
      <c r="H141" s="93"/>
      <c r="I141" s="94"/>
      <c r="J141" s="109"/>
      <c r="K141" s="89"/>
      <c r="L141" s="89"/>
      <c r="M141" s="89"/>
      <c r="N141" s="96"/>
      <c r="O141" s="89"/>
      <c r="P141" s="89"/>
      <c r="Q141" s="89"/>
      <c r="R141" s="110"/>
      <c r="S141" s="90"/>
      <c r="T141" s="111"/>
      <c r="U141" s="90"/>
      <c r="V141" s="112"/>
      <c r="W141" s="112"/>
      <c r="X141" s="113"/>
      <c r="Y141" s="101"/>
      <c r="Z141" s="102"/>
      <c r="AA141" s="114"/>
      <c r="AB141" s="115"/>
      <c r="AC141" s="108"/>
      <c r="AD141" s="116"/>
      <c r="AE141" s="111"/>
      <c r="AF141" s="110"/>
      <c r="AG141" s="110"/>
      <c r="AH141" s="110"/>
      <c r="AI141" s="110"/>
      <c r="AJ141" s="110"/>
      <c r="AK141" s="111"/>
      <c r="AL141" s="111"/>
      <c r="AM141" s="111"/>
      <c r="AN141" s="111"/>
      <c r="AO141" s="111"/>
      <c r="AP141" s="111"/>
      <c r="AQ141" s="111"/>
    </row>
    <row r="142" s="13" customFormat="1" customHeight="1" spans="1:43">
      <c r="A142" s="89"/>
      <c r="B142" s="90"/>
      <c r="C142" s="253"/>
      <c r="D142" s="94"/>
      <c r="E142" s="94"/>
      <c r="F142" s="94"/>
      <c r="G142" s="92"/>
      <c r="H142" s="93"/>
      <c r="I142" s="94"/>
      <c r="J142" s="109"/>
      <c r="K142" s="89"/>
      <c r="L142" s="89"/>
      <c r="M142" s="89"/>
      <c r="N142" s="96"/>
      <c r="O142" s="89"/>
      <c r="P142" s="89"/>
      <c r="Q142" s="89"/>
      <c r="R142" s="110"/>
      <c r="S142" s="90"/>
      <c r="T142" s="111"/>
      <c r="U142" s="90"/>
      <c r="V142" s="112"/>
      <c r="W142" s="112"/>
      <c r="X142" s="113"/>
      <c r="Y142" s="101"/>
      <c r="Z142" s="102"/>
      <c r="AA142" s="114"/>
      <c r="AB142" s="115"/>
      <c r="AC142" s="108"/>
      <c r="AD142" s="116"/>
      <c r="AE142" s="111"/>
      <c r="AF142" s="110"/>
      <c r="AG142" s="110"/>
      <c r="AH142" s="110"/>
      <c r="AI142" s="110"/>
      <c r="AJ142" s="110"/>
      <c r="AK142" s="111"/>
      <c r="AL142" s="111"/>
      <c r="AM142" s="111"/>
      <c r="AN142" s="111"/>
      <c r="AO142" s="111"/>
      <c r="AP142" s="111"/>
      <c r="AQ142" s="111"/>
    </row>
    <row r="143" s="13" customFormat="1" customHeight="1" spans="1:43">
      <c r="A143" s="89"/>
      <c r="B143" s="90"/>
      <c r="C143" s="253"/>
      <c r="D143" s="94"/>
      <c r="E143" s="94"/>
      <c r="F143" s="94"/>
      <c r="G143" s="92"/>
      <c r="H143" s="93"/>
      <c r="I143" s="94"/>
      <c r="J143" s="109"/>
      <c r="K143" s="89"/>
      <c r="L143" s="89"/>
      <c r="M143" s="89"/>
      <c r="N143" s="96"/>
      <c r="O143" s="89"/>
      <c r="P143" s="89"/>
      <c r="Q143" s="89"/>
      <c r="R143" s="110"/>
      <c r="S143" s="90"/>
      <c r="T143" s="111"/>
      <c r="U143" s="90"/>
      <c r="V143" s="112"/>
      <c r="W143" s="112"/>
      <c r="X143" s="113"/>
      <c r="Y143" s="101"/>
      <c r="Z143" s="102"/>
      <c r="AA143" s="114"/>
      <c r="AB143" s="115"/>
      <c r="AC143" s="108"/>
      <c r="AD143" s="116"/>
      <c r="AE143" s="111"/>
      <c r="AF143" s="110"/>
      <c r="AG143" s="110"/>
      <c r="AH143" s="110"/>
      <c r="AI143" s="110"/>
      <c r="AJ143" s="110"/>
      <c r="AK143" s="111"/>
      <c r="AL143" s="111"/>
      <c r="AM143" s="111"/>
      <c r="AN143" s="111"/>
      <c r="AO143" s="111"/>
      <c r="AP143" s="111"/>
      <c r="AQ143" s="111"/>
    </row>
    <row r="144" s="13" customFormat="1" customHeight="1" spans="1:43">
      <c r="A144" s="89"/>
      <c r="B144" s="90"/>
      <c r="C144" s="253"/>
      <c r="D144" s="94"/>
      <c r="E144" s="94"/>
      <c r="F144" s="94"/>
      <c r="G144" s="92"/>
      <c r="H144" s="93"/>
      <c r="I144" s="94"/>
      <c r="J144" s="109"/>
      <c r="K144" s="89"/>
      <c r="L144" s="89"/>
      <c r="M144" s="89"/>
      <c r="N144" s="96"/>
      <c r="O144" s="89"/>
      <c r="P144" s="89"/>
      <c r="Q144" s="89"/>
      <c r="R144" s="110"/>
      <c r="S144" s="90"/>
      <c r="T144" s="111"/>
      <c r="U144" s="90"/>
      <c r="V144" s="112"/>
      <c r="W144" s="112"/>
      <c r="X144" s="113"/>
      <c r="Y144" s="101"/>
      <c r="Z144" s="102"/>
      <c r="AA144" s="114"/>
      <c r="AB144" s="115"/>
      <c r="AC144" s="108"/>
      <c r="AD144" s="116"/>
      <c r="AE144" s="111"/>
      <c r="AF144" s="110"/>
      <c r="AG144" s="110"/>
      <c r="AH144" s="110"/>
      <c r="AI144" s="110"/>
      <c r="AJ144" s="110"/>
      <c r="AK144" s="111"/>
      <c r="AL144" s="111"/>
      <c r="AM144" s="111"/>
      <c r="AN144" s="111"/>
      <c r="AO144" s="111"/>
      <c r="AP144" s="111"/>
      <c r="AQ144" s="111"/>
    </row>
    <row r="145" s="13" customFormat="1" customHeight="1" spans="1:43">
      <c r="A145" s="89"/>
      <c r="B145" s="90"/>
      <c r="C145" s="253"/>
      <c r="D145" s="94"/>
      <c r="E145" s="94"/>
      <c r="F145" s="94"/>
      <c r="G145" s="92"/>
      <c r="H145" s="93"/>
      <c r="I145" s="94"/>
      <c r="J145" s="109"/>
      <c r="K145" s="89"/>
      <c r="L145" s="89"/>
      <c r="M145" s="89"/>
      <c r="N145" s="96"/>
      <c r="O145" s="89"/>
      <c r="P145" s="89"/>
      <c r="Q145" s="89"/>
      <c r="R145" s="110"/>
      <c r="S145" s="90"/>
      <c r="T145" s="111"/>
      <c r="U145" s="90"/>
      <c r="V145" s="112"/>
      <c r="W145" s="112"/>
      <c r="X145" s="113"/>
      <c r="Y145" s="101"/>
      <c r="Z145" s="102"/>
      <c r="AA145" s="114"/>
      <c r="AB145" s="115"/>
      <c r="AC145" s="108"/>
      <c r="AD145" s="116"/>
      <c r="AE145" s="111"/>
      <c r="AF145" s="110"/>
      <c r="AG145" s="110"/>
      <c r="AH145" s="110"/>
      <c r="AI145" s="110"/>
      <c r="AJ145" s="110"/>
      <c r="AK145" s="111"/>
      <c r="AL145" s="111"/>
      <c r="AM145" s="111"/>
      <c r="AN145" s="111"/>
      <c r="AO145" s="111"/>
      <c r="AP145" s="111"/>
      <c r="AQ145" s="111"/>
    </row>
    <row r="146" s="13" customFormat="1" customHeight="1" spans="1:43">
      <c r="A146" s="89"/>
      <c r="B146" s="90"/>
      <c r="C146" s="253"/>
      <c r="D146" s="94"/>
      <c r="E146" s="94"/>
      <c r="F146" s="94"/>
      <c r="G146" s="92"/>
      <c r="H146" s="93"/>
      <c r="I146" s="94"/>
      <c r="J146" s="109"/>
      <c r="K146" s="89"/>
      <c r="L146" s="89"/>
      <c r="M146" s="89"/>
      <c r="N146" s="96"/>
      <c r="O146" s="89"/>
      <c r="P146" s="89"/>
      <c r="Q146" s="89"/>
      <c r="R146" s="110"/>
      <c r="S146" s="90"/>
      <c r="T146" s="111"/>
      <c r="U146" s="90"/>
      <c r="V146" s="112"/>
      <c r="W146" s="112"/>
      <c r="X146" s="113"/>
      <c r="Y146" s="101"/>
      <c r="Z146" s="102"/>
      <c r="AA146" s="114"/>
      <c r="AB146" s="115"/>
      <c r="AC146" s="108"/>
      <c r="AD146" s="116"/>
      <c r="AE146" s="111"/>
      <c r="AF146" s="110"/>
      <c r="AG146" s="110"/>
      <c r="AH146" s="110"/>
      <c r="AI146" s="110"/>
      <c r="AJ146" s="110"/>
      <c r="AK146" s="111"/>
      <c r="AL146" s="111"/>
      <c r="AM146" s="111"/>
      <c r="AN146" s="111"/>
      <c r="AO146" s="111"/>
      <c r="AP146" s="111"/>
      <c r="AQ146" s="111"/>
    </row>
    <row r="147" s="13" customFormat="1" customHeight="1" spans="1:43">
      <c r="A147" s="89"/>
      <c r="B147" s="90"/>
      <c r="C147" s="253"/>
      <c r="D147" s="94"/>
      <c r="E147" s="94"/>
      <c r="F147" s="94"/>
      <c r="G147" s="92"/>
      <c r="H147" s="93"/>
      <c r="I147" s="94"/>
      <c r="J147" s="109"/>
      <c r="K147" s="89"/>
      <c r="L147" s="89"/>
      <c r="M147" s="89"/>
      <c r="N147" s="96"/>
      <c r="O147" s="89"/>
      <c r="P147" s="89"/>
      <c r="Q147" s="89"/>
      <c r="R147" s="110"/>
      <c r="S147" s="90"/>
      <c r="T147" s="111"/>
      <c r="U147" s="90"/>
      <c r="V147" s="112"/>
      <c r="W147" s="112"/>
      <c r="X147" s="113"/>
      <c r="Y147" s="101"/>
      <c r="Z147" s="102"/>
      <c r="AA147" s="114"/>
      <c r="AB147" s="115"/>
      <c r="AC147" s="108"/>
      <c r="AD147" s="116"/>
      <c r="AE147" s="111"/>
      <c r="AF147" s="110"/>
      <c r="AG147" s="110"/>
      <c r="AH147" s="110"/>
      <c r="AI147" s="110"/>
      <c r="AJ147" s="110"/>
      <c r="AK147" s="111"/>
      <c r="AL147" s="111"/>
      <c r="AM147" s="111"/>
      <c r="AN147" s="111"/>
      <c r="AO147" s="111"/>
      <c r="AP147" s="111"/>
      <c r="AQ147" s="111"/>
    </row>
    <row r="148" s="13" customFormat="1" customHeight="1" spans="1:43">
      <c r="A148" s="89"/>
      <c r="B148" s="90"/>
      <c r="C148" s="253"/>
      <c r="D148" s="94"/>
      <c r="E148" s="94"/>
      <c r="F148" s="94"/>
      <c r="G148" s="92"/>
      <c r="H148" s="93"/>
      <c r="I148" s="94"/>
      <c r="J148" s="109"/>
      <c r="K148" s="89"/>
      <c r="L148" s="89"/>
      <c r="M148" s="89"/>
      <c r="N148" s="96"/>
      <c r="O148" s="89"/>
      <c r="P148" s="89"/>
      <c r="Q148" s="89"/>
      <c r="R148" s="110"/>
      <c r="S148" s="90"/>
      <c r="T148" s="111"/>
      <c r="U148" s="90"/>
      <c r="V148" s="112"/>
      <c r="W148" s="112"/>
      <c r="X148" s="113"/>
      <c r="Y148" s="101"/>
      <c r="Z148" s="102"/>
      <c r="AA148" s="114"/>
      <c r="AB148" s="115"/>
      <c r="AC148" s="108"/>
      <c r="AD148" s="116"/>
      <c r="AE148" s="111"/>
      <c r="AF148" s="110"/>
      <c r="AG148" s="110"/>
      <c r="AH148" s="110"/>
      <c r="AI148" s="110"/>
      <c r="AJ148" s="110"/>
      <c r="AK148" s="111"/>
      <c r="AL148" s="111"/>
      <c r="AM148" s="111"/>
      <c r="AN148" s="111"/>
      <c r="AO148" s="111"/>
      <c r="AP148" s="111"/>
      <c r="AQ148" s="111"/>
    </row>
    <row r="149" s="13" customFormat="1" customHeight="1" spans="1:43">
      <c r="A149" s="89"/>
      <c r="B149" s="90"/>
      <c r="C149" s="253"/>
      <c r="D149" s="94"/>
      <c r="E149" s="94"/>
      <c r="F149" s="94"/>
      <c r="G149" s="92"/>
      <c r="H149" s="93"/>
      <c r="I149" s="94"/>
      <c r="J149" s="109"/>
      <c r="K149" s="89"/>
      <c r="L149" s="89"/>
      <c r="M149" s="89"/>
      <c r="N149" s="96"/>
      <c r="O149" s="89"/>
      <c r="P149" s="89"/>
      <c r="Q149" s="89"/>
      <c r="R149" s="110"/>
      <c r="S149" s="90"/>
      <c r="T149" s="111"/>
      <c r="U149" s="90"/>
      <c r="V149" s="112"/>
      <c r="W149" s="112"/>
      <c r="X149" s="113"/>
      <c r="Y149" s="101"/>
      <c r="Z149" s="102"/>
      <c r="AA149" s="114"/>
      <c r="AB149" s="115"/>
      <c r="AC149" s="108"/>
      <c r="AD149" s="116"/>
      <c r="AE149" s="111"/>
      <c r="AF149" s="110"/>
      <c r="AG149" s="110"/>
      <c r="AH149" s="110"/>
      <c r="AI149" s="110"/>
      <c r="AJ149" s="110"/>
      <c r="AK149" s="111"/>
      <c r="AL149" s="111"/>
      <c r="AM149" s="111"/>
      <c r="AN149" s="111"/>
      <c r="AO149" s="111"/>
      <c r="AP149" s="111"/>
      <c r="AQ149" s="111"/>
    </row>
    <row r="150" s="13" customFormat="1" customHeight="1" spans="1:43">
      <c r="A150" s="89"/>
      <c r="B150" s="90"/>
      <c r="C150" s="253"/>
      <c r="D150" s="94"/>
      <c r="E150" s="94"/>
      <c r="F150" s="94"/>
      <c r="G150" s="92"/>
      <c r="H150" s="93"/>
      <c r="I150" s="94"/>
      <c r="J150" s="109"/>
      <c r="K150" s="89"/>
      <c r="L150" s="89"/>
      <c r="M150" s="89"/>
      <c r="N150" s="96"/>
      <c r="O150" s="89"/>
      <c r="P150" s="89"/>
      <c r="Q150" s="89"/>
      <c r="R150" s="110"/>
      <c r="S150" s="90"/>
      <c r="T150" s="111"/>
      <c r="U150" s="90"/>
      <c r="V150" s="112"/>
      <c r="W150" s="112"/>
      <c r="X150" s="113"/>
      <c r="Y150" s="101"/>
      <c r="Z150" s="102"/>
      <c r="AA150" s="114"/>
      <c r="AB150" s="115"/>
      <c r="AC150" s="108"/>
      <c r="AD150" s="116"/>
      <c r="AE150" s="111"/>
      <c r="AF150" s="110"/>
      <c r="AG150" s="110"/>
      <c r="AH150" s="110"/>
      <c r="AI150" s="110"/>
      <c r="AJ150" s="110"/>
      <c r="AK150" s="111"/>
      <c r="AL150" s="111"/>
      <c r="AM150" s="111"/>
      <c r="AN150" s="111"/>
      <c r="AO150" s="111"/>
      <c r="AP150" s="111"/>
      <c r="AQ150" s="111"/>
    </row>
    <row r="151" s="13" customFormat="1" customHeight="1" spans="1:43">
      <c r="A151" s="89"/>
      <c r="B151" s="90"/>
      <c r="C151" s="253"/>
      <c r="D151" s="94"/>
      <c r="E151" s="94"/>
      <c r="F151" s="94"/>
      <c r="G151" s="92"/>
      <c r="H151" s="93"/>
      <c r="I151" s="94"/>
      <c r="J151" s="109"/>
      <c r="K151" s="89"/>
      <c r="L151" s="89"/>
      <c r="M151" s="89"/>
      <c r="N151" s="96"/>
      <c r="O151" s="89"/>
      <c r="P151" s="89"/>
      <c r="Q151" s="89"/>
      <c r="R151" s="110"/>
      <c r="S151" s="90"/>
      <c r="T151" s="111"/>
      <c r="U151" s="90"/>
      <c r="V151" s="112"/>
      <c r="W151" s="112"/>
      <c r="X151" s="113"/>
      <c r="Y151" s="101"/>
      <c r="Z151" s="102"/>
      <c r="AA151" s="114"/>
      <c r="AB151" s="115"/>
      <c r="AC151" s="108"/>
      <c r="AD151" s="116"/>
      <c r="AE151" s="111"/>
      <c r="AF151" s="110"/>
      <c r="AG151" s="110"/>
      <c r="AH151" s="110"/>
      <c r="AI151" s="110"/>
      <c r="AJ151" s="110"/>
      <c r="AK151" s="111"/>
      <c r="AL151" s="111"/>
      <c r="AM151" s="111"/>
      <c r="AN151" s="111"/>
      <c r="AO151" s="111"/>
      <c r="AP151" s="111"/>
      <c r="AQ151" s="111"/>
    </row>
    <row r="152" s="13" customFormat="1" customHeight="1" spans="1:43">
      <c r="A152" s="89"/>
      <c r="B152" s="90"/>
      <c r="C152" s="253"/>
      <c r="D152" s="94"/>
      <c r="E152" s="94"/>
      <c r="F152" s="94"/>
      <c r="G152" s="92"/>
      <c r="H152" s="93"/>
      <c r="I152" s="94"/>
      <c r="J152" s="109"/>
      <c r="K152" s="89"/>
      <c r="L152" s="89"/>
      <c r="M152" s="89"/>
      <c r="N152" s="96"/>
      <c r="O152" s="89"/>
      <c r="P152" s="89"/>
      <c r="Q152" s="89"/>
      <c r="R152" s="110"/>
      <c r="S152" s="90"/>
      <c r="T152" s="111"/>
      <c r="U152" s="90"/>
      <c r="V152" s="112"/>
      <c r="W152" s="112"/>
      <c r="X152" s="113"/>
      <c r="Y152" s="101"/>
      <c r="Z152" s="102"/>
      <c r="AA152" s="114"/>
      <c r="AB152" s="115"/>
      <c r="AC152" s="108"/>
      <c r="AD152" s="116"/>
      <c r="AE152" s="111"/>
      <c r="AF152" s="110"/>
      <c r="AG152" s="110"/>
      <c r="AH152" s="110"/>
      <c r="AI152" s="110"/>
      <c r="AJ152" s="110"/>
      <c r="AK152" s="111"/>
      <c r="AL152" s="111"/>
      <c r="AM152" s="111"/>
      <c r="AN152" s="111"/>
      <c r="AO152" s="111"/>
      <c r="AP152" s="111"/>
      <c r="AQ152" s="111"/>
    </row>
    <row r="153" s="13" customFormat="1" customHeight="1" spans="1:43">
      <c r="A153" s="89"/>
      <c r="B153" s="90"/>
      <c r="C153" s="253"/>
      <c r="D153" s="94"/>
      <c r="E153" s="94"/>
      <c r="F153" s="94"/>
      <c r="G153" s="92"/>
      <c r="H153" s="93"/>
      <c r="I153" s="94"/>
      <c r="J153" s="109"/>
      <c r="K153" s="89"/>
      <c r="L153" s="89"/>
      <c r="M153" s="89"/>
      <c r="N153" s="96"/>
      <c r="O153" s="89"/>
      <c r="P153" s="89"/>
      <c r="Q153" s="89"/>
      <c r="R153" s="110"/>
      <c r="S153" s="90"/>
      <c r="T153" s="111"/>
      <c r="U153" s="90"/>
      <c r="V153" s="112"/>
      <c r="W153" s="112"/>
      <c r="X153" s="113"/>
      <c r="Y153" s="101"/>
      <c r="Z153" s="102"/>
      <c r="AA153" s="114"/>
      <c r="AB153" s="115"/>
      <c r="AC153" s="108"/>
      <c r="AD153" s="116"/>
      <c r="AE153" s="111"/>
      <c r="AF153" s="110"/>
      <c r="AG153" s="110"/>
      <c r="AH153" s="110"/>
      <c r="AI153" s="110"/>
      <c r="AJ153" s="110"/>
      <c r="AK153" s="111"/>
      <c r="AL153" s="111"/>
      <c r="AM153" s="111"/>
      <c r="AN153" s="111"/>
      <c r="AO153" s="111"/>
      <c r="AP153" s="111"/>
      <c r="AQ153" s="111"/>
    </row>
    <row r="154" s="13" customFormat="1" customHeight="1" spans="1:43">
      <c r="A154" s="89"/>
      <c r="B154" s="90"/>
      <c r="C154" s="253"/>
      <c r="D154" s="94"/>
      <c r="E154" s="94"/>
      <c r="F154" s="94"/>
      <c r="G154" s="92"/>
      <c r="H154" s="93"/>
      <c r="I154" s="94"/>
      <c r="J154" s="109"/>
      <c r="K154" s="89"/>
      <c r="L154" s="89"/>
      <c r="M154" s="89"/>
      <c r="N154" s="96"/>
      <c r="O154" s="89"/>
      <c r="P154" s="89"/>
      <c r="Q154" s="89"/>
      <c r="R154" s="110"/>
      <c r="S154" s="90"/>
      <c r="T154" s="111"/>
      <c r="U154" s="90"/>
      <c r="V154" s="112"/>
      <c r="W154" s="112"/>
      <c r="X154" s="113"/>
      <c r="Y154" s="101"/>
      <c r="Z154" s="102"/>
      <c r="AA154" s="114"/>
      <c r="AB154" s="115"/>
      <c r="AC154" s="108"/>
      <c r="AD154" s="116"/>
      <c r="AE154" s="111"/>
      <c r="AF154" s="110"/>
      <c r="AG154" s="110"/>
      <c r="AH154" s="110"/>
      <c r="AI154" s="110"/>
      <c r="AJ154" s="110"/>
      <c r="AK154" s="111"/>
      <c r="AL154" s="111"/>
      <c r="AM154" s="111"/>
      <c r="AN154" s="111"/>
      <c r="AO154" s="111"/>
      <c r="AP154" s="111"/>
      <c r="AQ154" s="111"/>
    </row>
    <row r="155" s="13" customFormat="1" customHeight="1" spans="1:43">
      <c r="A155" s="89"/>
      <c r="B155" s="90"/>
      <c r="C155" s="253"/>
      <c r="D155" s="94"/>
      <c r="E155" s="94"/>
      <c r="F155" s="94"/>
      <c r="G155" s="92"/>
      <c r="H155" s="93"/>
      <c r="I155" s="94"/>
      <c r="J155" s="109"/>
      <c r="K155" s="89"/>
      <c r="L155" s="89"/>
      <c r="M155" s="89"/>
      <c r="N155" s="96"/>
      <c r="O155" s="89"/>
      <c r="P155" s="89"/>
      <c r="Q155" s="89"/>
      <c r="R155" s="110"/>
      <c r="S155" s="90"/>
      <c r="T155" s="111"/>
      <c r="U155" s="90"/>
      <c r="V155" s="112"/>
      <c r="W155" s="112"/>
      <c r="X155" s="113"/>
      <c r="Y155" s="101"/>
      <c r="Z155" s="102"/>
      <c r="AA155" s="114"/>
      <c r="AB155" s="115"/>
      <c r="AC155" s="108"/>
      <c r="AD155" s="116"/>
      <c r="AE155" s="111"/>
      <c r="AF155" s="110"/>
      <c r="AG155" s="110"/>
      <c r="AH155" s="110"/>
      <c r="AI155" s="110"/>
      <c r="AJ155" s="110"/>
      <c r="AK155" s="111"/>
      <c r="AL155" s="111"/>
      <c r="AM155" s="111"/>
      <c r="AN155" s="111"/>
      <c r="AO155" s="111"/>
      <c r="AP155" s="111"/>
      <c r="AQ155" s="111"/>
    </row>
    <row r="156" s="13" customFormat="1" customHeight="1" spans="1:43">
      <c r="A156" s="89"/>
      <c r="B156" s="90"/>
      <c r="C156" s="253"/>
      <c r="D156" s="94"/>
      <c r="E156" s="94"/>
      <c r="F156" s="94"/>
      <c r="G156" s="92"/>
      <c r="H156" s="93"/>
      <c r="I156" s="94"/>
      <c r="J156" s="109"/>
      <c r="K156" s="89"/>
      <c r="L156" s="89"/>
      <c r="M156" s="89"/>
      <c r="N156" s="96"/>
      <c r="O156" s="89"/>
      <c r="P156" s="89"/>
      <c r="Q156" s="89"/>
      <c r="R156" s="110"/>
      <c r="S156" s="90"/>
      <c r="T156" s="111"/>
      <c r="U156" s="90"/>
      <c r="V156" s="112"/>
      <c r="W156" s="112"/>
      <c r="X156" s="113"/>
      <c r="Y156" s="101"/>
      <c r="Z156" s="102"/>
      <c r="AA156" s="114"/>
      <c r="AB156" s="115"/>
      <c r="AC156" s="108"/>
      <c r="AD156" s="116"/>
      <c r="AE156" s="111"/>
      <c r="AF156" s="110"/>
      <c r="AG156" s="110"/>
      <c r="AH156" s="110"/>
      <c r="AI156" s="110"/>
      <c r="AJ156" s="110"/>
      <c r="AK156" s="111"/>
      <c r="AL156" s="111"/>
      <c r="AM156" s="111"/>
      <c r="AN156" s="111"/>
      <c r="AO156" s="111"/>
      <c r="AP156" s="111"/>
      <c r="AQ156" s="111"/>
    </row>
    <row r="157" s="13" customFormat="1" customHeight="1" spans="1:43">
      <c r="A157" s="89"/>
      <c r="B157" s="90"/>
      <c r="C157" s="253"/>
      <c r="D157" s="94"/>
      <c r="E157" s="94"/>
      <c r="F157" s="94"/>
      <c r="G157" s="92"/>
      <c r="H157" s="93"/>
      <c r="I157" s="94"/>
      <c r="J157" s="109"/>
      <c r="K157" s="89"/>
      <c r="L157" s="89"/>
      <c r="M157" s="89"/>
      <c r="N157" s="96"/>
      <c r="O157" s="89"/>
      <c r="P157" s="89"/>
      <c r="Q157" s="89"/>
      <c r="R157" s="110"/>
      <c r="S157" s="90"/>
      <c r="T157" s="111"/>
      <c r="U157" s="90"/>
      <c r="V157" s="112"/>
      <c r="W157" s="112"/>
      <c r="X157" s="113"/>
      <c r="Y157" s="101"/>
      <c r="Z157" s="102"/>
      <c r="AA157" s="114"/>
      <c r="AB157" s="115"/>
      <c r="AC157" s="108"/>
      <c r="AD157" s="116"/>
      <c r="AE157" s="111"/>
      <c r="AF157" s="110"/>
      <c r="AG157" s="110"/>
      <c r="AH157" s="110"/>
      <c r="AI157" s="110"/>
      <c r="AJ157" s="110"/>
      <c r="AK157" s="111"/>
      <c r="AL157" s="111"/>
      <c r="AM157" s="111"/>
      <c r="AN157" s="111"/>
      <c r="AO157" s="111"/>
      <c r="AP157" s="111"/>
      <c r="AQ157" s="111"/>
    </row>
    <row r="158" s="13" customFormat="1" customHeight="1" spans="1:43">
      <c r="A158" s="89"/>
      <c r="B158" s="90"/>
      <c r="C158" s="253"/>
      <c r="D158" s="94"/>
      <c r="E158" s="94"/>
      <c r="F158" s="94"/>
      <c r="G158" s="92"/>
      <c r="H158" s="93"/>
      <c r="I158" s="94"/>
      <c r="J158" s="109"/>
      <c r="K158" s="89"/>
      <c r="L158" s="89"/>
      <c r="M158" s="89"/>
      <c r="N158" s="96"/>
      <c r="O158" s="89"/>
      <c r="P158" s="89"/>
      <c r="Q158" s="89"/>
      <c r="R158" s="110"/>
      <c r="S158" s="90"/>
      <c r="T158" s="111"/>
      <c r="U158" s="90"/>
      <c r="V158" s="112"/>
      <c r="W158" s="112"/>
      <c r="X158" s="113"/>
      <c r="Y158" s="101"/>
      <c r="Z158" s="102"/>
      <c r="AA158" s="114"/>
      <c r="AB158" s="115"/>
      <c r="AC158" s="108"/>
      <c r="AD158" s="116"/>
      <c r="AE158" s="111"/>
      <c r="AF158" s="110"/>
      <c r="AG158" s="110"/>
      <c r="AH158" s="110"/>
      <c r="AI158" s="110"/>
      <c r="AJ158" s="110"/>
      <c r="AK158" s="111"/>
      <c r="AL158" s="111"/>
      <c r="AM158" s="111"/>
      <c r="AN158" s="111"/>
      <c r="AO158" s="111"/>
      <c r="AP158" s="111"/>
      <c r="AQ158" s="111"/>
    </row>
    <row r="159" s="13" customFormat="1" customHeight="1" spans="1:43">
      <c r="A159" s="89"/>
      <c r="B159" s="90"/>
      <c r="C159" s="253"/>
      <c r="D159" s="94"/>
      <c r="E159" s="94"/>
      <c r="F159" s="94"/>
      <c r="G159" s="92"/>
      <c r="H159" s="93"/>
      <c r="I159" s="94"/>
      <c r="J159" s="109"/>
      <c r="K159" s="89"/>
      <c r="L159" s="89"/>
      <c r="M159" s="89"/>
      <c r="N159" s="96"/>
      <c r="O159" s="89"/>
      <c r="P159" s="89"/>
      <c r="Q159" s="89"/>
      <c r="R159" s="110"/>
      <c r="S159" s="90"/>
      <c r="T159" s="111"/>
      <c r="U159" s="90"/>
      <c r="V159" s="112"/>
      <c r="W159" s="112"/>
      <c r="X159" s="113"/>
      <c r="Y159" s="101"/>
      <c r="Z159" s="102"/>
      <c r="AA159" s="114"/>
      <c r="AB159" s="115"/>
      <c r="AC159" s="108"/>
      <c r="AD159" s="116"/>
      <c r="AE159" s="111"/>
      <c r="AF159" s="110"/>
      <c r="AG159" s="110"/>
      <c r="AH159" s="110"/>
      <c r="AI159" s="110"/>
      <c r="AJ159" s="110"/>
      <c r="AK159" s="111"/>
      <c r="AL159" s="111"/>
      <c r="AM159" s="111"/>
      <c r="AN159" s="111"/>
      <c r="AO159" s="111"/>
      <c r="AP159" s="111"/>
      <c r="AQ159" s="111"/>
    </row>
    <row r="160" s="13" customFormat="1" customHeight="1" spans="1:43">
      <c r="A160" s="89"/>
      <c r="B160" s="90"/>
      <c r="C160" s="253"/>
      <c r="D160" s="94"/>
      <c r="E160" s="94"/>
      <c r="F160" s="94"/>
      <c r="G160" s="92"/>
      <c r="H160" s="93"/>
      <c r="I160" s="94"/>
      <c r="J160" s="109"/>
      <c r="K160" s="89"/>
      <c r="L160" s="89"/>
      <c r="M160" s="89"/>
      <c r="N160" s="96"/>
      <c r="O160" s="89"/>
      <c r="P160" s="89"/>
      <c r="Q160" s="89"/>
      <c r="R160" s="110"/>
      <c r="S160" s="90"/>
      <c r="T160" s="111"/>
      <c r="U160" s="90"/>
      <c r="V160" s="112"/>
      <c r="W160" s="112"/>
      <c r="X160" s="113"/>
      <c r="Y160" s="101"/>
      <c r="Z160" s="102"/>
      <c r="AA160" s="114"/>
      <c r="AB160" s="115"/>
      <c r="AC160" s="108"/>
      <c r="AD160" s="116"/>
      <c r="AE160" s="111"/>
      <c r="AF160" s="110"/>
      <c r="AG160" s="110"/>
      <c r="AH160" s="110"/>
      <c r="AI160" s="110"/>
      <c r="AJ160" s="110"/>
      <c r="AK160" s="111"/>
      <c r="AL160" s="111"/>
      <c r="AM160" s="111"/>
      <c r="AN160" s="111"/>
      <c r="AO160" s="111"/>
      <c r="AP160" s="111"/>
      <c r="AQ160" s="111"/>
    </row>
    <row r="161" s="13" customFormat="1" customHeight="1" spans="1:43">
      <c r="A161" s="89"/>
      <c r="B161" s="90"/>
      <c r="C161" s="253"/>
      <c r="D161" s="94"/>
      <c r="E161" s="94"/>
      <c r="F161" s="94"/>
      <c r="G161" s="92"/>
      <c r="H161" s="93"/>
      <c r="I161" s="94"/>
      <c r="J161" s="109"/>
      <c r="K161" s="89"/>
      <c r="L161" s="89"/>
      <c r="M161" s="89"/>
      <c r="N161" s="96"/>
      <c r="O161" s="89"/>
      <c r="P161" s="89"/>
      <c r="Q161" s="89"/>
      <c r="R161" s="110"/>
      <c r="S161" s="90"/>
      <c r="T161" s="111"/>
      <c r="U161" s="90"/>
      <c r="V161" s="112"/>
      <c r="W161" s="112"/>
      <c r="X161" s="113"/>
      <c r="Y161" s="101"/>
      <c r="Z161" s="102"/>
      <c r="AA161" s="114"/>
      <c r="AB161" s="115"/>
      <c r="AC161" s="108"/>
      <c r="AD161" s="116"/>
      <c r="AE161" s="111"/>
      <c r="AF161" s="110"/>
      <c r="AG161" s="110"/>
      <c r="AH161" s="110"/>
      <c r="AI161" s="110"/>
      <c r="AJ161" s="110"/>
      <c r="AK161" s="111"/>
      <c r="AL161" s="111"/>
      <c r="AM161" s="111"/>
      <c r="AN161" s="111"/>
      <c r="AO161" s="111"/>
      <c r="AP161" s="111"/>
      <c r="AQ161" s="111"/>
    </row>
    <row r="162" s="13" customFormat="1" customHeight="1" spans="1:43">
      <c r="A162" s="89"/>
      <c r="B162" s="90"/>
      <c r="C162" s="253"/>
      <c r="D162" s="94"/>
      <c r="E162" s="94"/>
      <c r="F162" s="94"/>
      <c r="G162" s="92"/>
      <c r="H162" s="93"/>
      <c r="I162" s="94"/>
      <c r="J162" s="109"/>
      <c r="K162" s="89"/>
      <c r="L162" s="89"/>
      <c r="M162" s="89"/>
      <c r="N162" s="96"/>
      <c r="O162" s="89"/>
      <c r="P162" s="89"/>
      <c r="Q162" s="89"/>
      <c r="R162" s="110"/>
      <c r="S162" s="90"/>
      <c r="T162" s="111"/>
      <c r="U162" s="90"/>
      <c r="V162" s="112"/>
      <c r="W162" s="112"/>
      <c r="X162" s="113"/>
      <c r="Y162" s="101"/>
      <c r="Z162" s="102"/>
      <c r="AA162" s="114"/>
      <c r="AB162" s="115"/>
      <c r="AC162" s="108"/>
      <c r="AD162" s="116"/>
      <c r="AE162" s="111"/>
      <c r="AF162" s="110"/>
      <c r="AG162" s="110"/>
      <c r="AH162" s="110"/>
      <c r="AI162" s="110"/>
      <c r="AJ162" s="110"/>
      <c r="AK162" s="111"/>
      <c r="AL162" s="111"/>
      <c r="AM162" s="111"/>
      <c r="AN162" s="111"/>
      <c r="AO162" s="111"/>
      <c r="AP162" s="111"/>
      <c r="AQ162" s="111"/>
    </row>
    <row r="163" s="13" customFormat="1" customHeight="1" spans="1:43">
      <c r="A163" s="89"/>
      <c r="B163" s="90"/>
      <c r="C163" s="253"/>
      <c r="D163" s="94"/>
      <c r="E163" s="94"/>
      <c r="F163" s="94"/>
      <c r="G163" s="92"/>
      <c r="H163" s="93"/>
      <c r="I163" s="94"/>
      <c r="J163" s="109"/>
      <c r="K163" s="89"/>
      <c r="L163" s="89"/>
      <c r="M163" s="89"/>
      <c r="N163" s="96"/>
      <c r="O163" s="89"/>
      <c r="P163" s="89"/>
      <c r="Q163" s="89"/>
      <c r="R163" s="110"/>
      <c r="S163" s="90"/>
      <c r="T163" s="111"/>
      <c r="U163" s="90"/>
      <c r="V163" s="112"/>
      <c r="W163" s="112"/>
      <c r="X163" s="113"/>
      <c r="Y163" s="101"/>
      <c r="Z163" s="102"/>
      <c r="AA163" s="114"/>
      <c r="AB163" s="115"/>
      <c r="AC163" s="108"/>
      <c r="AD163" s="116"/>
      <c r="AE163" s="111"/>
      <c r="AF163" s="110"/>
      <c r="AG163" s="110"/>
      <c r="AH163" s="110"/>
      <c r="AI163" s="110"/>
      <c r="AJ163" s="110"/>
      <c r="AK163" s="111"/>
      <c r="AL163" s="111"/>
      <c r="AM163" s="111"/>
      <c r="AN163" s="111"/>
      <c r="AO163" s="111"/>
      <c r="AP163" s="111"/>
      <c r="AQ163" s="111"/>
    </row>
    <row r="164" s="13" customFormat="1" customHeight="1" spans="1:43">
      <c r="A164" s="89"/>
      <c r="B164" s="90"/>
      <c r="C164" s="253"/>
      <c r="D164" s="94"/>
      <c r="E164" s="94"/>
      <c r="F164" s="94"/>
      <c r="G164" s="92"/>
      <c r="H164" s="93"/>
      <c r="I164" s="94"/>
      <c r="J164" s="109"/>
      <c r="K164" s="89"/>
      <c r="L164" s="89"/>
      <c r="M164" s="89"/>
      <c r="N164" s="96"/>
      <c r="O164" s="89"/>
      <c r="P164" s="89"/>
      <c r="Q164" s="89"/>
      <c r="R164" s="110"/>
      <c r="S164" s="90"/>
      <c r="T164" s="111"/>
      <c r="U164" s="90"/>
      <c r="V164" s="112"/>
      <c r="W164" s="112"/>
      <c r="X164" s="113"/>
      <c r="Y164" s="101"/>
      <c r="Z164" s="102"/>
      <c r="AA164" s="114"/>
      <c r="AB164" s="115"/>
      <c r="AC164" s="108"/>
      <c r="AD164" s="116"/>
      <c r="AE164" s="111"/>
      <c r="AF164" s="110"/>
      <c r="AG164" s="110"/>
      <c r="AH164" s="110"/>
      <c r="AI164" s="110"/>
      <c r="AJ164" s="110"/>
      <c r="AK164" s="111"/>
      <c r="AL164" s="111"/>
      <c r="AM164" s="111"/>
      <c r="AN164" s="111"/>
      <c r="AO164" s="111"/>
      <c r="AP164" s="111"/>
      <c r="AQ164" s="111"/>
    </row>
    <row r="165" s="13" customFormat="1" customHeight="1" spans="1:43">
      <c r="A165" s="89"/>
      <c r="B165" s="90"/>
      <c r="C165" s="253"/>
      <c r="D165" s="94"/>
      <c r="E165" s="94"/>
      <c r="F165" s="94"/>
      <c r="G165" s="92"/>
      <c r="H165" s="93"/>
      <c r="I165" s="94"/>
      <c r="J165" s="109"/>
      <c r="K165" s="89"/>
      <c r="L165" s="89"/>
      <c r="M165" s="89"/>
      <c r="N165" s="96"/>
      <c r="O165" s="89"/>
      <c r="P165" s="89"/>
      <c r="Q165" s="89"/>
      <c r="R165" s="110"/>
      <c r="S165" s="90"/>
      <c r="T165" s="111"/>
      <c r="U165" s="90"/>
      <c r="V165" s="112"/>
      <c r="W165" s="112"/>
      <c r="X165" s="113"/>
      <c r="Y165" s="101"/>
      <c r="Z165" s="102"/>
      <c r="AA165" s="114"/>
      <c r="AB165" s="115"/>
      <c r="AC165" s="108"/>
      <c r="AD165" s="116"/>
      <c r="AE165" s="111"/>
      <c r="AF165" s="110"/>
      <c r="AG165" s="110"/>
      <c r="AH165" s="110"/>
      <c r="AI165" s="110"/>
      <c r="AJ165" s="110"/>
      <c r="AK165" s="111"/>
      <c r="AL165" s="111"/>
      <c r="AM165" s="111"/>
      <c r="AN165" s="111"/>
      <c r="AO165" s="111"/>
      <c r="AP165" s="111"/>
      <c r="AQ165" s="111"/>
    </row>
    <row r="166" s="13" customFormat="1" customHeight="1" spans="1:43">
      <c r="A166" s="89"/>
      <c r="B166" s="90"/>
      <c r="C166" s="253"/>
      <c r="D166" s="94"/>
      <c r="E166" s="94"/>
      <c r="F166" s="94"/>
      <c r="G166" s="92"/>
      <c r="H166" s="93"/>
      <c r="I166" s="94"/>
      <c r="J166" s="109"/>
      <c r="K166" s="89"/>
      <c r="L166" s="89"/>
      <c r="M166" s="89"/>
      <c r="N166" s="96"/>
      <c r="O166" s="89"/>
      <c r="P166" s="89"/>
      <c r="Q166" s="89"/>
      <c r="R166" s="110"/>
      <c r="S166" s="90"/>
      <c r="T166" s="111"/>
      <c r="U166" s="90"/>
      <c r="V166" s="112"/>
      <c r="W166" s="112"/>
      <c r="X166" s="113"/>
      <c r="Y166" s="101"/>
      <c r="Z166" s="102"/>
      <c r="AA166" s="114"/>
      <c r="AB166" s="115"/>
      <c r="AC166" s="108"/>
      <c r="AD166" s="116"/>
      <c r="AE166" s="111"/>
      <c r="AF166" s="110"/>
      <c r="AG166" s="110"/>
      <c r="AH166" s="110"/>
      <c r="AI166" s="110"/>
      <c r="AJ166" s="110"/>
      <c r="AK166" s="111"/>
      <c r="AL166" s="111"/>
      <c r="AM166" s="111"/>
      <c r="AN166" s="111"/>
      <c r="AO166" s="111"/>
      <c r="AP166" s="111"/>
      <c r="AQ166" s="111"/>
    </row>
    <row r="167" s="13" customFormat="1" customHeight="1" spans="1:43">
      <c r="A167" s="89"/>
      <c r="B167" s="90"/>
      <c r="C167" s="253"/>
      <c r="D167" s="94"/>
      <c r="E167" s="94"/>
      <c r="F167" s="94"/>
      <c r="G167" s="92"/>
      <c r="H167" s="93"/>
      <c r="I167" s="94"/>
      <c r="J167" s="109"/>
      <c r="K167" s="89"/>
      <c r="L167" s="89"/>
      <c r="M167" s="89"/>
      <c r="N167" s="96"/>
      <c r="O167" s="89"/>
      <c r="P167" s="89"/>
      <c r="Q167" s="89"/>
      <c r="R167" s="110"/>
      <c r="S167" s="90"/>
      <c r="T167" s="111"/>
      <c r="U167" s="90"/>
      <c r="V167" s="112"/>
      <c r="W167" s="112"/>
      <c r="X167" s="113"/>
      <c r="Y167" s="101"/>
      <c r="Z167" s="102"/>
      <c r="AA167" s="114"/>
      <c r="AB167" s="115"/>
      <c r="AC167" s="108"/>
      <c r="AD167" s="116"/>
      <c r="AE167" s="111"/>
      <c r="AF167" s="110"/>
      <c r="AG167" s="110"/>
      <c r="AH167" s="110"/>
      <c r="AI167" s="110"/>
      <c r="AJ167" s="110"/>
      <c r="AK167" s="111"/>
      <c r="AL167" s="111"/>
      <c r="AM167" s="111"/>
      <c r="AN167" s="111"/>
      <c r="AO167" s="111"/>
      <c r="AP167" s="111"/>
      <c r="AQ167" s="111"/>
    </row>
    <row r="168" s="13" customFormat="1" customHeight="1" spans="1:43">
      <c r="A168" s="89"/>
      <c r="B168" s="90"/>
      <c r="C168" s="253"/>
      <c r="D168" s="94"/>
      <c r="E168" s="94"/>
      <c r="F168" s="94"/>
      <c r="G168" s="92"/>
      <c r="H168" s="93"/>
      <c r="I168" s="94"/>
      <c r="J168" s="109"/>
      <c r="K168" s="89"/>
      <c r="L168" s="89"/>
      <c r="M168" s="89"/>
      <c r="N168" s="96"/>
      <c r="O168" s="89"/>
      <c r="P168" s="89"/>
      <c r="Q168" s="89"/>
      <c r="R168" s="110"/>
      <c r="S168" s="90"/>
      <c r="T168" s="111"/>
      <c r="U168" s="90"/>
      <c r="V168" s="112"/>
      <c r="W168" s="112"/>
      <c r="X168" s="113"/>
      <c r="Y168" s="101"/>
      <c r="Z168" s="102"/>
      <c r="AA168" s="114"/>
      <c r="AB168" s="115"/>
      <c r="AC168" s="108"/>
      <c r="AD168" s="116"/>
      <c r="AE168" s="111"/>
      <c r="AF168" s="110"/>
      <c r="AG168" s="110"/>
      <c r="AH168" s="110"/>
      <c r="AI168" s="110"/>
      <c r="AJ168" s="110"/>
      <c r="AK168" s="111"/>
      <c r="AL168" s="111"/>
      <c r="AM168" s="111"/>
      <c r="AN168" s="111"/>
      <c r="AO168" s="111"/>
      <c r="AP168" s="111"/>
      <c r="AQ168" s="111"/>
    </row>
    <row r="169" s="13" customFormat="1" customHeight="1" spans="1:43">
      <c r="A169" s="89"/>
      <c r="B169" s="90"/>
      <c r="C169" s="253"/>
      <c r="D169" s="94"/>
      <c r="E169" s="94"/>
      <c r="F169" s="94"/>
      <c r="G169" s="92"/>
      <c r="H169" s="93"/>
      <c r="I169" s="94"/>
      <c r="J169" s="109"/>
      <c r="K169" s="89"/>
      <c r="L169" s="89"/>
      <c r="M169" s="89"/>
      <c r="N169" s="96"/>
      <c r="O169" s="89"/>
      <c r="P169" s="89"/>
      <c r="Q169" s="89"/>
      <c r="R169" s="110"/>
      <c r="S169" s="90"/>
      <c r="T169" s="111"/>
      <c r="U169" s="90"/>
      <c r="V169" s="112"/>
      <c r="W169" s="112"/>
      <c r="X169" s="113"/>
      <c r="Y169" s="101"/>
      <c r="Z169" s="102"/>
      <c r="AA169" s="114"/>
      <c r="AB169" s="115"/>
      <c r="AC169" s="108"/>
      <c r="AD169" s="116"/>
      <c r="AE169" s="111"/>
      <c r="AF169" s="110"/>
      <c r="AG169" s="110"/>
      <c r="AH169" s="110"/>
      <c r="AI169" s="110"/>
      <c r="AJ169" s="110"/>
      <c r="AK169" s="111"/>
      <c r="AL169" s="111"/>
      <c r="AM169" s="111"/>
      <c r="AN169" s="111"/>
      <c r="AO169" s="111"/>
      <c r="AP169" s="111"/>
      <c r="AQ169" s="111"/>
    </row>
    <row r="170" s="13" customFormat="1" customHeight="1" spans="1:43">
      <c r="A170" s="89"/>
      <c r="B170" s="90"/>
      <c r="C170" s="253"/>
      <c r="D170" s="94"/>
      <c r="E170" s="94"/>
      <c r="F170" s="94"/>
      <c r="G170" s="92"/>
      <c r="H170" s="93"/>
      <c r="I170" s="94"/>
      <c r="J170" s="109"/>
      <c r="K170" s="89"/>
      <c r="L170" s="89"/>
      <c r="M170" s="89"/>
      <c r="N170" s="96"/>
      <c r="O170" s="89"/>
      <c r="P170" s="89"/>
      <c r="Q170" s="89"/>
      <c r="R170" s="110"/>
      <c r="S170" s="90"/>
      <c r="T170" s="111"/>
      <c r="U170" s="90"/>
      <c r="V170" s="112"/>
      <c r="W170" s="112"/>
      <c r="X170" s="113"/>
      <c r="Y170" s="101"/>
      <c r="Z170" s="102"/>
      <c r="AA170" s="114"/>
      <c r="AB170" s="115"/>
      <c r="AC170" s="108"/>
      <c r="AD170" s="116"/>
      <c r="AE170" s="111"/>
      <c r="AF170" s="110"/>
      <c r="AG170" s="110"/>
      <c r="AH170" s="110"/>
      <c r="AI170" s="110"/>
      <c r="AJ170" s="110"/>
      <c r="AK170" s="111"/>
      <c r="AL170" s="111"/>
      <c r="AM170" s="111"/>
      <c r="AN170" s="111"/>
      <c r="AO170" s="111"/>
      <c r="AP170" s="111"/>
      <c r="AQ170" s="111"/>
    </row>
    <row r="171" s="13" customFormat="1" customHeight="1" spans="1:43">
      <c r="A171" s="89"/>
      <c r="B171" s="90"/>
      <c r="C171" s="253"/>
      <c r="D171" s="94"/>
      <c r="E171" s="94"/>
      <c r="F171" s="94"/>
      <c r="G171" s="92"/>
      <c r="H171" s="93"/>
      <c r="I171" s="94"/>
      <c r="J171" s="109"/>
      <c r="K171" s="89"/>
      <c r="L171" s="89"/>
      <c r="M171" s="89"/>
      <c r="N171" s="96"/>
      <c r="O171" s="89"/>
      <c r="P171" s="89"/>
      <c r="Q171" s="89"/>
      <c r="R171" s="110"/>
      <c r="S171" s="90"/>
      <c r="T171" s="111"/>
      <c r="U171" s="90"/>
      <c r="V171" s="112"/>
      <c r="W171" s="112"/>
      <c r="X171" s="113"/>
      <c r="Y171" s="101"/>
      <c r="Z171" s="102"/>
      <c r="AA171" s="114"/>
      <c r="AB171" s="115"/>
      <c r="AC171" s="108"/>
      <c r="AD171" s="116"/>
      <c r="AE171" s="111"/>
      <c r="AF171" s="110"/>
      <c r="AG171" s="110"/>
      <c r="AH171" s="110"/>
      <c r="AI171" s="110"/>
      <c r="AJ171" s="110"/>
      <c r="AK171" s="111"/>
      <c r="AL171" s="111"/>
      <c r="AM171" s="111"/>
      <c r="AN171" s="111"/>
      <c r="AO171" s="111"/>
      <c r="AP171" s="111"/>
      <c r="AQ171" s="111"/>
    </row>
    <row r="172" s="13" customFormat="1" customHeight="1" spans="1:43">
      <c r="A172" s="89"/>
      <c r="B172" s="90"/>
      <c r="C172" s="253"/>
      <c r="D172" s="94"/>
      <c r="E172" s="94"/>
      <c r="F172" s="94"/>
      <c r="G172" s="92"/>
      <c r="H172" s="93"/>
      <c r="I172" s="94"/>
      <c r="J172" s="109"/>
      <c r="K172" s="89"/>
      <c r="L172" s="89"/>
      <c r="M172" s="89"/>
      <c r="N172" s="96"/>
      <c r="O172" s="89"/>
      <c r="P172" s="89"/>
      <c r="Q172" s="89"/>
      <c r="R172" s="110"/>
      <c r="S172" s="90"/>
      <c r="T172" s="111"/>
      <c r="U172" s="90"/>
      <c r="V172" s="112"/>
      <c r="W172" s="112"/>
      <c r="X172" s="113"/>
      <c r="Y172" s="101"/>
      <c r="Z172" s="102"/>
      <c r="AA172" s="114"/>
      <c r="AB172" s="115"/>
      <c r="AC172" s="108"/>
      <c r="AD172" s="116"/>
      <c r="AE172" s="111"/>
      <c r="AF172" s="110"/>
      <c r="AG172" s="110"/>
      <c r="AH172" s="110"/>
      <c r="AI172" s="110"/>
      <c r="AJ172" s="110"/>
      <c r="AK172" s="111"/>
      <c r="AL172" s="111"/>
      <c r="AM172" s="111"/>
      <c r="AN172" s="111"/>
      <c r="AO172" s="111"/>
      <c r="AP172" s="111"/>
      <c r="AQ172" s="111"/>
    </row>
    <row r="173" s="13" customFormat="1" customHeight="1" spans="1:43">
      <c r="A173" s="89"/>
      <c r="B173" s="90"/>
      <c r="C173" s="253"/>
      <c r="D173" s="94"/>
      <c r="E173" s="94"/>
      <c r="F173" s="94"/>
      <c r="G173" s="92"/>
      <c r="H173" s="93"/>
      <c r="I173" s="94"/>
      <c r="J173" s="109"/>
      <c r="K173" s="89"/>
      <c r="L173" s="89"/>
      <c r="M173" s="89"/>
      <c r="N173" s="96"/>
      <c r="O173" s="89"/>
      <c r="P173" s="89"/>
      <c r="Q173" s="89"/>
      <c r="R173" s="110"/>
      <c r="S173" s="90"/>
      <c r="T173" s="111"/>
      <c r="U173" s="90"/>
      <c r="V173" s="112"/>
      <c r="W173" s="112"/>
      <c r="X173" s="113"/>
      <c r="Y173" s="101"/>
      <c r="Z173" s="102"/>
      <c r="AA173" s="114"/>
      <c r="AB173" s="115"/>
      <c r="AC173" s="108"/>
      <c r="AD173" s="116"/>
      <c r="AE173" s="111"/>
      <c r="AF173" s="110"/>
      <c r="AG173" s="110"/>
      <c r="AH173" s="110"/>
      <c r="AI173" s="110"/>
      <c r="AJ173" s="110"/>
      <c r="AK173" s="111"/>
      <c r="AL173" s="111"/>
      <c r="AM173" s="111"/>
      <c r="AN173" s="111"/>
      <c r="AO173" s="111"/>
      <c r="AP173" s="111"/>
      <c r="AQ173" s="111"/>
    </row>
    <row r="174" s="13" customFormat="1" customHeight="1" spans="1:43">
      <c r="A174" s="89"/>
      <c r="B174" s="90"/>
      <c r="C174" s="253"/>
      <c r="D174" s="94"/>
      <c r="E174" s="94"/>
      <c r="F174" s="94"/>
      <c r="G174" s="92"/>
      <c r="H174" s="93"/>
      <c r="I174" s="94"/>
      <c r="J174" s="109"/>
      <c r="K174" s="89"/>
      <c r="L174" s="89"/>
      <c r="M174" s="89"/>
      <c r="N174" s="96"/>
      <c r="O174" s="89"/>
      <c r="P174" s="89"/>
      <c r="Q174" s="89"/>
      <c r="R174" s="110"/>
      <c r="S174" s="90"/>
      <c r="T174" s="111"/>
      <c r="U174" s="90"/>
      <c r="V174" s="112"/>
      <c r="W174" s="112"/>
      <c r="X174" s="113"/>
      <c r="Y174" s="101"/>
      <c r="Z174" s="102"/>
      <c r="AA174" s="114"/>
      <c r="AB174" s="115"/>
      <c r="AC174" s="108"/>
      <c r="AD174" s="116"/>
      <c r="AE174" s="111"/>
      <c r="AF174" s="110"/>
      <c r="AG174" s="110"/>
      <c r="AH174" s="110"/>
      <c r="AI174" s="110"/>
      <c r="AJ174" s="110"/>
      <c r="AK174" s="111"/>
      <c r="AL174" s="111"/>
      <c r="AM174" s="111"/>
      <c r="AN174" s="111"/>
      <c r="AO174" s="111"/>
      <c r="AP174" s="111"/>
      <c r="AQ174" s="111"/>
    </row>
    <row r="175" s="13" customFormat="1" customHeight="1" spans="1:43">
      <c r="A175" s="89"/>
      <c r="B175" s="90"/>
      <c r="C175" s="253"/>
      <c r="D175" s="94"/>
      <c r="E175" s="94"/>
      <c r="F175" s="94"/>
      <c r="G175" s="92"/>
      <c r="H175" s="93"/>
      <c r="I175" s="94"/>
      <c r="J175" s="109"/>
      <c r="K175" s="89"/>
      <c r="L175" s="89"/>
      <c r="M175" s="89"/>
      <c r="N175" s="96"/>
      <c r="O175" s="89"/>
      <c r="P175" s="89"/>
      <c r="Q175" s="89"/>
      <c r="R175" s="110"/>
      <c r="S175" s="90"/>
      <c r="T175" s="111"/>
      <c r="U175" s="90"/>
      <c r="V175" s="112"/>
      <c r="W175" s="112"/>
      <c r="X175" s="113"/>
      <c r="Y175" s="101"/>
      <c r="Z175" s="102"/>
      <c r="AA175" s="114"/>
      <c r="AB175" s="115"/>
      <c r="AC175" s="108"/>
      <c r="AD175" s="116"/>
      <c r="AE175" s="111"/>
      <c r="AF175" s="110"/>
      <c r="AG175" s="110"/>
      <c r="AH175" s="110"/>
      <c r="AI175" s="110"/>
      <c r="AJ175" s="110"/>
      <c r="AK175" s="111"/>
      <c r="AL175" s="111"/>
      <c r="AM175" s="111"/>
      <c r="AN175" s="111"/>
      <c r="AO175" s="111"/>
      <c r="AP175" s="111"/>
      <c r="AQ175" s="111"/>
    </row>
  </sheetData>
  <sheetProtection formatCells="0"/>
  <autoFilter xmlns:etc="http://www.wps.cn/officeDocument/2017/etCustomData" ref="A1:AQ112" etc:filterBottomFollowUsedRange="0">
    <sortState ref="A1:AQ112">
      <sortCondition ref="AB1"/>
    </sortState>
    <extLst/>
  </autoFilter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FF"/>
  </sheetPr>
  <dimension ref="A1:AT122"/>
  <sheetViews>
    <sheetView workbookViewId="0">
      <pane xSplit="10" ySplit="1" topLeftCell="L50" activePane="bottomRight" state="frozen"/>
      <selection/>
      <selection pane="topRight"/>
      <selection pane="bottomLeft"/>
      <selection pane="bottomRight" activeCell="L50" sqref="L50"/>
    </sheetView>
  </sheetViews>
  <sheetFormatPr defaultColWidth="9" defaultRowHeight="25" customHeight="1"/>
  <cols>
    <col min="1" max="1" width="12.6416666666667" style="14" customWidth="1"/>
    <col min="2" max="2" width="10.6416666666667" style="14" customWidth="1"/>
    <col min="3" max="3" width="8.64166666666667" style="15" customWidth="1"/>
    <col min="4" max="5" width="12.6416666666667" style="14" customWidth="1"/>
    <col min="6" max="6" width="10.6416666666667" style="14" customWidth="1"/>
    <col min="7" max="7" width="15.6416666666667" style="15" customWidth="1"/>
    <col min="8" max="8" width="6.65833333333333" style="16" customWidth="1"/>
    <col min="9" max="9" width="6.65833333333333" style="14" customWidth="1"/>
    <col min="10" max="10" width="6.65833333333333" style="15" customWidth="1"/>
    <col min="11" max="14" width="12.6416666666667" style="14" customWidth="1"/>
    <col min="15" max="15" width="6.65833333333333" style="14" customWidth="1"/>
    <col min="16" max="18" width="12.6416666666667" style="14" customWidth="1"/>
    <col min="19" max="19" width="8.64166666666667" style="14" customWidth="1"/>
    <col min="20" max="20" width="10.6416666666667" style="15" customWidth="1"/>
    <col min="21" max="21" width="10.6416666666667" style="14" customWidth="1"/>
    <col min="22" max="23" width="10.6416666666667" style="15" customWidth="1"/>
    <col min="24" max="24" width="15.6416666666667" style="15" customWidth="1"/>
    <col min="25" max="25" width="24.4666666666667" style="14" customWidth="1"/>
    <col min="26" max="26" width="5.55833333333333" style="17" customWidth="1"/>
    <col min="27" max="28" width="5.55833333333333" style="18" customWidth="1"/>
    <col min="29" max="29" width="31" style="19" customWidth="1"/>
    <col min="30" max="30" width="10.6416666666667" style="14" customWidth="1"/>
    <col min="31" max="31" width="4.65833333333333" style="15" customWidth="1"/>
    <col min="32" max="32" width="8.64166666666667" style="15" customWidth="1"/>
    <col min="33" max="37" width="8.64166666666667" style="14" customWidth="1"/>
    <col min="38" max="44" width="6.65833333333333" style="15" customWidth="1"/>
    <col min="45" max="16384" width="9" style="14"/>
  </cols>
  <sheetData>
    <row r="1" s="11" customFormat="1" customHeight="1" spans="1:45">
      <c r="A1" s="20" t="s">
        <v>370</v>
      </c>
      <c r="B1" s="20" t="s">
        <v>371</v>
      </c>
      <c r="C1" s="20" t="s">
        <v>59</v>
      </c>
      <c r="D1" s="21" t="s">
        <v>740</v>
      </c>
      <c r="E1" s="22" t="s">
        <v>741</v>
      </c>
      <c r="F1" s="22" t="s">
        <v>0</v>
      </c>
      <c r="G1" s="23" t="s">
        <v>374</v>
      </c>
      <c r="H1" s="24" t="s">
        <v>62</v>
      </c>
      <c r="I1" s="25" t="s">
        <v>375</v>
      </c>
      <c r="J1" s="23" t="s">
        <v>376</v>
      </c>
      <c r="K1" s="120" t="s">
        <v>63</v>
      </c>
      <c r="L1" s="120" t="s">
        <v>1115</v>
      </c>
      <c r="M1" s="20" t="s">
        <v>63</v>
      </c>
      <c r="N1" s="20" t="s">
        <v>378</v>
      </c>
      <c r="O1" s="26" t="s">
        <v>379</v>
      </c>
      <c r="P1" s="20" t="s">
        <v>380</v>
      </c>
      <c r="Q1" s="25" t="s">
        <v>381</v>
      </c>
      <c r="R1" s="25" t="s">
        <v>743</v>
      </c>
      <c r="S1" s="28" t="s">
        <v>383</v>
      </c>
      <c r="T1" s="28" t="s">
        <v>384</v>
      </c>
      <c r="U1" s="28" t="s">
        <v>744</v>
      </c>
      <c r="V1" s="28" t="s">
        <v>745</v>
      </c>
      <c r="W1" s="29" t="s">
        <v>387</v>
      </c>
      <c r="X1" s="29" t="s">
        <v>388</v>
      </c>
      <c r="Y1" s="30" t="s">
        <v>389</v>
      </c>
      <c r="Z1" s="31" t="s">
        <v>746</v>
      </c>
      <c r="AA1" s="32" t="s">
        <v>82</v>
      </c>
      <c r="AB1" s="32" t="s">
        <v>83</v>
      </c>
      <c r="AC1" s="33" t="s">
        <v>1116</v>
      </c>
      <c r="AD1" s="34" t="s">
        <v>391</v>
      </c>
      <c r="AE1" s="29" t="s">
        <v>392</v>
      </c>
      <c r="AF1" s="35" t="s">
        <v>393</v>
      </c>
      <c r="AG1" s="35" t="s">
        <v>394</v>
      </c>
      <c r="AH1" s="35" t="s">
        <v>395</v>
      </c>
      <c r="AI1" s="35" t="s">
        <v>396</v>
      </c>
      <c r="AJ1" s="35" t="s">
        <v>399</v>
      </c>
      <c r="AK1" s="35" t="s">
        <v>400</v>
      </c>
      <c r="AL1" s="35" t="s">
        <v>401</v>
      </c>
      <c r="AM1" s="28" t="s">
        <v>402</v>
      </c>
      <c r="AN1" s="28" t="s">
        <v>403</v>
      </c>
      <c r="AO1" s="28" t="s">
        <v>404</v>
      </c>
      <c r="AP1" s="28" t="s">
        <v>405</v>
      </c>
      <c r="AQ1" s="28" t="s">
        <v>406</v>
      </c>
      <c r="AR1" s="28" t="s">
        <v>407</v>
      </c>
      <c r="AS1" s="121" t="s">
        <v>683</v>
      </c>
    </row>
    <row r="2" s="117" customFormat="1" customHeight="1" spans="1:45">
      <c r="A2" s="122">
        <v>45968</v>
      </c>
      <c r="B2" s="123" t="s">
        <v>777</v>
      </c>
      <c r="C2" s="122" t="s">
        <v>93</v>
      </c>
      <c r="D2" s="124" t="s">
        <v>155</v>
      </c>
      <c r="E2" s="124" t="s">
        <v>96</v>
      </c>
      <c r="F2" s="125">
        <v>1325107</v>
      </c>
      <c r="G2" s="125" t="s">
        <v>97</v>
      </c>
      <c r="H2" s="126">
        <v>4</v>
      </c>
      <c r="I2" s="127"/>
      <c r="J2" s="128"/>
      <c r="K2" s="122">
        <f>Q2-7</f>
        <v>46021</v>
      </c>
      <c r="L2" s="122">
        <v>46034</v>
      </c>
      <c r="M2" s="122"/>
      <c r="N2" s="122"/>
      <c r="O2" s="129"/>
      <c r="P2" s="122"/>
      <c r="Q2" s="122">
        <v>46028</v>
      </c>
      <c r="R2" s="122"/>
      <c r="S2" s="130"/>
      <c r="T2" s="131">
        <v>45978</v>
      </c>
      <c r="U2" s="132" t="s">
        <v>784</v>
      </c>
      <c r="V2" s="123" t="s">
        <v>785</v>
      </c>
      <c r="W2" s="133" t="s">
        <v>780</v>
      </c>
      <c r="X2" s="133" t="s">
        <v>786</v>
      </c>
      <c r="Y2" s="133" t="s">
        <v>782</v>
      </c>
      <c r="Z2" s="134">
        <v>0</v>
      </c>
      <c r="AA2" s="135">
        <f t="shared" ref="AA2:AA51" si="0">H2*Z2</f>
        <v>0</v>
      </c>
      <c r="AB2" s="136">
        <f t="shared" ref="AB2:AB51" si="1">AA2*7.75</f>
        <v>0</v>
      </c>
      <c r="AC2" s="137" t="s">
        <v>1117</v>
      </c>
      <c r="AD2" s="138"/>
      <c r="AE2" s="139" t="s">
        <v>416</v>
      </c>
      <c r="AF2" s="140" t="s">
        <v>417</v>
      </c>
      <c r="AG2" s="141"/>
      <c r="AH2" s="130"/>
      <c r="AI2" s="130"/>
      <c r="AJ2" s="130"/>
      <c r="AK2" s="130"/>
      <c r="AL2" s="132"/>
      <c r="AM2" s="132"/>
      <c r="AN2" s="132"/>
      <c r="AO2" s="132"/>
      <c r="AP2" s="132"/>
      <c r="AQ2" s="132"/>
      <c r="AR2" s="132"/>
      <c r="AS2" s="142"/>
    </row>
    <row r="3" s="117" customFormat="1" customHeight="1" spans="1:45">
      <c r="A3" s="122">
        <v>45978</v>
      </c>
      <c r="B3" s="123" t="s">
        <v>805</v>
      </c>
      <c r="C3" s="122" t="s">
        <v>105</v>
      </c>
      <c r="D3" s="124" t="s">
        <v>155</v>
      </c>
      <c r="E3" s="124" t="s">
        <v>107</v>
      </c>
      <c r="F3" s="125">
        <v>3225107</v>
      </c>
      <c r="G3" s="125" t="s">
        <v>108</v>
      </c>
      <c r="H3" s="126">
        <v>4</v>
      </c>
      <c r="I3" s="127"/>
      <c r="J3" s="128"/>
      <c r="K3" s="122">
        <f>Q3-7</f>
        <v>46038</v>
      </c>
      <c r="L3" s="122">
        <v>46034</v>
      </c>
      <c r="M3" s="122"/>
      <c r="N3" s="122"/>
      <c r="O3" s="129"/>
      <c r="P3" s="122"/>
      <c r="Q3" s="122">
        <v>46045</v>
      </c>
      <c r="R3" s="122"/>
      <c r="S3" s="130"/>
      <c r="T3" s="131">
        <v>45993</v>
      </c>
      <c r="U3" s="132" t="s">
        <v>806</v>
      </c>
      <c r="V3" s="123" t="s">
        <v>807</v>
      </c>
      <c r="W3" s="133" t="s">
        <v>808</v>
      </c>
      <c r="X3" s="133" t="s">
        <v>809</v>
      </c>
      <c r="Y3" s="133" t="s">
        <v>509</v>
      </c>
      <c r="Z3" s="134">
        <v>0</v>
      </c>
      <c r="AA3" s="135">
        <f t="shared" si="0"/>
        <v>0</v>
      </c>
      <c r="AB3" s="136">
        <f t="shared" si="1"/>
        <v>0</v>
      </c>
      <c r="AC3" s="137" t="s">
        <v>1117</v>
      </c>
      <c r="AD3" s="138"/>
      <c r="AE3" s="139" t="s">
        <v>416</v>
      </c>
      <c r="AF3" s="140" t="s">
        <v>417</v>
      </c>
      <c r="AG3" s="141"/>
      <c r="AH3" s="130"/>
      <c r="AI3" s="130"/>
      <c r="AJ3" s="130"/>
      <c r="AK3" s="130"/>
      <c r="AL3" s="132"/>
      <c r="AM3" s="132"/>
      <c r="AN3" s="132"/>
      <c r="AO3" s="132"/>
      <c r="AP3" s="132"/>
      <c r="AQ3" s="132"/>
      <c r="AR3" s="132"/>
      <c r="AS3" s="142"/>
    </row>
    <row r="4" s="117" customFormat="1" customHeight="1" spans="1:45">
      <c r="A4" s="122">
        <v>45978</v>
      </c>
      <c r="B4" s="123" t="s">
        <v>805</v>
      </c>
      <c r="C4" s="122" t="s">
        <v>105</v>
      </c>
      <c r="D4" s="124" t="s">
        <v>106</v>
      </c>
      <c r="E4" s="124" t="s">
        <v>107</v>
      </c>
      <c r="F4" s="125">
        <v>3225107</v>
      </c>
      <c r="G4" s="125" t="s">
        <v>108</v>
      </c>
      <c r="H4" s="126">
        <v>3</v>
      </c>
      <c r="I4" s="127"/>
      <c r="J4" s="128"/>
      <c r="K4" s="122">
        <v>46021</v>
      </c>
      <c r="L4" s="122">
        <v>46031</v>
      </c>
      <c r="M4" s="122" t="s">
        <v>1118</v>
      </c>
      <c r="N4" s="122"/>
      <c r="O4" s="129"/>
      <c r="P4" s="122"/>
      <c r="Q4" s="122">
        <v>46045</v>
      </c>
      <c r="R4" s="122"/>
      <c r="S4" s="130"/>
      <c r="T4" s="131">
        <v>45993</v>
      </c>
      <c r="U4" s="132" t="s">
        <v>806</v>
      </c>
      <c r="V4" s="123" t="s">
        <v>807</v>
      </c>
      <c r="W4" s="133" t="s">
        <v>808</v>
      </c>
      <c r="X4" s="133" t="s">
        <v>809</v>
      </c>
      <c r="Y4" s="133" t="s">
        <v>509</v>
      </c>
      <c r="Z4" s="134">
        <v>0</v>
      </c>
      <c r="AA4" s="135">
        <f t="shared" si="0"/>
        <v>0</v>
      </c>
      <c r="AB4" s="136">
        <f t="shared" si="1"/>
        <v>0</v>
      </c>
      <c r="AC4" s="137" t="s">
        <v>1119</v>
      </c>
      <c r="AD4" s="138"/>
      <c r="AE4" s="139" t="s">
        <v>416</v>
      </c>
      <c r="AF4" s="140" t="s">
        <v>417</v>
      </c>
      <c r="AG4" s="141"/>
      <c r="AH4" s="130"/>
      <c r="AI4" s="130"/>
      <c r="AJ4" s="130"/>
      <c r="AK4" s="130"/>
      <c r="AL4" s="132"/>
      <c r="AM4" s="132"/>
      <c r="AN4" s="132"/>
      <c r="AO4" s="132"/>
      <c r="AP4" s="132"/>
      <c r="AQ4" s="132"/>
      <c r="AR4" s="132"/>
      <c r="AS4" s="142">
        <v>46041</v>
      </c>
    </row>
    <row r="5" s="117" customFormat="1" customHeight="1" spans="1:45">
      <c r="A5" s="122">
        <v>45972</v>
      </c>
      <c r="B5" s="123" t="s">
        <v>480</v>
      </c>
      <c r="C5" s="122" t="s">
        <v>98</v>
      </c>
      <c r="D5" s="124" t="s">
        <v>106</v>
      </c>
      <c r="E5" s="124" t="s">
        <v>99</v>
      </c>
      <c r="F5" s="125">
        <v>4726107</v>
      </c>
      <c r="G5" s="125" t="s">
        <v>100</v>
      </c>
      <c r="H5" s="126">
        <v>4</v>
      </c>
      <c r="I5" s="127"/>
      <c r="J5" s="128"/>
      <c r="K5" s="122">
        <v>46037</v>
      </c>
      <c r="L5" s="122">
        <v>46036</v>
      </c>
      <c r="M5" s="122" t="s">
        <v>1118</v>
      </c>
      <c r="N5" s="122"/>
      <c r="O5" s="129"/>
      <c r="P5" s="122"/>
      <c r="Q5" s="122">
        <v>46037</v>
      </c>
      <c r="R5" s="122"/>
      <c r="S5" s="130"/>
      <c r="T5" s="131">
        <v>46009</v>
      </c>
      <c r="U5" s="132" t="s">
        <v>787</v>
      </c>
      <c r="V5" s="123" t="s">
        <v>779</v>
      </c>
      <c r="W5" s="133" t="s">
        <v>788</v>
      </c>
      <c r="X5" s="133" t="s">
        <v>789</v>
      </c>
      <c r="Y5" s="133" t="s">
        <v>485</v>
      </c>
      <c r="Z5" s="134">
        <v>0</v>
      </c>
      <c r="AA5" s="135">
        <f t="shared" si="0"/>
        <v>0</v>
      </c>
      <c r="AB5" s="136">
        <f t="shared" si="1"/>
        <v>0</v>
      </c>
      <c r="AC5" s="137" t="s">
        <v>1120</v>
      </c>
      <c r="AD5" s="138"/>
      <c r="AE5" s="139" t="s">
        <v>416</v>
      </c>
      <c r="AF5" s="140" t="s">
        <v>417</v>
      </c>
      <c r="AG5" s="141"/>
      <c r="AH5" s="130"/>
      <c r="AI5" s="130"/>
      <c r="AJ5" s="130"/>
      <c r="AK5" s="130"/>
      <c r="AL5" s="132"/>
      <c r="AM5" s="132"/>
      <c r="AN5" s="132"/>
      <c r="AO5" s="132"/>
      <c r="AP5" s="132"/>
      <c r="AQ5" s="132"/>
      <c r="AR5" s="132"/>
      <c r="AS5" s="142">
        <v>46041</v>
      </c>
    </row>
    <row r="6" s="117" customFormat="1" customHeight="1" spans="1:45">
      <c r="A6" s="122">
        <v>46001</v>
      </c>
      <c r="B6" s="123" t="s">
        <v>532</v>
      </c>
      <c r="C6" s="122" t="s">
        <v>88</v>
      </c>
      <c r="D6" s="124" t="s">
        <v>106</v>
      </c>
      <c r="E6" s="124" t="s">
        <v>135</v>
      </c>
      <c r="F6" s="125">
        <v>1026107</v>
      </c>
      <c r="G6" s="125" t="s">
        <v>136</v>
      </c>
      <c r="H6" s="126">
        <v>4</v>
      </c>
      <c r="I6" s="127"/>
      <c r="J6" s="128"/>
      <c r="K6" s="122">
        <v>46037</v>
      </c>
      <c r="L6" s="122">
        <v>46036</v>
      </c>
      <c r="M6" s="122" t="s">
        <v>1118</v>
      </c>
      <c r="N6" s="122"/>
      <c r="O6" s="129"/>
      <c r="P6" s="122"/>
      <c r="Q6" s="122">
        <v>46037</v>
      </c>
      <c r="R6" s="122"/>
      <c r="S6" s="130"/>
      <c r="T6" s="131">
        <v>46008</v>
      </c>
      <c r="U6" s="132" t="s">
        <v>787</v>
      </c>
      <c r="V6" s="123" t="s">
        <v>799</v>
      </c>
      <c r="W6" s="133" t="s">
        <v>800</v>
      </c>
      <c r="X6" s="133" t="s">
        <v>804</v>
      </c>
      <c r="Y6" s="133" t="s">
        <v>769</v>
      </c>
      <c r="Z6" s="134">
        <v>0</v>
      </c>
      <c r="AA6" s="135">
        <f t="shared" si="0"/>
        <v>0</v>
      </c>
      <c r="AB6" s="136">
        <f t="shared" si="1"/>
        <v>0</v>
      </c>
      <c r="AC6" s="137" t="s">
        <v>1121</v>
      </c>
      <c r="AD6" s="138" t="s">
        <v>415</v>
      </c>
      <c r="AE6" s="139" t="s">
        <v>416</v>
      </c>
      <c r="AF6" s="140" t="s">
        <v>417</v>
      </c>
      <c r="AG6" s="140"/>
      <c r="AH6" s="130"/>
      <c r="AI6" s="130"/>
      <c r="AJ6" s="130"/>
      <c r="AK6" s="130"/>
      <c r="AL6" s="132"/>
      <c r="AM6" s="132"/>
      <c r="AN6" s="132"/>
      <c r="AO6" s="132"/>
      <c r="AP6" s="132"/>
      <c r="AQ6" s="132"/>
      <c r="AR6" s="132"/>
      <c r="AS6" s="142">
        <v>46049</v>
      </c>
    </row>
    <row r="7" s="117" customFormat="1" customHeight="1" spans="1:45">
      <c r="A7" s="122">
        <v>45992</v>
      </c>
      <c r="B7" s="123" t="s">
        <v>617</v>
      </c>
      <c r="C7" s="122" t="s">
        <v>120</v>
      </c>
      <c r="D7" s="124" t="s">
        <v>106</v>
      </c>
      <c r="E7" s="124" t="s">
        <v>121</v>
      </c>
      <c r="F7" s="125">
        <v>1126148</v>
      </c>
      <c r="G7" s="125" t="s">
        <v>114</v>
      </c>
      <c r="H7" s="126">
        <v>4</v>
      </c>
      <c r="I7" s="127"/>
      <c r="J7" s="128"/>
      <c r="K7" s="122">
        <v>45673</v>
      </c>
      <c r="L7" s="122">
        <v>46042</v>
      </c>
      <c r="M7" s="122" t="s">
        <v>1118</v>
      </c>
      <c r="N7" s="122"/>
      <c r="O7" s="129"/>
      <c r="P7" s="122"/>
      <c r="Q7" s="122">
        <v>45673</v>
      </c>
      <c r="R7" s="122"/>
      <c r="S7" s="130"/>
      <c r="T7" s="131">
        <v>46006</v>
      </c>
      <c r="U7" s="132" t="s">
        <v>824</v>
      </c>
      <c r="V7" s="123" t="s">
        <v>819</v>
      </c>
      <c r="W7" s="133" t="s">
        <v>820</v>
      </c>
      <c r="X7" s="133" t="s">
        <v>825</v>
      </c>
      <c r="Y7" s="133" t="s">
        <v>826</v>
      </c>
      <c r="Z7" s="134">
        <v>0</v>
      </c>
      <c r="AA7" s="135">
        <f t="shared" si="0"/>
        <v>0</v>
      </c>
      <c r="AB7" s="136">
        <f t="shared" si="1"/>
        <v>0</v>
      </c>
      <c r="AC7" s="137" t="s">
        <v>1122</v>
      </c>
      <c r="AD7" s="138"/>
      <c r="AE7" s="139" t="s">
        <v>416</v>
      </c>
      <c r="AF7" s="140" t="s">
        <v>417</v>
      </c>
      <c r="AG7" s="141"/>
      <c r="AH7" s="130"/>
      <c r="AI7" s="130"/>
      <c r="AJ7" s="130"/>
      <c r="AK7" s="130"/>
      <c r="AL7" s="132"/>
      <c r="AM7" s="132"/>
      <c r="AN7" s="132"/>
      <c r="AO7" s="132"/>
      <c r="AP7" s="132"/>
      <c r="AQ7" s="132"/>
      <c r="AR7" s="132"/>
      <c r="AS7" s="142">
        <v>46049</v>
      </c>
    </row>
    <row r="8" s="117" customFormat="1" customHeight="1" spans="1:45">
      <c r="A8" s="122">
        <v>46003</v>
      </c>
      <c r="B8" s="123" t="s">
        <v>811</v>
      </c>
      <c r="C8" s="122" t="s">
        <v>105</v>
      </c>
      <c r="D8" s="124" t="s">
        <v>106</v>
      </c>
      <c r="E8" s="124" t="s">
        <v>138</v>
      </c>
      <c r="F8" s="125">
        <v>3222103</v>
      </c>
      <c r="G8" s="125" t="s">
        <v>139</v>
      </c>
      <c r="H8" s="126">
        <v>3</v>
      </c>
      <c r="I8" s="127"/>
      <c r="J8" s="128"/>
      <c r="K8" s="122">
        <v>46037</v>
      </c>
      <c r="L8" s="122">
        <v>46042</v>
      </c>
      <c r="M8" s="122" t="s">
        <v>1118</v>
      </c>
      <c r="N8" s="122"/>
      <c r="O8" s="129"/>
      <c r="P8" s="122"/>
      <c r="Q8" s="122">
        <v>46037</v>
      </c>
      <c r="R8" s="122"/>
      <c r="S8" s="130"/>
      <c r="T8" s="131">
        <v>46020</v>
      </c>
      <c r="U8" s="132" t="s">
        <v>812</v>
      </c>
      <c r="V8" s="132" t="s">
        <v>813</v>
      </c>
      <c r="W8" s="133" t="s">
        <v>808</v>
      </c>
      <c r="X8" s="133" t="s">
        <v>814</v>
      </c>
      <c r="Y8" s="133" t="s">
        <v>815</v>
      </c>
      <c r="Z8" s="134">
        <v>0</v>
      </c>
      <c r="AA8" s="135">
        <f t="shared" si="0"/>
        <v>0</v>
      </c>
      <c r="AB8" s="136">
        <f t="shared" si="1"/>
        <v>0</v>
      </c>
      <c r="AC8" s="137" t="s">
        <v>1123</v>
      </c>
      <c r="AD8" s="138" t="s">
        <v>415</v>
      </c>
      <c r="AE8" s="139" t="s">
        <v>416</v>
      </c>
      <c r="AF8" s="140" t="s">
        <v>424</v>
      </c>
      <c r="AG8" s="140" t="s">
        <v>425</v>
      </c>
      <c r="AH8" s="130">
        <v>3</v>
      </c>
      <c r="AI8" s="130">
        <f>AH8-H8</f>
        <v>0</v>
      </c>
      <c r="AJ8" s="130"/>
      <c r="AK8" s="130"/>
      <c r="AL8" s="132"/>
      <c r="AM8" s="132"/>
      <c r="AN8" s="132"/>
      <c r="AO8" s="132"/>
      <c r="AP8" s="132"/>
      <c r="AQ8" s="132"/>
      <c r="AR8" s="132"/>
      <c r="AS8" s="142">
        <v>46049</v>
      </c>
    </row>
    <row r="9" s="117" customFormat="1" customHeight="1" spans="1:45">
      <c r="A9" s="122">
        <v>45992</v>
      </c>
      <c r="B9" s="123" t="s">
        <v>617</v>
      </c>
      <c r="C9" s="122" t="s">
        <v>120</v>
      </c>
      <c r="D9" s="124" t="s">
        <v>106</v>
      </c>
      <c r="E9" s="124" t="s">
        <v>121</v>
      </c>
      <c r="F9" s="125" t="s">
        <v>122</v>
      </c>
      <c r="G9" s="125" t="s">
        <v>72</v>
      </c>
      <c r="H9" s="126">
        <v>3</v>
      </c>
      <c r="I9" s="127"/>
      <c r="J9" s="128"/>
      <c r="K9" s="122">
        <v>45673</v>
      </c>
      <c r="L9" s="122">
        <v>46042</v>
      </c>
      <c r="M9" s="122" t="s">
        <v>1118</v>
      </c>
      <c r="N9" s="122"/>
      <c r="O9" s="129"/>
      <c r="P9" s="122"/>
      <c r="Q9" s="122">
        <v>45673</v>
      </c>
      <c r="R9" s="122"/>
      <c r="S9" s="130"/>
      <c r="T9" s="131">
        <v>46016</v>
      </c>
      <c r="U9" s="132" t="s">
        <v>818</v>
      </c>
      <c r="V9" s="123" t="s">
        <v>819</v>
      </c>
      <c r="W9" s="133" t="s">
        <v>820</v>
      </c>
      <c r="X9" s="133" t="s">
        <v>821</v>
      </c>
      <c r="Y9" s="133" t="s">
        <v>822</v>
      </c>
      <c r="Z9" s="134">
        <v>0</v>
      </c>
      <c r="AA9" s="135">
        <f t="shared" si="0"/>
        <v>0</v>
      </c>
      <c r="AB9" s="136">
        <f t="shared" si="1"/>
        <v>0</v>
      </c>
      <c r="AC9" s="137" t="s">
        <v>1123</v>
      </c>
      <c r="AD9" s="138"/>
      <c r="AE9" s="139" t="s">
        <v>416</v>
      </c>
      <c r="AF9" s="140"/>
      <c r="AG9" s="141"/>
      <c r="AH9" s="130">
        <v>3</v>
      </c>
      <c r="AI9" s="130">
        <f>AH9-H9</f>
        <v>0</v>
      </c>
      <c r="AJ9" s="130"/>
      <c r="AK9" s="130"/>
      <c r="AL9" s="132"/>
      <c r="AM9" s="132"/>
      <c r="AN9" s="132"/>
      <c r="AO9" s="132"/>
      <c r="AP9" s="132"/>
      <c r="AQ9" s="132"/>
      <c r="AR9" s="132"/>
      <c r="AS9" s="142">
        <v>46051</v>
      </c>
    </row>
    <row r="10" s="117" customFormat="1" customHeight="1" spans="1:45">
      <c r="A10" s="122">
        <v>45975</v>
      </c>
      <c r="B10" s="123" t="s">
        <v>827</v>
      </c>
      <c r="C10" s="122" t="s">
        <v>102</v>
      </c>
      <c r="D10" s="124" t="s">
        <v>106</v>
      </c>
      <c r="E10" s="124" t="s">
        <v>103</v>
      </c>
      <c r="F10" s="125">
        <v>3826107</v>
      </c>
      <c r="G10" s="125" t="s">
        <v>104</v>
      </c>
      <c r="H10" s="126">
        <v>4</v>
      </c>
      <c r="I10" s="127"/>
      <c r="J10" s="128"/>
      <c r="K10" s="122">
        <v>46037</v>
      </c>
      <c r="L10" s="122">
        <v>46042</v>
      </c>
      <c r="M10" s="122" t="s">
        <v>1118</v>
      </c>
      <c r="N10" s="122"/>
      <c r="O10" s="129"/>
      <c r="P10" s="122"/>
      <c r="Q10" s="122">
        <v>46037</v>
      </c>
      <c r="R10" s="122"/>
      <c r="S10" s="130"/>
      <c r="T10" s="131">
        <v>46021</v>
      </c>
      <c r="U10" s="132" t="s">
        <v>824</v>
      </c>
      <c r="V10" s="123" t="s">
        <v>828</v>
      </c>
      <c r="W10" s="133" t="s">
        <v>829</v>
      </c>
      <c r="X10" s="133" t="s">
        <v>830</v>
      </c>
      <c r="Y10" s="133" t="s">
        <v>734</v>
      </c>
      <c r="Z10" s="134">
        <v>0</v>
      </c>
      <c r="AA10" s="135">
        <f t="shared" si="0"/>
        <v>0</v>
      </c>
      <c r="AB10" s="136">
        <f t="shared" si="1"/>
        <v>0</v>
      </c>
      <c r="AC10" s="137" t="s">
        <v>1123</v>
      </c>
      <c r="AD10" s="138"/>
      <c r="AE10" s="139" t="s">
        <v>416</v>
      </c>
      <c r="AF10" s="140" t="s">
        <v>417</v>
      </c>
      <c r="AG10" s="141"/>
      <c r="AH10" s="130"/>
      <c r="AI10" s="130"/>
      <c r="AJ10" s="130"/>
      <c r="AK10" s="130"/>
      <c r="AL10" s="132"/>
      <c r="AM10" s="132"/>
      <c r="AN10" s="132"/>
      <c r="AO10" s="132"/>
      <c r="AP10" s="132"/>
      <c r="AQ10" s="132"/>
      <c r="AR10" s="132"/>
      <c r="AS10" s="142">
        <v>46052</v>
      </c>
    </row>
    <row r="11" s="117" customFormat="1" customHeight="1" spans="1:45">
      <c r="A11" s="122">
        <v>46001</v>
      </c>
      <c r="B11" s="123" t="s">
        <v>532</v>
      </c>
      <c r="C11" s="122" t="s">
        <v>88</v>
      </c>
      <c r="D11" s="124" t="s">
        <v>155</v>
      </c>
      <c r="E11" s="124" t="s">
        <v>135</v>
      </c>
      <c r="F11" s="125">
        <v>1026107</v>
      </c>
      <c r="G11" s="125" t="s">
        <v>136</v>
      </c>
      <c r="H11" s="126">
        <v>4</v>
      </c>
      <c r="I11" s="127"/>
      <c r="J11" s="128"/>
      <c r="K11" s="122">
        <v>46037</v>
      </c>
      <c r="L11" s="122">
        <v>46048</v>
      </c>
      <c r="M11" s="122" t="s">
        <v>1118</v>
      </c>
      <c r="N11" s="122"/>
      <c r="O11" s="129"/>
      <c r="P11" s="122"/>
      <c r="Q11" s="122">
        <v>46037</v>
      </c>
      <c r="R11" s="122"/>
      <c r="S11" s="130"/>
      <c r="T11" s="131">
        <v>46008</v>
      </c>
      <c r="U11" s="132" t="s">
        <v>787</v>
      </c>
      <c r="V11" s="123" t="s">
        <v>799</v>
      </c>
      <c r="W11" s="133" t="s">
        <v>800</v>
      </c>
      <c r="X11" s="133" t="s">
        <v>804</v>
      </c>
      <c r="Y11" s="133" t="s">
        <v>769</v>
      </c>
      <c r="Z11" s="134">
        <v>0</v>
      </c>
      <c r="AA11" s="135">
        <f t="shared" si="0"/>
        <v>0</v>
      </c>
      <c r="AB11" s="136">
        <f t="shared" si="1"/>
        <v>0</v>
      </c>
      <c r="AC11" s="137" t="s">
        <v>1124</v>
      </c>
      <c r="AD11" s="138" t="s">
        <v>415</v>
      </c>
      <c r="AE11" s="139" t="s">
        <v>416</v>
      </c>
      <c r="AF11" s="140" t="s">
        <v>417</v>
      </c>
      <c r="AG11" s="140"/>
      <c r="AH11" s="130"/>
      <c r="AI11" s="130"/>
      <c r="AJ11" s="130"/>
      <c r="AK11" s="130"/>
      <c r="AL11" s="132"/>
      <c r="AM11" s="132"/>
      <c r="AN11" s="132"/>
      <c r="AO11" s="132"/>
      <c r="AP11" s="132"/>
      <c r="AQ11" s="132"/>
      <c r="AR11" s="132"/>
      <c r="AS11" s="143"/>
    </row>
    <row r="12" s="117" customFormat="1" customHeight="1" spans="1:45">
      <c r="A12" s="122">
        <v>45954</v>
      </c>
      <c r="B12" s="123"/>
      <c r="C12" s="122" t="s">
        <v>91</v>
      </c>
      <c r="D12" s="124" t="s">
        <v>155</v>
      </c>
      <c r="E12" s="124" t="s">
        <v>92</v>
      </c>
      <c r="F12" s="125">
        <v>1426107</v>
      </c>
      <c r="G12" s="125" t="s">
        <v>791</v>
      </c>
      <c r="H12" s="126">
        <v>6</v>
      </c>
      <c r="I12" s="127">
        <v>6</v>
      </c>
      <c r="J12" s="128">
        <f>H12/I12</f>
        <v>1</v>
      </c>
      <c r="K12" s="122">
        <v>46041</v>
      </c>
      <c r="L12" s="122">
        <v>46048</v>
      </c>
      <c r="M12" s="122"/>
      <c r="N12" s="122"/>
      <c r="O12" s="129"/>
      <c r="P12" s="122"/>
      <c r="Q12" s="122">
        <v>46048</v>
      </c>
      <c r="R12" s="122"/>
      <c r="S12" s="130"/>
      <c r="T12" s="131">
        <v>46016</v>
      </c>
      <c r="U12" s="132" t="s">
        <v>792</v>
      </c>
      <c r="V12" s="123" t="s">
        <v>793</v>
      </c>
      <c r="W12" s="133" t="s">
        <v>794</v>
      </c>
      <c r="X12" s="133" t="s">
        <v>795</v>
      </c>
      <c r="Y12" s="133" t="s">
        <v>796</v>
      </c>
      <c r="Z12" s="134">
        <v>0</v>
      </c>
      <c r="AA12" s="135">
        <f t="shared" si="0"/>
        <v>0</v>
      </c>
      <c r="AB12" s="136">
        <f t="shared" si="1"/>
        <v>0</v>
      </c>
      <c r="AC12" s="137" t="s">
        <v>1124</v>
      </c>
      <c r="AD12" s="138"/>
      <c r="AE12" s="139" t="s">
        <v>416</v>
      </c>
      <c r="AF12" s="140" t="s">
        <v>417</v>
      </c>
      <c r="AG12" s="141"/>
      <c r="AH12" s="130"/>
      <c r="AI12" s="130"/>
      <c r="AJ12" s="130"/>
      <c r="AK12" s="130"/>
      <c r="AL12" s="132"/>
      <c r="AM12" s="132"/>
      <c r="AN12" s="132"/>
      <c r="AO12" s="132"/>
      <c r="AP12" s="132"/>
      <c r="AQ12" s="132"/>
      <c r="AR12" s="132"/>
      <c r="AS12" s="143"/>
    </row>
    <row r="13" s="117" customFormat="1" customHeight="1" spans="1:45">
      <c r="A13" s="122">
        <v>45954</v>
      </c>
      <c r="B13" s="123"/>
      <c r="C13" s="122" t="s">
        <v>91</v>
      </c>
      <c r="D13" s="124" t="s">
        <v>106</v>
      </c>
      <c r="E13" s="124" t="s">
        <v>92</v>
      </c>
      <c r="F13" s="125">
        <v>1426107</v>
      </c>
      <c r="G13" s="125" t="s">
        <v>791</v>
      </c>
      <c r="H13" s="126">
        <v>3</v>
      </c>
      <c r="I13" s="127"/>
      <c r="J13" s="128"/>
      <c r="K13" s="122">
        <v>46034</v>
      </c>
      <c r="L13" s="122">
        <v>46048</v>
      </c>
      <c r="M13" s="122" t="s">
        <v>1118</v>
      </c>
      <c r="N13" s="122"/>
      <c r="O13" s="129"/>
      <c r="P13" s="122"/>
      <c r="Q13" s="122">
        <v>46034</v>
      </c>
      <c r="R13" s="122"/>
      <c r="S13" s="130"/>
      <c r="T13" s="131">
        <v>46016</v>
      </c>
      <c r="U13" s="132" t="s">
        <v>792</v>
      </c>
      <c r="V13" s="123" t="s">
        <v>793</v>
      </c>
      <c r="W13" s="133" t="s">
        <v>794</v>
      </c>
      <c r="X13" s="133" t="s">
        <v>795</v>
      </c>
      <c r="Y13" s="133" t="s">
        <v>796</v>
      </c>
      <c r="Z13" s="134">
        <v>0</v>
      </c>
      <c r="AA13" s="135">
        <f t="shared" si="0"/>
        <v>0</v>
      </c>
      <c r="AB13" s="136">
        <f t="shared" si="1"/>
        <v>0</v>
      </c>
      <c r="AC13" s="137" t="s">
        <v>1124</v>
      </c>
      <c r="AD13" s="138"/>
      <c r="AE13" s="139" t="s">
        <v>416</v>
      </c>
      <c r="AF13" s="140" t="s">
        <v>417</v>
      </c>
      <c r="AG13" s="141"/>
      <c r="AH13" s="130"/>
      <c r="AI13" s="130"/>
      <c r="AJ13" s="130"/>
      <c r="AK13" s="130"/>
      <c r="AL13" s="132"/>
      <c r="AM13" s="132"/>
      <c r="AN13" s="132"/>
      <c r="AO13" s="132"/>
      <c r="AP13" s="132"/>
      <c r="AQ13" s="132"/>
      <c r="AR13" s="132"/>
      <c r="AS13" s="142">
        <v>46052</v>
      </c>
    </row>
    <row r="14" s="117" customFormat="1" customHeight="1" spans="1:45">
      <c r="A14" s="122">
        <v>46003</v>
      </c>
      <c r="B14" s="123" t="s">
        <v>811</v>
      </c>
      <c r="C14" s="122" t="s">
        <v>105</v>
      </c>
      <c r="D14" s="124" t="s">
        <v>106</v>
      </c>
      <c r="E14" s="124" t="s">
        <v>138</v>
      </c>
      <c r="F14" s="125">
        <v>3222110</v>
      </c>
      <c r="G14" s="125" t="s">
        <v>140</v>
      </c>
      <c r="H14" s="126">
        <v>3</v>
      </c>
      <c r="I14" s="127"/>
      <c r="J14" s="128"/>
      <c r="K14" s="122">
        <v>46037</v>
      </c>
      <c r="L14" s="122">
        <v>46048</v>
      </c>
      <c r="M14" s="122" t="s">
        <v>1118</v>
      </c>
      <c r="N14" s="122"/>
      <c r="O14" s="129"/>
      <c r="P14" s="122"/>
      <c r="Q14" s="122">
        <v>46037</v>
      </c>
      <c r="R14" s="122"/>
      <c r="S14" s="130"/>
      <c r="T14" s="131">
        <v>46010</v>
      </c>
      <c r="U14" s="132" t="s">
        <v>812</v>
      </c>
      <c r="V14" s="132" t="s">
        <v>813</v>
      </c>
      <c r="W14" s="133" t="s">
        <v>808</v>
      </c>
      <c r="X14" s="133" t="s">
        <v>817</v>
      </c>
      <c r="Y14" s="133" t="s">
        <v>757</v>
      </c>
      <c r="Z14" s="134">
        <v>0</v>
      </c>
      <c r="AA14" s="135">
        <f t="shared" si="0"/>
        <v>0</v>
      </c>
      <c r="AB14" s="136">
        <f t="shared" si="1"/>
        <v>0</v>
      </c>
      <c r="AC14" s="137" t="s">
        <v>1124</v>
      </c>
      <c r="AD14" s="138" t="s">
        <v>415</v>
      </c>
      <c r="AE14" s="139" t="s">
        <v>416</v>
      </c>
      <c r="AF14" s="140" t="s">
        <v>424</v>
      </c>
      <c r="AG14" s="140" t="s">
        <v>425</v>
      </c>
      <c r="AH14" s="130"/>
      <c r="AI14" s="130"/>
      <c r="AJ14" s="130"/>
      <c r="AK14" s="130"/>
      <c r="AL14" s="132"/>
      <c r="AM14" s="132"/>
      <c r="AN14" s="132"/>
      <c r="AO14" s="132"/>
      <c r="AP14" s="132"/>
      <c r="AQ14" s="132"/>
      <c r="AR14" s="132"/>
      <c r="AS14" s="142">
        <v>46052</v>
      </c>
    </row>
    <row r="15" s="117" customFormat="1" customHeight="1" spans="1:45">
      <c r="A15" s="122">
        <v>46001</v>
      </c>
      <c r="B15" s="123" t="s">
        <v>532</v>
      </c>
      <c r="C15" s="122" t="s">
        <v>88</v>
      </c>
      <c r="D15" s="124" t="s">
        <v>155</v>
      </c>
      <c r="E15" s="124" t="s">
        <v>132</v>
      </c>
      <c r="F15" s="125">
        <v>1025155</v>
      </c>
      <c r="G15" s="125" t="s">
        <v>133</v>
      </c>
      <c r="H15" s="126">
        <v>6</v>
      </c>
      <c r="I15" s="127">
        <v>6</v>
      </c>
      <c r="J15" s="128">
        <f>H15/I15</f>
        <v>1</v>
      </c>
      <c r="K15" s="122">
        <f>Q15-7</f>
        <v>46045</v>
      </c>
      <c r="L15" s="122">
        <v>46048</v>
      </c>
      <c r="M15" s="131">
        <v>46049</v>
      </c>
      <c r="N15" s="122"/>
      <c r="O15" s="129"/>
      <c r="P15" s="122"/>
      <c r="Q15" s="122">
        <v>46052</v>
      </c>
      <c r="R15" s="122"/>
      <c r="S15" s="130"/>
      <c r="T15" s="131">
        <v>46014</v>
      </c>
      <c r="U15" s="132" t="s">
        <v>798</v>
      </c>
      <c r="V15" s="123" t="s">
        <v>799</v>
      </c>
      <c r="W15" s="133" t="s">
        <v>800</v>
      </c>
      <c r="X15" s="133" t="s">
        <v>803</v>
      </c>
      <c r="Y15" s="133" t="s">
        <v>769</v>
      </c>
      <c r="Z15" s="134">
        <v>0</v>
      </c>
      <c r="AA15" s="135">
        <f t="shared" si="0"/>
        <v>0</v>
      </c>
      <c r="AB15" s="136">
        <f t="shared" si="1"/>
        <v>0</v>
      </c>
      <c r="AC15" s="137" t="s">
        <v>1124</v>
      </c>
      <c r="AD15" s="138" t="s">
        <v>415</v>
      </c>
      <c r="AE15" s="139" t="s">
        <v>416</v>
      </c>
      <c r="AF15" s="140" t="s">
        <v>424</v>
      </c>
      <c r="AG15" s="140" t="s">
        <v>425</v>
      </c>
      <c r="AH15" s="130">
        <v>6</v>
      </c>
      <c r="AI15" s="130">
        <f>AH15-H15</f>
        <v>0</v>
      </c>
      <c r="AJ15" s="130"/>
      <c r="AK15" s="130"/>
      <c r="AL15" s="132"/>
      <c r="AM15" s="132"/>
      <c r="AN15" s="132"/>
      <c r="AO15" s="132"/>
      <c r="AP15" s="132"/>
      <c r="AQ15" s="132"/>
      <c r="AR15" s="132"/>
      <c r="AS15" s="143"/>
    </row>
    <row r="16" s="118" customFormat="1" customHeight="1" spans="1:45">
      <c r="A16" s="144">
        <v>46027</v>
      </c>
      <c r="B16" s="145" t="s">
        <v>486</v>
      </c>
      <c r="C16" s="144" t="s">
        <v>109</v>
      </c>
      <c r="D16" s="146" t="s">
        <v>106</v>
      </c>
      <c r="E16" s="146" t="s">
        <v>144</v>
      </c>
      <c r="F16" s="147" t="s">
        <v>145</v>
      </c>
      <c r="G16" s="147" t="s">
        <v>111</v>
      </c>
      <c r="H16" s="148">
        <v>4</v>
      </c>
      <c r="I16" s="149"/>
      <c r="J16" s="150"/>
      <c r="K16" s="144">
        <v>46052</v>
      </c>
      <c r="L16" s="144"/>
      <c r="M16" s="151"/>
      <c r="N16" s="144"/>
      <c r="O16" s="152"/>
      <c r="P16" s="144"/>
      <c r="Q16" s="144">
        <v>46052</v>
      </c>
      <c r="R16" s="144"/>
      <c r="S16" s="153"/>
      <c r="T16" s="154">
        <v>46037</v>
      </c>
      <c r="U16" s="155" t="s">
        <v>832</v>
      </c>
      <c r="V16" s="145" t="s">
        <v>833</v>
      </c>
      <c r="W16" s="155" t="s">
        <v>834</v>
      </c>
      <c r="X16" s="156" t="s">
        <v>774</v>
      </c>
      <c r="Y16" s="156" t="s">
        <v>835</v>
      </c>
      <c r="Z16" s="157">
        <v>0</v>
      </c>
      <c r="AA16" s="158">
        <f t="shared" si="0"/>
        <v>0</v>
      </c>
      <c r="AB16" s="159">
        <f t="shared" si="1"/>
        <v>0</v>
      </c>
      <c r="AC16" s="160"/>
      <c r="AD16" s="161" t="s">
        <v>415</v>
      </c>
      <c r="AE16" s="162" t="s">
        <v>416</v>
      </c>
      <c r="AF16" s="163" t="s">
        <v>424</v>
      </c>
      <c r="AG16" s="164" t="s">
        <v>425</v>
      </c>
      <c r="AH16" s="153"/>
      <c r="AI16" s="153"/>
      <c r="AJ16" s="153"/>
      <c r="AK16" s="153"/>
      <c r="AL16" s="155"/>
      <c r="AM16" s="155"/>
      <c r="AN16" s="155"/>
      <c r="AO16" s="155"/>
      <c r="AP16" s="155"/>
      <c r="AQ16" s="155"/>
      <c r="AR16" s="155"/>
      <c r="AS16" s="165">
        <v>46104</v>
      </c>
    </row>
    <row r="17" s="118" customFormat="1" customHeight="1" spans="1:45">
      <c r="A17" s="144">
        <v>46038</v>
      </c>
      <c r="B17" s="145" t="s">
        <v>852</v>
      </c>
      <c r="C17" s="144" t="s">
        <v>102</v>
      </c>
      <c r="D17" s="146" t="s">
        <v>1125</v>
      </c>
      <c r="E17" s="146" t="s">
        <v>146</v>
      </c>
      <c r="F17" s="147" t="s">
        <v>147</v>
      </c>
      <c r="G17" s="147" t="s">
        <v>148</v>
      </c>
      <c r="H17" s="148">
        <v>9</v>
      </c>
      <c r="I17" s="149"/>
      <c r="J17" s="150"/>
      <c r="K17" s="144">
        <v>46104</v>
      </c>
      <c r="L17" s="144">
        <v>46091</v>
      </c>
      <c r="M17" s="151" t="s">
        <v>1118</v>
      </c>
      <c r="N17" s="144"/>
      <c r="O17" s="152"/>
      <c r="P17" s="144"/>
      <c r="Q17" s="144">
        <v>46104</v>
      </c>
      <c r="R17" s="144"/>
      <c r="S17" s="153"/>
      <c r="T17" s="154" t="s">
        <v>853</v>
      </c>
      <c r="U17" s="155" t="s">
        <v>854</v>
      </c>
      <c r="V17" s="145" t="s">
        <v>855</v>
      </c>
      <c r="W17" s="156" t="s">
        <v>856</v>
      </c>
      <c r="X17" s="156" t="s">
        <v>857</v>
      </c>
      <c r="Y17" s="156" t="s">
        <v>858</v>
      </c>
      <c r="Z17" s="157">
        <v>0</v>
      </c>
      <c r="AA17" s="158">
        <f t="shared" si="0"/>
        <v>0</v>
      </c>
      <c r="AB17" s="159">
        <f t="shared" si="1"/>
        <v>0</v>
      </c>
      <c r="AC17" s="160" t="s">
        <v>1126</v>
      </c>
      <c r="AD17" s="161" t="s">
        <v>415</v>
      </c>
      <c r="AE17" s="162" t="s">
        <v>416</v>
      </c>
      <c r="AF17" s="163" t="s">
        <v>860</v>
      </c>
      <c r="AG17" s="164"/>
      <c r="AH17" s="153"/>
      <c r="AI17" s="153"/>
      <c r="AJ17" s="153"/>
      <c r="AK17" s="153"/>
      <c r="AL17" s="155"/>
      <c r="AM17" s="155"/>
      <c r="AN17" s="155"/>
      <c r="AO17" s="155"/>
      <c r="AP17" s="155"/>
      <c r="AQ17" s="155"/>
      <c r="AR17" s="155"/>
      <c r="AS17" s="165">
        <v>46107</v>
      </c>
    </row>
    <row r="18" s="118" customFormat="1" customHeight="1" spans="1:45">
      <c r="A18" s="144">
        <v>46038</v>
      </c>
      <c r="B18" s="145" t="s">
        <v>852</v>
      </c>
      <c r="C18" s="144" t="s">
        <v>102</v>
      </c>
      <c r="D18" s="146" t="s">
        <v>1125</v>
      </c>
      <c r="E18" s="146" t="s">
        <v>146</v>
      </c>
      <c r="F18" s="147" t="s">
        <v>149</v>
      </c>
      <c r="G18" s="147" t="s">
        <v>150</v>
      </c>
      <c r="H18" s="148">
        <v>9</v>
      </c>
      <c r="I18" s="149"/>
      <c r="J18" s="150"/>
      <c r="K18" s="144">
        <v>46104</v>
      </c>
      <c r="L18" s="144">
        <v>46091</v>
      </c>
      <c r="M18" s="151" t="s">
        <v>1118</v>
      </c>
      <c r="N18" s="144"/>
      <c r="O18" s="152"/>
      <c r="P18" s="144"/>
      <c r="Q18" s="144">
        <v>46104</v>
      </c>
      <c r="R18" s="144"/>
      <c r="S18" s="153"/>
      <c r="T18" s="154" t="s">
        <v>861</v>
      </c>
      <c r="U18" s="155" t="s">
        <v>854</v>
      </c>
      <c r="V18" s="145" t="s">
        <v>855</v>
      </c>
      <c r="W18" s="156" t="s">
        <v>856</v>
      </c>
      <c r="X18" s="156" t="s">
        <v>862</v>
      </c>
      <c r="Y18" s="156" t="s">
        <v>863</v>
      </c>
      <c r="Z18" s="157">
        <v>0</v>
      </c>
      <c r="AA18" s="158">
        <f t="shared" si="0"/>
        <v>0</v>
      </c>
      <c r="AB18" s="159">
        <f t="shared" si="1"/>
        <v>0</v>
      </c>
      <c r="AC18" s="160" t="s">
        <v>1127</v>
      </c>
      <c r="AD18" s="161" t="s">
        <v>415</v>
      </c>
      <c r="AE18" s="162" t="s">
        <v>416</v>
      </c>
      <c r="AF18" s="163" t="s">
        <v>860</v>
      </c>
      <c r="AG18" s="164"/>
      <c r="AH18" s="153"/>
      <c r="AI18" s="153"/>
      <c r="AJ18" s="153"/>
      <c r="AK18" s="153"/>
      <c r="AL18" s="155"/>
      <c r="AM18" s="155"/>
      <c r="AN18" s="155"/>
      <c r="AO18" s="155"/>
      <c r="AP18" s="155"/>
      <c r="AQ18" s="155"/>
      <c r="AR18" s="155"/>
      <c r="AS18" s="165">
        <v>46107</v>
      </c>
    </row>
    <row r="19" s="118" customFormat="1" customHeight="1" spans="1:45">
      <c r="A19" s="144">
        <v>46000</v>
      </c>
      <c r="B19" s="145" t="s">
        <v>695</v>
      </c>
      <c r="C19" s="144" t="s">
        <v>125</v>
      </c>
      <c r="D19" s="146" t="s">
        <v>106</v>
      </c>
      <c r="E19" s="146" t="s">
        <v>126</v>
      </c>
      <c r="F19" s="147">
        <v>1526103</v>
      </c>
      <c r="G19" s="147" t="s">
        <v>127</v>
      </c>
      <c r="H19" s="148">
        <v>12</v>
      </c>
      <c r="I19" s="149">
        <v>6</v>
      </c>
      <c r="J19" s="150">
        <f>H19/I19</f>
        <v>2</v>
      </c>
      <c r="K19" s="144">
        <v>46132</v>
      </c>
      <c r="L19" s="144"/>
      <c r="M19" s="151">
        <v>46132</v>
      </c>
      <c r="N19" s="144"/>
      <c r="O19" s="152"/>
      <c r="P19" s="144"/>
      <c r="Q19" s="144">
        <v>46132</v>
      </c>
      <c r="R19" s="144"/>
      <c r="S19" s="153"/>
      <c r="T19" s="154">
        <v>46098</v>
      </c>
      <c r="U19" s="155" t="s">
        <v>1128</v>
      </c>
      <c r="V19" s="145" t="s">
        <v>1129</v>
      </c>
      <c r="W19" s="156" t="s">
        <v>1130</v>
      </c>
      <c r="X19" s="156" t="s">
        <v>1131</v>
      </c>
      <c r="Y19" s="156" t="s">
        <v>892</v>
      </c>
      <c r="Z19" s="157">
        <v>0</v>
      </c>
      <c r="AA19" s="158">
        <f t="shared" si="0"/>
        <v>0</v>
      </c>
      <c r="AB19" s="159">
        <f t="shared" si="1"/>
        <v>0</v>
      </c>
      <c r="AC19" s="160"/>
      <c r="AD19" s="161" t="s">
        <v>415</v>
      </c>
      <c r="AE19" s="162" t="s">
        <v>416</v>
      </c>
      <c r="AF19" s="163" t="s">
        <v>424</v>
      </c>
      <c r="AG19" s="163" t="s">
        <v>425</v>
      </c>
      <c r="AH19" s="153">
        <f>2964+36</f>
        <v>3000</v>
      </c>
      <c r="AI19" s="153">
        <f t="shared" ref="AI19:AI51" si="2">AH19-H19</f>
        <v>2988</v>
      </c>
      <c r="AJ19" s="153"/>
      <c r="AK19" s="153"/>
      <c r="AL19" s="155"/>
      <c r="AM19" s="155"/>
      <c r="AN19" s="155"/>
      <c r="AO19" s="155"/>
      <c r="AP19" s="155"/>
      <c r="AQ19" s="155"/>
      <c r="AR19" s="155"/>
      <c r="AS19" s="165">
        <v>46119</v>
      </c>
    </row>
    <row r="20" s="118" customFormat="1" customHeight="1" spans="1:45">
      <c r="A20" s="144">
        <v>46000</v>
      </c>
      <c r="B20" s="145" t="s">
        <v>695</v>
      </c>
      <c r="C20" s="144" t="s">
        <v>128</v>
      </c>
      <c r="D20" s="146" t="s">
        <v>106</v>
      </c>
      <c r="E20" s="146" t="s">
        <v>126</v>
      </c>
      <c r="F20" s="147">
        <v>4726103</v>
      </c>
      <c r="G20" s="147" t="s">
        <v>129</v>
      </c>
      <c r="H20" s="148">
        <v>12</v>
      </c>
      <c r="I20" s="149">
        <v>6</v>
      </c>
      <c r="J20" s="150">
        <f>H20/I20</f>
        <v>2</v>
      </c>
      <c r="K20" s="144">
        <v>46132</v>
      </c>
      <c r="L20" s="144"/>
      <c r="M20" s="151">
        <v>46132</v>
      </c>
      <c r="N20" s="144"/>
      <c r="O20" s="152"/>
      <c r="P20" s="144"/>
      <c r="Q20" s="144">
        <v>46132</v>
      </c>
      <c r="R20" s="144"/>
      <c r="S20" s="153"/>
      <c r="T20" s="154">
        <v>46098</v>
      </c>
      <c r="U20" s="155" t="s">
        <v>1132</v>
      </c>
      <c r="V20" s="145" t="s">
        <v>1129</v>
      </c>
      <c r="W20" s="156" t="s">
        <v>1133</v>
      </c>
      <c r="X20" s="156" t="s">
        <v>1134</v>
      </c>
      <c r="Y20" s="156" t="s">
        <v>892</v>
      </c>
      <c r="Z20" s="157">
        <v>0</v>
      </c>
      <c r="AA20" s="158">
        <f t="shared" si="0"/>
        <v>0</v>
      </c>
      <c r="AB20" s="159">
        <f t="shared" si="1"/>
        <v>0</v>
      </c>
      <c r="AC20" s="160"/>
      <c r="AD20" s="161" t="s">
        <v>415</v>
      </c>
      <c r="AE20" s="162" t="s">
        <v>416</v>
      </c>
      <c r="AF20" s="163" t="s">
        <v>424</v>
      </c>
      <c r="AG20" s="163" t="s">
        <v>425</v>
      </c>
      <c r="AH20" s="153">
        <v>3000</v>
      </c>
      <c r="AI20" s="153">
        <f t="shared" si="2"/>
        <v>2988</v>
      </c>
      <c r="AJ20" s="153"/>
      <c r="AK20" s="153"/>
      <c r="AL20" s="155"/>
      <c r="AM20" s="155"/>
      <c r="AN20" s="155"/>
      <c r="AO20" s="155"/>
      <c r="AP20" s="155"/>
      <c r="AQ20" s="155"/>
      <c r="AR20" s="155"/>
      <c r="AS20" s="165">
        <v>46119</v>
      </c>
    </row>
    <row r="21" s="118" customFormat="1" customHeight="1" spans="1:45">
      <c r="A21" s="144">
        <v>45999</v>
      </c>
      <c r="B21" s="145" t="s">
        <v>449</v>
      </c>
      <c r="C21" s="144" t="s">
        <v>450</v>
      </c>
      <c r="D21" s="146" t="s">
        <v>106</v>
      </c>
      <c r="E21" s="146" t="s">
        <v>124</v>
      </c>
      <c r="F21" s="147">
        <v>3325103</v>
      </c>
      <c r="G21" s="147" t="s">
        <v>890</v>
      </c>
      <c r="H21" s="148">
        <v>12</v>
      </c>
      <c r="I21" s="149">
        <v>6</v>
      </c>
      <c r="J21" s="150">
        <f>H21/I21</f>
        <v>2</v>
      </c>
      <c r="K21" s="144">
        <v>46134</v>
      </c>
      <c r="L21" s="144"/>
      <c r="M21" s="151">
        <v>46135</v>
      </c>
      <c r="N21" s="144"/>
      <c r="O21" s="152"/>
      <c r="P21" s="144"/>
      <c r="Q21" s="144">
        <v>46134</v>
      </c>
      <c r="R21" s="144"/>
      <c r="S21" s="153"/>
      <c r="T21" s="154">
        <v>46098</v>
      </c>
      <c r="U21" s="162" t="s">
        <v>452</v>
      </c>
      <c r="V21" s="155" t="s">
        <v>453</v>
      </c>
      <c r="W21" s="156" t="s">
        <v>454</v>
      </c>
      <c r="X21" s="156" t="s">
        <v>891</v>
      </c>
      <c r="Y21" s="156" t="s">
        <v>892</v>
      </c>
      <c r="Z21" s="157">
        <v>0</v>
      </c>
      <c r="AA21" s="158">
        <f t="shared" si="0"/>
        <v>0</v>
      </c>
      <c r="AB21" s="159">
        <f t="shared" si="1"/>
        <v>0</v>
      </c>
      <c r="AC21" s="160"/>
      <c r="AD21" s="161" t="s">
        <v>415</v>
      </c>
      <c r="AE21" s="162" t="s">
        <v>416</v>
      </c>
      <c r="AF21" s="163" t="s">
        <v>424</v>
      </c>
      <c r="AG21" s="163" t="s">
        <v>425</v>
      </c>
      <c r="AH21" s="153">
        <f>1296+1704</f>
        <v>3000</v>
      </c>
      <c r="AI21" s="153">
        <f t="shared" si="2"/>
        <v>2988</v>
      </c>
      <c r="AJ21" s="153"/>
      <c r="AK21" s="153"/>
      <c r="AL21" s="155"/>
      <c r="AM21" s="155"/>
      <c r="AN21" s="155"/>
      <c r="AO21" s="155"/>
      <c r="AP21" s="155"/>
      <c r="AQ21" s="155"/>
      <c r="AR21" s="155"/>
      <c r="AS21" s="165">
        <v>46119</v>
      </c>
    </row>
    <row r="22" s="118" customFormat="1" customHeight="1" spans="1:45">
      <c r="A22" s="144">
        <v>1326103</v>
      </c>
      <c r="B22" s="145" t="s">
        <v>1135</v>
      </c>
      <c r="C22" s="144" t="s">
        <v>120</v>
      </c>
      <c r="D22" s="146" t="s">
        <v>1136</v>
      </c>
      <c r="E22" s="146" t="s">
        <v>160</v>
      </c>
      <c r="F22" s="147">
        <v>1125131</v>
      </c>
      <c r="G22" s="147" t="s">
        <v>161</v>
      </c>
      <c r="H22" s="148">
        <v>3</v>
      </c>
      <c r="I22" s="149"/>
      <c r="J22" s="150"/>
      <c r="K22" s="144">
        <v>46122</v>
      </c>
      <c r="L22" s="144">
        <v>46127</v>
      </c>
      <c r="M22" s="151" t="s">
        <v>1118</v>
      </c>
      <c r="N22" s="144"/>
      <c r="O22" s="152"/>
      <c r="P22" s="144"/>
      <c r="Q22" s="144">
        <v>46122</v>
      </c>
      <c r="R22" s="144"/>
      <c r="S22" s="153"/>
      <c r="T22" s="154">
        <v>46108</v>
      </c>
      <c r="U22" s="155" t="s">
        <v>1137</v>
      </c>
      <c r="V22" s="145" t="s">
        <v>895</v>
      </c>
      <c r="W22" s="156" t="s">
        <v>1138</v>
      </c>
      <c r="X22" s="156" t="s">
        <v>1139</v>
      </c>
      <c r="Y22" s="156" t="s">
        <v>1050</v>
      </c>
      <c r="Z22" s="157">
        <v>0</v>
      </c>
      <c r="AA22" s="158">
        <f t="shared" si="0"/>
        <v>0</v>
      </c>
      <c r="AB22" s="159">
        <f t="shared" si="1"/>
        <v>0</v>
      </c>
      <c r="AC22" s="160" t="s">
        <v>1140</v>
      </c>
      <c r="AD22" s="161" t="s">
        <v>415</v>
      </c>
      <c r="AE22" s="162" t="s">
        <v>416</v>
      </c>
      <c r="AF22" s="163" t="s">
        <v>424</v>
      </c>
      <c r="AG22" s="164"/>
      <c r="AH22" s="153"/>
      <c r="AI22" s="153">
        <f t="shared" si="2"/>
        <v>-3</v>
      </c>
      <c r="AJ22" s="153"/>
      <c r="AK22" s="153"/>
      <c r="AL22" s="155"/>
      <c r="AM22" s="155"/>
      <c r="AN22" s="155"/>
      <c r="AO22" s="155"/>
      <c r="AP22" s="155"/>
      <c r="AQ22" s="155"/>
      <c r="AR22" s="155"/>
      <c r="AS22" s="165">
        <v>46133</v>
      </c>
    </row>
    <row r="23" s="118" customFormat="1" customHeight="1" spans="1:45">
      <c r="A23" s="144">
        <v>46077</v>
      </c>
      <c r="B23" s="145" t="s">
        <v>1135</v>
      </c>
      <c r="C23" s="144" t="s">
        <v>120</v>
      </c>
      <c r="D23" s="146" t="s">
        <v>1136</v>
      </c>
      <c r="E23" s="146" t="s">
        <v>160</v>
      </c>
      <c r="F23" s="147" t="s">
        <v>166</v>
      </c>
      <c r="G23" s="147" t="s">
        <v>167</v>
      </c>
      <c r="H23" s="148">
        <v>12</v>
      </c>
      <c r="I23" s="149"/>
      <c r="J23" s="150"/>
      <c r="K23" s="144">
        <v>46122</v>
      </c>
      <c r="L23" s="144">
        <v>46126</v>
      </c>
      <c r="M23" s="151" t="s">
        <v>1118</v>
      </c>
      <c r="N23" s="144"/>
      <c r="O23" s="152"/>
      <c r="P23" s="144"/>
      <c r="Q23" s="144">
        <v>46122</v>
      </c>
      <c r="R23" s="144"/>
      <c r="S23" s="153"/>
      <c r="T23" s="154">
        <v>46104</v>
      </c>
      <c r="U23" s="155" t="s">
        <v>1137</v>
      </c>
      <c r="V23" s="145" t="s">
        <v>895</v>
      </c>
      <c r="W23" s="156" t="s">
        <v>1138</v>
      </c>
      <c r="X23" s="156" t="s">
        <v>1141</v>
      </c>
      <c r="Y23" s="156" t="s">
        <v>1142</v>
      </c>
      <c r="Z23" s="157">
        <v>0</v>
      </c>
      <c r="AA23" s="158">
        <f t="shared" si="0"/>
        <v>0</v>
      </c>
      <c r="AB23" s="159">
        <f t="shared" si="1"/>
        <v>0</v>
      </c>
      <c r="AC23" s="160" t="s">
        <v>1143</v>
      </c>
      <c r="AD23" s="161" t="s">
        <v>415</v>
      </c>
      <c r="AE23" s="162" t="s">
        <v>416</v>
      </c>
      <c r="AF23" s="163" t="s">
        <v>424</v>
      </c>
      <c r="AG23" s="163" t="s">
        <v>425</v>
      </c>
      <c r="AH23" s="153">
        <v>12</v>
      </c>
      <c r="AI23" s="153">
        <f t="shared" si="2"/>
        <v>0</v>
      </c>
      <c r="AJ23" s="153"/>
      <c r="AK23" s="153"/>
      <c r="AL23" s="155"/>
      <c r="AM23" s="155"/>
      <c r="AN23" s="155"/>
      <c r="AO23" s="155"/>
      <c r="AP23" s="155"/>
      <c r="AQ23" s="155"/>
      <c r="AR23" s="155"/>
      <c r="AS23" s="165">
        <v>46129</v>
      </c>
    </row>
    <row r="24" s="118" customFormat="1" customHeight="1" spans="1:45">
      <c r="A24" s="144">
        <v>45999</v>
      </c>
      <c r="B24" s="145" t="s">
        <v>449</v>
      </c>
      <c r="C24" s="144" t="s">
        <v>450</v>
      </c>
      <c r="D24" s="146" t="s">
        <v>155</v>
      </c>
      <c r="E24" s="146" t="s">
        <v>124</v>
      </c>
      <c r="F24" s="147">
        <v>3325103</v>
      </c>
      <c r="G24" s="147" t="s">
        <v>890</v>
      </c>
      <c r="H24" s="148">
        <v>6</v>
      </c>
      <c r="I24" s="149">
        <v>6</v>
      </c>
      <c r="J24" s="150">
        <f>H24/I24</f>
        <v>1</v>
      </c>
      <c r="K24" s="144">
        <v>46134</v>
      </c>
      <c r="L24" s="144">
        <v>46126</v>
      </c>
      <c r="M24" s="151"/>
      <c r="N24" s="144"/>
      <c r="O24" s="152"/>
      <c r="P24" s="144"/>
      <c r="Q24" s="144">
        <v>46134</v>
      </c>
      <c r="R24" s="144"/>
      <c r="S24" s="153"/>
      <c r="T24" s="154">
        <v>46098</v>
      </c>
      <c r="U24" s="162" t="s">
        <v>452</v>
      </c>
      <c r="V24" s="155" t="s">
        <v>453</v>
      </c>
      <c r="W24" s="156" t="s">
        <v>454</v>
      </c>
      <c r="X24" s="156" t="s">
        <v>891</v>
      </c>
      <c r="Y24" s="156" t="s">
        <v>892</v>
      </c>
      <c r="Z24" s="157">
        <v>0</v>
      </c>
      <c r="AA24" s="158">
        <f t="shared" si="0"/>
        <v>0</v>
      </c>
      <c r="AB24" s="159">
        <f t="shared" si="1"/>
        <v>0</v>
      </c>
      <c r="AC24" s="160" t="s">
        <v>1143</v>
      </c>
      <c r="AD24" s="161" t="s">
        <v>415</v>
      </c>
      <c r="AE24" s="162" t="s">
        <v>416</v>
      </c>
      <c r="AF24" s="163" t="s">
        <v>424</v>
      </c>
      <c r="AG24" s="163" t="s">
        <v>425</v>
      </c>
      <c r="AH24" s="153"/>
      <c r="AI24" s="153">
        <f t="shared" si="2"/>
        <v>-6</v>
      </c>
      <c r="AJ24" s="153"/>
      <c r="AK24" s="153"/>
      <c r="AL24" s="155"/>
      <c r="AM24" s="155"/>
      <c r="AN24" s="155"/>
      <c r="AO24" s="155"/>
      <c r="AP24" s="155"/>
      <c r="AQ24" s="155"/>
      <c r="AR24" s="155"/>
      <c r="AS24" s="165">
        <v>46133</v>
      </c>
    </row>
    <row r="25" s="118" customFormat="1" customHeight="1" spans="1:45">
      <c r="A25" s="144">
        <v>46077</v>
      </c>
      <c r="B25" s="145" t="s">
        <v>875</v>
      </c>
      <c r="C25" s="144" t="s">
        <v>109</v>
      </c>
      <c r="D25" s="146" t="s">
        <v>1136</v>
      </c>
      <c r="E25" s="146" t="s">
        <v>164</v>
      </c>
      <c r="F25" s="147" t="s">
        <v>165</v>
      </c>
      <c r="G25" s="147" t="s">
        <v>23</v>
      </c>
      <c r="H25" s="148">
        <v>18</v>
      </c>
      <c r="I25" s="149"/>
      <c r="J25" s="150"/>
      <c r="K25" s="144">
        <v>46127</v>
      </c>
      <c r="L25" s="144"/>
      <c r="M25" s="151" t="s">
        <v>1118</v>
      </c>
      <c r="N25" s="144"/>
      <c r="O25" s="152"/>
      <c r="P25" s="144"/>
      <c r="Q25" s="144">
        <v>46127</v>
      </c>
      <c r="R25" s="144"/>
      <c r="S25" s="153" t="s">
        <v>876</v>
      </c>
      <c r="T25" s="154">
        <v>46103</v>
      </c>
      <c r="U25" s="155" t="s">
        <v>877</v>
      </c>
      <c r="V25" s="145" t="s">
        <v>878</v>
      </c>
      <c r="W25" s="156" t="s">
        <v>879</v>
      </c>
      <c r="X25" s="156" t="s">
        <v>880</v>
      </c>
      <c r="Y25" s="156" t="s">
        <v>881</v>
      </c>
      <c r="Z25" s="157">
        <v>0</v>
      </c>
      <c r="AA25" s="158">
        <f t="shared" si="0"/>
        <v>0</v>
      </c>
      <c r="AB25" s="159">
        <f t="shared" si="1"/>
        <v>0</v>
      </c>
      <c r="AC25" s="160"/>
      <c r="AD25" s="161" t="s">
        <v>415</v>
      </c>
      <c r="AE25" s="162" t="s">
        <v>416</v>
      </c>
      <c r="AF25" s="163" t="s">
        <v>424</v>
      </c>
      <c r="AG25" s="163" t="s">
        <v>425</v>
      </c>
      <c r="AH25" s="153">
        <v>18</v>
      </c>
      <c r="AI25" s="153">
        <f t="shared" si="2"/>
        <v>0</v>
      </c>
      <c r="AJ25" s="153"/>
      <c r="AK25" s="153"/>
      <c r="AL25" s="155"/>
      <c r="AM25" s="155"/>
      <c r="AN25" s="155"/>
      <c r="AO25" s="155"/>
      <c r="AP25" s="155"/>
      <c r="AQ25" s="155"/>
      <c r="AR25" s="155"/>
      <c r="AS25" s="165">
        <v>46146</v>
      </c>
    </row>
    <row r="26" s="118" customFormat="1" customHeight="1" spans="1:45">
      <c r="A26" s="144">
        <v>46087</v>
      </c>
      <c r="B26" s="145" t="s">
        <v>408</v>
      </c>
      <c r="C26" s="144" t="s">
        <v>187</v>
      </c>
      <c r="D26" s="146" t="s">
        <v>1136</v>
      </c>
      <c r="E26" s="146" t="s">
        <v>188</v>
      </c>
      <c r="F26" s="147">
        <v>3126107</v>
      </c>
      <c r="G26" s="147" t="s">
        <v>189</v>
      </c>
      <c r="H26" s="149">
        <v>6</v>
      </c>
      <c r="I26" s="149"/>
      <c r="J26" s="150"/>
      <c r="K26" s="144">
        <v>46127</v>
      </c>
      <c r="L26" s="144"/>
      <c r="M26" s="151"/>
      <c r="N26" s="144"/>
      <c r="O26" s="152"/>
      <c r="P26" s="144"/>
      <c r="Q26" s="144">
        <v>46127</v>
      </c>
      <c r="R26" s="144"/>
      <c r="S26" s="153"/>
      <c r="T26" s="154">
        <v>46101</v>
      </c>
      <c r="U26" s="155" t="s">
        <v>1144</v>
      </c>
      <c r="V26" s="145" t="s">
        <v>1145</v>
      </c>
      <c r="W26" s="156" t="s">
        <v>1146</v>
      </c>
      <c r="X26" s="156" t="s">
        <v>1147</v>
      </c>
      <c r="Y26" s="156" t="s">
        <v>1148</v>
      </c>
      <c r="Z26" s="157">
        <v>0</v>
      </c>
      <c r="AA26" s="158">
        <f t="shared" si="0"/>
        <v>0</v>
      </c>
      <c r="AB26" s="159">
        <f t="shared" si="1"/>
        <v>0</v>
      </c>
      <c r="AC26" s="160"/>
      <c r="AD26" s="161" t="s">
        <v>415</v>
      </c>
      <c r="AE26" s="162" t="s">
        <v>416</v>
      </c>
      <c r="AF26" s="163" t="s">
        <v>436</v>
      </c>
      <c r="AG26" s="163" t="s">
        <v>425</v>
      </c>
      <c r="AH26" s="153">
        <v>6</v>
      </c>
      <c r="AI26" s="153">
        <f t="shared" si="2"/>
        <v>0</v>
      </c>
      <c r="AJ26" s="153"/>
      <c r="AK26" s="153"/>
      <c r="AL26" s="155"/>
      <c r="AM26" s="155"/>
      <c r="AN26" s="155"/>
      <c r="AO26" s="155"/>
      <c r="AP26" s="155"/>
      <c r="AQ26" s="155"/>
      <c r="AR26" s="155"/>
      <c r="AS26" s="165">
        <v>46139</v>
      </c>
    </row>
    <row r="27" s="118" customFormat="1" customHeight="1" spans="1:45">
      <c r="A27" s="144">
        <v>46077</v>
      </c>
      <c r="B27" s="145" t="s">
        <v>486</v>
      </c>
      <c r="C27" s="144" t="s">
        <v>109</v>
      </c>
      <c r="D27" s="146" t="s">
        <v>1136</v>
      </c>
      <c r="E27" s="146" t="s">
        <v>162</v>
      </c>
      <c r="F27" s="147" t="s">
        <v>163</v>
      </c>
      <c r="G27" s="147" t="s">
        <v>23</v>
      </c>
      <c r="H27" s="148">
        <v>8</v>
      </c>
      <c r="I27" s="149"/>
      <c r="J27" s="150"/>
      <c r="K27" s="144">
        <v>46127</v>
      </c>
      <c r="L27" s="144"/>
      <c r="M27" s="166"/>
      <c r="N27" s="144"/>
      <c r="O27" s="152"/>
      <c r="P27" s="144"/>
      <c r="Q27" s="144">
        <v>46127</v>
      </c>
      <c r="R27" s="144"/>
      <c r="S27" s="153"/>
      <c r="T27" s="154">
        <v>46103</v>
      </c>
      <c r="U27" s="155" t="s">
        <v>883</v>
      </c>
      <c r="V27" s="145" t="s">
        <v>878</v>
      </c>
      <c r="W27" s="156" t="s">
        <v>879</v>
      </c>
      <c r="X27" s="156" t="s">
        <v>880</v>
      </c>
      <c r="Y27" s="156" t="s">
        <v>884</v>
      </c>
      <c r="Z27" s="157">
        <v>0</v>
      </c>
      <c r="AA27" s="158">
        <f t="shared" si="0"/>
        <v>0</v>
      </c>
      <c r="AB27" s="159">
        <f t="shared" si="1"/>
        <v>0</v>
      </c>
      <c r="AC27" s="160"/>
      <c r="AD27" s="161" t="s">
        <v>415</v>
      </c>
      <c r="AE27" s="162" t="s">
        <v>416</v>
      </c>
      <c r="AF27" s="163" t="s">
        <v>424</v>
      </c>
      <c r="AG27" s="163" t="s">
        <v>425</v>
      </c>
      <c r="AH27" s="153">
        <v>8</v>
      </c>
      <c r="AI27" s="153">
        <f t="shared" si="2"/>
        <v>0</v>
      </c>
      <c r="AJ27" s="153"/>
      <c r="AK27" s="153"/>
      <c r="AL27" s="155"/>
      <c r="AM27" s="155"/>
      <c r="AN27" s="155"/>
      <c r="AO27" s="155"/>
      <c r="AP27" s="155"/>
      <c r="AQ27" s="155"/>
      <c r="AR27" s="155"/>
      <c r="AS27" s="165">
        <v>46146</v>
      </c>
    </row>
    <row r="28" s="118" customFormat="1" customHeight="1" spans="1:45">
      <c r="A28" s="144">
        <v>46091</v>
      </c>
      <c r="B28" s="145" t="s">
        <v>486</v>
      </c>
      <c r="C28" s="144" t="s">
        <v>109</v>
      </c>
      <c r="D28" s="146" t="s">
        <v>106</v>
      </c>
      <c r="E28" s="146" t="s">
        <v>203</v>
      </c>
      <c r="F28" s="147" t="s">
        <v>204</v>
      </c>
      <c r="G28" s="147" t="s">
        <v>205</v>
      </c>
      <c r="H28" s="149">
        <v>36</v>
      </c>
      <c r="I28" s="149"/>
      <c r="J28" s="150"/>
      <c r="K28" s="144">
        <v>46157</v>
      </c>
      <c r="L28" s="144">
        <v>46147</v>
      </c>
      <c r="M28" s="151"/>
      <c r="N28" s="144"/>
      <c r="O28" s="152"/>
      <c r="P28" s="144"/>
      <c r="Q28" s="144">
        <v>46157</v>
      </c>
      <c r="R28" s="144"/>
      <c r="S28" s="153"/>
      <c r="T28" s="154">
        <v>46152</v>
      </c>
      <c r="U28" s="155" t="s">
        <v>1149</v>
      </c>
      <c r="V28" s="145" t="s">
        <v>951</v>
      </c>
      <c r="W28" s="167" t="s">
        <v>727</v>
      </c>
      <c r="X28" s="156" t="s">
        <v>907</v>
      </c>
      <c r="Y28" s="156" t="s">
        <v>908</v>
      </c>
      <c r="Z28" s="157">
        <v>0</v>
      </c>
      <c r="AA28" s="158">
        <f t="shared" si="0"/>
        <v>0</v>
      </c>
      <c r="AB28" s="159">
        <f t="shared" si="1"/>
        <v>0</v>
      </c>
      <c r="AC28" s="160" t="s">
        <v>1150</v>
      </c>
      <c r="AD28" s="161" t="s">
        <v>415</v>
      </c>
      <c r="AE28" s="162" t="s">
        <v>416</v>
      </c>
      <c r="AF28" s="163" t="s">
        <v>417</v>
      </c>
      <c r="AG28" s="164"/>
      <c r="AH28" s="153"/>
      <c r="AI28" s="153">
        <f t="shared" si="2"/>
        <v>-36</v>
      </c>
      <c r="AJ28" s="153"/>
      <c r="AK28" s="153"/>
      <c r="AL28" s="155"/>
      <c r="AM28" s="155"/>
      <c r="AN28" s="155"/>
      <c r="AO28" s="155"/>
      <c r="AP28" s="155"/>
      <c r="AQ28" s="155"/>
      <c r="AR28" s="155"/>
      <c r="AS28" s="166" t="s">
        <v>1151</v>
      </c>
    </row>
    <row r="29" s="118" customFormat="1" customHeight="1" spans="1:45">
      <c r="A29" s="144">
        <v>46091</v>
      </c>
      <c r="B29" s="145" t="s">
        <v>486</v>
      </c>
      <c r="C29" s="144" t="s">
        <v>109</v>
      </c>
      <c r="D29" s="146" t="s">
        <v>106</v>
      </c>
      <c r="E29" s="146" t="s">
        <v>191</v>
      </c>
      <c r="F29" s="147" t="s">
        <v>192</v>
      </c>
      <c r="G29" s="147" t="s">
        <v>193</v>
      </c>
      <c r="H29" s="149">
        <v>36</v>
      </c>
      <c r="I29" s="149"/>
      <c r="J29" s="150"/>
      <c r="K29" s="144">
        <v>46167</v>
      </c>
      <c r="L29" s="144"/>
      <c r="M29" s="151" t="s">
        <v>1118</v>
      </c>
      <c r="N29" s="144"/>
      <c r="O29" s="152"/>
      <c r="P29" s="144"/>
      <c r="Q29" s="144">
        <v>46167</v>
      </c>
      <c r="R29" s="144"/>
      <c r="S29" s="153"/>
      <c r="T29" s="154" t="s">
        <v>949</v>
      </c>
      <c r="U29" s="155" t="s">
        <v>1152</v>
      </c>
      <c r="V29" s="145" t="s">
        <v>951</v>
      </c>
      <c r="W29" s="167" t="s">
        <v>727</v>
      </c>
      <c r="X29" s="156" t="s">
        <v>952</v>
      </c>
      <c r="Y29" s="156" t="s">
        <v>908</v>
      </c>
      <c r="Z29" s="157">
        <v>0</v>
      </c>
      <c r="AA29" s="158">
        <f t="shared" si="0"/>
        <v>0</v>
      </c>
      <c r="AB29" s="159">
        <f t="shared" si="1"/>
        <v>0</v>
      </c>
      <c r="AC29" s="160"/>
      <c r="AD29" s="161" t="s">
        <v>415</v>
      </c>
      <c r="AE29" s="162" t="s">
        <v>416</v>
      </c>
      <c r="AF29" s="163" t="s">
        <v>436</v>
      </c>
      <c r="AG29" s="164" t="s">
        <v>425</v>
      </c>
      <c r="AH29" s="153"/>
      <c r="AI29" s="153">
        <f t="shared" si="2"/>
        <v>-36</v>
      </c>
      <c r="AJ29" s="153"/>
      <c r="AK29" s="153"/>
      <c r="AL29" s="155"/>
      <c r="AM29" s="155"/>
      <c r="AN29" s="155"/>
      <c r="AO29" s="155"/>
      <c r="AP29" s="155"/>
      <c r="AQ29" s="155"/>
      <c r="AR29" s="155"/>
      <c r="AS29" s="166" t="s">
        <v>1151</v>
      </c>
    </row>
    <row r="30" s="118" customFormat="1" customHeight="1" spans="1:45">
      <c r="A30" s="144">
        <v>46091</v>
      </c>
      <c r="B30" s="145" t="s">
        <v>486</v>
      </c>
      <c r="C30" s="144" t="s">
        <v>109</v>
      </c>
      <c r="D30" s="146" t="s">
        <v>106</v>
      </c>
      <c r="E30" s="146" t="s">
        <v>200</v>
      </c>
      <c r="F30" s="147" t="s">
        <v>201</v>
      </c>
      <c r="G30" s="147" t="s">
        <v>202</v>
      </c>
      <c r="H30" s="149">
        <v>36</v>
      </c>
      <c r="I30" s="149"/>
      <c r="J30" s="150"/>
      <c r="K30" s="144">
        <v>46167</v>
      </c>
      <c r="L30" s="144"/>
      <c r="M30" s="151" t="s">
        <v>1118</v>
      </c>
      <c r="N30" s="144"/>
      <c r="O30" s="152"/>
      <c r="P30" s="144"/>
      <c r="Q30" s="144">
        <v>46167</v>
      </c>
      <c r="R30" s="144"/>
      <c r="S30" s="153"/>
      <c r="T30" s="154">
        <v>46155</v>
      </c>
      <c r="U30" s="155" t="s">
        <v>1153</v>
      </c>
      <c r="V30" s="145" t="s">
        <v>906</v>
      </c>
      <c r="W30" s="167" t="s">
        <v>727</v>
      </c>
      <c r="X30" s="156" t="s">
        <v>994</v>
      </c>
      <c r="Y30" s="156" t="s">
        <v>908</v>
      </c>
      <c r="Z30" s="157">
        <v>0</v>
      </c>
      <c r="AA30" s="158">
        <f t="shared" si="0"/>
        <v>0</v>
      </c>
      <c r="AB30" s="159">
        <f t="shared" si="1"/>
        <v>0</v>
      </c>
      <c r="AC30" s="160"/>
      <c r="AD30" s="161"/>
      <c r="AE30" s="162" t="s">
        <v>416</v>
      </c>
      <c r="AF30" s="163"/>
      <c r="AG30" s="164"/>
      <c r="AH30" s="153"/>
      <c r="AI30" s="153">
        <f t="shared" si="2"/>
        <v>-36</v>
      </c>
      <c r="AJ30" s="153"/>
      <c r="AK30" s="153"/>
      <c r="AL30" s="155"/>
      <c r="AM30" s="155"/>
      <c r="AN30" s="155"/>
      <c r="AO30" s="155"/>
      <c r="AP30" s="155"/>
      <c r="AQ30" s="155"/>
      <c r="AR30" s="155"/>
      <c r="AS30" s="166" t="s">
        <v>1151</v>
      </c>
    </row>
    <row r="31" s="118" customFormat="1" customHeight="1" spans="1:45">
      <c r="A31" s="168">
        <v>46094</v>
      </c>
      <c r="B31" s="146" t="s">
        <v>941</v>
      </c>
      <c r="C31" s="144" t="s">
        <v>88</v>
      </c>
      <c r="D31" s="146" t="s">
        <v>106</v>
      </c>
      <c r="E31" s="146" t="s">
        <v>206</v>
      </c>
      <c r="F31" s="147">
        <v>1026169</v>
      </c>
      <c r="G31" s="147" t="s">
        <v>207</v>
      </c>
      <c r="H31" s="169">
        <v>12</v>
      </c>
      <c r="I31" s="149"/>
      <c r="J31" s="150"/>
      <c r="K31" s="144">
        <v>46181</v>
      </c>
      <c r="L31" s="144">
        <v>46175</v>
      </c>
      <c r="M31" s="151" t="s">
        <v>1154</v>
      </c>
      <c r="N31" s="144"/>
      <c r="O31" s="152"/>
      <c r="P31" s="144"/>
      <c r="Q31" s="144">
        <v>46178</v>
      </c>
      <c r="R31" s="144"/>
      <c r="S31" s="164"/>
      <c r="T31" s="154">
        <v>46152</v>
      </c>
      <c r="U31" s="155" t="s">
        <v>942</v>
      </c>
      <c r="V31" s="145" t="s">
        <v>943</v>
      </c>
      <c r="W31" s="167" t="s">
        <v>944</v>
      </c>
      <c r="X31" s="167" t="s">
        <v>945</v>
      </c>
      <c r="Y31" s="170" t="s">
        <v>946</v>
      </c>
      <c r="Z31" s="157">
        <v>0</v>
      </c>
      <c r="AA31" s="158">
        <f t="shared" si="0"/>
        <v>0</v>
      </c>
      <c r="AB31" s="159">
        <f t="shared" si="1"/>
        <v>0</v>
      </c>
      <c r="AC31" s="137" t="s">
        <v>1155</v>
      </c>
      <c r="AD31" s="164" t="s">
        <v>415</v>
      </c>
      <c r="AE31" s="162" t="s">
        <v>416</v>
      </c>
      <c r="AF31" s="163" t="s">
        <v>417</v>
      </c>
      <c r="AG31" s="164"/>
      <c r="AH31" s="164"/>
      <c r="AI31" s="153">
        <f t="shared" si="2"/>
        <v>-12</v>
      </c>
      <c r="AJ31" s="164"/>
      <c r="AK31" s="164"/>
      <c r="AL31" s="163"/>
      <c r="AM31" s="163"/>
      <c r="AN31" s="163"/>
      <c r="AO31" s="163"/>
      <c r="AP31" s="163"/>
      <c r="AQ31" s="163"/>
      <c r="AR31" s="163"/>
      <c r="AS31" s="165">
        <v>46167</v>
      </c>
    </row>
    <row r="32" s="118" customFormat="1" customHeight="1" spans="1:45">
      <c r="A32" s="122">
        <v>46078</v>
      </c>
      <c r="B32" s="123" t="s">
        <v>617</v>
      </c>
      <c r="C32" s="122" t="s">
        <v>120</v>
      </c>
      <c r="D32" s="124" t="s">
        <v>1136</v>
      </c>
      <c r="E32" s="124" t="s">
        <v>168</v>
      </c>
      <c r="F32" s="125">
        <v>1126168</v>
      </c>
      <c r="G32" s="125" t="s">
        <v>65</v>
      </c>
      <c r="H32" s="126">
        <v>8</v>
      </c>
      <c r="I32" s="127"/>
      <c r="J32" s="128"/>
      <c r="K32" s="122">
        <v>46199</v>
      </c>
      <c r="L32" s="122">
        <v>46184</v>
      </c>
      <c r="M32" s="171" t="s">
        <v>1154</v>
      </c>
      <c r="N32" s="122"/>
      <c r="O32" s="129"/>
      <c r="P32" s="122"/>
      <c r="Q32" s="122">
        <v>46189</v>
      </c>
      <c r="R32" s="122"/>
      <c r="S32" s="130"/>
      <c r="T32" s="131">
        <v>46155</v>
      </c>
      <c r="U32" s="132" t="s">
        <v>993</v>
      </c>
      <c r="V32" s="123" t="s">
        <v>990</v>
      </c>
      <c r="W32" s="133" t="s">
        <v>901</v>
      </c>
      <c r="X32" s="133" t="s">
        <v>994</v>
      </c>
      <c r="Y32" s="133" t="s">
        <v>991</v>
      </c>
      <c r="Z32" s="134">
        <v>0</v>
      </c>
      <c r="AA32" s="135">
        <f t="shared" si="0"/>
        <v>0</v>
      </c>
      <c r="AB32" s="136">
        <f t="shared" si="1"/>
        <v>0</v>
      </c>
      <c r="AC32" s="137" t="s">
        <v>1156</v>
      </c>
      <c r="AD32" s="138" t="s">
        <v>415</v>
      </c>
      <c r="AE32" s="139" t="s">
        <v>416</v>
      </c>
      <c r="AF32" s="140" t="s">
        <v>417</v>
      </c>
      <c r="AG32" s="141"/>
      <c r="AH32" s="130"/>
      <c r="AI32" s="130">
        <f t="shared" si="2"/>
        <v>-8</v>
      </c>
      <c r="AJ32" s="130"/>
      <c r="AK32" s="130"/>
      <c r="AL32" s="132"/>
      <c r="AM32" s="132"/>
      <c r="AN32" s="132"/>
      <c r="AO32" s="132"/>
      <c r="AP32" s="132"/>
      <c r="AQ32" s="132"/>
      <c r="AR32" s="132"/>
      <c r="AS32" s="165">
        <v>46174</v>
      </c>
    </row>
    <row r="33" s="118" customFormat="1" customHeight="1" spans="1:46">
      <c r="A33" s="122">
        <v>46083</v>
      </c>
      <c r="B33" s="123" t="s">
        <v>617</v>
      </c>
      <c r="C33" s="122" t="s">
        <v>120</v>
      </c>
      <c r="D33" s="124" t="s">
        <v>1136</v>
      </c>
      <c r="E33" s="124" t="s">
        <v>180</v>
      </c>
      <c r="F33" s="125">
        <v>1126169</v>
      </c>
      <c r="G33" s="125" t="s">
        <v>181</v>
      </c>
      <c r="H33" s="126">
        <v>8</v>
      </c>
      <c r="I33" s="127"/>
      <c r="J33" s="128"/>
      <c r="K33" s="122">
        <v>46199</v>
      </c>
      <c r="L33" s="122">
        <v>46185</v>
      </c>
      <c r="M33" s="171" t="s">
        <v>1154</v>
      </c>
      <c r="N33" s="122"/>
      <c r="O33" s="129"/>
      <c r="P33" s="122"/>
      <c r="Q33" s="122">
        <v>46209</v>
      </c>
      <c r="R33" s="122"/>
      <c r="S33" s="130"/>
      <c r="T33" s="131">
        <v>46152</v>
      </c>
      <c r="U33" s="132" t="s">
        <v>431</v>
      </c>
      <c r="V33" s="123" t="s">
        <v>1048</v>
      </c>
      <c r="W33" s="133" t="s">
        <v>1049</v>
      </c>
      <c r="X33" s="133" t="s">
        <v>625</v>
      </c>
      <c r="Y33" s="133" t="s">
        <v>1050</v>
      </c>
      <c r="Z33" s="134">
        <v>0</v>
      </c>
      <c r="AA33" s="135">
        <f t="shared" si="0"/>
        <v>0</v>
      </c>
      <c r="AB33" s="136">
        <f t="shared" si="1"/>
        <v>0</v>
      </c>
      <c r="AC33" s="137" t="s">
        <v>1157</v>
      </c>
      <c r="AD33" s="138" t="s">
        <v>415</v>
      </c>
      <c r="AE33" s="139" t="s">
        <v>416</v>
      </c>
      <c r="AF33" s="140" t="s">
        <v>417</v>
      </c>
      <c r="AG33" s="141"/>
      <c r="AH33" s="130"/>
      <c r="AI33" s="130">
        <f t="shared" si="2"/>
        <v>-8</v>
      </c>
      <c r="AJ33" s="130"/>
      <c r="AK33" s="130"/>
      <c r="AL33" s="132"/>
      <c r="AM33" s="132"/>
      <c r="AN33" s="132"/>
      <c r="AO33" s="132"/>
      <c r="AP33" s="132"/>
      <c r="AQ33" s="132"/>
      <c r="AR33" s="132"/>
      <c r="AS33" s="165">
        <v>46174</v>
      </c>
    </row>
    <row r="34" s="118" customFormat="1" customHeight="1" spans="1:46">
      <c r="A34" s="168">
        <v>46094</v>
      </c>
      <c r="B34" s="146" t="s">
        <v>592</v>
      </c>
      <c r="C34" s="144" t="s">
        <v>109</v>
      </c>
      <c r="D34" s="146" t="s">
        <v>106</v>
      </c>
      <c r="E34" s="146" t="s">
        <v>212</v>
      </c>
      <c r="F34" s="147" t="s">
        <v>215</v>
      </c>
      <c r="G34" s="147" t="s">
        <v>216</v>
      </c>
      <c r="H34" s="148">
        <v>6</v>
      </c>
      <c r="I34" s="149"/>
      <c r="J34" s="150"/>
      <c r="K34" s="144">
        <v>46168</v>
      </c>
      <c r="L34" s="172">
        <v>46160</v>
      </c>
      <c r="M34" s="151" t="s">
        <v>1154</v>
      </c>
      <c r="N34" s="144"/>
      <c r="O34" s="152"/>
      <c r="P34" s="144"/>
      <c r="Q34" s="144">
        <v>46157</v>
      </c>
      <c r="R34" s="144"/>
      <c r="S34" s="164"/>
      <c r="T34" s="154" t="s">
        <v>691</v>
      </c>
      <c r="U34" s="163" t="s">
        <v>925</v>
      </c>
      <c r="V34" s="145" t="s">
        <v>960</v>
      </c>
      <c r="W34" s="167" t="s">
        <v>896</v>
      </c>
      <c r="X34" s="167" t="s">
        <v>964</v>
      </c>
      <c r="Y34" s="170" t="s">
        <v>965</v>
      </c>
      <c r="Z34" s="157">
        <v>0</v>
      </c>
      <c r="AA34" s="158">
        <f t="shared" si="0"/>
        <v>0</v>
      </c>
      <c r="AB34" s="159">
        <f t="shared" si="1"/>
        <v>0</v>
      </c>
      <c r="AC34" s="173" t="s">
        <v>1158</v>
      </c>
      <c r="AD34" s="164" t="s">
        <v>415</v>
      </c>
      <c r="AE34" s="162" t="s">
        <v>416</v>
      </c>
      <c r="AF34" s="163" t="s">
        <v>424</v>
      </c>
      <c r="AG34" s="163" t="s">
        <v>425</v>
      </c>
      <c r="AH34" s="164">
        <v>6</v>
      </c>
      <c r="AI34" s="153">
        <f t="shared" si="2"/>
        <v>0</v>
      </c>
      <c r="AJ34" s="164"/>
      <c r="AK34" s="164"/>
      <c r="AL34" s="163"/>
      <c r="AM34" s="163"/>
      <c r="AN34" s="163"/>
      <c r="AO34" s="163"/>
      <c r="AP34" s="163"/>
      <c r="AQ34" s="163"/>
      <c r="AR34" s="163"/>
      <c r="AS34" s="165">
        <v>46174</v>
      </c>
    </row>
    <row r="35" s="118" customFormat="1" customHeight="1" spans="1:46">
      <c r="A35" s="144">
        <v>46057</v>
      </c>
      <c r="B35" s="145" t="s">
        <v>973</v>
      </c>
      <c r="C35" s="144" t="s">
        <v>974</v>
      </c>
      <c r="D35" s="146" t="s">
        <v>1136</v>
      </c>
      <c r="E35" s="146" t="s">
        <v>156</v>
      </c>
      <c r="F35" s="147">
        <v>1926155</v>
      </c>
      <c r="G35" s="147" t="s">
        <v>157</v>
      </c>
      <c r="H35" s="148">
        <v>6</v>
      </c>
      <c r="I35" s="149"/>
      <c r="J35" s="150"/>
      <c r="K35" s="144">
        <v>46185</v>
      </c>
      <c r="L35" s="172">
        <v>46164</v>
      </c>
      <c r="M35" s="151" t="s">
        <v>1154</v>
      </c>
      <c r="N35" s="144"/>
      <c r="O35" s="152"/>
      <c r="P35" s="144"/>
      <c r="Q35" s="144">
        <v>46167</v>
      </c>
      <c r="R35" s="144"/>
      <c r="S35" s="153"/>
      <c r="T35" s="154">
        <v>46137</v>
      </c>
      <c r="U35" s="163" t="s">
        <v>975</v>
      </c>
      <c r="V35" s="145" t="s">
        <v>976</v>
      </c>
      <c r="W35" s="156" t="s">
        <v>913</v>
      </c>
      <c r="X35" s="156" t="s">
        <v>977</v>
      </c>
      <c r="Y35" s="156" t="s">
        <v>978</v>
      </c>
      <c r="Z35" s="157">
        <v>0</v>
      </c>
      <c r="AA35" s="158">
        <f t="shared" si="0"/>
        <v>0</v>
      </c>
      <c r="AB35" s="159">
        <f t="shared" si="1"/>
        <v>0</v>
      </c>
      <c r="AC35" s="173" t="s">
        <v>1159</v>
      </c>
      <c r="AD35" s="161" t="s">
        <v>415</v>
      </c>
      <c r="AE35" s="162" t="s">
        <v>416</v>
      </c>
      <c r="AF35" s="163" t="s">
        <v>424</v>
      </c>
      <c r="AG35" s="163" t="s">
        <v>425</v>
      </c>
      <c r="AH35" s="153">
        <v>6</v>
      </c>
      <c r="AI35" s="153">
        <f t="shared" si="2"/>
        <v>0</v>
      </c>
      <c r="AJ35" s="153"/>
      <c r="AK35" s="153"/>
      <c r="AL35" s="155"/>
      <c r="AM35" s="155"/>
      <c r="AN35" s="155"/>
      <c r="AO35" s="155"/>
      <c r="AP35" s="155"/>
      <c r="AQ35" s="155"/>
      <c r="AR35" s="155"/>
      <c r="AS35" s="165">
        <v>46174</v>
      </c>
    </row>
    <row r="36" s="118" customFormat="1" customHeight="1" spans="1:46">
      <c r="A36" s="144">
        <v>46057</v>
      </c>
      <c r="B36" s="145" t="s">
        <v>1026</v>
      </c>
      <c r="C36" s="144" t="s">
        <v>1027</v>
      </c>
      <c r="D36" s="146" t="s">
        <v>1136</v>
      </c>
      <c r="E36" s="146" t="s">
        <v>158</v>
      </c>
      <c r="F36" s="147">
        <v>5426155</v>
      </c>
      <c r="G36" s="147" t="s">
        <v>159</v>
      </c>
      <c r="H36" s="148">
        <v>6</v>
      </c>
      <c r="I36" s="149"/>
      <c r="J36" s="150"/>
      <c r="K36" s="144">
        <v>46185</v>
      </c>
      <c r="L36" s="172">
        <v>46164</v>
      </c>
      <c r="M36" s="151" t="s">
        <v>1154</v>
      </c>
      <c r="N36" s="144"/>
      <c r="O36" s="152"/>
      <c r="P36" s="144"/>
      <c r="Q36" s="144">
        <v>46167</v>
      </c>
      <c r="R36" s="144"/>
      <c r="S36" s="153"/>
      <c r="T36" s="154">
        <v>46142</v>
      </c>
      <c r="U36" s="163" t="s">
        <v>975</v>
      </c>
      <c r="V36" s="145" t="s">
        <v>976</v>
      </c>
      <c r="W36" s="156" t="s">
        <v>981</v>
      </c>
      <c r="X36" s="156" t="s">
        <v>982</v>
      </c>
      <c r="Y36" s="156" t="s">
        <v>978</v>
      </c>
      <c r="Z36" s="157">
        <v>0</v>
      </c>
      <c r="AA36" s="158">
        <f t="shared" si="0"/>
        <v>0</v>
      </c>
      <c r="AB36" s="159">
        <f t="shared" si="1"/>
        <v>0</v>
      </c>
      <c r="AC36" s="173" t="s">
        <v>1159</v>
      </c>
      <c r="AD36" s="161" t="s">
        <v>415</v>
      </c>
      <c r="AE36" s="162" t="s">
        <v>416</v>
      </c>
      <c r="AF36" s="163" t="s">
        <v>424</v>
      </c>
      <c r="AG36" s="163" t="s">
        <v>425</v>
      </c>
      <c r="AH36" s="153"/>
      <c r="AI36" s="153">
        <f t="shared" si="2"/>
        <v>-6</v>
      </c>
      <c r="AJ36" s="153"/>
      <c r="AK36" s="153"/>
      <c r="AL36" s="155"/>
      <c r="AM36" s="155"/>
      <c r="AN36" s="155"/>
      <c r="AO36" s="155"/>
      <c r="AP36" s="155"/>
      <c r="AQ36" s="155"/>
      <c r="AR36" s="155"/>
      <c r="AS36" s="165">
        <v>46174</v>
      </c>
    </row>
    <row r="37" s="118" customFormat="1" customHeight="1" spans="1:46">
      <c r="A37" s="168">
        <v>46094</v>
      </c>
      <c r="B37" s="146" t="s">
        <v>592</v>
      </c>
      <c r="C37" s="144" t="s">
        <v>109</v>
      </c>
      <c r="D37" s="146" t="s">
        <v>106</v>
      </c>
      <c r="E37" s="146" t="s">
        <v>212</v>
      </c>
      <c r="F37" s="147" t="s">
        <v>213</v>
      </c>
      <c r="G37" s="147" t="s">
        <v>214</v>
      </c>
      <c r="H37" s="148">
        <v>3</v>
      </c>
      <c r="I37" s="149"/>
      <c r="J37" s="150"/>
      <c r="K37" s="144">
        <v>46168</v>
      </c>
      <c r="L37" s="172">
        <v>46167</v>
      </c>
      <c r="M37" s="151" t="s">
        <v>1154</v>
      </c>
      <c r="N37" s="144"/>
      <c r="O37" s="152"/>
      <c r="P37" s="144"/>
      <c r="Q37" s="144">
        <v>46169</v>
      </c>
      <c r="R37" s="144"/>
      <c r="S37" s="164"/>
      <c r="T37" s="154" t="s">
        <v>691</v>
      </c>
      <c r="U37" s="163" t="s">
        <v>925</v>
      </c>
      <c r="V37" s="145" t="s">
        <v>960</v>
      </c>
      <c r="W37" s="167" t="s">
        <v>896</v>
      </c>
      <c r="X37" s="167" t="s">
        <v>1160</v>
      </c>
      <c r="Y37" s="170" t="s">
        <v>962</v>
      </c>
      <c r="Z37" s="157">
        <v>0</v>
      </c>
      <c r="AA37" s="158">
        <f t="shared" si="0"/>
        <v>0</v>
      </c>
      <c r="AB37" s="159">
        <f t="shared" si="1"/>
        <v>0</v>
      </c>
      <c r="AC37" s="174" t="s">
        <v>1161</v>
      </c>
      <c r="AD37" s="164" t="s">
        <v>415</v>
      </c>
      <c r="AE37" s="162" t="s">
        <v>416</v>
      </c>
      <c r="AF37" s="163" t="s">
        <v>424</v>
      </c>
      <c r="AG37" s="163" t="s">
        <v>425</v>
      </c>
      <c r="AH37" s="164"/>
      <c r="AI37" s="153">
        <f t="shared" si="2"/>
        <v>-3</v>
      </c>
      <c r="AJ37" s="164"/>
      <c r="AK37" s="164"/>
      <c r="AL37" s="163"/>
      <c r="AM37" s="163"/>
      <c r="AN37" s="163"/>
      <c r="AO37" s="163"/>
      <c r="AP37" s="163"/>
      <c r="AQ37" s="163"/>
      <c r="AR37" s="163"/>
      <c r="AS37" s="165">
        <v>46174</v>
      </c>
    </row>
    <row r="38" s="118" customFormat="1" customHeight="1" spans="1:46">
      <c r="A38" s="168">
        <v>46105</v>
      </c>
      <c r="B38" s="175" t="s">
        <v>1042</v>
      </c>
      <c r="C38" s="144" t="s">
        <v>236</v>
      </c>
      <c r="D38" s="146" t="s">
        <v>1136</v>
      </c>
      <c r="E38" s="146" t="s">
        <v>237</v>
      </c>
      <c r="F38" s="147">
        <v>5226155</v>
      </c>
      <c r="G38" s="147" t="s">
        <v>238</v>
      </c>
      <c r="H38" s="148">
        <v>6</v>
      </c>
      <c r="I38" s="149"/>
      <c r="J38" s="150"/>
      <c r="K38" s="144">
        <v>46185</v>
      </c>
      <c r="L38" s="172">
        <v>46167</v>
      </c>
      <c r="M38" s="151" t="s">
        <v>1154</v>
      </c>
      <c r="N38" s="144"/>
      <c r="O38" s="152"/>
      <c r="P38" s="144"/>
      <c r="Q38" s="144">
        <v>46174</v>
      </c>
      <c r="R38" s="144"/>
      <c r="S38" s="164"/>
      <c r="T38" s="154"/>
      <c r="U38" s="176" t="s">
        <v>1044</v>
      </c>
      <c r="V38" s="145" t="s">
        <v>461</v>
      </c>
      <c r="W38" s="167" t="s">
        <v>969</v>
      </c>
      <c r="X38" s="167" t="s">
        <v>1045</v>
      </c>
      <c r="Y38" s="156" t="s">
        <v>978</v>
      </c>
      <c r="Z38" s="157">
        <v>0</v>
      </c>
      <c r="AA38" s="158">
        <f t="shared" si="0"/>
        <v>0</v>
      </c>
      <c r="AB38" s="159">
        <f t="shared" si="1"/>
        <v>0</v>
      </c>
      <c r="AC38" s="174" t="s">
        <v>1161</v>
      </c>
      <c r="AD38" s="164" t="s">
        <v>415</v>
      </c>
      <c r="AE38" s="162" t="s">
        <v>416</v>
      </c>
      <c r="AF38" s="163" t="s">
        <v>424</v>
      </c>
      <c r="AG38" s="163" t="s">
        <v>425</v>
      </c>
      <c r="AH38" s="164"/>
      <c r="AI38" s="153">
        <f t="shared" si="2"/>
        <v>-6</v>
      </c>
      <c r="AJ38" s="164"/>
      <c r="AK38" s="164"/>
      <c r="AL38" s="163"/>
      <c r="AM38" s="163"/>
      <c r="AN38" s="163"/>
      <c r="AO38" s="163"/>
      <c r="AP38" s="163"/>
      <c r="AQ38" s="163"/>
      <c r="AR38" s="163"/>
      <c r="AS38" s="165">
        <v>46176</v>
      </c>
    </row>
    <row r="39" s="119" customFormat="1" customHeight="1" spans="1:46">
      <c r="A39" s="144">
        <v>46091</v>
      </c>
      <c r="B39" s="145" t="s">
        <v>486</v>
      </c>
      <c r="C39" s="144" t="s">
        <v>109</v>
      </c>
      <c r="D39" s="146"/>
      <c r="E39" s="146" t="s">
        <v>191</v>
      </c>
      <c r="F39" s="147" t="s">
        <v>192</v>
      </c>
      <c r="G39" s="147" t="s">
        <v>193</v>
      </c>
      <c r="H39" s="148">
        <v>3</v>
      </c>
      <c r="I39" s="149"/>
      <c r="J39" s="150"/>
      <c r="K39" s="144">
        <v>46174</v>
      </c>
      <c r="L39" s="172"/>
      <c r="M39" s="151" t="s">
        <v>948</v>
      </c>
      <c r="N39" s="144"/>
      <c r="O39" s="152"/>
      <c r="P39" s="144"/>
      <c r="Q39" s="144">
        <v>46174</v>
      </c>
      <c r="R39" s="144"/>
      <c r="S39" s="153"/>
      <c r="T39" s="154" t="s">
        <v>949</v>
      </c>
      <c r="U39" s="155" t="s">
        <v>950</v>
      </c>
      <c r="V39" s="145" t="s">
        <v>951</v>
      </c>
      <c r="W39" s="167" t="s">
        <v>727</v>
      </c>
      <c r="X39" s="156" t="s">
        <v>952</v>
      </c>
      <c r="Y39" s="156" t="s">
        <v>908</v>
      </c>
      <c r="Z39" s="157">
        <v>0</v>
      </c>
      <c r="AA39" s="158">
        <f t="shared" si="0"/>
        <v>0</v>
      </c>
      <c r="AB39" s="159">
        <f t="shared" si="1"/>
        <v>0</v>
      </c>
      <c r="AC39" s="160"/>
      <c r="AD39" s="161" t="s">
        <v>415</v>
      </c>
      <c r="AE39" s="162" t="s">
        <v>416</v>
      </c>
      <c r="AF39" s="163" t="s">
        <v>417</v>
      </c>
      <c r="AG39" s="164" t="s">
        <v>425</v>
      </c>
      <c r="AH39" s="153"/>
      <c r="AI39" s="153">
        <f t="shared" si="2"/>
        <v>-3</v>
      </c>
      <c r="AJ39" s="153"/>
      <c r="AK39" s="153"/>
      <c r="AL39" s="155"/>
      <c r="AM39" s="155"/>
      <c r="AN39" s="155"/>
      <c r="AO39" s="155"/>
      <c r="AP39" s="155"/>
      <c r="AQ39" s="155"/>
      <c r="AR39" s="155"/>
      <c r="AS39" s="165">
        <v>46174</v>
      </c>
    </row>
    <row r="40" s="118" customFormat="1" customHeight="1" spans="1:46">
      <c r="A40" s="144">
        <v>46091</v>
      </c>
      <c r="B40" s="145" t="s">
        <v>486</v>
      </c>
      <c r="C40" s="144" t="s">
        <v>109</v>
      </c>
      <c r="D40" s="146"/>
      <c r="E40" s="146" t="s">
        <v>203</v>
      </c>
      <c r="F40" s="147" t="s">
        <v>204</v>
      </c>
      <c r="G40" s="147" t="s">
        <v>205</v>
      </c>
      <c r="H40" s="148">
        <v>3</v>
      </c>
      <c r="I40" s="149"/>
      <c r="J40" s="150"/>
      <c r="K40" s="144">
        <v>46172</v>
      </c>
      <c r="L40" s="172"/>
      <c r="M40" s="151" t="s">
        <v>904</v>
      </c>
      <c r="N40" s="144"/>
      <c r="O40" s="152"/>
      <c r="P40" s="144"/>
      <c r="Q40" s="144">
        <v>46172</v>
      </c>
      <c r="R40" s="144"/>
      <c r="S40" s="153"/>
      <c r="T40" s="154">
        <v>46152</v>
      </c>
      <c r="U40" s="155" t="s">
        <v>905</v>
      </c>
      <c r="V40" s="145" t="s">
        <v>906</v>
      </c>
      <c r="W40" s="177" t="s">
        <v>727</v>
      </c>
      <c r="X40" s="156" t="s">
        <v>907</v>
      </c>
      <c r="Y40" s="156" t="s">
        <v>908</v>
      </c>
      <c r="Z40" s="157">
        <v>0</v>
      </c>
      <c r="AA40" s="158">
        <f t="shared" si="0"/>
        <v>0</v>
      </c>
      <c r="AB40" s="159">
        <f t="shared" si="1"/>
        <v>0</v>
      </c>
      <c r="AC40" s="160"/>
      <c r="AD40" s="161" t="s">
        <v>415</v>
      </c>
      <c r="AE40" s="162" t="s">
        <v>416</v>
      </c>
      <c r="AF40" s="163" t="s">
        <v>417</v>
      </c>
      <c r="AG40" s="164"/>
      <c r="AH40" s="153"/>
      <c r="AI40" s="153">
        <f t="shared" si="2"/>
        <v>-3</v>
      </c>
      <c r="AJ40" s="153"/>
      <c r="AK40" s="153"/>
      <c r="AL40" s="155"/>
      <c r="AM40" s="155"/>
      <c r="AN40" s="155"/>
      <c r="AO40" s="155"/>
      <c r="AP40" s="155"/>
      <c r="AQ40" s="155"/>
      <c r="AR40" s="155"/>
      <c r="AS40" s="165">
        <v>46176</v>
      </c>
    </row>
    <row r="41" s="118" customFormat="1" customHeight="1" spans="1:46">
      <c r="A41" s="144">
        <v>46091</v>
      </c>
      <c r="B41" s="145" t="s">
        <v>486</v>
      </c>
      <c r="C41" s="144" t="s">
        <v>109</v>
      </c>
      <c r="D41" s="146"/>
      <c r="E41" s="146" t="s">
        <v>200</v>
      </c>
      <c r="F41" s="147" t="s">
        <v>201</v>
      </c>
      <c r="G41" s="147" t="s">
        <v>202</v>
      </c>
      <c r="H41" s="148">
        <v>3</v>
      </c>
      <c r="I41" s="149"/>
      <c r="J41" s="150"/>
      <c r="K41" s="144">
        <v>46188</v>
      </c>
      <c r="L41" s="172"/>
      <c r="M41" s="151">
        <v>46188</v>
      </c>
      <c r="N41" s="144"/>
      <c r="O41" s="152"/>
      <c r="P41" s="144"/>
      <c r="Q41" s="144">
        <v>46188</v>
      </c>
      <c r="R41" s="144"/>
      <c r="S41" s="153"/>
      <c r="T41" s="154">
        <v>46155</v>
      </c>
      <c r="U41" s="155" t="s">
        <v>1162</v>
      </c>
      <c r="V41" s="145" t="s">
        <v>906</v>
      </c>
      <c r="W41" s="177" t="s">
        <v>727</v>
      </c>
      <c r="X41" s="156" t="s">
        <v>994</v>
      </c>
      <c r="Y41" s="156" t="s">
        <v>908</v>
      </c>
      <c r="Z41" s="157">
        <v>0</v>
      </c>
      <c r="AA41" s="158">
        <f t="shared" si="0"/>
        <v>0</v>
      </c>
      <c r="AB41" s="159">
        <f t="shared" si="1"/>
        <v>0</v>
      </c>
      <c r="AC41" s="160"/>
      <c r="AD41" s="161" t="s">
        <v>415</v>
      </c>
      <c r="AE41" s="162" t="s">
        <v>416</v>
      </c>
      <c r="AF41" s="163" t="s">
        <v>417</v>
      </c>
      <c r="AG41" s="164"/>
      <c r="AH41" s="153"/>
      <c r="AI41" s="153">
        <f t="shared" si="2"/>
        <v>-3</v>
      </c>
      <c r="AJ41" s="153"/>
      <c r="AK41" s="153"/>
      <c r="AL41" s="155"/>
      <c r="AM41" s="155"/>
      <c r="AN41" s="155"/>
      <c r="AO41" s="155"/>
      <c r="AP41" s="155"/>
      <c r="AQ41" s="155"/>
      <c r="AR41" s="155"/>
      <c r="AS41" s="165">
        <v>46176</v>
      </c>
    </row>
    <row r="42" s="118" customFormat="1" customHeight="1" spans="1:46">
      <c r="A42" s="168">
        <v>46106</v>
      </c>
      <c r="B42" s="146" t="s">
        <v>466</v>
      </c>
      <c r="C42" s="144" t="s">
        <v>91</v>
      </c>
      <c r="D42" s="146"/>
      <c r="E42" s="146" t="s">
        <v>239</v>
      </c>
      <c r="F42" s="147">
        <v>1422110</v>
      </c>
      <c r="G42" s="147" t="s">
        <v>240</v>
      </c>
      <c r="H42" s="148">
        <v>3</v>
      </c>
      <c r="I42" s="149"/>
      <c r="J42" s="150"/>
      <c r="K42" s="144">
        <v>46177</v>
      </c>
      <c r="L42" s="172">
        <v>46169</v>
      </c>
      <c r="M42" s="151" t="s">
        <v>1154</v>
      </c>
      <c r="N42" s="144"/>
      <c r="O42" s="152"/>
      <c r="P42" s="144"/>
      <c r="Q42" s="144">
        <v>46176</v>
      </c>
      <c r="R42" s="144"/>
      <c r="S42" s="164"/>
      <c r="T42" s="154" t="s">
        <v>691</v>
      </c>
      <c r="U42" s="163" t="s">
        <v>929</v>
      </c>
      <c r="V42" s="145" t="s">
        <v>468</v>
      </c>
      <c r="W42" s="167" t="s">
        <v>926</v>
      </c>
      <c r="X42" s="167" t="s">
        <v>930</v>
      </c>
      <c r="Y42" s="170" t="s">
        <v>931</v>
      </c>
      <c r="Z42" s="157">
        <v>0</v>
      </c>
      <c r="AA42" s="158">
        <f t="shared" si="0"/>
        <v>0</v>
      </c>
      <c r="AB42" s="159">
        <f t="shared" si="1"/>
        <v>0</v>
      </c>
      <c r="AC42" s="178" t="s">
        <v>1163</v>
      </c>
      <c r="AD42" s="164" t="s">
        <v>415</v>
      </c>
      <c r="AE42" s="162" t="s">
        <v>416</v>
      </c>
      <c r="AF42" s="163" t="s">
        <v>424</v>
      </c>
      <c r="AG42" s="163" t="s">
        <v>425</v>
      </c>
      <c r="AH42" s="164">
        <f>420+8346+2520+714</f>
        <v>12000</v>
      </c>
      <c r="AI42" s="153">
        <f t="shared" si="2"/>
        <v>11997</v>
      </c>
      <c r="AJ42" s="164"/>
      <c r="AK42" s="164"/>
      <c r="AL42" s="163"/>
      <c r="AM42" s="163"/>
      <c r="AN42" s="163"/>
      <c r="AO42" s="163"/>
      <c r="AP42" s="163"/>
      <c r="AQ42" s="163"/>
      <c r="AR42" s="163"/>
      <c r="AS42" s="165">
        <v>46181</v>
      </c>
    </row>
    <row r="43" s="118" customFormat="1" customHeight="1" spans="1:46">
      <c r="A43" s="168">
        <v>46112</v>
      </c>
      <c r="B43" s="146" t="s">
        <v>954</v>
      </c>
      <c r="C43" s="144" t="s">
        <v>93</v>
      </c>
      <c r="D43" s="146" t="s">
        <v>692</v>
      </c>
      <c r="E43" s="146" t="s">
        <v>251</v>
      </c>
      <c r="F43" s="147">
        <v>1325130</v>
      </c>
      <c r="G43" s="147" t="s">
        <v>252</v>
      </c>
      <c r="H43" s="148">
        <v>6</v>
      </c>
      <c r="I43" s="149"/>
      <c r="J43" s="150"/>
      <c r="K43" s="144">
        <v>46181</v>
      </c>
      <c r="L43" s="172">
        <v>46177</v>
      </c>
      <c r="M43" s="151" t="s">
        <v>1154</v>
      </c>
      <c r="N43" s="144"/>
      <c r="O43" s="152"/>
      <c r="P43" s="144"/>
      <c r="Q43" s="144">
        <v>46181</v>
      </c>
      <c r="R43" s="144"/>
      <c r="S43" s="164"/>
      <c r="T43" s="154">
        <v>46142</v>
      </c>
      <c r="U43" s="163" t="s">
        <v>481</v>
      </c>
      <c r="V43" s="145" t="s">
        <v>955</v>
      </c>
      <c r="W43" s="156" t="s">
        <v>956</v>
      </c>
      <c r="X43" s="167" t="s">
        <v>957</v>
      </c>
      <c r="Y43" s="170" t="s">
        <v>958</v>
      </c>
      <c r="Z43" s="157">
        <v>0</v>
      </c>
      <c r="AA43" s="158">
        <f t="shared" si="0"/>
        <v>0</v>
      </c>
      <c r="AB43" s="159">
        <f t="shared" si="1"/>
        <v>0</v>
      </c>
      <c r="AC43" s="178" t="s">
        <v>1164</v>
      </c>
      <c r="AD43" s="164" t="s">
        <v>415</v>
      </c>
      <c r="AE43" s="162" t="s">
        <v>416</v>
      </c>
      <c r="AF43" s="163" t="s">
        <v>424</v>
      </c>
      <c r="AG43" s="164" t="s">
        <v>425</v>
      </c>
      <c r="AH43" s="164">
        <v>6</v>
      </c>
      <c r="AI43" s="153">
        <f t="shared" si="2"/>
        <v>0</v>
      </c>
      <c r="AJ43" s="164"/>
      <c r="AK43" s="164"/>
      <c r="AL43" s="163"/>
      <c r="AM43" s="163"/>
      <c r="AN43" s="163"/>
      <c r="AO43" s="163"/>
      <c r="AP43" s="163"/>
      <c r="AQ43" s="163"/>
      <c r="AR43" s="163"/>
      <c r="AS43" s="165">
        <v>46181</v>
      </c>
    </row>
    <row r="44" s="118" customFormat="1" customHeight="1" spans="1:46">
      <c r="A44" s="122">
        <v>46083</v>
      </c>
      <c r="B44" s="123" t="s">
        <v>617</v>
      </c>
      <c r="C44" s="122" t="s">
        <v>120</v>
      </c>
      <c r="D44" s="124" t="s">
        <v>1136</v>
      </c>
      <c r="E44" s="124" t="s">
        <v>180</v>
      </c>
      <c r="F44" s="125">
        <v>1125103</v>
      </c>
      <c r="G44" s="125" t="s">
        <v>4</v>
      </c>
      <c r="H44" s="127">
        <v>3</v>
      </c>
      <c r="I44" s="127"/>
      <c r="J44" s="128"/>
      <c r="K44" s="122">
        <v>46213</v>
      </c>
      <c r="L44" s="179">
        <v>46202</v>
      </c>
      <c r="M44" s="180" t="s">
        <v>1154</v>
      </c>
      <c r="N44" s="122"/>
      <c r="O44" s="129"/>
      <c r="P44" s="122"/>
      <c r="Q44" s="122">
        <v>46209</v>
      </c>
      <c r="R44" s="122"/>
      <c r="S44" s="130"/>
      <c r="T44" s="181" t="s">
        <v>691</v>
      </c>
      <c r="U44" s="132" t="s">
        <v>1047</v>
      </c>
      <c r="V44" s="123" t="s">
        <v>1048</v>
      </c>
      <c r="W44" s="182" t="s">
        <v>1049</v>
      </c>
      <c r="X44" s="133" t="s">
        <v>620</v>
      </c>
      <c r="Y44" s="133" t="s">
        <v>1050</v>
      </c>
      <c r="Z44" s="134">
        <v>0</v>
      </c>
      <c r="AA44" s="135">
        <f t="shared" si="0"/>
        <v>0</v>
      </c>
      <c r="AB44" s="136">
        <f t="shared" si="1"/>
        <v>0</v>
      </c>
      <c r="AC44" s="178" t="s">
        <v>1165</v>
      </c>
      <c r="AD44" s="138" t="s">
        <v>415</v>
      </c>
      <c r="AE44" s="139" t="s">
        <v>416</v>
      </c>
      <c r="AF44" s="140" t="s">
        <v>424</v>
      </c>
      <c r="AG44" s="141"/>
      <c r="AH44" s="130"/>
      <c r="AI44" s="130">
        <f t="shared" si="2"/>
        <v>-3</v>
      </c>
      <c r="AJ44" s="130"/>
      <c r="AK44" s="130"/>
      <c r="AL44" s="130"/>
      <c r="AM44" s="130"/>
      <c r="AN44" s="139">
        <v>46201</v>
      </c>
      <c r="AO44" s="132"/>
      <c r="AP44" s="132"/>
      <c r="AQ44" s="132"/>
      <c r="AR44" s="132"/>
      <c r="AS44" s="165">
        <v>46183</v>
      </c>
    </row>
    <row r="45" s="117" customFormat="1" customHeight="1" spans="1:46">
      <c r="A45" s="144">
        <v>46080</v>
      </c>
      <c r="B45" s="145" t="s">
        <v>525</v>
      </c>
      <c r="C45" s="144" t="s">
        <v>174</v>
      </c>
      <c r="D45" s="146"/>
      <c r="E45" s="146" t="s">
        <v>175</v>
      </c>
      <c r="F45" s="147">
        <v>3026107</v>
      </c>
      <c r="G45" s="147" t="s">
        <v>178</v>
      </c>
      <c r="H45" s="148">
        <v>3</v>
      </c>
      <c r="I45" s="149"/>
      <c r="J45" s="150"/>
      <c r="K45" s="144">
        <v>46168</v>
      </c>
      <c r="L45" s="183">
        <v>46164</v>
      </c>
      <c r="M45" s="151" t="s">
        <v>1154</v>
      </c>
      <c r="N45" s="144"/>
      <c r="O45" s="152"/>
      <c r="P45" s="144"/>
      <c r="Q45" s="144">
        <v>46169</v>
      </c>
      <c r="R45" s="144"/>
      <c r="S45" s="153"/>
      <c r="T45" s="154" t="s">
        <v>691</v>
      </c>
      <c r="U45" s="155" t="s">
        <v>920</v>
      </c>
      <c r="V45" s="145" t="s">
        <v>912</v>
      </c>
      <c r="W45" s="156" t="s">
        <v>913</v>
      </c>
      <c r="X45" s="156" t="s">
        <v>921</v>
      </c>
      <c r="Y45" s="156" t="s">
        <v>915</v>
      </c>
      <c r="Z45" s="157">
        <v>3.912</v>
      </c>
      <c r="AA45" s="158">
        <f t="shared" si="0"/>
        <v>11.74</v>
      </c>
      <c r="AB45" s="159">
        <f t="shared" si="1"/>
        <v>90.99</v>
      </c>
      <c r="AC45" s="174" t="s">
        <v>1159</v>
      </c>
      <c r="AD45" s="161" t="s">
        <v>415</v>
      </c>
      <c r="AE45" s="162" t="s">
        <v>416</v>
      </c>
      <c r="AF45" s="163" t="s">
        <v>436</v>
      </c>
      <c r="AG45" s="163" t="s">
        <v>425</v>
      </c>
      <c r="AH45" s="153">
        <f>1332+168+12</f>
        <v>1512</v>
      </c>
      <c r="AI45" s="153">
        <f t="shared" si="2"/>
        <v>1509</v>
      </c>
      <c r="AJ45" s="153"/>
      <c r="AK45" s="153"/>
      <c r="AL45" s="155"/>
      <c r="AM45" s="155"/>
      <c r="AN45" s="155"/>
      <c r="AO45" s="155"/>
      <c r="AP45" s="155"/>
      <c r="AQ45" s="155"/>
      <c r="AR45" s="155"/>
      <c r="AS45" s="184">
        <v>46195</v>
      </c>
    </row>
    <row r="46" s="117" customFormat="1" customHeight="1" spans="1:46">
      <c r="A46" s="144">
        <v>46057</v>
      </c>
      <c r="B46" s="145" t="s">
        <v>966</v>
      </c>
      <c r="C46" s="144" t="s">
        <v>152</v>
      </c>
      <c r="D46" s="146" t="s">
        <v>106</v>
      </c>
      <c r="E46" s="146" t="s">
        <v>153</v>
      </c>
      <c r="F46" s="147">
        <v>1226146</v>
      </c>
      <c r="G46" s="147" t="s">
        <v>154</v>
      </c>
      <c r="H46" s="148">
        <v>8</v>
      </c>
      <c r="I46" s="149"/>
      <c r="J46" s="150"/>
      <c r="K46" s="144">
        <v>46174</v>
      </c>
      <c r="L46" s="183">
        <v>46169</v>
      </c>
      <c r="M46" s="151" t="s">
        <v>1154</v>
      </c>
      <c r="N46" s="144"/>
      <c r="O46" s="152"/>
      <c r="P46" s="144"/>
      <c r="Q46" s="144">
        <v>46174</v>
      </c>
      <c r="R46" s="144"/>
      <c r="S46" s="153"/>
      <c r="T46" s="185">
        <v>46142</v>
      </c>
      <c r="U46" s="155" t="s">
        <v>967</v>
      </c>
      <c r="V46" s="145" t="s">
        <v>968</v>
      </c>
      <c r="W46" s="156" t="s">
        <v>969</v>
      </c>
      <c r="X46" s="156" t="s">
        <v>970</v>
      </c>
      <c r="Y46" s="156" t="s">
        <v>757</v>
      </c>
      <c r="Z46" s="157">
        <v>0</v>
      </c>
      <c r="AA46" s="158">
        <f t="shared" si="0"/>
        <v>0</v>
      </c>
      <c r="AB46" s="159">
        <f t="shared" si="1"/>
        <v>0</v>
      </c>
      <c r="AC46" s="178" t="s">
        <v>1163</v>
      </c>
      <c r="AD46" s="161" t="s">
        <v>415</v>
      </c>
      <c r="AE46" s="162" t="s">
        <v>416</v>
      </c>
      <c r="AF46" s="163" t="s">
        <v>436</v>
      </c>
      <c r="AG46" s="164" t="s">
        <v>425</v>
      </c>
      <c r="AH46" s="153">
        <f>8+8</f>
        <v>16</v>
      </c>
      <c r="AI46" s="153">
        <f t="shared" si="2"/>
        <v>8</v>
      </c>
      <c r="AJ46" s="153"/>
      <c r="AK46" s="153"/>
      <c r="AL46" s="155"/>
      <c r="AM46" s="155"/>
      <c r="AN46" s="155"/>
      <c r="AO46" s="155"/>
      <c r="AP46" s="155"/>
      <c r="AQ46" s="155"/>
      <c r="AR46" s="155"/>
      <c r="AS46" s="186">
        <v>46190</v>
      </c>
    </row>
    <row r="47" s="117" customFormat="1" customHeight="1" spans="1:46">
      <c r="A47" s="187">
        <v>46094</v>
      </c>
      <c r="B47" s="188" t="s">
        <v>437</v>
      </c>
      <c r="C47" s="187" t="s">
        <v>91</v>
      </c>
      <c r="D47" s="189" t="s">
        <v>106</v>
      </c>
      <c r="E47" s="189" t="s">
        <v>217</v>
      </c>
      <c r="F47" s="190">
        <v>1426146</v>
      </c>
      <c r="G47" s="190" t="s">
        <v>209</v>
      </c>
      <c r="H47" s="191">
        <v>15</v>
      </c>
      <c r="I47" s="192"/>
      <c r="J47" s="150"/>
      <c r="K47" s="144">
        <v>46188</v>
      </c>
      <c r="L47" s="183">
        <v>46182</v>
      </c>
      <c r="M47" s="193" t="s">
        <v>1154</v>
      </c>
      <c r="N47" s="187"/>
      <c r="O47" s="194"/>
      <c r="P47" s="187"/>
      <c r="Q47" s="187">
        <v>46181</v>
      </c>
      <c r="R47" s="187"/>
      <c r="S47" s="195"/>
      <c r="T47" s="154">
        <v>46142</v>
      </c>
      <c r="U47" s="155" t="s">
        <v>439</v>
      </c>
      <c r="V47" s="145" t="s">
        <v>440</v>
      </c>
      <c r="W47" s="167" t="s">
        <v>926</v>
      </c>
      <c r="X47" s="196" t="s">
        <v>442</v>
      </c>
      <c r="Y47" s="196" t="s">
        <v>443</v>
      </c>
      <c r="Z47" s="197">
        <v>0</v>
      </c>
      <c r="AA47" s="158">
        <f t="shared" si="0"/>
        <v>0</v>
      </c>
      <c r="AB47" s="159">
        <f t="shared" si="1"/>
        <v>0</v>
      </c>
      <c r="AC47" s="178" t="s">
        <v>1166</v>
      </c>
      <c r="AD47" s="198" t="s">
        <v>415</v>
      </c>
      <c r="AE47" s="162" t="s">
        <v>416</v>
      </c>
      <c r="AF47" s="163" t="s">
        <v>436</v>
      </c>
      <c r="AG47" s="164"/>
      <c r="AH47" s="195">
        <v>18</v>
      </c>
      <c r="AI47" s="153">
        <f t="shared" si="2"/>
        <v>3</v>
      </c>
      <c r="AJ47" s="195"/>
      <c r="AK47" s="195"/>
      <c r="AL47" s="199"/>
      <c r="AM47" s="199"/>
      <c r="AN47" s="199"/>
      <c r="AO47" s="199"/>
      <c r="AP47" s="199"/>
      <c r="AQ47" s="199"/>
      <c r="AR47" s="199"/>
      <c r="AS47" s="186">
        <v>46190</v>
      </c>
    </row>
    <row r="48" s="117" customFormat="1" customHeight="1" spans="1:46">
      <c r="A48" s="122">
        <v>46078</v>
      </c>
      <c r="B48" s="123" t="s">
        <v>617</v>
      </c>
      <c r="C48" s="122" t="s">
        <v>120</v>
      </c>
      <c r="D48" s="124" t="s">
        <v>1136</v>
      </c>
      <c r="E48" s="124" t="s">
        <v>168</v>
      </c>
      <c r="F48" s="125">
        <v>1126146</v>
      </c>
      <c r="G48" s="125" t="s">
        <v>169</v>
      </c>
      <c r="H48" s="126">
        <v>8</v>
      </c>
      <c r="I48" s="127"/>
      <c r="J48" s="128"/>
      <c r="K48" s="122">
        <v>46199</v>
      </c>
      <c r="L48" s="200">
        <v>46185</v>
      </c>
      <c r="M48" s="171" t="s">
        <v>1154</v>
      </c>
      <c r="N48" s="122"/>
      <c r="O48" s="129"/>
      <c r="P48" s="122"/>
      <c r="Q48" s="122">
        <v>46189</v>
      </c>
      <c r="R48" s="122"/>
      <c r="S48" s="130"/>
      <c r="T48" s="181" t="s">
        <v>691</v>
      </c>
      <c r="U48" s="132" t="s">
        <v>989</v>
      </c>
      <c r="V48" s="123" t="s">
        <v>990</v>
      </c>
      <c r="W48" s="133" t="s">
        <v>901</v>
      </c>
      <c r="X48" s="133" t="s">
        <v>952</v>
      </c>
      <c r="Y48" s="133" t="s">
        <v>991</v>
      </c>
      <c r="Z48" s="134">
        <v>0</v>
      </c>
      <c r="AA48" s="135">
        <f t="shared" si="0"/>
        <v>0</v>
      </c>
      <c r="AB48" s="136">
        <f t="shared" si="1"/>
        <v>0</v>
      </c>
      <c r="AC48" s="178" t="s">
        <v>1157</v>
      </c>
      <c r="AD48" s="138" t="s">
        <v>415</v>
      </c>
      <c r="AE48" s="139" t="s">
        <v>416</v>
      </c>
      <c r="AF48" s="140" t="s">
        <v>436</v>
      </c>
      <c r="AG48" s="141" t="s">
        <v>425</v>
      </c>
      <c r="AH48" s="130">
        <v>9</v>
      </c>
      <c r="AI48" s="130">
        <f t="shared" si="2"/>
        <v>1</v>
      </c>
      <c r="AJ48" s="130"/>
      <c r="AK48" s="130"/>
      <c r="AL48" s="132"/>
      <c r="AM48" s="132"/>
      <c r="AN48" s="132"/>
      <c r="AO48" s="132"/>
      <c r="AP48" s="132"/>
      <c r="AQ48" s="132"/>
      <c r="AR48" s="132"/>
      <c r="AS48" s="139">
        <v>46195</v>
      </c>
      <c r="AT48" s="140"/>
    </row>
    <row r="49" s="117" customFormat="1" customHeight="1" spans="1:46">
      <c r="A49" s="201">
        <v>46104</v>
      </c>
      <c r="B49" s="202" t="s">
        <v>1002</v>
      </c>
      <c r="C49" s="203" t="s">
        <v>102</v>
      </c>
      <c r="D49" s="204" t="s">
        <v>106</v>
      </c>
      <c r="E49" s="204" t="s">
        <v>233</v>
      </c>
      <c r="F49" s="205">
        <v>3826146</v>
      </c>
      <c r="G49" s="205" t="s">
        <v>234</v>
      </c>
      <c r="H49" s="206">
        <v>6</v>
      </c>
      <c r="I49" s="207"/>
      <c r="J49" s="128"/>
      <c r="K49" s="122">
        <v>46195</v>
      </c>
      <c r="L49" s="208">
        <v>46189</v>
      </c>
      <c r="M49" s="209" t="s">
        <v>1154</v>
      </c>
      <c r="N49" s="203"/>
      <c r="O49" s="210"/>
      <c r="P49" s="203"/>
      <c r="Q49" s="122">
        <v>46189</v>
      </c>
      <c r="R49" s="203"/>
      <c r="S49" s="211"/>
      <c r="T49" s="131">
        <v>46142</v>
      </c>
      <c r="U49" s="132" t="s">
        <v>1003</v>
      </c>
      <c r="V49" s="123" t="s">
        <v>461</v>
      </c>
      <c r="W49" s="133" t="s">
        <v>1004</v>
      </c>
      <c r="X49" s="212" t="s">
        <v>1005</v>
      </c>
      <c r="Y49" s="213" t="s">
        <v>734</v>
      </c>
      <c r="Z49" s="214">
        <v>0</v>
      </c>
      <c r="AA49" s="135">
        <f t="shared" si="0"/>
        <v>0</v>
      </c>
      <c r="AB49" s="136">
        <f t="shared" si="1"/>
        <v>0</v>
      </c>
      <c r="AC49" s="178" t="s">
        <v>1167</v>
      </c>
      <c r="AD49" s="215" t="s">
        <v>415</v>
      </c>
      <c r="AE49" s="139" t="s">
        <v>416</v>
      </c>
      <c r="AF49" s="140" t="s">
        <v>436</v>
      </c>
      <c r="AG49" s="141" t="s">
        <v>425</v>
      </c>
      <c r="AH49" s="211"/>
      <c r="AI49" s="130">
        <f t="shared" si="2"/>
        <v>-6</v>
      </c>
      <c r="AJ49" s="216"/>
      <c r="AK49" s="216"/>
      <c r="AL49" s="211"/>
      <c r="AM49" s="211"/>
      <c r="AN49" s="217"/>
      <c r="AO49" s="217"/>
      <c r="AP49" s="217"/>
      <c r="AQ49" s="217"/>
      <c r="AR49" s="217"/>
      <c r="AS49" s="218"/>
      <c r="AT49" s="218"/>
    </row>
    <row r="50" s="117" customFormat="1" customHeight="1" spans="1:46">
      <c r="A50" s="201">
        <v>46104</v>
      </c>
      <c r="B50" s="202" t="s">
        <v>1002</v>
      </c>
      <c r="C50" s="203" t="s">
        <v>102</v>
      </c>
      <c r="D50" s="204" t="s">
        <v>106</v>
      </c>
      <c r="E50" s="204" t="s">
        <v>233</v>
      </c>
      <c r="F50" s="205">
        <v>3826168</v>
      </c>
      <c r="G50" s="205" t="s">
        <v>235</v>
      </c>
      <c r="H50" s="219">
        <v>5</v>
      </c>
      <c r="I50" s="207"/>
      <c r="J50" s="128"/>
      <c r="K50" s="122">
        <v>46203</v>
      </c>
      <c r="L50" s="208">
        <v>46202</v>
      </c>
      <c r="M50" s="180" t="s">
        <v>1154</v>
      </c>
      <c r="N50" s="203"/>
      <c r="O50" s="210"/>
      <c r="P50" s="203"/>
      <c r="Q50" s="122">
        <v>46189</v>
      </c>
      <c r="R50" s="203"/>
      <c r="S50" s="211"/>
      <c r="T50" s="131">
        <v>46152</v>
      </c>
      <c r="U50" s="132" t="s">
        <v>431</v>
      </c>
      <c r="V50" s="123" t="s">
        <v>461</v>
      </c>
      <c r="W50" s="182" t="s">
        <v>1004</v>
      </c>
      <c r="X50" s="212" t="s">
        <v>1012</v>
      </c>
      <c r="Y50" s="220" t="s">
        <v>734</v>
      </c>
      <c r="Z50" s="214">
        <v>0</v>
      </c>
      <c r="AA50" s="135">
        <f t="shared" si="0"/>
        <v>0</v>
      </c>
      <c r="AB50" s="136">
        <f t="shared" si="1"/>
        <v>0</v>
      </c>
      <c r="AC50" s="178" t="s">
        <v>1165</v>
      </c>
      <c r="AD50" s="211" t="s">
        <v>415</v>
      </c>
      <c r="AE50" s="139" t="s">
        <v>416</v>
      </c>
      <c r="AF50" s="140" t="s">
        <v>436</v>
      </c>
      <c r="AG50" s="211" t="s">
        <v>425</v>
      </c>
      <c r="AH50" s="211"/>
      <c r="AI50" s="130">
        <f t="shared" si="2"/>
        <v>-5</v>
      </c>
      <c r="AJ50" s="216"/>
      <c r="AK50" s="216"/>
      <c r="AL50" s="211"/>
      <c r="AM50" s="211"/>
      <c r="AN50" s="217"/>
      <c r="AO50" s="217"/>
      <c r="AP50" s="217"/>
      <c r="AQ50" s="217"/>
      <c r="AR50" s="217"/>
      <c r="AS50" s="221">
        <v>46212</v>
      </c>
      <c r="AT50" s="217"/>
    </row>
    <row r="51" s="117" customFormat="1" customHeight="1" spans="1:46">
      <c r="A51" s="222">
        <v>46121</v>
      </c>
      <c r="B51" s="223" t="s">
        <v>555</v>
      </c>
      <c r="C51" s="122" t="s">
        <v>102</v>
      </c>
      <c r="D51" s="124"/>
      <c r="E51" s="124" t="s">
        <v>265</v>
      </c>
      <c r="F51" s="125">
        <v>3824138</v>
      </c>
      <c r="G51" s="125" t="s">
        <v>267</v>
      </c>
      <c r="H51" s="126">
        <v>2</v>
      </c>
      <c r="I51" s="127"/>
      <c r="J51" s="128"/>
      <c r="K51" s="122">
        <v>46206</v>
      </c>
      <c r="L51" s="122">
        <v>46205</v>
      </c>
      <c r="M51" s="171">
        <v>46206</v>
      </c>
      <c r="N51" s="122"/>
      <c r="O51" s="129"/>
      <c r="P51" s="122"/>
      <c r="Q51" s="122">
        <v>46204</v>
      </c>
      <c r="R51" s="122"/>
      <c r="S51" s="141"/>
      <c r="T51" s="131">
        <v>46169</v>
      </c>
      <c r="U51" s="217" t="s">
        <v>481</v>
      </c>
      <c r="V51" s="123" t="s">
        <v>1029</v>
      </c>
      <c r="W51" s="212" t="s">
        <v>1004</v>
      </c>
      <c r="X51" s="224" t="s">
        <v>1033</v>
      </c>
      <c r="Y51" s="220" t="s">
        <v>1034</v>
      </c>
      <c r="Z51" s="214">
        <v>0</v>
      </c>
      <c r="AA51" s="135">
        <f t="shared" si="0"/>
        <v>0</v>
      </c>
      <c r="AB51" s="136">
        <f t="shared" si="1"/>
        <v>0</v>
      </c>
      <c r="AC51" s="225">
        <v>46205</v>
      </c>
      <c r="AD51" s="141" t="s">
        <v>415</v>
      </c>
      <c r="AE51" s="139" t="s">
        <v>416</v>
      </c>
      <c r="AF51" s="140" t="s">
        <v>424</v>
      </c>
      <c r="AG51" s="140" t="s">
        <v>425</v>
      </c>
      <c r="AH51" s="141">
        <v>0</v>
      </c>
      <c r="AI51" s="130">
        <f t="shared" si="2"/>
        <v>-2</v>
      </c>
      <c r="AJ51" s="130"/>
      <c r="AK51" s="130"/>
      <c r="AL51" s="141"/>
      <c r="AM51" s="141"/>
      <c r="AN51" s="139" t="s">
        <v>1035</v>
      </c>
      <c r="AO51" s="140"/>
      <c r="AP51" s="140"/>
      <c r="AQ51" s="140"/>
      <c r="AR51" s="140"/>
      <c r="AS51" s="221">
        <v>46212</v>
      </c>
      <c r="AT51" s="140"/>
    </row>
    <row r="52" s="117" customFormat="1" customHeight="1" spans="1:46">
      <c r="A52" s="201">
        <v>46141</v>
      </c>
      <c r="B52" s="204" t="s">
        <v>777</v>
      </c>
      <c r="C52" s="226" t="s">
        <v>93</v>
      </c>
      <c r="D52" s="207"/>
      <c r="E52" s="204" t="s">
        <v>278</v>
      </c>
      <c r="F52" s="207">
        <v>1326146</v>
      </c>
      <c r="G52" s="205" t="s">
        <v>277</v>
      </c>
      <c r="H52" s="206">
        <v>8</v>
      </c>
      <c r="I52" s="207"/>
      <c r="J52" s="128"/>
      <c r="K52" s="122">
        <v>46213</v>
      </c>
      <c r="L52" s="180">
        <v>46208</v>
      </c>
      <c r="M52" s="203"/>
      <c r="N52" s="210"/>
      <c r="O52" s="203"/>
      <c r="P52" s="203">
        <v>46204</v>
      </c>
      <c r="Q52" s="203"/>
      <c r="R52" s="211"/>
      <c r="S52" s="212" t="s">
        <v>1092</v>
      </c>
      <c r="T52" s="217" t="s">
        <v>481</v>
      </c>
      <c r="U52" s="123" t="s">
        <v>1102</v>
      </c>
      <c r="V52" s="212" t="s">
        <v>433</v>
      </c>
      <c r="W52" s="212" t="s">
        <v>1104</v>
      </c>
      <c r="X52" s="213" t="s">
        <v>1103</v>
      </c>
      <c r="Y52" s="214">
        <v>2.59</v>
      </c>
      <c r="Z52" s="135">
        <f>H52*Y52</f>
        <v>20.72</v>
      </c>
      <c r="AA52" s="136">
        <f>Z52*7.75</f>
        <v>160.58</v>
      </c>
      <c r="AB52" s="227"/>
      <c r="AC52" s="215">
        <v>46208</v>
      </c>
      <c r="AD52" s="211" t="s">
        <v>415</v>
      </c>
      <c r="AE52" s="139" t="s">
        <v>416</v>
      </c>
      <c r="AF52" s="217" t="s">
        <v>436</v>
      </c>
      <c r="AG52" s="141" t="s">
        <v>425</v>
      </c>
      <c r="AH52" s="211"/>
      <c r="AI52" s="130">
        <f>AH52-I52</f>
        <v>0</v>
      </c>
      <c r="AJ52" s="216"/>
      <c r="AK52" s="211"/>
      <c r="AL52" s="211"/>
      <c r="AM52" s="221">
        <v>46212</v>
      </c>
      <c r="AN52" s="217"/>
      <c r="AO52" s="217"/>
      <c r="AP52" s="217"/>
      <c r="AQ52" s="217"/>
      <c r="AR52" s="217"/>
      <c r="AS52" s="221">
        <v>46214</v>
      </c>
    </row>
    <row r="53" s="117" customFormat="1" customHeight="1" spans="1:46">
      <c r="A53" s="201"/>
      <c r="B53" s="202"/>
      <c r="C53" s="203"/>
      <c r="D53" s="204"/>
      <c r="E53" s="204"/>
      <c r="F53" s="205"/>
      <c r="G53" s="205"/>
      <c r="H53" s="206"/>
      <c r="I53" s="207"/>
      <c r="J53" s="128"/>
      <c r="K53" s="122"/>
      <c r="L53" s="203"/>
      <c r="M53" s="180"/>
      <c r="N53" s="203"/>
      <c r="O53" s="210"/>
      <c r="P53" s="203"/>
      <c r="Q53" s="122"/>
      <c r="R53" s="203"/>
      <c r="S53" s="211"/>
      <c r="T53" s="131"/>
      <c r="U53" s="132"/>
      <c r="V53" s="123"/>
      <c r="W53" s="182"/>
      <c r="X53" s="212"/>
      <c r="Y53" s="220"/>
      <c r="Z53" s="214"/>
      <c r="AA53" s="135"/>
      <c r="AB53" s="136"/>
      <c r="AC53" s="178"/>
      <c r="AD53" s="211"/>
      <c r="AE53" s="139"/>
      <c r="AF53" s="140"/>
      <c r="AG53" s="211"/>
      <c r="AH53" s="211"/>
      <c r="AI53" s="130"/>
      <c r="AJ53" s="216"/>
      <c r="AK53" s="216"/>
      <c r="AL53" s="211"/>
      <c r="AM53" s="211"/>
      <c r="AN53" s="217"/>
      <c r="AO53" s="217"/>
      <c r="AP53" s="217"/>
      <c r="AQ53" s="217"/>
      <c r="AR53" s="217"/>
      <c r="AS53" s="217"/>
      <c r="AT53" s="228"/>
    </row>
    <row r="54" s="117" customFormat="1" customHeight="1" spans="1:46">
      <c r="A54" s="201"/>
      <c r="B54" s="202"/>
      <c r="C54" s="203"/>
      <c r="D54" s="204"/>
      <c r="E54" s="204"/>
      <c r="F54" s="205"/>
      <c r="G54" s="205"/>
      <c r="H54" s="206"/>
      <c r="I54" s="207"/>
      <c r="J54" s="128"/>
      <c r="K54" s="122"/>
      <c r="L54" s="203"/>
      <c r="M54" s="180"/>
      <c r="N54" s="203"/>
      <c r="O54" s="210"/>
      <c r="P54" s="203"/>
      <c r="Q54" s="122"/>
      <c r="R54" s="203"/>
      <c r="S54" s="211"/>
      <c r="T54" s="131"/>
      <c r="U54" s="132"/>
      <c r="V54" s="123"/>
      <c r="W54" s="182"/>
      <c r="X54" s="212"/>
      <c r="Y54" s="220"/>
      <c r="Z54" s="214"/>
      <c r="AA54" s="135"/>
      <c r="AB54" s="136"/>
      <c r="AC54" s="178"/>
      <c r="AD54" s="211"/>
      <c r="AE54" s="139"/>
      <c r="AF54" s="140"/>
      <c r="AG54" s="211"/>
      <c r="AH54" s="211"/>
      <c r="AI54" s="130"/>
      <c r="AJ54" s="216"/>
      <c r="AK54" s="216"/>
      <c r="AL54" s="211"/>
      <c r="AM54" s="211"/>
      <c r="AN54" s="217"/>
      <c r="AO54" s="217"/>
      <c r="AP54" s="217"/>
      <c r="AQ54" s="217"/>
      <c r="AR54" s="217"/>
      <c r="AS54" s="217"/>
      <c r="AT54" s="228"/>
    </row>
    <row r="55" s="117" customFormat="1" customHeight="1" spans="1:46">
      <c r="A55" s="201"/>
      <c r="B55" s="202"/>
      <c r="C55" s="203"/>
      <c r="D55" s="204"/>
      <c r="E55" s="204"/>
      <c r="F55" s="205"/>
      <c r="G55" s="205"/>
      <c r="H55" s="206"/>
      <c r="I55" s="207"/>
      <c r="J55" s="128"/>
      <c r="K55" s="122"/>
      <c r="L55" s="203"/>
      <c r="M55" s="180"/>
      <c r="N55" s="203"/>
      <c r="O55" s="210"/>
      <c r="P55" s="203"/>
      <c r="Q55" s="122"/>
      <c r="R55" s="203"/>
      <c r="S55" s="211"/>
      <c r="T55" s="131"/>
      <c r="U55" s="132"/>
      <c r="V55" s="123"/>
      <c r="W55" s="182"/>
      <c r="X55" s="212"/>
      <c r="Y55" s="220"/>
      <c r="Z55" s="214"/>
      <c r="AA55" s="135"/>
      <c r="AB55" s="136"/>
      <c r="AC55" s="178"/>
      <c r="AD55" s="211"/>
      <c r="AE55" s="139"/>
      <c r="AF55" s="140"/>
      <c r="AG55" s="211"/>
      <c r="AH55" s="211"/>
      <c r="AI55" s="130"/>
      <c r="AJ55" s="216"/>
      <c r="AK55" s="216"/>
      <c r="AL55" s="211"/>
      <c r="AM55" s="211"/>
      <c r="AN55" s="217"/>
      <c r="AO55" s="217"/>
      <c r="AP55" s="217"/>
      <c r="AQ55" s="217"/>
      <c r="AR55" s="217"/>
      <c r="AS55" s="217"/>
      <c r="AT55" s="228"/>
    </row>
    <row r="56" s="119" customFormat="1" ht="23" customHeight="1" spans="1:46">
      <c r="A56" s="229"/>
      <c r="B56" s="230"/>
      <c r="C56" s="229"/>
      <c r="D56" s="231"/>
      <c r="E56" s="231"/>
      <c r="F56" s="232"/>
      <c r="G56" s="232"/>
      <c r="H56" s="233"/>
      <c r="I56" s="234"/>
      <c r="J56" s="235"/>
      <c r="K56" s="229"/>
      <c r="L56" s="229"/>
      <c r="M56" s="236"/>
      <c r="N56" s="229"/>
      <c r="O56" s="237"/>
      <c r="P56" s="229"/>
      <c r="Q56" s="229"/>
      <c r="R56" s="229"/>
      <c r="S56" s="238"/>
      <c r="T56" s="239"/>
      <c r="U56" s="240"/>
      <c r="V56" s="230"/>
      <c r="W56" s="241"/>
      <c r="X56" s="241"/>
      <c r="Y56" s="241"/>
      <c r="Z56" s="242"/>
      <c r="AA56" s="243">
        <f>H56*Z56</f>
        <v>0</v>
      </c>
      <c r="AB56" s="244">
        <f>AA56*7.75</f>
        <v>0</v>
      </c>
      <c r="AC56" s="245"/>
      <c r="AD56" s="246"/>
      <c r="AE56" s="247"/>
      <c r="AF56" s="248"/>
      <c r="AG56" s="249"/>
      <c r="AH56" s="238"/>
      <c r="AI56" s="238"/>
      <c r="AJ56" s="238"/>
      <c r="AK56" s="238"/>
      <c r="AL56" s="247"/>
      <c r="AM56" s="240"/>
      <c r="AN56" s="240"/>
      <c r="AO56" s="240"/>
      <c r="AP56" s="240"/>
      <c r="AQ56" s="240"/>
      <c r="AR56" s="240"/>
      <c r="AS56" s="250"/>
    </row>
    <row r="57" s="11" customFormat="1" customHeight="1" spans="1:46">
      <c r="A57" s="71"/>
      <c r="B57" s="35"/>
      <c r="C57" s="251"/>
      <c r="D57" s="72"/>
      <c r="E57" s="72"/>
      <c r="F57" s="73"/>
      <c r="G57" s="73"/>
      <c r="H57" s="74"/>
      <c r="I57" s="75"/>
      <c r="J57" s="76"/>
      <c r="K57" s="71"/>
      <c r="L57" s="71"/>
      <c r="M57" s="71"/>
      <c r="N57" s="71"/>
      <c r="O57" s="77"/>
      <c r="P57" s="71"/>
      <c r="Q57" s="71"/>
      <c r="R57" s="71"/>
      <c r="S57" s="79"/>
      <c r="T57" s="35"/>
      <c r="U57" s="80"/>
      <c r="V57" s="35"/>
      <c r="W57" s="81"/>
      <c r="X57" s="81"/>
      <c r="Y57" s="81"/>
      <c r="Z57" s="82"/>
      <c r="AA57" s="243">
        <f>H57*Z57</f>
        <v>0</v>
      </c>
      <c r="AB57" s="244">
        <f>AA57*7.75</f>
        <v>0</v>
      </c>
      <c r="AC57" s="252"/>
      <c r="AD57" s="86"/>
      <c r="AE57" s="87"/>
      <c r="AF57" s="28"/>
      <c r="AG57" s="88"/>
      <c r="AH57" s="79"/>
      <c r="AI57" s="79"/>
      <c r="AJ57" s="79"/>
      <c r="AK57" s="79"/>
      <c r="AL57" s="80"/>
      <c r="AM57" s="80"/>
      <c r="AN57" s="80"/>
      <c r="AO57" s="80"/>
      <c r="AP57" s="80"/>
      <c r="AQ57" s="80"/>
      <c r="AR57" s="80"/>
      <c r="AS57" s="121"/>
    </row>
    <row r="58" s="11" customFormat="1" customHeight="1" spans="1:46">
      <c r="A58" s="71"/>
      <c r="B58" s="35"/>
      <c r="C58" s="251"/>
      <c r="D58" s="72"/>
      <c r="E58" s="72"/>
      <c r="F58" s="73"/>
      <c r="G58" s="73"/>
      <c r="H58" s="74">
        <f>SUM(H1:H57)</f>
        <v>405</v>
      </c>
      <c r="I58" s="75"/>
      <c r="J58" s="76"/>
      <c r="K58" s="71"/>
      <c r="L58" s="71"/>
      <c r="M58" s="71"/>
      <c r="N58" s="71"/>
      <c r="O58" s="77"/>
      <c r="P58" s="71"/>
      <c r="Q58" s="71"/>
      <c r="R58" s="71"/>
      <c r="S58" s="79"/>
      <c r="T58" s="35"/>
      <c r="U58" s="80"/>
      <c r="V58" s="35"/>
      <c r="W58" s="81"/>
      <c r="X58" s="81"/>
      <c r="Y58" s="81"/>
      <c r="Z58" s="82"/>
      <c r="AA58" s="83">
        <f>SUM(AA1:AA57)</f>
        <v>172.32</v>
      </c>
      <c r="AB58" s="83">
        <f>SUM(AB1:AB57)</f>
        <v>90.99</v>
      </c>
      <c r="AC58" s="85"/>
      <c r="AD58" s="86"/>
      <c r="AE58" s="87"/>
      <c r="AF58" s="28"/>
      <c r="AG58" s="88"/>
      <c r="AH58" s="79"/>
      <c r="AI58" s="79"/>
      <c r="AJ58" s="79"/>
      <c r="AK58" s="79"/>
      <c r="AL58" s="80"/>
      <c r="AM58" s="80"/>
      <c r="AN58" s="80"/>
      <c r="AO58" s="80"/>
      <c r="AP58" s="80"/>
      <c r="AQ58" s="80"/>
      <c r="AR58" s="80"/>
      <c r="AS58" s="121"/>
    </row>
    <row r="59" s="13" customFormat="1" customHeight="1" spans="1:46">
      <c r="A59" s="89"/>
      <c r="B59" s="90"/>
      <c r="C59" s="253"/>
      <c r="D59" s="91"/>
      <c r="E59" s="91"/>
      <c r="F59" s="92"/>
      <c r="G59" s="92"/>
      <c r="H59" s="93"/>
      <c r="I59" s="94"/>
      <c r="J59" s="95"/>
      <c r="K59" s="89"/>
      <c r="L59" s="89"/>
      <c r="M59" s="89"/>
      <c r="N59" s="89"/>
      <c r="O59" s="96"/>
      <c r="P59" s="89"/>
      <c r="Q59" s="89"/>
      <c r="R59" s="89"/>
      <c r="S59" s="98"/>
      <c r="T59" s="90"/>
      <c r="U59" s="99"/>
      <c r="V59" s="90"/>
      <c r="W59" s="100"/>
      <c r="X59" s="100"/>
      <c r="Y59" s="100"/>
      <c r="Z59" s="101"/>
      <c r="AA59" s="102"/>
      <c r="AB59" s="103"/>
      <c r="AC59" s="104"/>
      <c r="AD59" s="105"/>
      <c r="AE59" s="106"/>
      <c r="AF59" s="107"/>
      <c r="AG59" s="108"/>
      <c r="AH59" s="98"/>
      <c r="AI59" s="98"/>
      <c r="AJ59" s="98"/>
      <c r="AK59" s="98"/>
      <c r="AL59" s="99"/>
      <c r="AM59" s="99"/>
      <c r="AN59" s="99"/>
      <c r="AO59" s="99"/>
      <c r="AP59" s="99"/>
      <c r="AQ59" s="99"/>
      <c r="AR59" s="99"/>
    </row>
    <row r="60" s="13" customFormat="1" customHeight="1" spans="1:46">
      <c r="A60" s="89"/>
      <c r="B60" s="90"/>
      <c r="C60" s="253"/>
      <c r="D60" s="94"/>
      <c r="E60" s="94"/>
      <c r="F60" s="94"/>
      <c r="G60" s="92"/>
      <c r="H60" s="93"/>
      <c r="I60" s="94"/>
      <c r="J60" s="109"/>
      <c r="K60" s="89"/>
      <c r="L60" s="89"/>
      <c r="M60" s="89"/>
      <c r="N60" s="89"/>
      <c r="O60" s="96"/>
      <c r="P60" s="89"/>
      <c r="Q60" s="89"/>
      <c r="R60" s="89"/>
      <c r="S60" s="110"/>
      <c r="T60" s="90"/>
      <c r="U60" s="111"/>
      <c r="V60" s="90"/>
      <c r="W60" s="112"/>
      <c r="X60" s="112"/>
      <c r="Y60" s="113"/>
      <c r="Z60" s="101"/>
      <c r="AA60" s="102"/>
      <c r="AB60" s="114"/>
      <c r="AC60" s="115"/>
      <c r="AD60" s="108"/>
      <c r="AE60" s="116"/>
      <c r="AF60" s="111"/>
      <c r="AG60" s="110"/>
      <c r="AH60" s="110"/>
      <c r="AI60" s="110"/>
      <c r="AJ60" s="110"/>
      <c r="AK60" s="110"/>
      <c r="AL60" s="111"/>
      <c r="AM60" s="111"/>
      <c r="AN60" s="111"/>
      <c r="AO60" s="111"/>
      <c r="AP60" s="111"/>
      <c r="AQ60" s="111"/>
      <c r="AR60" s="111"/>
    </row>
    <row r="61" s="13" customFormat="1" customHeight="1" spans="1:46">
      <c r="A61" s="89"/>
      <c r="B61" s="90"/>
      <c r="C61" s="253"/>
      <c r="D61" s="94"/>
      <c r="E61" s="94"/>
      <c r="F61" s="94"/>
      <c r="G61" s="92"/>
      <c r="H61" s="93"/>
      <c r="I61" s="94"/>
      <c r="J61" s="109"/>
      <c r="K61" s="89"/>
      <c r="L61" s="89"/>
      <c r="M61" s="89"/>
      <c r="N61" s="89"/>
      <c r="O61" s="96"/>
      <c r="P61" s="89"/>
      <c r="Q61" s="89"/>
      <c r="R61" s="89"/>
      <c r="S61" s="110"/>
      <c r="T61" s="90"/>
      <c r="U61" s="111"/>
      <c r="V61" s="90"/>
      <c r="W61" s="112"/>
      <c r="X61" s="112"/>
      <c r="Y61" s="113"/>
      <c r="Z61" s="101"/>
      <c r="AA61" s="102"/>
      <c r="AB61" s="114"/>
      <c r="AC61" s="115"/>
      <c r="AD61" s="108"/>
      <c r="AE61" s="116"/>
      <c r="AF61" s="111"/>
      <c r="AG61" s="110"/>
      <c r="AH61" s="110"/>
      <c r="AI61" s="110"/>
      <c r="AJ61" s="110"/>
      <c r="AK61" s="110"/>
      <c r="AL61" s="111"/>
      <c r="AM61" s="111"/>
      <c r="AN61" s="111"/>
      <c r="AO61" s="111"/>
      <c r="AP61" s="111"/>
      <c r="AQ61" s="111"/>
      <c r="AR61" s="111"/>
    </row>
    <row r="62" s="13" customFormat="1" customHeight="1" spans="1:46">
      <c r="A62" s="89"/>
      <c r="B62" s="90"/>
      <c r="C62" s="253"/>
      <c r="D62" s="94"/>
      <c r="E62" s="94"/>
      <c r="F62" s="94"/>
      <c r="G62" s="92"/>
      <c r="H62" s="93"/>
      <c r="I62" s="94"/>
      <c r="J62" s="109"/>
      <c r="K62" s="89"/>
      <c r="L62" s="89"/>
      <c r="M62" s="89"/>
      <c r="N62" s="89"/>
      <c r="O62" s="96"/>
      <c r="P62" s="89"/>
      <c r="Q62" s="89"/>
      <c r="R62" s="89"/>
      <c r="S62" s="110"/>
      <c r="T62" s="90"/>
      <c r="U62" s="111"/>
      <c r="V62" s="90"/>
      <c r="W62" s="112"/>
      <c r="X62" s="112"/>
      <c r="Y62" s="113"/>
      <c r="Z62" s="101"/>
      <c r="AA62" s="102"/>
      <c r="AB62" s="114"/>
      <c r="AC62" s="115"/>
      <c r="AD62" s="108"/>
      <c r="AE62" s="116"/>
      <c r="AF62" s="111"/>
      <c r="AG62" s="110"/>
      <c r="AH62" s="110"/>
      <c r="AI62" s="110"/>
      <c r="AJ62" s="110"/>
      <c r="AK62" s="110"/>
      <c r="AL62" s="111"/>
      <c r="AM62" s="111"/>
      <c r="AN62" s="111"/>
      <c r="AO62" s="111"/>
      <c r="AP62" s="111"/>
      <c r="AQ62" s="111"/>
      <c r="AR62" s="111"/>
    </row>
    <row r="63" s="13" customFormat="1" customHeight="1" spans="1:46">
      <c r="A63" s="89"/>
      <c r="B63" s="90"/>
      <c r="C63" s="253"/>
      <c r="D63" s="94"/>
      <c r="E63" s="94"/>
      <c r="F63" s="94"/>
      <c r="G63" s="92"/>
      <c r="H63" s="93"/>
      <c r="I63" s="94"/>
      <c r="J63" s="109"/>
      <c r="K63" s="89"/>
      <c r="L63" s="89"/>
      <c r="M63" s="89"/>
      <c r="N63" s="89"/>
      <c r="O63" s="96"/>
      <c r="P63" s="89"/>
      <c r="Q63" s="89"/>
      <c r="R63" s="89"/>
      <c r="S63" s="110"/>
      <c r="T63" s="90"/>
      <c r="U63" s="111"/>
      <c r="V63" s="90"/>
      <c r="W63" s="112"/>
      <c r="X63" s="112"/>
      <c r="Y63" s="113"/>
      <c r="Z63" s="101"/>
      <c r="AA63" s="102"/>
      <c r="AB63" s="114"/>
      <c r="AC63" s="115"/>
      <c r="AD63" s="108"/>
      <c r="AE63" s="116"/>
      <c r="AF63" s="111"/>
      <c r="AG63" s="110"/>
      <c r="AH63" s="110"/>
      <c r="AI63" s="110"/>
      <c r="AJ63" s="110"/>
      <c r="AK63" s="110"/>
      <c r="AL63" s="111"/>
      <c r="AM63" s="111"/>
      <c r="AN63" s="111"/>
      <c r="AO63" s="111"/>
      <c r="AP63" s="111"/>
      <c r="AQ63" s="111"/>
      <c r="AR63" s="111"/>
    </row>
    <row r="64" s="13" customFormat="1" customHeight="1" spans="1:46">
      <c r="A64" s="89"/>
      <c r="B64" s="90"/>
      <c r="C64" s="253"/>
      <c r="D64" s="94"/>
      <c r="E64" s="94"/>
      <c r="F64" s="94"/>
      <c r="G64" s="92"/>
      <c r="H64" s="93"/>
      <c r="I64" s="94"/>
      <c r="J64" s="109"/>
      <c r="K64" s="89"/>
      <c r="L64" s="89"/>
      <c r="M64" s="89"/>
      <c r="N64" s="89"/>
      <c r="O64" s="96"/>
      <c r="P64" s="89"/>
      <c r="Q64" s="89"/>
      <c r="R64" s="89"/>
      <c r="S64" s="110"/>
      <c r="T64" s="90"/>
      <c r="U64" s="111"/>
      <c r="V64" s="90"/>
      <c r="W64" s="112"/>
      <c r="X64" s="112"/>
      <c r="Y64" s="113"/>
      <c r="Z64" s="101"/>
      <c r="AA64" s="102"/>
      <c r="AB64" s="114"/>
      <c r="AC64" s="115"/>
      <c r="AD64" s="108"/>
      <c r="AE64" s="116"/>
      <c r="AF64" s="111"/>
      <c r="AG64" s="110"/>
      <c r="AH64" s="110"/>
      <c r="AI64" s="110"/>
      <c r="AJ64" s="110"/>
      <c r="AK64" s="110"/>
      <c r="AL64" s="111"/>
      <c r="AM64" s="111"/>
      <c r="AN64" s="111"/>
      <c r="AO64" s="111"/>
      <c r="AP64" s="111"/>
      <c r="AQ64" s="111"/>
      <c r="AR64" s="111"/>
    </row>
    <row r="65" s="13" customFormat="1" customHeight="1" spans="1:44">
      <c r="A65" s="89"/>
      <c r="B65" s="90"/>
      <c r="C65" s="253"/>
      <c r="D65" s="94"/>
      <c r="E65" s="94"/>
      <c r="F65" s="94"/>
      <c r="G65" s="92"/>
      <c r="H65" s="93"/>
      <c r="I65" s="94"/>
      <c r="J65" s="109"/>
      <c r="K65" s="89"/>
      <c r="L65" s="89"/>
      <c r="M65" s="89"/>
      <c r="N65" s="89"/>
      <c r="O65" s="96"/>
      <c r="P65" s="89"/>
      <c r="Q65" s="89"/>
      <c r="R65" s="89"/>
      <c r="S65" s="110"/>
      <c r="T65" s="90"/>
      <c r="U65" s="111"/>
      <c r="V65" s="90"/>
      <c r="W65" s="112"/>
      <c r="X65" s="112"/>
      <c r="Y65" s="113"/>
      <c r="Z65" s="101"/>
      <c r="AA65" s="102"/>
      <c r="AB65" s="114"/>
      <c r="AC65" s="115"/>
      <c r="AD65" s="108"/>
      <c r="AE65" s="116"/>
      <c r="AF65" s="111"/>
      <c r="AG65" s="110"/>
      <c r="AH65" s="110"/>
      <c r="AI65" s="110"/>
      <c r="AJ65" s="110"/>
      <c r="AK65" s="110"/>
      <c r="AL65" s="111"/>
      <c r="AM65" s="111"/>
      <c r="AN65" s="111"/>
      <c r="AO65" s="111"/>
      <c r="AP65" s="111"/>
      <c r="AQ65" s="111"/>
      <c r="AR65" s="111"/>
    </row>
    <row r="66" s="13" customFormat="1" customHeight="1" spans="1:44">
      <c r="A66" s="89"/>
      <c r="B66" s="90"/>
      <c r="C66" s="253"/>
      <c r="D66" s="94"/>
      <c r="E66" s="94"/>
      <c r="F66" s="94"/>
      <c r="G66" s="92"/>
      <c r="H66" s="93"/>
      <c r="I66" s="94"/>
      <c r="J66" s="109"/>
      <c r="K66" s="89"/>
      <c r="L66" s="89"/>
      <c r="M66" s="89"/>
      <c r="N66" s="89"/>
      <c r="O66" s="96"/>
      <c r="P66" s="89"/>
      <c r="Q66" s="89"/>
      <c r="R66" s="89"/>
      <c r="S66" s="110"/>
      <c r="T66" s="90"/>
      <c r="U66" s="111"/>
      <c r="V66" s="90"/>
      <c r="W66" s="112"/>
      <c r="X66" s="112"/>
      <c r="Y66" s="113"/>
      <c r="Z66" s="101"/>
      <c r="AA66" s="102"/>
      <c r="AB66" s="114"/>
      <c r="AC66" s="115"/>
      <c r="AD66" s="108"/>
      <c r="AE66" s="116"/>
      <c r="AF66" s="111"/>
      <c r="AG66" s="110"/>
      <c r="AH66" s="110"/>
      <c r="AI66" s="110"/>
      <c r="AJ66" s="110"/>
      <c r="AK66" s="110"/>
      <c r="AL66" s="111"/>
      <c r="AM66" s="111"/>
      <c r="AN66" s="111"/>
      <c r="AO66" s="111"/>
      <c r="AP66" s="111"/>
      <c r="AQ66" s="111"/>
      <c r="AR66" s="111"/>
    </row>
    <row r="67" s="13" customFormat="1" customHeight="1" spans="1:44">
      <c r="A67" s="89"/>
      <c r="B67" s="90"/>
      <c r="C67" s="253"/>
      <c r="D67" s="94"/>
      <c r="E67" s="94"/>
      <c r="F67" s="94"/>
      <c r="G67" s="92"/>
      <c r="H67" s="93"/>
      <c r="I67" s="94"/>
      <c r="J67" s="109"/>
      <c r="K67" s="89"/>
      <c r="L67" s="89"/>
      <c r="M67" s="89"/>
      <c r="N67" s="89"/>
      <c r="O67" s="96"/>
      <c r="P67" s="89"/>
      <c r="Q67" s="89"/>
      <c r="R67" s="89"/>
      <c r="S67" s="110"/>
      <c r="T67" s="90"/>
      <c r="U67" s="111"/>
      <c r="V67" s="90"/>
      <c r="W67" s="112"/>
      <c r="X67" s="112"/>
      <c r="Y67" s="113"/>
      <c r="Z67" s="101"/>
      <c r="AA67" s="102"/>
      <c r="AB67" s="114"/>
      <c r="AC67" s="115"/>
      <c r="AD67" s="108"/>
      <c r="AE67" s="116"/>
      <c r="AF67" s="111"/>
      <c r="AG67" s="110"/>
      <c r="AH67" s="110"/>
      <c r="AI67" s="110"/>
      <c r="AJ67" s="110"/>
      <c r="AK67" s="110"/>
      <c r="AL67" s="111"/>
      <c r="AM67" s="111"/>
      <c r="AN67" s="111"/>
      <c r="AO67" s="111"/>
      <c r="AP67" s="111"/>
      <c r="AQ67" s="111"/>
      <c r="AR67" s="111"/>
    </row>
    <row r="68" s="13" customFormat="1" customHeight="1" spans="1:44">
      <c r="A68" s="89"/>
      <c r="B68" s="90"/>
      <c r="C68" s="253"/>
      <c r="D68" s="94"/>
      <c r="E68" s="94"/>
      <c r="F68" s="94"/>
      <c r="G68" s="92"/>
      <c r="H68" s="93"/>
      <c r="I68" s="94"/>
      <c r="J68" s="109"/>
      <c r="K68" s="89"/>
      <c r="L68" s="89"/>
      <c r="M68" s="89"/>
      <c r="N68" s="89"/>
      <c r="O68" s="96"/>
      <c r="P68" s="89"/>
      <c r="Q68" s="89"/>
      <c r="R68" s="89"/>
      <c r="S68" s="110"/>
      <c r="T68" s="90"/>
      <c r="U68" s="111"/>
      <c r="V68" s="90"/>
      <c r="W68" s="112"/>
      <c r="X68" s="112"/>
      <c r="Y68" s="113"/>
      <c r="Z68" s="101"/>
      <c r="AA68" s="102"/>
      <c r="AB68" s="114"/>
      <c r="AC68" s="115"/>
      <c r="AD68" s="108"/>
      <c r="AE68" s="116"/>
      <c r="AF68" s="111"/>
      <c r="AG68" s="110"/>
      <c r="AH68" s="110"/>
      <c r="AI68" s="110"/>
      <c r="AJ68" s="110"/>
      <c r="AK68" s="110"/>
      <c r="AL68" s="111"/>
      <c r="AM68" s="111"/>
      <c r="AN68" s="111"/>
      <c r="AO68" s="111"/>
      <c r="AP68" s="111"/>
      <c r="AQ68" s="111"/>
      <c r="AR68" s="111"/>
    </row>
    <row r="69" s="13" customFormat="1" customHeight="1" spans="1:44">
      <c r="A69" s="89"/>
      <c r="B69" s="90"/>
      <c r="C69" s="253"/>
      <c r="D69" s="94"/>
      <c r="E69" s="94"/>
      <c r="F69" s="94"/>
      <c r="G69" s="92"/>
      <c r="H69" s="93"/>
      <c r="I69" s="94"/>
      <c r="J69" s="109"/>
      <c r="K69" s="89"/>
      <c r="L69" s="89"/>
      <c r="M69" s="89"/>
      <c r="N69" s="89"/>
      <c r="O69" s="96"/>
      <c r="P69" s="89"/>
      <c r="Q69" s="89"/>
      <c r="R69" s="89"/>
      <c r="S69" s="110"/>
      <c r="T69" s="90"/>
      <c r="U69" s="111"/>
      <c r="V69" s="90"/>
      <c r="W69" s="112"/>
      <c r="X69" s="112"/>
      <c r="Y69" s="113"/>
      <c r="Z69" s="101"/>
      <c r="AA69" s="102"/>
      <c r="AB69" s="114"/>
      <c r="AC69" s="115"/>
      <c r="AD69" s="108"/>
      <c r="AE69" s="116"/>
      <c r="AF69" s="111"/>
      <c r="AG69" s="110"/>
      <c r="AH69" s="110"/>
      <c r="AI69" s="110"/>
      <c r="AJ69" s="110"/>
      <c r="AK69" s="110"/>
      <c r="AL69" s="111"/>
      <c r="AM69" s="111"/>
      <c r="AN69" s="111"/>
      <c r="AO69" s="111"/>
      <c r="AP69" s="111"/>
      <c r="AQ69" s="111"/>
      <c r="AR69" s="111"/>
    </row>
    <row r="70" s="13" customFormat="1" customHeight="1" spans="1:44">
      <c r="A70" s="89"/>
      <c r="B70" s="90"/>
      <c r="C70" s="253"/>
      <c r="D70" s="94"/>
      <c r="E70" s="94"/>
      <c r="F70" s="94"/>
      <c r="G70" s="92"/>
      <c r="H70" s="93"/>
      <c r="I70" s="94"/>
      <c r="J70" s="109"/>
      <c r="K70" s="89"/>
      <c r="L70" s="89"/>
      <c r="M70" s="89"/>
      <c r="N70" s="89"/>
      <c r="O70" s="96"/>
      <c r="P70" s="89"/>
      <c r="Q70" s="89"/>
      <c r="R70" s="89"/>
      <c r="S70" s="110"/>
      <c r="T70" s="90"/>
      <c r="U70" s="111"/>
      <c r="V70" s="90"/>
      <c r="W70" s="112"/>
      <c r="X70" s="112"/>
      <c r="Y70" s="113"/>
      <c r="Z70" s="101"/>
      <c r="AA70" s="102"/>
      <c r="AB70" s="114"/>
      <c r="AC70" s="115"/>
      <c r="AD70" s="108"/>
      <c r="AE70" s="116"/>
      <c r="AF70" s="111"/>
      <c r="AG70" s="110"/>
      <c r="AH70" s="110"/>
      <c r="AI70" s="110"/>
      <c r="AJ70" s="110"/>
      <c r="AK70" s="110"/>
      <c r="AL70" s="111"/>
      <c r="AM70" s="111"/>
      <c r="AN70" s="111"/>
      <c r="AO70" s="111"/>
      <c r="AP70" s="111"/>
      <c r="AQ70" s="111"/>
      <c r="AR70" s="111"/>
    </row>
    <row r="71" s="13" customFormat="1" customHeight="1" spans="1:44">
      <c r="A71" s="89"/>
      <c r="B71" s="90"/>
      <c r="C71" s="253"/>
      <c r="D71" s="94"/>
      <c r="E71" s="94"/>
      <c r="F71" s="94"/>
      <c r="G71" s="92"/>
      <c r="H71" s="93"/>
      <c r="I71" s="94"/>
      <c r="J71" s="109"/>
      <c r="K71" s="89"/>
      <c r="L71" s="89"/>
      <c r="M71" s="89"/>
      <c r="N71" s="89"/>
      <c r="O71" s="96"/>
      <c r="P71" s="89"/>
      <c r="Q71" s="89"/>
      <c r="R71" s="89"/>
      <c r="S71" s="110"/>
      <c r="T71" s="90"/>
      <c r="U71" s="111"/>
      <c r="V71" s="90"/>
      <c r="W71" s="112"/>
      <c r="X71" s="112"/>
      <c r="Y71" s="113"/>
      <c r="Z71" s="101"/>
      <c r="AA71" s="102"/>
      <c r="AB71" s="114"/>
      <c r="AC71" s="115"/>
      <c r="AD71" s="108"/>
      <c r="AE71" s="116"/>
      <c r="AF71" s="111"/>
      <c r="AG71" s="110"/>
      <c r="AH71" s="110"/>
      <c r="AI71" s="110"/>
      <c r="AJ71" s="110"/>
      <c r="AK71" s="110"/>
      <c r="AL71" s="111"/>
      <c r="AM71" s="111"/>
      <c r="AN71" s="111"/>
      <c r="AO71" s="111"/>
      <c r="AP71" s="111"/>
      <c r="AQ71" s="111"/>
      <c r="AR71" s="111"/>
    </row>
    <row r="72" s="13" customFormat="1" customHeight="1" spans="1:44">
      <c r="A72" s="89"/>
      <c r="B72" s="90"/>
      <c r="C72" s="253"/>
      <c r="D72" s="94"/>
      <c r="E72" s="94"/>
      <c r="F72" s="94"/>
      <c r="G72" s="92"/>
      <c r="H72" s="93"/>
      <c r="I72" s="94"/>
      <c r="J72" s="109"/>
      <c r="K72" s="89"/>
      <c r="L72" s="89"/>
      <c r="M72" s="89"/>
      <c r="N72" s="89"/>
      <c r="O72" s="96"/>
      <c r="P72" s="89"/>
      <c r="Q72" s="89"/>
      <c r="R72" s="89"/>
      <c r="S72" s="110"/>
      <c r="T72" s="90"/>
      <c r="U72" s="111"/>
      <c r="V72" s="90"/>
      <c r="W72" s="112"/>
      <c r="X72" s="112"/>
      <c r="Y72" s="113"/>
      <c r="Z72" s="101"/>
      <c r="AA72" s="102"/>
      <c r="AB72" s="114"/>
      <c r="AC72" s="115"/>
      <c r="AD72" s="108"/>
      <c r="AE72" s="116"/>
      <c r="AF72" s="111"/>
      <c r="AG72" s="110"/>
      <c r="AH72" s="110"/>
      <c r="AI72" s="110"/>
      <c r="AJ72" s="110"/>
      <c r="AK72" s="110"/>
      <c r="AL72" s="111"/>
      <c r="AM72" s="111"/>
      <c r="AN72" s="111"/>
      <c r="AO72" s="111"/>
      <c r="AP72" s="111"/>
      <c r="AQ72" s="111"/>
      <c r="AR72" s="111"/>
    </row>
    <row r="73" s="13" customFormat="1" customHeight="1" spans="1:44">
      <c r="A73" s="89"/>
      <c r="B73" s="90"/>
      <c r="C73" s="253"/>
      <c r="D73" s="94"/>
      <c r="E73" s="94"/>
      <c r="F73" s="94"/>
      <c r="G73" s="92"/>
      <c r="H73" s="93"/>
      <c r="I73" s="94"/>
      <c r="J73" s="109"/>
      <c r="K73" s="89"/>
      <c r="L73" s="89"/>
      <c r="M73" s="89"/>
      <c r="N73" s="89"/>
      <c r="O73" s="96"/>
      <c r="P73" s="89"/>
      <c r="Q73" s="89"/>
      <c r="R73" s="89"/>
      <c r="S73" s="110"/>
      <c r="T73" s="90"/>
      <c r="U73" s="111"/>
      <c r="V73" s="90"/>
      <c r="W73" s="112"/>
      <c r="X73" s="112"/>
      <c r="Y73" s="113"/>
      <c r="Z73" s="101"/>
      <c r="AA73" s="102"/>
      <c r="AB73" s="114"/>
      <c r="AC73" s="115"/>
      <c r="AD73" s="108"/>
      <c r="AE73" s="116"/>
      <c r="AF73" s="111"/>
      <c r="AG73" s="110"/>
      <c r="AH73" s="110"/>
      <c r="AI73" s="110"/>
      <c r="AJ73" s="110"/>
      <c r="AK73" s="110"/>
      <c r="AL73" s="111"/>
      <c r="AM73" s="111"/>
      <c r="AN73" s="111"/>
      <c r="AO73" s="111"/>
      <c r="AP73" s="111"/>
      <c r="AQ73" s="111"/>
      <c r="AR73" s="111"/>
    </row>
    <row r="74" s="13" customFormat="1" customHeight="1" spans="1:44">
      <c r="A74" s="89"/>
      <c r="B74" s="90"/>
      <c r="C74" s="253"/>
      <c r="D74" s="94"/>
      <c r="E74" s="94"/>
      <c r="F74" s="94"/>
      <c r="G74" s="92"/>
      <c r="H74" s="93"/>
      <c r="I74" s="94"/>
      <c r="J74" s="109"/>
      <c r="K74" s="89"/>
      <c r="L74" s="89"/>
      <c r="M74" s="89"/>
      <c r="N74" s="89"/>
      <c r="O74" s="96"/>
      <c r="P74" s="89"/>
      <c r="Q74" s="89"/>
      <c r="R74" s="89"/>
      <c r="S74" s="110"/>
      <c r="T74" s="90"/>
      <c r="U74" s="111"/>
      <c r="V74" s="90"/>
      <c r="W74" s="112"/>
      <c r="X74" s="112"/>
      <c r="Y74" s="113"/>
      <c r="Z74" s="101"/>
      <c r="AA74" s="102"/>
      <c r="AB74" s="114"/>
      <c r="AC74" s="115"/>
      <c r="AD74" s="108"/>
      <c r="AE74" s="116"/>
      <c r="AF74" s="111"/>
      <c r="AG74" s="110"/>
      <c r="AH74" s="110"/>
      <c r="AI74" s="110"/>
      <c r="AJ74" s="110"/>
      <c r="AK74" s="110"/>
      <c r="AL74" s="111"/>
      <c r="AM74" s="111"/>
      <c r="AN74" s="111"/>
      <c r="AO74" s="111"/>
      <c r="AP74" s="111"/>
      <c r="AQ74" s="111"/>
      <c r="AR74" s="111"/>
    </row>
    <row r="75" s="13" customFormat="1" customHeight="1" spans="1:44">
      <c r="A75" s="89"/>
      <c r="B75" s="90"/>
      <c r="C75" s="253"/>
      <c r="D75" s="94"/>
      <c r="E75" s="94"/>
      <c r="F75" s="94"/>
      <c r="G75" s="92"/>
      <c r="H75" s="93"/>
      <c r="I75" s="94"/>
      <c r="J75" s="109"/>
      <c r="K75" s="89"/>
      <c r="L75" s="89"/>
      <c r="M75" s="89"/>
      <c r="N75" s="89"/>
      <c r="O75" s="96"/>
      <c r="P75" s="89"/>
      <c r="Q75" s="89"/>
      <c r="R75" s="89"/>
      <c r="S75" s="110"/>
      <c r="T75" s="90"/>
      <c r="U75" s="111"/>
      <c r="V75" s="90"/>
      <c r="W75" s="112"/>
      <c r="X75" s="112"/>
      <c r="Y75" s="113"/>
      <c r="Z75" s="101"/>
      <c r="AA75" s="102"/>
      <c r="AB75" s="114"/>
      <c r="AC75" s="115"/>
      <c r="AD75" s="108"/>
      <c r="AE75" s="116"/>
      <c r="AF75" s="111"/>
      <c r="AG75" s="110"/>
      <c r="AH75" s="110"/>
      <c r="AI75" s="110"/>
      <c r="AJ75" s="110"/>
      <c r="AK75" s="110"/>
      <c r="AL75" s="111"/>
      <c r="AM75" s="111"/>
      <c r="AN75" s="111"/>
      <c r="AO75" s="111"/>
      <c r="AP75" s="111"/>
      <c r="AQ75" s="111"/>
      <c r="AR75" s="111"/>
    </row>
    <row r="76" s="13" customFormat="1" customHeight="1" spans="1:44">
      <c r="A76" s="89"/>
      <c r="B76" s="90"/>
      <c r="C76" s="253"/>
      <c r="D76" s="94"/>
      <c r="E76" s="94"/>
      <c r="F76" s="94"/>
      <c r="G76" s="92"/>
      <c r="H76" s="93"/>
      <c r="I76" s="94"/>
      <c r="J76" s="109"/>
      <c r="K76" s="89"/>
      <c r="L76" s="89"/>
      <c r="M76" s="89"/>
      <c r="N76" s="89"/>
      <c r="O76" s="96"/>
      <c r="P76" s="89"/>
      <c r="Q76" s="89"/>
      <c r="R76" s="89"/>
      <c r="S76" s="110"/>
      <c r="T76" s="90"/>
      <c r="U76" s="111"/>
      <c r="V76" s="90"/>
      <c r="W76" s="112"/>
      <c r="X76" s="112"/>
      <c r="Y76" s="113"/>
      <c r="Z76" s="101"/>
      <c r="AA76" s="102"/>
      <c r="AB76" s="114"/>
      <c r="AC76" s="115"/>
      <c r="AD76" s="108"/>
      <c r="AE76" s="116"/>
      <c r="AF76" s="111"/>
      <c r="AG76" s="110"/>
      <c r="AH76" s="110"/>
      <c r="AI76" s="110"/>
      <c r="AJ76" s="110"/>
      <c r="AK76" s="110"/>
      <c r="AL76" s="111"/>
      <c r="AM76" s="111"/>
      <c r="AN76" s="111"/>
      <c r="AO76" s="111"/>
      <c r="AP76" s="111"/>
      <c r="AQ76" s="111"/>
      <c r="AR76" s="111"/>
    </row>
    <row r="77" s="13" customFormat="1" customHeight="1" spans="1:44">
      <c r="A77" s="89"/>
      <c r="B77" s="90"/>
      <c r="C77" s="253"/>
      <c r="D77" s="94"/>
      <c r="E77" s="94"/>
      <c r="F77" s="94"/>
      <c r="G77" s="92"/>
      <c r="H77" s="93"/>
      <c r="I77" s="94"/>
      <c r="J77" s="109"/>
      <c r="K77" s="89"/>
      <c r="L77" s="89"/>
      <c r="M77" s="89"/>
      <c r="N77" s="89"/>
      <c r="O77" s="96"/>
      <c r="P77" s="89"/>
      <c r="Q77" s="89"/>
      <c r="R77" s="89"/>
      <c r="S77" s="110"/>
      <c r="T77" s="90"/>
      <c r="U77" s="111"/>
      <c r="V77" s="90"/>
      <c r="W77" s="112"/>
      <c r="X77" s="112"/>
      <c r="Y77" s="113"/>
      <c r="Z77" s="101"/>
      <c r="AA77" s="102"/>
      <c r="AB77" s="114"/>
      <c r="AC77" s="115"/>
      <c r="AD77" s="108"/>
      <c r="AE77" s="116"/>
      <c r="AF77" s="111"/>
      <c r="AG77" s="110"/>
      <c r="AH77" s="110"/>
      <c r="AI77" s="110"/>
      <c r="AJ77" s="110"/>
      <c r="AK77" s="110"/>
      <c r="AL77" s="111"/>
      <c r="AM77" s="111"/>
      <c r="AN77" s="111"/>
      <c r="AO77" s="111"/>
      <c r="AP77" s="111"/>
      <c r="AQ77" s="111"/>
      <c r="AR77" s="111"/>
    </row>
    <row r="78" s="13" customFormat="1" customHeight="1" spans="1:44">
      <c r="A78" s="89"/>
      <c r="B78" s="90"/>
      <c r="C78" s="253"/>
      <c r="D78" s="94"/>
      <c r="E78" s="94"/>
      <c r="F78" s="94"/>
      <c r="G78" s="92"/>
      <c r="H78" s="93"/>
      <c r="I78" s="94"/>
      <c r="J78" s="109"/>
      <c r="K78" s="89"/>
      <c r="L78" s="89"/>
      <c r="M78" s="89"/>
      <c r="N78" s="89"/>
      <c r="O78" s="96"/>
      <c r="P78" s="89"/>
      <c r="Q78" s="89"/>
      <c r="R78" s="89"/>
      <c r="S78" s="110"/>
      <c r="T78" s="90"/>
      <c r="U78" s="111"/>
      <c r="V78" s="90"/>
      <c r="W78" s="112"/>
      <c r="X78" s="112"/>
      <c r="Y78" s="113"/>
      <c r="Z78" s="101"/>
      <c r="AA78" s="102"/>
      <c r="AB78" s="114"/>
      <c r="AC78" s="115"/>
      <c r="AD78" s="108"/>
      <c r="AE78" s="116"/>
      <c r="AF78" s="111"/>
      <c r="AG78" s="110"/>
      <c r="AH78" s="110"/>
      <c r="AI78" s="110"/>
      <c r="AJ78" s="110"/>
      <c r="AK78" s="110"/>
      <c r="AL78" s="111"/>
      <c r="AM78" s="111"/>
      <c r="AN78" s="111"/>
      <c r="AO78" s="111"/>
      <c r="AP78" s="111"/>
      <c r="AQ78" s="111"/>
      <c r="AR78" s="111"/>
    </row>
    <row r="79" s="13" customFormat="1" customHeight="1" spans="1:44">
      <c r="A79" s="89"/>
      <c r="B79" s="90"/>
      <c r="C79" s="253"/>
      <c r="D79" s="94"/>
      <c r="E79" s="94"/>
      <c r="F79" s="94"/>
      <c r="G79" s="92"/>
      <c r="H79" s="93"/>
      <c r="I79" s="94"/>
      <c r="J79" s="109"/>
      <c r="K79" s="89"/>
      <c r="L79" s="89"/>
      <c r="M79" s="89"/>
      <c r="N79" s="89"/>
      <c r="O79" s="96"/>
      <c r="P79" s="89"/>
      <c r="Q79" s="89"/>
      <c r="R79" s="89"/>
      <c r="S79" s="110"/>
      <c r="T79" s="90"/>
      <c r="U79" s="111"/>
      <c r="V79" s="90"/>
      <c r="W79" s="112"/>
      <c r="X79" s="112"/>
      <c r="Y79" s="113"/>
      <c r="Z79" s="101"/>
      <c r="AA79" s="102"/>
      <c r="AB79" s="114"/>
      <c r="AC79" s="115"/>
      <c r="AD79" s="108"/>
      <c r="AE79" s="116"/>
      <c r="AF79" s="111"/>
      <c r="AG79" s="110"/>
      <c r="AH79" s="110"/>
      <c r="AI79" s="110"/>
      <c r="AJ79" s="110"/>
      <c r="AK79" s="110"/>
      <c r="AL79" s="111"/>
      <c r="AM79" s="111"/>
      <c r="AN79" s="111"/>
      <c r="AO79" s="111"/>
      <c r="AP79" s="111"/>
      <c r="AQ79" s="111"/>
      <c r="AR79" s="111"/>
    </row>
    <row r="80" s="13" customFormat="1" customHeight="1" spans="1:44">
      <c r="A80" s="89"/>
      <c r="B80" s="90"/>
      <c r="C80" s="253"/>
      <c r="D80" s="94"/>
      <c r="E80" s="94"/>
      <c r="F80" s="94"/>
      <c r="G80" s="92"/>
      <c r="H80" s="93"/>
      <c r="I80" s="94"/>
      <c r="J80" s="109"/>
      <c r="K80" s="89"/>
      <c r="L80" s="89"/>
      <c r="M80" s="89"/>
      <c r="N80" s="89"/>
      <c r="O80" s="96"/>
      <c r="P80" s="89"/>
      <c r="Q80" s="89"/>
      <c r="R80" s="89"/>
      <c r="S80" s="110"/>
      <c r="T80" s="90"/>
      <c r="U80" s="111"/>
      <c r="V80" s="90"/>
      <c r="W80" s="112"/>
      <c r="X80" s="112"/>
      <c r="Y80" s="113"/>
      <c r="Z80" s="101"/>
      <c r="AA80" s="102"/>
      <c r="AB80" s="114"/>
      <c r="AC80" s="115"/>
      <c r="AD80" s="108"/>
      <c r="AE80" s="116"/>
      <c r="AF80" s="111"/>
      <c r="AG80" s="110"/>
      <c r="AH80" s="110"/>
      <c r="AI80" s="110"/>
      <c r="AJ80" s="110"/>
      <c r="AK80" s="110"/>
      <c r="AL80" s="111"/>
      <c r="AM80" s="111"/>
      <c r="AN80" s="111"/>
      <c r="AO80" s="111"/>
      <c r="AP80" s="111"/>
      <c r="AQ80" s="111"/>
      <c r="AR80" s="111"/>
    </row>
    <row r="81" s="13" customFormat="1" customHeight="1" spans="1:44">
      <c r="A81" s="89"/>
      <c r="B81" s="90"/>
      <c r="C81" s="253"/>
      <c r="D81" s="94"/>
      <c r="E81" s="94"/>
      <c r="F81" s="94"/>
      <c r="G81" s="92"/>
      <c r="H81" s="93"/>
      <c r="I81" s="94"/>
      <c r="J81" s="109"/>
      <c r="K81" s="89"/>
      <c r="L81" s="89"/>
      <c r="M81" s="89"/>
      <c r="N81" s="89"/>
      <c r="O81" s="96"/>
      <c r="P81" s="89"/>
      <c r="Q81" s="89"/>
      <c r="R81" s="89"/>
      <c r="S81" s="110"/>
      <c r="T81" s="90"/>
      <c r="U81" s="111"/>
      <c r="V81" s="90"/>
      <c r="W81" s="112"/>
      <c r="X81" s="112"/>
      <c r="Y81" s="113"/>
      <c r="Z81" s="101"/>
      <c r="AA81" s="102"/>
      <c r="AB81" s="114"/>
      <c r="AC81" s="115"/>
      <c r="AD81" s="108"/>
      <c r="AE81" s="116"/>
      <c r="AF81" s="111"/>
      <c r="AG81" s="110"/>
      <c r="AH81" s="110"/>
      <c r="AI81" s="110"/>
      <c r="AJ81" s="110"/>
      <c r="AK81" s="110"/>
      <c r="AL81" s="111"/>
      <c r="AM81" s="111"/>
      <c r="AN81" s="111"/>
      <c r="AO81" s="111"/>
      <c r="AP81" s="111"/>
      <c r="AQ81" s="111"/>
      <c r="AR81" s="111"/>
    </row>
    <row r="82" s="13" customFormat="1" customHeight="1" spans="1:44">
      <c r="A82" s="89"/>
      <c r="B82" s="90"/>
      <c r="C82" s="253"/>
      <c r="D82" s="94"/>
      <c r="E82" s="94"/>
      <c r="F82" s="94"/>
      <c r="G82" s="92"/>
      <c r="H82" s="93"/>
      <c r="I82" s="94"/>
      <c r="J82" s="109"/>
      <c r="K82" s="89"/>
      <c r="L82" s="89"/>
      <c r="M82" s="89"/>
      <c r="N82" s="89"/>
      <c r="O82" s="96"/>
      <c r="P82" s="89"/>
      <c r="Q82" s="89"/>
      <c r="R82" s="89"/>
      <c r="S82" s="110"/>
      <c r="T82" s="90"/>
      <c r="U82" s="111"/>
      <c r="V82" s="90"/>
      <c r="W82" s="112"/>
      <c r="X82" s="112"/>
      <c r="Y82" s="113"/>
      <c r="Z82" s="101"/>
      <c r="AA82" s="102"/>
      <c r="AB82" s="114"/>
      <c r="AC82" s="115"/>
      <c r="AD82" s="108"/>
      <c r="AE82" s="116"/>
      <c r="AF82" s="111"/>
      <c r="AG82" s="110"/>
      <c r="AH82" s="110"/>
      <c r="AI82" s="110"/>
      <c r="AJ82" s="110"/>
      <c r="AK82" s="110"/>
      <c r="AL82" s="111"/>
      <c r="AM82" s="111"/>
      <c r="AN82" s="111"/>
      <c r="AO82" s="111"/>
      <c r="AP82" s="111"/>
      <c r="AQ82" s="111"/>
      <c r="AR82" s="111"/>
    </row>
    <row r="83" s="13" customFormat="1" customHeight="1" spans="1:44">
      <c r="A83" s="89"/>
      <c r="B83" s="90"/>
      <c r="C83" s="253"/>
      <c r="D83" s="94"/>
      <c r="E83" s="94"/>
      <c r="F83" s="94"/>
      <c r="G83" s="92"/>
      <c r="H83" s="93"/>
      <c r="I83" s="94"/>
      <c r="J83" s="109"/>
      <c r="K83" s="89"/>
      <c r="L83" s="89"/>
      <c r="M83" s="89"/>
      <c r="N83" s="89"/>
      <c r="O83" s="96"/>
      <c r="P83" s="89"/>
      <c r="Q83" s="89"/>
      <c r="R83" s="89"/>
      <c r="S83" s="110"/>
      <c r="T83" s="90"/>
      <c r="U83" s="111"/>
      <c r="V83" s="90"/>
      <c r="W83" s="112"/>
      <c r="X83" s="112"/>
      <c r="Y83" s="113"/>
      <c r="Z83" s="101"/>
      <c r="AA83" s="102"/>
      <c r="AB83" s="114"/>
      <c r="AC83" s="115"/>
      <c r="AD83" s="108"/>
      <c r="AE83" s="116"/>
      <c r="AF83" s="111"/>
      <c r="AG83" s="110"/>
      <c r="AH83" s="110"/>
      <c r="AI83" s="110"/>
      <c r="AJ83" s="110"/>
      <c r="AK83" s="110"/>
      <c r="AL83" s="111"/>
      <c r="AM83" s="111"/>
      <c r="AN83" s="111"/>
      <c r="AO83" s="111"/>
      <c r="AP83" s="111"/>
      <c r="AQ83" s="111"/>
      <c r="AR83" s="111"/>
    </row>
    <row r="84" s="13" customFormat="1" customHeight="1" spans="1:44">
      <c r="A84" s="89"/>
      <c r="B84" s="90"/>
      <c r="C84" s="253"/>
      <c r="D84" s="94"/>
      <c r="E84" s="94"/>
      <c r="F84" s="94"/>
      <c r="G84" s="92"/>
      <c r="H84" s="93"/>
      <c r="I84" s="94"/>
      <c r="J84" s="109"/>
      <c r="K84" s="89"/>
      <c r="L84" s="89"/>
      <c r="M84" s="89"/>
      <c r="N84" s="89"/>
      <c r="O84" s="96"/>
      <c r="P84" s="89"/>
      <c r="Q84" s="89"/>
      <c r="R84" s="89"/>
      <c r="S84" s="110"/>
      <c r="T84" s="90"/>
      <c r="U84" s="111"/>
      <c r="V84" s="90"/>
      <c r="W84" s="112"/>
      <c r="X84" s="112"/>
      <c r="Y84" s="113"/>
      <c r="Z84" s="101"/>
      <c r="AA84" s="102"/>
      <c r="AB84" s="114"/>
      <c r="AC84" s="115"/>
      <c r="AD84" s="108"/>
      <c r="AE84" s="116"/>
      <c r="AF84" s="111"/>
      <c r="AG84" s="110"/>
      <c r="AH84" s="110"/>
      <c r="AI84" s="110"/>
      <c r="AJ84" s="110"/>
      <c r="AK84" s="110"/>
      <c r="AL84" s="111"/>
      <c r="AM84" s="111"/>
      <c r="AN84" s="111"/>
      <c r="AO84" s="111"/>
      <c r="AP84" s="111"/>
      <c r="AQ84" s="111"/>
      <c r="AR84" s="111"/>
    </row>
    <row r="85" s="13" customFormat="1" customHeight="1" spans="1:44">
      <c r="A85" s="89"/>
      <c r="B85" s="90"/>
      <c r="C85" s="253"/>
      <c r="D85" s="94"/>
      <c r="E85" s="94"/>
      <c r="F85" s="94"/>
      <c r="G85" s="92"/>
      <c r="H85" s="93"/>
      <c r="I85" s="94"/>
      <c r="J85" s="109"/>
      <c r="K85" s="89"/>
      <c r="L85" s="89"/>
      <c r="M85" s="89"/>
      <c r="N85" s="89"/>
      <c r="O85" s="96"/>
      <c r="P85" s="89"/>
      <c r="Q85" s="89"/>
      <c r="R85" s="89"/>
      <c r="S85" s="110"/>
      <c r="T85" s="90"/>
      <c r="U85" s="111"/>
      <c r="V85" s="90"/>
      <c r="W85" s="112"/>
      <c r="X85" s="112"/>
      <c r="Y85" s="113"/>
      <c r="Z85" s="101"/>
      <c r="AA85" s="102"/>
      <c r="AB85" s="114"/>
      <c r="AC85" s="115"/>
      <c r="AD85" s="108"/>
      <c r="AE85" s="116"/>
      <c r="AF85" s="111"/>
      <c r="AG85" s="110"/>
      <c r="AH85" s="110"/>
      <c r="AI85" s="110"/>
      <c r="AJ85" s="110"/>
      <c r="AK85" s="110"/>
      <c r="AL85" s="111"/>
      <c r="AM85" s="111"/>
      <c r="AN85" s="111"/>
      <c r="AO85" s="111"/>
      <c r="AP85" s="111"/>
      <c r="AQ85" s="111"/>
      <c r="AR85" s="111"/>
    </row>
    <row r="86" s="13" customFormat="1" customHeight="1" spans="1:44">
      <c r="A86" s="89"/>
      <c r="B86" s="90"/>
      <c r="C86" s="253"/>
      <c r="D86" s="94"/>
      <c r="E86" s="94"/>
      <c r="F86" s="94"/>
      <c r="G86" s="92"/>
      <c r="H86" s="93"/>
      <c r="I86" s="94"/>
      <c r="J86" s="109"/>
      <c r="K86" s="89"/>
      <c r="L86" s="89"/>
      <c r="M86" s="89"/>
      <c r="N86" s="89"/>
      <c r="O86" s="96"/>
      <c r="P86" s="89"/>
      <c r="Q86" s="89"/>
      <c r="R86" s="89"/>
      <c r="S86" s="110"/>
      <c r="T86" s="90"/>
      <c r="U86" s="111"/>
      <c r="V86" s="90"/>
      <c r="W86" s="112"/>
      <c r="X86" s="112"/>
      <c r="Y86" s="113"/>
      <c r="Z86" s="101"/>
      <c r="AA86" s="102"/>
      <c r="AB86" s="114"/>
      <c r="AC86" s="115"/>
      <c r="AD86" s="108"/>
      <c r="AE86" s="116"/>
      <c r="AF86" s="111"/>
      <c r="AG86" s="110"/>
      <c r="AH86" s="110"/>
      <c r="AI86" s="110"/>
      <c r="AJ86" s="110"/>
      <c r="AK86" s="110"/>
      <c r="AL86" s="111"/>
      <c r="AM86" s="111"/>
      <c r="AN86" s="111"/>
      <c r="AO86" s="111"/>
      <c r="AP86" s="111"/>
      <c r="AQ86" s="111"/>
      <c r="AR86" s="111"/>
    </row>
    <row r="87" s="13" customFormat="1" customHeight="1" spans="1:44">
      <c r="A87" s="89"/>
      <c r="B87" s="90"/>
      <c r="C87" s="253"/>
      <c r="D87" s="94"/>
      <c r="E87" s="94"/>
      <c r="F87" s="94"/>
      <c r="G87" s="92"/>
      <c r="H87" s="93"/>
      <c r="I87" s="94"/>
      <c r="J87" s="109"/>
      <c r="K87" s="89"/>
      <c r="L87" s="89"/>
      <c r="M87" s="89"/>
      <c r="N87" s="89"/>
      <c r="O87" s="96"/>
      <c r="P87" s="89"/>
      <c r="Q87" s="89"/>
      <c r="R87" s="89"/>
      <c r="S87" s="110"/>
      <c r="T87" s="90"/>
      <c r="U87" s="111"/>
      <c r="V87" s="90"/>
      <c r="W87" s="112"/>
      <c r="X87" s="112"/>
      <c r="Y87" s="113"/>
      <c r="Z87" s="101"/>
      <c r="AA87" s="102"/>
      <c r="AB87" s="114"/>
      <c r="AC87" s="115"/>
      <c r="AD87" s="108"/>
      <c r="AE87" s="116"/>
      <c r="AF87" s="111"/>
      <c r="AG87" s="110"/>
      <c r="AH87" s="110"/>
      <c r="AI87" s="110"/>
      <c r="AJ87" s="110"/>
      <c r="AK87" s="110"/>
      <c r="AL87" s="111"/>
      <c r="AM87" s="111"/>
      <c r="AN87" s="111"/>
      <c r="AO87" s="111"/>
      <c r="AP87" s="111"/>
      <c r="AQ87" s="111"/>
      <c r="AR87" s="111"/>
    </row>
    <row r="88" s="13" customFormat="1" customHeight="1" spans="1:44">
      <c r="A88" s="89"/>
      <c r="B88" s="90"/>
      <c r="C88" s="253"/>
      <c r="D88" s="94"/>
      <c r="E88" s="94"/>
      <c r="F88" s="94"/>
      <c r="G88" s="92"/>
      <c r="H88" s="93"/>
      <c r="I88" s="94"/>
      <c r="J88" s="109"/>
      <c r="K88" s="89"/>
      <c r="L88" s="89"/>
      <c r="M88" s="89"/>
      <c r="N88" s="89"/>
      <c r="O88" s="96"/>
      <c r="P88" s="89"/>
      <c r="Q88" s="89"/>
      <c r="R88" s="89"/>
      <c r="S88" s="110"/>
      <c r="T88" s="90"/>
      <c r="U88" s="111"/>
      <c r="V88" s="90"/>
      <c r="W88" s="112"/>
      <c r="X88" s="112"/>
      <c r="Y88" s="113"/>
      <c r="Z88" s="101"/>
      <c r="AA88" s="102"/>
      <c r="AB88" s="114"/>
      <c r="AC88" s="115"/>
      <c r="AD88" s="108"/>
      <c r="AE88" s="116"/>
      <c r="AF88" s="111"/>
      <c r="AG88" s="110"/>
      <c r="AH88" s="110"/>
      <c r="AI88" s="110"/>
      <c r="AJ88" s="110"/>
      <c r="AK88" s="110"/>
      <c r="AL88" s="111"/>
      <c r="AM88" s="111"/>
      <c r="AN88" s="111"/>
      <c r="AO88" s="111"/>
      <c r="AP88" s="111"/>
      <c r="AQ88" s="111"/>
      <c r="AR88" s="111"/>
    </row>
    <row r="89" s="13" customFormat="1" customHeight="1" spans="1:44">
      <c r="A89" s="89"/>
      <c r="B89" s="90"/>
      <c r="C89" s="253"/>
      <c r="D89" s="94"/>
      <c r="E89" s="94"/>
      <c r="F89" s="94"/>
      <c r="G89" s="92"/>
      <c r="H89" s="93"/>
      <c r="I89" s="94"/>
      <c r="J89" s="109"/>
      <c r="K89" s="89"/>
      <c r="L89" s="89"/>
      <c r="M89" s="89"/>
      <c r="N89" s="89"/>
      <c r="O89" s="96"/>
      <c r="P89" s="89"/>
      <c r="Q89" s="89"/>
      <c r="R89" s="89"/>
      <c r="S89" s="110"/>
      <c r="T89" s="90"/>
      <c r="U89" s="111"/>
      <c r="V89" s="90"/>
      <c r="W89" s="112"/>
      <c r="X89" s="112"/>
      <c r="Y89" s="113"/>
      <c r="Z89" s="101"/>
      <c r="AA89" s="102"/>
      <c r="AB89" s="114"/>
      <c r="AC89" s="115"/>
      <c r="AD89" s="108"/>
      <c r="AE89" s="116"/>
      <c r="AF89" s="111"/>
      <c r="AG89" s="110"/>
      <c r="AH89" s="110"/>
      <c r="AI89" s="110"/>
      <c r="AJ89" s="110"/>
      <c r="AK89" s="110"/>
      <c r="AL89" s="111"/>
      <c r="AM89" s="111"/>
      <c r="AN89" s="111"/>
      <c r="AO89" s="111"/>
      <c r="AP89" s="111"/>
      <c r="AQ89" s="111"/>
      <c r="AR89" s="111"/>
    </row>
    <row r="90" s="13" customFormat="1" customHeight="1" spans="1:44">
      <c r="A90" s="89"/>
      <c r="B90" s="90"/>
      <c r="C90" s="253"/>
      <c r="D90" s="94"/>
      <c r="E90" s="94"/>
      <c r="F90" s="94"/>
      <c r="G90" s="92"/>
      <c r="H90" s="93"/>
      <c r="I90" s="94"/>
      <c r="J90" s="109"/>
      <c r="K90" s="89"/>
      <c r="L90" s="89"/>
      <c r="M90" s="89"/>
      <c r="N90" s="89"/>
      <c r="O90" s="96"/>
      <c r="P90" s="89"/>
      <c r="Q90" s="89"/>
      <c r="R90" s="89"/>
      <c r="S90" s="110"/>
      <c r="T90" s="90"/>
      <c r="U90" s="111"/>
      <c r="V90" s="90"/>
      <c r="W90" s="112"/>
      <c r="X90" s="112"/>
      <c r="Y90" s="113"/>
      <c r="Z90" s="101"/>
      <c r="AA90" s="102"/>
      <c r="AB90" s="114"/>
      <c r="AC90" s="115"/>
      <c r="AD90" s="108"/>
      <c r="AE90" s="116"/>
      <c r="AF90" s="111"/>
      <c r="AG90" s="110"/>
      <c r="AH90" s="110"/>
      <c r="AI90" s="110"/>
      <c r="AJ90" s="110"/>
      <c r="AK90" s="110"/>
      <c r="AL90" s="111"/>
      <c r="AM90" s="111"/>
      <c r="AN90" s="111"/>
      <c r="AO90" s="111"/>
      <c r="AP90" s="111"/>
      <c r="AQ90" s="111"/>
      <c r="AR90" s="111"/>
    </row>
    <row r="91" s="13" customFormat="1" customHeight="1" spans="1:44">
      <c r="A91" s="89"/>
      <c r="B91" s="90"/>
      <c r="C91" s="253"/>
      <c r="D91" s="94"/>
      <c r="E91" s="94"/>
      <c r="F91" s="94"/>
      <c r="G91" s="92"/>
      <c r="H91" s="93"/>
      <c r="I91" s="94"/>
      <c r="J91" s="109"/>
      <c r="K91" s="89"/>
      <c r="L91" s="89"/>
      <c r="M91" s="89"/>
      <c r="N91" s="89"/>
      <c r="O91" s="96"/>
      <c r="P91" s="89"/>
      <c r="Q91" s="89"/>
      <c r="R91" s="89"/>
      <c r="S91" s="110"/>
      <c r="T91" s="90"/>
      <c r="U91" s="111"/>
      <c r="V91" s="90"/>
      <c r="W91" s="112"/>
      <c r="X91" s="112"/>
      <c r="Y91" s="113"/>
      <c r="Z91" s="101"/>
      <c r="AA91" s="102"/>
      <c r="AB91" s="114"/>
      <c r="AC91" s="115"/>
      <c r="AD91" s="108"/>
      <c r="AE91" s="116"/>
      <c r="AF91" s="111"/>
      <c r="AG91" s="110"/>
      <c r="AH91" s="110"/>
      <c r="AI91" s="110"/>
      <c r="AJ91" s="110"/>
      <c r="AK91" s="110"/>
      <c r="AL91" s="111"/>
      <c r="AM91" s="111"/>
      <c r="AN91" s="111"/>
      <c r="AO91" s="111"/>
      <c r="AP91" s="111"/>
      <c r="AQ91" s="111"/>
      <c r="AR91" s="111"/>
    </row>
    <row r="92" s="13" customFormat="1" customHeight="1" spans="1:44">
      <c r="A92" s="89"/>
      <c r="B92" s="90"/>
      <c r="C92" s="253"/>
      <c r="D92" s="94"/>
      <c r="E92" s="94"/>
      <c r="F92" s="94"/>
      <c r="G92" s="92"/>
      <c r="H92" s="93"/>
      <c r="I92" s="94"/>
      <c r="J92" s="109"/>
      <c r="K92" s="89"/>
      <c r="L92" s="89"/>
      <c r="M92" s="89"/>
      <c r="N92" s="89"/>
      <c r="O92" s="96"/>
      <c r="P92" s="89"/>
      <c r="Q92" s="89"/>
      <c r="R92" s="89"/>
      <c r="S92" s="110"/>
      <c r="T92" s="90"/>
      <c r="U92" s="111"/>
      <c r="V92" s="90"/>
      <c r="W92" s="112"/>
      <c r="X92" s="112"/>
      <c r="Y92" s="113"/>
      <c r="Z92" s="101"/>
      <c r="AA92" s="102"/>
      <c r="AB92" s="114"/>
      <c r="AC92" s="115"/>
      <c r="AD92" s="108"/>
      <c r="AE92" s="116"/>
      <c r="AF92" s="111"/>
      <c r="AG92" s="110"/>
      <c r="AH92" s="110"/>
      <c r="AI92" s="110"/>
      <c r="AJ92" s="110"/>
      <c r="AK92" s="110"/>
      <c r="AL92" s="111"/>
      <c r="AM92" s="111"/>
      <c r="AN92" s="111"/>
      <c r="AO92" s="111"/>
      <c r="AP92" s="111"/>
      <c r="AQ92" s="111"/>
      <c r="AR92" s="111"/>
    </row>
    <row r="93" s="13" customFormat="1" customHeight="1" spans="1:44">
      <c r="A93" s="89"/>
      <c r="B93" s="90"/>
      <c r="C93" s="253"/>
      <c r="D93" s="94"/>
      <c r="E93" s="94"/>
      <c r="F93" s="94"/>
      <c r="G93" s="92"/>
      <c r="H93" s="93"/>
      <c r="I93" s="94"/>
      <c r="J93" s="109"/>
      <c r="K93" s="89"/>
      <c r="L93" s="89"/>
      <c r="M93" s="89"/>
      <c r="N93" s="89"/>
      <c r="O93" s="96"/>
      <c r="P93" s="89"/>
      <c r="Q93" s="89"/>
      <c r="R93" s="89"/>
      <c r="S93" s="110"/>
      <c r="T93" s="90"/>
      <c r="U93" s="111"/>
      <c r="V93" s="90"/>
      <c r="W93" s="112"/>
      <c r="X93" s="112"/>
      <c r="Y93" s="113"/>
      <c r="Z93" s="101"/>
      <c r="AA93" s="102"/>
      <c r="AB93" s="114"/>
      <c r="AC93" s="115"/>
      <c r="AD93" s="108"/>
      <c r="AE93" s="116"/>
      <c r="AF93" s="111"/>
      <c r="AG93" s="110"/>
      <c r="AH93" s="110"/>
      <c r="AI93" s="110"/>
      <c r="AJ93" s="110"/>
      <c r="AK93" s="110"/>
      <c r="AL93" s="111"/>
      <c r="AM93" s="111"/>
      <c r="AN93" s="111"/>
      <c r="AO93" s="111"/>
      <c r="AP93" s="111"/>
      <c r="AQ93" s="111"/>
      <c r="AR93" s="111"/>
    </row>
    <row r="94" s="13" customFormat="1" customHeight="1" spans="1:44">
      <c r="A94" s="89"/>
      <c r="B94" s="90"/>
      <c r="C94" s="253"/>
      <c r="D94" s="94"/>
      <c r="E94" s="94"/>
      <c r="F94" s="94"/>
      <c r="G94" s="92"/>
      <c r="H94" s="93"/>
      <c r="I94" s="94"/>
      <c r="J94" s="109"/>
      <c r="K94" s="89"/>
      <c r="L94" s="89"/>
      <c r="M94" s="89"/>
      <c r="N94" s="89"/>
      <c r="O94" s="96"/>
      <c r="P94" s="89"/>
      <c r="Q94" s="89"/>
      <c r="R94" s="89"/>
      <c r="S94" s="110"/>
      <c r="T94" s="90"/>
      <c r="U94" s="111"/>
      <c r="V94" s="90"/>
      <c r="W94" s="112"/>
      <c r="X94" s="112"/>
      <c r="Y94" s="113"/>
      <c r="Z94" s="101"/>
      <c r="AA94" s="102"/>
      <c r="AB94" s="114"/>
      <c r="AC94" s="115"/>
      <c r="AD94" s="108"/>
      <c r="AE94" s="116"/>
      <c r="AF94" s="111"/>
      <c r="AG94" s="110"/>
      <c r="AH94" s="110"/>
      <c r="AI94" s="110"/>
      <c r="AJ94" s="110"/>
      <c r="AK94" s="110"/>
      <c r="AL94" s="111"/>
      <c r="AM94" s="111"/>
      <c r="AN94" s="111"/>
      <c r="AO94" s="111"/>
      <c r="AP94" s="111"/>
      <c r="AQ94" s="111"/>
      <c r="AR94" s="111"/>
    </row>
    <row r="95" s="13" customFormat="1" customHeight="1" spans="1:44">
      <c r="A95" s="89"/>
      <c r="B95" s="90"/>
      <c r="C95" s="253"/>
      <c r="D95" s="94"/>
      <c r="E95" s="94"/>
      <c r="F95" s="94"/>
      <c r="G95" s="92"/>
      <c r="H95" s="93"/>
      <c r="I95" s="94"/>
      <c r="J95" s="109"/>
      <c r="K95" s="89"/>
      <c r="L95" s="89"/>
      <c r="M95" s="89"/>
      <c r="N95" s="89"/>
      <c r="O95" s="96"/>
      <c r="P95" s="89"/>
      <c r="Q95" s="89"/>
      <c r="R95" s="89"/>
      <c r="S95" s="110"/>
      <c r="T95" s="90"/>
      <c r="U95" s="111"/>
      <c r="V95" s="90"/>
      <c r="W95" s="112"/>
      <c r="X95" s="112"/>
      <c r="Y95" s="113"/>
      <c r="Z95" s="101"/>
      <c r="AA95" s="102"/>
      <c r="AB95" s="114"/>
      <c r="AC95" s="115"/>
      <c r="AD95" s="108"/>
      <c r="AE95" s="116"/>
      <c r="AF95" s="111"/>
      <c r="AG95" s="110"/>
      <c r="AH95" s="110"/>
      <c r="AI95" s="110"/>
      <c r="AJ95" s="110"/>
      <c r="AK95" s="110"/>
      <c r="AL95" s="111"/>
      <c r="AM95" s="111"/>
      <c r="AN95" s="111"/>
      <c r="AO95" s="111"/>
      <c r="AP95" s="111"/>
      <c r="AQ95" s="111"/>
      <c r="AR95" s="111"/>
    </row>
    <row r="96" s="13" customFormat="1" customHeight="1" spans="1:44">
      <c r="A96" s="89"/>
      <c r="B96" s="90"/>
      <c r="C96" s="253"/>
      <c r="D96" s="94"/>
      <c r="E96" s="94"/>
      <c r="F96" s="94"/>
      <c r="G96" s="92"/>
      <c r="H96" s="93"/>
      <c r="I96" s="94"/>
      <c r="J96" s="109"/>
      <c r="K96" s="89"/>
      <c r="L96" s="89"/>
      <c r="M96" s="89"/>
      <c r="N96" s="89"/>
      <c r="O96" s="96"/>
      <c r="P96" s="89"/>
      <c r="Q96" s="89"/>
      <c r="R96" s="89"/>
      <c r="S96" s="110"/>
      <c r="T96" s="90"/>
      <c r="U96" s="111"/>
      <c r="V96" s="90"/>
      <c r="W96" s="112"/>
      <c r="X96" s="112"/>
      <c r="Y96" s="113"/>
      <c r="Z96" s="101"/>
      <c r="AA96" s="102"/>
      <c r="AB96" s="114"/>
      <c r="AC96" s="115"/>
      <c r="AD96" s="108"/>
      <c r="AE96" s="116"/>
      <c r="AF96" s="111"/>
      <c r="AG96" s="110"/>
      <c r="AH96" s="110"/>
      <c r="AI96" s="110"/>
      <c r="AJ96" s="110"/>
      <c r="AK96" s="110"/>
      <c r="AL96" s="111"/>
      <c r="AM96" s="111"/>
      <c r="AN96" s="111"/>
      <c r="AO96" s="111"/>
      <c r="AP96" s="111"/>
      <c r="AQ96" s="111"/>
      <c r="AR96" s="111"/>
    </row>
    <row r="97" s="13" customFormat="1" customHeight="1" spans="1:44">
      <c r="A97" s="89"/>
      <c r="B97" s="90"/>
      <c r="C97" s="253"/>
      <c r="D97" s="94"/>
      <c r="E97" s="94"/>
      <c r="F97" s="94"/>
      <c r="G97" s="92"/>
      <c r="H97" s="93"/>
      <c r="I97" s="94"/>
      <c r="J97" s="109"/>
      <c r="K97" s="89"/>
      <c r="L97" s="89"/>
      <c r="M97" s="89"/>
      <c r="N97" s="89"/>
      <c r="O97" s="96"/>
      <c r="P97" s="89"/>
      <c r="Q97" s="89"/>
      <c r="R97" s="89"/>
      <c r="S97" s="110"/>
      <c r="T97" s="90"/>
      <c r="U97" s="111"/>
      <c r="V97" s="90"/>
      <c r="W97" s="112"/>
      <c r="X97" s="112"/>
      <c r="Y97" s="113"/>
      <c r="Z97" s="101"/>
      <c r="AA97" s="102"/>
      <c r="AB97" s="114"/>
      <c r="AC97" s="115"/>
      <c r="AD97" s="108"/>
      <c r="AE97" s="116"/>
      <c r="AF97" s="111"/>
      <c r="AG97" s="110"/>
      <c r="AH97" s="110"/>
      <c r="AI97" s="110"/>
      <c r="AJ97" s="110"/>
      <c r="AK97" s="110"/>
      <c r="AL97" s="111"/>
      <c r="AM97" s="111"/>
      <c r="AN97" s="111"/>
      <c r="AO97" s="111"/>
      <c r="AP97" s="111"/>
      <c r="AQ97" s="111"/>
      <c r="AR97" s="111"/>
    </row>
    <row r="98" s="13" customFormat="1" customHeight="1" spans="1:44">
      <c r="A98" s="89"/>
      <c r="B98" s="90"/>
      <c r="C98" s="253"/>
      <c r="D98" s="94"/>
      <c r="E98" s="94"/>
      <c r="F98" s="94"/>
      <c r="G98" s="92"/>
      <c r="H98" s="93"/>
      <c r="I98" s="94"/>
      <c r="J98" s="109"/>
      <c r="K98" s="89"/>
      <c r="L98" s="89"/>
      <c r="M98" s="89"/>
      <c r="N98" s="89"/>
      <c r="O98" s="96"/>
      <c r="P98" s="89"/>
      <c r="Q98" s="89"/>
      <c r="R98" s="89"/>
      <c r="S98" s="110"/>
      <c r="T98" s="90"/>
      <c r="U98" s="111"/>
      <c r="V98" s="90"/>
      <c r="W98" s="112"/>
      <c r="X98" s="112"/>
      <c r="Y98" s="113"/>
      <c r="Z98" s="101"/>
      <c r="AA98" s="102"/>
      <c r="AB98" s="114"/>
      <c r="AC98" s="115"/>
      <c r="AD98" s="108"/>
      <c r="AE98" s="116"/>
      <c r="AF98" s="111"/>
      <c r="AG98" s="110"/>
      <c r="AH98" s="110"/>
      <c r="AI98" s="110"/>
      <c r="AJ98" s="110"/>
      <c r="AK98" s="110"/>
      <c r="AL98" s="111"/>
      <c r="AM98" s="111"/>
      <c r="AN98" s="111"/>
      <c r="AO98" s="111"/>
      <c r="AP98" s="111"/>
      <c r="AQ98" s="111"/>
      <c r="AR98" s="111"/>
    </row>
    <row r="99" s="13" customFormat="1" customHeight="1" spans="1:44">
      <c r="A99" s="89"/>
      <c r="B99" s="90"/>
      <c r="C99" s="253"/>
      <c r="D99" s="94"/>
      <c r="E99" s="94"/>
      <c r="F99" s="94"/>
      <c r="G99" s="92"/>
      <c r="H99" s="93"/>
      <c r="I99" s="94"/>
      <c r="J99" s="109"/>
      <c r="K99" s="89"/>
      <c r="L99" s="89"/>
      <c r="M99" s="89"/>
      <c r="N99" s="89"/>
      <c r="O99" s="96"/>
      <c r="P99" s="89"/>
      <c r="Q99" s="89"/>
      <c r="R99" s="89"/>
      <c r="S99" s="110"/>
      <c r="T99" s="90"/>
      <c r="U99" s="111"/>
      <c r="V99" s="90"/>
      <c r="W99" s="112"/>
      <c r="X99" s="112"/>
      <c r="Y99" s="113"/>
      <c r="Z99" s="101"/>
      <c r="AA99" s="102"/>
      <c r="AB99" s="114"/>
      <c r="AC99" s="115"/>
      <c r="AD99" s="108"/>
      <c r="AE99" s="116"/>
      <c r="AF99" s="111"/>
      <c r="AG99" s="110"/>
      <c r="AH99" s="110"/>
      <c r="AI99" s="110"/>
      <c r="AJ99" s="110"/>
      <c r="AK99" s="110"/>
      <c r="AL99" s="111"/>
      <c r="AM99" s="111"/>
      <c r="AN99" s="111"/>
      <c r="AO99" s="111"/>
      <c r="AP99" s="111"/>
      <c r="AQ99" s="111"/>
      <c r="AR99" s="111"/>
    </row>
    <row r="100" s="13" customFormat="1" customHeight="1" spans="1:44">
      <c r="A100" s="89"/>
      <c r="B100" s="90"/>
      <c r="C100" s="253"/>
      <c r="D100" s="94"/>
      <c r="E100" s="94"/>
      <c r="F100" s="94"/>
      <c r="G100" s="92"/>
      <c r="H100" s="93"/>
      <c r="I100" s="94"/>
      <c r="J100" s="109"/>
      <c r="K100" s="89"/>
      <c r="L100" s="89"/>
      <c r="M100" s="89"/>
      <c r="N100" s="89"/>
      <c r="O100" s="96"/>
      <c r="P100" s="89"/>
      <c r="Q100" s="89"/>
      <c r="R100" s="89"/>
      <c r="S100" s="110"/>
      <c r="T100" s="90"/>
      <c r="U100" s="111"/>
      <c r="V100" s="90"/>
      <c r="W100" s="112"/>
      <c r="X100" s="112"/>
      <c r="Y100" s="113"/>
      <c r="Z100" s="101"/>
      <c r="AA100" s="102"/>
      <c r="AB100" s="114"/>
      <c r="AC100" s="115"/>
      <c r="AD100" s="108"/>
      <c r="AE100" s="116"/>
      <c r="AF100" s="111"/>
      <c r="AG100" s="110"/>
      <c r="AH100" s="110"/>
      <c r="AI100" s="110"/>
      <c r="AJ100" s="110"/>
      <c r="AK100" s="110"/>
      <c r="AL100" s="111"/>
      <c r="AM100" s="111"/>
      <c r="AN100" s="111"/>
      <c r="AO100" s="111"/>
      <c r="AP100" s="111"/>
      <c r="AQ100" s="111"/>
      <c r="AR100" s="111"/>
    </row>
    <row r="101" s="13" customFormat="1" customHeight="1" spans="1:44">
      <c r="A101" s="89"/>
      <c r="B101" s="90"/>
      <c r="C101" s="253"/>
      <c r="D101" s="94"/>
      <c r="E101" s="94"/>
      <c r="F101" s="94"/>
      <c r="G101" s="92"/>
      <c r="H101" s="93"/>
      <c r="I101" s="94"/>
      <c r="J101" s="109"/>
      <c r="K101" s="89"/>
      <c r="L101" s="89"/>
      <c r="M101" s="89"/>
      <c r="N101" s="89"/>
      <c r="O101" s="96"/>
      <c r="P101" s="89"/>
      <c r="Q101" s="89"/>
      <c r="R101" s="89"/>
      <c r="S101" s="110"/>
      <c r="T101" s="90"/>
      <c r="U101" s="111"/>
      <c r="V101" s="90"/>
      <c r="W101" s="112"/>
      <c r="X101" s="112"/>
      <c r="Y101" s="113"/>
      <c r="Z101" s="101"/>
      <c r="AA101" s="102"/>
      <c r="AB101" s="114"/>
      <c r="AC101" s="115"/>
      <c r="AD101" s="108"/>
      <c r="AE101" s="116"/>
      <c r="AF101" s="111"/>
      <c r="AG101" s="110"/>
      <c r="AH101" s="110"/>
      <c r="AI101" s="110"/>
      <c r="AJ101" s="110"/>
      <c r="AK101" s="110"/>
      <c r="AL101" s="111"/>
      <c r="AM101" s="111"/>
      <c r="AN101" s="111"/>
      <c r="AO101" s="111"/>
      <c r="AP101" s="111"/>
      <c r="AQ101" s="111"/>
      <c r="AR101" s="111"/>
    </row>
    <row r="102" s="13" customFormat="1" customHeight="1" spans="1:44">
      <c r="A102" s="89"/>
      <c r="B102" s="90"/>
      <c r="C102" s="253"/>
      <c r="D102" s="94"/>
      <c r="E102" s="94"/>
      <c r="F102" s="94"/>
      <c r="G102" s="92"/>
      <c r="H102" s="93"/>
      <c r="I102" s="94"/>
      <c r="J102" s="109"/>
      <c r="K102" s="89"/>
      <c r="L102" s="89"/>
      <c r="M102" s="89"/>
      <c r="N102" s="89"/>
      <c r="O102" s="96"/>
      <c r="P102" s="89"/>
      <c r="Q102" s="89"/>
      <c r="R102" s="89"/>
      <c r="S102" s="110"/>
      <c r="T102" s="90"/>
      <c r="U102" s="111"/>
      <c r="V102" s="90"/>
      <c r="W102" s="112"/>
      <c r="X102" s="112"/>
      <c r="Y102" s="113"/>
      <c r="Z102" s="101"/>
      <c r="AA102" s="102"/>
      <c r="AB102" s="114"/>
      <c r="AC102" s="115"/>
      <c r="AD102" s="108"/>
      <c r="AE102" s="116"/>
      <c r="AF102" s="111"/>
      <c r="AG102" s="110"/>
      <c r="AH102" s="110"/>
      <c r="AI102" s="110"/>
      <c r="AJ102" s="110"/>
      <c r="AK102" s="110"/>
      <c r="AL102" s="111"/>
      <c r="AM102" s="111"/>
      <c r="AN102" s="111"/>
      <c r="AO102" s="111"/>
      <c r="AP102" s="111"/>
      <c r="AQ102" s="111"/>
      <c r="AR102" s="111"/>
    </row>
    <row r="103" s="13" customFormat="1" customHeight="1" spans="1:44">
      <c r="A103" s="89"/>
      <c r="B103" s="90"/>
      <c r="C103" s="253"/>
      <c r="D103" s="94"/>
      <c r="E103" s="94"/>
      <c r="F103" s="94"/>
      <c r="G103" s="92"/>
      <c r="H103" s="93"/>
      <c r="I103" s="94"/>
      <c r="J103" s="109"/>
      <c r="K103" s="89"/>
      <c r="L103" s="89"/>
      <c r="M103" s="89"/>
      <c r="N103" s="89"/>
      <c r="O103" s="96"/>
      <c r="P103" s="89"/>
      <c r="Q103" s="89"/>
      <c r="R103" s="89"/>
      <c r="S103" s="110"/>
      <c r="T103" s="90"/>
      <c r="U103" s="111"/>
      <c r="V103" s="90"/>
      <c r="W103" s="112"/>
      <c r="X103" s="112"/>
      <c r="Y103" s="113"/>
      <c r="Z103" s="101"/>
      <c r="AA103" s="102"/>
      <c r="AB103" s="114"/>
      <c r="AC103" s="115"/>
      <c r="AD103" s="108"/>
      <c r="AE103" s="116"/>
      <c r="AF103" s="111"/>
      <c r="AG103" s="110"/>
      <c r="AH103" s="110"/>
      <c r="AI103" s="110"/>
      <c r="AJ103" s="110"/>
      <c r="AK103" s="110"/>
      <c r="AL103" s="111"/>
      <c r="AM103" s="111"/>
      <c r="AN103" s="111"/>
      <c r="AO103" s="111"/>
      <c r="AP103" s="111"/>
      <c r="AQ103" s="111"/>
      <c r="AR103" s="111"/>
    </row>
    <row r="104" s="13" customFormat="1" customHeight="1" spans="1:44">
      <c r="A104" s="89"/>
      <c r="B104" s="90"/>
      <c r="C104" s="253"/>
      <c r="D104" s="94"/>
      <c r="E104" s="94"/>
      <c r="F104" s="94"/>
      <c r="G104" s="92"/>
      <c r="H104" s="93"/>
      <c r="I104" s="94"/>
      <c r="J104" s="109"/>
      <c r="K104" s="89"/>
      <c r="L104" s="89"/>
      <c r="M104" s="89"/>
      <c r="N104" s="89"/>
      <c r="O104" s="96"/>
      <c r="P104" s="89"/>
      <c r="Q104" s="89"/>
      <c r="R104" s="89"/>
      <c r="S104" s="110"/>
      <c r="T104" s="90"/>
      <c r="U104" s="111"/>
      <c r="V104" s="90"/>
      <c r="W104" s="112"/>
      <c r="X104" s="112"/>
      <c r="Y104" s="113"/>
      <c r="Z104" s="101"/>
      <c r="AA104" s="102"/>
      <c r="AB104" s="114"/>
      <c r="AC104" s="115"/>
      <c r="AD104" s="108"/>
      <c r="AE104" s="116"/>
      <c r="AF104" s="111"/>
      <c r="AG104" s="110"/>
      <c r="AH104" s="110"/>
      <c r="AI104" s="110"/>
      <c r="AJ104" s="110"/>
      <c r="AK104" s="110"/>
      <c r="AL104" s="111"/>
      <c r="AM104" s="111"/>
      <c r="AN104" s="111"/>
      <c r="AO104" s="111"/>
      <c r="AP104" s="111"/>
      <c r="AQ104" s="111"/>
      <c r="AR104" s="111"/>
    </row>
    <row r="105" s="13" customFormat="1" customHeight="1" spans="1:44">
      <c r="A105" s="89"/>
      <c r="B105" s="90"/>
      <c r="C105" s="253"/>
      <c r="D105" s="94"/>
      <c r="E105" s="94"/>
      <c r="F105" s="94"/>
      <c r="G105" s="92"/>
      <c r="H105" s="93"/>
      <c r="I105" s="94"/>
      <c r="J105" s="109"/>
      <c r="K105" s="89"/>
      <c r="L105" s="89"/>
      <c r="M105" s="89"/>
      <c r="N105" s="89"/>
      <c r="O105" s="96"/>
      <c r="P105" s="89"/>
      <c r="Q105" s="89"/>
      <c r="R105" s="89"/>
      <c r="S105" s="110"/>
      <c r="T105" s="90"/>
      <c r="U105" s="111"/>
      <c r="V105" s="90"/>
      <c r="W105" s="112"/>
      <c r="X105" s="112"/>
      <c r="Y105" s="113"/>
      <c r="Z105" s="101"/>
      <c r="AA105" s="102"/>
      <c r="AB105" s="114"/>
      <c r="AC105" s="115"/>
      <c r="AD105" s="108"/>
      <c r="AE105" s="116"/>
      <c r="AF105" s="111"/>
      <c r="AG105" s="110"/>
      <c r="AH105" s="110"/>
      <c r="AI105" s="110"/>
      <c r="AJ105" s="110"/>
      <c r="AK105" s="110"/>
      <c r="AL105" s="111"/>
      <c r="AM105" s="111"/>
      <c r="AN105" s="111"/>
      <c r="AO105" s="111"/>
      <c r="AP105" s="111"/>
      <c r="AQ105" s="111"/>
      <c r="AR105" s="111"/>
    </row>
    <row r="106" s="13" customFormat="1" customHeight="1" spans="1:44">
      <c r="A106" s="89"/>
      <c r="B106" s="90"/>
      <c r="C106" s="253"/>
      <c r="D106" s="94"/>
      <c r="E106" s="94"/>
      <c r="F106" s="94"/>
      <c r="G106" s="92"/>
      <c r="H106" s="93"/>
      <c r="I106" s="94"/>
      <c r="J106" s="109"/>
      <c r="K106" s="89"/>
      <c r="L106" s="89"/>
      <c r="M106" s="89"/>
      <c r="N106" s="89"/>
      <c r="O106" s="96"/>
      <c r="P106" s="89"/>
      <c r="Q106" s="89"/>
      <c r="R106" s="89"/>
      <c r="S106" s="110"/>
      <c r="T106" s="90"/>
      <c r="U106" s="111"/>
      <c r="V106" s="90"/>
      <c r="W106" s="112"/>
      <c r="X106" s="112"/>
      <c r="Y106" s="113"/>
      <c r="Z106" s="101"/>
      <c r="AA106" s="102"/>
      <c r="AB106" s="114"/>
      <c r="AC106" s="115"/>
      <c r="AD106" s="108"/>
      <c r="AE106" s="116"/>
      <c r="AF106" s="111"/>
      <c r="AG106" s="110"/>
      <c r="AH106" s="110"/>
      <c r="AI106" s="110"/>
      <c r="AJ106" s="110"/>
      <c r="AK106" s="110"/>
      <c r="AL106" s="111"/>
      <c r="AM106" s="111"/>
      <c r="AN106" s="111"/>
      <c r="AO106" s="111"/>
      <c r="AP106" s="111"/>
      <c r="AQ106" s="111"/>
      <c r="AR106" s="111"/>
    </row>
    <row r="107" s="13" customFormat="1" customHeight="1" spans="1:44">
      <c r="A107" s="89"/>
      <c r="B107" s="90"/>
      <c r="C107" s="253"/>
      <c r="D107" s="94"/>
      <c r="E107" s="94"/>
      <c r="F107" s="94"/>
      <c r="G107" s="92"/>
      <c r="H107" s="93"/>
      <c r="I107" s="94"/>
      <c r="J107" s="109"/>
      <c r="K107" s="89"/>
      <c r="L107" s="89"/>
      <c r="M107" s="89"/>
      <c r="N107" s="89"/>
      <c r="O107" s="96"/>
      <c r="P107" s="89"/>
      <c r="Q107" s="89"/>
      <c r="R107" s="89"/>
      <c r="S107" s="110"/>
      <c r="T107" s="90"/>
      <c r="U107" s="111"/>
      <c r="V107" s="90"/>
      <c r="W107" s="112"/>
      <c r="X107" s="112"/>
      <c r="Y107" s="113"/>
      <c r="Z107" s="101"/>
      <c r="AA107" s="102"/>
      <c r="AB107" s="114"/>
      <c r="AC107" s="115"/>
      <c r="AD107" s="108"/>
      <c r="AE107" s="116"/>
      <c r="AF107" s="111"/>
      <c r="AG107" s="110"/>
      <c r="AH107" s="110"/>
      <c r="AI107" s="110"/>
      <c r="AJ107" s="110"/>
      <c r="AK107" s="110"/>
      <c r="AL107" s="111"/>
      <c r="AM107" s="111"/>
      <c r="AN107" s="111"/>
      <c r="AO107" s="111"/>
      <c r="AP107" s="111"/>
      <c r="AQ107" s="111"/>
      <c r="AR107" s="111"/>
    </row>
    <row r="108" s="13" customFormat="1" customHeight="1" spans="1:44">
      <c r="A108" s="89"/>
      <c r="B108" s="90"/>
      <c r="C108" s="253"/>
      <c r="D108" s="94"/>
      <c r="E108" s="94"/>
      <c r="F108" s="94"/>
      <c r="G108" s="92"/>
      <c r="H108" s="93"/>
      <c r="I108" s="94"/>
      <c r="J108" s="109"/>
      <c r="K108" s="89"/>
      <c r="L108" s="89"/>
      <c r="M108" s="89"/>
      <c r="N108" s="89"/>
      <c r="O108" s="96"/>
      <c r="P108" s="89"/>
      <c r="Q108" s="89"/>
      <c r="R108" s="89"/>
      <c r="S108" s="110"/>
      <c r="T108" s="90"/>
      <c r="U108" s="111"/>
      <c r="V108" s="90"/>
      <c r="W108" s="112"/>
      <c r="X108" s="112"/>
      <c r="Y108" s="113"/>
      <c r="Z108" s="101"/>
      <c r="AA108" s="102"/>
      <c r="AB108" s="114"/>
      <c r="AC108" s="115"/>
      <c r="AD108" s="108"/>
      <c r="AE108" s="116"/>
      <c r="AF108" s="111"/>
      <c r="AG108" s="110"/>
      <c r="AH108" s="110"/>
      <c r="AI108" s="110"/>
      <c r="AJ108" s="110"/>
      <c r="AK108" s="110"/>
      <c r="AL108" s="111"/>
      <c r="AM108" s="111"/>
      <c r="AN108" s="111"/>
      <c r="AO108" s="111"/>
      <c r="AP108" s="111"/>
      <c r="AQ108" s="111"/>
      <c r="AR108" s="111"/>
    </row>
    <row r="109" s="13" customFormat="1" customHeight="1" spans="1:44">
      <c r="A109" s="89"/>
      <c r="B109" s="90"/>
      <c r="C109" s="253"/>
      <c r="D109" s="94"/>
      <c r="E109" s="94"/>
      <c r="F109" s="94"/>
      <c r="G109" s="92"/>
      <c r="H109" s="93"/>
      <c r="I109" s="94"/>
      <c r="J109" s="109"/>
      <c r="K109" s="89"/>
      <c r="L109" s="89"/>
      <c r="M109" s="89"/>
      <c r="N109" s="89"/>
      <c r="O109" s="96"/>
      <c r="P109" s="89"/>
      <c r="Q109" s="89"/>
      <c r="R109" s="89"/>
      <c r="S109" s="110"/>
      <c r="T109" s="90"/>
      <c r="U109" s="111"/>
      <c r="V109" s="90"/>
      <c r="W109" s="112"/>
      <c r="X109" s="112"/>
      <c r="Y109" s="113"/>
      <c r="Z109" s="101"/>
      <c r="AA109" s="102"/>
      <c r="AB109" s="114"/>
      <c r="AC109" s="115"/>
      <c r="AD109" s="108"/>
      <c r="AE109" s="116"/>
      <c r="AF109" s="111"/>
      <c r="AG109" s="110"/>
      <c r="AH109" s="110"/>
      <c r="AI109" s="110"/>
      <c r="AJ109" s="110"/>
      <c r="AK109" s="110"/>
      <c r="AL109" s="111"/>
      <c r="AM109" s="111"/>
      <c r="AN109" s="111"/>
      <c r="AO109" s="111"/>
      <c r="AP109" s="111"/>
      <c r="AQ109" s="111"/>
      <c r="AR109" s="111"/>
    </row>
    <row r="110" s="13" customFormat="1" customHeight="1" spans="1:44">
      <c r="A110" s="89"/>
      <c r="B110" s="90"/>
      <c r="C110" s="253"/>
      <c r="D110" s="94"/>
      <c r="E110" s="94"/>
      <c r="F110" s="94"/>
      <c r="G110" s="92"/>
      <c r="H110" s="93"/>
      <c r="I110" s="94"/>
      <c r="J110" s="109"/>
      <c r="K110" s="89"/>
      <c r="L110" s="89"/>
      <c r="M110" s="89"/>
      <c r="N110" s="89"/>
      <c r="O110" s="96"/>
      <c r="P110" s="89"/>
      <c r="Q110" s="89"/>
      <c r="R110" s="89"/>
      <c r="S110" s="110"/>
      <c r="T110" s="90"/>
      <c r="U110" s="111"/>
      <c r="V110" s="90"/>
      <c r="W110" s="112"/>
      <c r="X110" s="112"/>
      <c r="Y110" s="113"/>
      <c r="Z110" s="101"/>
      <c r="AA110" s="102"/>
      <c r="AB110" s="114"/>
      <c r="AC110" s="115"/>
      <c r="AD110" s="108"/>
      <c r="AE110" s="116"/>
      <c r="AF110" s="111"/>
      <c r="AG110" s="110"/>
      <c r="AH110" s="110"/>
      <c r="AI110" s="110"/>
      <c r="AJ110" s="110"/>
      <c r="AK110" s="110"/>
      <c r="AL110" s="111"/>
      <c r="AM110" s="111"/>
      <c r="AN110" s="111"/>
      <c r="AO110" s="111"/>
      <c r="AP110" s="111"/>
      <c r="AQ110" s="111"/>
      <c r="AR110" s="111"/>
    </row>
    <row r="111" s="13" customFormat="1" customHeight="1" spans="1:44">
      <c r="A111" s="89"/>
      <c r="B111" s="90"/>
      <c r="C111" s="253"/>
      <c r="D111" s="94"/>
      <c r="E111" s="94"/>
      <c r="F111" s="94"/>
      <c r="G111" s="92"/>
      <c r="H111" s="93"/>
      <c r="I111" s="94"/>
      <c r="J111" s="109"/>
      <c r="K111" s="89"/>
      <c r="L111" s="89"/>
      <c r="M111" s="89"/>
      <c r="N111" s="89"/>
      <c r="O111" s="96"/>
      <c r="P111" s="89"/>
      <c r="Q111" s="89"/>
      <c r="R111" s="89"/>
      <c r="S111" s="110"/>
      <c r="T111" s="90"/>
      <c r="U111" s="111"/>
      <c r="V111" s="90"/>
      <c r="W111" s="112"/>
      <c r="X111" s="112"/>
      <c r="Y111" s="113"/>
      <c r="Z111" s="101"/>
      <c r="AA111" s="102"/>
      <c r="AB111" s="114"/>
      <c r="AC111" s="115"/>
      <c r="AD111" s="108"/>
      <c r="AE111" s="116"/>
      <c r="AF111" s="111"/>
      <c r="AG111" s="110"/>
      <c r="AH111" s="110"/>
      <c r="AI111" s="110"/>
      <c r="AJ111" s="110"/>
      <c r="AK111" s="110"/>
      <c r="AL111" s="111"/>
      <c r="AM111" s="111"/>
      <c r="AN111" s="111"/>
      <c r="AO111" s="111"/>
      <c r="AP111" s="111"/>
      <c r="AQ111" s="111"/>
      <c r="AR111" s="111"/>
    </row>
    <row r="112" s="13" customFormat="1" customHeight="1" spans="1:44">
      <c r="A112" s="89"/>
      <c r="B112" s="90"/>
      <c r="C112" s="253"/>
      <c r="D112" s="94"/>
      <c r="E112" s="94"/>
      <c r="F112" s="94"/>
      <c r="G112" s="92"/>
      <c r="H112" s="93"/>
      <c r="I112" s="94"/>
      <c r="J112" s="109"/>
      <c r="K112" s="89"/>
      <c r="L112" s="89"/>
      <c r="M112" s="89"/>
      <c r="N112" s="89"/>
      <c r="O112" s="96"/>
      <c r="P112" s="89"/>
      <c r="Q112" s="89"/>
      <c r="R112" s="89"/>
      <c r="S112" s="110"/>
      <c r="T112" s="90"/>
      <c r="U112" s="111"/>
      <c r="V112" s="90"/>
      <c r="W112" s="112"/>
      <c r="X112" s="112"/>
      <c r="Y112" s="113"/>
      <c r="Z112" s="101"/>
      <c r="AA112" s="102"/>
      <c r="AB112" s="114"/>
      <c r="AC112" s="115"/>
      <c r="AD112" s="108"/>
      <c r="AE112" s="116"/>
      <c r="AF112" s="111"/>
      <c r="AG112" s="110"/>
      <c r="AH112" s="110"/>
      <c r="AI112" s="110"/>
      <c r="AJ112" s="110"/>
      <c r="AK112" s="110"/>
      <c r="AL112" s="111"/>
      <c r="AM112" s="111"/>
      <c r="AN112" s="111"/>
      <c r="AO112" s="111"/>
      <c r="AP112" s="111"/>
      <c r="AQ112" s="111"/>
      <c r="AR112" s="111"/>
    </row>
    <row r="113" s="13" customFormat="1" customHeight="1" spans="1:44">
      <c r="A113" s="89"/>
      <c r="B113" s="90"/>
      <c r="C113" s="253"/>
      <c r="D113" s="94"/>
      <c r="E113" s="94"/>
      <c r="F113" s="94"/>
      <c r="G113" s="92"/>
      <c r="H113" s="93"/>
      <c r="I113" s="94"/>
      <c r="J113" s="109"/>
      <c r="K113" s="89"/>
      <c r="L113" s="89"/>
      <c r="M113" s="89"/>
      <c r="N113" s="89"/>
      <c r="O113" s="96"/>
      <c r="P113" s="89"/>
      <c r="Q113" s="89"/>
      <c r="R113" s="89"/>
      <c r="S113" s="110"/>
      <c r="T113" s="90"/>
      <c r="U113" s="111"/>
      <c r="V113" s="90"/>
      <c r="W113" s="112"/>
      <c r="X113" s="112"/>
      <c r="Y113" s="113"/>
      <c r="Z113" s="101"/>
      <c r="AA113" s="102"/>
      <c r="AB113" s="114"/>
      <c r="AC113" s="115"/>
      <c r="AD113" s="108"/>
      <c r="AE113" s="116"/>
      <c r="AF113" s="111"/>
      <c r="AG113" s="110"/>
      <c r="AH113" s="110"/>
      <c r="AI113" s="110"/>
      <c r="AJ113" s="110"/>
      <c r="AK113" s="110"/>
      <c r="AL113" s="111"/>
      <c r="AM113" s="111"/>
      <c r="AN113" s="111"/>
      <c r="AO113" s="111"/>
      <c r="AP113" s="111"/>
      <c r="AQ113" s="111"/>
      <c r="AR113" s="111"/>
    </row>
    <row r="114" s="13" customFormat="1" customHeight="1" spans="1:44">
      <c r="A114" s="89"/>
      <c r="B114" s="90"/>
      <c r="C114" s="253"/>
      <c r="D114" s="94"/>
      <c r="E114" s="94"/>
      <c r="F114" s="94"/>
      <c r="G114" s="92"/>
      <c r="H114" s="93"/>
      <c r="I114" s="94"/>
      <c r="J114" s="109"/>
      <c r="K114" s="89"/>
      <c r="L114" s="89"/>
      <c r="M114" s="89"/>
      <c r="N114" s="89"/>
      <c r="O114" s="96"/>
      <c r="P114" s="89"/>
      <c r="Q114" s="89"/>
      <c r="R114" s="89"/>
      <c r="S114" s="110"/>
      <c r="T114" s="90"/>
      <c r="U114" s="111"/>
      <c r="V114" s="90"/>
      <c r="W114" s="112"/>
      <c r="X114" s="112"/>
      <c r="Y114" s="113"/>
      <c r="Z114" s="101"/>
      <c r="AA114" s="102"/>
      <c r="AB114" s="114"/>
      <c r="AC114" s="115"/>
      <c r="AD114" s="108"/>
      <c r="AE114" s="116"/>
      <c r="AF114" s="111"/>
      <c r="AG114" s="110"/>
      <c r="AH114" s="110"/>
      <c r="AI114" s="110"/>
      <c r="AJ114" s="110"/>
      <c r="AK114" s="110"/>
      <c r="AL114" s="111"/>
      <c r="AM114" s="111"/>
      <c r="AN114" s="111"/>
      <c r="AO114" s="111"/>
      <c r="AP114" s="111"/>
      <c r="AQ114" s="111"/>
      <c r="AR114" s="111"/>
    </row>
    <row r="115" s="13" customFormat="1" customHeight="1" spans="1:44">
      <c r="A115" s="89"/>
      <c r="B115" s="90"/>
      <c r="C115" s="253"/>
      <c r="D115" s="94"/>
      <c r="E115" s="94"/>
      <c r="F115" s="94"/>
      <c r="G115" s="92"/>
      <c r="H115" s="93"/>
      <c r="I115" s="94"/>
      <c r="J115" s="109"/>
      <c r="K115" s="89"/>
      <c r="L115" s="89"/>
      <c r="M115" s="89"/>
      <c r="N115" s="89"/>
      <c r="O115" s="96"/>
      <c r="P115" s="89"/>
      <c r="Q115" s="89"/>
      <c r="R115" s="89"/>
      <c r="S115" s="110"/>
      <c r="T115" s="90"/>
      <c r="U115" s="111"/>
      <c r="V115" s="90"/>
      <c r="W115" s="112"/>
      <c r="X115" s="112"/>
      <c r="Y115" s="113"/>
      <c r="Z115" s="101"/>
      <c r="AA115" s="102"/>
      <c r="AB115" s="114"/>
      <c r="AC115" s="115"/>
      <c r="AD115" s="108"/>
      <c r="AE115" s="116"/>
      <c r="AF115" s="111"/>
      <c r="AG115" s="110"/>
      <c r="AH115" s="110"/>
      <c r="AI115" s="110"/>
      <c r="AJ115" s="110"/>
      <c r="AK115" s="110"/>
      <c r="AL115" s="111"/>
      <c r="AM115" s="111"/>
      <c r="AN115" s="111"/>
      <c r="AO115" s="111"/>
      <c r="AP115" s="111"/>
      <c r="AQ115" s="111"/>
      <c r="AR115" s="111"/>
    </row>
    <row r="116" s="13" customFormat="1" customHeight="1" spans="1:44">
      <c r="A116" s="89"/>
      <c r="B116" s="90"/>
      <c r="C116" s="253"/>
      <c r="D116" s="94"/>
      <c r="E116" s="94"/>
      <c r="F116" s="94"/>
      <c r="G116" s="92"/>
      <c r="H116" s="93"/>
      <c r="I116" s="94"/>
      <c r="J116" s="109"/>
      <c r="K116" s="89"/>
      <c r="L116" s="89"/>
      <c r="M116" s="89"/>
      <c r="N116" s="89"/>
      <c r="O116" s="96"/>
      <c r="P116" s="89"/>
      <c r="Q116" s="89"/>
      <c r="R116" s="89"/>
      <c r="S116" s="110"/>
      <c r="T116" s="90"/>
      <c r="U116" s="111"/>
      <c r="V116" s="90"/>
      <c r="W116" s="112"/>
      <c r="X116" s="112"/>
      <c r="Y116" s="113"/>
      <c r="Z116" s="101"/>
      <c r="AA116" s="102"/>
      <c r="AB116" s="114"/>
      <c r="AC116" s="115"/>
      <c r="AD116" s="108"/>
      <c r="AE116" s="116"/>
      <c r="AF116" s="111"/>
      <c r="AG116" s="110"/>
      <c r="AH116" s="110"/>
      <c r="AI116" s="110"/>
      <c r="AJ116" s="110"/>
      <c r="AK116" s="110"/>
      <c r="AL116" s="111"/>
      <c r="AM116" s="111"/>
      <c r="AN116" s="111"/>
      <c r="AO116" s="111"/>
      <c r="AP116" s="111"/>
      <c r="AQ116" s="111"/>
      <c r="AR116" s="111"/>
    </row>
    <row r="117" s="13" customFormat="1" customHeight="1" spans="1:44">
      <c r="A117" s="89"/>
      <c r="B117" s="90"/>
      <c r="C117" s="253"/>
      <c r="D117" s="94"/>
      <c r="E117" s="94"/>
      <c r="F117" s="94"/>
      <c r="G117" s="92"/>
      <c r="H117" s="93"/>
      <c r="I117" s="94"/>
      <c r="J117" s="109"/>
      <c r="K117" s="89"/>
      <c r="L117" s="89"/>
      <c r="M117" s="89"/>
      <c r="N117" s="89"/>
      <c r="O117" s="96"/>
      <c r="P117" s="89"/>
      <c r="Q117" s="89"/>
      <c r="R117" s="89"/>
      <c r="S117" s="110"/>
      <c r="T117" s="90"/>
      <c r="U117" s="111"/>
      <c r="V117" s="90"/>
      <c r="W117" s="112"/>
      <c r="X117" s="112"/>
      <c r="Y117" s="113"/>
      <c r="Z117" s="101"/>
      <c r="AA117" s="102"/>
      <c r="AB117" s="114"/>
      <c r="AC117" s="115"/>
      <c r="AD117" s="108"/>
      <c r="AE117" s="116"/>
      <c r="AF117" s="111"/>
      <c r="AG117" s="110"/>
      <c r="AH117" s="110"/>
      <c r="AI117" s="110"/>
      <c r="AJ117" s="110"/>
      <c r="AK117" s="110"/>
      <c r="AL117" s="111"/>
      <c r="AM117" s="111"/>
      <c r="AN117" s="111"/>
      <c r="AO117" s="111"/>
      <c r="AP117" s="111"/>
      <c r="AQ117" s="111"/>
      <c r="AR117" s="111"/>
    </row>
    <row r="118" s="13" customFormat="1" customHeight="1" spans="1:44">
      <c r="A118" s="89"/>
      <c r="B118" s="90"/>
      <c r="C118" s="253"/>
      <c r="D118" s="94"/>
      <c r="E118" s="94"/>
      <c r="F118" s="94"/>
      <c r="G118" s="92"/>
      <c r="H118" s="93"/>
      <c r="I118" s="94"/>
      <c r="J118" s="109"/>
      <c r="K118" s="89"/>
      <c r="L118" s="89"/>
      <c r="M118" s="89"/>
      <c r="N118" s="89"/>
      <c r="O118" s="96"/>
      <c r="P118" s="89"/>
      <c r="Q118" s="89"/>
      <c r="R118" s="89"/>
      <c r="S118" s="110"/>
      <c r="T118" s="90"/>
      <c r="U118" s="111"/>
      <c r="V118" s="90"/>
      <c r="W118" s="112"/>
      <c r="X118" s="112"/>
      <c r="Y118" s="113"/>
      <c r="Z118" s="101"/>
      <c r="AA118" s="102"/>
      <c r="AB118" s="114"/>
      <c r="AC118" s="115"/>
      <c r="AD118" s="108"/>
      <c r="AE118" s="116"/>
      <c r="AF118" s="111"/>
      <c r="AG118" s="110"/>
      <c r="AH118" s="110"/>
      <c r="AI118" s="110"/>
      <c r="AJ118" s="110"/>
      <c r="AK118" s="110"/>
      <c r="AL118" s="111"/>
      <c r="AM118" s="111"/>
      <c r="AN118" s="111"/>
      <c r="AO118" s="111"/>
      <c r="AP118" s="111"/>
      <c r="AQ118" s="111"/>
      <c r="AR118" s="111"/>
    </row>
    <row r="119" s="13" customFormat="1" customHeight="1" spans="1:44">
      <c r="A119" s="89"/>
      <c r="B119" s="90"/>
      <c r="C119" s="253"/>
      <c r="D119" s="94"/>
      <c r="E119" s="94"/>
      <c r="F119" s="94"/>
      <c r="G119" s="92"/>
      <c r="H119" s="93"/>
      <c r="I119" s="94"/>
      <c r="J119" s="109"/>
      <c r="K119" s="89"/>
      <c r="L119" s="89"/>
      <c r="M119" s="89"/>
      <c r="N119" s="89"/>
      <c r="O119" s="96"/>
      <c r="P119" s="89"/>
      <c r="Q119" s="89"/>
      <c r="R119" s="89"/>
      <c r="S119" s="110"/>
      <c r="T119" s="90"/>
      <c r="U119" s="111"/>
      <c r="V119" s="90"/>
      <c r="W119" s="112"/>
      <c r="X119" s="112"/>
      <c r="Y119" s="113"/>
      <c r="Z119" s="101"/>
      <c r="AA119" s="102"/>
      <c r="AB119" s="114"/>
      <c r="AC119" s="115"/>
      <c r="AD119" s="108"/>
      <c r="AE119" s="116"/>
      <c r="AF119" s="111"/>
      <c r="AG119" s="110"/>
      <c r="AH119" s="110"/>
      <c r="AI119" s="110"/>
      <c r="AJ119" s="110"/>
      <c r="AK119" s="110"/>
      <c r="AL119" s="111"/>
      <c r="AM119" s="111"/>
      <c r="AN119" s="111"/>
      <c r="AO119" s="111"/>
      <c r="AP119" s="111"/>
      <c r="AQ119" s="111"/>
      <c r="AR119" s="111"/>
    </row>
    <row r="120" s="13" customFormat="1" customHeight="1" spans="1:44">
      <c r="A120" s="89"/>
      <c r="B120" s="90"/>
      <c r="C120" s="253"/>
      <c r="D120" s="94"/>
      <c r="E120" s="94"/>
      <c r="F120" s="94"/>
      <c r="G120" s="92"/>
      <c r="H120" s="93"/>
      <c r="I120" s="94"/>
      <c r="J120" s="109"/>
      <c r="K120" s="89"/>
      <c r="L120" s="89"/>
      <c r="M120" s="89"/>
      <c r="N120" s="89"/>
      <c r="O120" s="96"/>
      <c r="P120" s="89"/>
      <c r="Q120" s="89"/>
      <c r="R120" s="89"/>
      <c r="S120" s="110"/>
      <c r="T120" s="90"/>
      <c r="U120" s="111"/>
      <c r="V120" s="90"/>
      <c r="W120" s="112"/>
      <c r="X120" s="112"/>
      <c r="Y120" s="113"/>
      <c r="Z120" s="101"/>
      <c r="AA120" s="102"/>
      <c r="AB120" s="114"/>
      <c r="AC120" s="115"/>
      <c r="AD120" s="108"/>
      <c r="AE120" s="116"/>
      <c r="AF120" s="111"/>
      <c r="AG120" s="110"/>
      <c r="AH120" s="110"/>
      <c r="AI120" s="110"/>
      <c r="AJ120" s="110"/>
      <c r="AK120" s="110"/>
      <c r="AL120" s="111"/>
      <c r="AM120" s="111"/>
      <c r="AN120" s="111"/>
      <c r="AO120" s="111"/>
      <c r="AP120" s="111"/>
      <c r="AQ120" s="111"/>
      <c r="AR120" s="111"/>
    </row>
    <row r="121" s="13" customFormat="1" customHeight="1" spans="1:44">
      <c r="A121" s="89"/>
      <c r="B121" s="90"/>
      <c r="C121" s="253"/>
      <c r="D121" s="94"/>
      <c r="E121" s="94"/>
      <c r="F121" s="94"/>
      <c r="G121" s="92"/>
      <c r="H121" s="93"/>
      <c r="I121" s="94"/>
      <c r="J121" s="109"/>
      <c r="K121" s="89"/>
      <c r="L121" s="89"/>
      <c r="M121" s="89"/>
      <c r="N121" s="89"/>
      <c r="O121" s="96"/>
      <c r="P121" s="89"/>
      <c r="Q121" s="89"/>
      <c r="R121" s="89"/>
      <c r="S121" s="110"/>
      <c r="T121" s="90"/>
      <c r="U121" s="111"/>
      <c r="V121" s="90"/>
      <c r="W121" s="112"/>
      <c r="X121" s="112"/>
      <c r="Y121" s="113"/>
      <c r="Z121" s="101"/>
      <c r="AA121" s="102"/>
      <c r="AB121" s="114"/>
      <c r="AC121" s="115"/>
      <c r="AD121" s="108"/>
      <c r="AE121" s="116"/>
      <c r="AF121" s="111"/>
      <c r="AG121" s="110"/>
      <c r="AH121" s="110"/>
      <c r="AI121" s="110"/>
      <c r="AJ121" s="110"/>
      <c r="AK121" s="110"/>
      <c r="AL121" s="111"/>
      <c r="AM121" s="111"/>
      <c r="AN121" s="111"/>
      <c r="AO121" s="111"/>
      <c r="AP121" s="111"/>
      <c r="AQ121" s="111"/>
      <c r="AR121" s="111"/>
    </row>
    <row r="122" s="13" customFormat="1" customHeight="1" spans="1:44">
      <c r="A122" s="89"/>
      <c r="B122" s="90"/>
      <c r="C122" s="253"/>
      <c r="D122" s="94"/>
      <c r="E122" s="94"/>
      <c r="F122" s="94"/>
      <c r="G122" s="92"/>
      <c r="H122" s="93"/>
      <c r="I122" s="94"/>
      <c r="J122" s="109"/>
      <c r="K122" s="89"/>
      <c r="L122" s="89"/>
      <c r="M122" s="89"/>
      <c r="N122" s="89"/>
      <c r="O122" s="96"/>
      <c r="P122" s="89"/>
      <c r="Q122" s="89"/>
      <c r="R122" s="89"/>
      <c r="S122" s="110"/>
      <c r="T122" s="90"/>
      <c r="U122" s="111"/>
      <c r="V122" s="90"/>
      <c r="W122" s="112"/>
      <c r="X122" s="112"/>
      <c r="Y122" s="113"/>
      <c r="Z122" s="101"/>
      <c r="AA122" s="102"/>
      <c r="AB122" s="114"/>
      <c r="AC122" s="115"/>
      <c r="AD122" s="108"/>
      <c r="AE122" s="116"/>
      <c r="AF122" s="111"/>
      <c r="AG122" s="110"/>
      <c r="AH122" s="110"/>
      <c r="AI122" s="110"/>
      <c r="AJ122" s="110"/>
      <c r="AK122" s="110"/>
      <c r="AL122" s="111"/>
      <c r="AM122" s="111"/>
      <c r="AN122" s="111"/>
      <c r="AO122" s="111"/>
      <c r="AP122" s="111"/>
      <c r="AQ122" s="111"/>
      <c r="AR122" s="111"/>
    </row>
  </sheetData>
  <sheetProtection formatCells="0"/>
  <autoFilter xmlns:etc="http://www.wps.cn/officeDocument/2017/etCustomData" ref="A1:AR59" etc:filterBottomFollowUsedRange="0">
    <sortState ref="A1:AR59">
      <sortCondition ref="AF1"/>
    </sortState>
    <extLst/>
  </autoFilter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S74"/>
  <sheetViews>
    <sheetView workbookViewId="0">
      <pane xSplit="10" ySplit="1" topLeftCell="K6" activePane="bottomRight" state="frozen"/>
      <selection/>
      <selection pane="topRight"/>
      <selection pane="bottomLeft"/>
      <selection pane="bottomRight" activeCell="A1" sqref="A1:AQ1"/>
    </sheetView>
  </sheetViews>
  <sheetFormatPr defaultColWidth="9" defaultRowHeight="25" customHeight="1"/>
  <cols>
    <col min="1" max="1" width="12.6416666666667" style="14" customWidth="1"/>
    <col min="2" max="2" width="10.6416666666667" style="14" hidden="1" customWidth="1"/>
    <col min="3" max="3" width="8.64166666666667" style="14" customWidth="1"/>
    <col min="4" max="5" width="12.6416666666667" style="14" customWidth="1"/>
    <col min="6" max="6" width="10.6416666666667" style="14" customWidth="1"/>
    <col min="7" max="7" width="15.6416666666667" style="15" customWidth="1"/>
    <col min="8" max="8" width="6.65833333333333" style="16" customWidth="1"/>
    <col min="9" max="9" width="6.65833333333333" style="14" customWidth="1"/>
    <col min="10" max="10" width="6.65833333333333" style="15" customWidth="1"/>
    <col min="11" max="11" width="12.6416666666667" style="14" customWidth="1"/>
    <col min="12" max="13" width="12.6416666666667" style="14" hidden="1" customWidth="1"/>
    <col min="14" max="14" width="6.65833333333333" style="14" hidden="1" customWidth="1"/>
    <col min="15" max="15" width="12.6416666666667" style="14" customWidth="1"/>
    <col min="16" max="16" width="8.64166666666667" style="14" hidden="1" customWidth="1"/>
    <col min="17" max="18" width="12.6416666666667" style="14" hidden="1" customWidth="1"/>
    <col min="19" max="19" width="8.64166666666667" style="14" hidden="1" customWidth="1"/>
    <col min="20" max="20" width="10.6416666666667" style="15" hidden="1" customWidth="1"/>
    <col min="21" max="21" width="10.6416666666667" style="14" customWidth="1"/>
    <col min="22" max="23" width="10.6416666666667" style="15" hidden="1" customWidth="1"/>
    <col min="24" max="24" width="15.6416666666667" style="15" hidden="1" customWidth="1"/>
    <col min="25" max="25" width="30.6416666666667" style="14" customWidth="1"/>
    <col min="26" max="26" width="8.64166666666667" style="17" customWidth="1"/>
    <col min="27" max="28" width="10.6416666666667" style="18" customWidth="1"/>
    <col min="29" max="29" width="10.6416666666667" style="19" customWidth="1"/>
    <col min="30" max="30" width="10.6416666666667" style="14" customWidth="1"/>
    <col min="31" max="31" width="4.65833333333333" style="15" customWidth="1"/>
    <col min="32" max="32" width="8.64166666666667" style="15" customWidth="1"/>
    <col min="33" max="37" width="8.64166666666667" style="14" customWidth="1"/>
    <col min="38" max="44" width="6.65833333333333" style="15" customWidth="1"/>
    <col min="45" max="16384" width="9" style="14"/>
  </cols>
  <sheetData>
    <row r="1" s="11" customFormat="1" customHeight="1" spans="1:45">
      <c r="A1" s="20" t="s">
        <v>370</v>
      </c>
      <c r="B1" s="20" t="s">
        <v>371</v>
      </c>
      <c r="C1" s="20" t="s">
        <v>59</v>
      </c>
      <c r="D1" s="21" t="s">
        <v>372</v>
      </c>
      <c r="E1" s="22" t="s">
        <v>373</v>
      </c>
      <c r="F1" s="22" t="s">
        <v>0</v>
      </c>
      <c r="G1" s="23" t="s">
        <v>374</v>
      </c>
      <c r="H1" s="24" t="s">
        <v>62</v>
      </c>
      <c r="I1" s="25" t="s">
        <v>375</v>
      </c>
      <c r="J1" s="23" t="s">
        <v>376</v>
      </c>
      <c r="K1" s="20" t="s">
        <v>63</v>
      </c>
      <c r="L1" s="20" t="s">
        <v>377</v>
      </c>
      <c r="M1" s="20" t="s">
        <v>378</v>
      </c>
      <c r="N1" s="26" t="s">
        <v>379</v>
      </c>
      <c r="O1" s="20" t="s">
        <v>380</v>
      </c>
      <c r="P1" s="27" t="s">
        <v>381</v>
      </c>
      <c r="Q1" s="25" t="s">
        <v>382</v>
      </c>
      <c r="R1" s="25" t="s">
        <v>383</v>
      </c>
      <c r="S1" s="28" t="s">
        <v>384</v>
      </c>
      <c r="T1" s="28" t="s">
        <v>385</v>
      </c>
      <c r="U1" s="28" t="s">
        <v>386</v>
      </c>
      <c r="V1" s="28" t="s">
        <v>387</v>
      </c>
      <c r="W1" s="29" t="s">
        <v>388</v>
      </c>
      <c r="X1" s="29" t="s">
        <v>389</v>
      </c>
      <c r="Y1" s="30" t="s">
        <v>81</v>
      </c>
      <c r="Z1" s="31" t="s">
        <v>82</v>
      </c>
      <c r="AA1" s="32" t="s">
        <v>83</v>
      </c>
      <c r="AB1" s="32" t="s">
        <v>390</v>
      </c>
      <c r="AC1" s="33" t="s">
        <v>391</v>
      </c>
      <c r="AD1" s="34" t="s">
        <v>392</v>
      </c>
      <c r="AE1" s="29" t="s">
        <v>393</v>
      </c>
      <c r="AF1" s="35" t="s">
        <v>394</v>
      </c>
      <c r="AG1" s="35" t="s">
        <v>395</v>
      </c>
      <c r="AH1" s="35" t="s">
        <v>396</v>
      </c>
      <c r="AI1" s="35" t="s">
        <v>399</v>
      </c>
      <c r="AJ1" s="35" t="s">
        <v>400</v>
      </c>
      <c r="AK1" s="35" t="s">
        <v>401</v>
      </c>
      <c r="AL1" s="35" t="s">
        <v>402</v>
      </c>
      <c r="AM1" s="28" t="s">
        <v>403</v>
      </c>
      <c r="AN1" s="28" t="s">
        <v>404</v>
      </c>
      <c r="AO1" s="28" t="s">
        <v>405</v>
      </c>
      <c r="AP1" s="28" t="s">
        <v>406</v>
      </c>
      <c r="AQ1" s="28" t="s">
        <v>407</v>
      </c>
      <c r="AR1" s="28" t="s">
        <v>407</v>
      </c>
    </row>
    <row r="2" s="12" customFormat="1" customHeight="1" spans="1:45">
      <c r="A2" s="36">
        <v>46107</v>
      </c>
      <c r="B2" s="37" t="s">
        <v>1135</v>
      </c>
      <c r="C2" s="38" t="s">
        <v>120</v>
      </c>
      <c r="D2" s="37"/>
      <c r="E2" s="37" t="s">
        <v>1168</v>
      </c>
      <c r="F2" s="39">
        <v>1126156</v>
      </c>
      <c r="G2" s="39" t="s">
        <v>1169</v>
      </c>
      <c r="H2" s="40">
        <v>3636</v>
      </c>
      <c r="I2" s="41">
        <v>6</v>
      </c>
      <c r="J2" s="42">
        <f>H2/I2</f>
        <v>606</v>
      </c>
      <c r="K2" s="43">
        <v>46233</v>
      </c>
      <c r="L2" s="44"/>
      <c r="M2" s="38"/>
      <c r="N2" s="45"/>
      <c r="O2" s="38"/>
      <c r="P2" s="43">
        <v>46233</v>
      </c>
      <c r="Q2" s="38"/>
      <c r="R2" s="46"/>
      <c r="S2" s="47"/>
      <c r="T2" s="48" t="s">
        <v>676</v>
      </c>
      <c r="U2" s="48" t="s">
        <v>676</v>
      </c>
      <c r="V2" s="49"/>
      <c r="W2" s="49" t="s">
        <v>554</v>
      </c>
      <c r="X2" s="50" t="s">
        <v>991</v>
      </c>
      <c r="Y2" s="51">
        <v>3.303</v>
      </c>
      <c r="Z2" s="52">
        <f t="shared" ref="Z2:Z7" si="0">H2*Y2</f>
        <v>12009.71</v>
      </c>
      <c r="AA2" s="53">
        <f t="shared" ref="AA2:AA7" si="1">Z2*7.75</f>
        <v>93075.25</v>
      </c>
      <c r="AB2" s="54"/>
      <c r="AC2" s="46"/>
      <c r="AD2" s="55" t="s">
        <v>416</v>
      </c>
      <c r="AE2" s="48"/>
      <c r="AF2" s="46"/>
      <c r="AG2" s="46"/>
      <c r="AH2" s="46"/>
      <c r="AI2" s="46"/>
      <c r="AJ2" s="46"/>
      <c r="AK2" s="48"/>
      <c r="AL2" s="48"/>
      <c r="AM2" s="48"/>
      <c r="AN2" s="48"/>
      <c r="AO2" s="48"/>
      <c r="AP2" s="48"/>
      <c r="AQ2" s="48"/>
    </row>
    <row r="3" s="12" customFormat="1" customHeight="1" spans="1:45">
      <c r="A3" s="36">
        <v>46107</v>
      </c>
      <c r="B3" s="37" t="s">
        <v>1135</v>
      </c>
      <c r="C3" s="38" t="s">
        <v>120</v>
      </c>
      <c r="D3" s="56" t="s">
        <v>1136</v>
      </c>
      <c r="E3" s="37" t="s">
        <v>1168</v>
      </c>
      <c r="F3" s="39">
        <v>1126156</v>
      </c>
      <c r="G3" s="39" t="s">
        <v>1169</v>
      </c>
      <c r="H3" s="40">
        <v>24</v>
      </c>
      <c r="I3" s="41"/>
      <c r="J3" s="42"/>
      <c r="K3" s="43">
        <v>46233</v>
      </c>
      <c r="L3" s="44" t="s">
        <v>1154</v>
      </c>
      <c r="M3" s="38"/>
      <c r="N3" s="45"/>
      <c r="O3" s="38"/>
      <c r="P3" s="43">
        <v>46233</v>
      </c>
      <c r="Q3" s="38"/>
      <c r="R3" s="46"/>
      <c r="S3" s="47"/>
      <c r="T3" s="48" t="s">
        <v>676</v>
      </c>
      <c r="U3" s="48" t="s">
        <v>676</v>
      </c>
      <c r="V3" s="49"/>
      <c r="W3" s="49" t="s">
        <v>554</v>
      </c>
      <c r="X3" s="50" t="s">
        <v>991</v>
      </c>
      <c r="Y3" s="51">
        <v>0</v>
      </c>
      <c r="Z3" s="52">
        <f t="shared" si="0"/>
        <v>0</v>
      </c>
      <c r="AA3" s="53">
        <f t="shared" si="1"/>
        <v>0</v>
      </c>
      <c r="AB3" s="54"/>
      <c r="AC3" s="46"/>
      <c r="AD3" s="55" t="s">
        <v>416</v>
      </c>
      <c r="AE3" s="48"/>
      <c r="AF3" s="46"/>
      <c r="AG3" s="46"/>
      <c r="AH3" s="46"/>
      <c r="AI3" s="46"/>
      <c r="AJ3" s="46"/>
      <c r="AK3" s="48"/>
      <c r="AL3" s="48"/>
      <c r="AM3" s="48"/>
      <c r="AN3" s="48"/>
      <c r="AO3" s="48"/>
      <c r="AP3" s="48"/>
      <c r="AQ3" s="48"/>
    </row>
    <row r="4" s="12" customFormat="1" customHeight="1" spans="1:45">
      <c r="A4" s="36">
        <v>46107</v>
      </c>
      <c r="B4" s="37" t="s">
        <v>1135</v>
      </c>
      <c r="C4" s="38" t="s">
        <v>120</v>
      </c>
      <c r="D4" s="37"/>
      <c r="E4" s="37" t="s">
        <v>1168</v>
      </c>
      <c r="F4" s="39">
        <v>1126164</v>
      </c>
      <c r="G4" s="39" t="s">
        <v>1170</v>
      </c>
      <c r="H4" s="40">
        <v>4860</v>
      </c>
      <c r="I4" s="41">
        <v>6</v>
      </c>
      <c r="J4" s="42">
        <f>H4/I4</f>
        <v>810</v>
      </c>
      <c r="K4" s="38">
        <v>46226</v>
      </c>
      <c r="L4" s="44">
        <v>46227</v>
      </c>
      <c r="M4" s="38"/>
      <c r="N4" s="45"/>
      <c r="O4" s="38"/>
      <c r="P4" s="38">
        <v>46226</v>
      </c>
      <c r="Q4" s="38"/>
      <c r="R4" s="46"/>
      <c r="S4" s="57">
        <v>46198</v>
      </c>
      <c r="T4" s="48" t="s">
        <v>676</v>
      </c>
      <c r="U4" s="48" t="s">
        <v>676</v>
      </c>
      <c r="V4" s="49"/>
      <c r="W4" s="49" t="s">
        <v>503</v>
      </c>
      <c r="X4" s="50" t="s">
        <v>991</v>
      </c>
      <c r="Y4" s="51">
        <v>2.64</v>
      </c>
      <c r="Z4" s="52">
        <f t="shared" si="0"/>
        <v>12830.4</v>
      </c>
      <c r="AA4" s="53">
        <f t="shared" si="1"/>
        <v>99435.6</v>
      </c>
      <c r="AB4" s="54"/>
      <c r="AC4" s="46"/>
      <c r="AD4" s="55" t="s">
        <v>416</v>
      </c>
      <c r="AE4" s="48"/>
      <c r="AF4" s="46"/>
      <c r="AG4" s="46"/>
      <c r="AH4" s="46"/>
      <c r="AI4" s="46"/>
      <c r="AJ4" s="46"/>
      <c r="AK4" s="48"/>
      <c r="AL4" s="48"/>
      <c r="AM4" s="48"/>
      <c r="AN4" s="48"/>
      <c r="AO4" s="48"/>
      <c r="AP4" s="48"/>
      <c r="AQ4" s="48"/>
    </row>
    <row r="5" s="12" customFormat="1" customHeight="1" spans="1:45">
      <c r="A5" s="36">
        <v>46107</v>
      </c>
      <c r="B5" s="37" t="s">
        <v>1135</v>
      </c>
      <c r="C5" s="38" t="s">
        <v>120</v>
      </c>
      <c r="D5" s="56" t="s">
        <v>1136</v>
      </c>
      <c r="E5" s="37" t="s">
        <v>1168</v>
      </c>
      <c r="F5" s="39">
        <v>1126164</v>
      </c>
      <c r="G5" s="39" t="s">
        <v>1170</v>
      </c>
      <c r="H5" s="40">
        <v>24</v>
      </c>
      <c r="I5" s="41"/>
      <c r="J5" s="42"/>
      <c r="K5" s="38">
        <v>46226</v>
      </c>
      <c r="L5" s="44" t="s">
        <v>1154</v>
      </c>
      <c r="M5" s="38"/>
      <c r="N5" s="45"/>
      <c r="O5" s="38"/>
      <c r="P5" s="38">
        <v>46226</v>
      </c>
      <c r="Q5" s="38"/>
      <c r="R5" s="46"/>
      <c r="S5" s="57">
        <v>46198</v>
      </c>
      <c r="T5" s="48" t="s">
        <v>676</v>
      </c>
      <c r="U5" s="48" t="s">
        <v>676</v>
      </c>
      <c r="V5" s="49"/>
      <c r="W5" s="49" t="s">
        <v>503</v>
      </c>
      <c r="X5" s="50" t="s">
        <v>991</v>
      </c>
      <c r="Y5" s="51">
        <v>0</v>
      </c>
      <c r="Z5" s="52">
        <f t="shared" si="0"/>
        <v>0</v>
      </c>
      <c r="AA5" s="53">
        <f t="shared" si="1"/>
        <v>0</v>
      </c>
      <c r="AB5" s="54"/>
      <c r="AC5" s="46"/>
      <c r="AD5" s="55" t="s">
        <v>416</v>
      </c>
      <c r="AE5" s="48"/>
      <c r="AF5" s="46"/>
      <c r="AG5" s="46"/>
      <c r="AH5" s="46"/>
      <c r="AI5" s="46"/>
      <c r="AJ5" s="46"/>
      <c r="AK5" s="48"/>
      <c r="AL5" s="48"/>
      <c r="AM5" s="48"/>
      <c r="AN5" s="48"/>
      <c r="AO5" s="48"/>
      <c r="AP5" s="48"/>
      <c r="AQ5" s="48"/>
    </row>
    <row r="6" s="12" customFormat="1" customHeight="1" spans="1:45">
      <c r="A6" s="38">
        <v>46083</v>
      </c>
      <c r="B6" s="45" t="s">
        <v>667</v>
      </c>
      <c r="C6" s="43" t="s">
        <v>141</v>
      </c>
      <c r="D6" s="37" t="s">
        <v>106</v>
      </c>
      <c r="E6" s="37" t="s">
        <v>184</v>
      </c>
      <c r="F6" s="41">
        <v>4526157</v>
      </c>
      <c r="G6" s="58" t="s">
        <v>1171</v>
      </c>
      <c r="H6" s="58">
        <v>6</v>
      </c>
      <c r="I6" s="41"/>
      <c r="J6" s="59"/>
      <c r="K6" s="43">
        <v>46391</v>
      </c>
      <c r="L6" s="44" t="s">
        <v>1154</v>
      </c>
      <c r="M6" s="38"/>
      <c r="N6" s="45"/>
      <c r="O6" s="38"/>
      <c r="P6" s="38">
        <v>46233</v>
      </c>
      <c r="Q6" s="38"/>
      <c r="R6" s="60"/>
      <c r="S6" s="61"/>
      <c r="T6" s="60" t="s">
        <v>676</v>
      </c>
      <c r="U6" s="60" t="s">
        <v>676</v>
      </c>
      <c r="V6" s="62"/>
      <c r="W6" s="63" t="s">
        <v>1172</v>
      </c>
      <c r="X6" s="62" t="s">
        <v>690</v>
      </c>
      <c r="Y6" s="64">
        <v>0</v>
      </c>
      <c r="Z6" s="65">
        <f t="shared" si="0"/>
        <v>0</v>
      </c>
      <c r="AA6" s="66">
        <f t="shared" si="1"/>
        <v>0</v>
      </c>
      <c r="AB6" s="67"/>
      <c r="AC6" s="68"/>
      <c r="AD6" s="69" t="s">
        <v>416</v>
      </c>
      <c r="AE6" s="46" t="s">
        <v>436</v>
      </c>
      <c r="AF6" s="46"/>
      <c r="AG6" s="60"/>
      <c r="AH6" s="60">
        <f>AG6-H6</f>
        <v>-6</v>
      </c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</row>
    <row r="7" s="12" customFormat="1" customHeight="1" spans="1:45">
      <c r="A7" s="38">
        <v>46083</v>
      </c>
      <c r="B7" s="45" t="s">
        <v>667</v>
      </c>
      <c r="C7" s="43" t="s">
        <v>141</v>
      </c>
      <c r="D7" s="37"/>
      <c r="E7" s="37" t="s">
        <v>184</v>
      </c>
      <c r="F7" s="41">
        <v>4526157</v>
      </c>
      <c r="G7" s="58" t="s">
        <v>1171</v>
      </c>
      <c r="H7" s="70">
        <v>4998</v>
      </c>
      <c r="I7" s="41">
        <v>6</v>
      </c>
      <c r="J7" s="59">
        <f>H7/I7</f>
        <v>833</v>
      </c>
      <c r="K7" s="43">
        <v>46391</v>
      </c>
      <c r="L7" s="44"/>
      <c r="M7" s="38"/>
      <c r="N7" s="45"/>
      <c r="O7" s="38"/>
      <c r="P7" s="38">
        <v>46233</v>
      </c>
      <c r="Q7" s="38"/>
      <c r="R7" s="60"/>
      <c r="S7" s="61"/>
      <c r="T7" s="60" t="s">
        <v>676</v>
      </c>
      <c r="U7" s="60" t="s">
        <v>676</v>
      </c>
      <c r="V7" s="62"/>
      <c r="W7" s="63" t="s">
        <v>1172</v>
      </c>
      <c r="X7" s="62" t="s">
        <v>690</v>
      </c>
      <c r="Y7" s="64">
        <v>4.741</v>
      </c>
      <c r="Z7" s="65">
        <f t="shared" si="0"/>
        <v>23695.52</v>
      </c>
      <c r="AA7" s="66">
        <f t="shared" si="1"/>
        <v>183640.28</v>
      </c>
      <c r="AB7" s="67"/>
      <c r="AC7" s="68"/>
      <c r="AD7" s="69" t="s">
        <v>416</v>
      </c>
      <c r="AE7" s="46" t="s">
        <v>436</v>
      </c>
      <c r="AF7" s="46"/>
      <c r="AG7" s="60"/>
      <c r="AH7" s="60">
        <f>AG7-H7</f>
        <v>-4998</v>
      </c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</row>
    <row r="8" s="11" customFormat="1" customHeight="1" spans="1:45">
      <c r="A8" s="71"/>
      <c r="B8" s="35"/>
      <c r="C8" s="71"/>
      <c r="D8" s="72"/>
      <c r="E8" s="72"/>
      <c r="F8" s="73"/>
      <c r="G8" s="73"/>
      <c r="H8" s="74"/>
      <c r="I8" s="75"/>
      <c r="J8" s="76"/>
      <c r="K8" s="71"/>
      <c r="L8" s="71"/>
      <c r="M8" s="71"/>
      <c r="N8" s="77"/>
      <c r="O8" s="71"/>
      <c r="P8" s="78"/>
      <c r="Q8" s="71"/>
      <c r="R8" s="71"/>
      <c r="S8" s="79"/>
      <c r="T8" s="35"/>
      <c r="U8" s="80"/>
      <c r="V8" s="35"/>
      <c r="W8" s="81"/>
      <c r="X8" s="81"/>
      <c r="Y8" s="81"/>
      <c r="Z8" s="82"/>
      <c r="AA8" s="83"/>
      <c r="AB8" s="84"/>
      <c r="AC8" s="85"/>
      <c r="AD8" s="86"/>
      <c r="AE8" s="87"/>
      <c r="AF8" s="28"/>
      <c r="AG8" s="88"/>
      <c r="AH8" s="79"/>
      <c r="AI8" s="79"/>
      <c r="AJ8" s="79"/>
      <c r="AK8" s="79"/>
      <c r="AL8" s="80"/>
      <c r="AM8" s="80"/>
      <c r="AN8" s="80"/>
      <c r="AO8" s="80"/>
      <c r="AP8" s="80"/>
      <c r="AQ8" s="80"/>
      <c r="AR8" s="80"/>
    </row>
    <row r="9" s="11" customFormat="1" customHeight="1" spans="1:45">
      <c r="A9" s="71"/>
      <c r="B9" s="35"/>
      <c r="C9" s="71"/>
      <c r="D9" s="72"/>
      <c r="E9" s="72"/>
      <c r="F9" s="73"/>
      <c r="G9" s="73"/>
      <c r="H9" s="74"/>
      <c r="I9" s="75"/>
      <c r="J9" s="76"/>
      <c r="K9" s="71"/>
      <c r="L9" s="71"/>
      <c r="M9" s="71"/>
      <c r="N9" s="77"/>
      <c r="O9" s="71"/>
      <c r="P9" s="78"/>
      <c r="Q9" s="71"/>
      <c r="R9" s="71"/>
      <c r="S9" s="79"/>
      <c r="T9" s="35"/>
      <c r="U9" s="80"/>
      <c r="V9" s="35"/>
      <c r="W9" s="81"/>
      <c r="X9" s="81"/>
      <c r="Y9" s="81"/>
      <c r="Z9" s="82"/>
      <c r="AA9" s="83"/>
      <c r="AB9" s="84"/>
      <c r="AC9" s="85"/>
      <c r="AD9" s="86"/>
      <c r="AE9" s="87"/>
      <c r="AF9" s="28"/>
      <c r="AG9" s="88"/>
      <c r="AH9" s="79"/>
      <c r="AI9" s="79"/>
      <c r="AJ9" s="79"/>
      <c r="AK9" s="79"/>
      <c r="AL9" s="80"/>
      <c r="AM9" s="80"/>
      <c r="AN9" s="80"/>
      <c r="AO9" s="80"/>
      <c r="AP9" s="80"/>
      <c r="AQ9" s="80"/>
      <c r="AR9" s="80"/>
    </row>
    <row r="10" s="11" customFormat="1" customHeight="1" spans="1:45">
      <c r="A10" s="71"/>
      <c r="B10" s="35"/>
      <c r="C10" s="71"/>
      <c r="D10" s="72"/>
      <c r="E10" s="72"/>
      <c r="F10" s="73"/>
      <c r="G10" s="73"/>
      <c r="H10" s="74">
        <f>SUM(H1:H9)</f>
        <v>13548</v>
      </c>
      <c r="I10" s="75"/>
      <c r="J10" s="76"/>
      <c r="K10" s="71"/>
      <c r="L10" s="71"/>
      <c r="M10" s="71"/>
      <c r="N10" s="77"/>
      <c r="O10" s="71"/>
      <c r="P10" s="78"/>
      <c r="Q10" s="71"/>
      <c r="R10" s="71"/>
      <c r="S10" s="79"/>
      <c r="T10" s="35"/>
      <c r="U10" s="80"/>
      <c r="V10" s="35"/>
      <c r="W10" s="81"/>
      <c r="X10" s="81"/>
      <c r="Y10" s="81"/>
      <c r="Z10" s="82"/>
      <c r="AA10" s="83">
        <f>SUM(AA1:AA9)</f>
        <v>376151.13</v>
      </c>
      <c r="AB10" s="83">
        <f>SUM(AB1:AB9)</f>
        <v>0</v>
      </c>
      <c r="AC10" s="85"/>
      <c r="AD10" s="86"/>
      <c r="AE10" s="87"/>
      <c r="AF10" s="28"/>
      <c r="AG10" s="88"/>
      <c r="AH10" s="79"/>
      <c r="AI10" s="79"/>
      <c r="AJ10" s="79"/>
      <c r="AK10" s="79"/>
      <c r="AL10" s="80"/>
      <c r="AM10" s="80"/>
      <c r="AN10" s="80"/>
      <c r="AO10" s="80"/>
      <c r="AP10" s="80"/>
      <c r="AQ10" s="80"/>
      <c r="AR10" s="80"/>
    </row>
    <row r="11" s="13" customFormat="1" customHeight="1" spans="1:45">
      <c r="A11" s="89"/>
      <c r="B11" s="90"/>
      <c r="C11" s="89"/>
      <c r="D11" s="91"/>
      <c r="E11" s="91"/>
      <c r="F11" s="92"/>
      <c r="G11" s="92"/>
      <c r="H11" s="93"/>
      <c r="I11" s="94"/>
      <c r="J11" s="95"/>
      <c r="K11" s="89"/>
      <c r="L11" s="89"/>
      <c r="M11" s="89"/>
      <c r="N11" s="96"/>
      <c r="O11" s="89"/>
      <c r="P11" s="97"/>
      <c r="Q11" s="89"/>
      <c r="R11" s="89"/>
      <c r="S11" s="98"/>
      <c r="T11" s="90"/>
      <c r="U11" s="99"/>
      <c r="V11" s="90"/>
      <c r="W11" s="100"/>
      <c r="X11" s="100"/>
      <c r="Y11" s="100"/>
      <c r="Z11" s="101"/>
      <c r="AA11" s="102"/>
      <c r="AB11" s="103"/>
      <c r="AC11" s="104"/>
      <c r="AD11" s="105"/>
      <c r="AE11" s="106"/>
      <c r="AF11" s="107"/>
      <c r="AG11" s="108"/>
      <c r="AH11" s="98"/>
      <c r="AI11" s="98"/>
      <c r="AJ11" s="98"/>
      <c r="AK11" s="98"/>
      <c r="AL11" s="99"/>
      <c r="AM11" s="99"/>
      <c r="AN11" s="99"/>
      <c r="AO11" s="99"/>
      <c r="AP11" s="99"/>
      <c r="AQ11" s="99"/>
      <c r="AR11" s="99"/>
    </row>
    <row r="12" s="13" customFormat="1" customHeight="1" spans="1:45">
      <c r="A12" s="89"/>
      <c r="B12" s="90"/>
      <c r="C12" s="89"/>
      <c r="D12" s="94"/>
      <c r="E12" s="94"/>
      <c r="F12" s="94"/>
      <c r="G12" s="92"/>
      <c r="H12" s="93"/>
      <c r="I12" s="94"/>
      <c r="J12" s="109"/>
      <c r="K12" s="89"/>
      <c r="L12" s="89"/>
      <c r="M12" s="89"/>
      <c r="N12" s="96"/>
      <c r="O12" s="89"/>
      <c r="P12" s="97"/>
      <c r="Q12" s="89"/>
      <c r="R12" s="89"/>
      <c r="S12" s="110"/>
      <c r="T12" s="90"/>
      <c r="U12" s="111"/>
      <c r="V12" s="90"/>
      <c r="W12" s="112"/>
      <c r="X12" s="112"/>
      <c r="Y12" s="113"/>
      <c r="Z12" s="101"/>
      <c r="AA12" s="102"/>
      <c r="AB12" s="114"/>
      <c r="AC12" s="115"/>
      <c r="AD12" s="108"/>
      <c r="AE12" s="116"/>
      <c r="AF12" s="111"/>
      <c r="AG12" s="110"/>
      <c r="AH12" s="110"/>
      <c r="AI12" s="110"/>
      <c r="AJ12" s="110"/>
      <c r="AK12" s="110"/>
      <c r="AL12" s="111"/>
      <c r="AM12" s="111"/>
      <c r="AN12" s="111"/>
      <c r="AO12" s="111"/>
      <c r="AP12" s="111"/>
      <c r="AQ12" s="111"/>
      <c r="AR12" s="111"/>
    </row>
    <row r="13" s="13" customFormat="1" customHeight="1" spans="1:45">
      <c r="A13" s="89"/>
      <c r="B13" s="90"/>
      <c r="C13" s="89"/>
      <c r="D13" s="94"/>
      <c r="E13" s="94"/>
      <c r="F13" s="94"/>
      <c r="G13" s="92"/>
      <c r="H13" s="93"/>
      <c r="I13" s="94"/>
      <c r="J13" s="109"/>
      <c r="K13" s="89"/>
      <c r="L13" s="89"/>
      <c r="M13" s="89"/>
      <c r="N13" s="96"/>
      <c r="O13" s="89"/>
      <c r="P13" s="97"/>
      <c r="Q13" s="89"/>
      <c r="R13" s="89"/>
      <c r="S13" s="110"/>
      <c r="T13" s="90"/>
      <c r="U13" s="111"/>
      <c r="V13" s="90"/>
      <c r="W13" s="112"/>
      <c r="X13" s="112"/>
      <c r="Y13" s="113"/>
      <c r="Z13" s="101"/>
      <c r="AA13" s="102"/>
      <c r="AB13" s="114"/>
      <c r="AC13" s="115"/>
      <c r="AD13" s="108"/>
      <c r="AE13" s="116"/>
      <c r="AF13" s="111"/>
      <c r="AG13" s="110"/>
      <c r="AH13" s="110"/>
      <c r="AI13" s="110"/>
      <c r="AJ13" s="110"/>
      <c r="AK13" s="110"/>
      <c r="AL13" s="111"/>
      <c r="AM13" s="111"/>
      <c r="AN13" s="111"/>
      <c r="AO13" s="111"/>
      <c r="AP13" s="111"/>
      <c r="AQ13" s="111"/>
      <c r="AR13" s="111"/>
    </row>
    <row r="14" s="13" customFormat="1" customHeight="1" spans="1:45">
      <c r="A14" s="89"/>
      <c r="B14" s="90"/>
      <c r="C14" s="89"/>
      <c r="D14" s="94"/>
      <c r="E14" s="94"/>
      <c r="F14" s="94"/>
      <c r="G14" s="92"/>
      <c r="H14" s="93"/>
      <c r="I14" s="94"/>
      <c r="J14" s="109"/>
      <c r="K14" s="89"/>
      <c r="L14" s="89"/>
      <c r="M14" s="89"/>
      <c r="N14" s="96"/>
      <c r="O14" s="89"/>
      <c r="P14" s="97"/>
      <c r="Q14" s="89"/>
      <c r="R14" s="89"/>
      <c r="S14" s="110"/>
      <c r="T14" s="90"/>
      <c r="U14" s="111"/>
      <c r="V14" s="90"/>
      <c r="W14" s="112"/>
      <c r="X14" s="112"/>
      <c r="Y14" s="113"/>
      <c r="Z14" s="101"/>
      <c r="AA14" s="102"/>
      <c r="AB14" s="114"/>
      <c r="AC14" s="115"/>
      <c r="AD14" s="108"/>
      <c r="AE14" s="116"/>
      <c r="AF14" s="111"/>
      <c r="AG14" s="110"/>
      <c r="AH14" s="110"/>
      <c r="AI14" s="110"/>
      <c r="AJ14" s="110"/>
      <c r="AK14" s="110"/>
      <c r="AL14" s="111"/>
      <c r="AM14" s="111"/>
      <c r="AN14" s="111"/>
      <c r="AO14" s="111"/>
      <c r="AP14" s="111"/>
      <c r="AQ14" s="111"/>
      <c r="AR14" s="111"/>
    </row>
    <row r="15" s="13" customFormat="1" customHeight="1" spans="1:45">
      <c r="A15" s="89"/>
      <c r="B15" s="90"/>
      <c r="C15" s="89"/>
      <c r="D15" s="94"/>
      <c r="E15" s="94"/>
      <c r="F15" s="94"/>
      <c r="G15" s="92"/>
      <c r="H15" s="93"/>
      <c r="I15" s="94"/>
      <c r="J15" s="109"/>
      <c r="K15" s="89"/>
      <c r="L15" s="89"/>
      <c r="M15" s="89"/>
      <c r="N15" s="96"/>
      <c r="O15" s="89"/>
      <c r="P15" s="97"/>
      <c r="Q15" s="89"/>
      <c r="R15" s="89"/>
      <c r="S15" s="110"/>
      <c r="T15" s="90"/>
      <c r="U15" s="111"/>
      <c r="V15" s="90"/>
      <c r="W15" s="112"/>
      <c r="X15" s="112"/>
      <c r="Y15" s="113"/>
      <c r="Z15" s="101"/>
      <c r="AA15" s="102"/>
      <c r="AB15" s="114"/>
      <c r="AC15" s="115"/>
      <c r="AD15" s="108"/>
      <c r="AE15" s="116"/>
      <c r="AF15" s="111"/>
      <c r="AG15" s="110"/>
      <c r="AH15" s="110"/>
      <c r="AI15" s="110"/>
      <c r="AJ15" s="110"/>
      <c r="AK15" s="110"/>
      <c r="AL15" s="111"/>
      <c r="AM15" s="111"/>
      <c r="AN15" s="111"/>
      <c r="AO15" s="111"/>
      <c r="AP15" s="111"/>
      <c r="AQ15" s="111"/>
      <c r="AR15" s="111"/>
    </row>
    <row r="16" s="13" customFormat="1" customHeight="1" spans="1:45">
      <c r="A16" s="89"/>
      <c r="B16" s="90"/>
      <c r="C16" s="89"/>
      <c r="D16" s="94"/>
      <c r="E16" s="94"/>
      <c r="F16" s="94"/>
      <c r="G16" s="92"/>
      <c r="H16" s="93"/>
      <c r="I16" s="94"/>
      <c r="J16" s="109"/>
      <c r="K16" s="89"/>
      <c r="L16" s="89"/>
      <c r="M16" s="89"/>
      <c r="N16" s="96"/>
      <c r="O16" s="89"/>
      <c r="P16" s="97"/>
      <c r="Q16" s="89"/>
      <c r="R16" s="89"/>
      <c r="S16" s="110"/>
      <c r="T16" s="90"/>
      <c r="U16" s="111"/>
      <c r="V16" s="90"/>
      <c r="W16" s="112"/>
      <c r="X16" s="112"/>
      <c r="Y16" s="113"/>
      <c r="Z16" s="101"/>
      <c r="AA16" s="102"/>
      <c r="AB16" s="114"/>
      <c r="AC16" s="115"/>
      <c r="AD16" s="108"/>
      <c r="AE16" s="116"/>
      <c r="AF16" s="111"/>
      <c r="AG16" s="110"/>
      <c r="AH16" s="110"/>
      <c r="AI16" s="110"/>
      <c r="AJ16" s="110"/>
      <c r="AK16" s="110"/>
      <c r="AL16" s="111"/>
      <c r="AM16" s="111"/>
      <c r="AN16" s="111"/>
      <c r="AO16" s="111"/>
      <c r="AP16" s="111"/>
      <c r="AQ16" s="111"/>
      <c r="AR16" s="111"/>
    </row>
    <row r="17" s="13" customFormat="1" customHeight="1" spans="1:44">
      <c r="A17" s="89"/>
      <c r="B17" s="90"/>
      <c r="C17" s="89"/>
      <c r="D17" s="94"/>
      <c r="E17" s="94"/>
      <c r="F17" s="94"/>
      <c r="G17" s="92"/>
      <c r="H17" s="93"/>
      <c r="I17" s="94"/>
      <c r="J17" s="109"/>
      <c r="K17" s="89"/>
      <c r="L17" s="89"/>
      <c r="M17" s="89"/>
      <c r="N17" s="96"/>
      <c r="O17" s="89"/>
      <c r="P17" s="97"/>
      <c r="Q17" s="89"/>
      <c r="R17" s="89"/>
      <c r="S17" s="110"/>
      <c r="T17" s="90"/>
      <c r="U17" s="111"/>
      <c r="V17" s="90"/>
      <c r="W17" s="112"/>
      <c r="X17" s="112"/>
      <c r="Y17" s="113"/>
      <c r="Z17" s="101"/>
      <c r="AA17" s="102"/>
      <c r="AB17" s="114"/>
      <c r="AC17" s="115"/>
      <c r="AD17" s="108"/>
      <c r="AE17" s="116"/>
      <c r="AF17" s="111"/>
      <c r="AG17" s="110"/>
      <c r="AH17" s="110"/>
      <c r="AI17" s="110"/>
      <c r="AJ17" s="110"/>
      <c r="AK17" s="110"/>
      <c r="AL17" s="111"/>
      <c r="AM17" s="111"/>
      <c r="AN17" s="111"/>
      <c r="AO17" s="111"/>
      <c r="AP17" s="111"/>
      <c r="AQ17" s="111"/>
      <c r="AR17" s="111"/>
    </row>
    <row r="18" s="13" customFormat="1" customHeight="1" spans="1:44">
      <c r="A18" s="89"/>
      <c r="B18" s="90"/>
      <c r="C18" s="89"/>
      <c r="D18" s="94"/>
      <c r="E18" s="94"/>
      <c r="F18" s="94"/>
      <c r="G18" s="92"/>
      <c r="H18" s="93"/>
      <c r="I18" s="94"/>
      <c r="J18" s="109"/>
      <c r="K18" s="89"/>
      <c r="L18" s="89"/>
      <c r="M18" s="89"/>
      <c r="N18" s="96"/>
      <c r="O18" s="89"/>
      <c r="P18" s="97"/>
      <c r="Q18" s="89"/>
      <c r="R18" s="89"/>
      <c r="S18" s="110"/>
      <c r="T18" s="90"/>
      <c r="U18" s="111"/>
      <c r="V18" s="90"/>
      <c r="W18" s="112"/>
      <c r="X18" s="112"/>
      <c r="Y18" s="113"/>
      <c r="Z18" s="101"/>
      <c r="AA18" s="102"/>
      <c r="AB18" s="114"/>
      <c r="AC18" s="115"/>
      <c r="AD18" s="108"/>
      <c r="AE18" s="116"/>
      <c r="AF18" s="111"/>
      <c r="AG18" s="110"/>
      <c r="AH18" s="110"/>
      <c r="AI18" s="110"/>
      <c r="AJ18" s="110"/>
      <c r="AK18" s="110"/>
      <c r="AL18" s="111"/>
      <c r="AM18" s="111"/>
      <c r="AN18" s="111"/>
      <c r="AO18" s="111"/>
      <c r="AP18" s="111"/>
      <c r="AQ18" s="111"/>
      <c r="AR18" s="111"/>
    </row>
    <row r="19" s="13" customFormat="1" customHeight="1" spans="1:44">
      <c r="A19" s="89"/>
      <c r="B19" s="90"/>
      <c r="C19" s="89"/>
      <c r="D19" s="94"/>
      <c r="E19" s="94"/>
      <c r="F19" s="94"/>
      <c r="G19" s="92"/>
      <c r="H19" s="93"/>
      <c r="I19" s="94"/>
      <c r="J19" s="109"/>
      <c r="K19" s="89"/>
      <c r="L19" s="89"/>
      <c r="M19" s="89"/>
      <c r="N19" s="96"/>
      <c r="O19" s="89"/>
      <c r="P19" s="97"/>
      <c r="Q19" s="89"/>
      <c r="R19" s="89"/>
      <c r="S19" s="110"/>
      <c r="T19" s="90"/>
      <c r="U19" s="111"/>
      <c r="V19" s="90"/>
      <c r="W19" s="112"/>
      <c r="X19" s="112"/>
      <c r="Y19" s="113"/>
      <c r="Z19" s="101"/>
      <c r="AA19" s="102"/>
      <c r="AB19" s="114"/>
      <c r="AC19" s="115"/>
      <c r="AD19" s="108"/>
      <c r="AE19" s="116"/>
      <c r="AF19" s="111"/>
      <c r="AG19" s="110"/>
      <c r="AH19" s="110"/>
      <c r="AI19" s="110"/>
      <c r="AJ19" s="110"/>
      <c r="AK19" s="110"/>
      <c r="AL19" s="111"/>
      <c r="AM19" s="111"/>
      <c r="AN19" s="111"/>
      <c r="AO19" s="111"/>
      <c r="AP19" s="111"/>
      <c r="AQ19" s="111"/>
      <c r="AR19" s="111"/>
    </row>
    <row r="20" s="13" customFormat="1" customHeight="1" spans="1:44">
      <c r="A20" s="89"/>
      <c r="B20" s="90"/>
      <c r="C20" s="89"/>
      <c r="D20" s="94"/>
      <c r="E20" s="94"/>
      <c r="F20" s="94"/>
      <c r="G20" s="92"/>
      <c r="H20" s="93"/>
      <c r="I20" s="94"/>
      <c r="J20" s="109"/>
      <c r="K20" s="89"/>
      <c r="L20" s="89"/>
      <c r="M20" s="89"/>
      <c r="N20" s="96"/>
      <c r="O20" s="89"/>
      <c r="P20" s="97"/>
      <c r="Q20" s="89"/>
      <c r="R20" s="89"/>
      <c r="S20" s="110"/>
      <c r="T20" s="90"/>
      <c r="U20" s="111"/>
      <c r="V20" s="90"/>
      <c r="W20" s="112"/>
      <c r="X20" s="112"/>
      <c r="Y20" s="113"/>
      <c r="Z20" s="101"/>
      <c r="AA20" s="102"/>
      <c r="AB20" s="114"/>
      <c r="AC20" s="115"/>
      <c r="AD20" s="108"/>
      <c r="AE20" s="116"/>
      <c r="AF20" s="111"/>
      <c r="AG20" s="110"/>
      <c r="AH20" s="110"/>
      <c r="AI20" s="110"/>
      <c r="AJ20" s="110"/>
      <c r="AK20" s="110"/>
      <c r="AL20" s="111"/>
      <c r="AM20" s="111"/>
      <c r="AN20" s="111"/>
      <c r="AO20" s="111"/>
      <c r="AP20" s="111"/>
      <c r="AQ20" s="111"/>
      <c r="AR20" s="111"/>
    </row>
    <row r="21" s="13" customFormat="1" customHeight="1" spans="1:44">
      <c r="A21" s="89"/>
      <c r="B21" s="90"/>
      <c r="C21" s="89"/>
      <c r="D21" s="94"/>
      <c r="E21" s="94"/>
      <c r="F21" s="94"/>
      <c r="G21" s="92"/>
      <c r="H21" s="93"/>
      <c r="I21" s="94"/>
      <c r="J21" s="109"/>
      <c r="K21" s="89"/>
      <c r="L21" s="89"/>
      <c r="M21" s="89"/>
      <c r="N21" s="96"/>
      <c r="O21" s="89"/>
      <c r="P21" s="97"/>
      <c r="Q21" s="89"/>
      <c r="R21" s="89"/>
      <c r="S21" s="110"/>
      <c r="T21" s="90"/>
      <c r="U21" s="111"/>
      <c r="V21" s="90"/>
      <c r="W21" s="112"/>
      <c r="X21" s="112"/>
      <c r="Y21" s="113"/>
      <c r="Z21" s="101"/>
      <c r="AA21" s="102"/>
      <c r="AB21" s="114"/>
      <c r="AC21" s="115"/>
      <c r="AD21" s="108"/>
      <c r="AE21" s="116"/>
      <c r="AF21" s="111"/>
      <c r="AG21" s="110"/>
      <c r="AH21" s="110"/>
      <c r="AI21" s="110"/>
      <c r="AJ21" s="110"/>
      <c r="AK21" s="110"/>
      <c r="AL21" s="111"/>
      <c r="AM21" s="111"/>
      <c r="AN21" s="111"/>
      <c r="AO21" s="111"/>
      <c r="AP21" s="111"/>
      <c r="AQ21" s="111"/>
      <c r="AR21" s="111"/>
    </row>
    <row r="22" s="13" customFormat="1" customHeight="1" spans="1:44">
      <c r="A22" s="89"/>
      <c r="B22" s="90"/>
      <c r="C22" s="89"/>
      <c r="D22" s="94"/>
      <c r="E22" s="94"/>
      <c r="F22" s="94"/>
      <c r="G22" s="92"/>
      <c r="H22" s="93"/>
      <c r="I22" s="94"/>
      <c r="J22" s="109"/>
      <c r="K22" s="89"/>
      <c r="L22" s="89"/>
      <c r="M22" s="89"/>
      <c r="N22" s="96"/>
      <c r="O22" s="89"/>
      <c r="P22" s="97"/>
      <c r="Q22" s="89"/>
      <c r="R22" s="89"/>
      <c r="S22" s="110"/>
      <c r="T22" s="90"/>
      <c r="U22" s="111"/>
      <c r="V22" s="90"/>
      <c r="W22" s="112"/>
      <c r="X22" s="112"/>
      <c r="Y22" s="113"/>
      <c r="Z22" s="101"/>
      <c r="AA22" s="102"/>
      <c r="AB22" s="114"/>
      <c r="AC22" s="115"/>
      <c r="AD22" s="108"/>
      <c r="AE22" s="116"/>
      <c r="AF22" s="111"/>
      <c r="AG22" s="110"/>
      <c r="AH22" s="110"/>
      <c r="AI22" s="110"/>
      <c r="AJ22" s="110"/>
      <c r="AK22" s="110"/>
      <c r="AL22" s="111"/>
      <c r="AM22" s="111"/>
      <c r="AN22" s="111"/>
      <c r="AO22" s="111"/>
      <c r="AP22" s="111"/>
      <c r="AQ22" s="111"/>
      <c r="AR22" s="111"/>
    </row>
    <row r="23" s="13" customFormat="1" customHeight="1" spans="1:44">
      <c r="A23" s="89"/>
      <c r="B23" s="90"/>
      <c r="C23" s="89"/>
      <c r="D23" s="94"/>
      <c r="E23" s="94"/>
      <c r="F23" s="94"/>
      <c r="G23" s="92"/>
      <c r="H23" s="93"/>
      <c r="I23" s="94"/>
      <c r="J23" s="109"/>
      <c r="K23" s="89"/>
      <c r="L23" s="89"/>
      <c r="M23" s="89"/>
      <c r="N23" s="96"/>
      <c r="O23" s="89"/>
      <c r="P23" s="97"/>
      <c r="Q23" s="89"/>
      <c r="R23" s="89"/>
      <c r="S23" s="110"/>
      <c r="T23" s="90"/>
      <c r="U23" s="111"/>
      <c r="V23" s="90"/>
      <c r="W23" s="112"/>
      <c r="X23" s="112"/>
      <c r="Y23" s="113"/>
      <c r="Z23" s="101"/>
      <c r="AA23" s="102"/>
      <c r="AB23" s="114"/>
      <c r="AC23" s="115"/>
      <c r="AD23" s="108"/>
      <c r="AE23" s="116"/>
      <c r="AF23" s="111"/>
      <c r="AG23" s="110"/>
      <c r="AH23" s="110"/>
      <c r="AI23" s="110"/>
      <c r="AJ23" s="110"/>
      <c r="AK23" s="110"/>
      <c r="AL23" s="111"/>
      <c r="AM23" s="111"/>
      <c r="AN23" s="111"/>
      <c r="AO23" s="111"/>
      <c r="AP23" s="111"/>
      <c r="AQ23" s="111"/>
      <c r="AR23" s="111"/>
    </row>
    <row r="24" s="13" customFormat="1" customHeight="1" spans="1:44">
      <c r="A24" s="89"/>
      <c r="B24" s="90"/>
      <c r="C24" s="89"/>
      <c r="D24" s="94"/>
      <c r="E24" s="94"/>
      <c r="F24" s="94"/>
      <c r="G24" s="92"/>
      <c r="H24" s="93"/>
      <c r="I24" s="94"/>
      <c r="J24" s="109"/>
      <c r="K24" s="89"/>
      <c r="L24" s="89"/>
      <c r="M24" s="89"/>
      <c r="N24" s="96"/>
      <c r="O24" s="89"/>
      <c r="P24" s="97"/>
      <c r="Q24" s="89"/>
      <c r="R24" s="89"/>
      <c r="S24" s="110"/>
      <c r="T24" s="90"/>
      <c r="U24" s="111"/>
      <c r="V24" s="90"/>
      <c r="W24" s="112"/>
      <c r="X24" s="112"/>
      <c r="Y24" s="113"/>
      <c r="Z24" s="101"/>
      <c r="AA24" s="102"/>
      <c r="AB24" s="114"/>
      <c r="AC24" s="115"/>
      <c r="AD24" s="108"/>
      <c r="AE24" s="116"/>
      <c r="AF24" s="111"/>
      <c r="AG24" s="110"/>
      <c r="AH24" s="110"/>
      <c r="AI24" s="110"/>
      <c r="AJ24" s="110"/>
      <c r="AK24" s="110"/>
      <c r="AL24" s="111"/>
      <c r="AM24" s="111"/>
      <c r="AN24" s="111"/>
      <c r="AO24" s="111"/>
      <c r="AP24" s="111"/>
      <c r="AQ24" s="111"/>
      <c r="AR24" s="111"/>
    </row>
    <row r="25" s="13" customFormat="1" customHeight="1" spans="1:44">
      <c r="A25" s="89"/>
      <c r="B25" s="90"/>
      <c r="C25" s="89"/>
      <c r="D25" s="94"/>
      <c r="E25" s="94"/>
      <c r="F25" s="94"/>
      <c r="G25" s="92"/>
      <c r="H25" s="93"/>
      <c r="I25" s="94"/>
      <c r="J25" s="109"/>
      <c r="K25" s="89"/>
      <c r="L25" s="89"/>
      <c r="M25" s="89"/>
      <c r="N25" s="96"/>
      <c r="O25" s="89"/>
      <c r="P25" s="97"/>
      <c r="Q25" s="89"/>
      <c r="R25" s="89"/>
      <c r="S25" s="110"/>
      <c r="T25" s="90"/>
      <c r="U25" s="111"/>
      <c r="V25" s="90"/>
      <c r="W25" s="112"/>
      <c r="X25" s="112"/>
      <c r="Y25" s="113"/>
      <c r="Z25" s="101"/>
      <c r="AA25" s="102"/>
      <c r="AB25" s="114"/>
      <c r="AC25" s="115"/>
      <c r="AD25" s="108"/>
      <c r="AE25" s="116"/>
      <c r="AF25" s="111"/>
      <c r="AG25" s="110"/>
      <c r="AH25" s="110"/>
      <c r="AI25" s="110"/>
      <c r="AJ25" s="110"/>
      <c r="AK25" s="110"/>
      <c r="AL25" s="111"/>
      <c r="AM25" s="111"/>
      <c r="AN25" s="111"/>
      <c r="AO25" s="111"/>
      <c r="AP25" s="111"/>
      <c r="AQ25" s="111"/>
      <c r="AR25" s="111"/>
    </row>
    <row r="26" s="13" customFormat="1" customHeight="1" spans="1:44">
      <c r="A26" s="89"/>
      <c r="B26" s="90"/>
      <c r="C26" s="89"/>
      <c r="D26" s="94"/>
      <c r="E26" s="94"/>
      <c r="F26" s="94"/>
      <c r="G26" s="92"/>
      <c r="H26" s="93"/>
      <c r="I26" s="94"/>
      <c r="J26" s="109"/>
      <c r="K26" s="89"/>
      <c r="L26" s="89"/>
      <c r="M26" s="89"/>
      <c r="N26" s="96"/>
      <c r="O26" s="89"/>
      <c r="P26" s="97"/>
      <c r="Q26" s="89"/>
      <c r="R26" s="89"/>
      <c r="S26" s="110"/>
      <c r="T26" s="90"/>
      <c r="U26" s="111"/>
      <c r="V26" s="90"/>
      <c r="W26" s="112"/>
      <c r="X26" s="112"/>
      <c r="Y26" s="113"/>
      <c r="Z26" s="101"/>
      <c r="AA26" s="102"/>
      <c r="AB26" s="114"/>
      <c r="AC26" s="115"/>
      <c r="AD26" s="108"/>
      <c r="AE26" s="116"/>
      <c r="AF26" s="111"/>
      <c r="AG26" s="110"/>
      <c r="AH26" s="110"/>
      <c r="AI26" s="110"/>
      <c r="AJ26" s="110"/>
      <c r="AK26" s="110"/>
      <c r="AL26" s="111"/>
      <c r="AM26" s="111"/>
      <c r="AN26" s="111"/>
      <c r="AO26" s="111"/>
      <c r="AP26" s="111"/>
      <c r="AQ26" s="111"/>
      <c r="AR26" s="111"/>
    </row>
    <row r="27" s="13" customFormat="1" customHeight="1" spans="1:44">
      <c r="A27" s="89"/>
      <c r="B27" s="90"/>
      <c r="C27" s="89"/>
      <c r="D27" s="94"/>
      <c r="E27" s="94"/>
      <c r="F27" s="94"/>
      <c r="G27" s="92"/>
      <c r="H27" s="93"/>
      <c r="I27" s="94"/>
      <c r="J27" s="109"/>
      <c r="K27" s="89"/>
      <c r="L27" s="89"/>
      <c r="M27" s="89"/>
      <c r="N27" s="96"/>
      <c r="O27" s="89"/>
      <c r="P27" s="97"/>
      <c r="Q27" s="89"/>
      <c r="R27" s="89"/>
      <c r="S27" s="110"/>
      <c r="T27" s="90"/>
      <c r="U27" s="111"/>
      <c r="V27" s="90"/>
      <c r="W27" s="112"/>
      <c r="X27" s="112"/>
      <c r="Y27" s="113"/>
      <c r="Z27" s="101"/>
      <c r="AA27" s="102"/>
      <c r="AB27" s="114"/>
      <c r="AC27" s="115"/>
      <c r="AD27" s="108"/>
      <c r="AE27" s="116"/>
      <c r="AF27" s="111"/>
      <c r="AG27" s="110"/>
      <c r="AH27" s="110"/>
      <c r="AI27" s="110"/>
      <c r="AJ27" s="110"/>
      <c r="AK27" s="110"/>
      <c r="AL27" s="111"/>
      <c r="AM27" s="111"/>
      <c r="AN27" s="111"/>
      <c r="AO27" s="111"/>
      <c r="AP27" s="111"/>
      <c r="AQ27" s="111"/>
      <c r="AR27" s="111"/>
    </row>
    <row r="28" s="13" customFormat="1" customHeight="1" spans="1:44">
      <c r="A28" s="89"/>
      <c r="B28" s="90"/>
      <c r="C28" s="89"/>
      <c r="D28" s="94"/>
      <c r="E28" s="94"/>
      <c r="F28" s="94"/>
      <c r="G28" s="92"/>
      <c r="H28" s="93"/>
      <c r="I28" s="94"/>
      <c r="J28" s="109"/>
      <c r="K28" s="89"/>
      <c r="L28" s="89"/>
      <c r="M28" s="89"/>
      <c r="N28" s="96"/>
      <c r="O28" s="89"/>
      <c r="P28" s="97"/>
      <c r="Q28" s="89"/>
      <c r="R28" s="89"/>
      <c r="S28" s="110"/>
      <c r="T28" s="90"/>
      <c r="U28" s="111"/>
      <c r="V28" s="90"/>
      <c r="W28" s="112"/>
      <c r="X28" s="112"/>
      <c r="Y28" s="113"/>
      <c r="Z28" s="101"/>
      <c r="AA28" s="102"/>
      <c r="AB28" s="114"/>
      <c r="AC28" s="115"/>
      <c r="AD28" s="108"/>
      <c r="AE28" s="116"/>
      <c r="AF28" s="111"/>
      <c r="AG28" s="110"/>
      <c r="AH28" s="110"/>
      <c r="AI28" s="110"/>
      <c r="AJ28" s="110"/>
      <c r="AK28" s="110"/>
      <c r="AL28" s="111"/>
      <c r="AM28" s="111"/>
      <c r="AN28" s="111"/>
      <c r="AO28" s="111"/>
      <c r="AP28" s="111"/>
      <c r="AQ28" s="111"/>
      <c r="AR28" s="111"/>
    </row>
    <row r="29" s="13" customFormat="1" customHeight="1" spans="1:44">
      <c r="A29" s="89"/>
      <c r="B29" s="90"/>
      <c r="C29" s="89"/>
      <c r="D29" s="94"/>
      <c r="E29" s="94"/>
      <c r="F29" s="94"/>
      <c r="G29" s="92"/>
      <c r="H29" s="93"/>
      <c r="I29" s="94"/>
      <c r="J29" s="109"/>
      <c r="K29" s="89"/>
      <c r="L29" s="89"/>
      <c r="M29" s="89"/>
      <c r="N29" s="96"/>
      <c r="O29" s="89"/>
      <c r="P29" s="97"/>
      <c r="Q29" s="89"/>
      <c r="R29" s="89"/>
      <c r="S29" s="110"/>
      <c r="T29" s="90"/>
      <c r="U29" s="111"/>
      <c r="V29" s="90"/>
      <c r="W29" s="112"/>
      <c r="X29" s="112"/>
      <c r="Y29" s="113"/>
      <c r="Z29" s="101"/>
      <c r="AA29" s="102"/>
      <c r="AB29" s="114"/>
      <c r="AC29" s="115"/>
      <c r="AD29" s="108"/>
      <c r="AE29" s="116"/>
      <c r="AF29" s="111"/>
      <c r="AG29" s="110"/>
      <c r="AH29" s="110"/>
      <c r="AI29" s="110"/>
      <c r="AJ29" s="110"/>
      <c r="AK29" s="110"/>
      <c r="AL29" s="111"/>
      <c r="AM29" s="111"/>
      <c r="AN29" s="111"/>
      <c r="AO29" s="111"/>
      <c r="AP29" s="111"/>
      <c r="AQ29" s="111"/>
      <c r="AR29" s="111"/>
    </row>
    <row r="30" s="13" customFormat="1" customHeight="1" spans="1:44">
      <c r="A30" s="89"/>
      <c r="B30" s="90"/>
      <c r="C30" s="89"/>
      <c r="D30" s="94"/>
      <c r="E30" s="94"/>
      <c r="F30" s="94"/>
      <c r="G30" s="92"/>
      <c r="H30" s="93"/>
      <c r="I30" s="94"/>
      <c r="J30" s="109"/>
      <c r="K30" s="89"/>
      <c r="L30" s="89"/>
      <c r="M30" s="89"/>
      <c r="N30" s="96"/>
      <c r="O30" s="89"/>
      <c r="P30" s="97"/>
      <c r="Q30" s="89"/>
      <c r="R30" s="89"/>
      <c r="S30" s="110"/>
      <c r="T30" s="90"/>
      <c r="U30" s="111"/>
      <c r="V30" s="90"/>
      <c r="W30" s="112"/>
      <c r="X30" s="112"/>
      <c r="Y30" s="113"/>
      <c r="Z30" s="101"/>
      <c r="AA30" s="102"/>
      <c r="AB30" s="114"/>
      <c r="AC30" s="115"/>
      <c r="AD30" s="108"/>
      <c r="AE30" s="116"/>
      <c r="AF30" s="111"/>
      <c r="AG30" s="110"/>
      <c r="AH30" s="110"/>
      <c r="AI30" s="110"/>
      <c r="AJ30" s="110"/>
      <c r="AK30" s="110"/>
      <c r="AL30" s="111"/>
      <c r="AM30" s="111"/>
      <c r="AN30" s="111"/>
      <c r="AO30" s="111"/>
      <c r="AP30" s="111"/>
      <c r="AQ30" s="111"/>
      <c r="AR30" s="111"/>
    </row>
    <row r="31" s="13" customFormat="1" customHeight="1" spans="1:44">
      <c r="A31" s="89"/>
      <c r="B31" s="90"/>
      <c r="C31" s="89"/>
      <c r="D31" s="94"/>
      <c r="E31" s="94"/>
      <c r="F31" s="94"/>
      <c r="G31" s="92"/>
      <c r="H31" s="93"/>
      <c r="I31" s="94"/>
      <c r="J31" s="109"/>
      <c r="K31" s="89"/>
      <c r="L31" s="89"/>
      <c r="M31" s="89"/>
      <c r="N31" s="96"/>
      <c r="O31" s="89"/>
      <c r="P31" s="97"/>
      <c r="Q31" s="89"/>
      <c r="R31" s="89"/>
      <c r="S31" s="110"/>
      <c r="T31" s="90"/>
      <c r="U31" s="111"/>
      <c r="V31" s="90"/>
      <c r="W31" s="112"/>
      <c r="X31" s="112"/>
      <c r="Y31" s="113"/>
      <c r="Z31" s="101"/>
      <c r="AA31" s="102"/>
      <c r="AB31" s="114"/>
      <c r="AC31" s="115"/>
      <c r="AD31" s="108"/>
      <c r="AE31" s="116"/>
      <c r="AF31" s="111"/>
      <c r="AG31" s="110"/>
      <c r="AH31" s="110"/>
      <c r="AI31" s="110"/>
      <c r="AJ31" s="110"/>
      <c r="AK31" s="110"/>
      <c r="AL31" s="111"/>
      <c r="AM31" s="111"/>
      <c r="AN31" s="111"/>
      <c r="AO31" s="111"/>
      <c r="AP31" s="111"/>
      <c r="AQ31" s="111"/>
      <c r="AR31" s="111"/>
    </row>
    <row r="32" s="13" customFormat="1" customHeight="1" spans="1:44">
      <c r="A32" s="89"/>
      <c r="B32" s="90"/>
      <c r="C32" s="89"/>
      <c r="D32" s="94"/>
      <c r="E32" s="94"/>
      <c r="F32" s="94"/>
      <c r="G32" s="92"/>
      <c r="H32" s="93"/>
      <c r="I32" s="94"/>
      <c r="J32" s="109"/>
      <c r="K32" s="89"/>
      <c r="L32" s="89"/>
      <c r="M32" s="89"/>
      <c r="N32" s="96"/>
      <c r="O32" s="89"/>
      <c r="P32" s="97"/>
      <c r="Q32" s="89"/>
      <c r="R32" s="89"/>
      <c r="S32" s="110"/>
      <c r="T32" s="90"/>
      <c r="U32" s="111"/>
      <c r="V32" s="90"/>
      <c r="W32" s="112"/>
      <c r="X32" s="112"/>
      <c r="Y32" s="113"/>
      <c r="Z32" s="101"/>
      <c r="AA32" s="102"/>
      <c r="AB32" s="114"/>
      <c r="AC32" s="115"/>
      <c r="AD32" s="108"/>
      <c r="AE32" s="116"/>
      <c r="AF32" s="111"/>
      <c r="AG32" s="110"/>
      <c r="AH32" s="110"/>
      <c r="AI32" s="110"/>
      <c r="AJ32" s="110"/>
      <c r="AK32" s="110"/>
      <c r="AL32" s="111"/>
      <c r="AM32" s="111"/>
      <c r="AN32" s="111"/>
      <c r="AO32" s="111"/>
      <c r="AP32" s="111"/>
      <c r="AQ32" s="111"/>
      <c r="AR32" s="111"/>
    </row>
    <row r="33" s="13" customFormat="1" customHeight="1" spans="1:44">
      <c r="A33" s="89"/>
      <c r="B33" s="90"/>
      <c r="C33" s="89"/>
      <c r="D33" s="94"/>
      <c r="E33" s="94"/>
      <c r="F33" s="94"/>
      <c r="G33" s="92"/>
      <c r="H33" s="93"/>
      <c r="I33" s="94"/>
      <c r="J33" s="109"/>
      <c r="K33" s="89"/>
      <c r="L33" s="89"/>
      <c r="M33" s="89"/>
      <c r="N33" s="96"/>
      <c r="O33" s="89"/>
      <c r="P33" s="97"/>
      <c r="Q33" s="89"/>
      <c r="R33" s="89"/>
      <c r="S33" s="110"/>
      <c r="T33" s="90"/>
      <c r="U33" s="111"/>
      <c r="V33" s="90"/>
      <c r="W33" s="112"/>
      <c r="X33" s="112"/>
      <c r="Y33" s="113"/>
      <c r="Z33" s="101"/>
      <c r="AA33" s="102"/>
      <c r="AB33" s="114"/>
      <c r="AC33" s="115"/>
      <c r="AD33" s="108"/>
      <c r="AE33" s="116"/>
      <c r="AF33" s="111"/>
      <c r="AG33" s="110"/>
      <c r="AH33" s="110"/>
      <c r="AI33" s="110"/>
      <c r="AJ33" s="110"/>
      <c r="AK33" s="110"/>
      <c r="AL33" s="111"/>
      <c r="AM33" s="111"/>
      <c r="AN33" s="111"/>
      <c r="AO33" s="111"/>
      <c r="AP33" s="111"/>
      <c r="AQ33" s="111"/>
      <c r="AR33" s="111"/>
    </row>
    <row r="34" s="13" customFormat="1" customHeight="1" spans="1:44">
      <c r="A34" s="89"/>
      <c r="B34" s="90"/>
      <c r="C34" s="89"/>
      <c r="D34" s="94"/>
      <c r="E34" s="94"/>
      <c r="F34" s="94"/>
      <c r="G34" s="92"/>
      <c r="H34" s="93"/>
      <c r="I34" s="94"/>
      <c r="J34" s="109"/>
      <c r="K34" s="89"/>
      <c r="L34" s="89"/>
      <c r="M34" s="89"/>
      <c r="N34" s="96"/>
      <c r="O34" s="89"/>
      <c r="P34" s="97"/>
      <c r="Q34" s="89"/>
      <c r="R34" s="89"/>
      <c r="S34" s="110"/>
      <c r="T34" s="90"/>
      <c r="U34" s="111"/>
      <c r="V34" s="90"/>
      <c r="W34" s="112"/>
      <c r="X34" s="112"/>
      <c r="Y34" s="113"/>
      <c r="Z34" s="101"/>
      <c r="AA34" s="102"/>
      <c r="AB34" s="114"/>
      <c r="AC34" s="115"/>
      <c r="AD34" s="108"/>
      <c r="AE34" s="116"/>
      <c r="AF34" s="111"/>
      <c r="AG34" s="110"/>
      <c r="AH34" s="110"/>
      <c r="AI34" s="110"/>
      <c r="AJ34" s="110"/>
      <c r="AK34" s="110"/>
      <c r="AL34" s="111"/>
      <c r="AM34" s="111"/>
      <c r="AN34" s="111"/>
      <c r="AO34" s="111"/>
      <c r="AP34" s="111"/>
      <c r="AQ34" s="111"/>
      <c r="AR34" s="111"/>
    </row>
    <row r="35" s="13" customFormat="1" customHeight="1" spans="1:44">
      <c r="A35" s="89"/>
      <c r="B35" s="90"/>
      <c r="C35" s="89"/>
      <c r="D35" s="94"/>
      <c r="E35" s="94"/>
      <c r="F35" s="94"/>
      <c r="G35" s="92"/>
      <c r="H35" s="93"/>
      <c r="I35" s="94"/>
      <c r="J35" s="109"/>
      <c r="K35" s="89"/>
      <c r="L35" s="89"/>
      <c r="M35" s="89"/>
      <c r="N35" s="96"/>
      <c r="O35" s="89"/>
      <c r="P35" s="97"/>
      <c r="Q35" s="89"/>
      <c r="R35" s="89"/>
      <c r="S35" s="110"/>
      <c r="T35" s="90"/>
      <c r="U35" s="111"/>
      <c r="V35" s="90"/>
      <c r="W35" s="112"/>
      <c r="X35" s="112"/>
      <c r="Y35" s="113"/>
      <c r="Z35" s="101"/>
      <c r="AA35" s="102"/>
      <c r="AB35" s="114"/>
      <c r="AC35" s="115"/>
      <c r="AD35" s="108"/>
      <c r="AE35" s="116"/>
      <c r="AF35" s="111"/>
      <c r="AG35" s="110"/>
      <c r="AH35" s="110"/>
      <c r="AI35" s="110"/>
      <c r="AJ35" s="110"/>
      <c r="AK35" s="110"/>
      <c r="AL35" s="111"/>
      <c r="AM35" s="111"/>
      <c r="AN35" s="111"/>
      <c r="AO35" s="111"/>
      <c r="AP35" s="111"/>
      <c r="AQ35" s="111"/>
      <c r="AR35" s="111"/>
    </row>
    <row r="36" s="13" customFormat="1" customHeight="1" spans="1:44">
      <c r="A36" s="89"/>
      <c r="B36" s="90"/>
      <c r="C36" s="89"/>
      <c r="D36" s="94"/>
      <c r="E36" s="94"/>
      <c r="F36" s="94"/>
      <c r="G36" s="92"/>
      <c r="H36" s="93"/>
      <c r="I36" s="94"/>
      <c r="J36" s="109"/>
      <c r="K36" s="89"/>
      <c r="L36" s="89"/>
      <c r="M36" s="89"/>
      <c r="N36" s="96"/>
      <c r="O36" s="89"/>
      <c r="P36" s="97"/>
      <c r="Q36" s="89"/>
      <c r="R36" s="89"/>
      <c r="S36" s="110"/>
      <c r="T36" s="90"/>
      <c r="U36" s="111"/>
      <c r="V36" s="90"/>
      <c r="W36" s="112"/>
      <c r="X36" s="112"/>
      <c r="Y36" s="113"/>
      <c r="Z36" s="101"/>
      <c r="AA36" s="102"/>
      <c r="AB36" s="114"/>
      <c r="AC36" s="115"/>
      <c r="AD36" s="108"/>
      <c r="AE36" s="116"/>
      <c r="AF36" s="111"/>
      <c r="AG36" s="110"/>
      <c r="AH36" s="110"/>
      <c r="AI36" s="110"/>
      <c r="AJ36" s="110"/>
      <c r="AK36" s="110"/>
      <c r="AL36" s="111"/>
      <c r="AM36" s="111"/>
      <c r="AN36" s="111"/>
      <c r="AO36" s="111"/>
      <c r="AP36" s="111"/>
      <c r="AQ36" s="111"/>
      <c r="AR36" s="111"/>
    </row>
    <row r="37" s="13" customFormat="1" customHeight="1" spans="1:44">
      <c r="A37" s="89"/>
      <c r="B37" s="90"/>
      <c r="C37" s="89"/>
      <c r="D37" s="94"/>
      <c r="E37" s="94"/>
      <c r="F37" s="94"/>
      <c r="G37" s="92"/>
      <c r="H37" s="93"/>
      <c r="I37" s="94"/>
      <c r="J37" s="109"/>
      <c r="K37" s="89"/>
      <c r="L37" s="89"/>
      <c r="M37" s="89"/>
      <c r="N37" s="96"/>
      <c r="O37" s="89"/>
      <c r="P37" s="97"/>
      <c r="Q37" s="89"/>
      <c r="R37" s="89"/>
      <c r="S37" s="110"/>
      <c r="T37" s="90"/>
      <c r="U37" s="111"/>
      <c r="V37" s="90"/>
      <c r="W37" s="112"/>
      <c r="X37" s="112"/>
      <c r="Y37" s="113"/>
      <c r="Z37" s="101"/>
      <c r="AA37" s="102"/>
      <c r="AB37" s="114"/>
      <c r="AC37" s="115"/>
      <c r="AD37" s="108"/>
      <c r="AE37" s="116"/>
      <c r="AF37" s="111"/>
      <c r="AG37" s="110"/>
      <c r="AH37" s="110"/>
      <c r="AI37" s="110"/>
      <c r="AJ37" s="110"/>
      <c r="AK37" s="110"/>
      <c r="AL37" s="111"/>
      <c r="AM37" s="111"/>
      <c r="AN37" s="111"/>
      <c r="AO37" s="111"/>
      <c r="AP37" s="111"/>
      <c r="AQ37" s="111"/>
      <c r="AR37" s="111"/>
    </row>
    <row r="38" s="13" customFormat="1" customHeight="1" spans="1:44">
      <c r="A38" s="89"/>
      <c r="B38" s="90"/>
      <c r="C38" s="89"/>
      <c r="D38" s="94"/>
      <c r="E38" s="94"/>
      <c r="F38" s="94"/>
      <c r="G38" s="92"/>
      <c r="H38" s="93"/>
      <c r="I38" s="94"/>
      <c r="J38" s="109"/>
      <c r="K38" s="89"/>
      <c r="L38" s="89"/>
      <c r="M38" s="89"/>
      <c r="N38" s="96"/>
      <c r="O38" s="89"/>
      <c r="P38" s="97"/>
      <c r="Q38" s="89"/>
      <c r="R38" s="89"/>
      <c r="S38" s="110"/>
      <c r="T38" s="90"/>
      <c r="U38" s="111"/>
      <c r="V38" s="90"/>
      <c r="W38" s="112"/>
      <c r="X38" s="112"/>
      <c r="Y38" s="113"/>
      <c r="Z38" s="101"/>
      <c r="AA38" s="102"/>
      <c r="AB38" s="114"/>
      <c r="AC38" s="115"/>
      <c r="AD38" s="108"/>
      <c r="AE38" s="116"/>
      <c r="AF38" s="111"/>
      <c r="AG38" s="110"/>
      <c r="AH38" s="110"/>
      <c r="AI38" s="110"/>
      <c r="AJ38" s="110"/>
      <c r="AK38" s="110"/>
      <c r="AL38" s="111"/>
      <c r="AM38" s="111"/>
      <c r="AN38" s="111"/>
      <c r="AO38" s="111"/>
      <c r="AP38" s="111"/>
      <c r="AQ38" s="111"/>
      <c r="AR38" s="111"/>
    </row>
    <row r="39" s="13" customFormat="1" customHeight="1" spans="1:44">
      <c r="A39" s="89"/>
      <c r="B39" s="90"/>
      <c r="C39" s="89"/>
      <c r="D39" s="94"/>
      <c r="E39" s="94"/>
      <c r="F39" s="94"/>
      <c r="G39" s="92"/>
      <c r="H39" s="93"/>
      <c r="I39" s="94"/>
      <c r="J39" s="109"/>
      <c r="K39" s="89"/>
      <c r="L39" s="89"/>
      <c r="M39" s="89"/>
      <c r="N39" s="96"/>
      <c r="O39" s="89"/>
      <c r="P39" s="97"/>
      <c r="Q39" s="89"/>
      <c r="R39" s="89"/>
      <c r="S39" s="110"/>
      <c r="T39" s="90"/>
      <c r="U39" s="111"/>
      <c r="V39" s="90"/>
      <c r="W39" s="112"/>
      <c r="X39" s="112"/>
      <c r="Y39" s="113"/>
      <c r="Z39" s="101"/>
      <c r="AA39" s="102"/>
      <c r="AB39" s="114"/>
      <c r="AC39" s="115"/>
      <c r="AD39" s="108"/>
      <c r="AE39" s="116"/>
      <c r="AF39" s="111"/>
      <c r="AG39" s="110"/>
      <c r="AH39" s="110"/>
      <c r="AI39" s="110"/>
      <c r="AJ39" s="110"/>
      <c r="AK39" s="110"/>
      <c r="AL39" s="111"/>
      <c r="AM39" s="111"/>
      <c r="AN39" s="111"/>
      <c r="AO39" s="111"/>
      <c r="AP39" s="111"/>
      <c r="AQ39" s="111"/>
      <c r="AR39" s="111"/>
    </row>
    <row r="40" s="13" customFormat="1" customHeight="1" spans="1:44">
      <c r="A40" s="89"/>
      <c r="B40" s="90"/>
      <c r="C40" s="89"/>
      <c r="D40" s="94"/>
      <c r="E40" s="94"/>
      <c r="F40" s="94"/>
      <c r="G40" s="92"/>
      <c r="H40" s="93"/>
      <c r="I40" s="94"/>
      <c r="J40" s="109"/>
      <c r="K40" s="89"/>
      <c r="L40" s="89"/>
      <c r="M40" s="89"/>
      <c r="N40" s="96"/>
      <c r="O40" s="89"/>
      <c r="P40" s="97"/>
      <c r="Q40" s="89"/>
      <c r="R40" s="89"/>
      <c r="S40" s="110"/>
      <c r="T40" s="90"/>
      <c r="U40" s="111"/>
      <c r="V40" s="90"/>
      <c r="W40" s="112"/>
      <c r="X40" s="112"/>
      <c r="Y40" s="113"/>
      <c r="Z40" s="101"/>
      <c r="AA40" s="102"/>
      <c r="AB40" s="114"/>
      <c r="AC40" s="115"/>
      <c r="AD40" s="108"/>
      <c r="AE40" s="116"/>
      <c r="AF40" s="111"/>
      <c r="AG40" s="110"/>
      <c r="AH40" s="110"/>
      <c r="AI40" s="110"/>
      <c r="AJ40" s="110"/>
      <c r="AK40" s="110"/>
      <c r="AL40" s="111"/>
      <c r="AM40" s="111"/>
      <c r="AN40" s="111"/>
      <c r="AO40" s="111"/>
      <c r="AP40" s="111"/>
      <c r="AQ40" s="111"/>
      <c r="AR40" s="111"/>
    </row>
    <row r="41" s="13" customFormat="1" customHeight="1" spans="1:44">
      <c r="A41" s="89"/>
      <c r="B41" s="90"/>
      <c r="C41" s="89"/>
      <c r="D41" s="94"/>
      <c r="E41" s="94"/>
      <c r="F41" s="94"/>
      <c r="G41" s="92"/>
      <c r="H41" s="93"/>
      <c r="I41" s="94"/>
      <c r="J41" s="109"/>
      <c r="K41" s="89"/>
      <c r="L41" s="89"/>
      <c r="M41" s="89"/>
      <c r="N41" s="96"/>
      <c r="O41" s="89"/>
      <c r="P41" s="97"/>
      <c r="Q41" s="89"/>
      <c r="R41" s="89"/>
      <c r="S41" s="110"/>
      <c r="T41" s="90"/>
      <c r="U41" s="111"/>
      <c r="V41" s="90"/>
      <c r="W41" s="112"/>
      <c r="X41" s="112"/>
      <c r="Y41" s="113"/>
      <c r="Z41" s="101"/>
      <c r="AA41" s="102"/>
      <c r="AB41" s="114"/>
      <c r="AC41" s="115"/>
      <c r="AD41" s="108"/>
      <c r="AE41" s="116"/>
      <c r="AF41" s="111"/>
      <c r="AG41" s="110"/>
      <c r="AH41" s="110"/>
      <c r="AI41" s="110"/>
      <c r="AJ41" s="110"/>
      <c r="AK41" s="110"/>
      <c r="AL41" s="111"/>
      <c r="AM41" s="111"/>
      <c r="AN41" s="111"/>
      <c r="AO41" s="111"/>
      <c r="AP41" s="111"/>
      <c r="AQ41" s="111"/>
      <c r="AR41" s="111"/>
    </row>
    <row r="42" s="13" customFormat="1" customHeight="1" spans="1:44">
      <c r="A42" s="89"/>
      <c r="B42" s="90"/>
      <c r="C42" s="89"/>
      <c r="D42" s="94"/>
      <c r="E42" s="94"/>
      <c r="F42" s="94"/>
      <c r="G42" s="92"/>
      <c r="H42" s="93"/>
      <c r="I42" s="94"/>
      <c r="J42" s="109"/>
      <c r="K42" s="89"/>
      <c r="L42" s="89"/>
      <c r="M42" s="89"/>
      <c r="N42" s="96"/>
      <c r="O42" s="89"/>
      <c r="P42" s="97"/>
      <c r="Q42" s="89"/>
      <c r="R42" s="89"/>
      <c r="S42" s="110"/>
      <c r="T42" s="90"/>
      <c r="U42" s="111"/>
      <c r="V42" s="90"/>
      <c r="W42" s="112"/>
      <c r="X42" s="112"/>
      <c r="Y42" s="113"/>
      <c r="Z42" s="101"/>
      <c r="AA42" s="102"/>
      <c r="AB42" s="114"/>
      <c r="AC42" s="115"/>
      <c r="AD42" s="108"/>
      <c r="AE42" s="116"/>
      <c r="AF42" s="111"/>
      <c r="AG42" s="110"/>
      <c r="AH42" s="110"/>
      <c r="AI42" s="110"/>
      <c r="AJ42" s="110"/>
      <c r="AK42" s="110"/>
      <c r="AL42" s="111"/>
      <c r="AM42" s="111"/>
      <c r="AN42" s="111"/>
      <c r="AO42" s="111"/>
      <c r="AP42" s="111"/>
      <c r="AQ42" s="111"/>
      <c r="AR42" s="111"/>
    </row>
    <row r="43" s="13" customFormat="1" customHeight="1" spans="1:44">
      <c r="A43" s="89"/>
      <c r="B43" s="90"/>
      <c r="C43" s="89"/>
      <c r="D43" s="94"/>
      <c r="E43" s="94"/>
      <c r="F43" s="94"/>
      <c r="G43" s="92"/>
      <c r="H43" s="93"/>
      <c r="I43" s="94"/>
      <c r="J43" s="109"/>
      <c r="K43" s="89"/>
      <c r="L43" s="89"/>
      <c r="M43" s="89"/>
      <c r="N43" s="96"/>
      <c r="O43" s="89"/>
      <c r="P43" s="97"/>
      <c r="Q43" s="89"/>
      <c r="R43" s="89"/>
      <c r="S43" s="110"/>
      <c r="T43" s="90"/>
      <c r="U43" s="111"/>
      <c r="V43" s="90"/>
      <c r="W43" s="112"/>
      <c r="X43" s="112"/>
      <c r="Y43" s="113"/>
      <c r="Z43" s="101"/>
      <c r="AA43" s="102"/>
      <c r="AB43" s="114"/>
      <c r="AC43" s="115"/>
      <c r="AD43" s="108"/>
      <c r="AE43" s="116"/>
      <c r="AF43" s="111"/>
      <c r="AG43" s="110"/>
      <c r="AH43" s="110"/>
      <c r="AI43" s="110"/>
      <c r="AJ43" s="110"/>
      <c r="AK43" s="110"/>
      <c r="AL43" s="111"/>
      <c r="AM43" s="111"/>
      <c r="AN43" s="111"/>
      <c r="AO43" s="111"/>
      <c r="AP43" s="111"/>
      <c r="AQ43" s="111"/>
      <c r="AR43" s="111"/>
    </row>
    <row r="44" s="13" customFormat="1" customHeight="1" spans="1:44">
      <c r="A44" s="89"/>
      <c r="B44" s="90"/>
      <c r="C44" s="89"/>
      <c r="D44" s="94"/>
      <c r="E44" s="94"/>
      <c r="F44" s="94"/>
      <c r="G44" s="92"/>
      <c r="H44" s="93"/>
      <c r="I44" s="94"/>
      <c r="J44" s="109"/>
      <c r="K44" s="89"/>
      <c r="L44" s="89"/>
      <c r="M44" s="89"/>
      <c r="N44" s="96"/>
      <c r="O44" s="89"/>
      <c r="P44" s="97"/>
      <c r="Q44" s="89"/>
      <c r="R44" s="89"/>
      <c r="S44" s="110"/>
      <c r="T44" s="90"/>
      <c r="U44" s="111"/>
      <c r="V44" s="90"/>
      <c r="W44" s="112"/>
      <c r="X44" s="112"/>
      <c r="Y44" s="113"/>
      <c r="Z44" s="101"/>
      <c r="AA44" s="102"/>
      <c r="AB44" s="114"/>
      <c r="AC44" s="115"/>
      <c r="AD44" s="108"/>
      <c r="AE44" s="116"/>
      <c r="AF44" s="111"/>
      <c r="AG44" s="110"/>
      <c r="AH44" s="110"/>
      <c r="AI44" s="110"/>
      <c r="AJ44" s="110"/>
      <c r="AK44" s="110"/>
      <c r="AL44" s="111"/>
      <c r="AM44" s="111"/>
      <c r="AN44" s="111"/>
      <c r="AO44" s="111"/>
      <c r="AP44" s="111"/>
      <c r="AQ44" s="111"/>
      <c r="AR44" s="111"/>
    </row>
    <row r="45" s="13" customFormat="1" customHeight="1" spans="1:44">
      <c r="A45" s="89"/>
      <c r="B45" s="90"/>
      <c r="C45" s="89"/>
      <c r="D45" s="94"/>
      <c r="E45" s="94"/>
      <c r="F45" s="94"/>
      <c r="G45" s="92"/>
      <c r="H45" s="93"/>
      <c r="I45" s="94"/>
      <c r="J45" s="109"/>
      <c r="K45" s="89"/>
      <c r="L45" s="89"/>
      <c r="M45" s="89"/>
      <c r="N45" s="96"/>
      <c r="O45" s="89"/>
      <c r="P45" s="97"/>
      <c r="Q45" s="89"/>
      <c r="R45" s="89"/>
      <c r="S45" s="110"/>
      <c r="T45" s="90"/>
      <c r="U45" s="111"/>
      <c r="V45" s="90"/>
      <c r="W45" s="112"/>
      <c r="X45" s="112"/>
      <c r="Y45" s="113"/>
      <c r="Z45" s="101"/>
      <c r="AA45" s="102"/>
      <c r="AB45" s="114"/>
      <c r="AC45" s="115"/>
      <c r="AD45" s="108"/>
      <c r="AE45" s="116"/>
      <c r="AF45" s="111"/>
      <c r="AG45" s="110"/>
      <c r="AH45" s="110"/>
      <c r="AI45" s="110"/>
      <c r="AJ45" s="110"/>
      <c r="AK45" s="110"/>
      <c r="AL45" s="111"/>
      <c r="AM45" s="111"/>
      <c r="AN45" s="111"/>
      <c r="AO45" s="111"/>
      <c r="AP45" s="111"/>
      <c r="AQ45" s="111"/>
      <c r="AR45" s="111"/>
    </row>
    <row r="46" s="13" customFormat="1" customHeight="1" spans="1:44">
      <c r="A46" s="89"/>
      <c r="B46" s="90"/>
      <c r="C46" s="89"/>
      <c r="D46" s="94"/>
      <c r="E46" s="94"/>
      <c r="F46" s="94"/>
      <c r="G46" s="92"/>
      <c r="H46" s="93"/>
      <c r="I46" s="94"/>
      <c r="J46" s="109"/>
      <c r="K46" s="89"/>
      <c r="L46" s="89"/>
      <c r="M46" s="89"/>
      <c r="N46" s="96"/>
      <c r="O46" s="89"/>
      <c r="P46" s="97"/>
      <c r="Q46" s="89"/>
      <c r="R46" s="89"/>
      <c r="S46" s="110"/>
      <c r="T46" s="90"/>
      <c r="U46" s="111"/>
      <c r="V46" s="90"/>
      <c r="W46" s="112"/>
      <c r="X46" s="112"/>
      <c r="Y46" s="113"/>
      <c r="Z46" s="101"/>
      <c r="AA46" s="102"/>
      <c r="AB46" s="114"/>
      <c r="AC46" s="115"/>
      <c r="AD46" s="108"/>
      <c r="AE46" s="116"/>
      <c r="AF46" s="111"/>
      <c r="AG46" s="110"/>
      <c r="AH46" s="110"/>
      <c r="AI46" s="110"/>
      <c r="AJ46" s="110"/>
      <c r="AK46" s="110"/>
      <c r="AL46" s="111"/>
      <c r="AM46" s="111"/>
      <c r="AN46" s="111"/>
      <c r="AO46" s="111"/>
      <c r="AP46" s="111"/>
      <c r="AQ46" s="111"/>
      <c r="AR46" s="111"/>
    </row>
    <row r="47" s="13" customFormat="1" customHeight="1" spans="1:44">
      <c r="A47" s="89"/>
      <c r="B47" s="90"/>
      <c r="C47" s="89"/>
      <c r="D47" s="94"/>
      <c r="E47" s="94"/>
      <c r="F47" s="94"/>
      <c r="G47" s="92"/>
      <c r="H47" s="93"/>
      <c r="I47" s="94"/>
      <c r="J47" s="109"/>
      <c r="K47" s="89"/>
      <c r="L47" s="89"/>
      <c r="M47" s="89"/>
      <c r="N47" s="96"/>
      <c r="O47" s="89"/>
      <c r="P47" s="97"/>
      <c r="Q47" s="89"/>
      <c r="R47" s="89"/>
      <c r="S47" s="110"/>
      <c r="T47" s="90"/>
      <c r="U47" s="111"/>
      <c r="V47" s="90"/>
      <c r="W47" s="112"/>
      <c r="X47" s="112"/>
      <c r="Y47" s="113"/>
      <c r="Z47" s="101"/>
      <c r="AA47" s="102"/>
      <c r="AB47" s="114"/>
      <c r="AC47" s="115"/>
      <c r="AD47" s="108"/>
      <c r="AE47" s="116"/>
      <c r="AF47" s="111"/>
      <c r="AG47" s="110"/>
      <c r="AH47" s="110"/>
      <c r="AI47" s="110"/>
      <c r="AJ47" s="110"/>
      <c r="AK47" s="110"/>
      <c r="AL47" s="111"/>
      <c r="AM47" s="111"/>
      <c r="AN47" s="111"/>
      <c r="AO47" s="111"/>
      <c r="AP47" s="111"/>
      <c r="AQ47" s="111"/>
      <c r="AR47" s="111"/>
    </row>
    <row r="48" s="13" customFormat="1" customHeight="1" spans="1:44">
      <c r="A48" s="89"/>
      <c r="B48" s="90"/>
      <c r="C48" s="89"/>
      <c r="D48" s="94"/>
      <c r="E48" s="94"/>
      <c r="F48" s="94"/>
      <c r="G48" s="92"/>
      <c r="H48" s="93"/>
      <c r="I48" s="94"/>
      <c r="J48" s="109"/>
      <c r="K48" s="89"/>
      <c r="L48" s="89"/>
      <c r="M48" s="89"/>
      <c r="N48" s="96"/>
      <c r="O48" s="89"/>
      <c r="P48" s="97"/>
      <c r="Q48" s="89"/>
      <c r="R48" s="89"/>
      <c r="S48" s="110"/>
      <c r="T48" s="90"/>
      <c r="U48" s="111"/>
      <c r="V48" s="90"/>
      <c r="W48" s="112"/>
      <c r="X48" s="112"/>
      <c r="Y48" s="113"/>
      <c r="Z48" s="101"/>
      <c r="AA48" s="102"/>
      <c r="AB48" s="114"/>
      <c r="AC48" s="115"/>
      <c r="AD48" s="108"/>
      <c r="AE48" s="116"/>
      <c r="AF48" s="111"/>
      <c r="AG48" s="110"/>
      <c r="AH48" s="110"/>
      <c r="AI48" s="110"/>
      <c r="AJ48" s="110"/>
      <c r="AK48" s="110"/>
      <c r="AL48" s="111"/>
      <c r="AM48" s="111"/>
      <c r="AN48" s="111"/>
      <c r="AO48" s="111"/>
      <c r="AP48" s="111"/>
      <c r="AQ48" s="111"/>
      <c r="AR48" s="111"/>
    </row>
    <row r="49" s="13" customFormat="1" customHeight="1" spans="1:44">
      <c r="A49" s="89"/>
      <c r="B49" s="90"/>
      <c r="C49" s="89"/>
      <c r="D49" s="94"/>
      <c r="E49" s="94"/>
      <c r="F49" s="94"/>
      <c r="G49" s="92"/>
      <c r="H49" s="93"/>
      <c r="I49" s="94"/>
      <c r="J49" s="109"/>
      <c r="K49" s="89"/>
      <c r="L49" s="89"/>
      <c r="M49" s="89"/>
      <c r="N49" s="96"/>
      <c r="O49" s="89"/>
      <c r="P49" s="97"/>
      <c r="Q49" s="89"/>
      <c r="R49" s="89"/>
      <c r="S49" s="110"/>
      <c r="T49" s="90"/>
      <c r="U49" s="111"/>
      <c r="V49" s="90"/>
      <c r="W49" s="112"/>
      <c r="X49" s="112"/>
      <c r="Y49" s="113"/>
      <c r="Z49" s="101"/>
      <c r="AA49" s="102"/>
      <c r="AB49" s="114"/>
      <c r="AC49" s="115"/>
      <c r="AD49" s="108"/>
      <c r="AE49" s="116"/>
      <c r="AF49" s="111"/>
      <c r="AG49" s="110"/>
      <c r="AH49" s="110"/>
      <c r="AI49" s="110"/>
      <c r="AJ49" s="110"/>
      <c r="AK49" s="110"/>
      <c r="AL49" s="111"/>
      <c r="AM49" s="111"/>
      <c r="AN49" s="111"/>
      <c r="AO49" s="111"/>
      <c r="AP49" s="111"/>
      <c r="AQ49" s="111"/>
      <c r="AR49" s="111"/>
    </row>
    <row r="50" s="13" customFormat="1" customHeight="1" spans="1:44">
      <c r="A50" s="89"/>
      <c r="B50" s="90"/>
      <c r="C50" s="89"/>
      <c r="D50" s="94"/>
      <c r="E50" s="94"/>
      <c r="F50" s="94"/>
      <c r="G50" s="92"/>
      <c r="H50" s="93"/>
      <c r="I50" s="94"/>
      <c r="J50" s="109"/>
      <c r="K50" s="89"/>
      <c r="L50" s="89"/>
      <c r="M50" s="89"/>
      <c r="N50" s="96"/>
      <c r="O50" s="89"/>
      <c r="P50" s="97"/>
      <c r="Q50" s="89"/>
      <c r="R50" s="89"/>
      <c r="S50" s="110"/>
      <c r="T50" s="90"/>
      <c r="U50" s="111"/>
      <c r="V50" s="90"/>
      <c r="W50" s="112"/>
      <c r="X50" s="112"/>
      <c r="Y50" s="113"/>
      <c r="Z50" s="101"/>
      <c r="AA50" s="102"/>
      <c r="AB50" s="114"/>
      <c r="AC50" s="115"/>
      <c r="AD50" s="108"/>
      <c r="AE50" s="116"/>
      <c r="AF50" s="111"/>
      <c r="AG50" s="110"/>
      <c r="AH50" s="110"/>
      <c r="AI50" s="110"/>
      <c r="AJ50" s="110"/>
      <c r="AK50" s="110"/>
      <c r="AL50" s="111"/>
      <c r="AM50" s="111"/>
      <c r="AN50" s="111"/>
      <c r="AO50" s="111"/>
      <c r="AP50" s="111"/>
      <c r="AQ50" s="111"/>
      <c r="AR50" s="111"/>
    </row>
    <row r="51" s="13" customFormat="1" customHeight="1" spans="1:44">
      <c r="A51" s="89"/>
      <c r="B51" s="90"/>
      <c r="C51" s="89"/>
      <c r="D51" s="94"/>
      <c r="E51" s="94"/>
      <c r="F51" s="94"/>
      <c r="G51" s="92"/>
      <c r="H51" s="93"/>
      <c r="I51" s="94"/>
      <c r="J51" s="109"/>
      <c r="K51" s="89"/>
      <c r="L51" s="89"/>
      <c r="M51" s="89"/>
      <c r="N51" s="96"/>
      <c r="O51" s="89"/>
      <c r="P51" s="97"/>
      <c r="Q51" s="89"/>
      <c r="R51" s="89"/>
      <c r="S51" s="110"/>
      <c r="T51" s="90"/>
      <c r="U51" s="111"/>
      <c r="V51" s="90"/>
      <c r="W51" s="112"/>
      <c r="X51" s="112"/>
      <c r="Y51" s="113"/>
      <c r="Z51" s="101"/>
      <c r="AA51" s="102"/>
      <c r="AB51" s="114"/>
      <c r="AC51" s="115"/>
      <c r="AD51" s="108"/>
      <c r="AE51" s="116"/>
      <c r="AF51" s="111"/>
      <c r="AG51" s="110"/>
      <c r="AH51" s="110"/>
      <c r="AI51" s="110"/>
      <c r="AJ51" s="110"/>
      <c r="AK51" s="110"/>
      <c r="AL51" s="111"/>
      <c r="AM51" s="111"/>
      <c r="AN51" s="111"/>
      <c r="AO51" s="111"/>
      <c r="AP51" s="111"/>
      <c r="AQ51" s="111"/>
      <c r="AR51" s="111"/>
    </row>
    <row r="52" s="13" customFormat="1" customHeight="1" spans="1:44">
      <c r="A52" s="89"/>
      <c r="B52" s="90"/>
      <c r="C52" s="89"/>
      <c r="D52" s="94"/>
      <c r="E52" s="94"/>
      <c r="F52" s="94"/>
      <c r="G52" s="92"/>
      <c r="H52" s="93"/>
      <c r="I52" s="94"/>
      <c r="J52" s="109"/>
      <c r="K52" s="89"/>
      <c r="L52" s="89"/>
      <c r="M52" s="89"/>
      <c r="N52" s="96"/>
      <c r="O52" s="89"/>
      <c r="P52" s="97"/>
      <c r="Q52" s="89"/>
      <c r="R52" s="89"/>
      <c r="S52" s="110"/>
      <c r="T52" s="90"/>
      <c r="U52" s="111"/>
      <c r="V52" s="90"/>
      <c r="W52" s="112"/>
      <c r="X52" s="112"/>
      <c r="Y52" s="113"/>
      <c r="Z52" s="101"/>
      <c r="AA52" s="102"/>
      <c r="AB52" s="114"/>
      <c r="AC52" s="115"/>
      <c r="AD52" s="108"/>
      <c r="AE52" s="116"/>
      <c r="AF52" s="111"/>
      <c r="AG52" s="110"/>
      <c r="AH52" s="110"/>
      <c r="AI52" s="110"/>
      <c r="AJ52" s="110"/>
      <c r="AK52" s="110"/>
      <c r="AL52" s="111"/>
      <c r="AM52" s="111"/>
      <c r="AN52" s="111"/>
      <c r="AO52" s="111"/>
      <c r="AP52" s="111"/>
      <c r="AQ52" s="111"/>
      <c r="AR52" s="111"/>
    </row>
    <row r="53" s="13" customFormat="1" customHeight="1" spans="1:44">
      <c r="A53" s="89"/>
      <c r="B53" s="90"/>
      <c r="C53" s="89"/>
      <c r="D53" s="94"/>
      <c r="E53" s="94"/>
      <c r="F53" s="94"/>
      <c r="G53" s="92"/>
      <c r="H53" s="93"/>
      <c r="I53" s="94"/>
      <c r="J53" s="109"/>
      <c r="K53" s="89"/>
      <c r="L53" s="89"/>
      <c r="M53" s="89"/>
      <c r="N53" s="96"/>
      <c r="O53" s="89"/>
      <c r="P53" s="97"/>
      <c r="Q53" s="89"/>
      <c r="R53" s="89"/>
      <c r="S53" s="110"/>
      <c r="T53" s="90"/>
      <c r="U53" s="111"/>
      <c r="V53" s="90"/>
      <c r="W53" s="112"/>
      <c r="X53" s="112"/>
      <c r="Y53" s="113"/>
      <c r="Z53" s="101"/>
      <c r="AA53" s="102"/>
      <c r="AB53" s="114"/>
      <c r="AC53" s="115"/>
      <c r="AD53" s="108"/>
      <c r="AE53" s="116"/>
      <c r="AF53" s="111"/>
      <c r="AG53" s="110"/>
      <c r="AH53" s="110"/>
      <c r="AI53" s="110"/>
      <c r="AJ53" s="110"/>
      <c r="AK53" s="110"/>
      <c r="AL53" s="111"/>
      <c r="AM53" s="111"/>
      <c r="AN53" s="111"/>
      <c r="AO53" s="111"/>
      <c r="AP53" s="111"/>
      <c r="AQ53" s="111"/>
      <c r="AR53" s="111"/>
    </row>
    <row r="54" s="13" customFormat="1" customHeight="1" spans="1:44">
      <c r="A54" s="89"/>
      <c r="B54" s="90"/>
      <c r="C54" s="89"/>
      <c r="D54" s="94"/>
      <c r="E54" s="94"/>
      <c r="F54" s="94"/>
      <c r="G54" s="92"/>
      <c r="H54" s="93"/>
      <c r="I54" s="94"/>
      <c r="J54" s="109"/>
      <c r="K54" s="89"/>
      <c r="L54" s="89"/>
      <c r="M54" s="89"/>
      <c r="N54" s="96"/>
      <c r="O54" s="89"/>
      <c r="P54" s="97"/>
      <c r="Q54" s="89"/>
      <c r="R54" s="89"/>
      <c r="S54" s="110"/>
      <c r="T54" s="90"/>
      <c r="U54" s="111"/>
      <c r="V54" s="90"/>
      <c r="W54" s="112"/>
      <c r="X54" s="112"/>
      <c r="Y54" s="113"/>
      <c r="Z54" s="101"/>
      <c r="AA54" s="102"/>
      <c r="AB54" s="114"/>
      <c r="AC54" s="115"/>
      <c r="AD54" s="108"/>
      <c r="AE54" s="116"/>
      <c r="AF54" s="111"/>
      <c r="AG54" s="110"/>
      <c r="AH54" s="110"/>
      <c r="AI54" s="110"/>
      <c r="AJ54" s="110"/>
      <c r="AK54" s="110"/>
      <c r="AL54" s="111"/>
      <c r="AM54" s="111"/>
      <c r="AN54" s="111"/>
      <c r="AO54" s="111"/>
      <c r="AP54" s="111"/>
      <c r="AQ54" s="111"/>
      <c r="AR54" s="111"/>
    </row>
    <row r="55" s="13" customFormat="1" customHeight="1" spans="1:44">
      <c r="A55" s="89"/>
      <c r="B55" s="90"/>
      <c r="C55" s="89"/>
      <c r="D55" s="94"/>
      <c r="E55" s="94"/>
      <c r="F55" s="94"/>
      <c r="G55" s="92"/>
      <c r="H55" s="93"/>
      <c r="I55" s="94"/>
      <c r="J55" s="109"/>
      <c r="K55" s="89"/>
      <c r="L55" s="89"/>
      <c r="M55" s="89"/>
      <c r="N55" s="96"/>
      <c r="O55" s="89"/>
      <c r="P55" s="97"/>
      <c r="Q55" s="89"/>
      <c r="R55" s="89"/>
      <c r="S55" s="110"/>
      <c r="T55" s="90"/>
      <c r="U55" s="111"/>
      <c r="V55" s="90"/>
      <c r="W55" s="112"/>
      <c r="X55" s="112"/>
      <c r="Y55" s="113"/>
      <c r="Z55" s="101"/>
      <c r="AA55" s="102"/>
      <c r="AB55" s="114"/>
      <c r="AC55" s="115"/>
      <c r="AD55" s="108"/>
      <c r="AE55" s="116"/>
      <c r="AF55" s="111"/>
      <c r="AG55" s="110"/>
      <c r="AH55" s="110"/>
      <c r="AI55" s="110"/>
      <c r="AJ55" s="110"/>
      <c r="AK55" s="110"/>
      <c r="AL55" s="111"/>
      <c r="AM55" s="111"/>
      <c r="AN55" s="111"/>
      <c r="AO55" s="111"/>
      <c r="AP55" s="111"/>
      <c r="AQ55" s="111"/>
      <c r="AR55" s="111"/>
    </row>
    <row r="56" s="13" customFormat="1" customHeight="1" spans="1:44">
      <c r="A56" s="89"/>
      <c r="B56" s="90"/>
      <c r="C56" s="89"/>
      <c r="D56" s="94"/>
      <c r="E56" s="94"/>
      <c r="F56" s="94"/>
      <c r="G56" s="92"/>
      <c r="H56" s="93"/>
      <c r="I56" s="94"/>
      <c r="J56" s="109"/>
      <c r="K56" s="89"/>
      <c r="L56" s="89"/>
      <c r="M56" s="89"/>
      <c r="N56" s="96"/>
      <c r="O56" s="89"/>
      <c r="P56" s="97"/>
      <c r="Q56" s="89"/>
      <c r="R56" s="89"/>
      <c r="S56" s="110"/>
      <c r="T56" s="90"/>
      <c r="U56" s="111"/>
      <c r="V56" s="90"/>
      <c r="W56" s="112"/>
      <c r="X56" s="112"/>
      <c r="Y56" s="113"/>
      <c r="Z56" s="101"/>
      <c r="AA56" s="102"/>
      <c r="AB56" s="114"/>
      <c r="AC56" s="115"/>
      <c r="AD56" s="108"/>
      <c r="AE56" s="116"/>
      <c r="AF56" s="111"/>
      <c r="AG56" s="110"/>
      <c r="AH56" s="110"/>
      <c r="AI56" s="110"/>
      <c r="AJ56" s="110"/>
      <c r="AK56" s="110"/>
      <c r="AL56" s="111"/>
      <c r="AM56" s="111"/>
      <c r="AN56" s="111"/>
      <c r="AO56" s="111"/>
      <c r="AP56" s="111"/>
      <c r="AQ56" s="111"/>
      <c r="AR56" s="111"/>
    </row>
    <row r="57" s="13" customFormat="1" customHeight="1" spans="1:44">
      <c r="A57" s="89"/>
      <c r="B57" s="90"/>
      <c r="C57" s="89"/>
      <c r="D57" s="94"/>
      <c r="E57" s="94"/>
      <c r="F57" s="94"/>
      <c r="G57" s="92"/>
      <c r="H57" s="93"/>
      <c r="I57" s="94"/>
      <c r="J57" s="109"/>
      <c r="K57" s="89"/>
      <c r="L57" s="89"/>
      <c r="M57" s="89"/>
      <c r="N57" s="96"/>
      <c r="O57" s="89"/>
      <c r="P57" s="97"/>
      <c r="Q57" s="89"/>
      <c r="R57" s="89"/>
      <c r="S57" s="110"/>
      <c r="T57" s="90"/>
      <c r="U57" s="111"/>
      <c r="V57" s="90"/>
      <c r="W57" s="112"/>
      <c r="X57" s="112"/>
      <c r="Y57" s="113"/>
      <c r="Z57" s="101"/>
      <c r="AA57" s="102"/>
      <c r="AB57" s="114"/>
      <c r="AC57" s="115"/>
      <c r="AD57" s="108"/>
      <c r="AE57" s="116"/>
      <c r="AF57" s="111"/>
      <c r="AG57" s="110"/>
      <c r="AH57" s="110"/>
      <c r="AI57" s="110"/>
      <c r="AJ57" s="110"/>
      <c r="AK57" s="110"/>
      <c r="AL57" s="111"/>
      <c r="AM57" s="111"/>
      <c r="AN57" s="111"/>
      <c r="AO57" s="111"/>
      <c r="AP57" s="111"/>
      <c r="AQ57" s="111"/>
      <c r="AR57" s="111"/>
    </row>
    <row r="58" s="13" customFormat="1" customHeight="1" spans="1:44">
      <c r="A58" s="89"/>
      <c r="B58" s="90"/>
      <c r="C58" s="89"/>
      <c r="D58" s="94"/>
      <c r="E58" s="94"/>
      <c r="F58" s="94"/>
      <c r="G58" s="92"/>
      <c r="H58" s="93"/>
      <c r="I58" s="94"/>
      <c r="J58" s="109"/>
      <c r="K58" s="89"/>
      <c r="L58" s="89"/>
      <c r="M58" s="89"/>
      <c r="N58" s="96"/>
      <c r="O58" s="89"/>
      <c r="P58" s="97"/>
      <c r="Q58" s="89"/>
      <c r="R58" s="89"/>
      <c r="S58" s="110"/>
      <c r="T58" s="90"/>
      <c r="U58" s="111"/>
      <c r="V58" s="90"/>
      <c r="W58" s="112"/>
      <c r="X58" s="112"/>
      <c r="Y58" s="113"/>
      <c r="Z58" s="101"/>
      <c r="AA58" s="102"/>
      <c r="AB58" s="114"/>
      <c r="AC58" s="115"/>
      <c r="AD58" s="108"/>
      <c r="AE58" s="116"/>
      <c r="AF58" s="111"/>
      <c r="AG58" s="110"/>
      <c r="AH58" s="110"/>
      <c r="AI58" s="110"/>
      <c r="AJ58" s="110"/>
      <c r="AK58" s="110"/>
      <c r="AL58" s="111"/>
      <c r="AM58" s="111"/>
      <c r="AN58" s="111"/>
      <c r="AO58" s="111"/>
      <c r="AP58" s="111"/>
      <c r="AQ58" s="111"/>
      <c r="AR58" s="111"/>
    </row>
    <row r="59" s="13" customFormat="1" customHeight="1" spans="1:44">
      <c r="A59" s="89"/>
      <c r="B59" s="90"/>
      <c r="C59" s="89"/>
      <c r="D59" s="94"/>
      <c r="E59" s="94"/>
      <c r="F59" s="94"/>
      <c r="G59" s="92"/>
      <c r="H59" s="93"/>
      <c r="I59" s="94"/>
      <c r="J59" s="109"/>
      <c r="K59" s="89"/>
      <c r="L59" s="89"/>
      <c r="M59" s="89"/>
      <c r="N59" s="96"/>
      <c r="O59" s="89"/>
      <c r="P59" s="97"/>
      <c r="Q59" s="89"/>
      <c r="R59" s="89"/>
      <c r="S59" s="110"/>
      <c r="T59" s="90"/>
      <c r="U59" s="111"/>
      <c r="V59" s="90"/>
      <c r="W59" s="112"/>
      <c r="X59" s="112"/>
      <c r="Y59" s="113"/>
      <c r="Z59" s="101"/>
      <c r="AA59" s="102"/>
      <c r="AB59" s="114"/>
      <c r="AC59" s="115"/>
      <c r="AD59" s="108"/>
      <c r="AE59" s="116"/>
      <c r="AF59" s="111"/>
      <c r="AG59" s="110"/>
      <c r="AH59" s="110"/>
      <c r="AI59" s="110"/>
      <c r="AJ59" s="110"/>
      <c r="AK59" s="110"/>
      <c r="AL59" s="111"/>
      <c r="AM59" s="111"/>
      <c r="AN59" s="111"/>
      <c r="AO59" s="111"/>
      <c r="AP59" s="111"/>
      <c r="AQ59" s="111"/>
      <c r="AR59" s="111"/>
    </row>
    <row r="60" s="13" customFormat="1" customHeight="1" spans="1:44">
      <c r="A60" s="89"/>
      <c r="B60" s="90"/>
      <c r="C60" s="89"/>
      <c r="D60" s="94"/>
      <c r="E60" s="94"/>
      <c r="F60" s="94"/>
      <c r="G60" s="92"/>
      <c r="H60" s="93"/>
      <c r="I60" s="94"/>
      <c r="J60" s="109"/>
      <c r="K60" s="89"/>
      <c r="L60" s="89"/>
      <c r="M60" s="89"/>
      <c r="N60" s="96"/>
      <c r="O60" s="89"/>
      <c r="P60" s="97"/>
      <c r="Q60" s="89"/>
      <c r="R60" s="89"/>
      <c r="S60" s="110"/>
      <c r="T60" s="90"/>
      <c r="U60" s="111"/>
      <c r="V60" s="90"/>
      <c r="W60" s="112"/>
      <c r="X60" s="112"/>
      <c r="Y60" s="113"/>
      <c r="Z60" s="101"/>
      <c r="AA60" s="102"/>
      <c r="AB60" s="114"/>
      <c r="AC60" s="115"/>
      <c r="AD60" s="108"/>
      <c r="AE60" s="116"/>
      <c r="AF60" s="111"/>
      <c r="AG60" s="110"/>
      <c r="AH60" s="110"/>
      <c r="AI60" s="110"/>
      <c r="AJ60" s="110"/>
      <c r="AK60" s="110"/>
      <c r="AL60" s="111"/>
      <c r="AM60" s="111"/>
      <c r="AN60" s="111"/>
      <c r="AO60" s="111"/>
      <c r="AP60" s="111"/>
      <c r="AQ60" s="111"/>
      <c r="AR60" s="111"/>
    </row>
    <row r="61" s="13" customFormat="1" customHeight="1" spans="1:44">
      <c r="A61" s="89"/>
      <c r="B61" s="90"/>
      <c r="C61" s="89"/>
      <c r="D61" s="94"/>
      <c r="E61" s="94"/>
      <c r="F61" s="94"/>
      <c r="G61" s="92"/>
      <c r="H61" s="93"/>
      <c r="I61" s="94"/>
      <c r="J61" s="109"/>
      <c r="K61" s="89"/>
      <c r="L61" s="89"/>
      <c r="M61" s="89"/>
      <c r="N61" s="96"/>
      <c r="O61" s="89"/>
      <c r="P61" s="97"/>
      <c r="Q61" s="89"/>
      <c r="R61" s="89"/>
      <c r="S61" s="110"/>
      <c r="T61" s="90"/>
      <c r="U61" s="111"/>
      <c r="V61" s="90"/>
      <c r="W61" s="112"/>
      <c r="X61" s="112"/>
      <c r="Y61" s="113"/>
      <c r="Z61" s="101"/>
      <c r="AA61" s="102"/>
      <c r="AB61" s="114"/>
      <c r="AC61" s="115"/>
      <c r="AD61" s="108"/>
      <c r="AE61" s="116"/>
      <c r="AF61" s="111"/>
      <c r="AG61" s="110"/>
      <c r="AH61" s="110"/>
      <c r="AI61" s="110"/>
      <c r="AJ61" s="110"/>
      <c r="AK61" s="110"/>
      <c r="AL61" s="111"/>
      <c r="AM61" s="111"/>
      <c r="AN61" s="111"/>
      <c r="AO61" s="111"/>
      <c r="AP61" s="111"/>
      <c r="AQ61" s="111"/>
      <c r="AR61" s="111"/>
    </row>
    <row r="62" s="13" customFormat="1" customHeight="1" spans="1:44">
      <c r="A62" s="89"/>
      <c r="B62" s="90"/>
      <c r="C62" s="89"/>
      <c r="D62" s="94"/>
      <c r="E62" s="94"/>
      <c r="F62" s="94"/>
      <c r="G62" s="92"/>
      <c r="H62" s="93"/>
      <c r="I62" s="94"/>
      <c r="J62" s="109"/>
      <c r="K62" s="89"/>
      <c r="L62" s="89"/>
      <c r="M62" s="89"/>
      <c r="N62" s="96"/>
      <c r="O62" s="89"/>
      <c r="P62" s="97"/>
      <c r="Q62" s="89"/>
      <c r="R62" s="89"/>
      <c r="S62" s="110"/>
      <c r="T62" s="90"/>
      <c r="U62" s="111"/>
      <c r="V62" s="90"/>
      <c r="W62" s="112"/>
      <c r="X62" s="112"/>
      <c r="Y62" s="113"/>
      <c r="Z62" s="101"/>
      <c r="AA62" s="102"/>
      <c r="AB62" s="114"/>
      <c r="AC62" s="115"/>
      <c r="AD62" s="108"/>
      <c r="AE62" s="116"/>
      <c r="AF62" s="111"/>
      <c r="AG62" s="110"/>
      <c r="AH62" s="110"/>
      <c r="AI62" s="110"/>
      <c r="AJ62" s="110"/>
      <c r="AK62" s="110"/>
      <c r="AL62" s="111"/>
      <c r="AM62" s="111"/>
      <c r="AN62" s="111"/>
      <c r="AO62" s="111"/>
      <c r="AP62" s="111"/>
      <c r="AQ62" s="111"/>
      <c r="AR62" s="111"/>
    </row>
    <row r="63" s="13" customFormat="1" customHeight="1" spans="1:44">
      <c r="A63" s="89"/>
      <c r="B63" s="90"/>
      <c r="C63" s="89"/>
      <c r="D63" s="94"/>
      <c r="E63" s="94"/>
      <c r="F63" s="94"/>
      <c r="G63" s="92"/>
      <c r="H63" s="93"/>
      <c r="I63" s="94"/>
      <c r="J63" s="109"/>
      <c r="K63" s="89"/>
      <c r="L63" s="89"/>
      <c r="M63" s="89"/>
      <c r="N63" s="96"/>
      <c r="O63" s="89"/>
      <c r="P63" s="97"/>
      <c r="Q63" s="89"/>
      <c r="R63" s="89"/>
      <c r="S63" s="110"/>
      <c r="T63" s="90"/>
      <c r="U63" s="111"/>
      <c r="V63" s="90"/>
      <c r="W63" s="112"/>
      <c r="X63" s="112"/>
      <c r="Y63" s="113"/>
      <c r="Z63" s="101"/>
      <c r="AA63" s="102"/>
      <c r="AB63" s="114"/>
      <c r="AC63" s="115"/>
      <c r="AD63" s="108"/>
      <c r="AE63" s="116"/>
      <c r="AF63" s="111"/>
      <c r="AG63" s="110"/>
      <c r="AH63" s="110"/>
      <c r="AI63" s="110"/>
      <c r="AJ63" s="110"/>
      <c r="AK63" s="110"/>
      <c r="AL63" s="111"/>
      <c r="AM63" s="111"/>
      <c r="AN63" s="111"/>
      <c r="AO63" s="111"/>
      <c r="AP63" s="111"/>
      <c r="AQ63" s="111"/>
      <c r="AR63" s="111"/>
    </row>
    <row r="64" s="13" customFormat="1" customHeight="1" spans="1:44">
      <c r="A64" s="89"/>
      <c r="B64" s="90"/>
      <c r="C64" s="89"/>
      <c r="D64" s="94"/>
      <c r="E64" s="94"/>
      <c r="F64" s="94"/>
      <c r="G64" s="92"/>
      <c r="H64" s="93"/>
      <c r="I64" s="94"/>
      <c r="J64" s="109"/>
      <c r="K64" s="89"/>
      <c r="L64" s="89"/>
      <c r="M64" s="89"/>
      <c r="N64" s="96"/>
      <c r="O64" s="89"/>
      <c r="P64" s="97"/>
      <c r="Q64" s="89"/>
      <c r="R64" s="89"/>
      <c r="S64" s="110"/>
      <c r="T64" s="90"/>
      <c r="U64" s="111"/>
      <c r="V64" s="90"/>
      <c r="W64" s="112"/>
      <c r="X64" s="112"/>
      <c r="Y64" s="113"/>
      <c r="Z64" s="101"/>
      <c r="AA64" s="102"/>
      <c r="AB64" s="114"/>
      <c r="AC64" s="115"/>
      <c r="AD64" s="108"/>
      <c r="AE64" s="116"/>
      <c r="AF64" s="111"/>
      <c r="AG64" s="110"/>
      <c r="AH64" s="110"/>
      <c r="AI64" s="110"/>
      <c r="AJ64" s="110"/>
      <c r="AK64" s="110"/>
      <c r="AL64" s="111"/>
      <c r="AM64" s="111"/>
      <c r="AN64" s="111"/>
      <c r="AO64" s="111"/>
      <c r="AP64" s="111"/>
      <c r="AQ64" s="111"/>
      <c r="AR64" s="111"/>
    </row>
    <row r="65" s="13" customFormat="1" customHeight="1" spans="1:44">
      <c r="A65" s="89"/>
      <c r="B65" s="90"/>
      <c r="C65" s="89"/>
      <c r="D65" s="94"/>
      <c r="E65" s="94"/>
      <c r="F65" s="94"/>
      <c r="G65" s="92"/>
      <c r="H65" s="93"/>
      <c r="I65" s="94"/>
      <c r="J65" s="109"/>
      <c r="K65" s="89"/>
      <c r="L65" s="89"/>
      <c r="M65" s="89"/>
      <c r="N65" s="96"/>
      <c r="O65" s="89"/>
      <c r="P65" s="97"/>
      <c r="Q65" s="89"/>
      <c r="R65" s="89"/>
      <c r="S65" s="110"/>
      <c r="T65" s="90"/>
      <c r="U65" s="111"/>
      <c r="V65" s="90"/>
      <c r="W65" s="112"/>
      <c r="X65" s="112"/>
      <c r="Y65" s="113"/>
      <c r="Z65" s="101"/>
      <c r="AA65" s="102"/>
      <c r="AB65" s="114"/>
      <c r="AC65" s="115"/>
      <c r="AD65" s="108"/>
      <c r="AE65" s="116"/>
      <c r="AF65" s="111"/>
      <c r="AG65" s="110"/>
      <c r="AH65" s="110"/>
      <c r="AI65" s="110"/>
      <c r="AJ65" s="110"/>
      <c r="AK65" s="110"/>
      <c r="AL65" s="111"/>
      <c r="AM65" s="111"/>
      <c r="AN65" s="111"/>
      <c r="AO65" s="111"/>
      <c r="AP65" s="111"/>
      <c r="AQ65" s="111"/>
      <c r="AR65" s="111"/>
    </row>
    <row r="66" s="13" customFormat="1" customHeight="1" spans="1:44">
      <c r="A66" s="89"/>
      <c r="B66" s="90"/>
      <c r="C66" s="89"/>
      <c r="D66" s="94"/>
      <c r="E66" s="94"/>
      <c r="F66" s="94"/>
      <c r="G66" s="92"/>
      <c r="H66" s="93"/>
      <c r="I66" s="94"/>
      <c r="J66" s="109"/>
      <c r="K66" s="89"/>
      <c r="L66" s="89"/>
      <c r="M66" s="89"/>
      <c r="N66" s="96"/>
      <c r="O66" s="89"/>
      <c r="P66" s="97"/>
      <c r="Q66" s="89"/>
      <c r="R66" s="89"/>
      <c r="S66" s="110"/>
      <c r="T66" s="90"/>
      <c r="U66" s="111"/>
      <c r="V66" s="90"/>
      <c r="W66" s="112"/>
      <c r="X66" s="112"/>
      <c r="Y66" s="113"/>
      <c r="Z66" s="101"/>
      <c r="AA66" s="102"/>
      <c r="AB66" s="114"/>
      <c r="AC66" s="115"/>
      <c r="AD66" s="108"/>
      <c r="AE66" s="116"/>
      <c r="AF66" s="111"/>
      <c r="AG66" s="110"/>
      <c r="AH66" s="110"/>
      <c r="AI66" s="110"/>
      <c r="AJ66" s="110"/>
      <c r="AK66" s="110"/>
      <c r="AL66" s="111"/>
      <c r="AM66" s="111"/>
      <c r="AN66" s="111"/>
      <c r="AO66" s="111"/>
      <c r="AP66" s="111"/>
      <c r="AQ66" s="111"/>
      <c r="AR66" s="111"/>
    </row>
    <row r="67" s="13" customFormat="1" customHeight="1" spans="1:44">
      <c r="A67" s="89"/>
      <c r="B67" s="90"/>
      <c r="C67" s="89"/>
      <c r="D67" s="94"/>
      <c r="E67" s="94"/>
      <c r="F67" s="94"/>
      <c r="G67" s="92"/>
      <c r="H67" s="93"/>
      <c r="I67" s="94"/>
      <c r="J67" s="109"/>
      <c r="K67" s="89"/>
      <c r="L67" s="89"/>
      <c r="M67" s="89"/>
      <c r="N67" s="96"/>
      <c r="O67" s="89"/>
      <c r="P67" s="97"/>
      <c r="Q67" s="89"/>
      <c r="R67" s="89"/>
      <c r="S67" s="110"/>
      <c r="T67" s="90"/>
      <c r="U67" s="111"/>
      <c r="V67" s="90"/>
      <c r="W67" s="112"/>
      <c r="X67" s="112"/>
      <c r="Y67" s="113"/>
      <c r="Z67" s="101"/>
      <c r="AA67" s="102"/>
      <c r="AB67" s="114"/>
      <c r="AC67" s="115"/>
      <c r="AD67" s="108"/>
      <c r="AE67" s="116"/>
      <c r="AF67" s="111"/>
      <c r="AG67" s="110"/>
      <c r="AH67" s="110"/>
      <c r="AI67" s="110"/>
      <c r="AJ67" s="110"/>
      <c r="AK67" s="110"/>
      <c r="AL67" s="111"/>
      <c r="AM67" s="111"/>
      <c r="AN67" s="111"/>
      <c r="AO67" s="111"/>
      <c r="AP67" s="111"/>
      <c r="AQ67" s="111"/>
      <c r="AR67" s="111"/>
    </row>
    <row r="68" s="13" customFormat="1" customHeight="1" spans="1:44">
      <c r="A68" s="89"/>
      <c r="B68" s="90"/>
      <c r="C68" s="89"/>
      <c r="D68" s="94"/>
      <c r="E68" s="94"/>
      <c r="F68" s="94"/>
      <c r="G68" s="92"/>
      <c r="H68" s="93"/>
      <c r="I68" s="94"/>
      <c r="J68" s="109"/>
      <c r="K68" s="89"/>
      <c r="L68" s="89"/>
      <c r="M68" s="89"/>
      <c r="N68" s="96"/>
      <c r="O68" s="89"/>
      <c r="P68" s="97"/>
      <c r="Q68" s="89"/>
      <c r="R68" s="89"/>
      <c r="S68" s="110"/>
      <c r="T68" s="90"/>
      <c r="U68" s="111"/>
      <c r="V68" s="90"/>
      <c r="W68" s="112"/>
      <c r="X68" s="112"/>
      <c r="Y68" s="113"/>
      <c r="Z68" s="101"/>
      <c r="AA68" s="102"/>
      <c r="AB68" s="114"/>
      <c r="AC68" s="115"/>
      <c r="AD68" s="108"/>
      <c r="AE68" s="116"/>
      <c r="AF68" s="111"/>
      <c r="AG68" s="110"/>
      <c r="AH68" s="110"/>
      <c r="AI68" s="110"/>
      <c r="AJ68" s="110"/>
      <c r="AK68" s="110"/>
      <c r="AL68" s="111"/>
      <c r="AM68" s="111"/>
      <c r="AN68" s="111"/>
      <c r="AO68" s="111"/>
      <c r="AP68" s="111"/>
      <c r="AQ68" s="111"/>
      <c r="AR68" s="111"/>
    </row>
    <row r="69" s="13" customFormat="1" customHeight="1" spans="1:44">
      <c r="A69" s="89"/>
      <c r="B69" s="90"/>
      <c r="C69" s="89"/>
      <c r="D69" s="94"/>
      <c r="E69" s="94"/>
      <c r="F69" s="94"/>
      <c r="G69" s="92"/>
      <c r="H69" s="93"/>
      <c r="I69" s="94"/>
      <c r="J69" s="109"/>
      <c r="K69" s="89"/>
      <c r="L69" s="89"/>
      <c r="M69" s="89"/>
      <c r="N69" s="96"/>
      <c r="O69" s="89"/>
      <c r="P69" s="97"/>
      <c r="Q69" s="89"/>
      <c r="R69" s="89"/>
      <c r="S69" s="110"/>
      <c r="T69" s="90"/>
      <c r="U69" s="111"/>
      <c r="V69" s="90"/>
      <c r="W69" s="112"/>
      <c r="X69" s="112"/>
      <c r="Y69" s="113"/>
      <c r="Z69" s="101"/>
      <c r="AA69" s="102"/>
      <c r="AB69" s="114"/>
      <c r="AC69" s="115"/>
      <c r="AD69" s="108"/>
      <c r="AE69" s="116"/>
      <c r="AF69" s="111"/>
      <c r="AG69" s="110"/>
      <c r="AH69" s="110"/>
      <c r="AI69" s="110"/>
      <c r="AJ69" s="110"/>
      <c r="AK69" s="110"/>
      <c r="AL69" s="111"/>
      <c r="AM69" s="111"/>
      <c r="AN69" s="111"/>
      <c r="AO69" s="111"/>
      <c r="AP69" s="111"/>
      <c r="AQ69" s="111"/>
      <c r="AR69" s="111"/>
    </row>
    <row r="70" s="13" customFormat="1" customHeight="1" spans="1:44">
      <c r="A70" s="89"/>
      <c r="B70" s="90"/>
      <c r="C70" s="89"/>
      <c r="D70" s="94"/>
      <c r="E70" s="94"/>
      <c r="F70" s="94"/>
      <c r="G70" s="92"/>
      <c r="H70" s="93"/>
      <c r="I70" s="94"/>
      <c r="J70" s="109"/>
      <c r="K70" s="89"/>
      <c r="L70" s="89"/>
      <c r="M70" s="89"/>
      <c r="N70" s="96"/>
      <c r="O70" s="89"/>
      <c r="P70" s="97"/>
      <c r="Q70" s="89"/>
      <c r="R70" s="89"/>
      <c r="S70" s="110"/>
      <c r="T70" s="90"/>
      <c r="U70" s="111"/>
      <c r="V70" s="90"/>
      <c r="W70" s="112"/>
      <c r="X70" s="112"/>
      <c r="Y70" s="113"/>
      <c r="Z70" s="101"/>
      <c r="AA70" s="102"/>
      <c r="AB70" s="114"/>
      <c r="AC70" s="115"/>
      <c r="AD70" s="108"/>
      <c r="AE70" s="116"/>
      <c r="AF70" s="111"/>
      <c r="AG70" s="110"/>
      <c r="AH70" s="110"/>
      <c r="AI70" s="110"/>
      <c r="AJ70" s="110"/>
      <c r="AK70" s="110"/>
      <c r="AL70" s="111"/>
      <c r="AM70" s="111"/>
      <c r="AN70" s="111"/>
      <c r="AO70" s="111"/>
      <c r="AP70" s="111"/>
      <c r="AQ70" s="111"/>
      <c r="AR70" s="111"/>
    </row>
    <row r="71" s="13" customFormat="1" customHeight="1" spans="1:44">
      <c r="A71" s="89"/>
      <c r="B71" s="90"/>
      <c r="C71" s="89"/>
      <c r="D71" s="94"/>
      <c r="E71" s="94"/>
      <c r="F71" s="94"/>
      <c r="G71" s="92"/>
      <c r="H71" s="93"/>
      <c r="I71" s="94"/>
      <c r="J71" s="109"/>
      <c r="K71" s="89"/>
      <c r="L71" s="89"/>
      <c r="M71" s="89"/>
      <c r="N71" s="96"/>
      <c r="O71" s="89"/>
      <c r="P71" s="97"/>
      <c r="Q71" s="89"/>
      <c r="R71" s="89"/>
      <c r="S71" s="110"/>
      <c r="T71" s="90"/>
      <c r="U71" s="111"/>
      <c r="V71" s="90"/>
      <c r="W71" s="112"/>
      <c r="X71" s="112"/>
      <c r="Y71" s="113"/>
      <c r="Z71" s="101"/>
      <c r="AA71" s="102"/>
      <c r="AB71" s="114"/>
      <c r="AC71" s="115"/>
      <c r="AD71" s="108"/>
      <c r="AE71" s="116"/>
      <c r="AF71" s="111"/>
      <c r="AG71" s="110"/>
      <c r="AH71" s="110"/>
      <c r="AI71" s="110"/>
      <c r="AJ71" s="110"/>
      <c r="AK71" s="110"/>
      <c r="AL71" s="111"/>
      <c r="AM71" s="111"/>
      <c r="AN71" s="111"/>
      <c r="AO71" s="111"/>
      <c r="AP71" s="111"/>
      <c r="AQ71" s="111"/>
      <c r="AR71" s="111"/>
    </row>
    <row r="72" s="13" customFormat="1" customHeight="1" spans="1:44">
      <c r="A72" s="89"/>
      <c r="B72" s="90"/>
      <c r="C72" s="89"/>
      <c r="D72" s="94"/>
      <c r="E72" s="94"/>
      <c r="F72" s="94"/>
      <c r="G72" s="92"/>
      <c r="H72" s="93"/>
      <c r="I72" s="94"/>
      <c r="J72" s="109"/>
      <c r="K72" s="89"/>
      <c r="L72" s="89"/>
      <c r="M72" s="89"/>
      <c r="N72" s="96"/>
      <c r="O72" s="89"/>
      <c r="P72" s="97"/>
      <c r="Q72" s="89"/>
      <c r="R72" s="89"/>
      <c r="S72" s="110"/>
      <c r="T72" s="90"/>
      <c r="U72" s="111"/>
      <c r="V72" s="90"/>
      <c r="W72" s="112"/>
      <c r="X72" s="112"/>
      <c r="Y72" s="113"/>
      <c r="Z72" s="101"/>
      <c r="AA72" s="102"/>
      <c r="AB72" s="114"/>
      <c r="AC72" s="115"/>
      <c r="AD72" s="108"/>
      <c r="AE72" s="116"/>
      <c r="AF72" s="111"/>
      <c r="AG72" s="110"/>
      <c r="AH72" s="110"/>
      <c r="AI72" s="110"/>
      <c r="AJ72" s="110"/>
      <c r="AK72" s="110"/>
      <c r="AL72" s="111"/>
      <c r="AM72" s="111"/>
      <c r="AN72" s="111"/>
      <c r="AO72" s="111"/>
      <c r="AP72" s="111"/>
      <c r="AQ72" s="111"/>
      <c r="AR72" s="111"/>
    </row>
    <row r="73" s="13" customFormat="1" customHeight="1" spans="1:44">
      <c r="A73" s="89"/>
      <c r="B73" s="90"/>
      <c r="C73" s="89"/>
      <c r="D73" s="94"/>
      <c r="E73" s="94"/>
      <c r="F73" s="94"/>
      <c r="G73" s="92"/>
      <c r="H73" s="93"/>
      <c r="I73" s="94"/>
      <c r="J73" s="109"/>
      <c r="K73" s="89"/>
      <c r="L73" s="89"/>
      <c r="M73" s="89"/>
      <c r="N73" s="96"/>
      <c r="O73" s="89"/>
      <c r="P73" s="97"/>
      <c r="Q73" s="89"/>
      <c r="R73" s="89"/>
      <c r="S73" s="110"/>
      <c r="T73" s="90"/>
      <c r="U73" s="111"/>
      <c r="V73" s="90"/>
      <c r="W73" s="112"/>
      <c r="X73" s="112"/>
      <c r="Y73" s="113"/>
      <c r="Z73" s="101"/>
      <c r="AA73" s="102"/>
      <c r="AB73" s="114"/>
      <c r="AC73" s="115"/>
      <c r="AD73" s="108"/>
      <c r="AE73" s="116"/>
      <c r="AF73" s="111"/>
      <c r="AG73" s="110"/>
      <c r="AH73" s="110"/>
      <c r="AI73" s="110"/>
      <c r="AJ73" s="110"/>
      <c r="AK73" s="110"/>
      <c r="AL73" s="111"/>
      <c r="AM73" s="111"/>
      <c r="AN73" s="111"/>
      <c r="AO73" s="111"/>
      <c r="AP73" s="111"/>
      <c r="AQ73" s="111"/>
      <c r="AR73" s="111"/>
    </row>
    <row r="74" s="13" customFormat="1" customHeight="1" spans="1:44">
      <c r="A74" s="89"/>
      <c r="B74" s="90"/>
      <c r="C74" s="89"/>
      <c r="D74" s="94"/>
      <c r="E74" s="94"/>
      <c r="F74" s="94"/>
      <c r="G74" s="92"/>
      <c r="H74" s="93"/>
      <c r="I74" s="94"/>
      <c r="J74" s="109"/>
      <c r="K74" s="89"/>
      <c r="L74" s="89"/>
      <c r="M74" s="89"/>
      <c r="N74" s="96"/>
      <c r="O74" s="89"/>
      <c r="P74" s="97"/>
      <c r="Q74" s="89"/>
      <c r="R74" s="89"/>
      <c r="S74" s="110"/>
      <c r="T74" s="90"/>
      <c r="U74" s="111"/>
      <c r="V74" s="90"/>
      <c r="W74" s="112"/>
      <c r="X74" s="112"/>
      <c r="Y74" s="113"/>
      <c r="Z74" s="101"/>
      <c r="AA74" s="102"/>
      <c r="AB74" s="114"/>
      <c r="AC74" s="115"/>
      <c r="AD74" s="108"/>
      <c r="AE74" s="116"/>
      <c r="AF74" s="111"/>
      <c r="AG74" s="110"/>
      <c r="AH74" s="110"/>
      <c r="AI74" s="110"/>
      <c r="AJ74" s="110"/>
      <c r="AK74" s="110"/>
      <c r="AL74" s="111"/>
      <c r="AM74" s="111"/>
      <c r="AN74" s="111"/>
      <c r="AO74" s="111"/>
      <c r="AP74" s="111"/>
      <c r="AQ74" s="111"/>
      <c r="AR74" s="111"/>
    </row>
  </sheetData>
  <sheetProtection formatCells="0"/>
  <autoFilter xmlns:etc="http://www.wps.cn/officeDocument/2017/etCustomData" ref="A1:AR7" etc:filterBottomFollowUsedRange="0">
    <sortState ref="A1:AR7">
      <sortCondition ref="E1:E10"/>
    </sortState>
    <extLst/>
  </autoFilter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pane ySplit="1" topLeftCell="A9" activePane="bottomLeft" state="frozen"/>
      <selection/>
      <selection pane="bottomLeft" activeCell="A30" sqref="$A2:$XFD30"/>
    </sheetView>
  </sheetViews>
  <sheetFormatPr defaultColWidth="9" defaultRowHeight="25" customHeight="1"/>
  <cols>
    <col min="1" max="1" width="14.1416666666667" style="8" customWidth="1"/>
    <col min="2" max="2" width="14" style="8" customWidth="1"/>
    <col min="3" max="3" width="17.6416666666667" style="8" customWidth="1"/>
    <col min="4" max="4" width="11.2583333333333" style="8" customWidth="1"/>
    <col min="5" max="6" width="9" style="8"/>
    <col min="7" max="7" width="12.6416666666667" style="8" customWidth="1"/>
    <col min="8" max="8" width="12.8833333333333" style="8" customWidth="1"/>
    <col min="9" max="9" width="25.5" style="8" customWidth="1"/>
    <col min="10" max="16384" width="9" style="8"/>
  </cols>
  <sheetData>
    <row r="1" s="7" customFormat="1" customHeight="1" spans="1:9">
      <c r="A1" s="7" t="s">
        <v>742</v>
      </c>
      <c r="B1" s="7" t="s">
        <v>373</v>
      </c>
      <c r="C1" s="7" t="s">
        <v>0</v>
      </c>
      <c r="D1" s="7" t="s">
        <v>1173</v>
      </c>
      <c r="E1" s="7" t="s">
        <v>62</v>
      </c>
      <c r="F1" s="7" t="s">
        <v>1174</v>
      </c>
      <c r="G1" s="9" t="s">
        <v>1175</v>
      </c>
      <c r="H1" s="9" t="s">
        <v>1176</v>
      </c>
      <c r="I1" s="10" t="s">
        <v>1177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I1" etc:filterBottomFollowUsedRange="0">
    <extLst/>
  </autoFilter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zoomScale="85" zoomScaleNormal="85" topLeftCell="A19" workbookViewId="0">
      <selection activeCell="F230" sqref="F230"/>
    </sheetView>
  </sheetViews>
  <sheetFormatPr defaultColWidth="9" defaultRowHeight="13.5" outlineLevelCol="1"/>
  <cols>
    <col min="1" max="1" width="42.5" customWidth="1"/>
    <col min="2" max="2" width="37.8833333333333" customWidth="1"/>
  </cols>
  <sheetData>
    <row r="1" ht="38" customHeight="1" spans="1:2">
      <c r="A1" s="2" t="s">
        <v>1178</v>
      </c>
      <c r="B1" s="2" t="s">
        <v>1179</v>
      </c>
    </row>
    <row r="2" s="1" customFormat="1" ht="27" customHeight="1" spans="1:2">
      <c r="A2" s="2" t="s">
        <v>1180</v>
      </c>
      <c r="B2" s="2" t="s">
        <v>90</v>
      </c>
    </row>
    <row r="3" s="1" customFormat="1" ht="27" customHeight="1" spans="1:2">
      <c r="A3" s="2" t="s">
        <v>1181</v>
      </c>
      <c r="B3" s="2" t="s">
        <v>19</v>
      </c>
    </row>
    <row r="4" s="1" customFormat="1" ht="27" customHeight="1" spans="1:2">
      <c r="A4" s="2" t="s">
        <v>1182</v>
      </c>
      <c r="B4" s="2" t="s">
        <v>19</v>
      </c>
    </row>
    <row r="5" s="1" customFormat="1" ht="27" customHeight="1" spans="1:2">
      <c r="A5" s="2" t="s">
        <v>1183</v>
      </c>
      <c r="B5" s="2" t="s">
        <v>47</v>
      </c>
    </row>
    <row r="6" s="1" customFormat="1" ht="27" customHeight="1" spans="1:2">
      <c r="A6" s="2" t="s">
        <v>1184</v>
      </c>
      <c r="B6" s="2" t="s">
        <v>1185</v>
      </c>
    </row>
    <row r="7" s="1" customFormat="1" ht="27" customHeight="1" spans="1:2">
      <c r="A7" s="2" t="s">
        <v>1186</v>
      </c>
      <c r="B7" s="2" t="s">
        <v>68</v>
      </c>
    </row>
    <row r="8" s="1" customFormat="1" ht="27" customHeight="1" spans="1:2">
      <c r="A8" s="2" t="s">
        <v>1187</v>
      </c>
      <c r="B8" s="2" t="s">
        <v>67</v>
      </c>
    </row>
    <row r="9" s="1" customFormat="1" ht="27" customHeight="1" spans="1:2">
      <c r="A9" s="2" t="s">
        <v>1188</v>
      </c>
      <c r="B9" s="2" t="s">
        <v>50</v>
      </c>
    </row>
    <row r="10" s="1" customFormat="1" ht="27" customHeight="1" spans="1:2">
      <c r="A10" s="2" t="s">
        <v>1189</v>
      </c>
      <c r="B10" s="2" t="s">
        <v>73</v>
      </c>
    </row>
    <row r="11" s="1" customFormat="1" ht="27" customHeight="1" spans="1:2">
      <c r="A11" s="2" t="s">
        <v>1190</v>
      </c>
      <c r="B11" s="2" t="s">
        <v>71</v>
      </c>
    </row>
    <row r="12" s="1" customFormat="1" ht="27" customHeight="1" spans="1:2">
      <c r="A12" s="2" t="s">
        <v>1191</v>
      </c>
      <c r="B12" s="2" t="s">
        <v>75</v>
      </c>
    </row>
    <row r="13" s="1" customFormat="1" ht="27" customHeight="1" spans="1:2">
      <c r="A13" s="2" t="s">
        <v>1192</v>
      </c>
      <c r="B13" s="2" t="s">
        <v>74</v>
      </c>
    </row>
    <row r="14" s="1" customFormat="1" ht="27" customHeight="1" spans="1:2">
      <c r="A14" s="2" t="s">
        <v>1193</v>
      </c>
      <c r="B14" s="2" t="s">
        <v>76</v>
      </c>
    </row>
    <row r="15" s="1" customFormat="1" ht="27" customHeight="1" spans="1:2">
      <c r="A15" s="2" t="s">
        <v>1194</v>
      </c>
      <c r="B15" s="2" t="s">
        <v>1195</v>
      </c>
    </row>
    <row r="16" s="1" customFormat="1" ht="27" customHeight="1" spans="1:2">
      <c r="A16" s="2" t="s">
        <v>1196</v>
      </c>
      <c r="B16" s="2" t="s">
        <v>72</v>
      </c>
    </row>
    <row r="17" s="1" customFormat="1" ht="27" customHeight="1" spans="1:2">
      <c r="A17" s="2" t="s">
        <v>1197</v>
      </c>
      <c r="B17" s="2" t="s">
        <v>64</v>
      </c>
    </row>
    <row r="18" s="1" customFormat="1" ht="27" customHeight="1" spans="1:2">
      <c r="A18" s="2" t="s">
        <v>1198</v>
      </c>
      <c r="B18" s="2" t="s">
        <v>70</v>
      </c>
    </row>
    <row r="19" s="1" customFormat="1" ht="27" customHeight="1" spans="1:2">
      <c r="A19" s="2" t="s">
        <v>1199</v>
      </c>
      <c r="B19" s="2" t="s">
        <v>78</v>
      </c>
    </row>
    <row r="20" s="1" customFormat="1" ht="27" customHeight="1" spans="1:2">
      <c r="A20" s="2" t="s">
        <v>1200</v>
      </c>
      <c r="B20" s="2" t="s">
        <v>79</v>
      </c>
    </row>
    <row r="21" s="1" customFormat="1" ht="27" customHeight="1" spans="1:2">
      <c r="A21" s="2" t="s">
        <v>1201</v>
      </c>
      <c r="B21" s="2" t="s">
        <v>1202</v>
      </c>
    </row>
    <row r="22" s="1" customFormat="1" ht="27" customHeight="1" spans="1:2">
      <c r="A22" s="2" t="s">
        <v>1203</v>
      </c>
      <c r="B22" s="2" t="s">
        <v>5</v>
      </c>
    </row>
    <row r="23" s="1" customFormat="1" ht="27" customHeight="1" spans="1:2">
      <c r="A23" s="2" t="s">
        <v>1204</v>
      </c>
      <c r="B23" s="2" t="s">
        <v>118</v>
      </c>
    </row>
    <row r="24" s="1" customFormat="1" ht="27" customHeight="1" spans="1:2">
      <c r="A24" s="2" t="s">
        <v>1205</v>
      </c>
      <c r="B24" s="2" t="s">
        <v>1206</v>
      </c>
    </row>
    <row r="25" s="1" customFormat="1" ht="27" customHeight="1" spans="1:2">
      <c r="A25" s="2" t="s">
        <v>1207</v>
      </c>
      <c r="B25" s="2" t="s">
        <v>1208</v>
      </c>
    </row>
    <row r="26" s="1" customFormat="1" ht="27" customHeight="1" spans="1:2">
      <c r="A26" s="2" t="s">
        <v>1209</v>
      </c>
      <c r="B26" s="2" t="s">
        <v>1210</v>
      </c>
    </row>
    <row r="27" s="1" customFormat="1" ht="27" customHeight="1" spans="1:2">
      <c r="A27" s="2" t="s">
        <v>1211</v>
      </c>
      <c r="B27" s="2" t="s">
        <v>1212</v>
      </c>
    </row>
    <row r="28" s="1" customFormat="1" ht="27" customHeight="1" spans="1:2">
      <c r="A28" s="2" t="s">
        <v>1213</v>
      </c>
      <c r="B28" s="2" t="s">
        <v>21</v>
      </c>
    </row>
    <row r="29" s="1" customFormat="1" ht="27" customHeight="1" spans="1:2">
      <c r="A29" s="2" t="s">
        <v>1214</v>
      </c>
      <c r="B29" s="2" t="s">
        <v>48</v>
      </c>
    </row>
    <row r="30" s="1" customFormat="1" ht="27" customHeight="1" spans="1:2">
      <c r="A30" s="2" t="s">
        <v>1215</v>
      </c>
      <c r="B30" s="2" t="s">
        <v>57</v>
      </c>
    </row>
    <row r="31" s="1" customFormat="1" ht="27" customHeight="1" spans="1:2">
      <c r="A31" s="2" t="s">
        <v>1216</v>
      </c>
      <c r="B31" s="2" t="s">
        <v>57</v>
      </c>
    </row>
    <row r="32" s="1" customFormat="1" ht="27" customHeight="1" spans="1:2">
      <c r="A32" s="2" t="s">
        <v>1217</v>
      </c>
      <c r="B32" s="2" t="s">
        <v>79</v>
      </c>
    </row>
    <row r="33" s="1" customFormat="1" ht="27" customHeight="1" spans="1:2">
      <c r="A33" s="2" t="s">
        <v>1218</v>
      </c>
      <c r="B33" s="2" t="s">
        <v>53</v>
      </c>
    </row>
    <row r="34" s="1" customFormat="1" ht="27" customHeight="1" spans="1:2">
      <c r="A34" s="2" t="s">
        <v>1219</v>
      </c>
      <c r="B34" s="2" t="s">
        <v>54</v>
      </c>
    </row>
    <row r="35" s="1" customFormat="1" ht="27" customHeight="1" spans="1:2">
      <c r="A35" s="2" t="s">
        <v>1220</v>
      </c>
      <c r="B35" s="3" t="s">
        <v>65</v>
      </c>
    </row>
    <row r="36" s="1" customFormat="1" ht="27" customHeight="1" spans="1:2">
      <c r="A36" s="4" t="s">
        <v>1221</v>
      </c>
      <c r="B36" s="2" t="s">
        <v>55</v>
      </c>
    </row>
    <row r="37" s="1" customFormat="1" ht="27" customHeight="1" spans="1:2">
      <c r="A37" s="2" t="s">
        <v>1222</v>
      </c>
      <c r="B37" s="5" t="s">
        <v>1223</v>
      </c>
    </row>
    <row r="38" s="1" customFormat="1" ht="27" customHeight="1" spans="1:2">
      <c r="A38" s="2" t="s">
        <v>1224</v>
      </c>
      <c r="B38" s="6" t="s">
        <v>275</v>
      </c>
    </row>
    <row r="39" s="1" customFormat="1" ht="27" customHeight="1" spans="1:2">
      <c r="A39" s="2" t="s">
        <v>1225</v>
      </c>
      <c r="B39" s="6" t="s">
        <v>80</v>
      </c>
    </row>
    <row r="40" s="1" customFormat="1" ht="27" customHeight="1" spans="1:2">
      <c r="A40" s="2" t="s">
        <v>1226</v>
      </c>
      <c r="B40" s="2" t="s">
        <v>77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B40" etc:filterBottomFollowUsedRange="1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allowEditUser xmlns="https://web.wps.cn/et/2018/main" xmlns:s="http://schemas.openxmlformats.org/spreadsheetml/2006/main" hasInvisiblePropRange="0">
  <rangeList sheetStid="10" master="" otherUserPermission="visible"/>
  <rangeList sheetStid="3" master="" otherUserPermission="visible"/>
  <rangeList sheetStid="1" master="1475153551" otherUserPermission="edit">
    <arrUserId title="Range1" rangeCreator="" othersAccessPermission="visible">
      <userID accessPermission="edit">1475153551</userID>
      <userID accessPermission="edit">1474966847</userID>
      <userID accessPermission="edit">1828109780</userID>
      <userID accessPermission="edit">1475812750</userID>
      <userID accessPermission="edit">1765212680</userID>
      <userID accessPermission="edit">1475148402</userID>
      <userID accessPermission="edit">1475426452</userID>
      <userID accessPermission="edit">1862877470</userID>
      <userID accessPermission="edit">1853477080</userID>
    </arrUserId>
    <arrUserId title="Range2" rangeCreator="" othersAccessPermission="visible">
      <userID accessPermission="edit">1475153551</userID>
      <userID accessPermission="edit">1474966847</userID>
      <userID accessPermission="edit">1765212680</userID>
      <userID accessPermission="edit">1475426452</userID>
      <userID accessPermission="edit">1475148402</userID>
      <userID accessPermission="edit">1853477080</userID>
      <userID accessPermission="edit">1475812750</userID>
      <userID accessPermission="edit">1862877470</userID>
      <userID accessPermission="edit">1828109780</userID>
      <userID accessPermission="edit">1715258932</userID>
      <userID accessPermission="edit">1850010794</userID>
      <userID accessPermission="edit">1848489229</userID>
      <userID accessPermission="edit">1851561945</userID>
    </arrUserId>
  </rangeList>
  <rangeList sheetStid="14" master="" otherUserPermission="edit"/>
  <rangeList sheetStid="8" master="" otherUserPermission="visible"/>
  <rangeList sheetStid="12" master="" otherUserPermission="visible"/>
  <rangeList sheetStid="9" master="" otherUserPermission="visible"/>
  <rangeList sheetStid="7" master="" otherUserPermission="visible"/>
  <rangeList sheetStid="11" master="" otherUserPermission="visible"/>
</allowEditUser>
</file>

<file path=customXml/item2.xml><?xml version="1.0" encoding="utf-8"?>
<comments xmlns="https://web.wps.cn/et/2018/main" xmlns:s="http://schemas.openxmlformats.org/spreadsheetml/2006/main" xmlns:r="http://schemas.openxmlformats.org/officeDocument/2006/relationships">
  <commentList sheetStid="1">
    <commentChains s:ref="AG3" rgbClr="FF0000">
      <unresolved>
        <commentChain chainId="17e7408142db924789634ca92da9333fa6eac3f2">
          <item id="9fce685b4a33e40d8f1cc21722d213fe213373b7" userID="1850010794" userName="龙丽娟" dateTime="2026-06-30T11:48:57" isNormal="0">
            <s:text>
              <s:r>
                <s:t xml:space="preserve">2200992 6/30 1896pcs 欣泰C1区
备品2箱 </s:t>
              </s:r>
            </s:text>
          </item>
        </commentChain>
      </unresolved>
      <resolved/>
    </commentChains>
    <commentChains s:ref="AG4" rgbClr="FF0000">
      <unresolved>
        <commentChain chainId="b1981f1df1db831f84722c8ab3240147e940071c">
          <item id="fba9383435bfc2a5efbf5d09e7e949e99e78327b" userID="1850010794" userName="龙丽娟" dateTime="2026-07-04T03:38:31" isNormal="0">
            <s:text>
              <s:r>
                <s:t xml:space="preserve">22012121 7/3 1806pcs 顶均A3区
2201222 7/6 90pcs 欣泰C5区</s:t>
              </s:r>
            </s:text>
          </item>
        </commentChain>
      </unresolved>
      <resolved/>
    </commentChains>
    <commentChains s:ref="AG5" rgbClr="FF0000">
      <unresolved>
        <commentChain chainId="2727f4e94f5045206c8b73e03437bb84e03fff78">
          <item id="7cdc85531ef1fac1687f3f847332d22de2d59a92" userID="1850010794" userName="龙丽娟" dateTime="2026-07-08T00:40:05" isNormal="0">
            <s:text>
              <s:r>
                <s:t xml:space="preserve">2201234 7/7 4584pcs 欣泰B3区
2201291 7/10 2520pcs 应兴B8区
1001742 7/22 606pcs 欣泰A3区
1001797 7/24 294pcs 欣泰B3区</s:t>
              </s:r>
            </s:text>
          </item>
        </commentChain>
      </unresolved>
      <resolved/>
    </commentChains>
    <commentChains s:ref="AG6" rgbClr="FF0000">
      <unresolved>
        <commentChain chainId="13e3f7bcf34b70151ac168b9730ef42c008ebc96">
          <item id="3fa216a3c600129b1b4ba1db0b321bd7880317c8" userID="1850010794" userName="龙丽娟" dateTime="2026-07-09T02:20:22" isNormal="0">
            <s:text>
              <s:r>
                <s:t xml:space="preserve">3002881 7/8 2340pcs 欣泰B3区
3002889 7/9 468pcs 欣泰B3区
3002880 7/9 1404pcs 欣泰B3区
3002932 7/11 468pcs 欣泰A7区</s:t>
              </s:r>
            </s:text>
          </item>
        </commentChain>
      </unresolved>
      <resolved/>
    </commentChains>
    <commentChains s:ref="AG7" rgbClr="FF0000">
      <unresolved>
        <commentChain chainId="2a0485708e19588aec7bc1383ca5786fd4f5de98">
          <item id="0a9c1b5a10ad972e256cdd47cb23c42e7bd9af81" userID="1850010794" userName="龙丽娟" dateTime="2026-07-11T00:23:35" isNormal="0">
            <s:text>
              <s:r>
                <s:t xml:space="preserve">3002893 7/10 3168pcs 欣泰E3区
3003048 7/14 102pcs 新泰E3区
3003060 7/15 732pcs 新泰E3区</s:t>
              </s:r>
            </s:text>
          </item>
        </commentChain>
      </unresolved>
      <resolved/>
    </commentChains>
    <commentChains s:ref="AG9" rgbClr="FF0000">
      <unresolved>
        <commentChain chainId="024e8c4e9d8c94f40377c7ec5d5a0c260da5bd53">
          <item id="6308e7c0e6800a1ed821fbc2ae16136dc63ebac7" userID="1850010794" userName="龙丽娟" dateTime="2026-07-24T02:19:46" isNormal="0">
            <s:text>
              <s:r>
                <s:t xml:space="preserve">1001796 7/23 3000pcs 欣泰B6区
1001796 7/23 6pcs 欣泰A5区</s:t>
              </s:r>
            </s:text>
          </item>
        </commentChain>
      </unresolved>
      <resolved/>
    </commentChains>
    <commentChains s:ref="AG10" rgbClr="FF0000">
      <unresolved>
        <commentChain chainId="73466ba3725b0a38ccecd9b58a7b22b6990842ec">
          <item id="c77f0123d9ee9ccafcace2f38b2f5b42b7470402" userID="1850010794" userName="龙丽娟" dateTime="2026-06-22T00:59:46" isNormal="0">
            <s:text>
              <s:r>
                <s:t xml:space="preserve">1000004 6/20 504pcs 欣泰C4区
1000009 6/20 36pcs 欣泰C4区</s:t>
              </s:r>
            </s:text>
          </item>
        </commentChain>
      </unresolved>
      <resolved/>
    </commentChains>
    <commentChains s:ref="AG11" rgbClr="FF0000">
      <unresolved>
        <commentChain chainId="54e7360e68d3756e4fe5e151a86360118496e342">
          <item id="2de30090ea06b172734aa367b3b01e3c51b8bd67" userID="1850010794" userName="龙丽娟" dateTime="2026-06-26T02:40:20" isNormal="0">
            <s:text>
              <s:r>
                <s:t xml:space="preserve">1000647 6/25 336pcs 顶均C2区</s:t>
              </s:r>
            </s:text>
          </item>
        </commentChain>
      </unresolved>
      <resolved/>
    </commentChains>
    <commentChains s:ref="AG12" rgbClr="FF0000">
      <unresolved>
        <commentChain chainId="299932f84d24930be60be43173fb28c581aa3164">
          <item id="175f9071c93c1364c65273b73c01e27c30180c68" userID="1850010794" userName="龙丽娟" dateTime="2026-07-20T02:48:36" isNormal="0">
            <s:text>
              <s:r>
                <s:t xml:space="preserve">1001872 7/18 4104pcs 钜顺A4区
1001834 7/18 3612pcs 欣泰A1区
1001707 7/25 1356pcs
1001712 7/25 138pcs</s:t>
              </s:r>
            </s:text>
          </item>
        </commentChain>
      </unresolved>
      <resolved/>
    </commentChains>
    <commentChains s:ref="AG14" rgbClr="FF0000">
      <unresolved>
        <commentChain chainId="8280ab49118ff37bf6a17872f7b0fe8fa9156ee2">
          <item id="3a41b81a16c70dcf02b8540eddb11d83f7eda859" userID="1850010794" userName="龙丽娟" dateTime="2026-07-27T00:52:05" isNormal="0">
            <s:text>
              <s:r>
                <s:t xml:space="preserve">3001668 7/25 1260pcs
3001674 7/25 1680pcs 
3001676 7/25 840pcs
3003231 7/27 1680pcs 馥通F1区</s:t>
              </s:r>
            </s:text>
          </item>
        </commentChain>
      </unresolved>
      <resolved/>
    </commentChains>
    <commentChains s:ref="AG15" rgbClr="FF0000">
      <unresolved>
        <commentChain chainId="f171de18ba506a6df4a84b982c76d54bf9014801">
          <item id="eca1f961ee9958bb3149f28bd92bc67642b045c8" userID="1850010794" userName="龙丽娟" dateTime="2026-07-22T00:31:01" isNormal="0">
            <s:text>
              <s:r>
                <s:t xml:space="preserve">3003186 7/21 1056pcs 钜顺C4区
3003202 7/22 2112pcs 欣泰B1区
3003211 7/22 2292pcs 欣泰C1区</s:t>
              </s:r>
            </s:text>
          </item>
        </commentChain>
      </unresolved>
      <resolved/>
    </commentChains>
    <commentChains s:ref="AG16" rgbClr="FF0000">
      <unresolved>
        <commentChain chainId="ebaa8b60b7229efc6742f00cc53a2fc066493812">
          <item id="b6a3290ba038567ea130791a3202b840973eeefa" userID="1850010794" userName="龙丽娟" dateTime="2026-08-01T00:44:31" isNormal="0">
            <s:text>
              <s:r>
                <s:t xml:space="preserve">3004807 7/31 3024pcs
3004730 8/1 2520pcs 欣泰A4区
3004737 8/1 504pcs 欣泰A4区
3004718 8/3 2520pcs 馥通D2区 
3004748 8/3 3024pcs 应兴A8区
3004757 8/4 1008pcs 馥通C4区
3003967 8/4 600pcs 欣泰A4区</s:t>
              </s:r>
            </s:text>
          </item>
        </commentChain>
      </unresolved>
      <resolved/>
    </commentChains>
    <commentChains s:ref="AG17" rgbClr="FF0000">
      <unresolved>
        <commentChain chainId="ecca0d23c7e8ca2928fdd733a0c0c0ca5a48312d">
          <item id="7f1935d0488b46e191e39a2bdf5e385842c273a8" userID="1850010794" userName="龙丽娟" dateTime="2026-08-01T00:20:20" isNormal="0">
            <s:text>
              <s:r>
                <s:t xml:space="preserve">3004800 7/31 6552pcs
3004808 7/31 1512pcs
3004730 8/1 504pcs 欣泰A7区
3004712 8/1 1008pcs 欣泰A7区
3003911 8/6 444pcs 欣泰A7区</s:t>
              </s:r>
            </s:text>
          </item>
        </commentChain>
      </unresolved>
      <resolved/>
    </commentChains>
    <commentChains s:ref="AG18" rgbClr="FF0000">
      <unresolved>
        <commentChain chainId="ddf62797cec7416a7b8f348e4ecea40e09aa1db4">
          <item id="91b1811e7c39aa91fee4e4ab6f6fad662013e25c" userID="1850010794" userName="龙丽娟" dateTime="2026-08-05T01:19:15" isNormal="0">
            <s:text>
              <s:r>
                <s:t xml:space="preserve">3003973 8/4 360pcs B栋四楼B9区
3004817 8/5 504pcs 欣泰C6区
3003097 8/6 2016pcs 欣泰D5区
3003902 8/5 1512pcs 馥通A7区
3003922 8/7 504pcs 馥通D1区
3003245 8/11 90pcs 欣泰A5区
3003817 8/12 294pcs 欣泰A6区
</s:t>
              </s:r>
            </s:text>
          </item>
        </commentChain>
      </unresolved>
      <resolved/>
    </commentChains>
    <commentChains s:ref="L19" rgbClr="FF0000">
      <unresolved>
        <commentChain chainId="3c242a77cf48153619f14d3cf882815ba5be72c8">
          <item id="3ffad8c8497ca3be4a6bb06dae609a6942a22624" userID="1853477080" userName="陈龙" dateTime="2026-08-04T01:38:16" isNormal="0">
            <s:text>
              <s:r>
                <s:t xml:space="preserve">面壳颜色色差</s:t>
              </s:r>
            </s:text>
          </item>
        </commentChain>
      </unresolved>
      <resolved/>
    </commentChains>
    <commentChains s:ref="AG19" rgbClr="FF0000">
      <unresolved>
        <commentChain chainId="bae1a24009f8fbb40cefe0f4c6a9d8a72d93b83f">
          <item id="9a4641a66b5e44be80b870c9b915fb10c5ca9890" userID="1850010794" userName="龙丽娟" dateTime="2026-08-01T00:41:09" isNormal="0">
            <s:text>
              <s:r>
                <s:t xml:space="preserve">1001621 7/31 4152pcs
1001310 8/7 774pcs 欣泰F2区
1001374 8/17 78pcs</s:t>
              </s:r>
            </s:text>
          </item>
        </commentChain>
      </unresolved>
      <resolved/>
    </commentChains>
    <commentChains s:ref="AG21" rgbClr="FF0000">
      <unresolved>
        <commentChain chainId="976e80366a3d9f9ae007074cddd52f7c91eaa072">
          <item id="5c58c533316e2eda90b747387c9b21756e1e6405" userID="1850010794" userName="龙丽娟" dateTime="2026-08-06T00:42:34" isNormal="0">
            <s:text>
              <s:r>
                <s:t xml:space="preserve">3003905 8/5 336pcs 馥通A9区
3004817 8/5 672pcs 欣泰D7区 改单1004pcs
3003099 8/6 672pcs 欣泰D7区
3003922 8/7 2352pcs 馥通D8区
以上返工
3003937 8/8 3696pcs 欣泰F7区
3003616 8/14 340pcs</s:t>
              </s:r>
            </s:text>
          </item>
        </commentChain>
      </unresolved>
      <resolved/>
    </commentChains>
    <commentChains s:ref="AG23" rgbClr="FF0000">
      <unresolved>
        <commentChain chainId="f44bbbafc111ff0937371c5730c267839f8ce554">
          <item id="26b8a82d481c93ccf341bbc1057705a5ab28111f" userID="1850010794" userName="龙丽娟" dateTime="2026-08-03T01:11:02" isNormal="0">
            <s:text>
              <s:r>
                <s:t xml:space="preserve">3004730 8/1 528pcs 欣泰A4区
3003097 8/6 294pcs 欣泰A4区
3003811 8/12 4224pcs 欣泰B1区
3003828 8/13 414pcs 直走</s:t>
              </s:r>
            </s:text>
          </item>
        </commentChain>
      </unresolved>
      <resolved/>
    </commentChains>
    <commentChains s:ref="AG25" rgbClr="FF0000">
      <unresolved>
        <commentChain chainId="50230147f6e9ae675353f715dbeab2b1af14a612">
          <item id="1a1e75569388706e22aeea6d5c3fff02da871f83" userID="1850010794" userName="龙丽娟" dateTime="2026-08-08T00:59:19" isNormal="0">
            <s:text>
              <s:r>
                <s:t xml:space="preserve">3003928 8/7 252pcs 应兴A5区
3003809 8/8 2520pcs 欣泰B5区
3003804 8/10 2016pcs 欣泰C4区
3003828 8/13 252pcs 馥通A11区</s:t>
              </s:r>
            </s:text>
          </item>
        </commentChain>
      </unresolved>
      <resolved/>
    </commentChains>
    <commentChains s:ref="AG26" rgbClr="FF0000">
      <unresolved>
        <commentChain chainId="db73423c718d225ca6a87b60d4d13119236152aa">
          <item id="ec03f16c153d3223f3e323aaadcaab21f7b98e8a" userID="1850010794" userName="龙丽娟" dateTime="2026-08-11T01:33:26" isNormal="0">
            <s:text>
              <s:r>
                <s:t xml:space="preserve">1001501 8/10 2988pcs 欣泰A4区
1001462 8/11 12pcs 欣泰A4区
备两箱</s:t>
              </s:r>
            </s:text>
          </item>
        </commentChain>
      </unresolved>
      <resolved/>
    </commentChains>
    <commentChains s:ref="AG27" rgbClr="FF0000">
      <unresolved>
        <commentChain chainId="18c55ec6e58f5a5bd85bde890227017a1393bf47">
          <item id="bf4b126c73305dd71697bdbbd43b2c78eb4858bb" userID="1850010794" userName="龙丽娟" dateTime="2026-08-13T01:23:52" isNormal="0">
            <s:text>
              <s:r>
                <s:t xml:space="preserve">3003822 8/12 504pcs 欣泰D3区
3003824 8/13 2016pcs 欣泰F6区
3003828 8/13 1512pcs 馥通A11区
3003616 8/14 2016pcs
3003623 8/14 2520pcs 欣泰E6区
3003625 8/15 3024pcs
3003606 8/15 768pcs</s:t>
              </s:r>
            </s:text>
          </item>
        </commentChain>
      </unresolved>
      <resolved/>
    </commentChains>
    <commentChains s:ref="AG28" rgbClr="FF0000">
      <unresolved>
        <commentChain chainId="e4d3d7575325aad6ec3f9cf0d2e23491a5e193cc">
          <item id="bff5284224567d4c9a32cb775032e4168cc090e6" userID="1850010794" userName="龙丽娟" dateTime="2026-08-13T02:13:51" isNormal="0">
            <s:text>
              <s:r>
                <s:t xml:space="preserve">3003822 8/12 504pcs 欣泰A6区
3003615 8/14 2016pcs
3003616 8/14 504pcs
3003606 8/15 1008pcs
3004007 8/15 948pcs</s:t>
              </s:r>
            </s:text>
          </item>
        </commentChain>
      </unresolved>
      <resolved/>
    </commentChains>
    <commentChains s:ref="AG29" rgbClr="FF0000">
      <unresolved>
        <commentChain chainId="69d1c860ecc62c89a7978a105ac51662068163a8">
          <item id="511a0e37d7aacc5874b4661938a7e28c66a688f6" userID="1850010794" userName="龙丽娟" dateTime="2026-08-13T01:19:34" isNormal="0">
            <s:text>
              <s:r>
                <s:t xml:space="preserve">3003822 8/12 1944pcs 欣泰A6区
3003824 8/13 1008pcs 欣泰D6区
3003828 8/13 1368pcs 馥通A11区
3003615 8/14 1080pcs</s:t>
              </s:r>
            </s:text>
          </item>
        </commentChain>
      </unresolved>
      <resolved/>
    </commentChains>
    <commentChains s:ref="AG30" rgbClr="FF0000">
      <unresolved>
        <commentChain chainId="df60044de839d8aaafcec7da130dfcb3ebd55f3d">
          <item id="65986b82c19290e06dc7ee9f38948a23ad1d0863" userID="1850010794" userName="龙丽娟" dateTime="2026-08-12T01:19:42" isNormal="0">
            <s:text>
              <s:r>
                <s:t xml:space="preserve">1001464 8/11 4470pcs 钜顺B5区
1001448 8/12 30pcs 矩顺B4区
备一箱</s:t>
              </s:r>
            </s:text>
          </item>
        </commentChain>
      </unresolved>
      <resolved/>
    </commentChains>
    <commentChains s:ref="AG31" rgbClr="FF0000">
      <unresolved>
        <commentChain chainId="cd9ada36f866d2613c024c976a7c0702a3957a1e">
          <item id="967b871517605b2181da3cd3ef66918e8309f659" userID="1850010794" userName="龙丽娟" dateTime="2026-08-06T00:47:56" isNormal="0">
            <s:text>
              <s:r>
                <s:t xml:space="preserve">1001567 8/5 2520pcs 欣泰E3区
1001535 8/6 3480pcs 欣泰E3区
1001527 8/8 954pcs 欣泰D4区
1001433 8/12 48pcs 欣泰E4区</s:t>
              </s:r>
            </s:text>
          </item>
        </commentChain>
      </unresolved>
      <resolved/>
    </commentChains>
    <commentChains s:ref="AG33" rgbClr="FF0000">
      <unresolved>
        <commentChain chainId="3c134abef8923639137a0fda037da04713d30af8">
          <item id="5bbe08cb8d532e9113667ae61c1bfb07638aa777" userID="1850010794" userName="龙丽娟" dateTime="2026-08-18T00:29:22" isNormal="0">
            <s:text>
              <s:r>
                <s:t xml:space="preserve">1001374 8/17 4572pcs</s:t>
              </s:r>
            </s:text>
          </item>
        </commentChain>
      </unresolved>
      <resolved/>
    </commentChains>
    <commentChains s:ref="AG34" rgbClr="FF0000">
      <unresolved>
        <commentChain chainId="410faaaf9e000e390efb28472e313884a3ded34d">
          <item id="1bad8d4e692a3b6050b9237f0e8ec516e0709a1b" userID="1850010794" userName="龙丽娟" dateTime="2026-08-01T00:19:00" isNormal="0">
            <s:text>
              <s:r>
                <s:t xml:space="preserve">3004800 7/31 4752pcs
3004808 7/31 1584pcs
3004722 8/1 1056pcs 欣泰B1区
3004730 8/1 528pcs 欣泰A5区
3004712 8/1 90pcs 欣泰A5区</s:t>
              </s:r>
            </s:text>
          </item>
        </commentChain>
      </unresolved>
      <resolved/>
    </commentChains>
    <commentChains s:ref="AG35" rgbClr="FF0000">
      <unresolved>
        <commentChain chainId="a79f23edb378f22401966fc0d8e7190bd91b16f5">
          <item id="1a4b35cf37e6a5830cbee6237b722aacc147b07b" userID="1850010794" userName="龙丽娟" dateTime="2026-08-12T01:14:06" isNormal="0">
            <s:text>
              <s:r>
                <s:t xml:space="preserve">3003245 8/11 2520pcs 欣泰E1区
3003822 8/12 450pcs 欣泰E1区
3003828 8/13 30pcs 馥通C1区</s:t>
              </s:r>
            </s:text>
          </item>
        </commentChain>
      </unresolved>
      <resolved/>
    </commentChains>
    <commentChains s:ref="AG37" rgbClr="FF0000">
      <unresolved>
        <commentChain chainId="6250ec5ce55d879cff2411d3f56da7c714a27076">
          <item id="9ae0179677a8c00b13fc570e4f50ce5d1e7e6f5c" userID="1850010794" userName="龙丽娟" dateTime="2026-08-15T02:37:01" isNormal="0">
            <s:text>
              <s:r>
                <s:t xml:space="preserve">3003623 8/14 1008pcs 欣泰A5区
3003625 8/15 1008pcs
3003606 8/15 504pcs</s:t>
              </s:r>
            </s:text>
          </item>
        </commentChain>
      </unresolved>
      <resolved/>
    </commentChains>
    <commentChains s:ref="AG38" rgbClr="FF0000">
      <unresolved>
        <commentChain chainId="6ad7ad408c45d351987fb5c85e3667e568624bd3">
          <item id="c88b325ad36b87087a1bf8754011051d901c3f19" userID="1850010794" userName="龙丽娟" dateTime="2026-08-17T00:10:54" isNormal="0">
            <s:text>
              <s:r>
                <s:t xml:space="preserve">1001404 8/15 1758pcs</s:t>
              </s:r>
            </s:text>
          </item>
        </commentChain>
      </unresolved>
      <resolved/>
    </commentChains>
    <commentChains s:ref="AG39" rgbClr="FF0000">
      <unresolved>
        <commentChain chainId="6f982a8f71cfd042f4ea71502a3df3548664276c">
          <item id="61ac499bc9588ab6ce8c5187a4c7f139285cb280" userID="1850010794" userName="龙丽娟" dateTime="2026-08-18T00:27:24" isNormal="0">
            <s:text>
              <s:r>
                <s:t xml:space="preserve">1001374 8/17 1650pcs</s:t>
              </s:r>
            </s:text>
          </item>
        </commentChain>
      </unresolved>
      <resolved/>
    </commentChains>
    <commentChains s:ref="AG41" rgbClr="FF0000">
      <unresolved>
        <commentChain chainId="90514d6e4aa2a034b64c25e79ace3a9be6a8d9a4">
          <item id="56934ac737b10416bf0b3a305e9983c0ff543bad" userID="1850010794" userName="龙丽娟" dateTime="2026-08-18T00:21:42" isNormal="0">
            <s:text>
              <s:r>
                <s:t xml:space="preserve">1001374 8/17 600pcs</s:t>
              </s:r>
            </s:text>
          </item>
        </commentChain>
      </unresolved>
      <resolved/>
    </commentChains>
    <commentChains s:ref="AG43" rgbClr="FF0000">
      <unresolved>
        <commentChain chainId="848cdde0d30c0c14da123fed32c158d3273037e3">
          <item id="76a30db980d450363cb72f85d4a4bafab940a325" userID="1850010794" userName="龙丽娟" dateTime="2026-08-17T01:19:26" isNormal="0">
            <s:text>
              <s:r>
                <s:t xml:space="preserve">1001384 8/15 1752pcs</s:t>
              </s:r>
            </s:text>
          </item>
        </commentChain>
      </unresolved>
      <resolved/>
    </commentChains>
    <commentChains s:ref="AG44" rgbClr="FF0000">
      <unresolved>
        <commentChain chainId="6bfcdb317eae8348f15b0cbd020bcdb3d5cdd27a">
          <item id="80ff0bbb6153877245790afa19d61a3d0ded1464" userID="1850010794" userName="龙丽娟" dateTime="2026-08-18T00:28:34" isNormal="0">
            <s:text>
              <s:r>
                <s:t xml:space="preserve">1001374 8/17 1650pcs</s:t>
              </s:r>
            </s:text>
          </item>
        </commentChain>
      </unresolved>
      <resolved/>
    </commentChains>
    <commentChains s:ref="AG46" rgbClr="FF0000">
      <unresolved>
        <commentChain chainId="26baee9ec5a84f181a8d7ea912b213ee97f49ada">
          <item id="7672d1c6a724c2eae9494d8ca18a6ecf126c8137" userID="1850010794" userName="龙丽娟" dateTime="2026-08-18T00:26:40" isNormal="0">
            <s:text>
              <s:r>
                <s:t xml:space="preserve">1001374 8/17 600pcs</s:t>
              </s:r>
            </s:text>
          </item>
        </commentChain>
      </unresolved>
      <resolved/>
    </commentChains>
  </commentList>
  <commentList sheetStid="14">
    <commentChains s:ref="T3" rgbClr="FF0000">
      <unresolved>
        <commentChain chainId="06d9678bc7057ca1bdc2215bc32279dbcfece01b">
          <item id="d7765f74b2699bc7dfdb7e040d3a395e5685a62a" userID="1853477080" userName="陈龙" dateTime="2026-07-15T07:57:14" isNormal="0">
            <s:text>
              <s:r>
                <s:t xml:space="preserve">第三方跟客人各签回了1PCS</s:t>
              </s:r>
            </s:text>
          </item>
        </commentChain>
      </unresolved>
      <resolved/>
    </commentChains>
    <commentChains s:ref="R7" rgbClr="FF0000">
      <unresolved>
        <commentChain chainId="9419ec3afdc65be784c0b5da1f66c4341f0662cf">
          <item id="d6fc46c54edb740a65447b95e3e80c3b5d18c213" userID="1853477080" userName="陈龙" dateTime="2026-07-16T00:48:44" isNormal="0">
            <s:text>
              <s:r>
                <s:t xml:space="preserve">样办由车间准备</s:t>
              </s:r>
            </s:text>
          </item>
        </commentChain>
      </unresolved>
      <resolved/>
    </commentChains>
    <commentChains s:ref="T8" rgbClr="FF0000">
      <unresolved>
        <commentChain chainId="b60e34ee80d9d0b8044b8e726c804666b822c667">
          <item id="37eb4919e27bff4fa56293608d06ece6b693c4b7" userID="1853477080" userName="陈龙" dateTime="2026-07-24T02:25:50" isNormal="0">
            <s:text>
              <s:r>
                <s:t xml:space="preserve">客人签回彩盒/说明书</s:t>
              </s:r>
            </s:text>
          </item>
        </commentChain>
      </unresolved>
      <resolved/>
    </commentChains>
    <commentChains s:ref="T10" rgbClr="FF0000">
      <unresolved>
        <commentChain chainId="2a62fcb3dbf46bd653b119fa81a3097afc89b55e">
          <item id="9d6e475f9bd8f9ba00d173433cf10b61c9fc3be3" userID="1853477080" userName="陈龙" dateTime="2026-07-24T02:24:02" isNormal="0">
            <s:text>
              <s:r>
                <s:t xml:space="preserve">谭生带回彩盒及说明书</s:t>
              </s:r>
            </s:text>
          </item>
        </commentChain>
      </unresolved>
      <resolved/>
    </commentChains>
    <commentChains s:ref="AM13" rgbClr="FF0000">
      <unresolved>
        <commentChain chainId="9c1d3b4f5faf31e1c2476a8901d0d4769bfe856c">
          <item id="1a5598855812e446b2599e3f2b4da5725e291074" userID="1850010794" userName="龙丽娟" dateTime="2026-07-20T02:46:44" isNormal="0">
            <s:text>
              <s:r>
                <s:t xml:space="preserve">3003146 7/18 12pcs</s:t>
              </s:r>
            </s:text>
          </item>
        </commentChain>
      </unresolved>
      <resolved/>
    </commentChains>
    <commentChains s:ref="AM14" rgbClr="FF0000">
      <unresolved>
        <commentChain chainId="a1cd5081cfb514446b27a0e9801fdb34fbb21fc8">
          <item id="d5bef10deb0d058f34b7263208af1b7f95e28a8f" userID="1850010794" userName="龙丽娟" dateTime="2026-07-15T02:07:46" isNormal="0">
            <s:text>
              <s:r>
                <s:t xml:space="preserve">3003051 7/14 4pcs</s:t>
              </s:r>
            </s:text>
          </item>
        </commentChain>
      </unresolved>
      <resolved/>
    </commentChains>
    <commentChains s:ref="AM16" rgbClr="FF0000">
      <unresolved>
        <commentChain chainId="2c3aff8cfb2c8c86c507a63a78a7b46d0d81b4b4">
          <item id="a4708fcbcdece166e2fce58fc87a01f38ffbf666" userID="1850010794" userName="龙丽娟" dateTime="2026-07-23T01:24:36" isNormal="0">
            <s:text>
              <s:r>
                <s:t xml:space="preserve">3003207 7/22 12pcs</s:t>
              </s:r>
            </s:text>
          </item>
        </commentChain>
      </unresolved>
      <resolved/>
    </commentChains>
    <commentChains s:ref="AM18" rgbClr="FF0000">
      <unresolved>
        <commentChain chainId="593886f9b5992a51a075bd8ef4ac7208271276ab">
          <item id="17e80b88c497e5962cc6f0b4de38c650189a4e0c" userID="1850010794" userName="龙丽娟" dateTime="2026-07-30T01:02:29" isNormal="0">
            <s:text>
              <s:r>
                <s:t xml:space="preserve">3002677 7/29 18pcs</s:t>
              </s:r>
            </s:text>
          </item>
        </commentChain>
      </unresolved>
      <resolved/>
    </commentChains>
    <commentChains s:ref="AM21" rgbClr="FF0000">
      <unresolved>
        <commentChain chainId="7534c18ca9ee416c9cb6c6d032ccec78b93e01bc">
          <item id="0687dc71e48171c53edfaabb53e709e119b2cd21" userID="1850010794" userName="龙丽娟" dateTime="2026-07-23T01:24:09" isNormal="0">
            <s:text>
              <s:r>
                <s:t xml:space="preserve">3003207 7/22 6pcs</s:t>
              </s:r>
            </s:text>
          </item>
        </commentChain>
      </unresolved>
      <resolved/>
    </commentChains>
  </commentList>
  <commentList sheetStid="8">
    <commentChains s:ref="AG2" rgbClr="FF0000">
      <unresolved>
        <commentChain chainId="225fc29cff8f3aefe3663c09af00e3fe2d3997c7">
          <item id="b7f2954907d60b7cb0ec95e8156fe8329bb56be3" isNormal="1">
            <s:text>
              <s:r>
                <s:t xml:space="preserve">Administrator:
1600096 12/26 6000pcs B4楼C8区</s:t>
              </s:r>
            </s:text>
          </item>
        </commentChain>
      </unresolved>
      <resolved/>
    </commentChains>
    <commentChains s:ref="AG3" rgbClr="FF0000">
      <unresolved>
        <commentChain chainId="4ac4cdf0631e991bf3ae8e699fba9aac6528ee05">
          <item id="9628100fd5d38a0c2d19006d3b5a9002a090bd3e" isNormal="1">
            <s:text>
              <s:r>
                <s:t xml:space="preserve">Administrator:
1600096 12/26 5004pcs B4楼B7区
12/29退回返工-版本用错
1600957 1/3 5004pcs B4楼A8区 </s:t>
              </s:r>
            </s:text>
          </item>
        </commentChain>
      </unresolved>
      <resolved/>
    </commentChains>
    <commentChains s:ref="AG4" rgbClr="FF0000">
      <unresolved>
        <commentChain chainId="ec8c24fdd49c5a7968bd40ea4f550747d0c93abd">
          <item id="5c7017099e4330342f03261ed805176cba80ac54" isNormal="1">
            <s:text>
              <s:r>
                <s:t xml:space="preserve">Administrator:
3000542 12/11 4002pcs B4楼A5区
备品1箱</s:t>
              </s:r>
            </s:text>
          </item>
        </commentChain>
      </unresolved>
      <resolved/>
    </commentChains>
    <commentChains s:ref="AG5" rgbClr="FF0000">
      <unresolved>
        <commentChain chainId="f49e72f7ae006bd341258e1cd5326b6270d3b0a8">
          <item id="a904fbed1ada81ed1234a0dc4bb215a8096260f3" isNormal="1">
            <s:text>
              <s:r>
                <s:t xml:space="preserve">Administrator:
1200959 12/16 3000pcs B4楼C7区
备品2箱</s:t>
              </s:r>
            </s:text>
          </item>
        </commentChain>
      </unresolved>
      <resolved/>
    </commentChains>
    <commentChains s:ref="AG6" rgbClr="FF0000">
      <unresolved>
        <commentChain chainId="e4598b26ce1a4167d3777b5c05ea94a1053ae50f">
          <item id="bf9251766be41cc0cf2ef27550630c66aa749746" isNormal="1">
            <s:text>
              <s:r>
                <s:t xml:space="preserve">Administrator:
1200791 12/15 3834pcs B4楼B8区
1200974 12/17 2454pcs B4楼A8区
1200965 12/17 1716pcs B4楼B8区
备品1箱</s:t>
              </s:r>
            </s:text>
          </item>
        </commentChain>
      </unresolved>
      <resolved/>
    </commentChains>
    <commentChains s:ref="AG7" rgbClr="FF0000">
      <unresolved>
        <commentChain chainId="2594d09a0dc5662a57a8c8582fe22f14bd74f089">
          <item id="ff2492867046caf401f5ee3350ab8c5002f2e9a1" isNormal="1">
            <s:text>
              <s:r>
                <s:t xml:space="preserve">Administrator:
1601022 1/7 10170pcs B4楼C8区
1601037 1/6  2430pcs B4楼B8区
备品2件</s:t>
              </s:r>
            </s:text>
          </item>
        </commentChain>
      </unresolved>
      <resolved/>
    </commentChains>
    <commentChains s:ref="AJ7" rgbClr="FF0000">
      <unresolved>
        <commentChain chainId="8c70b73b4c8ac93d250135935a0e4070b9581a33">
          <item id="8a811eb467fbb7521a00ccae983dfeddefb56480" isNormal="1">
            <s:text>
              <s:r>
                <s:t xml:space="preserve">Administrator:
12/18 上比卡超电池箱利宝 37800pcs
      上GROUP A贴纸 12800pcs
      上GROUP B贴纸 12800pcs</s:t>
              </s:r>
            </s:text>
          </item>
        </commentChain>
      </unresolved>
      <resolved/>
    </commentChains>
    <commentChains s:ref="AG8" rgbClr="FF0000">
      <unresolved>
        <commentChain chainId="b0e53ee0f9ddb9d999bc723cd1247de0f746035c">
          <item id="9848ea8a6e81ff863287588ba89ace0983ed7f8b" isNormal="1">
            <s:text>
              <s:r>
                <s:t xml:space="preserve">Administrator:
1600967 1/4   60pcs B4楼A9区
1601058 1/9 4944pcs B4楼B4区</s:t>
              </s:r>
            </s:text>
          </item>
        </commentChain>
      </unresolved>
      <resolved/>
    </commentChains>
    <commentChains s:ref="AG12" rgbClr="FF0000">
      <unresolved>
        <commentChain chainId="ed736091a1cde797b6e8c8b9b085a24d408774bf">
          <item id="2e92fe7eb1561999a4765d4b1f67101b54dbc864" isNormal="1">
            <s:text>
              <s:r>
                <s:t xml:space="preserve">Administrator:
1601147 1/14 4002pcs B4楼C9区
备品2箱</s:t>
              </s:r>
            </s:text>
          </item>
        </commentChain>
      </unresolved>
      <resolved/>
    </commentChains>
    <commentChains s:ref="AG13" rgbClr="FF0000">
      <unresolved>
        <commentChain chainId="1029b23e1f8afc13ee5fe5675176bebeb9da071c">
          <item id="d1aee724dedf2e75036f2d023eb4fa092751ccf7" isNormal="1">
            <s:text>
              <s:r>
                <s:t xml:space="preserve">Administrator:
1601247 1/22   56pcs  B4楼C7区
1601205 1/22 5946pcs  B4楼C7区
备品1pcs </s:t>
              </s:r>
            </s:text>
          </item>
        </commentChain>
      </unresolved>
      <resolved/>
    </commentChains>
    <commentChains s:ref="AG14" rgbClr="FF0000">
      <unresolved>
        <commentChain chainId="0fb4e51a17b6a4ac4bc18c25cd410cc2018c5043">
          <item id="e39de72aa9e4daed18d02c1696371efeb7c502ae" isNormal="1">
            <s:text>
              <s:r>
                <s:t xml:space="preserve">Administrator:
1601247 1/22 1974pcs B4楼C8区
1601281 1/23   30pcs B4楼C8区</s:t>
              </s:r>
            </s:text>
          </item>
        </commentChain>
      </unresolved>
      <resolved/>
    </commentChains>
    <commentChains s:ref="AG17" rgbClr="FF0000">
      <unresolved>
        <commentChain chainId="56b0670cc179a2cb9a721cda447c4342fce8994a">
          <item id="310011f331e78968291fd9be6c4504b7dbd45881" isNormal="1">
            <s:text>
              <s:r>
                <s:t xml:space="preserve">Administrator:
1601139 1/24 1488pcs B4楼C9区
1405706 1/29  12pcs  B4楼C8区
备品2箱</s:t>
              </s:r>
            </s:text>
          </item>
        </commentChain>
      </unresolved>
      <resolved/>
    </commentChains>
    <commentChains s:ref="AG18" rgbClr="FF0000">
      <unresolved>
        <commentChain chainId="52ce42864f79f52ad34eedba7713effa0387d82d">
          <item id="0e308f62820bf67942b32b5102b411eb8a6028e8" isNormal="1">
            <s:text>
              <s:r>
                <s:t xml:space="preserve">Administrator:
1601139 1/24 1086pcs B4楼A9区
1405706 1/29 18pcs  B4楼A10区
备品1箱</s:t>
              </s:r>
            </s:text>
          </item>
        </commentChain>
      </unresolved>
      <resolved/>
    </commentChains>
    <commentChains s:ref="AG19" rgbClr="FF0000">
      <unresolved>
        <commentChain chainId="1623bd5a035f4f09196ef4f67be795ed0d3d71eb">
          <item id="56439e41ae2161aa91c1d0cf9ffd73068309efd4" isNormal="1">
            <s:text>
              <s:r>
                <s:t xml:space="preserve">Administrator:
5000250 1/27 1470pcs B4楼A6区
1405654  2/2   30pcs 已走货</s:t>
              </s:r>
            </s:text>
          </item>
        </commentChain>
      </unresolved>
      <resolved/>
    </commentChains>
    <commentChains s:ref="AG20" rgbClr="FF0000">
      <unresolved>
        <commentChain chainId="840b350e68bfad09273671179c89be833136292e">
          <item id="d6ff4abee6a1aa094fbe6a9c0ca1c6e7b59eac4a" isNormal="1">
            <s:text>
              <s:r>
                <s:t xml:space="preserve">Administrator:
5000250 1/27 702pcs B4楼A9区
1405654  2/3 402pcs 已走货</s:t>
              </s:r>
            </s:text>
          </item>
        </commentChain>
      </unresolved>
      <resolved/>
    </commentChains>
    <commentChains s:ref="AG21" rgbClr="FF0000">
      <unresolved>
        <commentChain chainId="59192c8898310e8cc0114549150978e3fe7efcfa">
          <item id="f687e5a2626ea1b2cf4d26540ec4dde4564dd7dc" isNormal="1">
            <s:text>
              <s:r>
                <s:t xml:space="preserve">Administrator:
5000251 1/27 2172pcs B4楼B6区
1405706 1/29  36pcs  B4楼B6区</s:t>
              </s:r>
            </s:text>
          </item>
        </commentChain>
      </unresolved>
      <resolved/>
    </commentChains>
    <commentChains s:ref="AG24" rgbClr="FF0000">
      <unresolved>
        <commentChain chainId="71a2b2a30966bb1a50064fe94fea41137ca38458">
          <item id="5a0d219041706df595218543739934e20838f23e" isNormal="1">
            <s:text>
              <s:r>
                <s:t xml:space="preserve">Administrator:
1405516 2/25 13584pcs  B4楼A6区
1405518 2/26    36pcs  B4楼A6区</s:t>
              </s:r>
            </s:text>
          </item>
        </commentChain>
      </unresolved>
      <resolved/>
    </commentChains>
    <commentChains s:ref="AG27" rgbClr="FF0000">
      <unresolved>
        <commentChain chainId="e3e1e7b19cd6540b8cd31ec7de3cb7e97dd84add">
          <item id="b33b2eb00c907318bf0a44e6d666b4f76fbe4dde" isNormal="1">
            <s:text>
              <s:r>
                <s:t xml:space="preserve">Administrator:
1405578 2/5 9072pcs B4楼B3区
1405565 2/6 1890pcs B4楼B3区
1405562 2/7  228pcs
备品1箱
2/9 退回返工
1405524 2/28 11190pcs B4楼C3区
备品1箱 </s:t>
              </s:r>
            </s:text>
          </item>
        </commentChain>
      </unresolved>
      <resolved/>
    </commentChains>
    <commentChains s:ref="AG29" rgbClr="FF0000">
      <unresolved>
        <commentChain chainId="34c86c30dc96c5722ee70bdbecdba5ccbe9873c9">
          <item id="aedb9ba9a223560a8878546735e09566260f23fa" isNormal="1">
            <s:text>
              <s:r>
                <s:t xml:space="preserve">Administrator:
1405276 3/18 2520pcs B栋四楼B4区
1405278 3/19 3462pcs B栋四楼B4区
1405255 3/20 3456pcs
1405256 3/20 4374pcs B栋四楼A2区
1405261 3/20 858pcs B栋三楼23区 
1405265 3/21 30pcs B栋三楼23区</s:t>
              </s:r>
            </s:text>
          </item>
        </commentChain>
      </unresolved>
      <resolved/>
    </commentChains>
    <commentChains s:ref="AG37" rgbClr="FF0000">
      <unresolved>
        <commentChain chainId="36dc5179826a012f918e58ec8d18b98fa0b708fc">
          <item id="1451f252d42ea6af83db4326c6021035ce3ec0f0" isNormal="1">
            <s:text>
              <s:r>
                <s:t xml:space="preserve">Administrator:
1405980 4/11 4748pcs
1405949 4/11 3574pcs 新仓库B14区
以上退回返工
1405897 4/16 6840pcs B栋四楼C7区
1406312 4/17 3330pcs B栋四楼C7区
1403777 4/18 3060pcs B栋四楼C7区
1403791 4/20 1080pcs  B栋四楼B9区
1403799 4/21 3240pcs B栋四楼B10区
1403833 4/22 3574pcs B栋四楼B10区
1403884 4/25 1508pcs B栋四楼B9区 
1403884 4/25 516pcs B栋四楼B9区
1403662 4/28 2250pcs B栋四楼B10区 
1403667 4/28 6120pcs B栋四楼B10区
1403690 4/29 3240pcs B栋四楼C8区
1403742 5/2 1080pcs B栋四楼B10区  
1403726 5/2 8174pcs B栋四楼C8区
1403386 5/5 4336pcs B栋四楼C4区
1403756 5/6 3400pcs B栋四楼C4区
备13箱</s:t>
              </s:r>
            </s:text>
          </item>
        </commentChain>
      </unresolved>
      <resolved/>
    </commentChains>
    <commentChains s:ref="AG38" rgbClr="FF0000">
      <unresolved>
        <commentChain chainId="0c208a6185d87ea240bab7725dda31d2e6f7535a">
          <item id="e98019f2b308a1c42b925b741721baf029134298" isNormal="1">
            <s:text>
              <s:r>
                <s:t xml:space="preserve">Administrator:
1405331 4/9 2664pcs B栋四楼B8区
1405338 4/9 36pcs  B栋四楼B8区</s:t>
              </s:r>
            </s:text>
          </item>
        </commentChain>
      </unresolved>
      <resolved/>
    </commentChains>
    <commentChains s:ref="AG42" rgbClr="FF0000">
      <unresolved>
        <commentChain chainId="3ea74b856d23f9454c1b1e9ff43bee61f22e517b">
          <item id="c8037479117e6e7992d761d6b7576c4cea68170a" isNormal="1">
            <s:text>
              <s:r>
                <s:t xml:space="preserve">Administrator:
1405423 3/31 1296pcs 新仓库B14区
1405426 4/1 1704pcs 新仓库B14区
备两箱</s:t>
              </s:r>
            </s:text>
          </item>
        </commentChain>
      </unresolved>
      <resolved/>
    </commentChains>
    <commentChains s:ref="AG43" rgbClr="FF0000">
      <unresolved>
        <commentChain chainId="0947c5a924524267bd0084457fa9d2bde051ed57">
          <item id="8c69d3eb0abe6284c7ed6b8bbdabc3348b2a8c8c" isNormal="1">
            <s:text>
              <s:r>
                <s:t xml:space="preserve">Administrator:
1403443 5/9 5832pcs B栋四楼C8区
1403525 5/12 7128pcs B栋四楼A4区
1403510 5/14 2640pcs B栋四楼A4区
备两箱</s:t>
              </s:r>
            </s:text>
          </item>
        </commentChain>
      </unresolved>
      <resolved/>
    </commentChains>
    <commentChains s:ref="AG44" rgbClr="FF0000">
      <unresolved>
        <commentChain chainId="d324f55a0ce6295b4a7868b2c85c1400f82c9bcf">
          <item id="d346243f767f83993f75a7d940df7ab40b0dd234" isNormal="1">
            <s:text>
              <s:r>
                <s:t xml:space="preserve">Administrator:
1405886 5/14 1440pcs B栋四楼B2区
1403539 5/15 4830pcs B栋四楼B2区
1403581 5/16 30pcs B栋四楼B2区</s:t>
              </s:r>
            </s:text>
          </item>
        </commentChain>
      </unresolved>
      <resolved/>
    </commentChains>
    <commentChains s:ref="AG46" rgbClr="FF0000">
      <unresolved>
        <commentChain chainId="6f641a9ebc9e3c43517d8f6731e806dd7afb5afc">
          <item id="9b9a1c77262cbd413ebb889100d31864b8063a86" isNormal="1">
            <s:text>
              <s:r>
                <s:t xml:space="preserve">Administrator:
2800003 5/26 840pcs 顶均A14区
2800007 5/27 1758pcs B栋四楼A10区
2800036 5/27 354pcs B栋四楼C10区
2800088 5/30 48pcs </s:t>
              </s:r>
            </s:text>
          </item>
        </commentChain>
      </unresolved>
      <resolved/>
    </commentChains>
    <commentChains s:ref="AG47" rgbClr="FF0000">
      <unresolved>
        <commentChain chainId="2724344c2ac2c85627fb843e6ac49650823b6430">
          <item id="8a13f15d87cd3d2367ff32d23bdd3de7740d7a01" isNormal="1">
            <s:text>
              <s:r>
                <s:t xml:space="preserve">Administrator:
1403348 5/25 2100pcs B栋四楼C4区
1403336 5/26 336pcs 顶均B8区 
2800036 5/27 66pcs B栋四楼C4区</s:t>
              </s:r>
            </s:text>
          </item>
        </commentChain>
      </unresolved>
      <resolved/>
    </commentChains>
    <commentChains s:ref="AG48" rgbClr="FF0000">
      <unresolved>
        <commentChain chainId="cb37596733a9918c839edb7649edb8fc927d33c5">
          <item id="49a41a82f8391ff7e751192da1895e164be0ceb7" isNormal="1">
            <s:text>
              <s:r>
                <s:t xml:space="preserve">Administrator:
1000022 5/9 1332pcs 新仓库三楼A3区
3001628 5/13 168pcs 新仓库三楼A3区
3001635 5/14 12pcs
备品</s:t>
              </s:r>
            </s:text>
          </item>
        </commentChain>
      </unresolved>
      <resolved/>
    </commentChains>
    <commentChains s:ref="AG49" rgbClr="FF0000">
      <unresolved>
        <commentChain chainId="df180236518a8807a23d31539484c15441ff8ab3">
          <item id="54e89307d147ec557d387d8f40d085b127aeb894" isNormal="1">
            <s:text>
              <s:r>
                <s:t xml:space="preserve">Administrator:
1000573 5/29 5004pcs B栋四楼A3区
</s:t>
              </s:r>
            </s:text>
          </item>
        </commentChain>
      </unresolved>
      <resolved/>
    </commentChains>
    <commentChains s:ref="AG50" rgbClr="FF0000">
      <unresolved>
        <commentChain chainId="36028425ae6765a02eba9aa27f45bb4e8596b46b">
          <item id="6f9f22ea62f0df66f78b8f00fefa0f01bb37b3ac" isNormal="1">
            <s:text>
              <s:r>
                <s:t xml:space="preserve">Administrator:
1000475 6/10 2112pcs 欣泰C4区
1000445 6/12 2640pcs
1000120 6/13 1584pcs
1000128 6/13 1584pcs
1000112 6/13 1530pcs
1000091 6/15 2112pcs</s:t>
              </s:r>
            </s:text>
          </item>
          <item id="31380402c5e081ae6d802398f12aaabfd4bbd335" userID="1850010794" userName="龙丽娟" dateTime="2026-06-17T05:42:01" isNormal="0">
            <s:text>
              <s:r>
                <s:t xml:space="preserve">2640 欣泰C4区</s:t>
              </s:r>
            </s:text>
          </item>
          <item id="ce51fcce8bebaaba91efbb918f2bcf1a226ac375" userID="1850010794" userName="龙丽娟" dateTime="2026-06-17T06:02:50" isNormal="0">
            <s:text>
              <s:r>
                <s:t xml:space="preserve">1584 欣泰C4区</s:t>
              </s:r>
            </s:text>
          </item>
          <item id="27e43c1f4eb91be83b0969545bd34c3613730c09" userID="1850010794" userName="龙丽娟" dateTime="2026-06-17T06:37:47" isNormal="0">
            <s:text>
              <s:r>
                <s:t xml:space="preserve">1530 顶均A7区</s:t>
              </s:r>
            </s:text>
          </item>
          <item id="bb6aad803caca8dbe48f18f36b4b59129ca93c81" userID="1850010794" userName="龙丽娟" dateTime="2026-06-17T06:38:49" isNormal="0">
            <s:text>
              <s:r>
                <s:t xml:space="preserve">1584 顶均A7区</s:t>
              </s:r>
            </s:text>
          </item>
          <item id="1c6228e03443ebf507189993e1ad9441a782a2a3" userID="1850010794" userName="龙丽娟" dateTime="2026-06-20T01:01:34" isNormal="0">
            <s:text>
              <s:r>
                <s:t xml:space="preserve">1000076 6/18 438pcs</s:t>
              </s:r>
            </s:text>
          </item>
        </commentChain>
      </unresolved>
      <resolved/>
    </commentChains>
    <commentChains s:ref="AG51" rgbClr="FF0000">
      <unresolved>
        <commentChain chainId="d0489e6c2cc878a907f20c806e6cbc7eb475d61d">
          <item id="b6c4c64f66a593c7116b6bc2548af8dae991dce1" isNormal="1">
            <s:text>
              <s:r>
                <s:t xml:space="preserve">Administrator:
1000529 6/8 5280pcs 顶均A5区
1000511 6/8 1920pcs 欣泰D3区
1000490 6/9 1800pcs 欣泰D3区</s:t>
              </s:r>
            </s:text>
          </item>
        </commentChain>
      </unresolved>
      <resolved/>
    </commentChains>
    <commentChains s:ref="AG52" rgbClr="FF0000">
      <unresolved>
        <commentChain chainId="949ed3b01a44f90f7a4ee69fb30e015bc77f08dc">
          <item id="9b913e254d5f802454ac61882d2bbd565c2d51f8" isNormal="1">
            <s:text>
              <s:r>
                <s:t xml:space="preserve">Administrator:
1403314 5/22 420pcs B栋四楼A8区
1403334 5/26 8346pcs B栋四楼A5区
280003 5/26 2520pcs B栋四楼A4区 
2800036 5/27 714pcs B栋四楼A4区
备两箱</s:t>
              </s:r>
            </s:text>
          </item>
        </commentChain>
      </unresolved>
      <resolved/>
    </commentChains>
    <commentChains s:ref="AG57" rgbClr="FF0000">
      <unresolved>
        <commentChain chainId="b59558051baac57917f90edc2fad2913a9c6cfe0">
          <item id="dd622bc23c6d020b86ddbfbb0eb797be3a65b170" isNormal="1">
            <s:text>
              <s:r>
                <s:t xml:space="preserve">Administrator:
2801137 6/6 6120pcs 顶军A9区
2801176 6/9 360pcs 顶均A9区 
2801196 6/10 360pcs 顶均A9区 
2801223 6/11 162pcs 顶均A9区</s:t>
              </s:r>
            </s:text>
          </item>
        </commentChain>
      </unresolved>
      <resolved/>
    </commentChains>
    <commentChains s:ref="AG58" rgbClr="FF0000">
      <unresolved>
        <commentChain chainId="29d3549824299bede3d451f965b2f7d569fbb98a">
          <item id="46ada42c4bb07660841080ae7dbc564312f7538a" isNormal="1">
            <s:text>
              <s:r>
                <s:t xml:space="preserve">Administrator:
1403334 5/26 1002pcs B栋四楼C4区</s:t>
              </s:r>
            </s:text>
          </item>
        </commentChain>
      </unresolved>
      <resolved/>
    </commentChains>
    <commentChains s:ref="AG59" rgbClr="FF0000">
      <unresolved>
        <commentChain chainId="69933c691fedf62a60247b8fc69260da2ca6a505">
          <item id="c050cae8271818b3d6116577d4cb843c5e29122a" isNormal="1">
            <s:text>
              <s:r>
                <s:t xml:space="preserve">Administrator:
1403266 5/21 3804pcs B栋四楼B10区
备两箱</s:t>
              </s:r>
            </s:text>
          </item>
        </commentChain>
      </unresolved>
      <resolved/>
    </commentChains>
    <commentChains s:ref="X60" rgbClr="FF0000">
      <unresolved>
        <commentChain chainId="3dd535bbc4d0f0f77c4f25812a86fee35aa870b7">
          <item id="94f9149ce7752a26c5272cf9eead0c55e9722edb" isNormal="1">
            <s:text>
              <s:r>
                <s:t xml:space="preserve">dell:
混有加拿大说明书，自己返工</s:t>
              </s:r>
            </s:text>
          </item>
        </commentChain>
      </unresolved>
      <resolved/>
    </commentChains>
    <commentChains s:ref="AG60" rgbClr="FF0000">
      <unresolved>
        <commentChain chainId="97496922f9cdf224f1355ca2bd2b5f5da0806a9d">
          <item id="944c64de64f91a7d9695d8cb9f8417e1952f3ac3" isNormal="1">
            <s:text>
              <s:r>
                <s:t xml:space="preserve">Administrator:
1000395 5/30 528pcs 顶均B5区
1000402 5/30 1056pcs 顶均C4区
1000564 6/1 4224pcs 顶均A1区
1000570 6/2 528pcs 顶均A1区
1000549 6/2 5424pcs  欣泰A4区</s:t>
              </s:r>
            </s:text>
          </item>
        </commentChain>
      </unresolved>
      <resolved/>
    </commentChains>
    <commentChains s:ref="L61" rgbClr="FF0000">
      <unresolved>
        <commentChain chainId="bb6e541580373dbce65293db67d88c16582bcd83">
          <item id="d913d9d1624c188e0fff34f829e1f85ae3436e8d" isNormal="1">
            <s:text>
              <s:r>
                <s:t xml:space="preserve">dell:
返工增加贴纸</s:t>
              </s:r>
            </s:text>
          </item>
        </commentChain>
      </unresolved>
      <resolved/>
    </commentChains>
    <commentChains s:ref="AG61" rgbClr="FF0000">
      <unresolved>
        <commentChain chainId="c4a49c84347876b0d6cee242269d38d9482eeba0">
          <item id="c833e7e1ee9ef9e3a9eda747bcfecab1529ba0ec" isNormal="1">
            <s:text>
              <s:r>
                <s:t xml:space="preserve">Administrator:
1403266 5/21 3948pcs B栋四楼B4区
1403275 5/21 54pcs B栋四楼B4区</s:t>
              </s:r>
            </s:text>
          </item>
        </commentChain>
      </unresolved>
      <resolved/>
    </commentChains>
    <commentChains s:ref="L62" rgbClr="FF0000">
      <unresolved>
        <commentChain chainId="23481f7d2b35f1b151c2e8cc335e89475dcacd2d">
          <item id="0223f9a23802ae7e2e01cb491ea42d4af46a6a25" isNormal="1">
            <s:text>
              <s:r>
                <s:t xml:space="preserve">dell:
返工增加贴纸</s:t>
              </s:r>
            </s:text>
          </item>
        </commentChain>
      </unresolved>
      <resolved/>
    </commentChains>
    <commentChains s:ref="AG62" rgbClr="FF0000">
      <unresolved>
        <commentChain chainId="abaf311f1d75f3182f5f97c1afd28152ed59f451">
          <item id="587c4fc69266863e74e2e5e1ec6f732f522fdf5e" isNormal="1">
            <s:text>
              <s:r>
                <s:t xml:space="preserve">Administrator:
1403334 5/26 1002pcs B栋四楼B8区</s:t>
              </s:r>
            </s:text>
          </item>
        </commentChain>
      </unresolved>
      <resolved/>
    </commentChains>
    <commentChains s:ref="AG63" rgbClr="FF0000">
      <unresolved>
        <commentChain chainId="8a8123dcee06586b0ad94cd42b90f4b1e0894afe">
          <item id="cd7ebce29dedee748eef7856ae1c171a812ba956" isNormal="1">
            <s:text>
              <s:r>
                <s:t xml:space="preserve">Administrator:
2801249 6/13 2988pcs</s:t>
              </s:r>
            </s:text>
          </item>
          <item id="d23b8b1d8621d1d94b61cd6fa2b429d49a73989c" userID="1850010794" userName="龙丽娟" dateTime="2026-06-17T06:38:24" isNormal="0">
            <s:text>
              <s:r>
                <s:t xml:space="preserve">2988 顶均A1区</s:t>
              </s:r>
            </s:text>
          </item>
          <item id="71a9b8fabd1c53973599b74a4501afd7f2f6920e" userID="1850010794" userName="龙丽娟" dateTime="2026-06-22T00:54:24" isNormal="0">
            <s:text>
              <s:r>
                <s:t xml:space="preserve">2201093 6/20 12pcs 顶均A1区</s:t>
              </s:r>
            </s:text>
          </item>
        </commentChain>
      </unresolved>
      <resolved/>
    </commentChains>
    <commentChains s:ref="AG64" rgbClr="FF0000">
      <unresolved>
        <commentChain chainId="1c5d534e7d74141c732f0d9cff009b49c70cd62b">
          <item id="22c68d909978dfb968af5572b904bf0a234467c4" isNormal="1">
            <s:text>
              <s:r>
                <s:t xml:space="preserve">Administrator:
1000415 5/30 1008pcs 顶均A1区
1000540 6/4 2772ppcs 欣泰C3区
1000522 6/5 216pcs 欣泰C3区</s:t>
              </s:r>
            </s:text>
          </item>
        </commentChain>
      </unresolved>
      <resolved/>
    </commentChains>
    <commentChains s:ref="AG68" rgbClr="FF0000">
      <unresolved>
        <commentChain chainId="23028654f9ea7e642956178de221765c857651c1">
          <item id="ab6b8eff139e5cf34d6edf040f52280be0d48cbd" userID="1850010794" userName="龙丽娟" dateTime="2026-06-24T00:15:47" isNormal="0">
            <s:text>
              <s:r>
                <s:t xml:space="preserve">1000611 6/23 1512pcs 欣泰D6区
1000617 6/23 1008pcs 欣泰D6区
1000620 6/23 1008pcs 欣泰D6区
1000633 6/24 504pcs 欣泰D5区
1000635 6/24 504pcs 欣泰D5区
1000314 6/27 150pcs
1000199 6/29 30pcs 直走
1000336 6/27 384pcs 欣泰D6区</s:t>
              </s:r>
            </s:text>
          </item>
        </commentChain>
      </unresolved>
      <resolved/>
    </commentChains>
    <commentChains s:ref="AG69" rgbClr="FF0000">
      <unresolved>
        <commentChain chainId="3145a31c83d3f346dc9a57451b6b0ac33b6e36a1">
          <item id="f86527327e3812d3460f04356cc35ae1eb0885e5" userID="1850010794" userName="龙丽娟" dateTime="2026-06-20T01:03:05" isNormal="0">
            <s:text>
              <s:r>
                <s:t xml:space="preserve">1000076 6/18 2112pcs 顶钧A5区
1000053 6/20 2640pcs 欣泰A5区
1000060 6/20 528pcs 欣泰A4区
1000004 6/20 1056pcs 欣泰A5区
1000009 6/20 1056pcs 欣泰A4区
1000605 6/22 2640pcs 顶均A18区
1000609 6/22 528pcs 欣泰A4区
1000611 6/23 1056pcs 欣泰A4区
1000633 6/24 528pcs 欣泰A4区
1000641 6/25 480pcs 欣泰A4区</s:t>
              </s:r>
            </s:text>
          </item>
        </commentChain>
      </unresolved>
      <resolved/>
    </commentChains>
    <commentChains s:ref="L70" rgbClr="FF0000">
      <unresolved>
        <commentChain chainId="3cbd4c0c08d265e40b26976348d259524a0f77be">
          <item id="7aaa858cfdc478710e31d6c7702f0c3244e4a303" userID="1853477080" userName="陈龙" dateTime="2026-06-25T02:11:56" isNormal="0">
            <s:text>
              <s:r>
                <s:t xml:space="preserve">验货发现4PCS死机，车间自行返工</s:t>
              </s:r>
            </s:text>
          </item>
        </commentChain>
      </unresolved>
      <resolved/>
    </commentChains>
    <commentChains s:ref="AG70" rgbClr="FF0000">
      <unresolved>
        <commentChain chainId="55506cbfc3cc43d5193466a92eedc69e30c0407a">
          <item id="2b71b02691e930b54ffcfaaad0276f08b57e46fb" isNormal="1">
            <s:text>
              <s:r>
                <s:t xml:space="preserve">Administrator:
3001644 5/23 528pcs 顶钧A5区
3001648 5/23 3168pcs 顶钧A5区
3002526 5/26 1764pcs 顶均</s:t>
              </s:r>
            </s:text>
          </item>
        </commentChain>
      </unresolved>
      <resolved/>
    </commentChains>
    <commentChains s:ref="AG72" rgbClr="FF0000">
      <unresolved>
        <commentChain chainId="247b1a579a94255ba7030e653d02b90967482f32">
          <item id="a774713866538d82b9a385a295ba4453cf37c8cb" userID="1850010794" userName="龙丽娟" dateTime="2026-06-29T09:08:38" isNormal="0">
            <s:text>
              <s:r>
                <s:t xml:space="preserve">1000314 6/27 1008pcs
1000320 6/29 1512pcs 欣泰A5区
1000197 6/29 1374pcs 顶均A12区
1000182 7/1 714pcs 欣泰A4区
1000162 7/2 72pcs</s:t>
              </s:r>
            </s:text>
          </item>
        </commentChain>
      </unresolved>
      <resolved/>
    </commentChains>
    <commentChains s:ref="L73" rgbClr="FF0000">
      <unresolved>
        <commentChain chainId="bf2802631eac445058d2ec6d8c29c5328c1a72d5">
          <item id="618c926871e66cdd2c9e0e626932a7fd5fb59d29" userID="1853477080" userName="陈龙" dateTime="2026-06-25T02:13:24" isNormal="0">
            <s:text>
              <s:r>
                <s:t xml:space="preserve">验货发现地图有几个按键无功能，自行返工后6/26重验</s:t>
              </s:r>
            </s:text>
          </item>
        </commentChain>
      </unresolved>
      <resolved/>
    </commentChains>
    <commentChains s:ref="L74" rgbClr="FF0000">
      <unresolved>
        <commentChain chainId="43968aabc6118de41f8a139fac2958a54dd0f7ae">
          <item id="e682bb10446b208fc7fe1b14b7ed7880a6eeaa50" userID="1853477080" userName="陈龙" dateTime="2026-06-25T02:13:24" isNormal="0">
            <s:text>
              <s:r>
                <s:t xml:space="preserve">验货发现地图有几个按键无功能，自行返工后6/26重验</s:t>
              </s:r>
            </s:text>
          </item>
        </commentChain>
      </unresolved>
      <resolved/>
    </commentChains>
    <commentChains s:ref="AG75" rgbClr="FF0000">
      <unresolved>
        <commentChain chainId="3baacf7397bfc12cde1fb013e737cd9e50122646">
          <item id="31603f6b1366fe026560d341baeee121770856ed" userID="1850010794" userName="龙丽娟" dateTime="2026-06-29T02:14:09" isNormal="0">
            <s:text>
              <s:r>
                <s:t xml:space="preserve">2200970 6/27 420pcs 顶均A6区
2201205 7/3 9822pcs
2201245 7/8 78pcs</s:t>
              </s:r>
            </s:text>
          </item>
        </commentChain>
      </unresolved>
      <resolved/>
    </commentChains>
    <commentChains s:ref="L76" rgbClr="FF0000">
      <unresolved>
        <commentChain chainId="59e0266a648571ea09902af00a1e7c3fbc50f02b">
          <item id="6cce1c73f5d399ae46aa9bbe76b500d84d49e642" isNormal="1">
            <s:text>
              <s:r>
                <s:t xml:space="preserve">dell:
返工增加贴纸</s:t>
              </s:r>
            </s:text>
          </item>
        </commentChain>
      </unresolved>
      <resolved/>
    </commentChains>
    <commentChains s:ref="AG76" rgbClr="FF0000">
      <unresolved>
        <commentChain chainId="7f816417087818ccada17e81e0fe62b353b3bd10">
          <item id="3415c9e25bf0be94bd83bc7ffc9eb1b315011657" isNormal="1">
            <s:text>
              <s:r>
                <s:t xml:space="preserve">Administrator:
1403363 5/23 60pcs B栋四楼B10区
1403309 5/22 3942pcs B栋四楼B10区</s:t>
              </s:r>
            </s:text>
          </item>
        </commentChain>
      </unresolved>
      <resolved/>
    </commentChains>
    <commentChains s:ref="T77" rgbClr="FF0000">
      <unresolved>
        <commentChain chainId="3f4d6f29aac030f84fa191cb3e2112665284e08f">
          <item id="6ccefc1d25b33bf80dc953fc79ac396d7ea20f7a" userID="1853477080" userName="陈龙" dateTime="2026-06-30T00:44:26" isNormal="0">
            <s:text>
              <s:r>
                <s:t xml:space="preserve">已签回更新后的包装</s:t>
              </s:r>
            </s:text>
          </item>
        </commentChain>
      </unresolved>
      <resolved/>
    </commentChains>
    <commentChains s:ref="AG77" rgbClr="FF0000">
      <unresolved>
        <commentChain chainId="8ee516d4a22aacca9f7de2274bed2e41c6a5eabc">
          <item id="817e139ce74c3e05056dcd666848160a54a47db5" userID="1850010794" userName="龙丽娟" dateTime="2026-07-03T03:01:22" isNormal="0">
            <s:text>
              <s:r>
                <s:t xml:space="preserve">2201196 7/2 2454pcs 欣泰B2区
2201186 7/2 1134pcs
2201234 7/7 12pcs 欣泰B4区</s:t>
              </s:r>
            </s:text>
          </item>
        </commentChain>
      </unresolved>
      <resolved/>
    </commentChains>
    <commentChains s:ref="AG78" rgbClr="FF0000">
      <unresolved>
        <commentChain chainId="de42b118ac9e2390270307060c18475e9f0bf228">
          <item id="918cd9dc41177102ed6579afe01816a5fc94c3ea" userID="1850010794" userName="龙丽娟" dateTime="2026-07-01T02:22:16" isNormal="0">
            <s:text>
              <s:r>
                <s:t xml:space="preserve">2201008 6/30 8790pcs 欣泰C1区
7/4退回返工
2201277 7/9 810pcs 备两箱
                       8784pcs 直走</s:t>
              </s:r>
            </s:text>
          </item>
        </commentChain>
      </unresolved>
      <resolved/>
    </commentChains>
    <commentChains s:ref="AG80" rgbClr="FF0000">
      <unresolved>
        <commentChain chainId="857652871c702cfd94801eb5f4587d11d0358e08">
          <item id="f40db09246cfd5c9b85950cbda6dc2a3d83f532e" userID="1850010794" userName="龙丽娟" dateTime="2026-06-26T02:32:06" isNormal="0">
            <s:text>
              <s:r>
                <s:t xml:space="preserve">1000641 6/25 1056pcs 欣泰F5区
1000638 6/26 2640pcs 欣泰F5区
1000589 6/26 2112pcs 顶均A2区
1000202 6/30 1584pcs 顶均A9区
1000184 6/30 528pcs 欣泰A3区
1000193 6/30 528pcs 欣泰A3区
1000171 7/1 1056pcs 欣泰A3区
1000176 7/1 528pcs 欣泰A3区
1000144 7/3 528pcs 顶均A7区
3002517 7/4 1056pcs 欣泰A3区
1000132 7/4 1584pcs 欣泰A3区
3001695 7/7 1800pcs 欣泰A3区</s:t>
              </s:r>
            </s:text>
          </item>
        </commentChain>
      </unresolved>
      <resolved/>
    </commentChains>
    <commentChains s:ref="L81" rgbClr="FF0000">
      <unresolved>
        <commentChain chainId="2a9f77093909aefd73480cddc1380ae0ef86c604">
          <item id="4aa881051a405efac6eb67d606a91816ad8986b0" isNormal="1">
            <s:text>
              <s:r>
                <s:t xml:space="preserve">dell:
更换说明书</s:t>
              </s:r>
            </s:text>
          </item>
        </commentChain>
      </unresolved>
      <resolved/>
    </commentChains>
    <commentChains s:ref="AG81" rgbClr="FF0000">
      <unresolved>
        <commentChain chainId="dfd0bcc3493dc2d621ef5fdddfc71291be132272">
          <item id="e092d9955ad27c3a4193977b5fa74069e36075a5" isNormal="1">
            <s:text>
              <s:r>
                <s:t xml:space="preserve">Administrator:
1403334 5/26 1968pcs B栋四楼B10区
1403335 5/26 36pcs 王军仓库</s:t>
              </s:r>
            </s:text>
          </item>
        </commentChain>
      </unresolved>
      <resolved/>
    </commentChains>
    <commentChains s:ref="L82" rgbClr="FF0000">
      <unresolved>
        <commentChain chainId="62c2c6e8fda988a28ee8d68af4966748479b872c">
          <item id="5d12845691f99a514ac7b890680241fd7812c3ce" userID="1853477080" userName="陈龙" dateTime="2026-07-08T07:45:29" isNormal="0">
            <s:text>
              <s:r>
                <s:t xml:space="preserve">说明书颜色问题推期</s:t>
              </s:r>
            </s:text>
          </item>
        </commentChain>
      </unresolved>
      <resolved/>
    </commentChains>
    <commentChains s:ref="AG82" rgbClr="FF0000">
      <unresolved>
        <commentChain chainId="1c6ce9c1fcfefd0af22c497b703b4683f2339fdb">
          <item id="6f6ed01eb6bf7ef86eb388a73511b372c25c9b5a" userID="1850010794" userName="龙丽娟" dateTime="2026-06-30T11:49:38" isNormal="0">
            <s:text>
              <s:r>
                <s:t xml:space="preserve">2200992 6/30 1800pcs 欣泰C1区
备品1箱</s:t>
              </s:r>
            </s:text>
          </item>
        </commentChain>
      </unresolved>
      <resolved/>
    </commentChains>
    <commentChains s:ref="AG84" rgbClr="FF0000">
      <unresolved>
        <commentChain chainId="e4c9b81db129fd0c53c6fef762577d1eb893f3fd">
          <item id="3042f2a6caaef02a7e4f2b84ad01cfa66c46eb27" userID="1850010794" userName="龙丽娟" dateTime="2026-07-11T01:42:05" isNormal="0">
            <s:text>
              <s:r>
                <s:t xml:space="preserve">3002901 7/10 2808pcs 欣泰B3区
3002906 7/11 936pcs 钜顺B5区
3002910 7/11 468pcs 欣泰B3区
3003048 7/14 642pcs 新泰B3区
3003067 7/16 126pcs 应兴A5区
3003122 7/17 18pcs</s:t>
              </s:r>
            </s:text>
          </item>
        </commentChain>
      </unresolved>
      <resolved/>
    </commentChains>
    <commentChains s:ref="AG85" rgbClr="FF0000">
      <unresolved>
        <commentChain chainId="cfe59304dbd444033b1caf010b7c62b043239ab7">
          <item id="056199f20e151010897bd19d264d63b9831912a4" isNormal="1">
            <s:text>
              <s:r>
                <s:t xml:space="preserve">Administrator:
3002526 5/26 390pcs 转顶均</s:t>
              </s:r>
            </s:text>
          </item>
        </commentChain>
      </unresolved>
      <resolved/>
    </commentChains>
    <commentChains s:ref="AG86" rgbClr="FF0000">
      <unresolved>
        <commentChain chainId="8dd6324423368fa9793faa4ea7ab73dfbaefd7bb">
          <item id="32d8fabb306e83f8d0ed548a49c34233af3afb9c" userID="1850010794" userName="龙丽娟" dateTime="2026-07-14T01:08:39" isNormal="0">
            <s:text>
              <s:r>
                <s:t xml:space="preserve">3003033 7/13 528pcs 矩顺A5区
3003036 7/13 1056pcs 矩顺A2区
3003048 7/14 1884pcs 新泰B6区
3003060 7/15 1056pcs 新泰B6区
3003067 7/16 924pcs 应兴A7区
3003139 7/18/ 312pcs</s:t>
              </s:r>
            </s:text>
          </item>
        </commentChain>
      </unresolved>
      <resolved/>
    </commentChains>
    <commentChains s:ref="AG88" rgbClr="FF0000">
      <unresolved>
        <commentChain chainId="e44257c80ac1875002b1b6d5272c775634c1c864">
          <item id="701a8117f6e0251d9e9d2648db16d5de2955db7c" userID="1850010794" userName="龙丽娟" dateTime="2026-07-16T01:11:31" isNormal="0">
            <s:text>
              <s:r>
                <s:t xml:space="preserve">1001919 7/11 5040pcs 新泰B2区
1001894 7/16 4422pcs 欣泰B3区
1001911 7/17 1296pcs
1001796 7/23 222pcs 欣泰B1区</s:t>
              </s:r>
            </s:text>
          </item>
        </commentChain>
      </unresolved>
      <resolved/>
    </commentChains>
    <commentChains s:ref="AG89" rgbClr="FF0000">
      <unresolved>
        <commentChain chainId="84394547702d003d8253b1ae98ba67f880c4e9cc">
          <item id="9252497d8793b544d343aab4e05d6ec69de728de" userID="1850010794" userName="龙丽娟" dateTime="2026-07-02T01:05:46" isNormal="0">
            <s:text>
              <s:r>
                <s:t xml:space="preserve">2201026 7/1 7128pcs 欣泰A5区
2201204 7/3 6480pcs 欣泰B3区
2201205 7/3 1992pcs 欣泰A5区
2201222 7/6 12pcs 备一箱 欣泰C5区</s:t>
              </s:r>
            </s:text>
          </item>
        </commentChain>
      </unresolved>
      <resolved/>
    </commentChains>
    <commentChains s:ref="L91" rgbClr="FF0000">
      <unresolved>
        <commentChain chainId="38777f464f369c2759a4268e0518e8234baa4d34">
          <item id="80540572421e13c066f05a33df667c44c543f599" userID="1853477080" userName="陈龙" dateTime="2026-07-28T07:06:28" isNormal="0">
            <s:text>
              <s:r>
                <s:t xml:space="preserve">按制不灵敏</s:t>
              </s:r>
            </s:text>
          </item>
        </commentChain>
      </unresolved>
      <resolved/>
    </commentChains>
    <commentChains s:ref="AG91" rgbClr="FF0000">
      <unresolved>
        <commentChain chainId="95ad77c10ecd19c9c73cc8b54f181b4cd173e221">
          <item id="e8cb3808b50a935a16db8fcce99ade10ac100a95" userID="1850010794" userName="龙丽娟" dateTime="2026-07-20T02:50:00" isNormal="0">
            <s:text>
              <s:r>
                <s:t xml:space="preserve">1001872 7/18 996pcs 钜顺A4区
1001796 7/23 396pcs 欣泰A1区
1001712 7/25 108pcs</s:t>
              </s:r>
            </s:text>
          </item>
        </commentChain>
      </unresolved>
      <resolved/>
    </commentChains>
    <commentChains s:ref="L92" rgbClr="FF0000">
      <unresolved>
        <commentChain chainId="af728e016254dfba8600f73afae2e829e77a195c">
          <item id="2dffb4d53ba899809cf49fb025b2a1ca21113eb9" userID="1853477080" userName="陈龙" dateTime="2026-07-28T07:06:28" isNormal="0">
            <s:text>
              <s:r>
                <s:t xml:space="preserve">按制不灵敏</s:t>
              </s:r>
            </s:text>
          </item>
        </commentChain>
      </unresolved>
      <resolved/>
    </commentChains>
    <commentChains s:ref="AG92" rgbClr="FF0000">
      <unresolved>
        <commentChain chainId="e4d6566b21677b2ede3f79a7f3756992eaddca3e">
          <item id="637cdec793f69e097e300a8a0d8a36911b6e9b30" userID="1850010794" userName="龙丽娟" dateTime="2026-07-20T02:50:13" isNormal="0">
            <s:text>
              <s:r>
                <s:t xml:space="preserve">1001872 7/18 2268pcs 钜顺A4区
1001757 7/22 678pcs 欣泰A4区
1001707 7/25 24pcs
1001712 7/25 30pcs</s:t>
              </s:r>
            </s:text>
          </item>
        </commentChain>
      </unresolved>
      <resolved/>
    </commentChains>
    <commentChains s:ref="AG93" rgbClr="FF0000">
      <unresolved>
        <commentChain chainId="4b6f231ae163b93d0a79efd127ef2fe07b23153f">
          <item id="c5beef64a2cc2b843df15895168b0a29bd923ce1" userID="1850010794" userName="龙丽娟" dateTime="2026-06-29T02:15:49" isNormal="0">
            <s:text>
              <s:r>
                <s:t xml:space="preserve">2200970 6/27 1704pcs 顶均A6区</s:t>
              </s:r>
            </s:text>
          </item>
        </commentChain>
      </unresolved>
      <resolved/>
    </commentChains>
    <commentChains s:ref="AG94" rgbClr="FF0000">
      <unresolved>
        <commentChain chainId="996d4a72e9410c0a7e347eceaacaaf9372bb9097">
          <item id="6ce8e763ae8b7209a27e075a121585ebd90705e4" userID="1850010794" userName="龙丽娟" dateTime="2026-07-10T01:50:22" isNormal="0">
            <s:text>
              <s:r>
                <s:t xml:space="preserve">3002889 7/9 924pcs 欣泰F4区
3002901 7/10 2244pcs 欣泰F4区
3002927 7/11 528pcs 钜顺B1区
3003060 7/15 306pcs 新泰F4区</s:t>
              </s:r>
            </s:text>
          </item>
        </commentChain>
      </unresolved>
      <resolved/>
    </commentChains>
    <commentChains s:ref="AG95" rgbClr="FF0000">
      <unresolved>
        <commentChain chainId="ce26917d8d3fab035ebd8c5fde0829b218554897">
          <item id="5a63eac4a977ddc49206090e7e2e1230374086aa" userID="1850010794" userName="龙丽娟" dateTime="2026-07-20T02:02:54" isNormal="0">
            <s:text>
              <s:r>
                <s:t xml:space="preserve">3003139 7/18 2640pcs
3003143 7/18 1584pcs
3003150 7/18 1584pcs
3003156 7/18 1584pcs
3003190 7/21 612pcs 钜顺A2区</s:t>
              </s:r>
            </s:text>
          </item>
        </commentChain>
      </unresolved>
      <resolved/>
    </commentChains>
    <commentChains s:ref="AG96" rgbClr="FF0000">
      <unresolved>
        <commentChain chainId="d578201a3d32bab288dcaedcaf6d1875569f6e20">
          <item id="0cae2fca950bf431af1aef46e7e76e98342ada01" userID="1850010794" userName="龙丽娟" dateTime="2026-06-29T02:11:49" isNormal="0">
            <s:text>
              <s:r>
                <s:t xml:space="preserve">2200970 6/27 2946pcs 顶均A5区
2201204 7/3 30pcs 欣泰B3区
2201222 7/6 24pcs 欣泰C5区</s:t>
              </s:r>
            </s:text>
          </item>
        </commentChain>
      </unresolved>
      <resolved/>
    </commentChains>
    <commentChains s:ref="AG97" rgbClr="FF0000">
      <unresolved>
        <commentChain chainId="de98d0e08ba7c9bf1b94aa02cf9e99a0fc708716">
          <item id="9c3fa97a828021b13444b77c1d179d8c2465e113" isNormal="1">
            <s:text>
              <s:r>
                <s:t xml:space="preserve">Administrator:
2801137 6/6 6120pcs 顶军A9区
2801176 6/9 360pcs 顶均A9区 
2801196 6/10 360pcs 顶均A9区 
2801223 6/11 162pcs 顶均A9区</s:t>
              </s:r>
            </s:text>
          </item>
        </commentChain>
      </unresolved>
      <resolved/>
    </commentChains>
    <commentChains s:ref="AG98" rgbClr="FF0000">
      <unresolved>
        <commentChain chainId="4afe295f302f71364fddd3af15f8315365a3125a">
          <item id="39120f9d7bfdd45caf2c8923d880abdd75796b80" userID="1850010794" userName="龙丽娟" dateTime="2026-07-07T00:22:38" isNormal="0">
            <s:text>
              <s:r>
                <s:t xml:space="preserve">2201221 7/6 2016pcs 欣泰B7区
2201233 7/6 138pcs 欣泰B7区
2801292 7/11 822pcs 欣泰B7区
1001840 7/21 24pcs 钜顺A1区</s:t>
              </s:r>
            </s:text>
          </item>
        </commentChain>
      </unresolved>
      <resolved/>
    </commentChains>
    <commentChains s:ref="AG99" rgbClr="FF0000">
      <unresolved>
        <commentChain chainId="f39e63d06d9bf69cbd7b6c697f556b9e3a8174fa">
          <item id="2ab54a47ae11bd2c7a281de0c082decccdc78674" userID="1850010794" userName="龙丽娟" dateTime="2026-07-17T00:40:48" isNormal="0">
            <s:text>
              <s:r>
                <s:t xml:space="preserve">3003067 7/16 600pcs 应兴A7区</s:t>
              </s:r>
            </s:text>
          </item>
        </commentChain>
      </unresolved>
      <resolved/>
    </commentChains>
    <commentChains s:ref="L100" rgbClr="FF0000">
      <unresolved>
        <commentChain chainId="246dc3ec47818096bb6246c1363a199c58367f7e">
          <item id="c38d002a733f956a5518c01ec8ab8ea3dc033a16" userID="1853477080" userName="陈龙" dateTime="2026-07-23T07:15:33" isNormal="0">
            <s:text>
              <s:r>
                <s:t xml:space="preserve">第三方QC验货发现每箱产品有两个彩盒压变形</s:t>
              </s:r>
            </s:text>
          </item>
        </commentChain>
      </unresolved>
      <resolved/>
    </commentChains>
    <commentChains s:ref="AG100" rgbClr="FF0000">
      <unresolved>
        <commentChain chainId="e9ff25ad1615ad62a8c1b4d30c7755d8365533f9">
          <item id="7d0e11e8fd8c14d24e34a13b4ab3bb1a5a19b394" userID="1850010794" userName="龙丽娟" dateTime="2026-06-24T01:25:38" isNormal="0">
            <s:text>
              <s:r>
                <s:t xml:space="preserve">1000620 6/23 504pcs 欣泰F2区
1000633 6/24 504pcs 欣泰F2区
1000635 6/24 1512pcs 欣泰F2区
1000641 6/25 504pcs 欣泰F2区
1000647 6/25 180pcs 顶均C3区</s:t>
              </s:r>
            </s:text>
          </item>
        </commentChain>
      </unresolved>
      <resolved/>
    </commentChains>
    <commentChains s:ref="AG101" rgbClr="FF0000">
      <unresolved>
        <commentChain chainId="8fb0a9fa00cb62527acc600b25b8ca569c303854">
          <item id="612e65002359ac1376a8e05a6ba5935abe2b1061" userID="1850010794" userName="龙丽娟" dateTime="2026-07-13T01:33:42" isNormal="0">
            <s:text>
              <s:r>
                <s:t xml:space="preserve">3002927 7/11 1584pcs 钜顺B1区
3003048 7/14 162pcs 新泰A5区
3003072 7/16 1056pcs 欣泰A2区
3003125 7/17 2598pcs</s:t>
              </s:r>
            </s:text>
          </item>
        </commentChain>
      </unresolved>
      <resolved/>
    </commentChains>
    <commentChains s:ref="AG102" rgbClr="FF0000">
      <unresolved>
        <commentChain chainId="9d90e6f011301b8c36e88dbc2a709c2c87c0d9d5">
          <item id="ed4593fceedef36b394068c797072baa6792024c" userID="1850010794" userName="龙丽娟" dateTime="2026-07-07T00:20:47" isNormal="0">
            <s:text>
              <s:r>
                <s:t xml:space="preserve">2201221 7/6 6984pcs 欣泰B5区
2201222 7/6 7488pcs 欣泰A5区
2201234 7/7 1602pcs 欣泰B1区
2201285 7/10 3936pcs 应兴A3区</s:t>
              </s:r>
            </s:text>
          </item>
        </commentChain>
      </unresolved>
      <resolved/>
    </commentChains>
  </commentList>
  <commentList sheetStid="12">
    <commentChains s:ref="AH8" rgbClr="FF0000">
      <unresolved>
        <commentChain chainId="25c311ffb6d33fc06d3a186d83021c5491d34577">
          <item id="70167f2658fcb66484009fe282970b39130c4716" isNormal="1">
            <s:text>
              <s:r>
                <s:t xml:space="preserve">Administrator:
16001192 1/19 3pcs</s:t>
              </s:r>
            </s:text>
          </item>
        </commentChain>
      </unresolved>
      <resolved/>
    </commentChains>
    <commentChains s:ref="AH9" rgbClr="FF0000">
      <unresolved>
        <commentChain chainId="aa61418b1aa1cc52d54c24eda195717c6bddc438">
          <item id="13a0f05ce222d6e4687b08dc36844ad1da9384f6" isNormal="1">
            <s:text>
              <s:r>
                <s:t xml:space="preserve">Administrator:
1601192 1/19 3pcs</s:t>
              </s:r>
            </s:text>
          </item>
        </commentChain>
      </unresolved>
      <resolved/>
    </commentChains>
    <commentChains s:ref="AH15" rgbClr="FF0000">
      <unresolved>
        <commentChain chainId="b7dee036c4cf73201e323722fb0c1c5fd8ae30fa">
          <item id="0881418465f5af3f5abb60d11c0c72f1ef0fdfec" isNormal="1">
            <s:text>
              <s:r>
                <s:t xml:space="preserve">Administrator:
1601155 1/16 6pcs</s:t>
              </s:r>
            </s:text>
          </item>
        </commentChain>
      </unresolved>
      <resolved/>
    </commentChains>
    <commentChains s:ref="AH19" rgbClr="FF0000">
      <unresolved>
        <commentChain chainId="84b7bcdd9e614cce51f1f56922a8fa94dcb20de3">
          <item id="4be5b99e724cdfe9fdf7167702530551e1714c1d" isNormal="1">
            <s:text>
              <s:r>
                <s:t xml:space="preserve">Administrator:
1405426 4/1 2964pcs 新仓库B14区
1405396 4/2 36pcs 新仓库B14区
备3箱</s:t>
              </s:r>
            </s:text>
          </item>
        </commentChain>
      </unresolved>
      <resolved/>
    </commentChains>
    <commentChains s:ref="AH20" rgbClr="FF0000">
      <unresolved>
        <commentChain chainId="99871c678928dbf7f3aab74c478a71bbc168d9e1">
          <item id="a64affb61aeb669e80952565bfc2dc0ac8f2ac00" isNormal="1">
            <s:text>
              <s:r>
                <s:t xml:space="preserve">Administrator:
1405383 4/3 3000pcs 新仓库B14区
备两箱</s:t>
              </s:r>
            </s:text>
          </item>
        </commentChain>
      </unresolved>
      <resolved/>
    </commentChains>
    <commentChains s:ref="AH21" rgbClr="FF0000">
      <unresolved>
        <commentChain chainId="e7a552cf4dd0f04d98d6223986514e0b4e66e25e">
          <item id="8904d53b2fe114117ae54dfb296081f8939d5bf1" isNormal="1">
            <s:text>
              <s:r>
                <s:t xml:space="preserve">Administrator:
1405423 3/31 1296pcs 新仓库B14区
1405426 4/1 1704pcs 新仓库B14区
备两箱</s:t>
              </s:r>
            </s:text>
          </item>
        </commentChain>
      </unresolved>
      <resolved/>
    </commentChains>
    <commentChains s:ref="AH23" rgbClr="FF0000">
      <unresolved>
        <commentChain chainId="56a7d3c2ab313cbd8bda6acdb5507b1e8db8048a">
          <item id="b726e12300a482415903ea0ed9a75411a946a835" isNormal="1">
            <s:text>
              <s:r>
                <s:t xml:space="preserve">Administrator:
1405412 4/8 12pcs B栋四楼A9区</s:t>
              </s:r>
            </s:text>
          </item>
        </commentChain>
      </unresolved>
      <resolved/>
    </commentChains>
    <commentChains s:ref="AH25" rgbClr="FF0000">
      <unresolved>
        <commentChain chainId="d0275808b9c54e308fb347ff9e47a10642a0f469">
          <item id="178abb08cd75f3af692b659cf83c2c598a3125f8" isNormal="1">
            <s:text>
              <s:r>
                <s:t xml:space="preserve">Administrator:
1405980 4/11 18pcs
以上退回
1403833 4/22 18pcs</s:t>
              </s:r>
            </s:text>
          </item>
        </commentChain>
      </unresolved>
      <resolved/>
    </commentChains>
    <commentChains s:ref="AH26" rgbClr="FF0000">
      <unresolved>
        <commentChain chainId="bdca25c6364941af8d980dbcca90242df67eb9b8">
          <item id="075e3317698e319710fc4b3cd4d7d12bf5d78d71" isNormal="1">
            <s:text>
              <s:r>
                <s:t xml:space="preserve">Administrator:
1000697 4/14 6pcs 新仓库A1区</s:t>
              </s:r>
            </s:text>
          </item>
        </commentChain>
      </unresolved>
      <resolved/>
    </commentChains>
    <commentChains s:ref="AH27" rgbClr="FF0000">
      <unresolved>
        <commentChain chainId="799f1751d7592ca5a3b5ec10bcbe0c3025b77d43">
          <item id="f033526e45d7071197c6933aaf206c0e42ce5956" isNormal="1">
            <s:text>
              <s:r>
                <s:t xml:space="preserve">Administrator:
1405338 4/9 8pcs B栋四楼B8区</s:t>
              </s:r>
            </s:text>
          </item>
        </commentChain>
      </unresolved>
      <resolved/>
    </commentChains>
    <commentChains s:ref="AH34" rgbClr="FF0000">
      <unresolved>
        <commentChain chainId="f3efbf3811624bfa2c8a438e3eddce108b124c39">
          <item id="3585a903ffeff1a34d1c2f54acea69a1983e5af1" isNormal="1">
            <s:text>
              <s:r>
                <s:t xml:space="preserve">Administrator:
1403590 5/16 6pcs</s:t>
              </s:r>
            </s:text>
          </item>
        </commentChain>
      </unresolved>
      <resolved/>
    </commentChains>
    <commentChains s:ref="AH35" rgbClr="FF0000">
      <unresolved>
        <commentChain chainId="c2b6725f259bd57f5b38026646df337449be7fdd">
          <item id="d59a7925f718737db42bd26f78f982acf8be07a5" isNormal="1">
            <s:text>
              <s:r>
                <s:t xml:space="preserve">Administrator:
1403602 5/18 6pcs
QC不通过2pcs</s:t>
              </s:r>
            </s:text>
          </item>
        </commentChain>
      </unresolved>
      <resolved/>
    </commentChains>
    <commentChains s:ref="AH42" rgbClr="FF0000">
      <unresolved>
        <commentChain chainId="eb3170168bb729d31e300dbace3f644abecfcaae">
          <item id="3777b2fdfeb29ba48553f24664f6555094332c6f" isNormal="1">
            <s:text>
              <s:r>
                <s:t xml:space="preserve">Administrator:
1403314 5/22 420pcs B栋四楼A8区
1403334 5/26 8346pcs
280003 5/26 2520pcs
2800036 5/27 714pcs
备两箱</s:t>
              </s:r>
            </s:text>
          </item>
        </commentChain>
      </unresolved>
      <resolved/>
    </commentChains>
    <commentChains s:ref="AH43" rgbClr="FF0000">
      <unresolved>
        <commentChain chainId="717e15d9777fe752fedb10e3f0452bbaa02d8317">
          <item id="6ccc7fd527cac1c927e10301769a4bcea000c8d7" isNormal="1">
            <s:text>
              <s:r>
                <s:t xml:space="preserve">Administrator:
</s:t>
              </s:r>
            </s:text>
          </item>
        </commentChain>
      </unresolved>
      <resolved/>
    </commentChains>
    <commentChains s:ref="L44" rgbClr="FF0000">
      <unresolved>
        <commentChain chainId="27995a58214a9d3dca87a9858171a2a642e20811">
          <item id="7217b12290ef47d2d50c1ec101658921ca49cc97" userID="1853477080" userName="陈龙" dateTime="2026-07-08T07:44:57" isNormal="0">
            <s:text>
              <s:r>
                <s:t xml:space="preserve">说明书颜色问题推期</s:t>
              </s:r>
            </s:text>
          </item>
        </commentChain>
      </unresolved>
      <resolved/>
    </commentChains>
    <commentChains s:ref="AS44" rgbClr="FF0000">
      <unresolved>
        <commentChain chainId="3f010b6acb33df7170657db49449edd0c8311e87">
          <item id="4d1f24b1049d8cda95f16e038b9185bfa30ee3ef" userID="1853477080" userName="陈龙" dateTime="2026-07-11T03:36:39" isNormal="0">
            <s:text>
              <s:r>
                <s:t xml:space="preserve">说明书7/11日签回</s:t>
              </s:r>
            </s:text>
          </item>
        </commentChain>
      </unresolved>
      <resolved/>
    </commentChains>
    <commentChains s:ref="AH45" rgbClr="FF0000">
      <unresolved>
        <commentChain chainId="e970b77071660feee51e684d385fb26eb95ba92f">
          <item id="c89adf9b059bfdb7e58db5a2feb2ea9a70fcd4ec" isNormal="1">
            <s:text>
              <s:r>
                <s:t xml:space="preserve">Administrator:
1000022 5/9 1332pcs 新仓库三楼A3区
3001628 5/13 168pcs 新仓库三楼A3区
3001635 5/14 12pcs
备品</s:t>
              </s:r>
            </s:text>
          </item>
        </commentChain>
      </unresolved>
      <resolved/>
    </commentChains>
    <commentChains s:ref="AH46" rgbClr="FF0000">
      <unresolved>
        <commentChain chainId="85d4599cc0d0fc3e09c0c994e4960b9672eda9f0">
          <item id="af19bf2cc38550a0920db77940ab6536d3939f08" isNormal="1">
            <s:text>
              <s:r>
                <s:t xml:space="preserve">Administrator:
3001660 5/25 8pcs
3002549 5/27 8pcs</s:t>
              </s:r>
            </s:text>
          </item>
        </commentChain>
      </unresolved>
      <resolved/>
    </commentChains>
    <commentChains s:ref="AH47" rgbClr="FF0000">
      <unresolved>
        <commentChain chainId="34a3c6bb3089228b82bdc49f09724910fa01b2d9">
          <item id="49863607ca97d3a32714db4b5655824616170c84" isNormal="1">
            <s:text>
              <s:r>
                <s:t xml:space="preserve">Administrator:
1000542 6/4 18pcs
</s:t>
              </s:r>
            </s:text>
          </item>
        </commentChain>
      </unresolved>
      <resolved/>
    </commentChains>
    <commentChains s:ref="AH48" rgbClr="FF0000">
      <unresolved>
        <commentChain chainId="c8a62e39b7001eb18a28ccd26166fa05c824c839">
          <item id="cf6b2209c7f1ddd37aff913d4c04ef187c5fce4d" isNormal="1">
            <s:text>
              <s:r>
                <s:t xml:space="preserve">Administrator:
1000479 6/11 9pcs</s:t>
              </s:r>
            </s:text>
          </item>
        </commentChain>
      </unresolved>
      <resolved/>
    </commentChains>
    <commentChains s:ref="AH51" rgbClr="FF0000">
      <unresolved>
        <commentChain chainId="1b3c95f60625ca5154e275f0891f9036af761d5c">
          <item id="6ebfbe4e1b4bab516213109e8f004e82ac7b8485" userID="1850010794" userName="龙丽娟" dateTime="2026-07-01T02:22:16" isNormal="0">
            <s:text>
              <s:r>
                <s:t xml:space="preserve">2201008 6/30 8790pcs 欣泰C1区
7/4退回返工</s:t>
              </s:r>
            </s:text>
          </item>
        </commentChain>
      </unresolved>
      <resolved/>
    </commentChains>
    <commentChains s:ref="AS52" rgbClr="FF0000">
      <unresolved>
        <commentChain chainId="5976727aa839250dd471549c1a9b4b587179315b">
          <item id="9152bac63131b6f65793e6517ceb1b195cae3617" userID="1853477080" userName="陈龙" dateTime="2026-07-11T03:43:24" isNormal="0">
            <s:text>
              <s:r>
                <s:t xml:space="preserve">两套，一套客上客签办</s:t>
              </s:r>
            </s:text>
          </item>
        </commentChain>
      </unresolved>
      <resolved/>
    </commentChains>
  </commentList>
</comments>
</file>

<file path=customXml/item3.xml><?xml version="1.0" encoding="utf-8"?>
<autofilters xmlns="https://web.wps.cn/et/2018/main">
  <sheetItem sheetStid="3">
    <filterData filterID="1594138801"/>
    <filterData filterID="1475426452"/>
    <filterData filterID="1848493306">
      <hiddenRange rowFrom="1" rowTo="223"/>
      <hiddenRange rowFrom="225" rowTo="269"/>
    </filterData>
    <filterData filterID="1828109780"/>
    <filterData filterID="1474709007"/>
    <autofilterInfo filterID="1848493306">
      <autoFilter xmlns="http://schemas.openxmlformats.org/spreadsheetml/2006/main" ref="A1:AQ270">
        <filterColumn colId="3">
          <customFilters>
            <customFilter operator="equal" val="PO-26061802"/>
          </customFilters>
        </filterColumn>
      </autoFilter>
    </autofilterInfo>
  </sheetItem>
  <sheetItem sheetStid="1">
    <filterData filterID="1828109780"/>
    <filterData filterID="1475490905">
      <hiddenRange rowFrom="1" rowTo="15"/>
      <hiddenRange rowFrom="17" rowTo="17"/>
      <hiddenRange rowFrom="19" rowTo="26"/>
      <hiddenRange rowFrom="28" rowTo="29"/>
      <hiddenRange rowFrom="31" rowTo="34"/>
      <hiddenRange rowFrom="37" rowTo="62"/>
      <hiddenRange rowFrom="64" rowTo="65"/>
      <hiddenRange rowFrom="67" rowTo="139"/>
    </filterData>
    <filterData filterID="1850010794">
      <hiddenRange rowFrom="1" rowTo="28"/>
      <hiddenRange rowFrom="30" rowTo="31"/>
      <hiddenRange rowFrom="33" rowTo="34"/>
      <hiddenRange rowFrom="36" rowTo="139"/>
    </filterData>
    <filterData filterID="1594138801">
      <hiddenRange rowFrom="1" rowTo="6"/>
      <hiddenRange rowFrom="8" rowTo="11"/>
      <hiddenRange rowFrom="13" rowTo="19"/>
      <hiddenRange rowFrom="21" rowTo="21"/>
      <hiddenRange rowFrom="23" rowTo="48"/>
      <hiddenRange rowFrom="50" rowTo="51"/>
      <hiddenRange rowFrom="55" rowTo="60"/>
      <hiddenRange rowFrom="63" rowTo="139"/>
    </filterData>
    <autofilterInfo filterID="1850010794">
      <autoFilter xmlns="http://schemas.openxmlformats.org/spreadsheetml/2006/main" ref="A1:AS140">
        <filterColumn colId="4">
          <customFilters>
            <customFilter operator="equal" val="PO-26032603"/>
          </customFilters>
        </filterColumn>
      </autoFilter>
    </autofilterInfo>
    <autofilterInfo filterID="1475490905">
      <autoFilter xmlns="http://schemas.openxmlformats.org/spreadsheetml/2006/main" ref="A1:AS140">
        <filterColumn colId="6">
          <filters>
            <filter val="迪士尼米奇头-GR"/>
            <filter val="迪士尼米奇头-EN-US"/>
            <filter val="迪士尼米奇头-IT"/>
            <filter val="迪士尼米奇头-TU"/>
            <filter val="迪士尼米奇头-RO"/>
          </filters>
        </filterColumn>
      </autoFilter>
    </autofilterInfo>
    <autofilterInfo filterID="1594138801">
      <autoFilter xmlns="http://schemas.openxmlformats.org/spreadsheetml/2006/main" ref="A1:AS140">
        <filterColumn colId="6">
          <filters>
            <filter val="超级精灵球-EN-US"/>
            <filter val="超级精灵球-ES"/>
            <filter val="超级精灵球-IT"/>
            <filter val="橙色超级男仔小精灵-BU"/>
            <filter val="超级精灵球-HU"/>
            <filter val="超级精灵球- PL"/>
            <filter val="超级精灵球-EN"/>
          </filters>
        </filterColumn>
      </autoFilter>
    </autofilterInfo>
  </sheetItem>
  <sheetItem sheetStid="14">
    <filterData filterID="1853477080">
      <hiddenRange rowFrom="1" rowTo="15"/>
      <hiddenRange rowFrom="17" rowTo="22"/>
      <hiddenRange rowFrom="24" rowTo="26"/>
      <hiddenRange rowFrom="28" rowTo="29"/>
      <hiddenRange rowFrom="34" rowTo="34"/>
    </filterData>
    <filterData filterID="1850010794">
      <hiddenRange rowFrom="1" rowTo="15"/>
      <hiddenRange rowFrom="17" rowTo="108"/>
    </filterData>
    <autofilterInfo filterID="1850010794">
      <autoFilter xmlns="http://schemas.openxmlformats.org/spreadsheetml/2006/main" ref="A1:AY109">
        <filterColumn colId="4">
          <customFilters>
            <customFilter operator="equal" val="PO-26030904"/>
          </customFilters>
        </filterColumn>
      </autoFilter>
    </autofilterInfo>
  </sheetItem>
  <sheetItem sheetStid="8">
    <filterData filterID="1594138801">
      <hiddenRange rowFrom="1" rowTo="48"/>
      <hiddenRange rowFrom="51" rowTo="54"/>
      <hiddenRange rowFrom="56" rowTo="58"/>
      <hiddenRange rowFrom="60" rowTo="63"/>
      <hiddenRange rowFrom="65" rowTo="67"/>
      <hiddenRange rowFrom="70" rowTo="78"/>
      <hiddenRange rowFrom="80" rowTo="84"/>
      <hiddenRange rowFrom="86" rowTo="91"/>
      <hiddenRange rowFrom="96" rowTo="98"/>
      <hiddenRange rowFrom="109" rowTo="111"/>
    </filterData>
    <filterData filterID="1474709007"/>
    <filterData filterID="1853477080">
      <hiddenRange rowFrom="1" rowTo="5"/>
      <hiddenRange rowFrom="7" rowTo="22"/>
      <hiddenRange rowFrom="24" rowTo="26"/>
      <hiddenRange rowFrom="29" rowTo="35"/>
      <hiddenRange rowFrom="41" rowTo="41"/>
      <hiddenRange rowFrom="43" rowTo="43"/>
      <hiddenRange rowFrom="45" rowTo="51"/>
      <hiddenRange rowFrom="54" rowTo="54"/>
      <hiddenRange rowFrom="56" rowTo="56"/>
      <hiddenRange rowFrom="59" rowTo="69"/>
      <hiddenRange rowFrom="71" rowTo="71"/>
      <hiddenRange rowFrom="74" rowTo="86"/>
      <hiddenRange rowFrom="89" rowTo="91"/>
      <hiddenRange rowFrom="96" rowTo="98"/>
      <hiddenRange rowFrom="109" rowTo="111"/>
    </filterData>
    <filterData filterID="1828109780"/>
    <filterData filterID="1850010794"/>
    <autofilterInfo filterID="1853477080">
      <autoFilter xmlns="http://schemas.openxmlformats.org/spreadsheetml/2006/main" ref="A1:AQ112">
        <filterColumn colId="2">
          <customFilters>
            <customFilter operator="equal" val="美国"/>
          </customFilters>
        </filterColumn>
      </autoFilter>
    </autofilterInfo>
    <autofilterInfo filterID="1594138801">
      <autoFilter xmlns="http://schemas.openxmlformats.org/spreadsheetml/2006/main" ref="A1:AQ112">
        <filterColumn colId="6">
          <filters>
            <filter val="蓝精灵-ES"/>
            <filter val="蓝精灵-EN-US"/>
            <filter val="蓝精灵-PL"/>
            <filter val="蓝精灵-EN"/>
            <filter val="蓝精灵-RO"/>
          </filters>
        </filterColumn>
      </autoFilter>
    </autofilterInfo>
  </sheetItem>
  <sheetItem sheetStid="12">
    <filterData filterID="1853477080"/>
  </sheetItem>
  <sheetItem sheetStid="11">
    <filterData filterID="1828109780"/>
  </sheetItem>
</autofilters>
</file>

<file path=customXml/item4.xml><?xml version="1.0" encoding="utf-8"?>
<woProps xmlns="https://web.wps.cn/et/2018/main" xmlns:s="http://schemas.openxmlformats.org/spreadsheetml/2006/main">
  <woSheetsProps>
    <woSheetProps sheetStid="10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</woSheetsProps>
  <woBookProps>
    <bookSettings fileId="532327591176" isFilterShared="0" woEtMtcEnabled="0" coreConquerUserId="" isAutoUpdatePaused="0" filterType="user" isMergeTasksAutoUpdate="0" isInserPicAsAttachment="0" supportDbFmlaDisp="0"/>
  </woBookProps>
</woProps>
</file>

<file path=customXml/item5.xml><?xml version="1.0" encoding="utf-8"?>
<pixelators xmlns="https://web.wps.cn/et/2018/main" xmlns:s="http://schemas.openxmlformats.org/spreadsheetml/2006/main">
  <pixelatorList sheetStid="10"/>
  <pixelatorList sheetStid="3"/>
  <pixelatorList sheetStid="1"/>
  <pixelatorList sheetStid="14"/>
  <pixelatorList sheetStid="8"/>
  <pixelatorList sheetStid="12"/>
  <pixelatorList sheetStid="9"/>
  <pixelatorList sheetStid="7"/>
  <pixelatorList sheetStid="11"/>
  <pixelatorList sheetStid="15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名称</vt:lpstr>
      <vt:lpstr>总接单</vt:lpstr>
      <vt:lpstr>总排期</vt:lpstr>
      <vt:lpstr>样办排期</vt:lpstr>
      <vt:lpstr>已走货</vt:lpstr>
      <vt:lpstr>已完成样办</vt:lpstr>
      <vt:lpstr>取消单</vt:lpstr>
      <vt:lpstr>工模与其他</vt:lpstr>
      <vt:lpstr>货名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2025-01-12T16:38:00Z</dcterms:created>
  <dcterms:modified xsi:type="dcterms:W3CDTF">2026-10-17T18:05:00Z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2052-12.9.0.28212</vt:lpwstr>
  </property>
  <property fmtid="{D5CDD505-2E9C-101B-9397-08002B2CF9AE}" pid="3" name="ICV">
    <vt:lpwstr>60890FD5B52E4F09B15D1824C4C201FC_13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