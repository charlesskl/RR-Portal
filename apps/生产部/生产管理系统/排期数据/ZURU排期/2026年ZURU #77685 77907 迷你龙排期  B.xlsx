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bookViews>
    <workbookView windowWidth="24000" windowHeight="11280" firstSheet="1" activeTab="2"/>
  </bookViews>
  <sheets>
    <sheet name="77685旧排期 " sheetId="5" state="hidden" r:id="rId1"/>
    <sheet name="77685排期" sheetId="1" r:id="rId2"/>
    <sheet name="77907排期" sheetId="6" r:id="rId3"/>
    <sheet name="生产MA" sheetId="2" r:id="rId4"/>
    <sheet name="包材MA" sheetId="3" r:id="rId5"/>
    <sheet name="取消单" sheetId="4" r:id="rId6"/>
    <sheet name="WpsReserved_CellImgList" sheetId="7" state="veryHidden" r:id="rId7"/>
  </sheets>
  <definedNames>
    <definedName name="_xlnm._FilterDatabase" localSheetId="0" hidden="1">'77685旧排期 '!$A$2:$CI$310</definedName>
    <definedName name="_xlnm._FilterDatabase" localSheetId="1" hidden="1">'77685排期'!$A$2:$CD$136</definedName>
    <definedName name="_xlnm._FilterDatabase" localSheetId="2" hidden="1">'77907排期'!$A$2:$CF$58</definedName>
    <definedName name="_xlnm._FilterDatabase" localSheetId="4" hidden="1">包材MA!$A$3:$AB$151</definedName>
    <definedName name="_xlnm._FilterDatabase" localSheetId="5" hidden="1">取消单!$A$1:$CA$12</definedName>
    <definedName name="_xlnm._FilterDatabase" localSheetId="3" hidden="1">生产MA!$A$22:$F$34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8" name="ID_95A1E42B117A437B8FC0B90EA3C2F77F" descr="post_object_image_2077275976"/>
        <xdr:cNvPicPr/>
      </xdr:nvPicPr>
      <xdr:blipFill>
        <a:blip r:embed="rId1"/>
        <a:stretch>
          <a:fillRect/>
        </a:stretch>
      </xdr:blipFill>
      <xdr:spPr>
        <a:xfrm>
          <a:off x="0" y="0"/>
          <a:ext cx="1490980" cy="495300"/>
        </a:xfrm>
        <a:prstGeom prst="rect">
          <a:avLst/>
        </a:prstGeom>
      </xdr:spPr>
    </xdr:pic>
  </etc:cellImage>
  <etc:cellImage>
    <xdr:pic>
      <xdr:nvPicPr>
        <xdr:cNvPr id="9" name="ID_107C29F80CE74A91A3A63E05F8A2AD2F" descr="post_object_image_3568072083"/>
        <xdr:cNvPicPr/>
      </xdr:nvPicPr>
      <xdr:blipFill>
        <a:blip r:embed="rId1"/>
        <a:stretch>
          <a:fillRect/>
        </a:stretch>
      </xdr:blipFill>
      <xdr:spPr>
        <a:xfrm>
          <a:off x="0" y="0"/>
          <a:ext cx="1490980" cy="495300"/>
        </a:xfrm>
        <a:prstGeom prst="rect">
          <a:avLst/>
        </a:prstGeom>
      </xdr:spPr>
    </xdr:pic>
  </etc:cellImage>
  <etc:cellImage>
    <xdr:pic>
      <xdr:nvPicPr>
        <xdr:cNvPr id="10" name="ID_72A44C10A37D4386856AB3FB4C996C21" descr="post_object_image_1622484266"/>
        <xdr:cNvPicPr/>
      </xdr:nvPicPr>
      <xdr:blipFill>
        <a:blip r:embed="rId1"/>
        <a:stretch>
          <a:fillRect/>
        </a:stretch>
      </xdr:blipFill>
      <xdr:spPr>
        <a:xfrm>
          <a:off x="0" y="0"/>
          <a:ext cx="1490980" cy="495300"/>
        </a:xfrm>
        <a:prstGeom prst="rect">
          <a:avLst/>
        </a:prstGeom>
      </xdr:spPr>
    </xdr:pic>
  </etc:cellImage>
  <etc:cellImage>
    <xdr:pic>
      <xdr:nvPicPr>
        <xdr:cNvPr id="11" name="ID_98318259577C4B108CFE6665BD612EA0" descr="post_object_image_939659003"/>
        <xdr:cNvPicPr/>
      </xdr:nvPicPr>
      <xdr:blipFill>
        <a:blip r:embed="rId2"/>
        <a:stretch>
          <a:fillRect/>
        </a:stretch>
      </xdr:blipFill>
      <xdr:spPr>
        <a:xfrm>
          <a:off x="0" y="0"/>
          <a:ext cx="1490980" cy="495300"/>
        </a:xfrm>
        <a:prstGeom prst="rect">
          <a:avLst/>
        </a:prstGeom>
      </xdr:spPr>
    </xdr:pic>
  </etc:cellImage>
  <etc:cellImage>
    <xdr:pic>
      <xdr:nvPicPr>
        <xdr:cNvPr id="12" name="ID_0D88EBC9838241A5925F16A7BCED0E17" descr="post_object_image_2712913276"/>
        <xdr:cNvPicPr/>
      </xdr:nvPicPr>
      <xdr:blipFill>
        <a:blip r:embed="rId3"/>
        <a:stretch>
          <a:fillRect/>
        </a:stretch>
      </xdr:blipFill>
      <xdr:spPr>
        <a:xfrm>
          <a:off x="0" y="0"/>
          <a:ext cx="1490980" cy="495300"/>
        </a:xfrm>
        <a:prstGeom prst="rect">
          <a:avLst/>
        </a:prstGeom>
      </xdr:spPr>
    </xdr:pic>
  </etc:cellImage>
  <etc:cellImage>
    <xdr:pic>
      <xdr:nvPicPr>
        <xdr:cNvPr id="13" name="ID_994D91EAAAC1400A9591852D25976B5E" descr="post_object_image_3020460191"/>
        <xdr:cNvPicPr/>
      </xdr:nvPicPr>
      <xdr:blipFill>
        <a:blip r:embed="rId4"/>
        <a:stretch>
          <a:fillRect/>
        </a:stretch>
      </xdr:blipFill>
      <xdr:spPr>
        <a:xfrm>
          <a:off x="0" y="0"/>
          <a:ext cx="1490980" cy="495300"/>
        </a:xfrm>
        <a:prstGeom prst="rect">
          <a:avLst/>
        </a:prstGeom>
      </xdr:spPr>
    </xdr:pic>
  </etc:cellImage>
  <etc:cellImage>
    <xdr:pic>
      <xdr:nvPicPr>
        <xdr:cNvPr id="14" name="ID_D1D05AB424154DDC8B55946A7A8767A4" descr="post_object_image_997527687"/>
        <xdr:cNvPicPr/>
      </xdr:nvPicPr>
      <xdr:blipFill>
        <a:blip r:embed="rId5"/>
        <a:stretch>
          <a:fillRect/>
        </a:stretch>
      </xdr:blipFill>
      <xdr:spPr>
        <a:xfrm>
          <a:off x="0" y="0"/>
          <a:ext cx="1490980" cy="495300"/>
        </a:xfrm>
        <a:prstGeom prst="rect">
          <a:avLst/>
        </a:prstGeom>
      </xdr:spPr>
    </xdr:pic>
  </etc:cellImage>
  <etc:cellImage>
    <xdr:pic>
      <xdr:nvPicPr>
        <xdr:cNvPr id="15" name="ID_0C2743E423E04B8C9694EEDC3E580263" descr="post_object_image_241630934"/>
        <xdr:cNvPicPr/>
      </xdr:nvPicPr>
      <xdr:blipFill>
        <a:blip r:embed="rId6"/>
        <a:stretch>
          <a:fillRect/>
        </a:stretch>
      </xdr:blipFill>
      <xdr:spPr>
        <a:xfrm>
          <a:off x="0" y="0"/>
          <a:ext cx="1490980" cy="495300"/>
        </a:xfrm>
        <a:prstGeom prst="rect">
          <a:avLst/>
        </a:prstGeom>
      </xdr:spPr>
    </xdr:pic>
  </etc:cellImage>
  <etc:cellImage>
    <xdr:pic>
      <xdr:nvPicPr>
        <xdr:cNvPr id="16" name="ID_F6FDA78DA1934AE3BAD28D0E0590B4BA" descr="post_object_image_2733786242"/>
        <xdr:cNvPicPr/>
      </xdr:nvPicPr>
      <xdr:blipFill>
        <a:blip r:embed="rId7"/>
        <a:stretch>
          <a:fillRect/>
        </a:stretch>
      </xdr:blipFill>
      <xdr:spPr>
        <a:xfrm>
          <a:off x="0" y="0"/>
          <a:ext cx="1490980" cy="504825"/>
        </a:xfrm>
        <a:prstGeom prst="rect">
          <a:avLst/>
        </a:prstGeom>
      </xdr:spPr>
    </xdr:pic>
  </etc:cellImage>
</etc:cellImages>
</file>

<file path=xl/comments1.xml><?xml version="1.0" encoding="utf-8"?>
<comments xmlns="http://schemas.openxmlformats.org/spreadsheetml/2006/main">
  <authors>
    <author>Administrator</author>
  </authors>
  <commentList>
    <comment ref="AA8" authorId="0">
      <text>
        <r>
          <rPr>
            <b/>
            <sz val="9"/>
            <rFont val="宋体"/>
            <charset val="134"/>
          </rPr>
          <t>Administrator:</t>
        </r>
        <r>
          <rPr>
            <sz val="9"/>
            <rFont val="宋体"/>
            <charset val="134"/>
          </rPr>
          <t xml:space="preserve">
4/25 收到40pcs-PDQ  A栋楼
</t>
        </r>
      </text>
    </comment>
    <comment ref="AA9" authorId="0">
      <text>
        <r>
          <rPr>
            <b/>
            <sz val="9"/>
            <rFont val="宋体"/>
            <charset val="134"/>
          </rPr>
          <t>Administrator:</t>
        </r>
        <r>
          <rPr>
            <sz val="9"/>
            <rFont val="宋体"/>
            <charset val="134"/>
          </rPr>
          <t xml:space="preserve">
4/25 收到40pcs-PDQ  A栋楼
</t>
        </r>
      </text>
    </comment>
    <comment ref="AA10" authorId="0">
      <text>
        <r>
          <rPr>
            <b/>
            <sz val="9"/>
            <rFont val="宋体"/>
            <charset val="134"/>
          </rPr>
          <t>Administrator:</t>
        </r>
        <r>
          <rPr>
            <sz val="9"/>
            <rFont val="宋体"/>
            <charset val="134"/>
          </rPr>
          <t xml:space="preserve">
0000159 3/5 3101pcs  莫海军B栋4楼A6区
0000142 3/8 75pcs    车间拉走</t>
        </r>
      </text>
    </comment>
    <comment ref="AC10" authorId="0">
      <text>
        <r>
          <rPr>
            <b/>
            <sz val="12"/>
            <rFont val="宋体"/>
            <charset val="134"/>
          </rPr>
          <t>Administrator:</t>
        </r>
        <r>
          <rPr>
            <sz val="12"/>
            <rFont val="宋体"/>
            <charset val="134"/>
          </rPr>
          <t xml:space="preserve">
2/27 上客人通用进口商贴纸 3618pcs</t>
        </r>
      </text>
    </comment>
    <comment ref="AA11" authorId="0">
      <text>
        <r>
          <rPr>
            <b/>
            <sz val="9"/>
            <rFont val="宋体"/>
            <charset val="134"/>
          </rPr>
          <t>Administrator:</t>
        </r>
        <r>
          <rPr>
            <sz val="9"/>
            <rFont val="宋体"/>
            <charset val="134"/>
          </rPr>
          <t xml:space="preserve">
0000899 3/25 492pcs 华兴三B14</t>
        </r>
      </text>
    </comment>
    <comment ref="AC11" authorId="0">
      <text>
        <r>
          <rPr>
            <b/>
            <sz val="12"/>
            <rFont val="宋体"/>
            <charset val="134"/>
          </rPr>
          <t>Administrator:</t>
        </r>
        <r>
          <rPr>
            <sz val="12"/>
            <rFont val="宋体"/>
            <charset val="134"/>
          </rPr>
          <t xml:space="preserve">
2/27 上空白贴纸 984pcs</t>
        </r>
      </text>
    </comment>
    <comment ref="AA12" authorId="0">
      <text>
        <r>
          <rPr>
            <b/>
            <sz val="9"/>
            <rFont val="宋体"/>
            <charset val="134"/>
          </rPr>
          <t>Administrator:</t>
        </r>
        <r>
          <rPr>
            <sz val="9"/>
            <rFont val="宋体"/>
            <charset val="134"/>
          </rPr>
          <t xml:space="preserve">
0000899 3/25 10017pcs 华兴三B16</t>
        </r>
      </text>
    </comment>
    <comment ref="AA13" authorId="0">
      <text>
        <r>
          <rPr>
            <b/>
            <sz val="9"/>
            <rFont val="宋体"/>
            <charset val="134"/>
          </rPr>
          <t>Administrator:</t>
        </r>
        <r>
          <rPr>
            <sz val="9"/>
            <rFont val="宋体"/>
            <charset val="134"/>
          </rPr>
          <t xml:space="preserve">
0000903 3/24 7452pcs  华兴三B12
0000899 3/25 594pcs  已走货</t>
        </r>
      </text>
    </comment>
    <comment ref="AA14" authorId="0">
      <text>
        <r>
          <rPr>
            <b/>
            <sz val="9"/>
            <rFont val="宋体"/>
            <charset val="134"/>
          </rPr>
          <t>Administrator:</t>
        </r>
        <r>
          <rPr>
            <sz val="9"/>
            <rFont val="宋体"/>
            <charset val="134"/>
          </rPr>
          <t xml:space="preserve">
0000899 3/25 2052pcs 华兴三B14</t>
        </r>
      </text>
    </comment>
    <comment ref="AA15" authorId="0">
      <text>
        <r>
          <rPr>
            <b/>
            <sz val="9"/>
            <rFont val="宋体"/>
            <charset val="134"/>
          </rPr>
          <t>Administrator:</t>
        </r>
        <r>
          <rPr>
            <sz val="9"/>
            <rFont val="宋体"/>
            <charset val="134"/>
          </rPr>
          <t xml:space="preserve">
0000899 3/25 18720pcs 华兴三A24</t>
        </r>
      </text>
    </comment>
    <comment ref="AC15" authorId="0">
      <text>
        <r>
          <rPr>
            <b/>
            <sz val="11"/>
            <rFont val="宋体"/>
            <charset val="134"/>
          </rPr>
          <t>Administrator:</t>
        </r>
        <r>
          <rPr>
            <sz val="11"/>
            <rFont val="宋体"/>
            <charset val="134"/>
          </rPr>
          <t xml:space="preserve">
2/27 上客供外箱条码贴纸 1454pcs
3/4 上Event label贴纸 1440pcs</t>
        </r>
      </text>
    </comment>
    <comment ref="AA16" authorId="0">
      <text>
        <r>
          <rPr>
            <b/>
            <sz val="9"/>
            <rFont val="宋体"/>
            <charset val="134"/>
          </rPr>
          <t>Administrator:</t>
        </r>
        <r>
          <rPr>
            <sz val="9"/>
            <rFont val="宋体"/>
            <charset val="134"/>
          </rPr>
          <t xml:space="preserve">
0000801 4/2 2052pcs 已走货</t>
        </r>
      </text>
    </comment>
    <comment ref="AC16" authorId="0">
      <text>
        <r>
          <rPr>
            <b/>
            <sz val="9"/>
            <rFont val="宋体"/>
            <charset val="134"/>
          </rPr>
          <t>Administrator:</t>
        </r>
        <r>
          <rPr>
            <sz val="9"/>
            <rFont val="宋体"/>
            <charset val="134"/>
          </rPr>
          <t xml:space="preserve">
3/13 上进口商贴纸 2052pcs</t>
        </r>
      </text>
    </comment>
    <comment ref="AA17" authorId="0">
      <text>
        <r>
          <rPr>
            <b/>
            <sz val="9"/>
            <rFont val="宋体"/>
            <charset val="134"/>
          </rPr>
          <t>Administrator:</t>
        </r>
        <r>
          <rPr>
            <sz val="9"/>
            <rFont val="宋体"/>
            <charset val="134"/>
          </rPr>
          <t xml:space="preserve">
0000797 4/3 2508pcs 华兴三B16</t>
        </r>
      </text>
    </comment>
    <comment ref="AA18" authorId="0">
      <text>
        <r>
          <rPr>
            <b/>
            <sz val="9"/>
            <rFont val="宋体"/>
            <charset val="134"/>
          </rPr>
          <t>Administrator:</t>
        </r>
        <r>
          <rPr>
            <sz val="9"/>
            <rFont val="宋体"/>
            <charset val="134"/>
          </rPr>
          <t xml:space="preserve">
0000797 4/3 792pcs 华兴三B16</t>
        </r>
      </text>
    </comment>
    <comment ref="AA19" authorId="0">
      <text>
        <r>
          <rPr>
            <b/>
            <sz val="12"/>
            <rFont val="宋体"/>
            <charset val="134"/>
          </rPr>
          <t>Administrator:</t>
        </r>
        <r>
          <rPr>
            <sz val="12"/>
            <rFont val="宋体"/>
            <charset val="134"/>
          </rPr>
          <t xml:space="preserve">
0001856 4/11 492pcs 华兴三B12</t>
        </r>
      </text>
    </comment>
    <comment ref="AC19" authorId="0">
      <text>
        <r>
          <rPr>
            <b/>
            <sz val="12"/>
            <rFont val="宋体"/>
            <charset val="134"/>
          </rPr>
          <t>Administrator:</t>
        </r>
        <r>
          <rPr>
            <sz val="12"/>
            <rFont val="宋体"/>
            <charset val="134"/>
          </rPr>
          <t xml:space="preserve">
3/21 上亚马逊外箱贴纸 41pcs
3/26 上空白贴纸 3456pcs
154869/158578共用</t>
        </r>
      </text>
    </comment>
    <comment ref="AA20" authorId="0">
      <text>
        <r>
          <rPr>
            <b/>
            <sz val="12"/>
            <rFont val="宋体"/>
            <charset val="134"/>
          </rPr>
          <t>Administrator:</t>
        </r>
        <r>
          <rPr>
            <sz val="12"/>
            <rFont val="宋体"/>
            <charset val="134"/>
          </rPr>
          <t xml:space="preserve">
0001856 4/11 744pcs 华兴三B11</t>
        </r>
      </text>
    </comment>
    <comment ref="AC20" authorId="0">
      <text>
        <r>
          <rPr>
            <b/>
            <sz val="12"/>
            <rFont val="宋体"/>
            <charset val="134"/>
          </rPr>
          <t>Administrator:</t>
        </r>
        <r>
          <rPr>
            <sz val="12"/>
            <rFont val="宋体"/>
            <charset val="134"/>
          </rPr>
          <t xml:space="preserve">
3/21 上亚马逊外箱贴纸 62pcs
3/26 上空白贴纸 3456pcs
154869/158578共用
</t>
        </r>
      </text>
    </comment>
    <comment ref="AA21" authorId="0">
      <text>
        <r>
          <rPr>
            <b/>
            <sz val="12"/>
            <rFont val="宋体"/>
            <charset val="134"/>
          </rPr>
          <t>Administrator:</t>
        </r>
        <r>
          <rPr>
            <sz val="12"/>
            <rFont val="宋体"/>
            <charset val="134"/>
          </rPr>
          <t xml:space="preserve">
0001856 4/11 492pcs 华兴三B11</t>
        </r>
      </text>
    </comment>
    <comment ref="AC21" authorId="0">
      <text>
        <r>
          <rPr>
            <b/>
            <sz val="12"/>
            <rFont val="宋体"/>
            <charset val="134"/>
          </rPr>
          <t>Administrator:</t>
        </r>
        <r>
          <rPr>
            <sz val="12"/>
            <rFont val="宋体"/>
            <charset val="134"/>
          </rPr>
          <t xml:space="preserve">
3/21 上亚马逊外箱贴纸 41pcs
3/26 上空白贴纸 3456pcs
154869/158578共用
</t>
        </r>
      </text>
    </comment>
    <comment ref="AA22" authorId="0">
      <text>
        <r>
          <rPr>
            <b/>
            <sz val="9"/>
            <rFont val="宋体"/>
            <charset val="134"/>
          </rPr>
          <t>Administrator:</t>
        </r>
        <r>
          <rPr>
            <sz val="9"/>
            <rFont val="宋体"/>
            <charset val="134"/>
          </rPr>
          <t xml:space="preserve">
0000751 4/14 780pcs 已走货</t>
        </r>
      </text>
    </comment>
    <comment ref="AC22" authorId="0">
      <text>
        <r>
          <rPr>
            <b/>
            <sz val="9"/>
            <rFont val="宋体"/>
            <charset val="134"/>
          </rPr>
          <t>Administrator:</t>
        </r>
        <r>
          <rPr>
            <sz val="9"/>
            <rFont val="宋体"/>
            <charset val="134"/>
          </rPr>
          <t xml:space="preserve">
4/3 上客供警语贴纸贴球底部 806pcs
    上客供警语贴纸贴收藏指南上 780pcs
    上客供警语贴纸贴说明书上 780pcs
    上客供警语贴纸贴口水胶上 806pcs</t>
        </r>
      </text>
    </comment>
    <comment ref="AA23" authorId="0">
      <text>
        <r>
          <rPr>
            <b/>
            <sz val="9"/>
            <rFont val="宋体"/>
            <charset val="134"/>
          </rPr>
          <t>Administrator:</t>
        </r>
        <r>
          <rPr>
            <sz val="9"/>
            <rFont val="宋体"/>
            <charset val="134"/>
          </rPr>
          <t xml:space="preserve">
0000789 4/8 1350pcs 华兴三B15</t>
        </r>
      </text>
    </comment>
    <comment ref="AA24" authorId="0">
      <text>
        <r>
          <rPr>
            <b/>
            <sz val="9"/>
            <rFont val="宋体"/>
            <charset val="134"/>
          </rPr>
          <t>Administrator:</t>
        </r>
        <r>
          <rPr>
            <sz val="9"/>
            <rFont val="宋体"/>
            <charset val="134"/>
          </rPr>
          <t xml:space="preserve">
0000740 4/16 378pcs 华兴三B7</t>
        </r>
      </text>
    </comment>
    <comment ref="AC24" authorId="0">
      <text>
        <r>
          <rPr>
            <b/>
            <sz val="12"/>
            <rFont val="宋体"/>
            <charset val="134"/>
          </rPr>
          <t>Administrator:</t>
        </r>
        <r>
          <rPr>
            <sz val="12"/>
            <rFont val="宋体"/>
            <charset val="134"/>
          </rPr>
          <t xml:space="preserve">
4/1 上UPC贴纸 378pcs</t>
        </r>
      </text>
    </comment>
    <comment ref="AA25" authorId="0">
      <text>
        <r>
          <rPr>
            <b/>
            <sz val="9"/>
            <rFont val="宋体"/>
            <charset val="134"/>
          </rPr>
          <t>Administrator:</t>
        </r>
        <r>
          <rPr>
            <sz val="9"/>
            <rFont val="宋体"/>
            <charset val="134"/>
          </rPr>
          <t xml:space="preserve">
0001538 4/21 513pcs/60套散件 A栋一楼C8区</t>
        </r>
      </text>
    </comment>
    <comment ref="AA26" authorId="0">
      <text>
        <r>
          <rPr>
            <b/>
            <sz val="9"/>
            <rFont val="宋体"/>
            <charset val="134"/>
          </rPr>
          <t>Administrator:</t>
        </r>
        <r>
          <rPr>
            <sz val="9"/>
            <rFont val="宋体"/>
            <charset val="134"/>
          </rPr>
          <t xml:space="preserve">
0001538 4/21 650pcs A栋一楼C8区</t>
        </r>
      </text>
    </comment>
    <comment ref="AA27" authorId="0">
      <text>
        <r>
          <rPr>
            <b/>
            <sz val="9"/>
            <rFont val="宋体"/>
            <charset val="134"/>
          </rPr>
          <t>Administrator:</t>
        </r>
        <r>
          <rPr>
            <sz val="9"/>
            <rFont val="宋体"/>
            <charset val="134"/>
          </rPr>
          <t xml:space="preserve">
0001538 4/21 1350pcs A栋一楼C8区</t>
        </r>
      </text>
    </comment>
    <comment ref="AA28" authorId="0">
      <text>
        <r>
          <rPr>
            <b/>
            <sz val="9"/>
            <rFont val="宋体"/>
            <charset val="134"/>
          </rPr>
          <t>Administrator:</t>
        </r>
        <r>
          <rPr>
            <sz val="9"/>
            <rFont val="宋体"/>
            <charset val="134"/>
          </rPr>
          <t xml:space="preserve">
0000742 4/15 208pcs 华兴三B13</t>
        </r>
      </text>
    </comment>
    <comment ref="AC28" authorId="0">
      <text>
        <r>
          <rPr>
            <b/>
            <sz val="9"/>
            <rFont val="宋体"/>
            <charset val="134"/>
          </rPr>
          <t>Administrator:</t>
        </r>
        <r>
          <rPr>
            <sz val="9"/>
            <rFont val="宋体"/>
            <charset val="134"/>
          </rPr>
          <t xml:space="preserve">
3/27 上进口商贴纸 208pcs</t>
        </r>
      </text>
    </comment>
    <comment ref="AA29" authorId="0">
      <text>
        <r>
          <rPr>
            <b/>
            <sz val="9"/>
            <rFont val="宋体"/>
            <charset val="134"/>
          </rPr>
          <t>Administrator:</t>
        </r>
        <r>
          <rPr>
            <sz val="9"/>
            <rFont val="宋体"/>
            <charset val="134"/>
          </rPr>
          <t xml:space="preserve">
0000725 4/18 780pcs 华兴三B4</t>
        </r>
      </text>
    </comment>
    <comment ref="AC29" authorId="0">
      <text>
        <r>
          <rPr>
            <b/>
            <sz val="9"/>
            <rFont val="宋体"/>
            <charset val="134"/>
          </rPr>
          <t>Administrator:</t>
        </r>
        <r>
          <rPr>
            <sz val="9"/>
            <rFont val="宋体"/>
            <charset val="134"/>
          </rPr>
          <t xml:space="preserve">
4/3 上警语贴纸 780pcs</t>
        </r>
      </text>
    </comment>
    <comment ref="AA30" authorId="0">
      <text>
        <r>
          <rPr>
            <b/>
            <sz val="9"/>
            <rFont val="宋体"/>
            <charset val="134"/>
          </rPr>
          <t>Administrator:</t>
        </r>
        <r>
          <rPr>
            <sz val="9"/>
            <rFont val="宋体"/>
            <charset val="134"/>
          </rPr>
          <t xml:space="preserve">
0000718 4/21 1152pcs  华兴三B4</t>
        </r>
      </text>
    </comment>
    <comment ref="AC30" authorId="0">
      <text>
        <r>
          <rPr>
            <b/>
            <sz val="12"/>
            <rFont val="宋体"/>
            <charset val="134"/>
          </rPr>
          <t>Administrator:</t>
        </r>
        <r>
          <rPr>
            <sz val="12"/>
            <rFont val="宋体"/>
            <charset val="134"/>
          </rPr>
          <t xml:space="preserve">
3/21 上客供RFID贴纸 1152pcs</t>
        </r>
      </text>
    </comment>
    <comment ref="AA31" authorId="0">
      <text>
        <r>
          <rPr>
            <b/>
            <sz val="9"/>
            <rFont val="宋体"/>
            <charset val="134"/>
          </rPr>
          <t>Administrator:</t>
        </r>
        <r>
          <rPr>
            <sz val="9"/>
            <rFont val="宋体"/>
            <charset val="134"/>
          </rPr>
          <t xml:space="preserve">
0000708 4/23 312pcs 华兴三B15</t>
        </r>
      </text>
    </comment>
    <comment ref="AC31" authorId="0">
      <text>
        <r>
          <rPr>
            <b/>
            <sz val="9"/>
            <rFont val="宋体"/>
            <charset val="134"/>
          </rPr>
          <t>Administrator:</t>
        </r>
        <r>
          <rPr>
            <sz val="9"/>
            <rFont val="宋体"/>
            <charset val="134"/>
          </rPr>
          <t xml:space="preserve">
4/3 上进口商贴纸 312pcs</t>
        </r>
      </text>
    </comment>
    <comment ref="AA32" authorId="0">
      <text>
        <r>
          <rPr>
            <b/>
            <sz val="9"/>
            <rFont val="宋体"/>
            <charset val="134"/>
          </rPr>
          <t>Administrator:</t>
        </r>
        <r>
          <rPr>
            <sz val="9"/>
            <rFont val="宋体"/>
            <charset val="134"/>
          </rPr>
          <t xml:space="preserve">
0000693 4/25 4023pcs 华兴三B17</t>
        </r>
      </text>
    </comment>
    <comment ref="AA33" authorId="0">
      <text>
        <r>
          <rPr>
            <b/>
            <sz val="9"/>
            <rFont val="宋体"/>
            <charset val="134"/>
          </rPr>
          <t>Administrator:</t>
        </r>
        <r>
          <rPr>
            <sz val="9"/>
            <rFont val="宋体"/>
            <charset val="134"/>
          </rPr>
          <t xml:space="preserve">
0000713 4/22 108pcs 华兴三B14</t>
        </r>
      </text>
    </comment>
    <comment ref="AC33" authorId="0">
      <text>
        <r>
          <rPr>
            <b/>
            <sz val="9"/>
            <rFont val="宋体"/>
            <charset val="134"/>
          </rPr>
          <t>Administrator:</t>
        </r>
        <r>
          <rPr>
            <sz val="9"/>
            <rFont val="宋体"/>
            <charset val="134"/>
          </rPr>
          <t xml:space="preserve">
4/10 上UPC贴纸 108pcs</t>
        </r>
      </text>
    </comment>
    <comment ref="AA34" authorId="0">
      <text>
        <r>
          <rPr>
            <b/>
            <sz val="9"/>
            <rFont val="宋体"/>
            <charset val="134"/>
          </rPr>
          <t>Administrator:</t>
        </r>
        <r>
          <rPr>
            <sz val="9"/>
            <rFont val="宋体"/>
            <charset val="134"/>
          </rPr>
          <t xml:space="preserve">
0000693 4/25 756pcs 华兴三B14</t>
        </r>
      </text>
    </comment>
    <comment ref="AC34" authorId="0">
      <text>
        <r>
          <rPr>
            <b/>
            <sz val="9"/>
            <rFont val="宋体"/>
            <charset val="134"/>
          </rPr>
          <t>Administrator:</t>
        </r>
        <r>
          <rPr>
            <sz val="9"/>
            <rFont val="宋体"/>
            <charset val="134"/>
          </rPr>
          <t xml:space="preserve">
4/3 上空白贴纸 1512pcs</t>
        </r>
      </text>
    </comment>
    <comment ref="AA35" authorId="0">
      <text>
        <r>
          <rPr>
            <b/>
            <sz val="9"/>
            <rFont val="宋体"/>
            <charset val="134"/>
          </rPr>
          <t>Administrator:</t>
        </r>
        <r>
          <rPr>
            <sz val="9"/>
            <rFont val="宋体"/>
            <charset val="134"/>
          </rPr>
          <t xml:space="preserve">
0000713 4/22 988pcs 华兴三B14</t>
        </r>
      </text>
    </comment>
    <comment ref="AA36" authorId="0">
      <text>
        <r>
          <rPr>
            <b/>
            <sz val="9"/>
            <rFont val="宋体"/>
            <charset val="134"/>
          </rPr>
          <t>Administrator:</t>
        </r>
        <r>
          <rPr>
            <sz val="9"/>
            <rFont val="宋体"/>
            <charset val="134"/>
          </rPr>
          <t xml:space="preserve">
2001127 5/10 2700pcs 已走货</t>
        </r>
      </text>
    </comment>
    <comment ref="AC36" authorId="0">
      <text>
        <r>
          <rPr>
            <b/>
            <sz val="9"/>
            <rFont val="宋体"/>
            <charset val="134"/>
          </rPr>
          <t>Administrator:</t>
        </r>
        <r>
          <rPr>
            <sz val="9"/>
            <rFont val="宋体"/>
            <charset val="134"/>
          </rPr>
          <t xml:space="preserve">
4/21 上进口商贴纸 2700pcs
     上UPC贴纸 2700pcs</t>
        </r>
      </text>
    </comment>
    <comment ref="AA37" authorId="0">
      <text>
        <r>
          <rPr>
            <b/>
            <sz val="9"/>
            <rFont val="宋体"/>
            <charset val="134"/>
          </rPr>
          <t>Administrator:</t>
        </r>
        <r>
          <rPr>
            <sz val="9"/>
            <rFont val="宋体"/>
            <charset val="134"/>
          </rPr>
          <t xml:space="preserve">
0001734 5/3 3315pcs 华兴三A32</t>
        </r>
      </text>
    </comment>
    <comment ref="AC37" authorId="0">
      <text>
        <r>
          <rPr>
            <b/>
            <sz val="9"/>
            <rFont val="宋体"/>
            <charset val="134"/>
          </rPr>
          <t>Administrator:</t>
        </r>
        <r>
          <rPr>
            <sz val="9"/>
            <rFont val="宋体"/>
            <charset val="134"/>
          </rPr>
          <t xml:space="preserve">
4/17 北欧五语通用Slime黑白说明书 3315pcs
5/6 收到多语警告语贴纸 3350pcs-车间加返工</t>
        </r>
      </text>
    </comment>
    <comment ref="AA38" authorId="0">
      <text>
        <r>
          <rPr>
            <b/>
            <sz val="9"/>
            <rFont val="宋体"/>
            <charset val="134"/>
          </rPr>
          <t>Administrator:</t>
        </r>
        <r>
          <rPr>
            <sz val="9"/>
            <rFont val="宋体"/>
            <charset val="134"/>
          </rPr>
          <t xml:space="preserve">
0001725 5/6 1456pcs 华兴三B14</t>
        </r>
      </text>
    </comment>
    <comment ref="AA39" authorId="0">
      <text>
        <r>
          <rPr>
            <b/>
            <sz val="9"/>
            <rFont val="宋体"/>
            <charset val="134"/>
          </rPr>
          <t>Administrator:</t>
        </r>
        <r>
          <rPr>
            <sz val="9"/>
            <rFont val="宋体"/>
            <charset val="134"/>
          </rPr>
          <t xml:space="preserve">
2001083 5/8 1152pcs 莫海军B栋4楼</t>
        </r>
      </text>
    </comment>
    <comment ref="AC39" authorId="0">
      <text>
        <r>
          <rPr>
            <b/>
            <sz val="9"/>
            <rFont val="宋体"/>
            <charset val="134"/>
          </rPr>
          <t>Administrator:</t>
        </r>
        <r>
          <rPr>
            <sz val="9"/>
            <rFont val="宋体"/>
            <charset val="134"/>
          </rPr>
          <t xml:space="preserve">
4/15 上客供RFID贴纸 1152pcs</t>
        </r>
      </text>
    </comment>
    <comment ref="AA40" authorId="0">
      <text>
        <r>
          <rPr>
            <b/>
            <sz val="9"/>
            <rFont val="宋体"/>
            <charset val="134"/>
          </rPr>
          <t>Administrator:</t>
        </r>
        <r>
          <rPr>
            <sz val="9"/>
            <rFont val="宋体"/>
            <charset val="134"/>
          </rPr>
          <t xml:space="preserve">
2001083 5/8 1152pcs 莫海军B栋4楼</t>
        </r>
      </text>
    </comment>
    <comment ref="AC40" authorId="0">
      <text>
        <r>
          <rPr>
            <b/>
            <sz val="9"/>
            <rFont val="宋体"/>
            <charset val="134"/>
          </rPr>
          <t>Administrator:</t>
        </r>
        <r>
          <rPr>
            <sz val="9"/>
            <rFont val="宋体"/>
            <charset val="134"/>
          </rPr>
          <t xml:space="preserve">
4/15 上客供RFID贴纸 1152pcs</t>
        </r>
      </text>
    </comment>
    <comment ref="AA41" authorId="0">
      <text>
        <r>
          <rPr>
            <b/>
            <sz val="9"/>
            <rFont val="宋体"/>
            <charset val="134"/>
          </rPr>
          <t>Administrator:</t>
        </r>
        <r>
          <rPr>
            <sz val="9"/>
            <rFont val="宋体"/>
            <charset val="134"/>
          </rPr>
          <t xml:space="preserve">
2001083 5/8 1152pcs 莫海军B栋4楼</t>
        </r>
      </text>
    </comment>
    <comment ref="AC41" authorId="0">
      <text>
        <r>
          <rPr>
            <b/>
            <sz val="9"/>
            <rFont val="宋体"/>
            <charset val="134"/>
          </rPr>
          <t>Administrator:</t>
        </r>
        <r>
          <rPr>
            <sz val="9"/>
            <rFont val="宋体"/>
            <charset val="134"/>
          </rPr>
          <t xml:space="preserve">
4/15 上客供RFID贴纸 1152pcs</t>
        </r>
      </text>
    </comment>
    <comment ref="AA42" authorId="0">
      <text>
        <r>
          <rPr>
            <b/>
            <sz val="9"/>
            <rFont val="宋体"/>
            <charset val="134"/>
          </rPr>
          <t>Administrator:</t>
        </r>
        <r>
          <rPr>
            <sz val="9"/>
            <rFont val="宋体"/>
            <charset val="134"/>
          </rPr>
          <t xml:space="preserve">
2001089 5/9 5064pcs 华兴三A12</t>
        </r>
      </text>
    </comment>
    <comment ref="AC42" authorId="0">
      <text>
        <r>
          <rPr>
            <b/>
            <sz val="9"/>
            <rFont val="宋体"/>
            <charset val="134"/>
          </rPr>
          <t>Administrator:</t>
        </r>
        <r>
          <rPr>
            <sz val="9"/>
            <rFont val="宋体"/>
            <charset val="134"/>
          </rPr>
          <t xml:space="preserve">
4/14 上粉色艾利贴纸 1464pcs
4/14 上客供RFID贴纸 5064pcs</t>
        </r>
      </text>
    </comment>
    <comment ref="AA43" authorId="0">
      <text>
        <r>
          <rPr>
            <b/>
            <sz val="9"/>
            <rFont val="宋体"/>
            <charset val="134"/>
          </rPr>
          <t>Administrator:</t>
        </r>
        <r>
          <rPr>
            <sz val="9"/>
            <rFont val="宋体"/>
            <charset val="134"/>
          </rPr>
          <t xml:space="preserve">
2001089 5/9 6684pcs 华兴三A12</t>
        </r>
      </text>
    </comment>
    <comment ref="AC43" authorId="0">
      <text>
        <r>
          <rPr>
            <b/>
            <sz val="9"/>
            <rFont val="宋体"/>
            <charset val="134"/>
          </rPr>
          <t>Administrator:</t>
        </r>
        <r>
          <rPr>
            <sz val="9"/>
            <rFont val="宋体"/>
            <charset val="134"/>
          </rPr>
          <t xml:space="preserve">
4/15 上客供RFID贴纸 6684pcs</t>
        </r>
      </text>
    </comment>
    <comment ref="AA44" authorId="0">
      <text>
        <r>
          <rPr>
            <b/>
            <sz val="9"/>
            <rFont val="宋体"/>
            <charset val="134"/>
          </rPr>
          <t>Administrator:</t>
        </r>
        <r>
          <rPr>
            <sz val="9"/>
            <rFont val="宋体"/>
            <charset val="134"/>
          </rPr>
          <t xml:space="preserve">
2001089 5/9 5820pcs 华兴三A12</t>
        </r>
      </text>
    </comment>
    <comment ref="AC44" authorId="0">
      <text>
        <r>
          <rPr>
            <b/>
            <sz val="9"/>
            <rFont val="宋体"/>
            <charset val="134"/>
          </rPr>
          <t>Administrator:</t>
        </r>
        <r>
          <rPr>
            <sz val="9"/>
            <rFont val="宋体"/>
            <charset val="134"/>
          </rPr>
          <t xml:space="preserve">
4/15 上客供RFID贴纸 5820pcs</t>
        </r>
      </text>
    </comment>
    <comment ref="AA45" authorId="0">
      <text>
        <r>
          <rPr>
            <b/>
            <sz val="9"/>
            <rFont val="宋体"/>
            <charset val="134"/>
          </rPr>
          <t>Administrator:</t>
        </r>
        <r>
          <rPr>
            <sz val="9"/>
            <rFont val="宋体"/>
            <charset val="134"/>
          </rPr>
          <t xml:space="preserve">
2001230 5/15 10491pcs 华兴三B7
2000962 5/16   39pcs  华兴三B7</t>
        </r>
      </text>
    </comment>
    <comment ref="AC45" authorId="0">
      <text>
        <r>
          <rPr>
            <b/>
            <sz val="9"/>
            <rFont val="宋体"/>
            <charset val="134"/>
          </rPr>
          <t>Administrator:</t>
        </r>
        <r>
          <rPr>
            <sz val="9"/>
            <rFont val="宋体"/>
            <charset val="134"/>
          </rPr>
          <t xml:space="preserve">
4/16 上客供外箱条码贴纸 818pcs</t>
        </r>
      </text>
    </comment>
    <comment ref="AA46" authorId="0">
      <text>
        <r>
          <rPr>
            <b/>
            <sz val="12"/>
            <rFont val="宋体"/>
            <charset val="134"/>
          </rPr>
          <t>Administrator:</t>
        </r>
        <r>
          <rPr>
            <sz val="12"/>
            <rFont val="宋体"/>
            <charset val="134"/>
          </rPr>
          <t xml:space="preserve">
2000962 5/16 1152pcs 兴信</t>
        </r>
      </text>
    </comment>
    <comment ref="AC46" authorId="0">
      <text>
        <r>
          <rPr>
            <b/>
            <sz val="9"/>
            <rFont val="宋体"/>
            <charset val="134"/>
          </rPr>
          <t>Administrator:</t>
        </r>
        <r>
          <rPr>
            <sz val="9"/>
            <rFont val="宋体"/>
            <charset val="134"/>
          </rPr>
          <t xml:space="preserve">
4/15 上客供RFID贴纸 1152pcs</t>
        </r>
      </text>
    </comment>
    <comment ref="AA47" authorId="0">
      <text>
        <r>
          <rPr>
            <b/>
            <sz val="12"/>
            <rFont val="宋体"/>
            <charset val="134"/>
          </rPr>
          <t>Administrator:</t>
        </r>
        <r>
          <rPr>
            <sz val="12"/>
            <rFont val="宋体"/>
            <charset val="134"/>
          </rPr>
          <t xml:space="preserve">
2001019 5/20 12792pcs 车间混装送外厂
2000882 5/21  48pcs   车间混装送外厂</t>
        </r>
      </text>
    </comment>
    <comment ref="AA48" authorId="0">
      <text>
        <r>
          <rPr>
            <b/>
            <sz val="12"/>
            <rFont val="宋体"/>
            <charset val="134"/>
          </rPr>
          <t>Administrator:</t>
        </r>
        <r>
          <rPr>
            <sz val="12"/>
            <rFont val="宋体"/>
            <charset val="134"/>
          </rPr>
          <t xml:space="preserve">
2001005 5/19 1152pcs 华兴三B5</t>
        </r>
      </text>
    </comment>
    <comment ref="AC48" authorId="0">
      <text>
        <r>
          <rPr>
            <b/>
            <sz val="9"/>
            <rFont val="宋体"/>
            <charset val="134"/>
          </rPr>
          <t>Administrator:</t>
        </r>
        <r>
          <rPr>
            <sz val="9"/>
            <rFont val="宋体"/>
            <charset val="134"/>
          </rPr>
          <t xml:space="preserve">
4/15 上客供RFID贴纸 1152pcs</t>
        </r>
      </text>
    </comment>
    <comment ref="AA49" authorId="0">
      <text>
        <r>
          <rPr>
            <b/>
            <sz val="12"/>
            <rFont val="宋体"/>
            <charset val="134"/>
          </rPr>
          <t>Administrator:</t>
        </r>
        <r>
          <rPr>
            <sz val="12"/>
            <rFont val="宋体"/>
            <charset val="134"/>
          </rPr>
          <t xml:space="preserve">
2001005 5/19 1140pcs 华兴三B5
2000882 5/21   12pcs 华兴三B5</t>
        </r>
      </text>
    </comment>
    <comment ref="AC49" authorId="0">
      <text>
        <r>
          <rPr>
            <b/>
            <sz val="9"/>
            <rFont val="宋体"/>
            <charset val="134"/>
          </rPr>
          <t>Administrator:</t>
        </r>
        <r>
          <rPr>
            <sz val="9"/>
            <rFont val="宋体"/>
            <charset val="134"/>
          </rPr>
          <t xml:space="preserve">
4/15 上客供RFID贴纸 1152pcs</t>
        </r>
      </text>
    </comment>
    <comment ref="AA50" authorId="0">
      <text>
        <r>
          <rPr>
            <b/>
            <sz val="12"/>
            <rFont val="宋体"/>
            <charset val="134"/>
          </rPr>
          <t>Administrator:</t>
        </r>
        <r>
          <rPr>
            <sz val="12"/>
            <rFont val="宋体"/>
            <charset val="134"/>
          </rPr>
          <t xml:space="preserve">
2001005 5/19 1152pcs 华兴三B5</t>
        </r>
      </text>
    </comment>
    <comment ref="AC50" authorId="0">
      <text>
        <r>
          <rPr>
            <b/>
            <sz val="9"/>
            <rFont val="宋体"/>
            <charset val="134"/>
          </rPr>
          <t>Administrator:</t>
        </r>
        <r>
          <rPr>
            <sz val="9"/>
            <rFont val="宋体"/>
            <charset val="134"/>
          </rPr>
          <t xml:space="preserve">
4/15 上客供RFID贴纸 1152pcs</t>
        </r>
      </text>
    </comment>
    <comment ref="AA51" authorId="0">
      <text>
        <r>
          <rPr>
            <b/>
            <sz val="12"/>
            <rFont val="宋体"/>
            <charset val="134"/>
          </rPr>
          <t>Administrator:</t>
        </r>
        <r>
          <rPr>
            <sz val="12"/>
            <rFont val="宋体"/>
            <charset val="134"/>
          </rPr>
          <t xml:space="preserve">
2000875 5/20 1128pcs 华兴三B5
2000882 5/21  24pcs  华兴三B5</t>
        </r>
      </text>
    </comment>
    <comment ref="AC51" authorId="0">
      <text>
        <r>
          <rPr>
            <b/>
            <sz val="9"/>
            <rFont val="宋体"/>
            <charset val="134"/>
          </rPr>
          <t>Administrator:</t>
        </r>
        <r>
          <rPr>
            <sz val="9"/>
            <rFont val="宋体"/>
            <charset val="134"/>
          </rPr>
          <t xml:space="preserve">
4/15 上客供RFID贴纸 1152pcs</t>
        </r>
      </text>
    </comment>
    <comment ref="AA52" authorId="0">
      <text>
        <r>
          <rPr>
            <b/>
            <sz val="12"/>
            <rFont val="宋体"/>
            <charset val="134"/>
          </rPr>
          <t>Administrator:</t>
        </r>
        <r>
          <rPr>
            <sz val="12"/>
            <rFont val="宋体"/>
            <charset val="134"/>
          </rPr>
          <t xml:space="preserve">
2001005 5/19 1152pcs 华兴三B5</t>
        </r>
      </text>
    </comment>
    <comment ref="AC52" authorId="0">
      <text>
        <r>
          <rPr>
            <b/>
            <sz val="9"/>
            <rFont val="宋体"/>
            <charset val="134"/>
          </rPr>
          <t>Administrator:</t>
        </r>
        <r>
          <rPr>
            <sz val="9"/>
            <rFont val="宋体"/>
            <charset val="134"/>
          </rPr>
          <t xml:space="preserve">
4/15 上客供RFID贴纸 1152pcs</t>
        </r>
      </text>
    </comment>
    <comment ref="AA53" authorId="0">
      <text>
        <r>
          <rPr>
            <b/>
            <sz val="12"/>
            <rFont val="宋体"/>
            <charset val="134"/>
          </rPr>
          <t>Administrator:</t>
        </r>
        <r>
          <rPr>
            <sz val="12"/>
            <rFont val="宋体"/>
            <charset val="134"/>
          </rPr>
          <t xml:space="preserve">
2000875 5/20 8928pcs 华兴三A8
2000898 5/22 180pcs  华兴三A8</t>
        </r>
      </text>
    </comment>
    <comment ref="AC53" authorId="0">
      <text>
        <r>
          <rPr>
            <b/>
            <sz val="9"/>
            <rFont val="宋体"/>
            <charset val="134"/>
          </rPr>
          <t>Administrator:</t>
        </r>
        <r>
          <rPr>
            <sz val="9"/>
            <rFont val="宋体"/>
            <charset val="134"/>
          </rPr>
          <t xml:space="preserve">
4/15 上客供RFID贴纸 9108pcs
4/25 上粉色艾利贴纸 2437pcs
162370/162371共用</t>
        </r>
      </text>
    </comment>
    <comment ref="AA54" authorId="0">
      <text>
        <r>
          <rPr>
            <b/>
            <sz val="12"/>
            <rFont val="宋体"/>
            <charset val="134"/>
          </rPr>
          <t>Administrator:</t>
        </r>
        <r>
          <rPr>
            <sz val="12"/>
            <rFont val="宋体"/>
            <charset val="134"/>
          </rPr>
          <t xml:space="preserve">
2000875 5/20 7752pcs 华兴三A9
2000898 5/22 108pcs  华兴三A9</t>
        </r>
      </text>
    </comment>
    <comment ref="AC54" authorId="0">
      <text>
        <r>
          <rPr>
            <b/>
            <sz val="9"/>
            <rFont val="宋体"/>
            <charset val="134"/>
          </rPr>
          <t>Administrator:</t>
        </r>
        <r>
          <rPr>
            <sz val="9"/>
            <rFont val="宋体"/>
            <charset val="134"/>
          </rPr>
          <t xml:space="preserve">
4/15 上客供RFID贴纸 7860pcs
4/25 上粉色艾利贴纸 2437pcs
162370/162371共用
</t>
        </r>
      </text>
    </comment>
    <comment ref="AA55" authorId="0">
      <text>
        <r>
          <rPr>
            <b/>
            <sz val="9"/>
            <rFont val="宋体"/>
            <charset val="134"/>
          </rPr>
          <t>Administrator:</t>
        </r>
        <r>
          <rPr>
            <sz val="9"/>
            <rFont val="宋体"/>
            <charset val="134"/>
          </rPr>
          <t xml:space="preserve">
2001001 5/21 1547pcs 华兴三B13
2000885 5/22 169pcs  华兴三B13</t>
        </r>
      </text>
    </comment>
    <comment ref="AC55" authorId="0">
      <text>
        <r>
          <rPr>
            <b/>
            <sz val="9"/>
            <rFont val="宋体"/>
            <charset val="134"/>
          </rPr>
          <t>Administrator:</t>
        </r>
        <r>
          <rPr>
            <sz val="9"/>
            <rFont val="宋体"/>
            <charset val="134"/>
          </rPr>
          <t xml:space="preserve">
4/30 上UPC贴纸 1716pcs</t>
        </r>
      </text>
    </comment>
    <comment ref="AA56" authorId="0">
      <text>
        <r>
          <rPr>
            <b/>
            <sz val="9"/>
            <rFont val="宋体"/>
            <charset val="134"/>
          </rPr>
          <t>Administrator:</t>
        </r>
        <r>
          <rPr>
            <sz val="9"/>
            <rFont val="宋体"/>
            <charset val="134"/>
          </rPr>
          <t xml:space="preserve">
2000784 5/24 600pcs</t>
        </r>
      </text>
    </comment>
    <comment ref="AC56" authorId="0">
      <text>
        <r>
          <rPr>
            <b/>
            <sz val="9"/>
            <rFont val="宋体"/>
            <charset val="134"/>
          </rPr>
          <t>Administrator:</t>
        </r>
        <r>
          <rPr>
            <sz val="9"/>
            <rFont val="宋体"/>
            <charset val="134"/>
          </rPr>
          <t xml:space="preserve">
5/7 上亚马逊外箱贴纸 50pcs
5/23 上空白贴纸 3696pcs
158581/164250/164939共用</t>
        </r>
      </text>
    </comment>
    <comment ref="AA57" authorId="0">
      <text>
        <r>
          <rPr>
            <b/>
            <sz val="9"/>
            <rFont val="宋体"/>
            <charset val="134"/>
          </rPr>
          <t>Administrator:</t>
        </r>
        <r>
          <rPr>
            <sz val="9"/>
            <rFont val="宋体"/>
            <charset val="134"/>
          </rPr>
          <t xml:space="preserve">
2000651 5/27  108pcs 华兴三B16
2000684 5/27 2052pcs 华兴三B16</t>
        </r>
      </text>
    </comment>
    <comment ref="AA58" authorId="0">
      <text>
        <r>
          <rPr>
            <b/>
            <sz val="9"/>
            <rFont val="宋体"/>
            <charset val="134"/>
          </rPr>
          <t>Administrator:</t>
        </r>
        <r>
          <rPr>
            <sz val="9"/>
            <rFont val="宋体"/>
            <charset val="134"/>
          </rPr>
          <t xml:space="preserve">
2001241 5/28 1040pcs 华兴三B14</t>
        </r>
      </text>
    </comment>
    <comment ref="AC58" authorId="0">
      <text>
        <r>
          <rPr>
            <b/>
            <sz val="9"/>
            <rFont val="宋体"/>
            <charset val="134"/>
          </rPr>
          <t>Administrator:</t>
        </r>
        <r>
          <rPr>
            <sz val="9"/>
            <rFont val="宋体"/>
            <charset val="134"/>
          </rPr>
          <t xml:space="preserve">
5/6 上进口商贴纸 1040pcs</t>
        </r>
      </text>
    </comment>
    <comment ref="AA59" authorId="0">
      <text>
        <r>
          <rPr>
            <b/>
            <sz val="9"/>
            <rFont val="宋体"/>
            <charset val="134"/>
          </rPr>
          <t>Administrator:</t>
        </r>
        <r>
          <rPr>
            <sz val="9"/>
            <rFont val="宋体"/>
            <charset val="134"/>
          </rPr>
          <t xml:space="preserve">
2000680 5/26 21216pcs 华兴一A1</t>
        </r>
      </text>
    </comment>
    <comment ref="AA60" authorId="0">
      <text>
        <r>
          <rPr>
            <b/>
            <sz val="9"/>
            <rFont val="宋体"/>
            <charset val="134"/>
          </rPr>
          <t>Administrator:</t>
        </r>
        <r>
          <rPr>
            <sz val="9"/>
            <rFont val="宋体"/>
            <charset val="134"/>
          </rPr>
          <t xml:space="preserve">
2000651 5/27   33pcs 已走货
2000684 5/27 4917pcs 已走货</t>
        </r>
      </text>
    </comment>
    <comment ref="AA61" authorId="0">
      <text>
        <r>
          <rPr>
            <b/>
            <sz val="9"/>
            <rFont val="宋体"/>
            <charset val="134"/>
          </rPr>
          <t>Administrator:</t>
        </r>
        <r>
          <rPr>
            <sz val="9"/>
            <rFont val="宋体"/>
            <charset val="134"/>
          </rPr>
          <t xml:space="preserve">
2002450 6/2 162pcs 华兴三A27</t>
        </r>
      </text>
    </comment>
    <comment ref="AC61" authorId="0">
      <text>
        <r>
          <rPr>
            <b/>
            <sz val="9"/>
            <rFont val="宋体"/>
            <charset val="134"/>
          </rPr>
          <t>Administrator:</t>
        </r>
        <r>
          <rPr>
            <sz val="9"/>
            <rFont val="宋体"/>
            <charset val="134"/>
          </rPr>
          <t xml:space="preserve">
4/21 上北欧五语通用Slime黑白说明书 162pcs
4/25 上瑞典芬兰警告语贴纸 162pcs</t>
        </r>
      </text>
    </comment>
    <comment ref="AA62" authorId="0">
      <text>
        <r>
          <rPr>
            <b/>
            <sz val="9"/>
            <rFont val="宋体"/>
            <charset val="134"/>
          </rPr>
          <t>Administrator:</t>
        </r>
        <r>
          <rPr>
            <sz val="9"/>
            <rFont val="宋体"/>
            <charset val="134"/>
          </rPr>
          <t xml:space="preserve">
2000678 5/26 1140pcs 莫海军B4楼B9区
2000651 5/27  12pcs  莫海军B4楼B9区</t>
        </r>
      </text>
    </comment>
    <comment ref="AC62" authorId="0">
      <text>
        <r>
          <rPr>
            <b/>
            <sz val="9"/>
            <rFont val="宋体"/>
            <charset val="134"/>
          </rPr>
          <t>Administrator:</t>
        </r>
        <r>
          <rPr>
            <sz val="9"/>
            <rFont val="宋体"/>
            <charset val="134"/>
          </rPr>
          <t xml:space="preserve">
4/15 上客供RFID贴纸 1152pcs</t>
        </r>
      </text>
    </comment>
    <comment ref="AA63" authorId="0">
      <text>
        <r>
          <rPr>
            <b/>
            <sz val="9"/>
            <rFont val="宋体"/>
            <charset val="134"/>
          </rPr>
          <t>Administrator:</t>
        </r>
        <r>
          <rPr>
            <sz val="9"/>
            <rFont val="宋体"/>
            <charset val="134"/>
          </rPr>
          <t xml:space="preserve">
2000678 5/26 6276pcs 莫海军B4楼A3区</t>
        </r>
      </text>
    </comment>
    <comment ref="AC63" authorId="0">
      <text>
        <r>
          <rPr>
            <b/>
            <sz val="9"/>
            <rFont val="宋体"/>
            <charset val="134"/>
          </rPr>
          <t>Administrator:</t>
        </r>
        <r>
          <rPr>
            <sz val="9"/>
            <rFont val="宋体"/>
            <charset val="134"/>
          </rPr>
          <t xml:space="preserve">
4/15 上客供RFID贴纸 6276pcs
4/25 上粉色艾利贴纸 2437pcs
162370/162371共用
</t>
        </r>
      </text>
    </comment>
    <comment ref="AA64" authorId="0">
      <text>
        <r>
          <rPr>
            <b/>
            <sz val="9"/>
            <rFont val="宋体"/>
            <charset val="134"/>
          </rPr>
          <t>Administrator:</t>
        </r>
        <r>
          <rPr>
            <sz val="9"/>
            <rFont val="宋体"/>
            <charset val="134"/>
          </rPr>
          <t xml:space="preserve">
2000678 5/26 5976pcs 莫海军B4楼A3区
2000651 5/27  24pcs  莫海军B4楼A3区</t>
        </r>
      </text>
    </comment>
    <comment ref="AC64" authorId="0">
      <text>
        <r>
          <rPr>
            <b/>
            <sz val="9"/>
            <rFont val="宋体"/>
            <charset val="134"/>
          </rPr>
          <t>Administrator:</t>
        </r>
        <r>
          <rPr>
            <sz val="9"/>
            <rFont val="宋体"/>
            <charset val="134"/>
          </rPr>
          <t xml:space="preserve">
4/15 上客供RFID贴纸 6000pcs
4/25 上粉色艾利贴纸 2437pcs
162370/162371共用
</t>
        </r>
      </text>
    </comment>
    <comment ref="AA65" authorId="0">
      <text>
        <r>
          <rPr>
            <b/>
            <sz val="9"/>
            <rFont val="宋体"/>
            <charset val="134"/>
          </rPr>
          <t>Administrator:</t>
        </r>
        <r>
          <rPr>
            <sz val="9"/>
            <rFont val="宋体"/>
            <charset val="134"/>
          </rPr>
          <t xml:space="preserve">
2000680 5/26 2548pcs 华兴三B15
2000651 5/27  39pcs  华兴三B15
2002388  6/5  13pcs</t>
        </r>
      </text>
    </comment>
    <comment ref="AC65" authorId="0">
      <text>
        <r>
          <rPr>
            <b/>
            <sz val="9"/>
            <rFont val="宋体"/>
            <charset val="134"/>
          </rPr>
          <t>Administrator:</t>
        </r>
        <r>
          <rPr>
            <sz val="9"/>
            <rFont val="宋体"/>
            <charset val="134"/>
          </rPr>
          <t xml:space="preserve">
5/9 上挪威语警语贴纸 2600pcs</t>
        </r>
      </text>
    </comment>
    <comment ref="AA66" authorId="0">
      <text>
        <r>
          <rPr>
            <b/>
            <sz val="9"/>
            <rFont val="宋体"/>
            <charset val="134"/>
          </rPr>
          <t>Administrator:</t>
        </r>
        <r>
          <rPr>
            <sz val="9"/>
            <rFont val="宋体"/>
            <charset val="134"/>
          </rPr>
          <t xml:space="preserve">
2002439 6/2 3510pcs 已走货</t>
        </r>
      </text>
    </comment>
    <comment ref="AC66" authorId="0">
      <text>
        <r>
          <rPr>
            <b/>
            <sz val="9"/>
            <rFont val="宋体"/>
            <charset val="134"/>
          </rPr>
          <t>Administrator:</t>
        </r>
        <r>
          <rPr>
            <sz val="9"/>
            <rFont val="宋体"/>
            <charset val="134"/>
          </rPr>
          <t xml:space="preserve">
4/28 上丹麦瑞典挪威芬兰语警告语贴纸 3510pcs
     上北欧五语通用Slime黑白说明书 3510pcs</t>
        </r>
      </text>
    </comment>
    <comment ref="AA67" authorId="0">
      <text>
        <r>
          <rPr>
            <b/>
            <sz val="9"/>
            <rFont val="宋体"/>
            <charset val="134"/>
          </rPr>
          <t>Administrator:</t>
        </r>
        <r>
          <rPr>
            <sz val="9"/>
            <rFont val="宋体"/>
            <charset val="134"/>
          </rPr>
          <t xml:space="preserve">
2000680 5/26 540pcs 华兴三B10</t>
        </r>
      </text>
    </comment>
    <comment ref="AA68" authorId="0">
      <text>
        <r>
          <rPr>
            <b/>
            <sz val="9"/>
            <rFont val="宋体"/>
            <charset val="134"/>
          </rPr>
          <t>Administrator:</t>
        </r>
        <r>
          <rPr>
            <sz val="9"/>
            <rFont val="宋体"/>
            <charset val="134"/>
          </rPr>
          <t xml:space="preserve">
2000658 5/27 1458pcs 已走货</t>
        </r>
      </text>
    </comment>
    <comment ref="AC68" authorId="0">
      <text>
        <r>
          <rPr>
            <b/>
            <sz val="12"/>
            <rFont val="宋体"/>
            <charset val="134"/>
          </rPr>
          <t>Administrator:</t>
        </r>
        <r>
          <rPr>
            <sz val="12"/>
            <rFont val="宋体"/>
            <charset val="134"/>
          </rPr>
          <t xml:space="preserve">
5/6 上多语警告语贴纸 1460pcs</t>
        </r>
      </text>
    </comment>
    <comment ref="AA69" authorId="0">
      <text>
        <r>
          <rPr>
            <b/>
            <sz val="9"/>
            <rFont val="宋体"/>
            <charset val="134"/>
          </rPr>
          <t>Administrator:</t>
        </r>
        <r>
          <rPr>
            <sz val="9"/>
            <rFont val="宋体"/>
            <charset val="134"/>
          </rPr>
          <t xml:space="preserve">
2002439 6/2 729pcs 华兴三A14</t>
        </r>
      </text>
    </comment>
    <comment ref="AC69" authorId="0">
      <text>
        <r>
          <rPr>
            <b/>
            <sz val="9"/>
            <rFont val="宋体"/>
            <charset val="134"/>
          </rPr>
          <t>Administrator:</t>
        </r>
        <r>
          <rPr>
            <sz val="9"/>
            <rFont val="宋体"/>
            <charset val="134"/>
          </rPr>
          <t xml:space="preserve">
5/16 上警告语/进口商贴纸 462pcs
     上北欧五语通用Slime黑白说明书 1191pcs</t>
        </r>
      </text>
    </comment>
    <comment ref="AA70" authorId="0">
      <text>
        <r>
          <rPr>
            <b/>
            <sz val="9"/>
            <rFont val="宋体"/>
            <charset val="134"/>
          </rPr>
          <t>Administrator:</t>
        </r>
        <r>
          <rPr>
            <sz val="9"/>
            <rFont val="宋体"/>
            <charset val="134"/>
          </rPr>
          <t xml:space="preserve">
2002439 6/2 462pcs 华兴三A16</t>
        </r>
      </text>
    </comment>
    <comment ref="AC70" authorId="0">
      <text>
        <r>
          <rPr>
            <b/>
            <sz val="9"/>
            <rFont val="宋体"/>
            <charset val="134"/>
          </rPr>
          <t>Administrator:</t>
        </r>
        <r>
          <rPr>
            <sz val="9"/>
            <rFont val="宋体"/>
            <charset val="134"/>
          </rPr>
          <t xml:space="preserve">
5/16 上警告语/进口商贴纸 462pcs
     上北欧五语通用Slime黑白说明书 1191pcs</t>
        </r>
      </text>
    </comment>
    <comment ref="AA71" authorId="0">
      <text>
        <r>
          <rPr>
            <b/>
            <sz val="9"/>
            <rFont val="宋体"/>
            <charset val="134"/>
          </rPr>
          <t>Administrator:</t>
        </r>
        <r>
          <rPr>
            <sz val="9"/>
            <rFont val="宋体"/>
            <charset val="134"/>
          </rPr>
          <t xml:space="preserve">
消耗PP订单 6/4
</t>
        </r>
      </text>
    </comment>
    <comment ref="AC71" authorId="0">
      <text>
        <r>
          <rPr>
            <b/>
            <sz val="11"/>
            <rFont val="宋体"/>
            <charset val="134"/>
          </rPr>
          <t>Administrator:</t>
        </r>
        <r>
          <rPr>
            <sz val="11"/>
            <rFont val="宋体"/>
            <charset val="134"/>
          </rPr>
          <t xml:space="preserve">
2/21 收到UPC贴纸 130pcs
5/29 收到UPC贴纸 156pcs</t>
        </r>
      </text>
    </comment>
    <comment ref="AA72" authorId="0">
      <text>
        <r>
          <rPr>
            <b/>
            <sz val="9"/>
            <rFont val="宋体"/>
            <charset val="134"/>
          </rPr>
          <t>Administrator:</t>
        </r>
        <r>
          <rPr>
            <sz val="9"/>
            <rFont val="宋体"/>
            <charset val="134"/>
          </rPr>
          <t xml:space="preserve">
2002361 6/6 744pcs 莫海军B4楼C4区</t>
        </r>
      </text>
    </comment>
    <comment ref="AC72" authorId="0">
      <text>
        <r>
          <rPr>
            <b/>
            <sz val="9"/>
            <rFont val="宋体"/>
            <charset val="134"/>
          </rPr>
          <t>Administrator:</t>
        </r>
        <r>
          <rPr>
            <sz val="9"/>
            <rFont val="宋体"/>
            <charset val="134"/>
          </rPr>
          <t xml:space="preserve">
5/12 上EAN贴纸 744pcs
     上警告语贴纸 744pcs
5/23 上空白贴纸 3696pcs
158581/164250/164939共用
</t>
        </r>
      </text>
    </comment>
    <comment ref="AA73" authorId="0">
      <text>
        <r>
          <rPr>
            <b/>
            <sz val="9"/>
            <rFont val="宋体"/>
            <charset val="134"/>
          </rPr>
          <t>Administrator:</t>
        </r>
        <r>
          <rPr>
            <sz val="9"/>
            <rFont val="宋体"/>
            <charset val="134"/>
          </rPr>
          <t xml:space="preserve">
2002344 6/6 2754pcs 新仓库一A4
</t>
        </r>
      </text>
    </comment>
    <comment ref="AC73" authorId="0">
      <text>
        <r>
          <rPr>
            <b/>
            <sz val="12"/>
            <rFont val="宋体"/>
            <charset val="134"/>
          </rPr>
          <t>Administrator:</t>
        </r>
        <r>
          <rPr>
            <sz val="12"/>
            <rFont val="宋体"/>
            <charset val="134"/>
          </rPr>
          <t xml:space="preserve">
5/8 上警语贴纸 2754pcs
    上PDQ GTIN贴纸 102pcs
    上产品图片贴纸 204pcs</t>
        </r>
      </text>
    </comment>
    <comment ref="AA74" authorId="0">
      <text>
        <r>
          <rPr>
            <b/>
            <sz val="9"/>
            <rFont val="宋体"/>
            <charset val="134"/>
          </rPr>
          <t>Administrator:</t>
        </r>
        <r>
          <rPr>
            <sz val="9"/>
            <rFont val="宋体"/>
            <charset val="134"/>
          </rPr>
          <t xml:space="preserve">
2002374 6/5 2314pcs 新仓库一B10</t>
        </r>
      </text>
    </comment>
    <comment ref="AC74" authorId="0">
      <text>
        <r>
          <rPr>
            <b/>
            <sz val="9"/>
            <rFont val="宋体"/>
            <charset val="134"/>
          </rPr>
          <t>Administrator:</t>
        </r>
        <r>
          <rPr>
            <sz val="9"/>
            <rFont val="宋体"/>
            <charset val="134"/>
          </rPr>
          <t xml:space="preserve">
5/14 上UPC贴纸 2314pcs
     上进口商贴纸 2314pcs</t>
        </r>
      </text>
    </comment>
    <comment ref="AA75" authorId="0">
      <text>
        <r>
          <rPr>
            <b/>
            <sz val="9"/>
            <rFont val="宋体"/>
            <charset val="134"/>
          </rPr>
          <t>Administrator:</t>
        </r>
        <r>
          <rPr>
            <sz val="9"/>
            <rFont val="宋体"/>
            <charset val="134"/>
          </rPr>
          <t xml:space="preserve">
2002374 6/5 135pcs 新仓库一B10</t>
        </r>
      </text>
    </comment>
    <comment ref="AC75" authorId="0">
      <text>
        <r>
          <rPr>
            <b/>
            <sz val="9"/>
            <rFont val="宋体"/>
            <charset val="134"/>
          </rPr>
          <t>Administrator:</t>
        </r>
        <r>
          <rPr>
            <sz val="9"/>
            <rFont val="宋体"/>
            <charset val="134"/>
          </rPr>
          <t xml:space="preserve">
5/19 上进口商贴纸 300pcs</t>
        </r>
      </text>
    </comment>
    <comment ref="AA76" authorId="0">
      <text>
        <r>
          <rPr>
            <b/>
            <sz val="9"/>
            <rFont val="宋体"/>
            <charset val="134"/>
          </rPr>
          <t>Administrator:</t>
        </r>
        <r>
          <rPr>
            <sz val="9"/>
            <rFont val="宋体"/>
            <charset val="134"/>
          </rPr>
          <t xml:space="preserve">
2002374 6/5 165pcs 新仓库一B10</t>
        </r>
      </text>
    </comment>
    <comment ref="AA77" authorId="0">
      <text>
        <r>
          <rPr>
            <b/>
            <sz val="9"/>
            <rFont val="宋体"/>
            <charset val="134"/>
          </rPr>
          <t>Administrator:</t>
        </r>
        <r>
          <rPr>
            <sz val="9"/>
            <rFont val="宋体"/>
            <charset val="134"/>
          </rPr>
          <t xml:space="preserve">
2002281 6/9 4944pcs 华兴一F3</t>
        </r>
      </text>
    </comment>
    <comment ref="AC77" authorId="0">
      <text>
        <r>
          <rPr>
            <b/>
            <sz val="12"/>
            <rFont val="宋体"/>
            <charset val="134"/>
          </rPr>
          <t>Administrator:</t>
        </r>
        <r>
          <rPr>
            <sz val="12"/>
            <rFont val="宋体"/>
            <charset val="134"/>
          </rPr>
          <t xml:space="preserve">
5/19 上进口商贴纸 12112pcs
     上EAN条码贴纸 12112pcs
     上收藏指南空白贴纸 12112pcs</t>
        </r>
      </text>
    </comment>
    <comment ref="AA78" authorId="0">
      <text>
        <r>
          <rPr>
            <b/>
            <sz val="9"/>
            <rFont val="宋体"/>
            <charset val="134"/>
          </rPr>
          <t>Administrator:</t>
        </r>
        <r>
          <rPr>
            <sz val="9"/>
            <rFont val="宋体"/>
            <charset val="134"/>
          </rPr>
          <t xml:space="preserve">
2002281 6/9 7168pcs 华兴一F3</t>
        </r>
      </text>
    </comment>
    <comment ref="AA79" authorId="0">
      <text>
        <r>
          <rPr>
            <b/>
            <sz val="9"/>
            <rFont val="宋体"/>
            <charset val="134"/>
          </rPr>
          <t>Administrator:</t>
        </r>
        <r>
          <rPr>
            <sz val="9"/>
            <rFont val="宋体"/>
            <charset val="134"/>
          </rPr>
          <t xml:space="preserve">
2002265 6/10 1152pcs 华兴三B6</t>
        </r>
      </text>
    </comment>
    <comment ref="AC79" authorId="0">
      <text>
        <r>
          <rPr>
            <b/>
            <sz val="9"/>
            <rFont val="宋体"/>
            <charset val="134"/>
          </rPr>
          <t>Administrator:</t>
        </r>
        <r>
          <rPr>
            <sz val="9"/>
            <rFont val="宋体"/>
            <charset val="134"/>
          </rPr>
          <t xml:space="preserve">
5/12 上客供RFID贴纸 1152pcs</t>
        </r>
      </text>
    </comment>
    <comment ref="AA80" authorId="0">
      <text>
        <r>
          <rPr>
            <b/>
            <sz val="9"/>
            <rFont val="宋体"/>
            <charset val="134"/>
          </rPr>
          <t>Administrator:</t>
        </r>
        <r>
          <rPr>
            <sz val="9"/>
            <rFont val="宋体"/>
            <charset val="134"/>
          </rPr>
          <t xml:space="preserve">
2002265 6/10 1152pcs 华兴三B6</t>
        </r>
      </text>
    </comment>
    <comment ref="AC80" authorId="0">
      <text>
        <r>
          <rPr>
            <b/>
            <sz val="9"/>
            <rFont val="宋体"/>
            <charset val="134"/>
          </rPr>
          <t>Administrator:</t>
        </r>
        <r>
          <rPr>
            <sz val="9"/>
            <rFont val="宋体"/>
            <charset val="134"/>
          </rPr>
          <t xml:space="preserve">
5/12 上客供RFID贴纸 1152pcs</t>
        </r>
      </text>
    </comment>
    <comment ref="AA81" authorId="0">
      <text>
        <r>
          <rPr>
            <b/>
            <sz val="9"/>
            <rFont val="宋体"/>
            <charset val="134"/>
          </rPr>
          <t>Administrator:</t>
        </r>
        <r>
          <rPr>
            <sz val="9"/>
            <rFont val="宋体"/>
            <charset val="134"/>
          </rPr>
          <t xml:space="preserve">
2002239 6/11 5076pcs 华兴三B3
2002226 6/12  54pcs  华兴三B3</t>
        </r>
      </text>
    </comment>
    <comment ref="AA82" authorId="0">
      <text>
        <r>
          <rPr>
            <b/>
            <sz val="9"/>
            <rFont val="宋体"/>
            <charset val="134"/>
          </rPr>
          <t>Administrator:</t>
        </r>
        <r>
          <rPr>
            <sz val="9"/>
            <rFont val="宋体"/>
            <charset val="134"/>
          </rPr>
          <t xml:space="preserve">
2002239 6/11 270pcs 华兴三B3</t>
        </r>
      </text>
    </comment>
    <comment ref="AA83" authorId="0">
      <text>
        <r>
          <rPr>
            <b/>
            <sz val="9"/>
            <rFont val="宋体"/>
            <charset val="134"/>
          </rPr>
          <t>Administrator:</t>
        </r>
        <r>
          <rPr>
            <sz val="9"/>
            <rFont val="宋体"/>
            <charset val="134"/>
          </rPr>
          <t xml:space="preserve">
2002239 6/11 648pcs 华兴三B3</t>
        </r>
      </text>
    </comment>
    <comment ref="AA84" authorId="0">
      <text>
        <r>
          <rPr>
            <b/>
            <sz val="9"/>
            <rFont val="宋体"/>
            <charset val="134"/>
          </rPr>
          <t>Administrator:</t>
        </r>
        <r>
          <rPr>
            <sz val="9"/>
            <rFont val="宋体"/>
            <charset val="134"/>
          </rPr>
          <t xml:space="preserve">
2002244 6/12 1530pcs 已走货</t>
        </r>
      </text>
    </comment>
    <comment ref="AC84" authorId="0">
      <text>
        <r>
          <rPr>
            <b/>
            <sz val="12"/>
            <rFont val="宋体"/>
            <charset val="134"/>
          </rPr>
          <t>Administrator:</t>
        </r>
        <r>
          <rPr>
            <sz val="12"/>
            <rFont val="宋体"/>
            <charset val="134"/>
          </rPr>
          <t xml:space="preserve">
5/27 上丹麦语警告语贴纸 1530pcs
     上北欧五语通用Slime黑白说明书 1530pcs</t>
        </r>
      </text>
    </comment>
    <comment ref="AA85" authorId="0">
      <text>
        <r>
          <rPr>
            <b/>
            <sz val="9"/>
            <rFont val="宋体"/>
            <charset val="134"/>
          </rPr>
          <t>Administrator:</t>
        </r>
        <r>
          <rPr>
            <sz val="9"/>
            <rFont val="宋体"/>
            <charset val="134"/>
          </rPr>
          <t xml:space="preserve">
2002485 6/11 2249pcs 华兴三B11</t>
        </r>
      </text>
    </comment>
    <comment ref="AA86" authorId="0">
      <text>
        <r>
          <rPr>
            <b/>
            <sz val="9"/>
            <rFont val="宋体"/>
            <charset val="134"/>
          </rPr>
          <t>Administrator:</t>
        </r>
        <r>
          <rPr>
            <sz val="9"/>
            <rFont val="宋体"/>
            <charset val="134"/>
          </rPr>
          <t xml:space="preserve">
2002239 6/11 1209pcs 华兴三B15</t>
        </r>
      </text>
    </comment>
    <comment ref="AA87" authorId="0">
      <text>
        <r>
          <rPr>
            <b/>
            <sz val="12"/>
            <rFont val="宋体"/>
            <charset val="134"/>
          </rPr>
          <t>Administrator:</t>
        </r>
        <r>
          <rPr>
            <sz val="12"/>
            <rFont val="宋体"/>
            <charset val="134"/>
          </rPr>
          <t xml:space="preserve">
2002312 6/7 486pcs 华兴三B14</t>
        </r>
      </text>
    </comment>
    <comment ref="AC87" authorId="0">
      <text>
        <r>
          <rPr>
            <b/>
            <sz val="9"/>
            <rFont val="宋体"/>
            <charset val="134"/>
          </rPr>
          <t>Administrator:</t>
        </r>
        <r>
          <rPr>
            <sz val="9"/>
            <rFont val="宋体"/>
            <charset val="134"/>
          </rPr>
          <t xml:space="preserve">
5/23 上价标贴纸 486pcs
5/26 上客供Hu贴纸 9pcs
     上客供ASN贴纸 9pcs</t>
        </r>
      </text>
    </comment>
    <comment ref="AA88" authorId="0">
      <text>
        <r>
          <rPr>
            <b/>
            <sz val="9"/>
            <rFont val="宋体"/>
            <charset val="134"/>
          </rPr>
          <t>Administrator:</t>
        </r>
        <r>
          <rPr>
            <sz val="9"/>
            <rFont val="宋体"/>
            <charset val="134"/>
          </rPr>
          <t xml:space="preserve">
2002239 6/11 2470pcs 华兴三A28
2002226 6/12 130pcs  华兴三A28</t>
        </r>
      </text>
    </comment>
    <comment ref="AA89" authorId="0">
      <text>
        <r>
          <rPr>
            <b/>
            <sz val="9"/>
            <rFont val="宋体"/>
            <charset val="134"/>
          </rPr>
          <t>Administrator:</t>
        </r>
        <r>
          <rPr>
            <sz val="9"/>
            <rFont val="宋体"/>
            <charset val="134"/>
          </rPr>
          <t xml:space="preserve">
2002239 6/11 4667pcs 华兴三A28
2002226 6/12  13pcs  华兴三A28</t>
        </r>
      </text>
    </comment>
    <comment ref="AA90" authorId="0">
      <text>
        <r>
          <rPr>
            <b/>
            <sz val="9"/>
            <rFont val="宋体"/>
            <charset val="134"/>
          </rPr>
          <t>Administrator:</t>
        </r>
        <r>
          <rPr>
            <sz val="9"/>
            <rFont val="宋体"/>
            <charset val="134"/>
          </rPr>
          <t xml:space="preserve">
2002202 6/13 1040pcs 已走货</t>
        </r>
      </text>
    </comment>
    <comment ref="AC90" authorId="0">
      <text>
        <r>
          <rPr>
            <b/>
            <sz val="12"/>
            <rFont val="宋体"/>
            <charset val="134"/>
          </rPr>
          <t>Administrator:</t>
        </r>
        <r>
          <rPr>
            <sz val="12"/>
            <rFont val="宋体"/>
            <charset val="134"/>
          </rPr>
          <t xml:space="preserve">
5/19 上进口商贴纸 1040pcs</t>
        </r>
      </text>
    </comment>
    <comment ref="AA91" authorId="0">
      <text>
        <r>
          <rPr>
            <b/>
            <sz val="9"/>
            <rFont val="宋体"/>
            <charset val="134"/>
          </rPr>
          <t>Administrator:</t>
        </r>
        <r>
          <rPr>
            <sz val="9"/>
            <rFont val="宋体"/>
            <charset val="134"/>
          </rPr>
          <t xml:space="preserve">
2002235 6/12 1092pcs 华兴三B5
2002207 6/14  60pcs  华兴三B5</t>
        </r>
      </text>
    </comment>
    <comment ref="AC91" authorId="0">
      <text>
        <r>
          <rPr>
            <b/>
            <sz val="9"/>
            <rFont val="宋体"/>
            <charset val="134"/>
          </rPr>
          <t>Administrator:</t>
        </r>
        <r>
          <rPr>
            <sz val="9"/>
            <rFont val="宋体"/>
            <charset val="134"/>
          </rPr>
          <t xml:space="preserve">
5/26 上客供RFID贴纸 1152pcs</t>
        </r>
      </text>
    </comment>
    <comment ref="AA92" authorId="0">
      <text>
        <r>
          <rPr>
            <b/>
            <sz val="9"/>
            <rFont val="宋体"/>
            <charset val="134"/>
          </rPr>
          <t>Administrator:</t>
        </r>
        <r>
          <rPr>
            <sz val="9"/>
            <rFont val="宋体"/>
            <charset val="134"/>
          </rPr>
          <t xml:space="preserve">
2002226 6/12 1152pcs 华兴三B4</t>
        </r>
      </text>
    </comment>
    <comment ref="AC92" authorId="0">
      <text>
        <r>
          <rPr>
            <b/>
            <sz val="9"/>
            <rFont val="宋体"/>
            <charset val="134"/>
          </rPr>
          <t>Administrator:</t>
        </r>
        <r>
          <rPr>
            <sz val="9"/>
            <rFont val="宋体"/>
            <charset val="134"/>
          </rPr>
          <t xml:space="preserve">
5/12 上客供RFID贴纸 1152pcs</t>
        </r>
      </text>
    </comment>
    <comment ref="AA93" authorId="0">
      <text>
        <r>
          <rPr>
            <b/>
            <sz val="9"/>
            <rFont val="宋体"/>
            <charset val="134"/>
          </rPr>
          <t>Administrator:</t>
        </r>
        <r>
          <rPr>
            <sz val="9"/>
            <rFont val="宋体"/>
            <charset val="134"/>
          </rPr>
          <t xml:space="preserve">
2002202 6/13 2444pcs 已走货</t>
        </r>
      </text>
    </comment>
    <comment ref="AC93" authorId="0">
      <text>
        <r>
          <rPr>
            <b/>
            <sz val="12"/>
            <rFont val="宋体"/>
            <charset val="134"/>
          </rPr>
          <t>Administrator:</t>
        </r>
        <r>
          <rPr>
            <sz val="12"/>
            <rFont val="宋体"/>
            <charset val="134"/>
          </rPr>
          <t xml:space="preserve">
5/19 上环保标/警语贴纸 2444pcs
     上袋子警语贴纸 2444pcs</t>
        </r>
      </text>
    </comment>
    <comment ref="AA94" authorId="0">
      <text>
        <r>
          <rPr>
            <b/>
            <sz val="9"/>
            <rFont val="宋体"/>
            <charset val="134"/>
          </rPr>
          <t>Administrator:</t>
        </r>
        <r>
          <rPr>
            <sz val="9"/>
            <rFont val="宋体"/>
            <charset val="134"/>
          </rPr>
          <t xml:space="preserve">
2002150 6/16 504pcs 已走货</t>
        </r>
      </text>
    </comment>
    <comment ref="AC94" authorId="0">
      <text>
        <r>
          <rPr>
            <b/>
            <sz val="9"/>
            <rFont val="宋体"/>
            <charset val="134"/>
          </rPr>
          <t>Administrator:</t>
        </r>
        <r>
          <rPr>
            <sz val="9"/>
            <rFont val="宋体"/>
            <charset val="134"/>
          </rPr>
          <t xml:space="preserve">
5/23 上空白贴纸 3696pcs
158581/164250/164939共用
6/17 上空白贴纸 4704pcs
158581/164250/164939共用</t>
        </r>
      </text>
    </comment>
    <comment ref="AA95" authorId="0">
      <text>
        <r>
          <rPr>
            <b/>
            <sz val="9"/>
            <rFont val="宋体"/>
            <charset val="134"/>
          </rPr>
          <t>Administrator:</t>
        </r>
        <r>
          <rPr>
            <sz val="9"/>
            <rFont val="宋体"/>
            <charset val="134"/>
          </rPr>
          <t xml:space="preserve">
2002105 6/17 7236pcs 华兴三A23</t>
        </r>
      </text>
    </comment>
    <comment ref="AC95" authorId="0">
      <text>
        <r>
          <rPr>
            <b/>
            <sz val="9"/>
            <rFont val="宋体"/>
            <charset val="134"/>
          </rPr>
          <t>Administrator:</t>
        </r>
        <r>
          <rPr>
            <sz val="9"/>
            <rFont val="宋体"/>
            <charset val="134"/>
          </rPr>
          <t xml:space="preserve">
5/27 上UPC条码贴纸 7236pcs
     上进口商贴纸 7236pcs</t>
        </r>
      </text>
    </comment>
    <comment ref="AA96" authorId="0">
      <text>
        <r>
          <rPr>
            <b/>
            <sz val="9"/>
            <rFont val="宋体"/>
            <charset val="134"/>
          </rPr>
          <t>Administrator:</t>
        </r>
        <r>
          <rPr>
            <sz val="9"/>
            <rFont val="宋体"/>
            <charset val="134"/>
          </rPr>
          <t xml:space="preserve">
2002105 6/17 540pcs 华兴三A27</t>
        </r>
      </text>
    </comment>
    <comment ref="AC96" authorId="0">
      <text>
        <r>
          <rPr>
            <b/>
            <sz val="9"/>
            <rFont val="宋体"/>
            <charset val="134"/>
          </rPr>
          <t>Administrator:</t>
        </r>
        <r>
          <rPr>
            <sz val="9"/>
            <rFont val="宋体"/>
            <charset val="134"/>
          </rPr>
          <t xml:space="preserve">
5/26 上UPC贴纸 540pcs
     上进口商贴纸 540pcs</t>
        </r>
      </text>
    </comment>
    <comment ref="AA97" authorId="0">
      <text>
        <r>
          <rPr>
            <b/>
            <sz val="9"/>
            <rFont val="宋体"/>
            <charset val="134"/>
          </rPr>
          <t>Administrator:</t>
        </r>
        <r>
          <rPr>
            <sz val="9"/>
            <rFont val="宋体"/>
            <charset val="134"/>
          </rPr>
          <t xml:space="preserve">
2002131 6/18 1152pcs 华兴三B5</t>
        </r>
      </text>
    </comment>
    <comment ref="AC97" authorId="0">
      <text>
        <r>
          <rPr>
            <b/>
            <sz val="9"/>
            <rFont val="宋体"/>
            <charset val="134"/>
          </rPr>
          <t>Administrator:</t>
        </r>
        <r>
          <rPr>
            <sz val="9"/>
            <rFont val="宋体"/>
            <charset val="134"/>
          </rPr>
          <t xml:space="preserve">
5/12 上客供RFID贴纸 1152pcs</t>
        </r>
      </text>
    </comment>
    <comment ref="AA98" authorId="0">
      <text>
        <r>
          <rPr>
            <b/>
            <sz val="9"/>
            <rFont val="宋体"/>
            <charset val="134"/>
          </rPr>
          <t>Administrator:</t>
        </r>
        <r>
          <rPr>
            <sz val="9"/>
            <rFont val="宋体"/>
            <charset val="134"/>
          </rPr>
          <t xml:space="preserve">
2002131 6/18 1116pcs 华兴三B5
2002071 6/20  36pcs  华兴三B5</t>
        </r>
      </text>
    </comment>
    <comment ref="AC98" authorId="0">
      <text>
        <r>
          <rPr>
            <b/>
            <sz val="9"/>
            <rFont val="宋体"/>
            <charset val="134"/>
          </rPr>
          <t>Administrator:</t>
        </r>
        <r>
          <rPr>
            <sz val="9"/>
            <rFont val="宋体"/>
            <charset val="134"/>
          </rPr>
          <t xml:space="preserve">
5/12 上客供RFID贴纸 1152pcs</t>
        </r>
      </text>
    </comment>
    <comment ref="AA99" authorId="0">
      <text>
        <r>
          <rPr>
            <b/>
            <sz val="9"/>
            <rFont val="宋体"/>
            <charset val="134"/>
          </rPr>
          <t>Administrator:</t>
        </r>
        <r>
          <rPr>
            <sz val="9"/>
            <rFont val="宋体"/>
            <charset val="134"/>
          </rPr>
          <t xml:space="preserve">
2002131 6/18 1140pcs 华兴三B5
2002071 6/20   12pcs 华兴三B5</t>
        </r>
      </text>
    </comment>
    <comment ref="AC99" authorId="0">
      <text>
        <r>
          <rPr>
            <b/>
            <sz val="9"/>
            <rFont val="宋体"/>
            <charset val="134"/>
          </rPr>
          <t>Administrator:</t>
        </r>
        <r>
          <rPr>
            <sz val="9"/>
            <rFont val="宋体"/>
            <charset val="134"/>
          </rPr>
          <t xml:space="preserve">
5/12 上客供RFID贴纸 1152pcs</t>
        </r>
      </text>
    </comment>
    <comment ref="AA100" authorId="0">
      <text>
        <r>
          <rPr>
            <b/>
            <sz val="9"/>
            <rFont val="宋体"/>
            <charset val="134"/>
          </rPr>
          <t>Administrator:</t>
        </r>
        <r>
          <rPr>
            <sz val="9"/>
            <rFont val="宋体"/>
            <charset val="134"/>
          </rPr>
          <t xml:space="preserve">
2002131 6/18 624pcs 华兴三B14</t>
        </r>
      </text>
    </comment>
    <comment ref="AC100" authorId="0">
      <text>
        <r>
          <rPr>
            <b/>
            <sz val="12"/>
            <rFont val="宋体"/>
            <charset val="134"/>
          </rPr>
          <t>Administrator:</t>
        </r>
        <r>
          <rPr>
            <sz val="12"/>
            <rFont val="宋体"/>
            <charset val="134"/>
          </rPr>
          <t xml:space="preserve">
5/17 上进口商贴纸 624pcs</t>
        </r>
      </text>
    </comment>
    <comment ref="AA101" authorId="0">
      <text>
        <r>
          <rPr>
            <b/>
            <sz val="9"/>
            <rFont val="宋体"/>
            <charset val="134"/>
          </rPr>
          <t>Administrator:</t>
        </r>
        <r>
          <rPr>
            <sz val="9"/>
            <rFont val="宋体"/>
            <charset val="134"/>
          </rPr>
          <t xml:space="preserve">
2002145 6/19 5980pcs 华兴三A21</t>
        </r>
      </text>
    </comment>
    <comment ref="AA102" authorId="0">
      <text>
        <r>
          <rPr>
            <b/>
            <sz val="9"/>
            <rFont val="宋体"/>
            <charset val="134"/>
          </rPr>
          <t>Administrator:</t>
        </r>
        <r>
          <rPr>
            <sz val="9"/>
            <rFont val="宋体"/>
            <charset val="134"/>
          </rPr>
          <t xml:space="preserve">
2002140 6/19 3744pcs 华兴三A20
2002145 6/19 2444pcs 华兴三A20
2002051 6/21 1768pcs 华兴三A20</t>
        </r>
      </text>
    </comment>
    <comment ref="AA103" authorId="0">
      <text>
        <r>
          <rPr>
            <b/>
            <sz val="9"/>
            <rFont val="宋体"/>
            <charset val="134"/>
          </rPr>
          <t>Administrator:</t>
        </r>
        <r>
          <rPr>
            <sz val="9"/>
            <rFont val="宋体"/>
            <charset val="134"/>
          </rPr>
          <t xml:space="preserve">
2000844 6/20 1440pcs 华兴三A27
</t>
        </r>
      </text>
    </comment>
    <comment ref="AC103" authorId="0">
      <text>
        <r>
          <rPr>
            <b/>
            <sz val="9"/>
            <rFont val="宋体"/>
            <charset val="134"/>
          </rPr>
          <t>Administrator:</t>
        </r>
        <r>
          <rPr>
            <sz val="9"/>
            <rFont val="宋体"/>
            <charset val="134"/>
          </rPr>
          <t xml:space="preserve">
6/3 上价格贴纸 1512pcs
5/29 上德语警告语贴纸 1440pcs</t>
        </r>
      </text>
    </comment>
    <comment ref="AA104" authorId="0">
      <text>
        <r>
          <rPr>
            <b/>
            <sz val="9"/>
            <rFont val="宋体"/>
            <charset val="134"/>
          </rPr>
          <t>Administrator:</t>
        </r>
        <r>
          <rPr>
            <sz val="9"/>
            <rFont val="宋体"/>
            <charset val="134"/>
          </rPr>
          <t xml:space="preserve">
2000844 6/20 1287pcs 华兴三B14</t>
        </r>
      </text>
    </comment>
    <comment ref="AC104" authorId="0">
      <text>
        <r>
          <rPr>
            <b/>
            <sz val="9"/>
            <rFont val="宋体"/>
            <charset val="134"/>
          </rPr>
          <t>Administrator:</t>
        </r>
        <r>
          <rPr>
            <sz val="9"/>
            <rFont val="宋体"/>
            <charset val="134"/>
          </rPr>
          <t xml:space="preserve">
5/30 上UPC贴纸 1287pcs</t>
        </r>
      </text>
    </comment>
    <comment ref="AA105" authorId="0">
      <text>
        <r>
          <rPr>
            <b/>
            <sz val="9"/>
            <rFont val="宋体"/>
            <charset val="134"/>
          </rPr>
          <t>Administrator:</t>
        </r>
        <r>
          <rPr>
            <sz val="9"/>
            <rFont val="宋体"/>
            <charset val="134"/>
          </rPr>
          <t xml:space="preserve">
2002190 6/19 648pcs 华兴三B9</t>
        </r>
      </text>
    </comment>
    <comment ref="AC105" authorId="0">
      <text>
        <r>
          <rPr>
            <b/>
            <sz val="9"/>
            <rFont val="宋体"/>
            <charset val="134"/>
          </rPr>
          <t>Administrator:</t>
        </r>
        <r>
          <rPr>
            <sz val="9"/>
            <rFont val="宋体"/>
            <charset val="134"/>
          </rPr>
          <t xml:space="preserve">
6/10 上进口商贴纸 648pcs
     上UPC贴纸 648pcs
6/17 上进口商贴纸 648pcs
     上UPC贴纸 648pcs 生产返工补数</t>
        </r>
      </text>
    </comment>
    <comment ref="AA106" authorId="0">
      <text>
        <r>
          <rPr>
            <b/>
            <sz val="12"/>
            <rFont val="宋体"/>
            <charset val="134"/>
          </rPr>
          <t>Administrator:</t>
        </r>
        <r>
          <rPr>
            <sz val="12"/>
            <rFont val="宋体"/>
            <charset val="134"/>
          </rPr>
          <t xml:space="preserve">
3001870 6/24 2509pcs 已走货</t>
        </r>
      </text>
    </comment>
    <comment ref="AC106" authorId="0">
      <text>
        <r>
          <rPr>
            <b/>
            <sz val="9"/>
            <rFont val="宋体"/>
            <charset val="134"/>
          </rPr>
          <t>Administrator:</t>
        </r>
        <r>
          <rPr>
            <sz val="9"/>
            <rFont val="宋体"/>
            <charset val="134"/>
          </rPr>
          <t xml:space="preserve">
5/29 上8+贴纸 6539pcs
6/21 上8+贴纸 6539pcs 生产补数</t>
        </r>
      </text>
    </comment>
    <comment ref="AA107" authorId="0">
      <text>
        <r>
          <rPr>
            <b/>
            <sz val="12"/>
            <rFont val="宋体"/>
            <charset val="134"/>
          </rPr>
          <t>Administrator:</t>
        </r>
        <r>
          <rPr>
            <sz val="12"/>
            <rFont val="宋体"/>
            <charset val="134"/>
          </rPr>
          <t xml:space="preserve">
3001870 6/24 130pcs 已走货</t>
        </r>
      </text>
    </comment>
    <comment ref="AC107" authorId="0">
      <text>
        <r>
          <rPr>
            <b/>
            <sz val="9"/>
            <rFont val="宋体"/>
            <charset val="134"/>
          </rPr>
          <t>Administrator:</t>
        </r>
        <r>
          <rPr>
            <sz val="9"/>
            <rFont val="宋体"/>
            <charset val="134"/>
          </rPr>
          <t xml:space="preserve">
5/29 上8+贴纸 6539pcs
6/21 上8+贴纸 6539pcs 生产补数</t>
        </r>
      </text>
    </comment>
    <comment ref="AA108" authorId="0">
      <text>
        <r>
          <rPr>
            <b/>
            <sz val="12"/>
            <rFont val="宋体"/>
            <charset val="134"/>
          </rPr>
          <t>Administrator:</t>
        </r>
        <r>
          <rPr>
            <sz val="12"/>
            <rFont val="宋体"/>
            <charset val="134"/>
          </rPr>
          <t xml:space="preserve">
3001870 6/24 2535pcs 已走货
3001800 6/25   65pcs 已走货</t>
        </r>
      </text>
    </comment>
    <comment ref="AC108" authorId="0">
      <text>
        <r>
          <rPr>
            <b/>
            <sz val="9"/>
            <rFont val="宋体"/>
            <charset val="134"/>
          </rPr>
          <t>Administrator:</t>
        </r>
        <r>
          <rPr>
            <sz val="9"/>
            <rFont val="宋体"/>
            <charset val="134"/>
          </rPr>
          <t xml:space="preserve">
5/29 上8+贴纸 6539pcs
6/21 上8+贴纸 6539pcs 生产补数</t>
        </r>
      </text>
    </comment>
    <comment ref="AA109" authorId="0">
      <text>
        <r>
          <rPr>
            <b/>
            <sz val="12"/>
            <rFont val="宋体"/>
            <charset val="134"/>
          </rPr>
          <t>Administrator:</t>
        </r>
        <r>
          <rPr>
            <sz val="12"/>
            <rFont val="宋体"/>
            <charset val="134"/>
          </rPr>
          <t xml:space="preserve">
3001870 6/24 1300pcs 已走货</t>
        </r>
      </text>
    </comment>
    <comment ref="AC109" authorId="0">
      <text>
        <r>
          <rPr>
            <b/>
            <sz val="9"/>
            <rFont val="宋体"/>
            <charset val="134"/>
          </rPr>
          <t>Administrator:</t>
        </r>
        <r>
          <rPr>
            <sz val="9"/>
            <rFont val="宋体"/>
            <charset val="134"/>
          </rPr>
          <t xml:space="preserve">
5/29 上8+贴纸 6539pcs
6/21 上8+贴纸 6539pcs 生产补数</t>
        </r>
      </text>
    </comment>
    <comment ref="AA110" authorId="0">
      <text>
        <r>
          <rPr>
            <b/>
            <sz val="9"/>
            <rFont val="宋体"/>
            <charset val="134"/>
          </rPr>
          <t>Administrator:</t>
        </r>
        <r>
          <rPr>
            <sz val="9"/>
            <rFont val="宋体"/>
            <charset val="134"/>
          </rPr>
          <t xml:space="preserve">
2001982 6/23 4160pcs 新仓库一B10</t>
        </r>
      </text>
    </comment>
    <comment ref="AA111" authorId="0">
      <text>
        <r>
          <rPr>
            <b/>
            <sz val="9"/>
            <rFont val="宋体"/>
            <charset val="134"/>
          </rPr>
          <t>Administrator:</t>
        </r>
        <r>
          <rPr>
            <sz val="9"/>
            <rFont val="宋体"/>
            <charset val="134"/>
          </rPr>
          <t xml:space="preserve">
2001689 6/23 1040pcs 新仓库一B10</t>
        </r>
      </text>
    </comment>
    <comment ref="AA112" authorId="0">
      <text>
        <r>
          <rPr>
            <b/>
            <sz val="9"/>
            <rFont val="宋体"/>
            <charset val="134"/>
          </rPr>
          <t>Administrator:</t>
        </r>
        <r>
          <rPr>
            <sz val="9"/>
            <rFont val="宋体"/>
            <charset val="134"/>
          </rPr>
          <t xml:space="preserve">
2001684 6/23 611pcs 新仓库一C1</t>
        </r>
      </text>
    </comment>
    <comment ref="AA113" authorId="0">
      <text>
        <r>
          <rPr>
            <b/>
            <sz val="9"/>
            <rFont val="宋体"/>
            <charset val="134"/>
          </rPr>
          <t>Administrator:</t>
        </r>
        <r>
          <rPr>
            <sz val="9"/>
            <rFont val="宋体"/>
            <charset val="134"/>
          </rPr>
          <t xml:space="preserve">
2001666 6/24 403pcs 华兴三B14</t>
        </r>
      </text>
    </comment>
    <comment ref="AA114" authorId="0">
      <text>
        <r>
          <rPr>
            <b/>
            <sz val="9"/>
            <rFont val="宋体"/>
            <charset val="134"/>
          </rPr>
          <t>Administrator:</t>
        </r>
        <r>
          <rPr>
            <sz val="9"/>
            <rFont val="宋体"/>
            <charset val="134"/>
          </rPr>
          <t xml:space="preserve">
2001652 6/25 540pcs 新仓库一B9
</t>
        </r>
      </text>
    </comment>
    <comment ref="AC114" authorId="0">
      <text>
        <r>
          <rPr>
            <b/>
            <sz val="9"/>
            <rFont val="宋体"/>
            <charset val="134"/>
          </rPr>
          <t>Administrator:</t>
        </r>
        <r>
          <rPr>
            <sz val="9"/>
            <rFont val="宋体"/>
            <charset val="134"/>
          </rPr>
          <t xml:space="preserve">
6/13 上UPC贴纸 540pcs</t>
        </r>
      </text>
    </comment>
    <comment ref="AA115" authorId="0">
      <text>
        <r>
          <rPr>
            <b/>
            <sz val="12"/>
            <rFont val="宋体"/>
            <charset val="134"/>
          </rPr>
          <t>Administrator:</t>
        </r>
        <r>
          <rPr>
            <sz val="12"/>
            <rFont val="宋体"/>
            <charset val="134"/>
          </rPr>
          <t xml:space="preserve">
2001642 6/27 1800pcs 华兴三B16</t>
        </r>
      </text>
    </comment>
    <comment ref="AA116" authorId="0">
      <text>
        <r>
          <rPr>
            <b/>
            <sz val="9"/>
            <rFont val="宋体"/>
            <charset val="134"/>
          </rPr>
          <t>Administrator:</t>
        </r>
        <r>
          <rPr>
            <sz val="9"/>
            <rFont val="宋体"/>
            <charset val="134"/>
          </rPr>
          <t xml:space="preserve">
2001682 6/23 10309pcs 莫海军B栋4楼A3区</t>
        </r>
      </text>
    </comment>
    <comment ref="AA117" authorId="0">
      <text>
        <r>
          <rPr>
            <b/>
            <sz val="12"/>
            <rFont val="宋体"/>
            <charset val="134"/>
          </rPr>
          <t>Administrator:</t>
        </r>
        <r>
          <rPr>
            <sz val="12"/>
            <rFont val="宋体"/>
            <charset val="134"/>
          </rPr>
          <t xml:space="preserve">
2001642 6/27 6642pcs 华兴三A21</t>
        </r>
      </text>
    </comment>
    <comment ref="AC117" authorId="0">
      <text>
        <r>
          <rPr>
            <b/>
            <sz val="9"/>
            <rFont val="宋体"/>
            <charset val="134"/>
          </rPr>
          <t>Administrator:</t>
        </r>
        <r>
          <rPr>
            <sz val="9"/>
            <rFont val="宋体"/>
            <charset val="134"/>
          </rPr>
          <t xml:space="preserve">
6/13 上进口商贴纸（含客户条码） 6642pcs
6/25 上进口商贴纸 100pcs-生产损耗补数</t>
        </r>
      </text>
    </comment>
    <comment ref="AA118" authorId="0">
      <text>
        <r>
          <rPr>
            <b/>
            <sz val="9"/>
            <rFont val="宋体"/>
            <charset val="134"/>
          </rPr>
          <t>Administrator:</t>
        </r>
        <r>
          <rPr>
            <sz val="9"/>
            <rFont val="宋体"/>
            <charset val="134"/>
          </rPr>
          <t xml:space="preserve">
2001666 6/24 52pcs 华兴三B14
</t>
        </r>
      </text>
    </comment>
    <comment ref="AA119" authorId="0">
      <text>
        <r>
          <rPr>
            <b/>
            <sz val="9"/>
            <rFont val="宋体"/>
            <charset val="134"/>
          </rPr>
          <t>Administrator:</t>
        </r>
        <r>
          <rPr>
            <sz val="9"/>
            <rFont val="宋体"/>
            <charset val="134"/>
          </rPr>
          <t xml:space="preserve">
2001666 6/24 325pcs 华兴三B14
</t>
        </r>
      </text>
    </comment>
    <comment ref="AA120" authorId="0">
      <text>
        <r>
          <rPr>
            <b/>
            <sz val="9"/>
            <rFont val="宋体"/>
            <charset val="134"/>
          </rPr>
          <t>Administrator:</t>
        </r>
        <r>
          <rPr>
            <sz val="9"/>
            <rFont val="宋体"/>
            <charset val="134"/>
          </rPr>
          <t xml:space="preserve">
2001666 6/24 273pcs 华兴三B14
</t>
        </r>
      </text>
    </comment>
    <comment ref="AA121" authorId="0">
      <text>
        <r>
          <rPr>
            <b/>
            <sz val="9"/>
            <rFont val="宋体"/>
            <charset val="134"/>
          </rPr>
          <t>Administrator:</t>
        </r>
        <r>
          <rPr>
            <sz val="9"/>
            <rFont val="宋体"/>
            <charset val="134"/>
          </rPr>
          <t xml:space="preserve">
2001666 6/24 182pcs 华兴三B14
</t>
        </r>
      </text>
    </comment>
    <comment ref="AA122" authorId="0">
      <text>
        <r>
          <rPr>
            <b/>
            <sz val="9"/>
            <rFont val="宋体"/>
            <charset val="134"/>
          </rPr>
          <t>Administrator:</t>
        </r>
        <r>
          <rPr>
            <sz val="9"/>
            <rFont val="宋体"/>
            <charset val="134"/>
          </rPr>
          <t xml:space="preserve">
2001652 6/25 4023pcs 新仓库一B9</t>
        </r>
      </text>
    </comment>
    <comment ref="AC122" authorId="0">
      <text>
        <r>
          <rPr>
            <b/>
            <sz val="9"/>
            <rFont val="宋体"/>
            <charset val="134"/>
          </rPr>
          <t>Administrator:</t>
        </r>
        <r>
          <rPr>
            <sz val="9"/>
            <rFont val="宋体"/>
            <charset val="134"/>
          </rPr>
          <t xml:space="preserve">
5/30 上slime bag荷兰语警语贴纸 4023pcs
     上德意荷警语贴纸 4023pcs</t>
        </r>
      </text>
    </comment>
    <comment ref="AA123" authorId="0">
      <text>
        <r>
          <rPr>
            <b/>
            <sz val="9"/>
            <rFont val="宋体"/>
            <charset val="134"/>
          </rPr>
          <t>Administrator:</t>
        </r>
        <r>
          <rPr>
            <sz val="9"/>
            <rFont val="宋体"/>
            <charset val="134"/>
          </rPr>
          <t xml:space="preserve">
2001652 6/25 324pcs 新仓库一B9</t>
        </r>
      </text>
    </comment>
    <comment ref="AA124" authorId="0">
      <text>
        <r>
          <rPr>
            <b/>
            <sz val="9"/>
            <rFont val="宋体"/>
            <charset val="134"/>
          </rPr>
          <t>Administrator:</t>
        </r>
        <r>
          <rPr>
            <sz val="9"/>
            <rFont val="宋体"/>
            <charset val="134"/>
          </rPr>
          <t xml:space="preserve">
3001754 6/27 1326pcs 华兴三B8</t>
        </r>
      </text>
    </comment>
    <comment ref="AC124" authorId="0">
      <text>
        <r>
          <rPr>
            <b/>
            <sz val="9"/>
            <rFont val="宋体"/>
            <charset val="134"/>
          </rPr>
          <t>Administrator:</t>
        </r>
        <r>
          <rPr>
            <sz val="9"/>
            <rFont val="宋体"/>
            <charset val="134"/>
          </rPr>
          <t xml:space="preserve">
5/30 上进口商贴纸 1326pcs
6/10 上UPC贴纸 1326pcs</t>
        </r>
      </text>
    </comment>
    <comment ref="AA125" authorId="0">
      <text>
        <r>
          <rPr>
            <b/>
            <sz val="9"/>
            <rFont val="宋体"/>
            <charset val="134"/>
          </rPr>
          <t>Administrator:</t>
        </r>
        <r>
          <rPr>
            <sz val="9"/>
            <rFont val="宋体"/>
            <charset val="134"/>
          </rPr>
          <t xml:space="preserve">
2001657 6/25 520pcs 新仓库一B10
</t>
        </r>
      </text>
    </comment>
    <comment ref="AC125" authorId="0">
      <text>
        <r>
          <rPr>
            <b/>
            <sz val="9"/>
            <rFont val="宋体"/>
            <charset val="134"/>
          </rPr>
          <t>Administrator:</t>
        </r>
        <r>
          <rPr>
            <sz val="9"/>
            <rFont val="宋体"/>
            <charset val="134"/>
          </rPr>
          <t xml:space="preserve">
6/13 上1张SNI label 贴 520pcs</t>
        </r>
      </text>
    </comment>
    <comment ref="AA126" authorId="0">
      <text>
        <r>
          <rPr>
            <b/>
            <sz val="9"/>
            <rFont val="宋体"/>
            <charset val="134"/>
          </rPr>
          <t>Administrator:</t>
        </r>
        <r>
          <rPr>
            <sz val="9"/>
            <rFont val="宋体"/>
            <charset val="134"/>
          </rPr>
          <t xml:space="preserve">
3001370 6/28 2700pcs 华兴三B15</t>
        </r>
      </text>
    </comment>
    <comment ref="AA127" authorId="0">
      <text>
        <r>
          <rPr>
            <b/>
            <sz val="9"/>
            <rFont val="宋体"/>
            <charset val="134"/>
          </rPr>
          <t>Administrator:</t>
        </r>
        <r>
          <rPr>
            <sz val="9"/>
            <rFont val="宋体"/>
            <charset val="134"/>
          </rPr>
          <t xml:space="preserve">
3001747 6/28  9720pcs 已走货
3001370 6/28 11475pcs 已走货</t>
        </r>
      </text>
    </comment>
    <comment ref="AC127" authorId="0">
      <text>
        <r>
          <rPr>
            <b/>
            <sz val="12"/>
            <rFont val="宋体"/>
            <charset val="134"/>
          </rPr>
          <t>Administrator:</t>
        </r>
        <r>
          <rPr>
            <sz val="12"/>
            <rFont val="宋体"/>
            <charset val="134"/>
          </rPr>
          <t xml:space="preserve">
6/13 上进口商贴纸 78840pcs
     上UPC贴纸 39420pcs</t>
        </r>
      </text>
    </comment>
    <comment ref="AA128" authorId="0">
      <text>
        <r>
          <rPr>
            <b/>
            <sz val="9"/>
            <rFont val="宋体"/>
            <charset val="134"/>
          </rPr>
          <t>Administrator:</t>
        </r>
        <r>
          <rPr>
            <sz val="9"/>
            <rFont val="宋体"/>
            <charset val="134"/>
          </rPr>
          <t xml:space="preserve">
3001370 6/28 18225pcs 已走货</t>
        </r>
      </text>
    </comment>
    <comment ref="AA129" authorId="0">
      <text>
        <r>
          <rPr>
            <b/>
            <sz val="9"/>
            <rFont val="宋体"/>
            <charset val="134"/>
          </rPr>
          <t>Administrator:</t>
        </r>
        <r>
          <rPr>
            <sz val="9"/>
            <rFont val="宋体"/>
            <charset val="134"/>
          </rPr>
          <t xml:space="preserve">
3001917 7/3 520pcs 华兴三B8</t>
        </r>
      </text>
    </comment>
    <comment ref="AC129" authorId="0">
      <text>
        <r>
          <rPr>
            <b/>
            <sz val="9"/>
            <rFont val="宋体"/>
            <charset val="134"/>
          </rPr>
          <t>Administrator:</t>
        </r>
        <r>
          <rPr>
            <sz val="9"/>
            <rFont val="宋体"/>
            <charset val="134"/>
          </rPr>
          <t xml:space="preserve">
6/10 上进口商贴纸 1508pcs</t>
        </r>
      </text>
    </comment>
    <comment ref="AA130" authorId="0">
      <text>
        <r>
          <rPr>
            <b/>
            <sz val="9"/>
            <rFont val="宋体"/>
            <charset val="134"/>
          </rPr>
          <t>Administrator:</t>
        </r>
        <r>
          <rPr>
            <sz val="9"/>
            <rFont val="宋体"/>
            <charset val="134"/>
          </rPr>
          <t xml:space="preserve">
3001917 7/3 468pcs 华兴三A14</t>
        </r>
      </text>
    </comment>
    <comment ref="AA131" authorId="0">
      <text>
        <r>
          <rPr>
            <b/>
            <sz val="9"/>
            <rFont val="宋体"/>
            <charset val="134"/>
          </rPr>
          <t>Administrator:</t>
        </r>
        <r>
          <rPr>
            <sz val="9"/>
            <rFont val="宋体"/>
            <charset val="134"/>
          </rPr>
          <t xml:space="preserve">
3001917 7/3 364pcs 华兴三A14</t>
        </r>
      </text>
    </comment>
    <comment ref="AA132" authorId="0">
      <text>
        <r>
          <rPr>
            <b/>
            <sz val="9"/>
            <rFont val="宋体"/>
            <charset val="134"/>
          </rPr>
          <t>Administrator:</t>
        </r>
        <r>
          <rPr>
            <sz val="9"/>
            <rFont val="宋体"/>
            <charset val="134"/>
          </rPr>
          <t xml:space="preserve">
3001917 7/3 156pcs 华兴三A8</t>
        </r>
      </text>
    </comment>
    <comment ref="AA133" authorId="0">
      <text>
        <r>
          <rPr>
            <b/>
            <sz val="12"/>
            <rFont val="宋体"/>
            <charset val="134"/>
          </rPr>
          <t>Administrator:</t>
        </r>
        <r>
          <rPr>
            <sz val="12"/>
            <rFont val="宋体"/>
            <charset val="134"/>
          </rPr>
          <t xml:space="preserve">
3001982 7/2 1152pcs 华兴三B5</t>
        </r>
      </text>
    </comment>
    <comment ref="AC133" authorId="0">
      <text>
        <r>
          <rPr>
            <b/>
            <sz val="9"/>
            <rFont val="宋体"/>
            <charset val="134"/>
          </rPr>
          <t>Administrator:</t>
        </r>
        <r>
          <rPr>
            <sz val="9"/>
            <rFont val="宋体"/>
            <charset val="134"/>
          </rPr>
          <t xml:space="preserve">
5/26 上客供RFID贴纸 1152pcs</t>
        </r>
      </text>
    </comment>
    <comment ref="AA134" authorId="0">
      <text>
        <r>
          <rPr>
            <b/>
            <sz val="12"/>
            <rFont val="宋体"/>
            <charset val="134"/>
          </rPr>
          <t>Administrator:</t>
        </r>
        <r>
          <rPr>
            <sz val="12"/>
            <rFont val="宋体"/>
            <charset val="134"/>
          </rPr>
          <t xml:space="preserve">
3001982 7/2 1152pcs 华兴三B5</t>
        </r>
      </text>
    </comment>
    <comment ref="AC134" authorId="0">
      <text>
        <r>
          <rPr>
            <b/>
            <sz val="9"/>
            <rFont val="宋体"/>
            <charset val="134"/>
          </rPr>
          <t>Administrator:</t>
        </r>
        <r>
          <rPr>
            <sz val="9"/>
            <rFont val="宋体"/>
            <charset val="134"/>
          </rPr>
          <t xml:space="preserve">
5/26 上客供RFID贴纸 1152pcs</t>
        </r>
      </text>
    </comment>
    <comment ref="AA135" authorId="0">
      <text>
        <r>
          <rPr>
            <b/>
            <sz val="12"/>
            <rFont val="宋体"/>
            <charset val="134"/>
          </rPr>
          <t>Administrator:</t>
        </r>
        <r>
          <rPr>
            <sz val="12"/>
            <rFont val="宋体"/>
            <charset val="134"/>
          </rPr>
          <t xml:space="preserve">
3001982 7/2 572pcs 已走货
</t>
        </r>
      </text>
    </comment>
    <comment ref="AA136" authorId="0">
      <text>
        <r>
          <rPr>
            <b/>
            <sz val="9"/>
            <rFont val="宋体"/>
            <charset val="134"/>
          </rPr>
          <t>Administrator:</t>
        </r>
        <r>
          <rPr>
            <sz val="9"/>
            <rFont val="宋体"/>
            <charset val="134"/>
          </rPr>
          <t xml:space="preserve">
3001970 7/1 936pcs 华兴三B13</t>
        </r>
      </text>
    </comment>
    <comment ref="AA137" authorId="0">
      <text>
        <r>
          <rPr>
            <b/>
            <sz val="9"/>
            <rFont val="宋体"/>
            <charset val="134"/>
          </rPr>
          <t>Administrator:</t>
        </r>
        <r>
          <rPr>
            <sz val="9"/>
            <rFont val="宋体"/>
            <charset val="134"/>
          </rPr>
          <t xml:space="preserve">
3001919 7/3 504pcs 华兴三B3</t>
        </r>
      </text>
    </comment>
    <comment ref="AC137" authorId="0">
      <text>
        <r>
          <rPr>
            <b/>
            <sz val="9"/>
            <rFont val="宋体"/>
            <charset val="134"/>
          </rPr>
          <t>Administrator:</t>
        </r>
        <r>
          <rPr>
            <sz val="9"/>
            <rFont val="宋体"/>
            <charset val="134"/>
          </rPr>
          <t xml:space="preserve">
6/10 上亚马逊外箱贴纸 42pcs
6/14 上空白贴纸 3024pcs</t>
        </r>
      </text>
    </comment>
    <comment ref="AA138" authorId="0">
      <text>
        <r>
          <rPr>
            <b/>
            <sz val="9"/>
            <rFont val="宋体"/>
            <charset val="134"/>
          </rPr>
          <t>Administrator:</t>
        </r>
        <r>
          <rPr>
            <sz val="9"/>
            <rFont val="宋体"/>
            <charset val="134"/>
          </rPr>
          <t xml:space="preserve">
3001919 7/3 504pcs 华兴三B3</t>
        </r>
      </text>
    </comment>
    <comment ref="AC138" authorId="0">
      <text>
        <r>
          <rPr>
            <b/>
            <sz val="9"/>
            <rFont val="宋体"/>
            <charset val="134"/>
          </rPr>
          <t>Administrator:</t>
        </r>
        <r>
          <rPr>
            <sz val="9"/>
            <rFont val="宋体"/>
            <charset val="134"/>
          </rPr>
          <t xml:space="preserve">
6/10 上亚马逊外箱贴纸 42pcs
6/14 上空白贴纸 3024pcs</t>
        </r>
      </text>
    </comment>
    <comment ref="AA139" authorId="0">
      <text>
        <r>
          <rPr>
            <b/>
            <sz val="9"/>
            <rFont val="宋体"/>
            <charset val="134"/>
          </rPr>
          <t>Administrator:</t>
        </r>
        <r>
          <rPr>
            <sz val="9"/>
            <rFont val="宋体"/>
            <charset val="134"/>
          </rPr>
          <t xml:space="preserve">
3001919 7/3 504pcs 华兴三B3</t>
        </r>
      </text>
    </comment>
    <comment ref="AC139" authorId="0">
      <text>
        <r>
          <rPr>
            <b/>
            <sz val="9"/>
            <rFont val="宋体"/>
            <charset val="134"/>
          </rPr>
          <t>Administrator:</t>
        </r>
        <r>
          <rPr>
            <sz val="9"/>
            <rFont val="宋体"/>
            <charset val="134"/>
          </rPr>
          <t xml:space="preserve">
6/10 上亚马逊外箱贴纸 42pcs
6/14 上空白贴纸 3024pcs</t>
        </r>
      </text>
    </comment>
    <comment ref="AA140" authorId="0">
      <text>
        <r>
          <rPr>
            <b/>
            <sz val="9"/>
            <rFont val="宋体"/>
            <charset val="134"/>
          </rPr>
          <t>Administrator:</t>
        </r>
        <r>
          <rPr>
            <sz val="9"/>
            <rFont val="宋体"/>
            <charset val="134"/>
          </rPr>
          <t xml:space="preserve">
3001918 7/3 96pcs 华兴三B7</t>
        </r>
      </text>
    </comment>
    <comment ref="AC140" authorId="0">
      <text>
        <r>
          <rPr>
            <b/>
            <sz val="9"/>
            <rFont val="宋体"/>
            <charset val="134"/>
          </rPr>
          <t>Administrator:</t>
        </r>
        <r>
          <rPr>
            <sz val="9"/>
            <rFont val="宋体"/>
            <charset val="134"/>
          </rPr>
          <t xml:space="preserve">
6/18 上客供RFID贴纸 96pcs</t>
        </r>
      </text>
    </comment>
    <comment ref="AA141" authorId="0">
      <text>
        <r>
          <rPr>
            <b/>
            <sz val="9"/>
            <rFont val="宋体"/>
            <charset val="134"/>
          </rPr>
          <t>Administrator:</t>
        </r>
        <r>
          <rPr>
            <sz val="9"/>
            <rFont val="宋体"/>
            <charset val="134"/>
          </rPr>
          <t xml:space="preserve">
3001918 7/3 264pcs 华兴三B7
</t>
        </r>
      </text>
    </comment>
    <comment ref="AC141" authorId="0">
      <text>
        <r>
          <rPr>
            <b/>
            <sz val="9"/>
            <rFont val="宋体"/>
            <charset val="134"/>
          </rPr>
          <t>Administrator:</t>
        </r>
        <r>
          <rPr>
            <sz val="9"/>
            <rFont val="宋体"/>
            <charset val="134"/>
          </rPr>
          <t xml:space="preserve">
6/18 上客供RFID贴纸 264pcs</t>
        </r>
      </text>
    </comment>
    <comment ref="AA142" authorId="0">
      <text>
        <r>
          <rPr>
            <b/>
            <sz val="9"/>
            <rFont val="宋体"/>
            <charset val="134"/>
          </rPr>
          <t>Administrator:</t>
        </r>
        <r>
          <rPr>
            <sz val="9"/>
            <rFont val="宋体"/>
            <charset val="134"/>
          </rPr>
          <t xml:space="preserve">
3001918 7/3 84pcs 华兴三B7
</t>
        </r>
      </text>
    </comment>
    <comment ref="AC142" authorId="0">
      <text>
        <r>
          <rPr>
            <b/>
            <sz val="9"/>
            <rFont val="宋体"/>
            <charset val="134"/>
          </rPr>
          <t>Administrator:</t>
        </r>
        <r>
          <rPr>
            <sz val="9"/>
            <rFont val="宋体"/>
            <charset val="134"/>
          </rPr>
          <t xml:space="preserve">
6/18 上客供RFID贴纸 84pcs</t>
        </r>
      </text>
    </comment>
    <comment ref="AA143" authorId="0">
      <text>
        <r>
          <rPr>
            <b/>
            <sz val="9"/>
            <rFont val="宋体"/>
            <charset val="134"/>
          </rPr>
          <t>Administrator:</t>
        </r>
        <r>
          <rPr>
            <sz val="9"/>
            <rFont val="宋体"/>
            <charset val="134"/>
          </rPr>
          <t xml:space="preserve">
3001918 7/3 180pcs 华兴三B7
</t>
        </r>
      </text>
    </comment>
    <comment ref="AC143" authorId="0">
      <text>
        <r>
          <rPr>
            <b/>
            <sz val="9"/>
            <rFont val="宋体"/>
            <charset val="134"/>
          </rPr>
          <t>Administrator:</t>
        </r>
        <r>
          <rPr>
            <sz val="9"/>
            <rFont val="宋体"/>
            <charset val="134"/>
          </rPr>
          <t xml:space="preserve">
6/18 上客供RFID贴纸 180pcs</t>
        </r>
      </text>
    </comment>
    <comment ref="AA144" authorId="0">
      <text>
        <r>
          <rPr>
            <b/>
            <sz val="9"/>
            <rFont val="宋体"/>
            <charset val="134"/>
          </rPr>
          <t>Administrator:</t>
        </r>
        <r>
          <rPr>
            <sz val="9"/>
            <rFont val="宋体"/>
            <charset val="134"/>
          </rPr>
          <t xml:space="preserve">
3001916 7/3 540pcs 华兴三A15</t>
        </r>
      </text>
    </comment>
    <comment ref="AC144" authorId="0">
      <text>
        <r>
          <rPr>
            <b/>
            <sz val="9"/>
            <rFont val="宋体"/>
            <charset val="134"/>
          </rPr>
          <t>Administrator:</t>
        </r>
        <r>
          <rPr>
            <sz val="9"/>
            <rFont val="宋体"/>
            <charset val="134"/>
          </rPr>
          <t xml:space="preserve">
6/18 上UPC贴纸 540pcs</t>
        </r>
      </text>
    </comment>
    <comment ref="AA145" authorId="0">
      <text>
        <r>
          <rPr>
            <b/>
            <sz val="9"/>
            <rFont val="宋体"/>
            <charset val="134"/>
          </rPr>
          <t>Administrator:</t>
        </r>
        <r>
          <rPr>
            <sz val="9"/>
            <rFont val="宋体"/>
            <charset val="134"/>
          </rPr>
          <t xml:space="preserve">
3001916 7/3 1080pcs 华兴三A15</t>
        </r>
      </text>
    </comment>
    <comment ref="AC145" authorId="0">
      <text>
        <r>
          <rPr>
            <b/>
            <sz val="9"/>
            <rFont val="宋体"/>
            <charset val="134"/>
          </rPr>
          <t>Administrator:</t>
        </r>
        <r>
          <rPr>
            <sz val="9"/>
            <rFont val="宋体"/>
            <charset val="134"/>
          </rPr>
          <t xml:space="preserve">
6/21 上进口商贴纸 1080pcs
     上UPC/价标贴纸 1080pcs</t>
        </r>
      </text>
    </comment>
    <comment ref="AA146" authorId="0">
      <text>
        <r>
          <rPr>
            <b/>
            <sz val="9"/>
            <rFont val="宋体"/>
            <charset val="134"/>
          </rPr>
          <t>Administrator:</t>
        </r>
        <r>
          <rPr>
            <sz val="9"/>
            <rFont val="宋体"/>
            <charset val="134"/>
          </rPr>
          <t xml:space="preserve">
3001916 7/3 1152pcs 华兴三A10</t>
        </r>
      </text>
    </comment>
    <comment ref="AC146" authorId="0">
      <text>
        <r>
          <rPr>
            <b/>
            <sz val="9"/>
            <rFont val="宋体"/>
            <charset val="134"/>
          </rPr>
          <t>Administrator:</t>
        </r>
        <r>
          <rPr>
            <sz val="9"/>
            <rFont val="宋体"/>
            <charset val="134"/>
          </rPr>
          <t xml:space="preserve">
5/26 上客供RFID贴纸 1152pcs</t>
        </r>
      </text>
    </comment>
    <comment ref="AA147" authorId="0">
      <text>
        <r>
          <rPr>
            <b/>
            <sz val="9"/>
            <rFont val="宋体"/>
            <charset val="134"/>
          </rPr>
          <t>Administrator:</t>
        </r>
        <r>
          <rPr>
            <sz val="9"/>
            <rFont val="宋体"/>
            <charset val="134"/>
          </rPr>
          <t xml:space="preserve">
3001916 7/3 1152pcs 华兴三A10</t>
        </r>
      </text>
    </comment>
    <comment ref="AC147" authorId="0">
      <text>
        <r>
          <rPr>
            <b/>
            <sz val="9"/>
            <rFont val="宋体"/>
            <charset val="134"/>
          </rPr>
          <t>Administrator:</t>
        </r>
        <r>
          <rPr>
            <sz val="9"/>
            <rFont val="宋体"/>
            <charset val="134"/>
          </rPr>
          <t xml:space="preserve">
5/26 上客供RFID贴纸 1152pcs</t>
        </r>
      </text>
    </comment>
    <comment ref="AA148" authorId="0">
      <text>
        <r>
          <rPr>
            <b/>
            <sz val="9"/>
            <rFont val="宋体"/>
            <charset val="134"/>
          </rPr>
          <t>Administrator:</t>
        </r>
        <r>
          <rPr>
            <sz val="9"/>
            <rFont val="宋体"/>
            <charset val="134"/>
          </rPr>
          <t xml:space="preserve">
3001906 7/4 1040pcs 华兴三B1</t>
        </r>
      </text>
    </comment>
    <comment ref="AC148" authorId="0">
      <text>
        <r>
          <rPr>
            <b/>
            <sz val="9"/>
            <rFont val="宋体"/>
            <charset val="134"/>
          </rPr>
          <t>Administrator:</t>
        </r>
        <r>
          <rPr>
            <sz val="9"/>
            <rFont val="宋体"/>
            <charset val="134"/>
          </rPr>
          <t xml:space="preserve">
6/13 上进口商贴纸 3016pcs</t>
        </r>
      </text>
    </comment>
    <comment ref="AA149" authorId="0">
      <text>
        <r>
          <rPr>
            <b/>
            <sz val="9"/>
            <rFont val="宋体"/>
            <charset val="134"/>
          </rPr>
          <t>Administrator:</t>
        </r>
        <r>
          <rPr>
            <sz val="9"/>
            <rFont val="宋体"/>
            <charset val="134"/>
          </rPr>
          <t xml:space="preserve">
3001906 7/4 936pcs 华兴三B1
</t>
        </r>
      </text>
    </comment>
    <comment ref="AA150" authorId="0">
      <text>
        <r>
          <rPr>
            <b/>
            <sz val="9"/>
            <rFont val="宋体"/>
            <charset val="134"/>
          </rPr>
          <t>Administrator:</t>
        </r>
        <r>
          <rPr>
            <sz val="9"/>
            <rFont val="宋体"/>
            <charset val="134"/>
          </rPr>
          <t xml:space="preserve">
3001906 7/4 728pcs 华兴三D1
</t>
        </r>
      </text>
    </comment>
    <comment ref="AA151" authorId="0">
      <text>
        <r>
          <rPr>
            <b/>
            <sz val="9"/>
            <rFont val="宋体"/>
            <charset val="134"/>
          </rPr>
          <t>Administrator:</t>
        </r>
        <r>
          <rPr>
            <sz val="9"/>
            <rFont val="宋体"/>
            <charset val="134"/>
          </rPr>
          <t xml:space="preserve">
3001906 7/4 312pcs 已走货</t>
        </r>
      </text>
    </comment>
    <comment ref="AA152" authorId="0">
      <text>
        <r>
          <rPr>
            <b/>
            <sz val="9"/>
            <rFont val="宋体"/>
            <charset val="134"/>
          </rPr>
          <t>Administrator:</t>
        </r>
        <r>
          <rPr>
            <sz val="9"/>
            <rFont val="宋体"/>
            <charset val="134"/>
          </rPr>
          <t xml:space="preserve">
3001640 7/9 442pcs 华兴三B12</t>
        </r>
      </text>
    </comment>
    <comment ref="AC152" authorId="0">
      <text>
        <r>
          <rPr>
            <b/>
            <sz val="9"/>
            <rFont val="宋体"/>
            <charset val="134"/>
          </rPr>
          <t>Administrator:</t>
        </r>
        <r>
          <rPr>
            <sz val="9"/>
            <rFont val="宋体"/>
            <charset val="134"/>
          </rPr>
          <t xml:space="preserve">
6/25 上进口商贴纸 442pcs
     上EAN条码贴纸 442pcs
     上收藏指南贴纸 442pcs
     上PDQ贴纸 34pcs
     上外箱贴纸 68pcs</t>
        </r>
      </text>
    </comment>
    <comment ref="AA153" authorId="0">
      <text>
        <r>
          <rPr>
            <b/>
            <sz val="9"/>
            <rFont val="宋体"/>
            <charset val="134"/>
          </rPr>
          <t>Administrator:</t>
        </r>
        <r>
          <rPr>
            <sz val="9"/>
            <rFont val="宋体"/>
            <charset val="134"/>
          </rPr>
          <t xml:space="preserve">
3001686 7/8 2025pcs 莫海军B4楼B4区</t>
        </r>
      </text>
    </comment>
    <comment ref="AA154" authorId="0">
      <text>
        <r>
          <rPr>
            <b/>
            <sz val="9"/>
            <rFont val="宋体"/>
            <charset val="134"/>
          </rPr>
          <t>Administrator:</t>
        </r>
        <r>
          <rPr>
            <sz val="9"/>
            <rFont val="宋体"/>
            <charset val="134"/>
          </rPr>
          <t xml:space="preserve">
3001678 7/7 540pcs 华兴三B14</t>
        </r>
      </text>
    </comment>
    <comment ref="AA155" authorId="0">
      <text>
        <r>
          <rPr>
            <b/>
            <sz val="9"/>
            <rFont val="宋体"/>
            <charset val="134"/>
          </rPr>
          <t>Administrator:</t>
        </r>
        <r>
          <rPr>
            <sz val="9"/>
            <rFont val="宋体"/>
            <charset val="134"/>
          </rPr>
          <t xml:space="preserve">
3001636 7/11 5512pcs 华兴三B15</t>
        </r>
      </text>
    </comment>
    <comment ref="AA156" authorId="0">
      <text>
        <r>
          <rPr>
            <b/>
            <sz val="9"/>
            <rFont val="宋体"/>
            <charset val="134"/>
          </rPr>
          <t>Administrator:</t>
        </r>
        <r>
          <rPr>
            <sz val="9"/>
            <rFont val="宋体"/>
            <charset val="134"/>
          </rPr>
          <t xml:space="preserve">
3001616 7/10 2600pcs 华兴三A16</t>
        </r>
      </text>
    </comment>
    <comment ref="AA157" authorId="0">
      <text>
        <r>
          <rPr>
            <b/>
            <sz val="9"/>
            <rFont val="宋体"/>
            <charset val="134"/>
          </rPr>
          <t>Administrator:</t>
        </r>
        <r>
          <rPr>
            <sz val="9"/>
            <rFont val="宋体"/>
            <charset val="134"/>
          </rPr>
          <t xml:space="preserve">
3001636 7/11 1040pcs 华兴三A30</t>
        </r>
      </text>
    </comment>
    <comment ref="AA158" authorId="0">
      <text>
        <r>
          <rPr>
            <b/>
            <sz val="9"/>
            <rFont val="宋体"/>
            <charset val="134"/>
          </rPr>
          <t>Administrator:</t>
        </r>
        <r>
          <rPr>
            <sz val="9"/>
            <rFont val="宋体"/>
            <charset val="134"/>
          </rPr>
          <t xml:space="preserve">
3001636 7/11 4023pcs 华兴三B27</t>
        </r>
      </text>
    </comment>
    <comment ref="AC158" authorId="0">
      <text>
        <r>
          <rPr>
            <b/>
            <sz val="9"/>
            <rFont val="宋体"/>
            <charset val="134"/>
          </rPr>
          <t>Administrator:</t>
        </r>
        <r>
          <rPr>
            <sz val="9"/>
            <rFont val="宋体"/>
            <charset val="134"/>
          </rPr>
          <t xml:space="preserve">
6/26 上警语贴纸 4023pcs
     上价钱贴纸 4023pcs</t>
        </r>
      </text>
    </comment>
    <comment ref="AA159" authorId="0">
      <text>
        <r>
          <rPr>
            <b/>
            <sz val="9"/>
            <rFont val="宋体"/>
            <charset val="134"/>
          </rPr>
          <t>Administrator:</t>
        </r>
        <r>
          <rPr>
            <sz val="9"/>
            <rFont val="宋体"/>
            <charset val="134"/>
          </rPr>
          <t xml:space="preserve">
3001619 7/10 1300pcs 华兴三B15</t>
        </r>
      </text>
    </comment>
    <comment ref="AC159" authorId="0">
      <text>
        <r>
          <rPr>
            <b/>
            <sz val="9"/>
            <rFont val="宋体"/>
            <charset val="134"/>
          </rPr>
          <t>Administrator:</t>
        </r>
        <r>
          <rPr>
            <sz val="9"/>
            <rFont val="宋体"/>
            <charset val="134"/>
          </rPr>
          <t xml:space="preserve">
6/26 上UPC贴纸 4225pcs
167181/169209共用</t>
        </r>
      </text>
    </comment>
    <comment ref="AA160" authorId="0">
      <text>
        <r>
          <rPr>
            <b/>
            <sz val="9"/>
            <rFont val="宋体"/>
            <charset val="134"/>
          </rPr>
          <t>Administrator:</t>
        </r>
        <r>
          <rPr>
            <sz val="9"/>
            <rFont val="宋体"/>
            <charset val="134"/>
          </rPr>
          <t xml:space="preserve">
3001636 7/11 2925pcs 华兴三B16</t>
        </r>
      </text>
    </comment>
    <comment ref="AC160" authorId="0">
      <text>
        <r>
          <rPr>
            <b/>
            <sz val="9"/>
            <rFont val="宋体"/>
            <charset val="134"/>
          </rPr>
          <t>Administrator:</t>
        </r>
        <r>
          <rPr>
            <sz val="9"/>
            <rFont val="宋体"/>
            <charset val="134"/>
          </rPr>
          <t xml:space="preserve">
6/26 上UPC贴纸 4225pcs
167181/169209共用</t>
        </r>
      </text>
    </comment>
    <comment ref="AA161" authorId="0">
      <text>
        <r>
          <rPr>
            <b/>
            <sz val="9"/>
            <rFont val="宋体"/>
            <charset val="134"/>
          </rPr>
          <t>Administrator:</t>
        </r>
        <r>
          <rPr>
            <sz val="9"/>
            <rFont val="宋体"/>
            <charset val="134"/>
          </rPr>
          <t xml:space="preserve">
3001445 7/15 1116pcs 华兴三B8
3001424 7/16  36pcs  华兴三A8</t>
        </r>
      </text>
    </comment>
    <comment ref="AC161" authorId="0">
      <text>
        <r>
          <rPr>
            <b/>
            <sz val="9"/>
            <rFont val="宋体"/>
            <charset val="134"/>
          </rPr>
          <t>Administrator:</t>
        </r>
        <r>
          <rPr>
            <sz val="9"/>
            <rFont val="宋体"/>
            <charset val="134"/>
          </rPr>
          <t xml:space="preserve">
5/26 上客供RFID贴纸 1152pcs</t>
        </r>
      </text>
    </comment>
    <comment ref="AA162" authorId="0">
      <text>
        <r>
          <rPr>
            <b/>
            <sz val="9"/>
            <rFont val="宋体"/>
            <charset val="134"/>
          </rPr>
          <t>Administrator:</t>
        </r>
        <r>
          <rPr>
            <sz val="9"/>
            <rFont val="宋体"/>
            <charset val="134"/>
          </rPr>
          <t xml:space="preserve">
3001445 7/15 1140pcs 华兴三B8
3001379 7/17  12pcs  华兴三B8</t>
        </r>
      </text>
    </comment>
    <comment ref="AC162" authorId="0">
      <text>
        <r>
          <rPr>
            <b/>
            <sz val="9"/>
            <rFont val="宋体"/>
            <charset val="134"/>
          </rPr>
          <t>Administrator:</t>
        </r>
        <r>
          <rPr>
            <sz val="9"/>
            <rFont val="宋体"/>
            <charset val="134"/>
          </rPr>
          <t xml:space="preserve">
5/26 上客供RFID贴纸 1152pcs</t>
        </r>
      </text>
    </comment>
    <comment ref="AA163" authorId="0">
      <text>
        <r>
          <rPr>
            <b/>
            <sz val="9"/>
            <rFont val="宋体"/>
            <charset val="134"/>
          </rPr>
          <t>Administrator:</t>
        </r>
        <r>
          <rPr>
            <sz val="9"/>
            <rFont val="宋体"/>
            <charset val="134"/>
          </rPr>
          <t xml:space="preserve">
3002605 7/19 507pcs 莫海军B4楼B4区
3002011 7/31  13pcs 莫海军B4楼B4区</t>
        </r>
      </text>
    </comment>
    <comment ref="AC163" authorId="0">
      <text>
        <r>
          <rPr>
            <b/>
            <sz val="12"/>
            <rFont val="宋体"/>
            <charset val="134"/>
          </rPr>
          <t>Administrator:</t>
        </r>
        <r>
          <rPr>
            <sz val="12"/>
            <rFont val="宋体"/>
            <charset val="134"/>
          </rPr>
          <t xml:space="preserve">
6/23 上UPC贴纸 520pcs
6/26 上进口商贴纸 520pcs</t>
        </r>
      </text>
    </comment>
    <comment ref="AA164" authorId="0">
      <text>
        <r>
          <rPr>
            <b/>
            <sz val="9"/>
            <rFont val="宋体"/>
            <charset val="134"/>
          </rPr>
          <t>Administrator:</t>
        </r>
        <r>
          <rPr>
            <sz val="9"/>
            <rFont val="宋体"/>
            <charset val="134"/>
          </rPr>
          <t xml:space="preserve">
3001407 7/17 26pcs 华兴三B12</t>
        </r>
      </text>
    </comment>
    <comment ref="AA165" authorId="0">
      <text>
        <r>
          <rPr>
            <b/>
            <sz val="9"/>
            <rFont val="宋体"/>
            <charset val="134"/>
          </rPr>
          <t>Administrator:</t>
        </r>
        <r>
          <rPr>
            <sz val="9"/>
            <rFont val="宋体"/>
            <charset val="134"/>
          </rPr>
          <t xml:space="preserve">
3001407 7/17 270pcs 华兴三B13</t>
        </r>
      </text>
    </comment>
    <comment ref="AC165" authorId="0">
      <text>
        <r>
          <rPr>
            <b/>
            <sz val="12"/>
            <rFont val="宋体"/>
            <charset val="134"/>
          </rPr>
          <t>Administrator:</t>
        </r>
        <r>
          <rPr>
            <sz val="12"/>
            <rFont val="宋体"/>
            <charset val="134"/>
          </rPr>
          <t xml:space="preserve">
7/8 上进口商贴纸 270pcs
    上UPC贴纸 270pcs</t>
        </r>
      </text>
    </comment>
    <comment ref="AA166" authorId="0">
      <text>
        <r>
          <rPr>
            <b/>
            <sz val="9"/>
            <rFont val="宋体"/>
            <charset val="134"/>
          </rPr>
          <t>Administrator:</t>
        </r>
        <r>
          <rPr>
            <sz val="9"/>
            <rFont val="宋体"/>
            <charset val="134"/>
          </rPr>
          <t xml:space="preserve">
3002638 7/18 1152pcs 华兴三B2</t>
        </r>
      </text>
    </comment>
    <comment ref="AC166" authorId="0">
      <text>
        <r>
          <rPr>
            <b/>
            <sz val="9"/>
            <rFont val="宋体"/>
            <charset val="134"/>
          </rPr>
          <t>Administrator:</t>
        </r>
        <r>
          <rPr>
            <sz val="9"/>
            <rFont val="宋体"/>
            <charset val="134"/>
          </rPr>
          <t xml:space="preserve">
5/26 上客供RFID贴纸 1152pcs</t>
        </r>
      </text>
    </comment>
    <comment ref="AA167" authorId="0">
      <text>
        <r>
          <rPr>
            <b/>
            <sz val="9"/>
            <rFont val="宋体"/>
            <charset val="134"/>
          </rPr>
          <t>Administrator:</t>
        </r>
        <r>
          <rPr>
            <sz val="9"/>
            <rFont val="宋体"/>
            <charset val="134"/>
          </rPr>
          <t xml:space="preserve">
3002633 7/18 4266pcs 华兴三B16</t>
        </r>
      </text>
    </comment>
    <comment ref="AC167" authorId="0">
      <text>
        <r>
          <rPr>
            <b/>
            <sz val="9"/>
            <rFont val="宋体"/>
            <charset val="134"/>
          </rPr>
          <t>Administrator:</t>
        </r>
        <r>
          <rPr>
            <sz val="9"/>
            <rFont val="宋体"/>
            <charset val="134"/>
          </rPr>
          <t xml:space="preserve">
7/5 上进口商贴纸 4266pcs
    上UPC条码贴纸 4266pcs</t>
        </r>
      </text>
    </comment>
    <comment ref="AA168" authorId="0">
      <text>
        <r>
          <rPr>
            <b/>
            <sz val="9"/>
            <rFont val="宋体"/>
            <charset val="134"/>
          </rPr>
          <t>Administrator:</t>
        </r>
        <r>
          <rPr>
            <sz val="9"/>
            <rFont val="宋体"/>
            <charset val="134"/>
          </rPr>
          <t xml:space="preserve">
3002638 7/18 1152pcs 华兴三B3</t>
        </r>
      </text>
    </comment>
    <comment ref="AC168" authorId="0">
      <text>
        <r>
          <rPr>
            <b/>
            <sz val="9"/>
            <rFont val="宋体"/>
            <charset val="134"/>
          </rPr>
          <t>Administrator:</t>
        </r>
        <r>
          <rPr>
            <sz val="9"/>
            <rFont val="宋体"/>
            <charset val="134"/>
          </rPr>
          <t xml:space="preserve">
5/26 上客供RFID贴纸 1152pcs</t>
        </r>
      </text>
    </comment>
    <comment ref="AA169" authorId="0">
      <text>
        <r>
          <rPr>
            <b/>
            <sz val="9"/>
            <rFont val="宋体"/>
            <charset val="134"/>
          </rPr>
          <t>Administrator:</t>
        </r>
        <r>
          <rPr>
            <sz val="9"/>
            <rFont val="宋体"/>
            <charset val="134"/>
          </rPr>
          <t xml:space="preserve">
3002633 7/18 1152pcs 华兴三B3</t>
        </r>
      </text>
    </comment>
    <comment ref="AC169" authorId="0">
      <text>
        <r>
          <rPr>
            <b/>
            <sz val="9"/>
            <rFont val="宋体"/>
            <charset val="134"/>
          </rPr>
          <t>Administrator:</t>
        </r>
        <r>
          <rPr>
            <sz val="9"/>
            <rFont val="宋体"/>
            <charset val="134"/>
          </rPr>
          <t xml:space="preserve">
5/26 上客供RFID贴纸 1152pcs</t>
        </r>
      </text>
    </comment>
    <comment ref="AA170" authorId="0">
      <text>
        <r>
          <rPr>
            <b/>
            <sz val="9"/>
            <rFont val="宋体"/>
            <charset val="134"/>
          </rPr>
          <t>Administrator:</t>
        </r>
        <r>
          <rPr>
            <sz val="9"/>
            <rFont val="宋体"/>
            <charset val="134"/>
          </rPr>
          <t xml:space="preserve">
3002605 7/19 540pcs 莫海军B4楼B1区</t>
        </r>
      </text>
    </comment>
    <comment ref="AA171" authorId="0">
      <text>
        <r>
          <rPr>
            <b/>
            <sz val="9"/>
            <rFont val="宋体"/>
            <charset val="134"/>
          </rPr>
          <t>Administrator:</t>
        </r>
        <r>
          <rPr>
            <sz val="9"/>
            <rFont val="宋体"/>
            <charset val="134"/>
          </rPr>
          <t xml:space="preserve">
3002613 7/19 1248pcs 华兴三A30
3002605 7/19  39pcs  华兴三A30</t>
        </r>
      </text>
    </comment>
    <comment ref="AC171" authorId="0">
      <text>
        <r>
          <rPr>
            <b/>
            <sz val="9"/>
            <rFont val="宋体"/>
            <charset val="134"/>
          </rPr>
          <t>Administrator:</t>
        </r>
        <r>
          <rPr>
            <sz val="9"/>
            <rFont val="宋体"/>
            <charset val="134"/>
          </rPr>
          <t xml:space="preserve">
7/3 上UPC贴纸 1287pcs</t>
        </r>
      </text>
    </comment>
    <comment ref="AA172" authorId="0">
      <text>
        <r>
          <rPr>
            <b/>
            <sz val="9"/>
            <rFont val="宋体"/>
            <charset val="134"/>
          </rPr>
          <t>Administrator:</t>
        </r>
        <r>
          <rPr>
            <sz val="9"/>
            <rFont val="宋体"/>
            <charset val="134"/>
          </rPr>
          <t xml:space="preserve">
3002605 7/19 486pcs 莫海军B4楼B1区</t>
        </r>
      </text>
    </comment>
    <comment ref="AC172" authorId="0">
      <text>
        <r>
          <rPr>
            <b/>
            <sz val="12"/>
            <rFont val="宋体"/>
            <charset val="134"/>
          </rPr>
          <t>Administrator:</t>
        </r>
        <r>
          <rPr>
            <sz val="12"/>
            <rFont val="宋体"/>
            <charset val="134"/>
          </rPr>
          <t xml:space="preserve">
7/8 上进口商贴纸 486pcs
    上UPC贴纸 486pcs</t>
        </r>
      </text>
    </comment>
    <comment ref="AA173" authorId="0">
      <text>
        <r>
          <rPr>
            <b/>
            <sz val="9"/>
            <rFont val="宋体"/>
            <charset val="134"/>
          </rPr>
          <t>Administrator:</t>
        </r>
        <r>
          <rPr>
            <sz val="9"/>
            <rFont val="宋体"/>
            <charset val="134"/>
          </rPr>
          <t xml:space="preserve">
3002619 7/19 108pcs 华兴三B15</t>
        </r>
      </text>
    </comment>
    <comment ref="AC173" authorId="0">
      <text>
        <r>
          <rPr>
            <b/>
            <sz val="9"/>
            <rFont val="宋体"/>
            <charset val="134"/>
          </rPr>
          <t>Administrator:</t>
        </r>
        <r>
          <rPr>
            <sz val="9"/>
            <rFont val="宋体"/>
            <charset val="134"/>
          </rPr>
          <t xml:space="preserve">
7/2 上空白UPC贴纸 396pcs
168600/169031/168994共用
7/11 上客供亚马逊外箱贴纸 9pcs
7/14 上空白UPC贴纸 432pcs
168600/169031/168994共用
</t>
        </r>
      </text>
    </comment>
    <comment ref="AA174" authorId="0">
      <text>
        <r>
          <rPr>
            <b/>
            <sz val="9"/>
            <rFont val="宋体"/>
            <charset val="134"/>
          </rPr>
          <t>Administrator:</t>
        </r>
        <r>
          <rPr>
            <sz val="9"/>
            <rFont val="宋体"/>
            <charset val="134"/>
          </rPr>
          <t xml:space="preserve">
3002605 7/19 2860pcs 莫海军B4楼B8区</t>
        </r>
      </text>
    </comment>
    <comment ref="AC174" authorId="0">
      <text>
        <r>
          <rPr>
            <b/>
            <sz val="9"/>
            <rFont val="宋体"/>
            <charset val="134"/>
          </rPr>
          <t>Administrator:</t>
        </r>
        <r>
          <rPr>
            <sz val="9"/>
            <rFont val="宋体"/>
            <charset val="134"/>
          </rPr>
          <t xml:space="preserve">
7/5 上德语警语贴纸 2860pcs</t>
        </r>
      </text>
    </comment>
    <comment ref="AA175" authorId="0">
      <text>
        <r>
          <rPr>
            <b/>
            <sz val="9"/>
            <rFont val="宋体"/>
            <charset val="134"/>
          </rPr>
          <t>Administrator:</t>
        </r>
        <r>
          <rPr>
            <sz val="9"/>
            <rFont val="宋体"/>
            <charset val="134"/>
          </rPr>
          <t xml:space="preserve">
3002619 7/19 60pcs 华兴三B15</t>
        </r>
      </text>
    </comment>
    <comment ref="AC175" authorId="0">
      <text>
        <r>
          <rPr>
            <b/>
            <sz val="9"/>
            <rFont val="宋体"/>
            <charset val="134"/>
          </rPr>
          <t>Administrator:</t>
        </r>
        <r>
          <rPr>
            <sz val="9"/>
            <rFont val="宋体"/>
            <charset val="134"/>
          </rPr>
          <t xml:space="preserve">
7/2 上空白UPC贴纸 396pcs
168600/169031/168994共用
7/11 上客供亚马逊外箱贴纸 5pcs
7/14 上空白UPC贴纸 432pcs
168600/169031/168994共用
</t>
        </r>
      </text>
    </comment>
    <comment ref="AA176" authorId="0">
      <text>
        <r>
          <rPr>
            <b/>
            <sz val="9"/>
            <rFont val="宋体"/>
            <charset val="134"/>
          </rPr>
          <t>Administrator:</t>
        </r>
        <r>
          <rPr>
            <sz val="9"/>
            <rFont val="宋体"/>
            <charset val="134"/>
          </rPr>
          <t xml:space="preserve">
3002619 7/19 12pcs 华兴三B15</t>
        </r>
      </text>
    </comment>
    <comment ref="AC176" authorId="0">
      <text>
        <r>
          <rPr>
            <b/>
            <sz val="9"/>
            <rFont val="宋体"/>
            <charset val="134"/>
          </rPr>
          <t>Administrator:</t>
        </r>
        <r>
          <rPr>
            <sz val="9"/>
            <rFont val="宋体"/>
            <charset val="134"/>
          </rPr>
          <t xml:space="preserve">
7/2 上空白UPC贴纸 396pcs
168600/169031/168994共用
7/11 上客供亚马逊外箱贴纸 1pcs
7/14 上空白UPC贴纸 432pcs
168600/169031/168994共用
</t>
        </r>
      </text>
    </comment>
    <comment ref="AA177" authorId="0">
      <text>
        <r>
          <rPr>
            <b/>
            <sz val="9"/>
            <rFont val="宋体"/>
            <charset val="134"/>
          </rPr>
          <t>Administrator:</t>
        </r>
        <r>
          <rPr>
            <sz val="9"/>
            <rFont val="宋体"/>
            <charset val="134"/>
          </rPr>
          <t xml:space="preserve">
3002619 7/19 168pcs 华兴三B15</t>
        </r>
      </text>
    </comment>
    <comment ref="AC177" authorId="0">
      <text>
        <r>
          <rPr>
            <b/>
            <sz val="9"/>
            <rFont val="宋体"/>
            <charset val="134"/>
          </rPr>
          <t>Administrator:</t>
        </r>
        <r>
          <rPr>
            <sz val="9"/>
            <rFont val="宋体"/>
            <charset val="134"/>
          </rPr>
          <t xml:space="preserve">
7/2 上空白UPC贴纸 396pcs
168600/169031/168994共用
7/11 上客供亚马逊外箱贴纸 14pcs
7/14 上空白UPC贴纸 432pcs
168600/169031/168994共用
</t>
        </r>
      </text>
    </comment>
    <comment ref="AA178" authorId="0">
      <text>
        <r>
          <rPr>
            <b/>
            <sz val="9"/>
            <rFont val="宋体"/>
            <charset val="134"/>
          </rPr>
          <t>Administrator:</t>
        </r>
        <r>
          <rPr>
            <sz val="9"/>
            <rFont val="宋体"/>
            <charset val="134"/>
          </rPr>
          <t xml:space="preserve">
3002539 7/22 1968pcs 华兴三B13
3002461 7/26  24pcs  华兴三B13</t>
        </r>
      </text>
    </comment>
    <comment ref="AC178" authorId="0">
      <text>
        <r>
          <rPr>
            <b/>
            <sz val="9"/>
            <rFont val="宋体"/>
            <charset val="134"/>
          </rPr>
          <t>Administrator:</t>
        </r>
        <r>
          <rPr>
            <sz val="9"/>
            <rFont val="宋体"/>
            <charset val="134"/>
          </rPr>
          <t xml:space="preserve">
7/1 上空白贴纸 3984pcs</t>
        </r>
      </text>
    </comment>
    <comment ref="AA179" authorId="0">
      <text>
        <r>
          <rPr>
            <b/>
            <sz val="9"/>
            <rFont val="宋体"/>
            <charset val="134"/>
          </rPr>
          <t>Administrator:</t>
        </r>
        <r>
          <rPr>
            <sz val="9"/>
            <rFont val="宋体"/>
            <charset val="134"/>
          </rPr>
          <t xml:space="preserve">
3002539 7/22 1350pcs 华兴三B12</t>
        </r>
      </text>
    </comment>
    <comment ref="AC179" authorId="0">
      <text>
        <r>
          <rPr>
            <b/>
            <sz val="9"/>
            <rFont val="宋体"/>
            <charset val="134"/>
          </rPr>
          <t>Administrator:</t>
        </r>
        <r>
          <rPr>
            <sz val="9"/>
            <rFont val="宋体"/>
            <charset val="134"/>
          </rPr>
          <t xml:space="preserve">
7/3 上客人通用进口商贴纸 1350pcs</t>
        </r>
      </text>
    </comment>
    <comment ref="AA180" authorId="0">
      <text>
        <r>
          <rPr>
            <b/>
            <sz val="9"/>
            <rFont val="宋体"/>
            <charset val="134"/>
          </rPr>
          <t>Administrator:</t>
        </r>
        <r>
          <rPr>
            <sz val="9"/>
            <rFont val="宋体"/>
            <charset val="134"/>
          </rPr>
          <t xml:space="preserve">
3002458 7/22 1040pcs 华兴三A23</t>
        </r>
      </text>
    </comment>
    <comment ref="AA181" authorId="0">
      <text>
        <r>
          <rPr>
            <b/>
            <sz val="9"/>
            <rFont val="宋体"/>
            <charset val="134"/>
          </rPr>
          <t>Administrator:</t>
        </r>
        <r>
          <rPr>
            <sz val="9"/>
            <rFont val="宋体"/>
            <charset val="134"/>
          </rPr>
          <t xml:space="preserve">
3002183 8/2 650pcs 华兴三B4</t>
        </r>
      </text>
    </comment>
    <comment ref="AC181" authorId="0">
      <text>
        <r>
          <rPr>
            <b/>
            <sz val="9"/>
            <rFont val="宋体"/>
            <charset val="134"/>
          </rPr>
          <t>Administrator:</t>
        </r>
        <r>
          <rPr>
            <sz val="9"/>
            <rFont val="宋体"/>
            <charset val="134"/>
          </rPr>
          <t xml:space="preserve">
7/11 上8+贴纸 650pcs
     上3C贴纸 650pcs</t>
        </r>
      </text>
    </comment>
    <comment ref="AA182" authorId="0">
      <text>
        <r>
          <rPr>
            <b/>
            <sz val="9"/>
            <rFont val="宋体"/>
            <charset val="134"/>
          </rPr>
          <t>Administrator:</t>
        </r>
        <r>
          <rPr>
            <sz val="9"/>
            <rFont val="宋体"/>
            <charset val="134"/>
          </rPr>
          <t xml:space="preserve">
3002092 7/26 492pcs 华兴三B11</t>
        </r>
      </text>
    </comment>
    <comment ref="AC182" authorId="0">
      <text>
        <r>
          <rPr>
            <b/>
            <sz val="9"/>
            <rFont val="宋体"/>
            <charset val="134"/>
          </rPr>
          <t>Administrator:</t>
        </r>
        <r>
          <rPr>
            <sz val="9"/>
            <rFont val="宋体"/>
            <charset val="134"/>
          </rPr>
          <t xml:space="preserve">
7/11 上亚马逊外箱贴纸 41pcs</t>
        </r>
      </text>
    </comment>
    <comment ref="AA183" authorId="0">
      <text>
        <r>
          <rPr>
            <b/>
            <sz val="9"/>
            <rFont val="宋体"/>
            <charset val="134"/>
          </rPr>
          <t>Administrator:</t>
        </r>
        <r>
          <rPr>
            <sz val="9"/>
            <rFont val="宋体"/>
            <charset val="134"/>
          </rPr>
          <t xml:space="preserve">
3002076 7/30 900pcs 华兴三B1</t>
        </r>
      </text>
    </comment>
    <comment ref="AC183" authorId="0">
      <text>
        <r>
          <rPr>
            <b/>
            <sz val="9"/>
            <rFont val="宋体"/>
            <charset val="134"/>
          </rPr>
          <t>Administrator:</t>
        </r>
        <r>
          <rPr>
            <sz val="9"/>
            <rFont val="宋体"/>
            <charset val="134"/>
          </rPr>
          <t xml:space="preserve">
7/16 上客供价格贴纸 990pcs</t>
        </r>
      </text>
    </comment>
    <comment ref="AA184" authorId="0">
      <text>
        <r>
          <rPr>
            <b/>
            <sz val="9"/>
            <rFont val="宋体"/>
            <charset val="134"/>
          </rPr>
          <t>Administrator:</t>
        </r>
        <r>
          <rPr>
            <sz val="9"/>
            <rFont val="宋体"/>
            <charset val="134"/>
          </rPr>
          <t xml:space="preserve">
3002076 7/30 1200pcs 华兴三B3</t>
        </r>
      </text>
    </comment>
    <comment ref="AC184" authorId="0">
      <text>
        <r>
          <rPr>
            <b/>
            <sz val="9"/>
            <rFont val="宋体"/>
            <charset val="134"/>
          </rPr>
          <t>Administrator:</t>
        </r>
        <r>
          <rPr>
            <sz val="9"/>
            <rFont val="宋体"/>
            <charset val="134"/>
          </rPr>
          <t xml:space="preserve">
7/16 上客供价格贴纸 1320pcs</t>
        </r>
      </text>
    </comment>
    <comment ref="AA185" authorId="0">
      <text>
        <r>
          <rPr>
            <b/>
            <sz val="9"/>
            <rFont val="宋体"/>
            <charset val="134"/>
          </rPr>
          <t xml:space="preserve">Administrator:
</t>
        </r>
        <r>
          <rPr>
            <sz val="9"/>
            <rFont val="宋体"/>
            <charset val="134"/>
          </rPr>
          <t xml:space="preserve">3002076 7/30 900pcs 华兴三B2
</t>
        </r>
      </text>
    </comment>
    <comment ref="AC185" authorId="0">
      <text>
        <r>
          <rPr>
            <b/>
            <sz val="9"/>
            <rFont val="宋体"/>
            <charset val="134"/>
          </rPr>
          <t>Administrator:</t>
        </r>
        <r>
          <rPr>
            <sz val="9"/>
            <rFont val="宋体"/>
            <charset val="134"/>
          </rPr>
          <t xml:space="preserve">
7/16 上客供价格贴纸 990pcs</t>
        </r>
      </text>
    </comment>
    <comment ref="AA186" authorId="0">
      <text>
        <r>
          <rPr>
            <b/>
            <sz val="9"/>
            <rFont val="宋体"/>
            <charset val="134"/>
          </rPr>
          <t>Administrator:</t>
        </r>
        <r>
          <rPr>
            <sz val="9"/>
            <rFont val="宋体"/>
            <charset val="134"/>
          </rPr>
          <t xml:space="preserve">
3002076 7/30 600pcs 华兴三B1
</t>
        </r>
      </text>
    </comment>
    <comment ref="AC186" authorId="0">
      <text>
        <r>
          <rPr>
            <b/>
            <sz val="9"/>
            <rFont val="宋体"/>
            <charset val="134"/>
          </rPr>
          <t>Administrator:</t>
        </r>
        <r>
          <rPr>
            <sz val="9"/>
            <rFont val="宋体"/>
            <charset val="134"/>
          </rPr>
          <t xml:space="preserve">
7/16 上客供价格贴纸 660pcs</t>
        </r>
      </text>
    </comment>
    <comment ref="AA187" authorId="0">
      <text>
        <r>
          <rPr>
            <b/>
            <sz val="9"/>
            <rFont val="宋体"/>
            <charset val="134"/>
          </rPr>
          <t>Administrator:</t>
        </r>
        <r>
          <rPr>
            <sz val="9"/>
            <rFont val="宋体"/>
            <charset val="134"/>
          </rPr>
          <t xml:space="preserve">
3002076 7/30 804pcs 华兴三B2
</t>
        </r>
      </text>
    </comment>
    <comment ref="AC187" authorId="0">
      <text>
        <r>
          <rPr>
            <b/>
            <sz val="9"/>
            <rFont val="宋体"/>
            <charset val="134"/>
          </rPr>
          <t>Administrator:</t>
        </r>
        <r>
          <rPr>
            <sz val="9"/>
            <rFont val="宋体"/>
            <charset val="134"/>
          </rPr>
          <t xml:space="preserve">
7/16 上客供价格贴纸 885pcs</t>
        </r>
      </text>
    </comment>
    <comment ref="AA188" authorId="0">
      <text>
        <r>
          <rPr>
            <b/>
            <sz val="9"/>
            <rFont val="宋体"/>
            <charset val="134"/>
          </rPr>
          <t>Administrator:</t>
        </r>
        <r>
          <rPr>
            <sz val="9"/>
            <rFont val="宋体"/>
            <charset val="134"/>
          </rPr>
          <t xml:space="preserve">
3002076 7/30 996pcs 华兴三B2
</t>
        </r>
      </text>
    </comment>
    <comment ref="AC188" authorId="0">
      <text>
        <r>
          <rPr>
            <b/>
            <sz val="9"/>
            <rFont val="宋体"/>
            <charset val="134"/>
          </rPr>
          <t>Administrator:</t>
        </r>
        <r>
          <rPr>
            <sz val="9"/>
            <rFont val="宋体"/>
            <charset val="134"/>
          </rPr>
          <t xml:space="preserve">
7/16 上客供价格贴纸 1096pcs</t>
        </r>
      </text>
    </comment>
    <comment ref="AA189" authorId="0">
      <text>
        <r>
          <rPr>
            <b/>
            <sz val="9"/>
            <rFont val="宋体"/>
            <charset val="134"/>
          </rPr>
          <t>Administrator:</t>
        </r>
        <r>
          <rPr>
            <sz val="9"/>
            <rFont val="宋体"/>
            <charset val="134"/>
          </rPr>
          <t xml:space="preserve">
3002076 7/30 600pcs 华兴三B2
</t>
        </r>
      </text>
    </comment>
    <comment ref="AC189" authorId="0">
      <text>
        <r>
          <rPr>
            <b/>
            <sz val="9"/>
            <rFont val="宋体"/>
            <charset val="134"/>
          </rPr>
          <t>Administrator:</t>
        </r>
        <r>
          <rPr>
            <sz val="9"/>
            <rFont val="宋体"/>
            <charset val="134"/>
          </rPr>
          <t xml:space="preserve">
7/16 上客供价格贴纸 660pcs</t>
        </r>
      </text>
    </comment>
    <comment ref="AA190" authorId="0">
      <text>
        <r>
          <rPr>
            <b/>
            <sz val="9"/>
            <rFont val="宋体"/>
            <charset val="134"/>
          </rPr>
          <t>Administrator:</t>
        </r>
        <r>
          <rPr>
            <sz val="9"/>
            <rFont val="宋体"/>
            <charset val="134"/>
          </rPr>
          <t xml:space="preserve">
3002076 7/30 600pcs 华兴三B2
</t>
        </r>
      </text>
    </comment>
    <comment ref="AC190" authorId="0">
      <text>
        <r>
          <rPr>
            <b/>
            <sz val="9"/>
            <rFont val="宋体"/>
            <charset val="134"/>
          </rPr>
          <t>Administrator:</t>
        </r>
        <r>
          <rPr>
            <sz val="9"/>
            <rFont val="宋体"/>
            <charset val="134"/>
          </rPr>
          <t xml:space="preserve">
7/16 上客供价格贴纸 660pcs</t>
        </r>
      </text>
    </comment>
    <comment ref="AA191" authorId="0">
      <text>
        <r>
          <rPr>
            <b/>
            <sz val="9"/>
            <rFont val="宋体"/>
            <charset val="134"/>
          </rPr>
          <t>Administrator:</t>
        </r>
        <r>
          <rPr>
            <sz val="9"/>
            <rFont val="宋体"/>
            <charset val="134"/>
          </rPr>
          <t xml:space="preserve">
3002076 7/30 900pcs 华兴三B1
</t>
        </r>
      </text>
    </comment>
    <comment ref="AC191" authorId="0">
      <text>
        <r>
          <rPr>
            <b/>
            <sz val="9"/>
            <rFont val="宋体"/>
            <charset val="134"/>
          </rPr>
          <t>Administrator:</t>
        </r>
        <r>
          <rPr>
            <sz val="9"/>
            <rFont val="宋体"/>
            <charset val="134"/>
          </rPr>
          <t xml:space="preserve">
7/16 上客供价格贴纸 990pcs</t>
        </r>
      </text>
    </comment>
    <comment ref="AA192" authorId="0">
      <text>
        <r>
          <rPr>
            <b/>
            <sz val="9"/>
            <rFont val="宋体"/>
            <charset val="134"/>
          </rPr>
          <t>Administrator:</t>
        </r>
        <r>
          <rPr>
            <sz val="9"/>
            <rFont val="宋体"/>
            <charset val="134"/>
          </rPr>
          <t xml:space="preserve">
3002063 7/31 996pcs 华兴一B6</t>
        </r>
      </text>
    </comment>
    <comment ref="AC192" authorId="0">
      <text>
        <r>
          <rPr>
            <b/>
            <sz val="9"/>
            <rFont val="宋体"/>
            <charset val="134"/>
          </rPr>
          <t>Administrator:</t>
        </r>
        <r>
          <rPr>
            <sz val="9"/>
            <rFont val="宋体"/>
            <charset val="134"/>
          </rPr>
          <t xml:space="preserve">
7/16 上客供价格贴纸 1096pcs</t>
        </r>
      </text>
    </comment>
    <comment ref="AA193" authorId="0">
      <text>
        <r>
          <rPr>
            <b/>
            <sz val="12"/>
            <rFont val="宋体"/>
            <charset val="134"/>
          </rPr>
          <t>Administrator:</t>
        </r>
        <r>
          <rPr>
            <sz val="12"/>
            <rFont val="宋体"/>
            <charset val="134"/>
          </rPr>
          <t xml:space="preserve">
3002267 8/4 520pcs 莫海军B4楼A6区</t>
        </r>
      </text>
    </comment>
    <comment ref="AC193" authorId="0">
      <text>
        <r>
          <rPr>
            <b/>
            <sz val="9"/>
            <rFont val="宋体"/>
            <charset val="134"/>
          </rPr>
          <t>Administrator:</t>
        </r>
        <r>
          <rPr>
            <sz val="9"/>
            <rFont val="宋体"/>
            <charset val="134"/>
          </rPr>
          <t xml:space="preserve">
7/5 上进口商贴纸 1508pcs</t>
        </r>
      </text>
    </comment>
    <comment ref="AA194" authorId="0">
      <text>
        <r>
          <rPr>
            <b/>
            <sz val="12"/>
            <rFont val="宋体"/>
            <charset val="134"/>
          </rPr>
          <t>Administrator:</t>
        </r>
        <r>
          <rPr>
            <sz val="12"/>
            <rFont val="宋体"/>
            <charset val="134"/>
          </rPr>
          <t xml:space="preserve">
3002267 8/4 468pcs 莫海军B4楼A6区</t>
        </r>
      </text>
    </comment>
    <comment ref="AA195" authorId="0">
      <text>
        <r>
          <rPr>
            <b/>
            <sz val="12"/>
            <rFont val="宋体"/>
            <charset val="134"/>
          </rPr>
          <t>Administrator:</t>
        </r>
        <r>
          <rPr>
            <sz val="12"/>
            <rFont val="宋体"/>
            <charset val="134"/>
          </rPr>
          <t xml:space="preserve">
3002267 8/4 364pcs 莫海军B4楼A6区
</t>
        </r>
      </text>
    </comment>
    <comment ref="AA196" authorId="0">
      <text>
        <r>
          <rPr>
            <b/>
            <sz val="12"/>
            <rFont val="宋体"/>
            <charset val="134"/>
          </rPr>
          <t>Administrator:</t>
        </r>
        <r>
          <rPr>
            <sz val="12"/>
            <rFont val="宋体"/>
            <charset val="134"/>
          </rPr>
          <t xml:space="preserve">
3002267 8/4 156pcs 莫海军B4楼A6区
</t>
        </r>
      </text>
    </comment>
    <comment ref="AA197" authorId="0">
      <text>
        <r>
          <rPr>
            <b/>
            <sz val="9"/>
            <rFont val="宋体"/>
            <charset val="134"/>
          </rPr>
          <t>Administrator:</t>
        </r>
        <r>
          <rPr>
            <sz val="9"/>
            <rFont val="宋体"/>
            <charset val="134"/>
          </rPr>
          <t xml:space="preserve">
3002183 8/2 2004pcs 华兴三B9
3002290 8/8  12pcs  华兴三B9</t>
        </r>
      </text>
    </comment>
    <comment ref="AC197" authorId="0">
      <text>
        <r>
          <rPr>
            <b/>
            <sz val="9"/>
            <rFont val="宋体"/>
            <charset val="134"/>
          </rPr>
          <t>Administrator:</t>
        </r>
        <r>
          <rPr>
            <sz val="9"/>
            <rFont val="宋体"/>
            <charset val="134"/>
          </rPr>
          <t xml:space="preserve">
7/10 上客供价格贴纸 2019pcs</t>
        </r>
      </text>
    </comment>
    <comment ref="AA198" authorId="0">
      <text>
        <r>
          <rPr>
            <b/>
            <sz val="9"/>
            <rFont val="宋体"/>
            <charset val="134"/>
          </rPr>
          <t>Administrator:</t>
        </r>
        <r>
          <rPr>
            <sz val="9"/>
            <rFont val="宋体"/>
            <charset val="134"/>
          </rPr>
          <t xml:space="preserve">
3002183 8/2 996pcs 华兴三B9</t>
        </r>
      </text>
    </comment>
    <comment ref="AC198" authorId="0">
      <text>
        <r>
          <rPr>
            <b/>
            <sz val="9"/>
            <rFont val="宋体"/>
            <charset val="134"/>
          </rPr>
          <t>Administrator:</t>
        </r>
        <r>
          <rPr>
            <sz val="9"/>
            <rFont val="宋体"/>
            <charset val="134"/>
          </rPr>
          <t xml:space="preserve">
7/10 上客供价格贴纸 1017pcs</t>
        </r>
      </text>
    </comment>
    <comment ref="AA199" authorId="0">
      <text>
        <r>
          <rPr>
            <b/>
            <sz val="9"/>
            <rFont val="宋体"/>
            <charset val="134"/>
          </rPr>
          <t>Administrator:</t>
        </r>
        <r>
          <rPr>
            <sz val="9"/>
            <rFont val="宋体"/>
            <charset val="134"/>
          </rPr>
          <t xml:space="preserve">
3002189 8/2 4992pcs 华兴一F3
3002355 8/6   13pcs 华兴一F3</t>
        </r>
      </text>
    </comment>
    <comment ref="AC199" authorId="0">
      <text>
        <r>
          <rPr>
            <b/>
            <sz val="9"/>
            <rFont val="宋体"/>
            <charset val="134"/>
          </rPr>
          <t>Administrator:</t>
        </r>
        <r>
          <rPr>
            <sz val="9"/>
            <rFont val="宋体"/>
            <charset val="134"/>
          </rPr>
          <t xml:space="preserve">
7/17 上客供外箱条码贴纸 395pcs</t>
        </r>
      </text>
    </comment>
    <comment ref="AA200" authorId="0">
      <text>
        <r>
          <rPr>
            <b/>
            <sz val="9"/>
            <rFont val="宋体"/>
            <charset val="134"/>
          </rPr>
          <t>Administrator:</t>
        </r>
        <r>
          <rPr>
            <sz val="9"/>
            <rFont val="宋体"/>
            <charset val="134"/>
          </rPr>
          <t xml:space="preserve">
3002355 8/6 2916pcs 华兴一F4</t>
        </r>
      </text>
    </comment>
    <comment ref="AC200" authorId="0">
      <text>
        <r>
          <rPr>
            <b/>
            <sz val="12"/>
            <rFont val="宋体"/>
            <charset val="134"/>
          </rPr>
          <t>Administrator:</t>
        </r>
        <r>
          <rPr>
            <sz val="12"/>
            <rFont val="宋体"/>
            <charset val="134"/>
          </rPr>
          <t xml:space="preserve">
7/16 上Slime bag荷兰语警语贴纸 2916pcs
     上德意荷警语贴纸 2916pcs</t>
        </r>
      </text>
    </comment>
    <comment ref="AA201" authorId="0">
      <text>
        <r>
          <rPr>
            <b/>
            <sz val="12"/>
            <rFont val="宋体"/>
            <charset val="134"/>
          </rPr>
          <t>Administrator:</t>
        </r>
        <r>
          <rPr>
            <sz val="12"/>
            <rFont val="宋体"/>
            <charset val="134"/>
          </rPr>
          <t xml:space="preserve">
3002377 8/5 1350pcs 华兴三B10</t>
        </r>
      </text>
    </comment>
    <comment ref="AC201" authorId="0">
      <text>
        <r>
          <rPr>
            <b/>
            <sz val="9"/>
            <rFont val="宋体"/>
            <charset val="134"/>
          </rPr>
          <t>Administrator:</t>
        </r>
        <r>
          <rPr>
            <sz val="9"/>
            <rFont val="宋体"/>
            <charset val="134"/>
          </rPr>
          <t xml:space="preserve">
7/22 上UPC贴纸 1350pcs</t>
        </r>
      </text>
    </comment>
    <comment ref="AA202" authorId="0">
      <text>
        <r>
          <rPr>
            <b/>
            <sz val="9"/>
            <rFont val="宋体"/>
            <charset val="134"/>
          </rPr>
          <t>Administrator:</t>
        </r>
        <r>
          <rPr>
            <sz val="9"/>
            <rFont val="宋体"/>
            <charset val="134"/>
          </rPr>
          <t xml:space="preserve">
4000299 8/9 104pcs 华兴三B14</t>
        </r>
      </text>
    </comment>
    <comment ref="AC202" authorId="0">
      <text>
        <r>
          <rPr>
            <b/>
            <sz val="9"/>
            <rFont val="宋体"/>
            <charset val="134"/>
          </rPr>
          <t>Administrator:</t>
        </r>
        <r>
          <rPr>
            <sz val="9"/>
            <rFont val="宋体"/>
            <charset val="134"/>
          </rPr>
          <t xml:space="preserve">
7/24 上进口商贴纸 104pcs</t>
        </r>
      </text>
    </comment>
    <comment ref="AA203" authorId="0">
      <text>
        <r>
          <rPr>
            <b/>
            <sz val="9"/>
            <rFont val="宋体"/>
            <charset val="134"/>
          </rPr>
          <t>Administrator:</t>
        </r>
        <r>
          <rPr>
            <sz val="9"/>
            <rFont val="宋体"/>
            <charset val="134"/>
          </rPr>
          <t xml:space="preserve">
4000299 8/9 1300pcs 华兴三B14</t>
        </r>
      </text>
    </comment>
    <comment ref="AC203" authorId="0">
      <text>
        <r>
          <rPr>
            <b/>
            <sz val="9"/>
            <rFont val="宋体"/>
            <charset val="134"/>
          </rPr>
          <t>Administrator:</t>
        </r>
        <r>
          <rPr>
            <sz val="9"/>
            <rFont val="宋体"/>
            <charset val="134"/>
          </rPr>
          <t xml:space="preserve">
7/23 上UPC贴纸 1300pcs</t>
        </r>
      </text>
    </comment>
    <comment ref="AA204" authorId="0">
      <text>
        <r>
          <rPr>
            <b/>
            <sz val="9"/>
            <rFont val="宋体"/>
            <charset val="134"/>
          </rPr>
          <t>Administrator:</t>
        </r>
        <r>
          <rPr>
            <sz val="9"/>
            <rFont val="宋体"/>
            <charset val="134"/>
          </rPr>
          <t xml:space="preserve">
4000335 8/12 10309pcs 莫海军B4楼B8区</t>
        </r>
      </text>
    </comment>
    <comment ref="AA205" authorId="0">
      <text>
        <r>
          <rPr>
            <b/>
            <sz val="9"/>
            <rFont val="宋体"/>
            <charset val="134"/>
          </rPr>
          <t>Administrator:</t>
        </r>
        <r>
          <rPr>
            <sz val="9"/>
            <rFont val="宋体"/>
            <charset val="134"/>
          </rPr>
          <t xml:space="preserve">
4000299 8/9 300pcs 华兴三B14</t>
        </r>
      </text>
    </comment>
    <comment ref="AC205" authorId="0">
      <text>
        <r>
          <rPr>
            <b/>
            <sz val="9"/>
            <rFont val="宋体"/>
            <charset val="134"/>
          </rPr>
          <t>Administrator:</t>
        </r>
        <r>
          <rPr>
            <sz val="9"/>
            <rFont val="宋体"/>
            <charset val="134"/>
          </rPr>
          <t xml:space="preserve">
7/26 上客供价格贴纸 315pcs</t>
        </r>
      </text>
    </comment>
    <comment ref="AA206" authorId="0">
      <text>
        <r>
          <rPr>
            <b/>
            <sz val="9"/>
            <rFont val="宋体"/>
            <charset val="134"/>
          </rPr>
          <t>Administrator:</t>
        </r>
        <r>
          <rPr>
            <sz val="9"/>
            <rFont val="宋体"/>
            <charset val="134"/>
          </rPr>
          <t xml:space="preserve">
4000299 8/9 650pcs 华兴三B14</t>
        </r>
      </text>
    </comment>
    <comment ref="AA207" authorId="0">
      <text>
        <r>
          <rPr>
            <b/>
            <sz val="9"/>
            <rFont val="宋体"/>
            <charset val="134"/>
          </rPr>
          <t>Administrator:</t>
        </r>
        <r>
          <rPr>
            <sz val="9"/>
            <rFont val="宋体"/>
            <charset val="134"/>
          </rPr>
          <t xml:space="preserve">
4000335 8/12 6006pcs 莫海军B4楼A5区
</t>
        </r>
      </text>
    </comment>
    <comment ref="AC207" authorId="0">
      <text>
        <r>
          <rPr>
            <b/>
            <sz val="9"/>
            <rFont val="宋体"/>
            <charset val="134"/>
          </rPr>
          <t>Administrator:</t>
        </r>
        <r>
          <rPr>
            <sz val="9"/>
            <rFont val="宋体"/>
            <charset val="134"/>
          </rPr>
          <t xml:space="preserve">
7/23 上客供外箱条码贴纸 467pcs</t>
        </r>
      </text>
    </comment>
    <comment ref="AA208" authorId="0">
      <text>
        <r>
          <rPr>
            <b/>
            <sz val="9"/>
            <rFont val="宋体"/>
            <charset val="134"/>
          </rPr>
          <t>Administrator:</t>
        </r>
        <r>
          <rPr>
            <sz val="9"/>
            <rFont val="宋体"/>
            <charset val="134"/>
          </rPr>
          <t xml:space="preserve">
4000335 8/12 7007pcs 莫海军B4楼B7区
</t>
        </r>
      </text>
    </comment>
    <comment ref="AC208" authorId="0">
      <text>
        <r>
          <rPr>
            <b/>
            <sz val="9"/>
            <rFont val="宋体"/>
            <charset val="134"/>
          </rPr>
          <t>Administrator:</t>
        </r>
        <r>
          <rPr>
            <sz val="9"/>
            <rFont val="宋体"/>
            <charset val="134"/>
          </rPr>
          <t xml:space="preserve">
7/23 上客供外箱条码贴纸 544pcs</t>
        </r>
      </text>
    </comment>
    <comment ref="AA209" authorId="0">
      <text>
        <r>
          <rPr>
            <b/>
            <sz val="9"/>
            <rFont val="宋体"/>
            <charset val="134"/>
          </rPr>
          <t>Administrator:</t>
        </r>
        <r>
          <rPr>
            <sz val="9"/>
            <rFont val="宋体"/>
            <charset val="134"/>
          </rPr>
          <t xml:space="preserve">
4000299 8/9 2052pcs 华兴三B14</t>
        </r>
      </text>
    </comment>
    <comment ref="AC209" authorId="0">
      <text>
        <r>
          <rPr>
            <b/>
            <sz val="9"/>
            <rFont val="宋体"/>
            <charset val="134"/>
          </rPr>
          <t>Administrator:</t>
        </r>
        <r>
          <rPr>
            <sz val="9"/>
            <rFont val="宋体"/>
            <charset val="134"/>
          </rPr>
          <t xml:space="preserve">
8/4 上进口商贴纸 2052pcs
    上UPC贴纸 2052pcs</t>
        </r>
      </text>
    </comment>
    <comment ref="AA210" authorId="0">
      <text>
        <r>
          <rPr>
            <b/>
            <sz val="9"/>
            <rFont val="宋体"/>
            <charset val="134"/>
          </rPr>
          <t>Administrator:</t>
        </r>
        <r>
          <rPr>
            <sz val="9"/>
            <rFont val="宋体"/>
            <charset val="134"/>
          </rPr>
          <t xml:space="preserve">
4000299 8/9 1350pcs 华兴三B14</t>
        </r>
      </text>
    </comment>
    <comment ref="AC210" authorId="0">
      <text>
        <r>
          <rPr>
            <b/>
            <sz val="9"/>
            <rFont val="宋体"/>
            <charset val="134"/>
          </rPr>
          <t>Administrator:</t>
        </r>
        <r>
          <rPr>
            <sz val="9"/>
            <rFont val="宋体"/>
            <charset val="134"/>
          </rPr>
          <t xml:space="preserve">
7/25 上客人通用进口商贴纸 1350pcs</t>
        </r>
      </text>
    </comment>
    <comment ref="AA211" authorId="0">
      <text>
        <r>
          <rPr>
            <b/>
            <sz val="9"/>
            <rFont val="宋体"/>
            <charset val="134"/>
          </rPr>
          <t>Administrator:</t>
        </r>
        <r>
          <rPr>
            <sz val="9"/>
            <rFont val="宋体"/>
            <charset val="134"/>
          </rPr>
          <t xml:space="preserve">
4000299 8/9 300pcs 华兴三B14</t>
        </r>
      </text>
    </comment>
    <comment ref="AC211" authorId="0">
      <text>
        <r>
          <rPr>
            <b/>
            <sz val="9"/>
            <rFont val="宋体"/>
            <charset val="134"/>
          </rPr>
          <t>Administrator:</t>
        </r>
        <r>
          <rPr>
            <sz val="9"/>
            <rFont val="宋体"/>
            <charset val="134"/>
          </rPr>
          <t xml:space="preserve">
8/2 上客供价格贴纸 315pcs</t>
        </r>
      </text>
    </comment>
    <comment ref="AA212" authorId="0">
      <text>
        <r>
          <rPr>
            <b/>
            <sz val="9"/>
            <rFont val="宋体"/>
            <charset val="134"/>
          </rPr>
          <t>Administrator:</t>
        </r>
        <r>
          <rPr>
            <sz val="9"/>
            <rFont val="宋体"/>
            <charset val="134"/>
          </rPr>
          <t xml:space="preserve">
4000085 8/29 260pcs 华兴一F12</t>
        </r>
      </text>
    </comment>
    <comment ref="AC212" authorId="0">
      <text>
        <r>
          <rPr>
            <b/>
            <sz val="9"/>
            <rFont val="宋体"/>
            <charset val="134"/>
          </rPr>
          <t>Administrator:</t>
        </r>
        <r>
          <rPr>
            <sz val="9"/>
            <rFont val="宋体"/>
            <charset val="134"/>
          </rPr>
          <t xml:space="preserve">
7/30 上客户EAN条码贴纸 260pcs</t>
        </r>
      </text>
    </comment>
    <comment ref="AA213" authorId="0">
      <text>
        <r>
          <rPr>
            <b/>
            <sz val="9"/>
            <rFont val="宋体"/>
            <charset val="134"/>
          </rPr>
          <t>Administrator:</t>
        </r>
        <r>
          <rPr>
            <sz val="9"/>
            <rFont val="宋体"/>
            <charset val="134"/>
          </rPr>
          <t xml:space="preserve">
4000085 8/29 1040pcs 华兴一F12</t>
        </r>
      </text>
    </comment>
    <comment ref="AC213" authorId="0">
      <text>
        <r>
          <rPr>
            <b/>
            <sz val="9"/>
            <rFont val="宋体"/>
            <charset val="134"/>
          </rPr>
          <t>Administrator:</t>
        </r>
        <r>
          <rPr>
            <sz val="9"/>
            <rFont val="宋体"/>
            <charset val="134"/>
          </rPr>
          <t xml:space="preserve">
7/26 上客户EAN条码贴纸 8320pcs</t>
        </r>
      </text>
    </comment>
    <comment ref="AA214" authorId="0">
      <text>
        <r>
          <rPr>
            <b/>
            <sz val="9"/>
            <rFont val="宋体"/>
            <charset val="134"/>
          </rPr>
          <t>Administrator:</t>
        </r>
        <r>
          <rPr>
            <sz val="9"/>
            <rFont val="宋体"/>
            <charset val="134"/>
          </rPr>
          <t xml:space="preserve">
4000085 8/29 1040pcs 华兴一F12</t>
        </r>
      </text>
    </comment>
    <comment ref="AA215" authorId="0">
      <text>
        <r>
          <rPr>
            <b/>
            <sz val="9"/>
            <rFont val="宋体"/>
            <charset val="134"/>
          </rPr>
          <t>Administrator:</t>
        </r>
        <r>
          <rPr>
            <sz val="9"/>
            <rFont val="宋体"/>
            <charset val="134"/>
          </rPr>
          <t xml:space="preserve">
4000085 8/29 1040pcs 华兴一F12</t>
        </r>
      </text>
    </comment>
    <comment ref="AA216" authorId="0">
      <text>
        <r>
          <rPr>
            <b/>
            <sz val="9"/>
            <rFont val="宋体"/>
            <charset val="134"/>
          </rPr>
          <t>Administrator:</t>
        </r>
        <r>
          <rPr>
            <sz val="9"/>
            <rFont val="宋体"/>
            <charset val="134"/>
          </rPr>
          <t xml:space="preserve">
4000085 8/29 1040pcs 华兴一F12</t>
        </r>
      </text>
    </comment>
    <comment ref="AA217" authorId="0">
      <text>
        <r>
          <rPr>
            <b/>
            <sz val="9"/>
            <rFont val="宋体"/>
            <charset val="134"/>
          </rPr>
          <t>Administrator:</t>
        </r>
        <r>
          <rPr>
            <sz val="9"/>
            <rFont val="宋体"/>
            <charset val="134"/>
          </rPr>
          <t xml:space="preserve">
4000085 8/29 1040pcs 华兴一F12</t>
        </r>
      </text>
    </comment>
    <comment ref="AA218" authorId="0">
      <text>
        <r>
          <rPr>
            <b/>
            <sz val="9"/>
            <rFont val="宋体"/>
            <charset val="134"/>
          </rPr>
          <t>Administrator:</t>
        </r>
        <r>
          <rPr>
            <sz val="9"/>
            <rFont val="宋体"/>
            <charset val="134"/>
          </rPr>
          <t xml:space="preserve">
4000085 8/29 1040pcs 华兴一F12</t>
        </r>
      </text>
    </comment>
    <comment ref="AA219" authorId="0">
      <text>
        <r>
          <rPr>
            <b/>
            <sz val="9"/>
            <rFont val="宋体"/>
            <charset val="134"/>
          </rPr>
          <t>Administrator:</t>
        </r>
        <r>
          <rPr>
            <sz val="9"/>
            <rFont val="宋体"/>
            <charset val="134"/>
          </rPr>
          <t xml:space="preserve">
4000085 8/29 1040pcs 华兴一F12</t>
        </r>
      </text>
    </comment>
    <comment ref="AA220" authorId="0">
      <text>
        <r>
          <rPr>
            <b/>
            <sz val="9"/>
            <rFont val="宋体"/>
            <charset val="134"/>
          </rPr>
          <t>Administrator:</t>
        </r>
        <r>
          <rPr>
            <sz val="9"/>
            <rFont val="宋体"/>
            <charset val="134"/>
          </rPr>
          <t xml:space="preserve">
4000085 8/29 1040pcs 华兴一F12</t>
        </r>
      </text>
    </comment>
    <comment ref="AA221" authorId="0">
      <text>
        <r>
          <rPr>
            <b/>
            <sz val="9"/>
            <rFont val="宋体"/>
            <charset val="134"/>
          </rPr>
          <t>Administrator:</t>
        </r>
        <r>
          <rPr>
            <sz val="9"/>
            <rFont val="宋体"/>
            <charset val="134"/>
          </rPr>
          <t xml:space="preserve">
4000099 8/30 3690pcs</t>
        </r>
      </text>
    </comment>
    <comment ref="AA222" authorId="0">
      <text>
        <r>
          <rPr>
            <b/>
            <sz val="9"/>
            <rFont val="宋体"/>
            <charset val="134"/>
          </rPr>
          <t>Administrator:</t>
        </r>
        <r>
          <rPr>
            <sz val="9"/>
            <rFont val="宋体"/>
            <charset val="134"/>
          </rPr>
          <t xml:space="preserve">
4000026 9/4 972pcs 华兴三B14
4000486 9/9  54pcs 华兴三B14</t>
        </r>
      </text>
    </comment>
    <comment ref="AA223" authorId="0">
      <text>
        <r>
          <rPr>
            <b/>
            <sz val="9"/>
            <rFont val="宋体"/>
            <charset val="134"/>
          </rPr>
          <t>Administrator:</t>
        </r>
        <r>
          <rPr>
            <sz val="9"/>
            <rFont val="宋体"/>
            <charset val="134"/>
          </rPr>
          <t xml:space="preserve">
3002082 7/29 783pcs 华兴三B16
8/29 退回返工
4000047 9/2 783pcs 华兴三A2</t>
        </r>
      </text>
    </comment>
    <comment ref="AA224" authorId="0">
      <text>
        <r>
          <rPr>
            <b/>
            <sz val="9"/>
            <rFont val="宋体"/>
            <charset val="134"/>
          </rPr>
          <t>Administrator:</t>
        </r>
        <r>
          <rPr>
            <sz val="9"/>
            <rFont val="宋体"/>
            <charset val="134"/>
          </rPr>
          <t xml:space="preserve">
3002082 7/29 1269pcs 华兴三A32
8/29 退回返工
4000047 9/2 1242pcs 华兴三A2
4000380 9/4  27pcs  华兴三A2</t>
        </r>
      </text>
    </comment>
    <comment ref="AA225" authorId="0">
      <text>
        <r>
          <rPr>
            <b/>
            <sz val="9"/>
            <rFont val="宋体"/>
            <charset val="134"/>
          </rPr>
          <t>Administrator:</t>
        </r>
        <r>
          <rPr>
            <sz val="9"/>
            <rFont val="宋体"/>
            <charset val="134"/>
          </rPr>
          <t xml:space="preserve">
3002082 7/29 756pcs 华兴三B15
8/29 退回返工
4000047 9/2 756pcs 华兴三A2</t>
        </r>
      </text>
    </comment>
    <comment ref="AA226" authorId="0">
      <text>
        <r>
          <rPr>
            <b/>
            <sz val="9"/>
            <rFont val="宋体"/>
            <charset val="134"/>
          </rPr>
          <t>Administrator:</t>
        </r>
        <r>
          <rPr>
            <sz val="9"/>
            <rFont val="宋体"/>
            <charset val="134"/>
          </rPr>
          <t xml:space="preserve">
3002082 7/29 1728pcs 华兴三A32
8/29 退回返工
4000047 9/2 1728pcs 华兴三B1</t>
        </r>
      </text>
    </comment>
    <comment ref="AA227" authorId="0">
      <text>
        <r>
          <rPr>
            <b/>
            <sz val="9"/>
            <rFont val="宋体"/>
            <charset val="134"/>
          </rPr>
          <t>Administrator:</t>
        </r>
        <r>
          <rPr>
            <sz val="9"/>
            <rFont val="宋体"/>
            <charset val="134"/>
          </rPr>
          <t xml:space="preserve">
3002082 7/29 2160pcs 华兴三A32
8/29 退回返工
4000047 9/2 2079pcs 华兴三A1
4000380 9/4  81pcs  华兴三B1</t>
        </r>
      </text>
    </comment>
    <comment ref="AA228" authorId="0">
      <text>
        <r>
          <rPr>
            <b/>
            <sz val="12"/>
            <rFont val="宋体"/>
            <charset val="134"/>
          </rPr>
          <t>Administrator:</t>
        </r>
        <r>
          <rPr>
            <sz val="12"/>
            <rFont val="宋体"/>
            <charset val="134"/>
          </rPr>
          <t xml:space="preserve">
3002088 7/29  27pcs 华兴三A21
3002082 7/29 864pcs 华兴三A32
8/29 退回返工
4000047 9/2 918pcs 华兴三A2</t>
        </r>
      </text>
    </comment>
    <comment ref="AA229" authorId="0">
      <text>
        <r>
          <rPr>
            <b/>
            <sz val="9"/>
            <rFont val="宋体"/>
            <charset val="134"/>
          </rPr>
          <t>Administrator:</t>
        </r>
        <r>
          <rPr>
            <sz val="9"/>
            <rFont val="宋体"/>
            <charset val="134"/>
          </rPr>
          <t xml:space="preserve">
3002082 7/29 918pcs 华兴三A32
8/29 退回返工
4000047 9/2 918pcs 华兴三A2</t>
        </r>
      </text>
    </comment>
    <comment ref="AA230" authorId="0">
      <text>
        <r>
          <rPr>
            <b/>
            <sz val="9"/>
            <rFont val="宋体"/>
            <charset val="134"/>
          </rPr>
          <t>Administrator:</t>
        </r>
        <r>
          <rPr>
            <sz val="9"/>
            <rFont val="宋体"/>
            <charset val="134"/>
          </rPr>
          <t xml:space="preserve">
3002082 7/29 1728pcs 华兴三A32
8/29 退回返工
4000047 9/2 1728pcs 华兴三B1 </t>
        </r>
      </text>
    </comment>
    <comment ref="AA231" authorId="0">
      <text>
        <r>
          <rPr>
            <b/>
            <sz val="9"/>
            <rFont val="宋体"/>
            <charset val="134"/>
          </rPr>
          <t>Administrator:</t>
        </r>
        <r>
          <rPr>
            <sz val="9"/>
            <rFont val="宋体"/>
            <charset val="134"/>
          </rPr>
          <t xml:space="preserve">
3002082 7/29 918pcs 华兴三A32
8/29 退回返工
4000047 9/2 837pcs 华兴三A2
4000380 9/4  81pcs 华兴三A2</t>
        </r>
      </text>
    </comment>
    <comment ref="AA232" authorId="0">
      <text>
        <r>
          <rPr>
            <b/>
            <sz val="9"/>
            <rFont val="宋体"/>
            <charset val="134"/>
          </rPr>
          <t>Administrator:</t>
        </r>
        <r>
          <rPr>
            <sz val="9"/>
            <rFont val="宋体"/>
            <charset val="134"/>
          </rPr>
          <t xml:space="preserve">
4000500 9/8 7007pcs 华兴一F5</t>
        </r>
      </text>
    </comment>
    <comment ref="AC232" authorId="0">
      <text>
        <r>
          <rPr>
            <b/>
            <sz val="9"/>
            <rFont val="宋体"/>
            <charset val="134"/>
          </rPr>
          <t>Administrator:</t>
        </r>
        <r>
          <rPr>
            <sz val="9"/>
            <rFont val="宋体"/>
            <charset val="134"/>
          </rPr>
          <t xml:space="preserve">
8/14 上客供外箱条码贴纸 544pcs</t>
        </r>
      </text>
    </comment>
    <comment ref="AA233" authorId="0">
      <text>
        <r>
          <rPr>
            <b/>
            <sz val="9"/>
            <rFont val="宋体"/>
            <charset val="134"/>
          </rPr>
          <t>Administrator:</t>
        </r>
        <r>
          <rPr>
            <sz val="9"/>
            <rFont val="宋体"/>
            <charset val="134"/>
          </rPr>
          <t xml:space="preserve">
4000500 9/8 9009pcs 华兴一F5</t>
        </r>
      </text>
    </comment>
    <comment ref="AC233" authorId="0">
      <text>
        <r>
          <rPr>
            <b/>
            <sz val="9"/>
            <rFont val="宋体"/>
            <charset val="134"/>
          </rPr>
          <t>Administrator:</t>
        </r>
        <r>
          <rPr>
            <sz val="9"/>
            <rFont val="宋体"/>
            <charset val="134"/>
          </rPr>
          <t xml:space="preserve">
8/14 上客供外箱条码贴纸 700pcs</t>
        </r>
      </text>
    </comment>
    <comment ref="AA234" authorId="0">
      <text>
        <r>
          <rPr>
            <b/>
            <sz val="9"/>
            <rFont val="宋体"/>
            <charset val="134"/>
          </rPr>
          <t>Administrator:</t>
        </r>
        <r>
          <rPr>
            <sz val="9"/>
            <rFont val="宋体"/>
            <charset val="134"/>
          </rPr>
          <t xml:space="preserve">
4000394 9/12 5421pcs 莫海军B4楼B3区
</t>
        </r>
      </text>
    </comment>
    <comment ref="AC234" authorId="0">
      <text>
        <r>
          <rPr>
            <b/>
            <sz val="9"/>
            <rFont val="宋体"/>
            <charset val="134"/>
          </rPr>
          <t>Administrator:</t>
        </r>
        <r>
          <rPr>
            <sz val="9"/>
            <rFont val="宋体"/>
            <charset val="134"/>
          </rPr>
          <t xml:space="preserve">
8/21 上客供外箱条码贴纸 421pcs</t>
        </r>
      </text>
    </comment>
    <comment ref="AA235" authorId="0">
      <text>
        <r>
          <rPr>
            <b/>
            <sz val="9"/>
            <rFont val="宋体"/>
            <charset val="134"/>
          </rPr>
          <t>Administrator:</t>
        </r>
        <r>
          <rPr>
            <sz val="9"/>
            <rFont val="宋体"/>
            <charset val="134"/>
          </rPr>
          <t xml:space="preserve">
4000394 9/12 5018pcs 莫海军B4楼A1区
</t>
        </r>
      </text>
    </comment>
    <comment ref="AC235" authorId="0">
      <text>
        <r>
          <rPr>
            <b/>
            <sz val="9"/>
            <rFont val="宋体"/>
            <charset val="134"/>
          </rPr>
          <t>Administrator:</t>
        </r>
        <r>
          <rPr>
            <sz val="9"/>
            <rFont val="宋体"/>
            <charset val="134"/>
          </rPr>
          <t xml:space="preserve">
8/21 上客供外箱条码贴纸 390pcs</t>
        </r>
      </text>
    </comment>
    <comment ref="AA236" authorId="0">
      <text>
        <r>
          <rPr>
            <b/>
            <sz val="9"/>
            <rFont val="宋体"/>
            <charset val="134"/>
          </rPr>
          <t>Administrator:</t>
        </r>
        <r>
          <rPr>
            <sz val="9"/>
            <rFont val="宋体"/>
            <charset val="134"/>
          </rPr>
          <t xml:space="preserve">
4000394 9/12 312pcs 莫海军B4楼B8区
</t>
        </r>
      </text>
    </comment>
    <comment ref="AC236" authorId="0">
      <text>
        <r>
          <rPr>
            <b/>
            <sz val="9"/>
            <rFont val="宋体"/>
            <charset val="134"/>
          </rPr>
          <t>Administrator:</t>
        </r>
        <r>
          <rPr>
            <sz val="9"/>
            <rFont val="宋体"/>
            <charset val="134"/>
          </rPr>
          <t xml:space="preserve">
8/11 上客户通用贴纸 312pcs</t>
        </r>
      </text>
    </comment>
    <comment ref="AA237" authorId="0">
      <text>
        <r>
          <rPr>
            <b/>
            <sz val="9"/>
            <rFont val="宋体"/>
            <charset val="134"/>
          </rPr>
          <t>Administrator:</t>
        </r>
        <r>
          <rPr>
            <sz val="9"/>
            <rFont val="宋体"/>
            <charset val="134"/>
          </rPr>
          <t xml:space="preserve">
4000394 9/12 7890pcs 送永捷</t>
        </r>
      </text>
    </comment>
    <comment ref="AA238" authorId="0">
      <text>
        <r>
          <rPr>
            <b/>
            <sz val="9"/>
            <rFont val="宋体"/>
            <charset val="134"/>
          </rPr>
          <t>Administrator:</t>
        </r>
        <r>
          <rPr>
            <sz val="9"/>
            <rFont val="宋体"/>
            <charset val="134"/>
          </rPr>
          <t xml:space="preserve">
5000095 9/15   54pcs 华兴三B10
4000442 9/15 3564pcs 华兴三B10</t>
        </r>
      </text>
    </comment>
    <comment ref="AA239" authorId="0">
      <text>
        <r>
          <rPr>
            <b/>
            <sz val="9"/>
            <rFont val="宋体"/>
            <charset val="134"/>
          </rPr>
          <t>Administrator:</t>
        </r>
        <r>
          <rPr>
            <sz val="9"/>
            <rFont val="宋体"/>
            <charset val="134"/>
          </rPr>
          <t xml:space="preserve">
5000110 9/17 300pcs 华兴三B17</t>
        </r>
      </text>
    </comment>
    <comment ref="AC239" authorId="0">
      <text>
        <r>
          <rPr>
            <b/>
            <sz val="9"/>
            <rFont val="宋体"/>
            <charset val="134"/>
          </rPr>
          <t>Administrator:</t>
        </r>
        <r>
          <rPr>
            <sz val="9"/>
            <rFont val="宋体"/>
            <charset val="134"/>
          </rPr>
          <t xml:space="preserve">
8/14 上客供价格贴纸 315pcs</t>
        </r>
      </text>
    </comment>
    <comment ref="AA240" authorId="0">
      <text>
        <r>
          <rPr>
            <b/>
            <sz val="12"/>
            <rFont val="宋体"/>
            <charset val="134"/>
          </rPr>
          <t>Administrator:</t>
        </r>
        <r>
          <rPr>
            <sz val="12"/>
            <rFont val="宋体"/>
            <charset val="134"/>
          </rPr>
          <t xml:space="preserve">
5000110 9/17 2496pcs 华兴一F3
5000305 9/19  104pcs 华兴一F3</t>
        </r>
      </text>
    </comment>
    <comment ref="AC240" authorId="0">
      <text>
        <r>
          <rPr>
            <b/>
            <sz val="9"/>
            <rFont val="宋体"/>
            <charset val="134"/>
          </rPr>
          <t>Administrator:</t>
        </r>
        <r>
          <rPr>
            <sz val="9"/>
            <rFont val="宋体"/>
            <charset val="134"/>
          </rPr>
          <t xml:space="preserve">
8/13 上日语贴纸 2600pcs</t>
        </r>
      </text>
    </comment>
    <comment ref="AA241" authorId="0">
      <text>
        <r>
          <rPr>
            <b/>
            <sz val="9"/>
            <rFont val="宋体"/>
            <charset val="134"/>
          </rPr>
          <t>Administrator:</t>
        </r>
        <r>
          <rPr>
            <sz val="9"/>
            <rFont val="宋体"/>
            <charset val="134"/>
          </rPr>
          <t xml:space="preserve">
5000367 9/25 1040pcs 莫海军B4楼B10区</t>
        </r>
      </text>
    </comment>
    <comment ref="AA242" authorId="0">
      <text>
        <r>
          <rPr>
            <b/>
            <sz val="9"/>
            <rFont val="宋体"/>
            <charset val="134"/>
          </rPr>
          <t>Administrator:</t>
        </r>
        <r>
          <rPr>
            <sz val="9"/>
            <rFont val="宋体"/>
            <charset val="134"/>
          </rPr>
          <t xml:space="preserve">
5000392 9/27 13824pcs  B栋四楼A6
5000408 9/27   24pcs   B栋四楼A6</t>
        </r>
      </text>
    </comment>
    <comment ref="AC242" authorId="0">
      <text>
        <r>
          <rPr>
            <b/>
            <sz val="9"/>
            <rFont val="宋体"/>
            <charset val="134"/>
          </rPr>
          <t>Administrator:</t>
        </r>
        <r>
          <rPr>
            <sz val="9"/>
            <rFont val="宋体"/>
            <charset val="134"/>
          </rPr>
          <t xml:space="preserve">
9/9 上客供RFID贴纸 13824pcs</t>
        </r>
      </text>
    </comment>
    <comment ref="AA243" authorId="0">
      <text>
        <r>
          <rPr>
            <b/>
            <sz val="9"/>
            <rFont val="宋体"/>
            <charset val="134"/>
          </rPr>
          <t>Administrator:</t>
        </r>
        <r>
          <rPr>
            <sz val="9"/>
            <rFont val="宋体"/>
            <charset val="134"/>
          </rPr>
          <t xml:space="preserve">
5000386 9/26 10368pcs 莫海军B4楼A6区</t>
        </r>
      </text>
    </comment>
    <comment ref="AC243" authorId="0">
      <text>
        <r>
          <rPr>
            <b/>
            <sz val="9"/>
            <rFont val="宋体"/>
            <charset val="134"/>
          </rPr>
          <t>Administrator:</t>
        </r>
        <r>
          <rPr>
            <sz val="9"/>
            <rFont val="宋体"/>
            <charset val="134"/>
          </rPr>
          <t xml:space="preserve">
9/9 上客供RFID贴纸 10368pcs</t>
        </r>
      </text>
    </comment>
    <comment ref="AA244" authorId="0">
      <text>
        <r>
          <rPr>
            <b/>
            <sz val="9"/>
            <rFont val="宋体"/>
            <charset val="134"/>
          </rPr>
          <t>Administrator:</t>
        </r>
        <r>
          <rPr>
            <sz val="9"/>
            <rFont val="宋体"/>
            <charset val="134"/>
          </rPr>
          <t xml:space="preserve">
5000392 9/27 8640pcs 华兴三B5
5000413 9/27 1728pcs 华兴三B5</t>
        </r>
      </text>
    </comment>
    <comment ref="AC244" authorId="0">
      <text>
        <r>
          <rPr>
            <b/>
            <sz val="9"/>
            <rFont val="宋体"/>
            <charset val="134"/>
          </rPr>
          <t>Administrator:</t>
        </r>
        <r>
          <rPr>
            <sz val="9"/>
            <rFont val="宋体"/>
            <charset val="134"/>
          </rPr>
          <t xml:space="preserve">
9/9 上客供RFID贴纸 10368pcs</t>
        </r>
      </text>
    </comment>
    <comment ref="AA245" authorId="0">
      <text>
        <r>
          <rPr>
            <b/>
            <sz val="9"/>
            <rFont val="宋体"/>
            <charset val="134"/>
          </rPr>
          <t>Administrator:</t>
        </r>
        <r>
          <rPr>
            <sz val="9"/>
            <rFont val="宋体"/>
            <charset val="134"/>
          </rPr>
          <t xml:space="preserve">
5000428 9/29 3312pcs  华兴三A8
5000425 9/29 15120pcs 华兴三A8</t>
        </r>
      </text>
    </comment>
    <comment ref="AC245" authorId="0">
      <text>
        <r>
          <rPr>
            <b/>
            <sz val="9"/>
            <rFont val="宋体"/>
            <charset val="134"/>
          </rPr>
          <t>Administrator:</t>
        </r>
        <r>
          <rPr>
            <sz val="9"/>
            <rFont val="宋体"/>
            <charset val="134"/>
          </rPr>
          <t xml:space="preserve">
9/9 上客供RFID贴纸 18432pcs</t>
        </r>
      </text>
    </comment>
    <comment ref="AA246" authorId="0">
      <text>
        <r>
          <rPr>
            <b/>
            <sz val="9"/>
            <rFont val="宋体"/>
            <charset val="134"/>
          </rPr>
          <t>Administrator:</t>
        </r>
        <r>
          <rPr>
            <sz val="9"/>
            <rFont val="宋体"/>
            <charset val="134"/>
          </rPr>
          <t xml:space="preserve">
5000457 9/30   12pcs  莫海军B4楼B7区
5000433 9/30 12660pcs 莫海军B4楼A5区
</t>
        </r>
      </text>
    </comment>
    <comment ref="AC246" authorId="0">
      <text>
        <r>
          <rPr>
            <b/>
            <sz val="9"/>
            <rFont val="宋体"/>
            <charset val="134"/>
          </rPr>
          <t>Administrator:</t>
        </r>
        <r>
          <rPr>
            <sz val="9"/>
            <rFont val="宋体"/>
            <charset val="134"/>
          </rPr>
          <t xml:space="preserve">
9/9 上客供RFID贴纸 12672pcs</t>
        </r>
      </text>
    </comment>
    <comment ref="AA247" authorId="0">
      <text>
        <r>
          <rPr>
            <b/>
            <sz val="9"/>
            <rFont val="宋体"/>
            <charset val="134"/>
          </rPr>
          <t>Administrator:</t>
        </r>
        <r>
          <rPr>
            <sz val="9"/>
            <rFont val="宋体"/>
            <charset val="134"/>
          </rPr>
          <t xml:space="preserve">
5000433 9/30 9216pcs 莫海军B4楼B8区
</t>
        </r>
      </text>
    </comment>
    <comment ref="AC247" authorId="0">
      <text>
        <r>
          <rPr>
            <b/>
            <sz val="9"/>
            <rFont val="宋体"/>
            <charset val="134"/>
          </rPr>
          <t>Administrator:</t>
        </r>
        <r>
          <rPr>
            <sz val="9"/>
            <rFont val="宋体"/>
            <charset val="134"/>
          </rPr>
          <t xml:space="preserve">
9/9 上客供RFID贴纸 9216pcs</t>
        </r>
      </text>
    </comment>
    <comment ref="AA248" authorId="0">
      <text>
        <r>
          <rPr>
            <b/>
            <sz val="9"/>
            <rFont val="宋体"/>
            <charset val="134"/>
          </rPr>
          <t>Administrator:</t>
        </r>
        <r>
          <rPr>
            <sz val="9"/>
            <rFont val="宋体"/>
            <charset val="134"/>
          </rPr>
          <t xml:space="preserve">
5000457 9/30   12pcs  莫海军B4楼C6区
5000433 9/30 12660pcs 莫海军B4楼A5区
</t>
        </r>
      </text>
    </comment>
    <comment ref="AC248" authorId="0">
      <text>
        <r>
          <rPr>
            <b/>
            <sz val="9"/>
            <rFont val="宋体"/>
            <charset val="134"/>
          </rPr>
          <t>Administrator:</t>
        </r>
        <r>
          <rPr>
            <sz val="9"/>
            <rFont val="宋体"/>
            <charset val="134"/>
          </rPr>
          <t xml:space="preserve">
9/9 上客供RFID贴纸 12672pcs</t>
        </r>
      </text>
    </comment>
    <comment ref="AA249" authorId="0">
      <text>
        <r>
          <rPr>
            <b/>
            <sz val="9"/>
            <rFont val="宋体"/>
            <charset val="134"/>
          </rPr>
          <t>Administrator:</t>
        </r>
        <r>
          <rPr>
            <sz val="9"/>
            <rFont val="宋体"/>
            <charset val="134"/>
          </rPr>
          <t xml:space="preserve">
5000488 10/10 300pcs 华兴三B13</t>
        </r>
      </text>
    </comment>
    <comment ref="AC249" authorId="0">
      <text>
        <r>
          <rPr>
            <b/>
            <sz val="12"/>
            <rFont val="宋体"/>
            <charset val="134"/>
          </rPr>
          <t>Administrator:</t>
        </r>
        <r>
          <rPr>
            <sz val="12"/>
            <rFont val="宋体"/>
            <charset val="134"/>
          </rPr>
          <t xml:space="preserve">
9/12 上客供价格贴纸 315pcs</t>
        </r>
      </text>
    </comment>
    <comment ref="AA250" authorId="0">
      <text>
        <r>
          <rPr>
            <b/>
            <sz val="9"/>
            <rFont val="宋体"/>
            <charset val="134"/>
          </rPr>
          <t>Administrator:</t>
        </r>
        <r>
          <rPr>
            <sz val="9"/>
            <rFont val="宋体"/>
            <charset val="134"/>
          </rPr>
          <t xml:space="preserve">
5000553 10/15 513pcs 华兴三B13
5000598 10/17  27pcs 华兴三B13
</t>
        </r>
      </text>
    </comment>
    <comment ref="AC250" authorId="0">
      <text>
        <r>
          <rPr>
            <b/>
            <sz val="9"/>
            <rFont val="宋体"/>
            <charset val="134"/>
          </rPr>
          <t>Administrator:</t>
        </r>
        <r>
          <rPr>
            <sz val="9"/>
            <rFont val="宋体"/>
            <charset val="134"/>
          </rPr>
          <t xml:space="preserve">
9/13 上警告语/进口商贴纸 540pcs
9/20 上警告语贴纸 540pcs</t>
        </r>
      </text>
    </comment>
    <comment ref="AA251" authorId="0">
      <text>
        <r>
          <rPr>
            <b/>
            <sz val="9"/>
            <rFont val="宋体"/>
            <charset val="134"/>
          </rPr>
          <t>Administrator:</t>
        </r>
        <r>
          <rPr>
            <sz val="9"/>
            <rFont val="宋体"/>
            <charset val="134"/>
          </rPr>
          <t xml:space="preserve">
5000575 10/15 2292pcs 莫海军B4楼B1区
5000598 10/17  12pcs  莫海军B4楼B1区</t>
        </r>
      </text>
    </comment>
    <comment ref="AC251" authorId="0">
      <text>
        <r>
          <rPr>
            <b/>
            <sz val="9"/>
            <rFont val="宋体"/>
            <charset val="134"/>
          </rPr>
          <t>Administrator:</t>
        </r>
        <r>
          <rPr>
            <sz val="9"/>
            <rFont val="宋体"/>
            <charset val="134"/>
          </rPr>
          <t xml:space="preserve">
9/29 上客供RFID贴纸 2304pcs</t>
        </r>
      </text>
    </comment>
    <comment ref="AA252" authorId="0">
      <text>
        <r>
          <rPr>
            <b/>
            <sz val="9"/>
            <rFont val="宋体"/>
            <charset val="134"/>
          </rPr>
          <t>Administrator:</t>
        </r>
        <r>
          <rPr>
            <sz val="9"/>
            <rFont val="宋体"/>
            <charset val="134"/>
          </rPr>
          <t xml:space="preserve">
5000575 10/15 1152pcs 莫海军B4楼A1区</t>
        </r>
      </text>
    </comment>
    <comment ref="AC252" authorId="0">
      <text>
        <r>
          <rPr>
            <b/>
            <sz val="9"/>
            <rFont val="宋体"/>
            <charset val="134"/>
          </rPr>
          <t>Administrator:</t>
        </r>
        <r>
          <rPr>
            <sz val="9"/>
            <rFont val="宋体"/>
            <charset val="134"/>
          </rPr>
          <t xml:space="preserve">
9/29 上客供RFID贴纸 1152pcs</t>
        </r>
      </text>
    </comment>
    <comment ref="AA253" authorId="0">
      <text>
        <r>
          <rPr>
            <b/>
            <sz val="9"/>
            <rFont val="宋体"/>
            <charset val="134"/>
          </rPr>
          <t>Administrator:</t>
        </r>
        <r>
          <rPr>
            <sz val="9"/>
            <rFont val="宋体"/>
            <charset val="134"/>
          </rPr>
          <t xml:space="preserve">
5000575 10/15 486pcs 莫海军B4楼B9区
5000598 10/17  54pcs 莫海军B4楼B9区
</t>
        </r>
      </text>
    </comment>
    <comment ref="AA254" authorId="0">
      <text>
        <r>
          <rPr>
            <b/>
            <sz val="9"/>
            <rFont val="宋体"/>
            <charset val="134"/>
          </rPr>
          <t>Administrator:</t>
        </r>
        <r>
          <rPr>
            <sz val="9"/>
            <rFont val="宋体"/>
            <charset val="134"/>
          </rPr>
          <t xml:space="preserve">
5000598 10/17 650pcs 华兴三A27</t>
        </r>
      </text>
    </comment>
    <comment ref="AC254" authorId="0">
      <text>
        <r>
          <rPr>
            <b/>
            <sz val="9"/>
            <rFont val="宋体"/>
            <charset val="134"/>
          </rPr>
          <t>Administrator:</t>
        </r>
        <r>
          <rPr>
            <sz val="9"/>
            <rFont val="宋体"/>
            <charset val="134"/>
          </rPr>
          <t xml:space="preserve">
9/25 上挪威语警语贴纸 650pcs</t>
        </r>
      </text>
    </comment>
    <comment ref="AA255" authorId="0">
      <text>
        <r>
          <rPr>
            <b/>
            <sz val="9"/>
            <rFont val="宋体"/>
            <charset val="134"/>
          </rPr>
          <t>Administrator:</t>
        </r>
        <r>
          <rPr>
            <sz val="9"/>
            <rFont val="宋体"/>
            <charset val="134"/>
          </rPr>
          <t xml:space="preserve">
5000619 10/18 1248pcs 华兴三A32</t>
        </r>
      </text>
    </comment>
    <comment ref="AA256" authorId="0">
      <text>
        <r>
          <rPr>
            <b/>
            <sz val="9"/>
            <rFont val="宋体"/>
            <charset val="134"/>
          </rPr>
          <t>Administrator:</t>
        </r>
        <r>
          <rPr>
            <sz val="9"/>
            <rFont val="宋体"/>
            <charset val="134"/>
          </rPr>
          <t xml:space="preserve">
5000619 10/18 767pcs 华兴三A32</t>
        </r>
      </text>
    </comment>
    <comment ref="AA257" authorId="0">
      <text>
        <r>
          <rPr>
            <b/>
            <sz val="9"/>
            <rFont val="宋体"/>
            <charset val="134"/>
          </rPr>
          <t>Administrator:</t>
        </r>
        <r>
          <rPr>
            <sz val="9"/>
            <rFont val="宋体"/>
            <charset val="134"/>
          </rPr>
          <t xml:space="preserve">
5000180 10/24 3900pcs 华兴三B14</t>
        </r>
      </text>
    </comment>
    <comment ref="AC257" authorId="0">
      <text>
        <r>
          <rPr>
            <b/>
            <sz val="9"/>
            <rFont val="宋体"/>
            <charset val="134"/>
          </rPr>
          <t>Administrator:</t>
        </r>
        <r>
          <rPr>
            <sz val="9"/>
            <rFont val="宋体"/>
            <charset val="134"/>
          </rPr>
          <t xml:space="preserve">
9/23 上8+贴纸 4550pcs
     上3C贴纸 4500pcs
10/17 上客供防串码贴纸1拖13 5200pcs
10/21 上8+贴纸 4000pcs(湖南损耗补数）</t>
        </r>
      </text>
    </comment>
    <comment ref="AA258" authorId="0">
      <text>
        <r>
          <rPr>
            <b/>
            <sz val="9"/>
            <rFont val="宋体"/>
            <charset val="134"/>
          </rPr>
          <t>Administrator:</t>
        </r>
        <r>
          <rPr>
            <sz val="9"/>
            <rFont val="宋体"/>
            <charset val="134"/>
          </rPr>
          <t xml:space="preserve">
5000180 10/24 650pcs 华兴三A27</t>
        </r>
      </text>
    </comment>
    <comment ref="AA259" authorId="0">
      <text>
        <r>
          <rPr>
            <b/>
            <sz val="9"/>
            <rFont val="宋体"/>
            <charset val="134"/>
          </rPr>
          <t>Administrator:</t>
        </r>
        <r>
          <rPr>
            <sz val="9"/>
            <rFont val="宋体"/>
            <charset val="134"/>
          </rPr>
          <t xml:space="preserve">
5000210 10/28 65pcs 华兴三B14</t>
        </r>
      </text>
    </comment>
    <comment ref="AA260" authorId="0">
      <text>
        <r>
          <rPr>
            <b/>
            <sz val="9"/>
            <rFont val="宋体"/>
            <charset val="134"/>
          </rPr>
          <t>Administrator:</t>
        </r>
        <r>
          <rPr>
            <sz val="9"/>
            <rFont val="宋体"/>
            <charset val="134"/>
          </rPr>
          <t xml:space="preserve">
1200261 10/31 2080pcs 华兴三B14</t>
        </r>
      </text>
    </comment>
    <comment ref="AA261" authorId="0">
      <text>
        <r>
          <rPr>
            <b/>
            <sz val="9"/>
            <rFont val="宋体"/>
            <charset val="134"/>
          </rPr>
          <t>Administrator:</t>
        </r>
        <r>
          <rPr>
            <sz val="9"/>
            <rFont val="宋体"/>
            <charset val="134"/>
          </rPr>
          <t xml:space="preserve">
1200261 10/31 540pcs 华兴三B13</t>
        </r>
      </text>
    </comment>
    <comment ref="AA262" authorId="0">
      <text>
        <r>
          <rPr>
            <b/>
            <sz val="9"/>
            <rFont val="宋体"/>
            <charset val="134"/>
          </rPr>
          <t>Administrator:</t>
        </r>
        <r>
          <rPr>
            <sz val="9"/>
            <rFont val="宋体"/>
            <charset val="134"/>
          </rPr>
          <t xml:space="preserve">
1200310 11/5 611pcs 华兴三B7
1200319 11/6  39pcs 华兴三B7</t>
        </r>
      </text>
    </comment>
    <comment ref="AC262" authorId="0">
      <text>
        <r>
          <rPr>
            <b/>
            <sz val="9"/>
            <rFont val="宋体"/>
            <charset val="134"/>
          </rPr>
          <t>Administrator:</t>
        </r>
        <r>
          <rPr>
            <sz val="9"/>
            <rFont val="宋体"/>
            <charset val="134"/>
          </rPr>
          <t xml:space="preserve">
10/13 上8+贴纸 650pcs
      上3C贴纸 650pcs
10/17 上客供防串码贴纸1拖13 5200pcs
</t>
        </r>
      </text>
    </comment>
    <comment ref="AA263" authorId="0">
      <text>
        <r>
          <rPr>
            <b/>
            <sz val="9"/>
            <rFont val="宋体"/>
            <charset val="134"/>
          </rPr>
          <t>Administrator:</t>
        </r>
        <r>
          <rPr>
            <sz val="9"/>
            <rFont val="宋体"/>
            <charset val="134"/>
          </rPr>
          <t xml:space="preserve">
1200300 11/5 5760pcs 华兴三B9</t>
        </r>
      </text>
    </comment>
    <comment ref="AC263" authorId="0">
      <text>
        <r>
          <rPr>
            <b/>
            <sz val="9"/>
            <rFont val="宋体"/>
            <charset val="134"/>
          </rPr>
          <t>Administrator:</t>
        </r>
        <r>
          <rPr>
            <sz val="9"/>
            <rFont val="宋体"/>
            <charset val="134"/>
          </rPr>
          <t xml:space="preserve">
10/17 上客供价格贴纸 5760pcs
10/21 上德语警告语贴纸 5760pcs</t>
        </r>
      </text>
    </comment>
    <comment ref="AA264" authorId="0">
      <text>
        <r>
          <rPr>
            <b/>
            <sz val="9"/>
            <rFont val="宋体"/>
            <charset val="134"/>
          </rPr>
          <t>Administrator:</t>
        </r>
        <r>
          <rPr>
            <sz val="9"/>
            <rFont val="宋体"/>
            <charset val="134"/>
          </rPr>
          <t xml:space="preserve">
1200278 11/4 2304pcs 华兴三B4</t>
        </r>
      </text>
    </comment>
    <comment ref="AC264" authorId="0">
      <text>
        <r>
          <rPr>
            <b/>
            <sz val="9"/>
            <rFont val="宋体"/>
            <charset val="134"/>
          </rPr>
          <t>Administrator:</t>
        </r>
        <r>
          <rPr>
            <sz val="9"/>
            <rFont val="宋体"/>
            <charset val="134"/>
          </rPr>
          <t xml:space="preserve">
10/17 上客供RFID贴纸 2304pcs</t>
        </r>
      </text>
    </comment>
    <comment ref="AA265" authorId="0">
      <text>
        <r>
          <rPr>
            <b/>
            <sz val="9"/>
            <rFont val="宋体"/>
            <charset val="134"/>
          </rPr>
          <t>Administrator:</t>
        </r>
        <r>
          <rPr>
            <sz val="9"/>
            <rFont val="宋体"/>
            <charset val="134"/>
          </rPr>
          <t xml:space="preserve">
1200278 11/4 2280pcs 华兴三B4
1200300 11/5  24pcs  华兴三B4</t>
        </r>
      </text>
    </comment>
    <comment ref="AC265" authorId="0">
      <text>
        <r>
          <rPr>
            <b/>
            <sz val="9"/>
            <rFont val="宋体"/>
            <charset val="134"/>
          </rPr>
          <t>Administrator:</t>
        </r>
        <r>
          <rPr>
            <sz val="9"/>
            <rFont val="宋体"/>
            <charset val="134"/>
          </rPr>
          <t xml:space="preserve">
10/17 上客供RFID贴纸 2304pcs</t>
        </r>
      </text>
    </comment>
    <comment ref="AA266" authorId="0">
      <text>
        <r>
          <rPr>
            <b/>
            <sz val="9"/>
            <rFont val="宋体"/>
            <charset val="134"/>
          </rPr>
          <t>Administrator:</t>
        </r>
        <r>
          <rPr>
            <sz val="9"/>
            <rFont val="宋体"/>
            <charset val="134"/>
          </rPr>
          <t xml:space="preserve">
1200278 11/4 2304pcs 华兴三B4</t>
        </r>
      </text>
    </comment>
    <comment ref="AC266" authorId="0">
      <text>
        <r>
          <rPr>
            <b/>
            <sz val="9"/>
            <rFont val="宋体"/>
            <charset val="134"/>
          </rPr>
          <t>Administrator:</t>
        </r>
        <r>
          <rPr>
            <sz val="9"/>
            <rFont val="宋体"/>
            <charset val="134"/>
          </rPr>
          <t xml:space="preserve">
10/17 上客供RFID贴纸 2304pcs</t>
        </r>
      </text>
    </comment>
    <comment ref="AA267" authorId="0">
      <text>
        <r>
          <rPr>
            <b/>
            <sz val="9"/>
            <rFont val="宋体"/>
            <charset val="134"/>
          </rPr>
          <t>Administrator:</t>
        </r>
        <r>
          <rPr>
            <sz val="9"/>
            <rFont val="宋体"/>
            <charset val="134"/>
          </rPr>
          <t xml:space="preserve">
1200278 11/4 2280pcs 华兴三B4
1200300 11/5  24pcs  华兴三B4</t>
        </r>
      </text>
    </comment>
    <comment ref="AC267" authorId="0">
      <text>
        <r>
          <rPr>
            <b/>
            <sz val="9"/>
            <rFont val="宋体"/>
            <charset val="134"/>
          </rPr>
          <t>Administrator:</t>
        </r>
        <r>
          <rPr>
            <sz val="9"/>
            <rFont val="宋体"/>
            <charset val="134"/>
          </rPr>
          <t xml:space="preserve">
10/30 上客供RFID贴纸 2304pcs</t>
        </r>
      </text>
    </comment>
    <comment ref="AA268" authorId="0">
      <text>
        <r>
          <rPr>
            <b/>
            <sz val="9"/>
            <rFont val="宋体"/>
            <charset val="134"/>
          </rPr>
          <t>Administrator:</t>
        </r>
        <r>
          <rPr>
            <sz val="9"/>
            <rFont val="宋体"/>
            <charset val="134"/>
          </rPr>
          <t xml:space="preserve">
1200363 11/12 2700pcs 华兴三A27
1200377 11/13 108pcs  华兴三A27</t>
        </r>
      </text>
    </comment>
    <comment ref="AC268" authorId="0">
      <text>
        <r>
          <rPr>
            <b/>
            <sz val="9"/>
            <rFont val="宋体"/>
            <charset val="134"/>
          </rPr>
          <t>Administrator:</t>
        </r>
        <r>
          <rPr>
            <sz val="9"/>
            <rFont val="宋体"/>
            <charset val="134"/>
          </rPr>
          <t xml:space="preserve">
10/23 上DE警语贴纸 2808pcs
      上PDQ条码贴纸 104pcs</t>
        </r>
      </text>
    </comment>
    <comment ref="AA269" authorId="0">
      <text>
        <r>
          <rPr>
            <b/>
            <sz val="9"/>
            <rFont val="宋体"/>
            <charset val="134"/>
          </rPr>
          <t>Administrator:</t>
        </r>
        <r>
          <rPr>
            <sz val="9"/>
            <rFont val="宋体"/>
            <charset val="134"/>
          </rPr>
          <t xml:space="preserve">
1200363 11/12 1027pcs 华兴三B8
1200377 11/13  13pcs  华兴三B8</t>
        </r>
      </text>
    </comment>
    <comment ref="AA270" authorId="0">
      <text>
        <r>
          <rPr>
            <b/>
            <sz val="9"/>
            <rFont val="宋体"/>
            <charset val="134"/>
          </rPr>
          <t>Administrator:</t>
        </r>
        <r>
          <rPr>
            <sz val="9"/>
            <rFont val="宋体"/>
            <charset val="134"/>
          </rPr>
          <t xml:space="preserve">
1200377 11/13 8100pcs 华兴三A31
1200400 11/14   54pcs 华兴三A31</t>
        </r>
      </text>
    </comment>
    <comment ref="AC270" authorId="0">
      <text>
        <r>
          <rPr>
            <b/>
            <sz val="9"/>
            <rFont val="宋体"/>
            <charset val="134"/>
          </rPr>
          <t>Administrator:</t>
        </r>
        <r>
          <rPr>
            <sz val="9"/>
            <rFont val="宋体"/>
            <charset val="134"/>
          </rPr>
          <t xml:space="preserve">
10/21 上进口商贴纸 16308pcs
      上UPC贴纸 8154pcs</t>
        </r>
      </text>
    </comment>
    <comment ref="AA271" authorId="0">
      <text>
        <r>
          <rPr>
            <b/>
            <sz val="9"/>
            <rFont val="宋体"/>
            <charset val="134"/>
          </rPr>
          <t>Administrator:</t>
        </r>
        <r>
          <rPr>
            <sz val="9"/>
            <rFont val="宋体"/>
            <charset val="134"/>
          </rPr>
          <t xml:space="preserve">
1200476 11/20 1157pcs B4楼A9区</t>
        </r>
      </text>
    </comment>
    <comment ref="AC271" authorId="0">
      <text>
        <r>
          <rPr>
            <b/>
            <sz val="9"/>
            <rFont val="宋体"/>
            <charset val="134"/>
          </rPr>
          <t>Administrator:</t>
        </r>
        <r>
          <rPr>
            <sz val="9"/>
            <rFont val="宋体"/>
            <charset val="134"/>
          </rPr>
          <t xml:space="preserve">
11/7 上多语警语可折叠贴纸 1157pcs
11/10 上多语通用化学品警语说明书 1157pcs</t>
        </r>
      </text>
    </comment>
    <comment ref="AA272" authorId="0">
      <text>
        <r>
          <rPr>
            <b/>
            <sz val="9"/>
            <rFont val="宋体"/>
            <charset val="134"/>
          </rPr>
          <t>Administrator:</t>
        </r>
        <r>
          <rPr>
            <sz val="9"/>
            <rFont val="宋体"/>
            <charset val="134"/>
          </rPr>
          <t xml:space="preserve">
1200492 11/25 1534pcs 华兴三B14
1200523 11/26  39pcs  华兴三B14</t>
        </r>
      </text>
    </comment>
    <comment ref="AA273" authorId="0">
      <text>
        <r>
          <rPr>
            <b/>
            <sz val="9"/>
            <rFont val="宋体"/>
            <charset val="134"/>
          </rPr>
          <t>Administrator:</t>
        </r>
        <r>
          <rPr>
            <sz val="9"/>
            <rFont val="宋体"/>
            <charset val="134"/>
          </rPr>
          <t xml:space="preserve">
1200492 11/25 1134pcs 华兴三B14
1200523 11/26  108pcs 华兴三B14</t>
        </r>
      </text>
    </comment>
    <comment ref="AC273" authorId="0">
      <text>
        <r>
          <rPr>
            <b/>
            <sz val="9"/>
            <rFont val="宋体"/>
            <charset val="134"/>
          </rPr>
          <t>Administrator:</t>
        </r>
        <r>
          <rPr>
            <sz val="9"/>
            <rFont val="宋体"/>
            <charset val="134"/>
          </rPr>
          <t xml:space="preserve">
10/22 上PDQ贴纸 621pcs</t>
        </r>
      </text>
    </comment>
    <comment ref="AA274" authorId="0">
      <text>
        <r>
          <rPr>
            <b/>
            <sz val="9"/>
            <rFont val="宋体"/>
            <charset val="134"/>
          </rPr>
          <t>Administrator:</t>
        </r>
        <r>
          <rPr>
            <sz val="9"/>
            <rFont val="宋体"/>
            <charset val="134"/>
          </rPr>
          <t xml:space="preserve">
1200559 11/27 360pcs 华兴三B13</t>
        </r>
      </text>
    </comment>
    <comment ref="AC274" authorId="0">
      <text>
        <r>
          <rPr>
            <b/>
            <sz val="9"/>
            <rFont val="宋体"/>
            <charset val="134"/>
          </rPr>
          <t>Administrator:</t>
        </r>
        <r>
          <rPr>
            <sz val="9"/>
            <rFont val="宋体"/>
            <charset val="134"/>
          </rPr>
          <t xml:space="preserve">
11/14 上进口商贴纸 360pcs
11/19 上QR code贴纸 360pcs</t>
        </r>
      </text>
    </comment>
    <comment ref="AA275" authorId="0">
      <text>
        <r>
          <rPr>
            <b/>
            <sz val="9"/>
            <rFont val="宋体"/>
            <charset val="134"/>
          </rPr>
          <t>Administrator:</t>
        </r>
        <r>
          <rPr>
            <sz val="9"/>
            <rFont val="宋体"/>
            <charset val="134"/>
          </rPr>
          <t xml:space="preserve">
1200546 11/28 130pcs 华兴三B13</t>
        </r>
      </text>
    </comment>
    <comment ref="AA276" authorId="0">
      <text>
        <r>
          <rPr>
            <b/>
            <sz val="9"/>
            <rFont val="宋体"/>
            <charset val="134"/>
          </rPr>
          <t>Administrator:</t>
        </r>
        <r>
          <rPr>
            <sz val="9"/>
            <rFont val="宋体"/>
            <charset val="134"/>
          </rPr>
          <t xml:space="preserve">
1200546 11/28 299pcs 华兴三B14</t>
        </r>
      </text>
    </comment>
    <comment ref="AA277" authorId="0">
      <text>
        <r>
          <rPr>
            <b/>
            <sz val="12"/>
            <rFont val="宋体"/>
            <charset val="134"/>
          </rPr>
          <t>Administrator:</t>
        </r>
        <r>
          <rPr>
            <sz val="12"/>
            <rFont val="宋体"/>
            <charset val="134"/>
          </rPr>
          <t xml:space="preserve">
1200535 11/28 8034pcs 华兴一F12
1200174 11/29  13pcs</t>
        </r>
      </text>
    </comment>
    <comment ref="AA278" authorId="0">
      <text>
        <r>
          <rPr>
            <b/>
            <sz val="9"/>
            <rFont val="宋体"/>
            <charset val="134"/>
          </rPr>
          <t>Administrator:</t>
        </r>
        <r>
          <rPr>
            <sz val="9"/>
            <rFont val="宋体"/>
            <charset val="134"/>
          </rPr>
          <t xml:space="preserve">
1200567 11/29 2340pcs
1200174 11/29 5642pcs</t>
        </r>
      </text>
    </comment>
    <comment ref="AA279" authorId="0">
      <text>
        <r>
          <rPr>
            <b/>
            <sz val="9"/>
            <rFont val="宋体"/>
            <charset val="134"/>
          </rPr>
          <t>Administrator:</t>
        </r>
        <r>
          <rPr>
            <sz val="9"/>
            <rFont val="宋体"/>
            <charset val="134"/>
          </rPr>
          <t xml:space="preserve">
1200567 11/29 52pcs
1200174 11/29 13pcs</t>
        </r>
      </text>
    </comment>
    <comment ref="AA280" authorId="0">
      <text>
        <r>
          <rPr>
            <b/>
            <sz val="9"/>
            <rFont val="宋体"/>
            <charset val="134"/>
          </rPr>
          <t>Administrator:</t>
        </r>
        <r>
          <rPr>
            <sz val="9"/>
            <rFont val="宋体"/>
            <charset val="134"/>
          </rPr>
          <t xml:space="preserve">
1200523 11/26 481pcs 华兴三B14</t>
        </r>
      </text>
    </comment>
    <comment ref="AA281" authorId="0">
      <text>
        <r>
          <rPr>
            <b/>
            <sz val="9"/>
            <rFont val="宋体"/>
            <charset val="134"/>
          </rPr>
          <t>Administrator:</t>
        </r>
        <r>
          <rPr>
            <sz val="9"/>
            <rFont val="宋体"/>
            <charset val="134"/>
          </rPr>
          <t xml:space="preserve">
4001147 12/3 338pcs 华兴三B15
 </t>
        </r>
      </text>
    </comment>
    <comment ref="AA282" authorId="0">
      <text>
        <r>
          <rPr>
            <b/>
            <sz val="9"/>
            <rFont val="宋体"/>
            <charset val="134"/>
          </rPr>
          <t>Administrator:</t>
        </r>
        <r>
          <rPr>
            <sz val="9"/>
            <rFont val="宋体"/>
            <charset val="134"/>
          </rPr>
          <t xml:space="preserve">
4001147 12/3 468pcs 华兴三B15
 </t>
        </r>
      </text>
    </comment>
    <comment ref="AC282" authorId="0">
      <text>
        <r>
          <rPr>
            <b/>
            <sz val="9"/>
            <rFont val="宋体"/>
            <charset val="134"/>
          </rPr>
          <t>Administrator:</t>
        </r>
        <r>
          <rPr>
            <sz val="9"/>
            <rFont val="宋体"/>
            <charset val="134"/>
          </rPr>
          <t xml:space="preserve">
11/21 上客供UCC贴纸 36pcs</t>
        </r>
      </text>
    </comment>
    <comment ref="AA283" authorId="0">
      <text>
        <r>
          <rPr>
            <b/>
            <sz val="9"/>
            <rFont val="宋体"/>
            <charset val="134"/>
          </rPr>
          <t>Administrator:</t>
        </r>
        <r>
          <rPr>
            <sz val="9"/>
            <rFont val="宋体"/>
            <charset val="134"/>
          </rPr>
          <t xml:space="preserve">
4001147 12/3 403pcs 华兴三B15
 </t>
        </r>
      </text>
    </comment>
    <comment ref="AC283" authorId="0">
      <text>
        <r>
          <rPr>
            <b/>
            <sz val="9"/>
            <rFont val="宋体"/>
            <charset val="134"/>
          </rPr>
          <t>Administrator:</t>
        </r>
        <r>
          <rPr>
            <sz val="9"/>
            <rFont val="宋体"/>
            <charset val="134"/>
          </rPr>
          <t xml:space="preserve">
11/21 上客供UCC贴纸 31pcs</t>
        </r>
      </text>
    </comment>
    <comment ref="AA284" authorId="0">
      <text>
        <r>
          <rPr>
            <b/>
            <sz val="9"/>
            <rFont val="宋体"/>
            <charset val="134"/>
          </rPr>
          <t>Administrator:</t>
        </r>
        <r>
          <rPr>
            <sz val="9"/>
            <rFont val="宋体"/>
            <charset val="134"/>
          </rPr>
          <t xml:space="preserve">
4001147 12/3 286pcs 华兴三B15
 </t>
        </r>
      </text>
    </comment>
    <comment ref="AC284" authorId="0">
      <text>
        <r>
          <rPr>
            <b/>
            <sz val="9"/>
            <rFont val="宋体"/>
            <charset val="134"/>
          </rPr>
          <t>Administrator:</t>
        </r>
        <r>
          <rPr>
            <sz val="9"/>
            <rFont val="宋体"/>
            <charset val="134"/>
          </rPr>
          <t xml:space="preserve">
11/21 上客供UCC贴纸 22pcs</t>
        </r>
      </text>
    </comment>
    <comment ref="AA285" authorId="0">
      <text>
        <r>
          <rPr>
            <b/>
            <sz val="9"/>
            <rFont val="宋体"/>
            <charset val="134"/>
          </rPr>
          <t>Administrator:</t>
        </r>
        <r>
          <rPr>
            <sz val="9"/>
            <rFont val="宋体"/>
            <charset val="134"/>
          </rPr>
          <t xml:space="preserve">
4001147 12/3 351pcs 华兴三B15
 </t>
        </r>
      </text>
    </comment>
    <comment ref="AA286" authorId="0">
      <text>
        <r>
          <rPr>
            <b/>
            <sz val="9"/>
            <rFont val="宋体"/>
            <charset val="134"/>
          </rPr>
          <t>Administrator:</t>
        </r>
        <r>
          <rPr>
            <sz val="9"/>
            <rFont val="宋体"/>
            <charset val="134"/>
          </rPr>
          <t xml:space="preserve">
1200188 12/6 312pcs 华兴三B17</t>
        </r>
      </text>
    </comment>
    <comment ref="AC286" authorId="0">
      <text>
        <r>
          <rPr>
            <b/>
            <sz val="9"/>
            <rFont val="宋体"/>
            <charset val="134"/>
          </rPr>
          <t>Administrator:</t>
        </r>
        <r>
          <rPr>
            <sz val="9"/>
            <rFont val="宋体"/>
            <charset val="134"/>
          </rPr>
          <t xml:space="preserve">
11/13 上多语警语可折叠贴纸 906pcs
11/17 上多语通用化学品警语多语说明书 906pcs</t>
        </r>
      </text>
    </comment>
    <comment ref="AA287" authorId="0">
      <text>
        <r>
          <rPr>
            <b/>
            <sz val="9"/>
            <rFont val="宋体"/>
            <charset val="134"/>
          </rPr>
          <t>Administrator:</t>
        </r>
        <r>
          <rPr>
            <sz val="9"/>
            <rFont val="宋体"/>
            <charset val="134"/>
          </rPr>
          <t xml:space="preserve">
1200183 12/5 594pcs 华兴三B8</t>
        </r>
      </text>
    </comment>
    <comment ref="AC287" authorId="0">
      <text>
        <r>
          <rPr>
            <b/>
            <sz val="9"/>
            <rFont val="宋体"/>
            <charset val="134"/>
          </rPr>
          <t>Administrator:</t>
        </r>
        <r>
          <rPr>
            <sz val="9"/>
            <rFont val="宋体"/>
            <charset val="134"/>
          </rPr>
          <t xml:space="preserve">
11/13 上多语警语可折叠贴纸 906pcs
11/17 上多语通用化学品警语多语说明书 906pcs</t>
        </r>
      </text>
    </comment>
    <comment ref="AA288" authorId="0">
      <text>
        <r>
          <rPr>
            <b/>
            <sz val="9"/>
            <rFont val="宋体"/>
            <charset val="134"/>
          </rPr>
          <t>Administrator:</t>
        </r>
        <r>
          <rPr>
            <sz val="9"/>
            <rFont val="宋体"/>
            <charset val="134"/>
          </rPr>
          <t xml:space="preserve">
1200201 12/6 611pcs B4楼B1区</t>
        </r>
      </text>
    </comment>
    <comment ref="AC288" authorId="0">
      <text>
        <r>
          <rPr>
            <b/>
            <sz val="9"/>
            <rFont val="宋体"/>
            <charset val="134"/>
          </rPr>
          <t>Administrator:</t>
        </r>
        <r>
          <rPr>
            <sz val="9"/>
            <rFont val="宋体"/>
            <charset val="134"/>
          </rPr>
          <t xml:space="preserve">
11/24 上德意警告语贴纸 611pcs</t>
        </r>
      </text>
    </comment>
    <comment ref="AA289" authorId="0">
      <text>
        <r>
          <rPr>
            <b/>
            <sz val="9"/>
            <rFont val="宋体"/>
            <charset val="134"/>
          </rPr>
          <t>Administrator:</t>
        </r>
        <r>
          <rPr>
            <sz val="9"/>
            <rFont val="宋体"/>
            <charset val="134"/>
          </rPr>
          <t xml:space="preserve">
1200183 12/5 330pcs 华兴三B8</t>
        </r>
      </text>
    </comment>
    <comment ref="AC289" authorId="0">
      <text>
        <r>
          <rPr>
            <b/>
            <sz val="12"/>
            <rFont val="宋体"/>
            <charset val="134"/>
          </rPr>
          <t>Administrator:</t>
        </r>
        <r>
          <rPr>
            <sz val="12"/>
            <rFont val="宋体"/>
            <charset val="134"/>
          </rPr>
          <t xml:space="preserve">
11/22 上slime袋子警告语贴纸 330pcs
11/24 上可折叠贴纸 330pcs</t>
        </r>
      </text>
    </comment>
    <comment ref="AA290" authorId="0">
      <text>
        <r>
          <rPr>
            <b/>
            <sz val="9"/>
            <rFont val="宋体"/>
            <charset val="134"/>
          </rPr>
          <t>Administrator:</t>
        </r>
        <r>
          <rPr>
            <sz val="9"/>
            <rFont val="宋体"/>
            <charset val="134"/>
          </rPr>
          <t xml:space="preserve">
1200251 12/11 4896pcs 华兴三B17</t>
        </r>
      </text>
    </comment>
    <comment ref="AA291" authorId="0">
      <text>
        <r>
          <rPr>
            <b/>
            <sz val="9"/>
            <rFont val="宋体"/>
            <charset val="134"/>
          </rPr>
          <t>Administrator:</t>
        </r>
        <r>
          <rPr>
            <sz val="9"/>
            <rFont val="宋体"/>
            <charset val="134"/>
          </rPr>
          <t xml:space="preserve">
1200188 12/6 7506pcs 华兴三A15</t>
        </r>
      </text>
    </comment>
    <comment ref="AC291" authorId="0">
      <text>
        <r>
          <rPr>
            <b/>
            <sz val="9"/>
            <rFont val="宋体"/>
            <charset val="134"/>
          </rPr>
          <t>Administrator:</t>
        </r>
        <r>
          <rPr>
            <sz val="9"/>
            <rFont val="宋体"/>
            <charset val="134"/>
          </rPr>
          <t xml:space="preserve">
11/6 上UPC贴纸 7506pcs
     上进口商贴纸 15012pcs</t>
        </r>
      </text>
    </comment>
    <comment ref="AA292" authorId="0">
      <text>
        <r>
          <rPr>
            <b/>
            <sz val="9"/>
            <rFont val="宋体"/>
            <charset val="134"/>
          </rPr>
          <t>Administrator:</t>
        </r>
        <r>
          <rPr>
            <sz val="9"/>
            <rFont val="宋体"/>
            <charset val="134"/>
          </rPr>
          <t xml:space="preserve">
1200766 12/12 2600pcs B4楼A7区
1200787 12/13   26pcs B4楼A7区</t>
        </r>
      </text>
    </comment>
    <comment ref="AA293" authorId="0">
      <text>
        <r>
          <rPr>
            <b/>
            <sz val="12"/>
            <rFont val="宋体"/>
            <charset val="134"/>
          </rPr>
          <t>Administrator:</t>
        </r>
        <r>
          <rPr>
            <sz val="12"/>
            <rFont val="宋体"/>
            <charset val="134"/>
          </rPr>
          <t xml:space="preserve">
1200951 12/16 972pcs B4楼B9区</t>
        </r>
      </text>
    </comment>
    <comment ref="AC293" authorId="0">
      <text>
        <r>
          <rPr>
            <b/>
            <sz val="9"/>
            <rFont val="宋体"/>
            <charset val="134"/>
          </rPr>
          <t>Administrator:</t>
        </r>
        <r>
          <rPr>
            <sz val="9"/>
            <rFont val="宋体"/>
            <charset val="134"/>
          </rPr>
          <t xml:space="preserve">
12/2 上客供价格贴纸 1006pcs</t>
        </r>
      </text>
    </comment>
    <comment ref="AA294" authorId="0">
      <text>
        <r>
          <rPr>
            <b/>
            <sz val="9"/>
            <rFont val="宋体"/>
            <charset val="134"/>
          </rPr>
          <t>Administrator:</t>
        </r>
        <r>
          <rPr>
            <sz val="9"/>
            <rFont val="宋体"/>
            <charset val="134"/>
          </rPr>
          <t xml:space="preserve">
1201008 12/19 2916pcs 华兴三A27</t>
        </r>
      </text>
    </comment>
    <comment ref="AC294" authorId="0">
      <text>
        <r>
          <rPr>
            <b/>
            <sz val="9"/>
            <rFont val="宋体"/>
            <charset val="134"/>
          </rPr>
          <t>Administrator:</t>
        </r>
        <r>
          <rPr>
            <sz val="9"/>
            <rFont val="宋体"/>
            <charset val="134"/>
          </rPr>
          <t xml:space="preserve">
12/6 上进口商贴纸 7614pcs
180717/180735/180758共用</t>
        </r>
      </text>
    </comment>
    <comment ref="AA295" authorId="0">
      <text>
        <r>
          <rPr>
            <b/>
            <sz val="9"/>
            <rFont val="宋体"/>
            <charset val="134"/>
          </rPr>
          <t>Administrator:</t>
        </r>
        <r>
          <rPr>
            <sz val="9"/>
            <rFont val="宋体"/>
            <charset val="134"/>
          </rPr>
          <t xml:space="preserve">
1200988 12/19 1080pcs B4楼B9区</t>
        </r>
      </text>
    </comment>
    <comment ref="AC295" authorId="0">
      <text>
        <r>
          <rPr>
            <b/>
            <sz val="9"/>
            <rFont val="宋体"/>
            <charset val="134"/>
          </rPr>
          <t>Administrator:</t>
        </r>
        <r>
          <rPr>
            <sz val="9"/>
            <rFont val="宋体"/>
            <charset val="134"/>
          </rPr>
          <t xml:space="preserve">
12/6 上进口商贴纸 7614pcs
180717/180735/180758共用</t>
        </r>
      </text>
    </comment>
    <comment ref="AA296" authorId="0">
      <text>
        <r>
          <rPr>
            <b/>
            <sz val="9"/>
            <rFont val="宋体"/>
            <charset val="134"/>
          </rPr>
          <t>Administrator:</t>
        </r>
        <r>
          <rPr>
            <sz val="9"/>
            <rFont val="宋体"/>
            <charset val="134"/>
          </rPr>
          <t xml:space="preserve">
1200988 12/19 1080pcs B4楼B9区</t>
        </r>
      </text>
    </comment>
    <comment ref="AC296" authorId="0">
      <text>
        <r>
          <rPr>
            <b/>
            <sz val="9"/>
            <rFont val="宋体"/>
            <charset val="134"/>
          </rPr>
          <t>Administrator:</t>
        </r>
        <r>
          <rPr>
            <sz val="9"/>
            <rFont val="宋体"/>
            <charset val="134"/>
          </rPr>
          <t xml:space="preserve">
12/6 上进口商贴纸 7614pcs
180717/180735/180758共用</t>
        </r>
      </text>
    </comment>
    <comment ref="AA297" authorId="0">
      <text>
        <r>
          <rPr>
            <b/>
            <sz val="9"/>
            <rFont val="宋体"/>
            <charset val="134"/>
          </rPr>
          <t>Administrator:</t>
        </r>
        <r>
          <rPr>
            <sz val="9"/>
            <rFont val="宋体"/>
            <charset val="134"/>
          </rPr>
          <t xml:space="preserve">
1201008 12/19 2600pcs 华兴三A27</t>
        </r>
      </text>
    </comment>
    <comment ref="AC297" authorId="0">
      <text>
        <r>
          <rPr>
            <b/>
            <sz val="9"/>
            <rFont val="宋体"/>
            <charset val="134"/>
          </rPr>
          <t>Administrator:</t>
        </r>
        <r>
          <rPr>
            <sz val="9"/>
            <rFont val="宋体"/>
            <charset val="134"/>
          </rPr>
          <t xml:space="preserve">
11/24 上8+贴纸 2600pcs
      上年龄贴纸 2600pcs
12/8  上客供防串码贴纸1拖13 2600pcs</t>
        </r>
      </text>
    </comment>
    <comment ref="AC298" authorId="0">
      <text>
        <r>
          <rPr>
            <b/>
            <sz val="9"/>
            <rFont val="宋体"/>
            <charset val="134"/>
          </rPr>
          <t>Administrator:</t>
        </r>
        <r>
          <rPr>
            <sz val="9"/>
            <rFont val="宋体"/>
            <charset val="134"/>
          </rPr>
          <t xml:space="preserve">
12/17 上客供RFID贴纸 9216pcs</t>
        </r>
      </text>
    </comment>
    <comment ref="AA299" authorId="0">
      <text>
        <r>
          <rPr>
            <b/>
            <sz val="9"/>
            <rFont val="宋体"/>
            <charset val="134"/>
          </rPr>
          <t>Administrator:</t>
        </r>
        <r>
          <rPr>
            <sz val="9"/>
            <rFont val="宋体"/>
            <charset val="134"/>
          </rPr>
          <t xml:space="preserve">
1600978 1/4 1782pcs</t>
        </r>
      </text>
    </comment>
    <comment ref="AC299" authorId="0">
      <text>
        <r>
          <rPr>
            <b/>
            <sz val="9"/>
            <rFont val="宋体"/>
            <charset val="134"/>
          </rPr>
          <t>Administrator:</t>
        </r>
        <r>
          <rPr>
            <sz val="9"/>
            <rFont val="宋体"/>
            <charset val="134"/>
          </rPr>
          <t xml:space="preserve">
12/16 上进口商贴纸 1782pcs
      上UPC贴纸 1782pcs</t>
        </r>
      </text>
    </comment>
    <comment ref="AC300" authorId="0">
      <text>
        <r>
          <rPr>
            <b/>
            <sz val="9"/>
            <rFont val="宋体"/>
            <charset val="134"/>
          </rPr>
          <t>Administrator:</t>
        </r>
        <r>
          <rPr>
            <sz val="9"/>
            <rFont val="宋体"/>
            <charset val="134"/>
          </rPr>
          <t xml:space="preserve">
12/22 上进口商贴纸 10000pcs
      上UPC贴纸 10000pcs
185782/187691共用</t>
        </r>
      </text>
    </comment>
    <comment ref="AA301" authorId="0">
      <text>
        <r>
          <rPr>
            <b/>
            <sz val="9"/>
            <rFont val="宋体"/>
            <charset val="134"/>
          </rPr>
          <t>Administrator:</t>
        </r>
        <r>
          <rPr>
            <sz val="9"/>
            <rFont val="宋体"/>
            <charset val="134"/>
          </rPr>
          <t xml:space="preserve">
1600978 1/4 2080pcs</t>
        </r>
      </text>
    </comment>
    <comment ref="AC302" authorId="0">
      <text>
        <r>
          <rPr>
            <b/>
            <sz val="9"/>
            <rFont val="宋体"/>
            <charset val="134"/>
          </rPr>
          <t>Administrator:</t>
        </r>
        <r>
          <rPr>
            <sz val="9"/>
            <rFont val="宋体"/>
            <charset val="134"/>
          </rPr>
          <t xml:space="preserve">
12/22 上进口商贴纸 10000pcs
      上UPC贴纸 10000pcs
185782/187691共用</t>
        </r>
      </text>
    </comment>
    <comment ref="AC306" authorId="0">
      <text>
        <r>
          <rPr>
            <b/>
            <sz val="9"/>
            <rFont val="宋体"/>
            <charset val="134"/>
          </rPr>
          <t>Administrator:</t>
        </r>
        <r>
          <rPr>
            <sz val="9"/>
            <rFont val="宋体"/>
            <charset val="134"/>
          </rPr>
          <t xml:space="preserve">
12/31 上进口商贴纸 2538pcs
      上UPC贴纸 1269pcs</t>
        </r>
      </text>
    </comment>
  </commentList>
</comments>
</file>

<file path=xl/comments2.xml><?xml version="1.0" encoding="utf-8"?>
<comments xmlns="http://schemas.openxmlformats.org/spreadsheetml/2006/main">
  <authors>
    <author>Administrator</author>
    <author>DELL</author>
    <author>Unknown User</author>
  </authors>
  <commentList>
    <comment ref="AC4" authorId="0">
      <text>
        <r>
          <rPr>
            <b/>
            <sz val="12"/>
            <rFont val="宋体"/>
            <charset val="134"/>
          </rPr>
          <t>Administrator:</t>
        </r>
        <r>
          <rPr>
            <sz val="12"/>
            <rFont val="宋体"/>
            <charset val="134"/>
          </rPr>
          <t xml:space="preserve">
1200951 12/16 972pcs B4楼B9区</t>
        </r>
      </text>
    </comment>
    <comment ref="AE4" authorId="0">
      <text>
        <r>
          <rPr>
            <b/>
            <sz val="9"/>
            <rFont val="宋体"/>
            <charset val="134"/>
          </rPr>
          <t>Administrator:</t>
        </r>
        <r>
          <rPr>
            <sz val="9"/>
            <rFont val="宋体"/>
            <charset val="134"/>
          </rPr>
          <t xml:space="preserve">
12/2 上客供价格贴纸 1006pcs</t>
        </r>
      </text>
    </comment>
    <comment ref="AC5" authorId="0">
      <text>
        <r>
          <rPr>
            <b/>
            <sz val="9"/>
            <rFont val="宋体"/>
            <charset val="134"/>
          </rPr>
          <t>Administrator:</t>
        </r>
        <r>
          <rPr>
            <sz val="9"/>
            <rFont val="宋体"/>
            <charset val="134"/>
          </rPr>
          <t xml:space="preserve">
1201008 12/19 2916pcs 华兴三A27</t>
        </r>
      </text>
    </comment>
    <comment ref="AE5" authorId="0">
      <text>
        <r>
          <rPr>
            <b/>
            <sz val="9"/>
            <rFont val="宋体"/>
            <charset val="134"/>
          </rPr>
          <t>Administrator:</t>
        </r>
        <r>
          <rPr>
            <sz val="9"/>
            <rFont val="宋体"/>
            <charset val="134"/>
          </rPr>
          <t xml:space="preserve">
12/6 上进口商贴纸 7614pcs
180717/180735/180758共用</t>
        </r>
      </text>
    </comment>
    <comment ref="AC6" authorId="0">
      <text>
        <r>
          <rPr>
            <b/>
            <sz val="9"/>
            <rFont val="宋体"/>
            <charset val="134"/>
          </rPr>
          <t>Administrator:</t>
        </r>
        <r>
          <rPr>
            <sz val="9"/>
            <rFont val="宋体"/>
            <charset val="134"/>
          </rPr>
          <t xml:space="preserve">
1200988 12/19 1080pcs B4楼B9区</t>
        </r>
      </text>
    </comment>
    <comment ref="AE6" authorId="0">
      <text>
        <r>
          <rPr>
            <b/>
            <sz val="9"/>
            <rFont val="宋体"/>
            <charset val="134"/>
          </rPr>
          <t>Administrator:</t>
        </r>
        <r>
          <rPr>
            <sz val="9"/>
            <rFont val="宋体"/>
            <charset val="134"/>
          </rPr>
          <t xml:space="preserve">
12/6 上进口商贴纸 7614pcs
180717/180735/180758共用</t>
        </r>
      </text>
    </comment>
    <comment ref="AC7" authorId="0">
      <text>
        <r>
          <rPr>
            <b/>
            <sz val="9"/>
            <rFont val="宋体"/>
            <charset val="134"/>
          </rPr>
          <t>Administrator:</t>
        </r>
        <r>
          <rPr>
            <sz val="9"/>
            <rFont val="宋体"/>
            <charset val="134"/>
          </rPr>
          <t xml:space="preserve">
1200988 12/19 1080pcs B4楼B9区</t>
        </r>
      </text>
    </comment>
    <comment ref="AE7" authorId="0">
      <text>
        <r>
          <rPr>
            <b/>
            <sz val="9"/>
            <rFont val="宋体"/>
            <charset val="134"/>
          </rPr>
          <t>Administrator:</t>
        </r>
        <r>
          <rPr>
            <sz val="9"/>
            <rFont val="宋体"/>
            <charset val="134"/>
          </rPr>
          <t xml:space="preserve">
12/6 上进口商贴纸 7614pcs
180717/180735/180758共用</t>
        </r>
      </text>
    </comment>
    <comment ref="AC8" authorId="0">
      <text>
        <r>
          <rPr>
            <b/>
            <sz val="9"/>
            <rFont val="宋体"/>
            <charset val="134"/>
          </rPr>
          <t>Administrator:</t>
        </r>
        <r>
          <rPr>
            <sz val="9"/>
            <rFont val="宋体"/>
            <charset val="134"/>
          </rPr>
          <t xml:space="preserve">
1201008 12/19 2600pcs 华兴三A27</t>
        </r>
      </text>
    </comment>
    <comment ref="AE8" authorId="0">
      <text>
        <r>
          <rPr>
            <b/>
            <sz val="9"/>
            <rFont val="宋体"/>
            <charset val="134"/>
          </rPr>
          <t>Administrator:</t>
        </r>
        <r>
          <rPr>
            <sz val="9"/>
            <rFont val="宋体"/>
            <charset val="134"/>
          </rPr>
          <t xml:space="preserve">
11/24 上8+贴纸 2600pcs
      上年龄贴纸 2600pcs
12/8  上客供防串码贴纸1拖13 2600pcs</t>
        </r>
      </text>
    </comment>
    <comment ref="AC9" authorId="0">
      <text>
        <r>
          <rPr>
            <b/>
            <sz val="9"/>
            <rFont val="宋体"/>
            <charset val="134"/>
          </rPr>
          <t>Administrator:</t>
        </r>
        <r>
          <rPr>
            <sz val="9"/>
            <rFont val="宋体"/>
            <charset val="134"/>
          </rPr>
          <t xml:space="preserve">
1601031 1/6 9180pcs B4楼A3区
1601044 1/8  36pcs  B4楼A3区</t>
        </r>
      </text>
    </comment>
    <comment ref="AE9" authorId="0">
      <text>
        <r>
          <rPr>
            <b/>
            <sz val="9"/>
            <rFont val="宋体"/>
            <charset val="134"/>
          </rPr>
          <t>Administrator:</t>
        </r>
        <r>
          <rPr>
            <sz val="9"/>
            <rFont val="宋体"/>
            <charset val="134"/>
          </rPr>
          <t xml:space="preserve">
12/17 上客供RFID贴纸 9216pcs</t>
        </r>
      </text>
    </comment>
    <comment ref="AC10" authorId="0">
      <text>
        <r>
          <rPr>
            <b/>
            <sz val="9"/>
            <rFont val="宋体"/>
            <charset val="134"/>
          </rPr>
          <t>Administrator:</t>
        </r>
        <r>
          <rPr>
            <sz val="9"/>
            <rFont val="宋体"/>
            <charset val="134"/>
          </rPr>
          <t xml:space="preserve">
1600978 1/4 1782pcs 华兴三B16</t>
        </r>
      </text>
    </comment>
    <comment ref="AE10" authorId="0">
      <text>
        <r>
          <rPr>
            <b/>
            <sz val="9"/>
            <rFont val="宋体"/>
            <charset val="134"/>
          </rPr>
          <t>Administrator:</t>
        </r>
        <r>
          <rPr>
            <sz val="9"/>
            <rFont val="宋体"/>
            <charset val="134"/>
          </rPr>
          <t xml:space="preserve">
12/16 上进口商贴纸 1782pcs
      上UPC贴纸 1782pcs</t>
        </r>
      </text>
    </comment>
    <comment ref="AC11" authorId="0">
      <text>
        <r>
          <rPr>
            <b/>
            <sz val="9"/>
            <rFont val="宋体"/>
            <charset val="134"/>
          </rPr>
          <t>Administrator:</t>
        </r>
        <r>
          <rPr>
            <sz val="9"/>
            <rFont val="宋体"/>
            <charset val="134"/>
          </rPr>
          <t xml:space="preserve">
1601031 1/6 4976pcs B4楼B9区
1601044 1/8   24pcs B4楼B9区</t>
        </r>
      </text>
    </comment>
    <comment ref="AE11" authorId="0">
      <text>
        <r>
          <rPr>
            <b/>
            <sz val="9"/>
            <rFont val="宋体"/>
            <charset val="134"/>
          </rPr>
          <t>Administrator:</t>
        </r>
        <r>
          <rPr>
            <sz val="9"/>
            <rFont val="宋体"/>
            <charset val="134"/>
          </rPr>
          <t xml:space="preserve">
12/22 上进口商贴纸 10000pcs
      上UPC贴纸 10000pcs
185782/187691共用</t>
        </r>
      </text>
    </comment>
    <comment ref="AC12" authorId="0">
      <text>
        <r>
          <rPr>
            <b/>
            <sz val="9"/>
            <rFont val="宋体"/>
            <charset val="134"/>
          </rPr>
          <t>Administrator:</t>
        </r>
        <r>
          <rPr>
            <sz val="9"/>
            <rFont val="宋体"/>
            <charset val="134"/>
          </rPr>
          <t xml:space="preserve">
1600978 1/4 2080pcs 华兴三A27</t>
        </r>
      </text>
    </comment>
    <comment ref="AC13" authorId="0">
      <text>
        <r>
          <rPr>
            <b/>
            <sz val="9"/>
            <rFont val="宋体"/>
            <charset val="134"/>
          </rPr>
          <t>Administrator:</t>
        </r>
        <r>
          <rPr>
            <sz val="9"/>
            <rFont val="宋体"/>
            <charset val="134"/>
          </rPr>
          <t xml:space="preserve">
1601177 1/16 25272pcs 华兴一F12</t>
        </r>
      </text>
    </comment>
    <comment ref="AC14" authorId="0">
      <text>
        <r>
          <rPr>
            <b/>
            <sz val="9"/>
            <rFont val="宋体"/>
            <charset val="134"/>
          </rPr>
          <t>Administrator:</t>
        </r>
        <r>
          <rPr>
            <sz val="9"/>
            <rFont val="宋体"/>
            <charset val="134"/>
          </rPr>
          <t xml:space="preserve">
1601177 1/16 1807pcs 华兴三A16</t>
        </r>
      </text>
    </comment>
    <comment ref="AE14" authorId="0">
      <text>
        <r>
          <rPr>
            <b/>
            <sz val="9"/>
            <rFont val="宋体"/>
            <charset val="134"/>
          </rPr>
          <t>Administrator:</t>
        </r>
        <r>
          <rPr>
            <sz val="9"/>
            <rFont val="宋体"/>
            <charset val="134"/>
          </rPr>
          <t xml:space="preserve">
12/25 上PDQ UPC贴纸 310pcs
188208/187984共用</t>
        </r>
      </text>
    </comment>
    <comment ref="AC15" authorId="0">
      <text>
        <r>
          <rPr>
            <b/>
            <sz val="9"/>
            <rFont val="宋体"/>
            <charset val="134"/>
          </rPr>
          <t>Administrator:</t>
        </r>
        <r>
          <rPr>
            <sz val="9"/>
            <rFont val="宋体"/>
            <charset val="134"/>
          </rPr>
          <t xml:space="preserve">
1601180 1/17 2171pcs 华兴华登仓库
1601210 1/20  27pcs  华兴华登仓库</t>
        </r>
      </text>
    </comment>
    <comment ref="AE15" authorId="0">
      <text>
        <r>
          <rPr>
            <b/>
            <sz val="9"/>
            <rFont val="宋体"/>
            <charset val="134"/>
          </rPr>
          <t>Administrator:</t>
        </r>
        <r>
          <rPr>
            <sz val="9"/>
            <rFont val="宋体"/>
            <charset val="134"/>
          </rPr>
          <t xml:space="preserve">
12/25 上PDQ UPC贴纸 310pcs
188208/187984共用</t>
        </r>
      </text>
    </comment>
    <comment ref="AC16" authorId="0">
      <text>
        <r>
          <rPr>
            <b/>
            <sz val="9"/>
            <rFont val="宋体"/>
            <charset val="134"/>
          </rPr>
          <t>Administrator:</t>
        </r>
        <r>
          <rPr>
            <sz val="9"/>
            <rFont val="宋体"/>
            <charset val="134"/>
          </rPr>
          <t xml:space="preserve">
1601180 1/17 1242pcs 华兴华登仓库
1601210 1/20  52pcs  华兴华登仓库</t>
        </r>
      </text>
    </comment>
    <comment ref="AE16" authorId="0">
      <text>
        <r>
          <rPr>
            <b/>
            <sz val="9"/>
            <rFont val="宋体"/>
            <charset val="134"/>
          </rPr>
          <t>Administrator:</t>
        </r>
        <r>
          <rPr>
            <sz val="9"/>
            <rFont val="宋体"/>
            <charset val="134"/>
          </rPr>
          <t xml:space="preserve">
12/31 上进口商贴纸 2538pcs
      上UPC贴纸 1269pcs</t>
        </r>
      </text>
    </comment>
    <comment ref="AC17" authorId="0">
      <text>
        <r>
          <rPr>
            <b/>
            <sz val="12"/>
            <rFont val="宋体"/>
            <charset val="134"/>
          </rPr>
          <t>Administrator:</t>
        </r>
        <r>
          <rPr>
            <sz val="12"/>
            <rFont val="宋体"/>
            <charset val="134"/>
          </rPr>
          <t xml:space="preserve">
1601226 1/19 486pcs 华兴三B17
1601215 1/20  54pcs 华兴三B17</t>
        </r>
      </text>
    </comment>
    <comment ref="AE17" authorId="0">
      <text>
        <r>
          <rPr>
            <b/>
            <sz val="9"/>
            <rFont val="宋体"/>
            <charset val="134"/>
          </rPr>
          <t>Administrator:</t>
        </r>
        <r>
          <rPr>
            <sz val="9"/>
            <rFont val="宋体"/>
            <charset val="134"/>
          </rPr>
          <t xml:space="preserve">
1/9 上UPC贴纸 1080pcs
188248/189691共用</t>
        </r>
      </text>
    </comment>
    <comment ref="AC18" authorId="0">
      <text>
        <r>
          <rPr>
            <b/>
            <sz val="12"/>
            <rFont val="宋体"/>
            <charset val="134"/>
          </rPr>
          <t>Administrator:</t>
        </r>
        <r>
          <rPr>
            <sz val="12"/>
            <rFont val="宋体"/>
            <charset val="134"/>
          </rPr>
          <t xml:space="preserve">
1601226 1/19 540pcs 华兴三B17</t>
        </r>
      </text>
    </comment>
    <comment ref="AE18" authorId="0">
      <text>
        <r>
          <rPr>
            <b/>
            <sz val="9"/>
            <rFont val="宋体"/>
            <charset val="134"/>
          </rPr>
          <t>Administrator:</t>
        </r>
        <r>
          <rPr>
            <sz val="9"/>
            <rFont val="宋体"/>
            <charset val="134"/>
          </rPr>
          <t xml:space="preserve">
1/9 上UPC贴纸 1080pcs
188248/189691共用</t>
        </r>
      </text>
    </comment>
    <comment ref="AC19" authorId="0">
      <text>
        <r>
          <rPr>
            <b/>
            <sz val="9"/>
            <rFont val="宋体"/>
            <charset val="134"/>
          </rPr>
          <t>Administrator:</t>
        </r>
        <r>
          <rPr>
            <sz val="9"/>
            <rFont val="宋体"/>
            <charset val="134"/>
          </rPr>
          <t xml:space="preserve">
1405559 2/7 12pcs B4楼B1区</t>
        </r>
      </text>
    </comment>
    <comment ref="AE19" authorId="0">
      <text>
        <r>
          <rPr>
            <b/>
            <sz val="9"/>
            <rFont val="宋体"/>
            <charset val="134"/>
          </rPr>
          <t>Administrator:</t>
        </r>
        <r>
          <rPr>
            <sz val="9"/>
            <rFont val="宋体"/>
            <charset val="134"/>
          </rPr>
          <t xml:space="preserve">
1/19 上空白UPC贴纸 24pcs
1/28 上客供亚马逊外箱贴纸 1pcs</t>
        </r>
      </text>
    </comment>
    <comment ref="AC20" authorId="0">
      <text>
        <r>
          <rPr>
            <b/>
            <sz val="9"/>
            <rFont val="宋体"/>
            <charset val="134"/>
          </rPr>
          <t>Administrator:</t>
        </r>
        <r>
          <rPr>
            <sz val="9"/>
            <rFont val="宋体"/>
            <charset val="134"/>
          </rPr>
          <t xml:space="preserve">
1405527 2/7 1188pcs  华兴三B14
1405534 2/9  12pcs   华兴三B13</t>
        </r>
      </text>
    </comment>
    <comment ref="AC21" authorId="0">
      <text>
        <r>
          <rPr>
            <b/>
            <sz val="9"/>
            <rFont val="宋体"/>
            <charset val="134"/>
          </rPr>
          <t>Administrator:</t>
        </r>
        <r>
          <rPr>
            <sz val="9"/>
            <rFont val="宋体"/>
            <charset val="134"/>
          </rPr>
          <t xml:space="preserve">
1405554 2/7 676pcs B4楼A2区</t>
        </r>
      </text>
    </comment>
    <comment ref="AE21" authorId="0">
      <text>
        <r>
          <rPr>
            <b/>
            <sz val="12"/>
            <rFont val="宋体"/>
            <charset val="134"/>
          </rPr>
          <t>Administrator:</t>
        </r>
        <r>
          <rPr>
            <sz val="12"/>
            <rFont val="宋体"/>
            <charset val="134"/>
          </rPr>
          <t xml:space="preserve">
1/19 上进口商贴纸 676pcs
     上EAN条码贴纸 676pcs
     上收藏指南空白贴纸 676pcs
     上PDQ空白贴纸 52pcs
     上外箱贴纸 52pcs
1/26 上QR code贴纸 676pcs
2/9  收到外箱贴纸 52pcs
</t>
        </r>
      </text>
    </comment>
    <comment ref="AC22" authorId="0">
      <text>
        <r>
          <rPr>
            <b/>
            <sz val="12"/>
            <rFont val="宋体"/>
            <charset val="134"/>
          </rPr>
          <t>Administrator:</t>
        </r>
        <r>
          <rPr>
            <sz val="12"/>
            <rFont val="宋体"/>
            <charset val="134"/>
          </rPr>
          <t xml:space="preserve">
1601180 1/17 5000pcs 华兴华登仓库</t>
        </r>
      </text>
    </comment>
    <comment ref="AE22" authorId="0">
      <text>
        <r>
          <rPr>
            <b/>
            <sz val="9"/>
            <rFont val="宋体"/>
            <charset val="134"/>
          </rPr>
          <t>Administrator:</t>
        </r>
        <r>
          <rPr>
            <sz val="9"/>
            <rFont val="宋体"/>
            <charset val="134"/>
          </rPr>
          <t xml:space="preserve">
12/22 上进口商贴纸 10000pcs
      上UPC贴纸 10000pcs
185782/187691共用</t>
        </r>
      </text>
    </comment>
    <comment ref="AC23" authorId="0">
      <text>
        <r>
          <rPr>
            <b/>
            <sz val="12"/>
            <rFont val="宋体"/>
            <charset val="134"/>
          </rPr>
          <t>Administrator:</t>
        </r>
        <r>
          <rPr>
            <sz val="12"/>
            <rFont val="宋体"/>
            <charset val="134"/>
          </rPr>
          <t xml:space="preserve">
4/1 1405431 4404pcs新仓库A3
</t>
        </r>
      </text>
    </comment>
    <comment ref="AE23" authorId="0">
      <text>
        <r>
          <rPr>
            <b/>
            <sz val="12"/>
            <rFont val="宋体"/>
            <charset val="134"/>
          </rPr>
          <t>Administrator:</t>
        </r>
        <r>
          <rPr>
            <sz val="12"/>
            <rFont val="宋体"/>
            <charset val="134"/>
          </rPr>
          <t xml:space="preserve">
3/9 上空白贴纸 18000pcs
193766/193767共用
3/10 上客供价格贴纸4845pcs</t>
        </r>
      </text>
    </comment>
    <comment ref="AC24" authorId="0">
      <text>
        <r>
          <rPr>
            <b/>
            <sz val="12"/>
            <rFont val="宋体"/>
            <charset val="134"/>
          </rPr>
          <t>Administrator:</t>
        </r>
        <r>
          <rPr>
            <sz val="12"/>
            <rFont val="宋体"/>
            <charset val="134"/>
          </rPr>
          <t xml:space="preserve">
3/31 1405458 4596pcs新仓库A3</t>
        </r>
      </text>
    </comment>
    <comment ref="AE24" authorId="0">
      <text>
        <r>
          <rPr>
            <b/>
            <sz val="12"/>
            <rFont val="宋体"/>
            <charset val="134"/>
          </rPr>
          <t>Administrator:</t>
        </r>
        <r>
          <rPr>
            <sz val="12"/>
            <rFont val="宋体"/>
            <charset val="134"/>
          </rPr>
          <t xml:space="preserve">
3/9 上空白贴纸 18000pcs
193766/193767共用
3/10 上客供价格贴纸5056pcs</t>
        </r>
      </text>
    </comment>
    <comment ref="AC25" authorId="0">
      <text>
        <r>
          <rPr>
            <b/>
            <sz val="12"/>
            <rFont val="宋体"/>
            <charset val="134"/>
          </rPr>
          <t>Administrator:</t>
        </r>
        <r>
          <rPr>
            <sz val="12"/>
            <rFont val="宋体"/>
            <charset val="134"/>
          </rPr>
          <t xml:space="preserve">
.4/1 1405431 996pcs新仓库A3
</t>
        </r>
      </text>
    </comment>
    <comment ref="AE25" authorId="0">
      <text>
        <r>
          <rPr>
            <b/>
            <sz val="12"/>
            <rFont val="宋体"/>
            <charset val="134"/>
          </rPr>
          <t>Administrator:</t>
        </r>
        <r>
          <rPr>
            <sz val="12"/>
            <rFont val="宋体"/>
            <charset val="134"/>
          </rPr>
          <t xml:space="preserve">
3/10 上客供价格贴纸 1096pcs
3/23上空白贴纸4392pcs 193770/193771 共用
</t>
        </r>
      </text>
    </comment>
    <comment ref="AC26" authorId="0">
      <text>
        <r>
          <rPr>
            <b/>
            <sz val="12"/>
            <rFont val="宋体"/>
            <charset val="134"/>
          </rPr>
          <t>Administrator:</t>
        </r>
        <r>
          <rPr>
            <sz val="12"/>
            <rFont val="宋体"/>
            <charset val="134"/>
          </rPr>
          <t xml:space="preserve">
4/1 1405431 1200pcs新仓库A3</t>
        </r>
      </text>
    </comment>
    <comment ref="AE26" authorId="0">
      <text>
        <r>
          <rPr>
            <b/>
            <sz val="12"/>
            <rFont val="宋体"/>
            <charset val="134"/>
          </rPr>
          <t>Administrator:</t>
        </r>
        <r>
          <rPr>
            <sz val="12"/>
            <rFont val="宋体"/>
            <charset val="134"/>
          </rPr>
          <t xml:space="preserve">
3/10 上客供价格贴纸 1320pcs
3/23上空白贴纸4392pcs 193770/193771 共用
</t>
        </r>
      </text>
    </comment>
    <comment ref="AC27" authorId="0">
      <text>
        <r>
          <rPr>
            <b/>
            <sz val="12"/>
            <rFont val="宋体"/>
            <charset val="134"/>
          </rPr>
          <t>Administrator:</t>
        </r>
        <r>
          <rPr>
            <sz val="12"/>
            <rFont val="宋体"/>
            <charset val="134"/>
          </rPr>
          <t xml:space="preserve">
4/3 1405388 2379pcs新仓库A6
4/8 1405420 26pcs 新仓库A4</t>
        </r>
      </text>
    </comment>
    <comment ref="AE27" authorId="0">
      <text>
        <r>
          <rPr>
            <b/>
            <sz val="12"/>
            <rFont val="宋体"/>
            <charset val="134"/>
          </rPr>
          <t>Administrator:</t>
        </r>
        <r>
          <rPr>
            <sz val="12"/>
            <rFont val="宋体"/>
            <charset val="134"/>
          </rPr>
          <t xml:space="preserve">
3/21 上德意警告语贴纸36*13mm 2405pcs</t>
        </r>
      </text>
    </comment>
    <comment ref="AC28" authorId="0">
      <text>
        <r>
          <rPr>
            <b/>
            <sz val="12"/>
            <rFont val="宋体"/>
            <charset val="134"/>
          </rPr>
          <t>Administrator:</t>
        </r>
        <r>
          <rPr>
            <sz val="12"/>
            <rFont val="宋体"/>
            <charset val="134"/>
          </rPr>
          <t xml:space="preserve">
4/8 1405348 4536PCS 华兴三楼B14区
</t>
        </r>
        <r>
          <rPr>
            <sz val="14"/>
            <rFont val="宋体"/>
            <charset val="134"/>
          </rPr>
          <t xml:space="preserve">4/10 1405339  54PCS 华兴三楼B14区
</t>
        </r>
      </text>
    </comment>
    <comment ref="AE28" authorId="0">
      <text>
        <r>
          <rPr>
            <b/>
            <sz val="12"/>
            <rFont val="宋体"/>
            <charset val="134"/>
          </rPr>
          <t>Administrator:</t>
        </r>
        <r>
          <rPr>
            <sz val="12"/>
            <rFont val="宋体"/>
            <charset val="134"/>
          </rPr>
          <t xml:space="preserve">
3/27 上客户货号贴纸（含法国） 4590pcs</t>
        </r>
      </text>
    </comment>
    <comment ref="AC29" authorId="0">
      <text>
        <r>
          <rPr>
            <b/>
            <sz val="12"/>
            <rFont val="宋体"/>
            <charset val="134"/>
          </rPr>
          <t>Administrator:</t>
        </r>
        <r>
          <rPr>
            <sz val="12"/>
            <rFont val="宋体"/>
            <charset val="134"/>
          </rPr>
          <t xml:space="preserve">
1405868 4/16 540pcs</t>
        </r>
      </text>
    </comment>
    <comment ref="AE29" authorId="0">
      <text>
        <r>
          <rPr>
            <b/>
            <sz val="12"/>
            <rFont val="宋体"/>
            <charset val="134"/>
          </rPr>
          <t>Administrator:</t>
        </r>
        <r>
          <rPr>
            <sz val="12"/>
            <rFont val="宋体"/>
            <charset val="134"/>
          </rPr>
          <t xml:space="preserve">
4/7上进口商贴纸540pcs</t>
        </r>
      </text>
    </comment>
    <comment ref="AC30" authorId="0">
      <text>
        <r>
          <rPr>
            <b/>
            <sz val="9"/>
            <rFont val="宋体"/>
            <charset val="134"/>
          </rPr>
          <t>Administrator:</t>
        </r>
        <r>
          <rPr>
            <sz val="9"/>
            <rFont val="宋体"/>
            <charset val="134"/>
          </rPr>
          <t xml:space="preserve">
4/29 1403684 996pcs新仓库c1
</t>
        </r>
      </text>
    </comment>
    <comment ref="AE30" authorId="0">
      <text>
        <r>
          <rPr>
            <b/>
            <sz val="12"/>
            <rFont val="宋体"/>
            <charset val="134"/>
          </rPr>
          <t>Administrator:</t>
        </r>
        <r>
          <rPr>
            <sz val="12"/>
            <rFont val="宋体"/>
            <charset val="134"/>
          </rPr>
          <t xml:space="preserve">
4/9 上空白贴纸9192pcs
4500195559/4500195560共用</t>
        </r>
      </text>
    </comment>
    <comment ref="AC31" authorId="0">
      <text>
        <r>
          <rPr>
            <b/>
            <sz val="12"/>
            <rFont val="宋体"/>
            <charset val="134"/>
          </rPr>
          <t>Administrator:</t>
        </r>
        <r>
          <rPr>
            <sz val="12"/>
            <rFont val="宋体"/>
            <charset val="134"/>
          </rPr>
          <t xml:space="preserve">
4/29 1403684 1200pcs新仓库A3</t>
        </r>
      </text>
    </comment>
    <comment ref="AE31" authorId="0">
      <text>
        <r>
          <rPr>
            <b/>
            <sz val="12"/>
            <rFont val="宋体"/>
            <charset val="134"/>
          </rPr>
          <t>Administrator:</t>
        </r>
        <r>
          <rPr>
            <sz val="12"/>
            <rFont val="宋体"/>
            <charset val="134"/>
          </rPr>
          <t xml:space="preserve">
3/18 上客供价格贴纸 1320pcs
4/9 上空白贴纸9192pcs
4500195559/4500195560共用
</t>
        </r>
      </text>
    </comment>
    <comment ref="AC32" authorId="0">
      <text>
        <r>
          <rPr>
            <b/>
            <sz val="12"/>
            <rFont val="宋体"/>
            <charset val="134"/>
          </rPr>
          <t>Administrator:</t>
        </r>
        <r>
          <rPr>
            <sz val="12"/>
            <rFont val="宋体"/>
            <charset val="134"/>
          </rPr>
          <t xml:space="preserve">
5/2 1403733 1026pcs</t>
        </r>
      </text>
    </comment>
    <comment ref="AC33" authorId="0">
      <text>
        <r>
          <rPr>
            <b/>
            <sz val="12"/>
            <rFont val="宋体"/>
            <charset val="134"/>
          </rPr>
          <t>Administrator:</t>
        </r>
        <r>
          <rPr>
            <sz val="12"/>
            <rFont val="宋体"/>
            <charset val="134"/>
          </rPr>
          <t xml:space="preserve">
5/2 1403733 208pcs</t>
        </r>
      </text>
    </comment>
    <comment ref="AC34" authorId="0">
      <text>
        <r>
          <rPr>
            <b/>
            <sz val="12"/>
            <rFont val="宋体"/>
            <charset val="134"/>
          </rPr>
          <t>Administrator:</t>
        </r>
        <r>
          <rPr>
            <sz val="12"/>
            <rFont val="宋体"/>
            <charset val="134"/>
          </rPr>
          <t xml:space="preserve">
5/2 1403733 1196pcs</t>
        </r>
      </text>
    </comment>
    <comment ref="AE34" authorId="0">
      <text>
        <r>
          <rPr>
            <b/>
            <sz val="12"/>
            <rFont val="宋体"/>
            <charset val="134"/>
          </rPr>
          <t>Administrator:</t>
        </r>
        <r>
          <rPr>
            <sz val="12"/>
            <rFont val="宋体"/>
            <charset val="134"/>
          </rPr>
          <t xml:space="preserve">
4/9上通用贴纸208pcs</t>
        </r>
      </text>
    </comment>
    <comment ref="AC35" authorId="0">
      <text>
        <r>
          <rPr>
            <b/>
            <sz val="12"/>
            <rFont val="宋体"/>
            <charset val="134"/>
          </rPr>
          <t>Administrator:</t>
        </r>
        <r>
          <rPr>
            <sz val="12"/>
            <rFont val="宋体"/>
            <charset val="134"/>
          </rPr>
          <t xml:space="preserve">
5/16 1403600 520pcs</t>
        </r>
      </text>
    </comment>
    <comment ref="AE35" authorId="1">
      <text>
        <r>
          <rPr>
            <b/>
            <sz val="12"/>
            <rFont val="宋体"/>
            <charset val="134"/>
          </rPr>
          <t>DELL:</t>
        </r>
        <r>
          <rPr>
            <sz val="12"/>
            <rFont val="宋体"/>
            <charset val="134"/>
          </rPr>
          <t xml:space="preserve">
4/30 上法国sorting logo贴纸 520pcs</t>
        </r>
      </text>
    </comment>
    <comment ref="AC36" authorId="0">
      <text>
        <r>
          <rPr>
            <b/>
            <sz val="12"/>
            <rFont val="宋体"/>
            <charset val="134"/>
          </rPr>
          <t>Administrator:</t>
        </r>
        <r>
          <rPr>
            <sz val="12"/>
            <rFont val="宋体"/>
            <charset val="134"/>
          </rPr>
          <t xml:space="preserve">
5/23 1403355 996pcs</t>
        </r>
      </text>
    </comment>
    <comment ref="AE36" authorId="0">
      <text>
        <r>
          <rPr>
            <b/>
            <sz val="9"/>
            <rFont val="宋体"/>
            <charset val="134"/>
          </rPr>
          <t>Administrator:</t>
        </r>
        <r>
          <rPr>
            <sz val="9"/>
            <rFont val="宋体"/>
            <charset val="134"/>
          </rPr>
          <t xml:space="preserve">
4/20 上客供价格贴纸 1096pcs</t>
        </r>
      </text>
    </comment>
    <comment ref="AC37" authorId="0">
      <text>
        <r>
          <rPr>
            <b/>
            <sz val="12"/>
            <rFont val="宋体"/>
            <charset val="134"/>
          </rPr>
          <t>Administrator:</t>
        </r>
        <r>
          <rPr>
            <sz val="12"/>
            <rFont val="宋体"/>
            <charset val="134"/>
          </rPr>
          <t xml:space="preserve">
5/23 1403355 1200pcs
</t>
        </r>
      </text>
    </comment>
    <comment ref="AE37" authorId="0">
      <text>
        <r>
          <rPr>
            <b/>
            <sz val="9"/>
            <rFont val="宋体"/>
            <charset val="134"/>
          </rPr>
          <t>Administrator:</t>
        </r>
        <r>
          <rPr>
            <sz val="9"/>
            <rFont val="宋体"/>
            <charset val="134"/>
          </rPr>
          <t xml:space="preserve">
4/20 上客供价格贴纸 1320pcs</t>
        </r>
      </text>
    </comment>
    <comment ref="AC38" authorId="0">
      <text>
        <r>
          <rPr>
            <b/>
            <sz val="12"/>
            <rFont val="宋体"/>
            <charset val="134"/>
          </rPr>
          <t>Administrator:</t>
        </r>
        <r>
          <rPr>
            <sz val="12"/>
            <rFont val="宋体"/>
            <charset val="134"/>
          </rPr>
          <t xml:space="preserve">
5/23 1403355 270pcs
</t>
        </r>
      </text>
    </comment>
    <comment ref="AE38" authorId="0">
      <text>
        <r>
          <rPr>
            <b/>
            <sz val="12"/>
            <rFont val="宋体"/>
            <charset val="134"/>
          </rPr>
          <t>Administrator:</t>
        </r>
        <r>
          <rPr>
            <sz val="12"/>
            <rFont val="宋体"/>
            <charset val="134"/>
          </rPr>
          <t xml:space="preserve">
5/16 上PDQ贴纸270pcs</t>
        </r>
      </text>
    </comment>
    <comment ref="AC39" authorId="0">
      <text>
        <r>
          <rPr>
            <b/>
            <sz val="12"/>
            <rFont val="宋体"/>
            <charset val="134"/>
          </rPr>
          <t>Administrator:</t>
        </r>
        <r>
          <rPr>
            <sz val="12"/>
            <rFont val="宋体"/>
            <charset val="134"/>
          </rPr>
          <t xml:space="preserve">
5/23 1403355 270pcs
</t>
        </r>
      </text>
    </comment>
    <comment ref="AC40" authorId="2">
      <text>
        <r>
          <rPr>
            <b/>
            <sz val="9"/>
            <rFont val="宋体"/>
            <charset val="0"/>
          </rPr>
          <t>龙丽娟:</t>
        </r>
        <r>
          <rPr>
            <sz val="9"/>
            <rFont val="宋体"/>
            <charset val="0"/>
          </rPr>
          <t xml:space="preserve">
5/26 1403339 2052pcs新2A9</t>
        </r>
      </text>
    </comment>
    <comment ref="AC41" authorId="2">
      <text>
        <r>
          <rPr>
            <b/>
            <sz val="9"/>
            <rFont val="宋体"/>
            <charset val="0"/>
          </rPr>
          <t>龙丽娟:</t>
        </r>
        <r>
          <rPr>
            <sz val="9"/>
            <rFont val="宋体"/>
            <charset val="0"/>
          </rPr>
          <t xml:space="preserve">
5/28 2800057 3618pcs应兴仓库A7</t>
        </r>
      </text>
    </comment>
    <comment ref="AC42" authorId="2">
      <text>
        <r>
          <rPr>
            <b/>
            <sz val="9"/>
            <rFont val="宋体"/>
            <charset val="0"/>
          </rPr>
          <t>龙丽娟:</t>
        </r>
        <r>
          <rPr>
            <sz val="9"/>
            <rFont val="宋体"/>
            <charset val="0"/>
          </rPr>
          <t xml:space="preserve">
6/5 2801113 270PCS顶B1</t>
        </r>
      </text>
    </comment>
    <comment ref="AC43" authorId="2">
      <text>
        <r>
          <rPr>
            <b/>
            <sz val="9"/>
            <rFont val="宋体"/>
            <charset val="0"/>
          </rPr>
          <t>龙丽娟:</t>
        </r>
        <r>
          <rPr>
            <sz val="9"/>
            <rFont val="宋体"/>
            <charset val="0"/>
          </rPr>
          <t xml:space="preserve">
191728 6/8 4590pcs 顶均A12</t>
        </r>
      </text>
    </comment>
    <comment ref="AE43" authorId="0">
      <text>
        <r>
          <rPr>
            <b/>
            <sz val="12"/>
            <rFont val="宋体"/>
            <charset val="134"/>
          </rPr>
          <t>Administrator:</t>
        </r>
        <r>
          <rPr>
            <sz val="12"/>
            <rFont val="宋体"/>
            <charset val="134"/>
          </rPr>
          <t xml:space="preserve">
3/27 上客户货号贴纸（含法国） 4590pcs</t>
        </r>
      </text>
    </comment>
    <comment ref="AC44" authorId="2">
      <text>
        <r>
          <rPr>
            <b/>
            <sz val="9"/>
            <rFont val="宋体"/>
            <charset val="0"/>
          </rPr>
          <t>龙丽娟:</t>
        </r>
        <r>
          <rPr>
            <sz val="9"/>
            <rFont val="宋体"/>
            <charset val="0"/>
          </rPr>
          <t xml:space="preserve">
2801135 6/6 216pcs顶均A8</t>
        </r>
      </text>
    </comment>
    <comment ref="AC45" authorId="2">
      <text>
        <r>
          <rPr>
            <b/>
            <sz val="9"/>
            <rFont val="宋体"/>
            <charset val="0"/>
          </rPr>
          <t>龙丽娟:</t>
        </r>
        <r>
          <rPr>
            <sz val="9"/>
            <rFont val="宋体"/>
            <charset val="0"/>
          </rPr>
          <t xml:space="preserve">
2801266 6/15 2600pcs顶均A6</t>
        </r>
      </text>
    </comment>
    <comment ref="AC46" authorId="2">
      <text>
        <r>
          <rPr>
            <b/>
            <sz val="9"/>
            <rFont val="宋体"/>
            <charset val="0"/>
          </rPr>
          <t>龙丽娟:</t>
        </r>
        <r>
          <rPr>
            <sz val="9"/>
            <rFont val="宋体"/>
            <charset val="0"/>
          </rPr>
          <t xml:space="preserve">
6/17 2201078 216pcs欣泰a6</t>
        </r>
      </text>
    </comment>
    <comment ref="AC47" authorId="2">
      <text>
        <r>
          <rPr>
            <b/>
            <sz val="9"/>
            <rFont val="宋体"/>
            <charset val="0"/>
          </rPr>
          <t>龙丽娟:</t>
        </r>
        <r>
          <rPr>
            <sz val="9"/>
            <rFont val="宋体"/>
            <charset val="0"/>
          </rPr>
          <t xml:space="preserve">
6/23 欣泰</t>
        </r>
      </text>
    </comment>
    <comment ref="AC48" authorId="2">
      <text>
        <r>
          <rPr>
            <b/>
            <sz val="9"/>
            <rFont val="宋体"/>
            <charset val="0"/>
          </rPr>
          <t>龙丽娟:</t>
        </r>
        <r>
          <rPr>
            <sz val="9"/>
            <rFont val="宋体"/>
            <charset val="0"/>
          </rPr>
          <t xml:space="preserve">
6/23 欣泰</t>
        </r>
      </text>
    </comment>
    <comment ref="AC54" authorId="2">
      <text>
        <r>
          <rPr>
            <b/>
            <sz val="9"/>
            <rFont val="宋体"/>
            <charset val="0"/>
          </rPr>
          <t>龙丽娟:</t>
        </r>
        <r>
          <rPr>
            <sz val="9"/>
            <rFont val="宋体"/>
            <charset val="0"/>
          </rPr>
          <t xml:space="preserve">
7/9 2201269 756pcs欣泰B4</t>
        </r>
      </text>
    </comment>
    <comment ref="AE54" authorId="2">
      <text>
        <r>
          <rPr>
            <b/>
            <sz val="9"/>
            <rFont val="宋体"/>
            <charset val="0"/>
          </rPr>
          <t>龙丽娟:</t>
        </r>
        <r>
          <rPr>
            <sz val="9"/>
            <rFont val="宋体"/>
            <charset val="0"/>
          </rPr>
          <t xml:space="preserve">
6/26上upc贴纸756pcs</t>
        </r>
      </text>
    </comment>
    <comment ref="AC55" authorId="2">
      <text>
        <r>
          <rPr>
            <b/>
            <sz val="9"/>
            <rFont val="宋体"/>
            <charset val="0"/>
          </rPr>
          <t>龙丽娟:</t>
        </r>
        <r>
          <rPr>
            <sz val="9"/>
            <rFont val="宋体"/>
            <charset val="0"/>
          </rPr>
          <t xml:space="preserve">
7/8 2201252 11070pcs顶均c2</t>
        </r>
      </text>
    </comment>
    <comment ref="AE55" authorId="2">
      <text>
        <r>
          <rPr>
            <b/>
            <sz val="9"/>
            <rFont val="宋体"/>
            <charset val="0"/>
          </rPr>
          <t>龙丽娟:</t>
        </r>
        <r>
          <rPr>
            <sz val="9"/>
            <rFont val="宋体"/>
            <charset val="0"/>
          </rPr>
          <t xml:space="preserve">
6/26上UPC贴纸11070pcs/上进口商贴纸22140pcs</t>
        </r>
      </text>
    </comment>
    <comment ref="AE56" authorId="2">
      <text>
        <r>
          <rPr>
            <b/>
            <sz val="9"/>
            <rFont val="宋体"/>
            <charset val="0"/>
          </rPr>
          <t>龙丽娟:</t>
        </r>
        <r>
          <rPr>
            <sz val="9"/>
            <rFont val="宋体"/>
            <charset val="0"/>
          </rPr>
          <t xml:space="preserve">
6/24上客供亚马逊外箱贴纸1pcs</t>
        </r>
      </text>
    </comment>
    <comment ref="AE57" authorId="2">
      <text>
        <r>
          <rPr>
            <b/>
            <sz val="9"/>
            <rFont val="宋体"/>
            <charset val="0"/>
          </rPr>
          <t>龙丽娟:</t>
        </r>
        <r>
          <rPr>
            <sz val="9"/>
            <rFont val="宋体"/>
            <charset val="0"/>
          </rPr>
          <t xml:space="preserve">
6/24上客供亚马逊外箱贴纸1pcs</t>
        </r>
      </text>
    </comment>
    <comment ref="AC58" authorId="2">
      <text>
        <r>
          <rPr>
            <b/>
            <sz val="9"/>
            <rFont val="宋体"/>
            <charset val="0"/>
          </rPr>
          <t>龙丽娟:</t>
        </r>
        <r>
          <rPr>
            <sz val="9"/>
            <rFont val="宋体"/>
            <charset val="0"/>
          </rPr>
          <t xml:space="preserve">
7/2 2201171 36PCS顶均c5</t>
        </r>
      </text>
    </comment>
    <comment ref="AE58" authorId="2">
      <text>
        <r>
          <rPr>
            <b/>
            <sz val="9"/>
            <rFont val="宋体"/>
            <charset val="0"/>
          </rPr>
          <t>龙丽娟:</t>
        </r>
        <r>
          <rPr>
            <sz val="9"/>
            <rFont val="宋体"/>
            <charset val="0"/>
          </rPr>
          <t xml:space="preserve">
6/24上客供亚马逊外箱贴纸3pcs</t>
        </r>
      </text>
    </comment>
    <comment ref="AE59" authorId="2">
      <text>
        <r>
          <rPr>
            <b/>
            <sz val="9"/>
            <rFont val="宋体"/>
            <charset val="0"/>
          </rPr>
          <t>龙丽娟:</t>
        </r>
        <r>
          <rPr>
            <sz val="9"/>
            <rFont val="宋体"/>
            <charset val="0"/>
          </rPr>
          <t xml:space="preserve">
6/24上客供亚马逊外箱贴纸1pcs</t>
        </r>
      </text>
    </comment>
    <comment ref="AE60" authorId="2">
      <text>
        <r>
          <rPr>
            <b/>
            <sz val="9"/>
            <rFont val="宋体"/>
            <charset val="0"/>
          </rPr>
          <t>龙丽娟:</t>
        </r>
        <r>
          <rPr>
            <sz val="9"/>
            <rFont val="宋体"/>
            <charset val="0"/>
          </rPr>
          <t xml:space="preserve">
6/24上客供亚马逊外箱贴纸1pcs</t>
        </r>
      </text>
    </comment>
    <comment ref="AE61" authorId="2">
      <text>
        <r>
          <rPr>
            <b/>
            <sz val="9"/>
            <rFont val="宋体"/>
            <charset val="0"/>
          </rPr>
          <t>龙丽娟:</t>
        </r>
        <r>
          <rPr>
            <sz val="9"/>
            <rFont val="宋体"/>
            <charset val="0"/>
          </rPr>
          <t xml:space="preserve">
6/24上客供亚马逊外箱贴纸1pcs</t>
        </r>
      </text>
    </comment>
    <comment ref="AE63" authorId="2">
      <text>
        <r>
          <rPr>
            <b/>
            <sz val="9"/>
            <rFont val="宋体"/>
            <charset val="0"/>
          </rPr>
          <t>龙丽娟:</t>
        </r>
        <r>
          <rPr>
            <sz val="9"/>
            <rFont val="宋体"/>
            <charset val="0"/>
          </rPr>
          <t xml:space="preserve">
7/6上进口商/upc贴纸各540pcs</t>
        </r>
      </text>
    </comment>
    <comment ref="AE64" authorId="2">
      <text>
        <r>
          <rPr>
            <b/>
            <sz val="9"/>
            <rFont val="宋体"/>
            <charset val="0"/>
          </rPr>
          <t>龙丽娟:</t>
        </r>
        <r>
          <rPr>
            <sz val="9"/>
            <rFont val="宋体"/>
            <charset val="0"/>
          </rPr>
          <t xml:space="preserve">
6/22上客供价格贴纸1610pcs</t>
        </r>
        <r>
          <rPr>
            <b/>
            <sz val="9"/>
            <rFont val="宋体"/>
            <charset val="0"/>
          </rPr>
          <t xml:space="preserve">
龙丽娟:</t>
        </r>
        <r>
          <rPr>
            <sz val="9"/>
            <rFont val="宋体"/>
            <charset val="0"/>
          </rPr>
          <t xml:space="preserve">
7/6上进口商贴纸1512pcs</t>
        </r>
      </text>
    </comment>
    <comment ref="AC70" authorId="2">
      <text>
        <r>
          <rPr>
            <b/>
            <sz val="9"/>
            <rFont val="宋体"/>
            <charset val="0"/>
          </rPr>
          <t>龙丽娟:</t>
        </r>
        <r>
          <rPr>
            <sz val="9"/>
            <rFont val="宋体"/>
            <charset val="0"/>
          </rPr>
          <t xml:space="preserve">
8/1 1001590 507pcs欣泰c3</t>
        </r>
      </text>
    </comment>
    <comment ref="AE70" authorId="2">
      <text>
        <r>
          <rPr>
            <b/>
            <sz val="9"/>
            <rFont val="宋体"/>
            <charset val="0"/>
          </rPr>
          <t>龙丽娟:</t>
        </r>
        <r>
          <rPr>
            <sz val="9"/>
            <rFont val="宋体"/>
            <charset val="0"/>
          </rPr>
          <t xml:space="preserve">
7/20上pdq/地址贴纸39pcs</t>
        </r>
        <r>
          <rPr>
            <b/>
            <sz val="9"/>
            <rFont val="宋体"/>
            <charset val="0"/>
          </rPr>
          <t xml:space="preserve">
龙丽娟:</t>
        </r>
        <r>
          <rPr>
            <sz val="9"/>
            <rFont val="宋体"/>
            <charset val="0"/>
          </rPr>
          <t xml:space="preserve">
7/16 上德意警告语贴纸 507pcs</t>
        </r>
      </text>
    </comment>
    <comment ref="AE71" authorId="2">
      <text>
        <r>
          <rPr>
            <b/>
            <sz val="9"/>
            <rFont val="宋体"/>
            <charset val="0"/>
          </rPr>
          <t>龙丽娟:</t>
        </r>
        <r>
          <rPr>
            <sz val="9"/>
            <rFont val="宋体"/>
            <charset val="0"/>
          </rPr>
          <t xml:space="preserve">
7/18上进口商/upc贴纸540pcs</t>
        </r>
      </text>
    </comment>
    <comment ref="AC77" authorId="2">
      <text>
        <r>
          <rPr>
            <b/>
            <sz val="9"/>
            <rFont val="宋体"/>
            <charset val="0"/>
          </rPr>
          <t>龙丽娟:</t>
        </r>
        <r>
          <rPr>
            <sz val="9"/>
            <rFont val="宋体"/>
            <charset val="0"/>
          </rPr>
          <t xml:space="preserve">
8/13 1001441 1344pcs</t>
        </r>
      </text>
    </comment>
    <comment ref="AC80" authorId="2">
      <text>
        <r>
          <rPr>
            <b/>
            <sz val="9"/>
            <rFont val="宋体"/>
            <charset val="0"/>
          </rPr>
          <t>龙丽娟:</t>
        </r>
        <r>
          <rPr>
            <sz val="9"/>
            <rFont val="宋体"/>
            <charset val="0"/>
          </rPr>
          <t xml:space="preserve">
8/13 1001441 1212pcs</t>
        </r>
      </text>
    </comment>
    <comment ref="AC82" authorId="2">
      <text>
        <r>
          <rPr>
            <b/>
            <sz val="9"/>
            <rFont val="宋体"/>
            <charset val="0"/>
          </rPr>
          <t>龙丽娟:</t>
        </r>
        <r>
          <rPr>
            <sz val="9"/>
            <rFont val="宋体"/>
            <charset val="0"/>
          </rPr>
          <t xml:space="preserve">
8/13 1001438 1080PCS</t>
        </r>
      </text>
    </comment>
    <comment ref="AC83" authorId="2">
      <text>
        <r>
          <rPr>
            <b/>
            <sz val="9"/>
            <rFont val="宋体"/>
            <charset val="0"/>
          </rPr>
          <t>龙丽娟:</t>
        </r>
        <r>
          <rPr>
            <sz val="9"/>
            <rFont val="宋体"/>
            <charset val="0"/>
          </rPr>
          <t xml:space="preserve">
8/13 1001421 1026pcs</t>
        </r>
      </text>
    </comment>
    <comment ref="AC84" authorId="2">
      <text>
        <r>
          <rPr>
            <b/>
            <sz val="9"/>
            <rFont val="宋体"/>
            <charset val="0"/>
          </rPr>
          <t>龙丽娟:</t>
        </r>
        <r>
          <rPr>
            <sz val="9"/>
            <rFont val="宋体"/>
            <charset val="0"/>
          </rPr>
          <t xml:space="preserve">
8/13 1001438 2916PCS</t>
        </r>
      </text>
    </comment>
    <comment ref="AE85" authorId="2">
      <text>
        <r>
          <rPr>
            <b/>
            <sz val="9"/>
            <rFont val="宋体"/>
            <charset val="0"/>
          </rPr>
          <t>龙丽娟:</t>
        </r>
        <r>
          <rPr>
            <sz val="9"/>
            <rFont val="宋体"/>
            <charset val="0"/>
          </rPr>
          <t xml:space="preserve">
7/21上PDQ+约旦的通用280pcs</t>
        </r>
      </text>
    </comment>
    <comment ref="AE86" authorId="2">
      <text>
        <r>
          <rPr>
            <b/>
            <sz val="9"/>
            <rFont val="宋体"/>
            <charset val="0"/>
          </rPr>
          <t>龙丽娟:</t>
        </r>
        <r>
          <rPr>
            <sz val="9"/>
            <rFont val="宋体"/>
            <charset val="0"/>
          </rPr>
          <t xml:space="preserve">
7/21上PDQ+约旦的通用168pcs</t>
        </r>
      </text>
    </comment>
    <comment ref="AE89" authorId="2">
      <text>
        <r>
          <rPr>
            <b/>
            <sz val="9"/>
            <rFont val="宋体"/>
            <charset val="0"/>
          </rPr>
          <t>龙丽娟:</t>
        </r>
        <r>
          <rPr>
            <sz val="9"/>
            <rFont val="宋体"/>
            <charset val="0"/>
          </rPr>
          <t xml:space="preserve">
7/20上客户进口商贴纸478pcs（两个单）</t>
        </r>
      </text>
    </comment>
    <comment ref="AE90" authorId="2">
      <text>
        <r>
          <rPr>
            <b/>
            <sz val="9"/>
            <rFont val="宋体"/>
            <charset val="0"/>
          </rPr>
          <t>龙丽娟:</t>
        </r>
        <r>
          <rPr>
            <sz val="9"/>
            <rFont val="宋体"/>
            <charset val="0"/>
          </rPr>
          <t xml:space="preserve">
7/20上客户进口商贴纸478pcs（两个单）</t>
        </r>
      </text>
    </comment>
    <comment ref="AE106" authorId="2">
      <text>
        <r>
          <rPr>
            <b/>
            <sz val="9"/>
            <rFont val="宋体"/>
            <charset val="0"/>
          </rPr>
          <t>龙丽娟:</t>
        </r>
        <r>
          <rPr>
            <sz val="9"/>
            <rFont val="宋体"/>
            <charset val="0"/>
          </rPr>
          <t xml:space="preserve">
8/13 收到亚马逊外箱贴纸3pcs</t>
        </r>
      </text>
    </comment>
    <comment ref="AE107" authorId="2">
      <text>
        <r>
          <rPr>
            <b/>
            <sz val="9"/>
            <rFont val="宋体"/>
            <charset val="0"/>
          </rPr>
          <t>龙丽娟:</t>
        </r>
        <r>
          <rPr>
            <sz val="9"/>
            <rFont val="宋体"/>
            <charset val="0"/>
          </rPr>
          <t xml:space="preserve">
8/13 收到亚马逊外箱贴纸1pcs</t>
        </r>
      </text>
    </comment>
    <comment ref="AE108" authorId="2">
      <text>
        <r>
          <rPr>
            <b/>
            <sz val="9"/>
            <rFont val="宋体"/>
            <charset val="0"/>
          </rPr>
          <t>龙丽娟:</t>
        </r>
        <r>
          <rPr>
            <sz val="9"/>
            <rFont val="宋体"/>
            <charset val="0"/>
          </rPr>
          <t xml:space="preserve">
8/13 收到亚马逊外箱贴纸1pcs</t>
        </r>
      </text>
    </comment>
    <comment ref="AE109" authorId="2">
      <text>
        <r>
          <rPr>
            <b/>
            <sz val="9"/>
            <rFont val="宋体"/>
            <charset val="0"/>
          </rPr>
          <t>龙丽娟:</t>
        </r>
        <r>
          <rPr>
            <sz val="9"/>
            <rFont val="宋体"/>
            <charset val="0"/>
          </rPr>
          <t xml:space="preserve">
8/13 收到亚马逊外箱贴纸1pcs</t>
        </r>
      </text>
    </comment>
    <comment ref="AE110" authorId="2">
      <text>
        <r>
          <rPr>
            <b/>
            <sz val="9"/>
            <rFont val="宋体"/>
            <charset val="0"/>
          </rPr>
          <t>龙丽娟:</t>
        </r>
        <r>
          <rPr>
            <sz val="9"/>
            <rFont val="宋体"/>
            <charset val="0"/>
          </rPr>
          <t xml:space="preserve">
8/13 收到亚马逊外箱贴纸1pcs</t>
        </r>
      </text>
    </comment>
  </commentList>
</comments>
</file>

<file path=xl/comments3.xml><?xml version="1.0" encoding="utf-8"?>
<comments xmlns="http://schemas.openxmlformats.org/spreadsheetml/2006/main">
  <authors>
    <author>Administrator</author>
  </authors>
  <commentList>
    <comment ref="AB2" authorId="0">
      <text>
        <r>
          <rPr>
            <b/>
            <sz val="9"/>
            <rFont val="宋体"/>
            <charset val="134"/>
          </rPr>
          <t>Administrator:</t>
        </r>
        <r>
          <rPr>
            <sz val="9"/>
            <rFont val="宋体"/>
            <charset val="134"/>
          </rPr>
          <t xml:space="preserve">
2/13 上进口商贴纸 2028pcs
     上PDQ EAN条码贴纸 156pcs</t>
        </r>
      </text>
    </comment>
    <comment ref="AB4" authorId="0">
      <text>
        <r>
          <rPr>
            <b/>
            <sz val="9"/>
            <rFont val="宋体"/>
            <charset val="134"/>
          </rPr>
          <t>Administrator:</t>
        </r>
        <r>
          <rPr>
            <sz val="9"/>
            <rFont val="宋体"/>
            <charset val="134"/>
          </rPr>
          <t xml:space="preserve">
7/3 上客供RFID贴纸 204pcs</t>
        </r>
      </text>
    </comment>
    <comment ref="AB5" authorId="0">
      <text>
        <r>
          <rPr>
            <b/>
            <sz val="9"/>
            <rFont val="宋体"/>
            <charset val="134"/>
          </rPr>
          <t>Administrator:</t>
        </r>
        <r>
          <rPr>
            <sz val="9"/>
            <rFont val="宋体"/>
            <charset val="134"/>
          </rPr>
          <t xml:space="preserve">
7/3 上客供RFID贴纸 156pcs</t>
        </r>
      </text>
    </comment>
    <comment ref="AB6" authorId="0">
      <text>
        <r>
          <rPr>
            <b/>
            <sz val="9"/>
            <rFont val="宋体"/>
            <charset val="134"/>
          </rPr>
          <t>Administrator:</t>
        </r>
        <r>
          <rPr>
            <sz val="9"/>
            <rFont val="宋体"/>
            <charset val="134"/>
          </rPr>
          <t xml:space="preserve">
7/3 上客供RFID贴纸 180pcs</t>
        </r>
      </text>
    </comment>
    <comment ref="AB7" authorId="0">
      <text>
        <r>
          <rPr>
            <b/>
            <sz val="9"/>
            <rFont val="宋体"/>
            <charset val="134"/>
          </rPr>
          <t>Administrator:</t>
        </r>
        <r>
          <rPr>
            <sz val="9"/>
            <rFont val="宋体"/>
            <charset val="134"/>
          </rPr>
          <t xml:space="preserve">
7/3 上客供RFID贴纸 84pcs</t>
        </r>
      </text>
    </comment>
  </commentList>
</comments>
</file>

<file path=xl/sharedStrings.xml><?xml version="1.0" encoding="utf-8"?>
<sst xmlns="http://schemas.openxmlformats.org/spreadsheetml/2006/main" count="8639" uniqueCount="2505">
  <si>
    <r>
      <rPr>
        <b/>
        <sz val="14"/>
        <rFont val="Arial"/>
        <charset val="0"/>
      </rPr>
      <t xml:space="preserve">ZURU  5 surprise Dino </t>
    </r>
    <r>
      <rPr>
        <b/>
        <sz val="14"/>
        <rFont val="宋体"/>
        <charset val="0"/>
      </rPr>
      <t>（混搭恐龙）生产排期表</t>
    </r>
    <r>
      <rPr>
        <b/>
        <sz val="14"/>
        <rFont val="Arial"/>
        <charset val="0"/>
      </rPr>
      <t xml:space="preserve"> #77685</t>
    </r>
  </si>
  <si>
    <t>3L及共用包材上的logo为英法2L，纸袋底纹为5S通用logo（为应对加拿大魁北克新规，3L及共用包材上的logo增加法语或改为5S logo以减少翻译）。口水胶、纸袋、说明书、收藏指南从1L Logo变更3L Logo，GQ21L/3L各库存2000PCS，后续切换B版本，注意走加拿大魁北克订单不能用A版本.同一个单不能出现两个版本</t>
  </si>
  <si>
    <t>无硼 口水胶</t>
  </si>
  <si>
    <t>收缩膜</t>
  </si>
  <si>
    <t>收藏指南</t>
  </si>
  <si>
    <t>外挂中文收藏指南+中文说明书</t>
  </si>
  <si>
    <t>GQ2</t>
  </si>
  <si>
    <t>GQ1</t>
  </si>
  <si>
    <t>GQ4</t>
  </si>
  <si>
    <t>GQ5</t>
  </si>
  <si>
    <t>GQ7</t>
  </si>
  <si>
    <t>SK展示架</t>
  </si>
  <si>
    <t>SK1展示架</t>
  </si>
  <si>
    <t>2PK</t>
  </si>
  <si>
    <t>腕龙</t>
  </si>
  <si>
    <t>双脊龙</t>
  </si>
  <si>
    <t>镰刀龙</t>
  </si>
  <si>
    <t>甲龙</t>
  </si>
  <si>
    <t>戟龙</t>
  </si>
  <si>
    <t>棘龙</t>
  </si>
  <si>
    <t>沧龙</t>
  </si>
  <si>
    <t>霸王龙</t>
  </si>
  <si>
    <t>特殊款霸王龙</t>
  </si>
  <si>
    <t>香港接单日期</t>
  </si>
  <si>
    <t>第三方客户名称</t>
  </si>
  <si>
    <t>走货国家</t>
  </si>
  <si>
    <r>
      <rPr>
        <b/>
        <sz val="10"/>
        <rFont val="Arial"/>
        <charset val="0"/>
      </rPr>
      <t>PO</t>
    </r>
    <r>
      <rPr>
        <b/>
        <sz val="10"/>
        <rFont val="宋体"/>
        <charset val="0"/>
      </rPr>
      <t>号</t>
    </r>
  </si>
  <si>
    <r>
      <rPr>
        <b/>
        <sz val="10"/>
        <rFont val="宋体"/>
        <charset val="0"/>
      </rPr>
      <t>第三方客户</t>
    </r>
    <r>
      <rPr>
        <b/>
        <sz val="10"/>
        <rFont val="Arial"/>
        <charset val="0"/>
      </rPr>
      <t xml:space="preserve">
 PO NO#</t>
    </r>
  </si>
  <si>
    <t>SKU</t>
  </si>
  <si>
    <t>ITEM#</t>
  </si>
  <si>
    <t>中文名</t>
  </si>
  <si>
    <t>PO数量
(pcs)</t>
  </si>
  <si>
    <r>
      <rPr>
        <b/>
        <sz val="10"/>
        <rFont val="宋体"/>
        <charset val="0"/>
      </rPr>
      <t>内箱装箱数量</t>
    </r>
    <r>
      <rPr>
        <b/>
        <sz val="10"/>
        <rFont val="Arial"/>
        <charset val="0"/>
      </rPr>
      <t>(pcs)</t>
    </r>
  </si>
  <si>
    <t>外箱装箱数量(pcs)</t>
  </si>
  <si>
    <t>总箱数</t>
  </si>
  <si>
    <t>客PO期</t>
  </si>
  <si>
    <t>验货期</t>
  </si>
  <si>
    <t>第三方验货时间</t>
  </si>
  <si>
    <t>验货结果</t>
  </si>
  <si>
    <t>船期</t>
  </si>
  <si>
    <r>
      <rPr>
        <b/>
        <sz val="10"/>
        <rFont val="宋体"/>
        <charset val="0"/>
      </rPr>
      <t>箱唛资料</t>
    </r>
    <r>
      <rPr>
        <b/>
        <sz val="10"/>
        <rFont val="Arial"/>
        <charset val="0"/>
      </rPr>
      <t>(</t>
    </r>
    <r>
      <rPr>
        <b/>
        <sz val="10"/>
        <rFont val="宋体"/>
        <charset val="0"/>
      </rPr>
      <t>收到日期</t>
    </r>
    <r>
      <rPr>
        <b/>
        <sz val="10"/>
        <rFont val="Arial"/>
        <charset val="0"/>
      </rPr>
      <t>)</t>
    </r>
  </si>
  <si>
    <t>外箱贴纸</t>
  </si>
  <si>
    <r>
      <rPr>
        <b/>
        <sz val="10"/>
        <rFont val="宋体"/>
        <charset val="0"/>
      </rPr>
      <t>客供贴纸</t>
    </r>
    <r>
      <rPr>
        <b/>
        <sz val="10"/>
        <rFont val="Arial"/>
        <charset val="0"/>
      </rPr>
      <t>AI(</t>
    </r>
    <r>
      <rPr>
        <b/>
        <sz val="10"/>
        <rFont val="宋体"/>
        <charset val="0"/>
      </rPr>
      <t>收到日期</t>
    </r>
    <r>
      <rPr>
        <b/>
        <sz val="10"/>
        <rFont val="Arial"/>
        <charset val="0"/>
      </rPr>
      <t>)</t>
    </r>
  </si>
  <si>
    <t>样板</t>
  </si>
  <si>
    <t>备注</t>
  </si>
  <si>
    <t>ZURU 跟单</t>
  </si>
  <si>
    <t>单价USD</t>
  </si>
  <si>
    <t>金额USD</t>
  </si>
  <si>
    <t>发票号</t>
  </si>
  <si>
    <t>送回数量</t>
  </si>
  <si>
    <t>欠数</t>
  </si>
  <si>
    <t>贴纸情况</t>
  </si>
  <si>
    <t>下单情况</t>
  </si>
  <si>
    <t>系统货号</t>
  </si>
  <si>
    <t>是否入系统</t>
  </si>
  <si>
    <t>球数</t>
  </si>
  <si>
    <t>MA</t>
  </si>
  <si>
    <r>
      <rPr>
        <b/>
        <sz val="10"/>
        <color rgb="FFFF0000"/>
        <rFont val="宋体"/>
        <charset val="134"/>
        <scheme val="minor"/>
      </rPr>
      <t>B</t>
    </r>
    <r>
      <rPr>
        <b/>
        <sz val="10"/>
        <rFont val="宋体"/>
        <charset val="134"/>
        <scheme val="minor"/>
      </rPr>
      <t xml:space="preserve"> MA</t>
    </r>
  </si>
  <si>
    <t>客版</t>
  </si>
  <si>
    <t>MA 1L</t>
  </si>
  <si>
    <t>MA 3L</t>
  </si>
  <si>
    <t>Smyths客版</t>
  </si>
  <si>
    <t>MA 5L</t>
  </si>
  <si>
    <r>
      <rPr>
        <b/>
        <sz val="10"/>
        <color rgb="FFFF0000"/>
        <rFont val="宋体"/>
        <charset val="134"/>
        <scheme val="minor"/>
      </rPr>
      <t>B</t>
    </r>
    <r>
      <rPr>
        <b/>
        <sz val="10"/>
        <rFont val="宋体"/>
        <charset val="134"/>
        <scheme val="minor"/>
      </rPr>
      <t xml:space="preserve"> MA 5L</t>
    </r>
  </si>
  <si>
    <r>
      <rPr>
        <b/>
        <sz val="10"/>
        <rFont val="宋体"/>
        <charset val="134"/>
        <scheme val="minor"/>
      </rPr>
      <t xml:space="preserve">MA </t>
    </r>
    <r>
      <rPr>
        <b/>
        <sz val="10"/>
        <color rgb="FFFF0000"/>
        <rFont val="宋体"/>
        <charset val="134"/>
        <scheme val="minor"/>
      </rPr>
      <t>B</t>
    </r>
    <r>
      <rPr>
        <b/>
        <sz val="10"/>
        <rFont val="宋体"/>
        <charset val="134"/>
        <scheme val="minor"/>
      </rPr>
      <t>3L</t>
    </r>
  </si>
  <si>
    <t>WM 客版</t>
  </si>
  <si>
    <t>Big 客版</t>
  </si>
  <si>
    <t>WM M客版</t>
  </si>
  <si>
    <t>IMP 3L 客版</t>
  </si>
  <si>
    <t>3L底座</t>
  </si>
  <si>
    <t>底座</t>
  </si>
  <si>
    <t>圆筒</t>
  </si>
  <si>
    <t>logo英法语彩纸/贴纸 条码UPC</t>
  </si>
  <si>
    <t>MA扣数</t>
  </si>
  <si>
    <t>ZURU</t>
  </si>
  <si>
    <t>深圳</t>
  </si>
  <si>
    <t>ZPO2411012</t>
  </si>
  <si>
    <t>PP订单</t>
  </si>
  <si>
    <t>77685GQ2-S001</t>
  </si>
  <si>
    <t>混搭恐龙27pcs/GQ2*2/箱</t>
  </si>
  <si>
    <t>无</t>
  </si>
  <si>
    <t>如何同意以上交货期到ZURU但是最后由于供应商原因无法交货，ZURU保留以下的罚款条款
不按期出货罚款如下：
1-7（含第七天）天内延迟出货罚款为合同总金额的百分之五
7-14（含第十四天）天内延迟出货罚款为合同总金额的百分之七
如果超过14天将扣合同金额的百分之十或者由客人提出预计运费方案
如果因为质量不符合雨禾要求的标准，供应商必须改进产品并达到标准并支付返工费用和出货延迟费用
订单细节会不时进行修改，如果订单做了修改要及时通知供应商，修改和特殊指引在生产过程中要由邮件或者电话确认</t>
  </si>
  <si>
    <t>年存</t>
  </si>
  <si>
    <t>库有</t>
  </si>
  <si>
    <t>ZMPO24875</t>
  </si>
  <si>
    <t>同PP单一起做</t>
  </si>
  <si>
    <t>77685-S001</t>
  </si>
  <si>
    <t>混搭恐龙</t>
  </si>
  <si>
    <t>Remark：跟PP订单一起安排/标准箱装箱/箱唛参照邮件附件                                                                                                                                                                   备注：收到样品订单后尽快安排 ，注意样板品质质量要求要高于大货品质要求 ，送货时必须要附带送货单(没有送货单和QC检验合格报告的仓库一律拒绝收货)，请知悉，谢谢！</t>
  </si>
  <si>
    <t xml:space="preserve">Angus </t>
  </si>
  <si>
    <t>97427-12.31</t>
  </si>
  <si>
    <t>10套散件</t>
  </si>
  <si>
    <t xml:space="preserve">Remark：跟PP订单一起安排/只需要齐全套散件/麻烦用胶袋分装好一套为一袋/箱唛参照邮件附件                                                                                                                                     备注：收到样品订单后尽快安排 ，注意样板品质质量要求要高于大货品质要求 ，送货时必须要附带送货单(没有送货单和QC检验合格报告的仓库一律拒绝收货)，请知悉，谢谢！  </t>
  </si>
  <si>
    <t>#</t>
  </si>
  <si>
    <t>77685GQ1-S001</t>
  </si>
  <si>
    <t>GQ1空PDQ搭配Demo零件</t>
  </si>
  <si>
    <t xml:space="preserve">Remark：跟PP订单一起安排/只需要空PDQ(PDQ可打平包/需配齐PDQ上原有的配件（列如-Demo-吸塑)                                                                                                                               备注：收到样品订单后尽快安排 ，注意样板品质质量要求要高于大货品质要求 ，送货时必须要附带送货单(没有送货单和QC检验合格报告的仓库一律拒绝收货)，请知悉，谢谢！   </t>
  </si>
  <si>
    <t>GQ2空PDQ搭配Demo零件</t>
  </si>
  <si>
    <t xml:space="preserve">Remark：跟PP订单一起安排/只需要空PDQ(PDQ可打平包/需配齐PDQ上原有的配件（列如-Demo-吸塑)                                                                                                                                   备注：收到样品订单后尽快安排 ，注意样板品质质量要求要高于大货品质要求 ，送货时必须要附带送货单(没有送货单和QC检验合格报告的仓库一律拒绝收货)，请知悉，谢谢！  </t>
  </si>
  <si>
    <t>ZMPO250144</t>
  </si>
  <si>
    <t>40个空PDQ</t>
  </si>
  <si>
    <t>Remark:大货最新版本/只需要空PDQ(PDQ可打平包/需配齐PDQ上原有的配件（列如-Demo-吸塑);备注：收到样品订单后尽快安排 ，注意样板品质质量要求要高于大货品质要求 ，送货时必须要附带送货单(没有送货单和QC检验合格报告的仓库一律拒绝收货)，请知悉，谢谢！</t>
  </si>
  <si>
    <t>94917-4.30</t>
  </si>
  <si>
    <t>ALL BRANDS TOYS PTY LTD</t>
  </si>
  <si>
    <t>澳大利亚</t>
  </si>
  <si>
    <t>4500156526-20</t>
  </si>
  <si>
    <t>东莞生产</t>
  </si>
  <si>
    <t>pass</t>
  </si>
  <si>
    <t>3/26 截SI</t>
  </si>
  <si>
    <t>2/20进口商贴纸</t>
  </si>
  <si>
    <t>日期码格式：ZURU INC(BVI) 标准格式 日期：按实际生产日期 
Packaging Info:
 77685GQ2：MA_UPC版本包装（收缩膜和说明书, MA首选1L，如无1L可用多语且含英语的配套多语UPC包装）+ 1张客人通用进口商贴纸
Remark: 1.按实际生产日期;
 2.出澳大利亚，请按照相应标准生产;</t>
  </si>
  <si>
    <t>Lydia Wu</t>
  </si>
  <si>
    <t>94636-3.25</t>
  </si>
  <si>
    <t>OK</t>
  </si>
  <si>
    <t>系统出单</t>
  </si>
  <si>
    <t>已入</t>
  </si>
  <si>
    <t>ZURU LLC</t>
  </si>
  <si>
    <t>美国</t>
  </si>
  <si>
    <t>4500157378-20</t>
  </si>
  <si>
    <t>77723-S001-MTS</t>
  </si>
  <si>
    <t>混搭恐龙2PK圆筒装</t>
  </si>
  <si>
    <t>3/28 交仓</t>
  </si>
  <si>
    <t>2/13外箱最长边不能超过25" （超过了，case pack只能为1）</t>
  </si>
  <si>
    <t>2/21空白贴纸</t>
  </si>
  <si>
    <t>日期码格式：ZURU INC(BVI) 标准格式 日期：按实际生产日期 
Packaging Info: 
 #77723=2PK STD #77685 PVC Tube. #77685 收缩膜MA 1L+空白贴纸覆盖UPC，空白贴纸图稿跟单提供。2PK铜板纸，收藏指南，说明书均为MA 5L标版。（两个球的配
 比不能重复）。
Remark: 1.Amazon domestic 订单。出口美国。外箱最长边不能超过25" （超过了，case pack只能为1），不符合要求的大货，一律不接受。
 2.无第三方验货/测试要求。
 3.日期码使用ZURU标准版本。</t>
  </si>
  <si>
    <t>SD24</t>
  </si>
  <si>
    <t>ZB00056</t>
  </si>
  <si>
    <t>2/17 已放MA 圆筒/彩纸/贴纸</t>
  </si>
  <si>
    <t>Smyths Toys EU HQ UC</t>
  </si>
  <si>
    <t>德国</t>
  </si>
  <si>
    <t>4500156119-10</t>
  </si>
  <si>
    <t>77685GQ2-S002</t>
  </si>
  <si>
    <t>混搭恐龙27pcs/GQ2/箱</t>
  </si>
  <si>
    <t>3/31 截SI</t>
  </si>
  <si>
    <t>日期码格式：ZURU INC(BVI) 标准格式 日期：按实际生产日期
Packaging Info: 客版收缩膜(英法德意荷)翻单#4500155619 +客版5L slime bag 翻单#4500155619+MA 3L PDQ+MA5L(23L Warning)收藏指南+MA23L说明书+MA内袋
 EAN # 4894680042612
Remark: 1. 此单出德国，需要满足Zuru Standard欧洲标准测试要求；
 2. 请准时出货，推期会有罚款；
 3. 出口欧洲，微塑料需符合法规；
 4. 所有电子产品身上需要加字唛，为ZURU FRANCE 地址 (如无电子产品，或者产品布标有此地址，可忽略此信息)
 ZURU France 1/3, Rue d'Argenteuil 95210 SAINT-GRATIEN, FRANCE
 5. 标准配比</t>
  </si>
  <si>
    <t>Shirley Zhou</t>
  </si>
  <si>
    <t>94676-3.31</t>
  </si>
  <si>
    <t>77685GQ2-S002-客</t>
  </si>
  <si>
    <t>Smyths Toys HQ UC UK</t>
  </si>
  <si>
    <t>爱尔兰</t>
  </si>
  <si>
    <t>PO4400458973</t>
  </si>
  <si>
    <t>4500155619-10</t>
  </si>
  <si>
    <t>3/27 截SI</t>
  </si>
  <si>
    <t>日期码格式：ZURU INC(BVI) 标准格式 日期：按实际生产日期 
Packaging Info: 77685GQ2：客版收缩膜(英法德意荷)+客版5L slime bag+MA 3L PDQ+MA5L(23L Warning)收藏指南+MA23L说明书
 客户PO号码请参考remark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需要完全符合欧洲标准(符合微塑料法规)，否则不合法规会有客诉产生</t>
  </si>
  <si>
    <t>Ula Zhao</t>
  </si>
  <si>
    <t>94640-3.26</t>
  </si>
  <si>
    <t>PO4400458974</t>
  </si>
  <si>
    <t>4500155619-20</t>
  </si>
  <si>
    <t>94667-3.29</t>
  </si>
  <si>
    <t>TARGET US</t>
  </si>
  <si>
    <t>10001232830-0581</t>
  </si>
  <si>
    <t xml:space="preserve"> 4500157763-10</t>
  </si>
  <si>
    <t>77685GQ1-S002</t>
  </si>
  <si>
    <t>混搭恐龙13pcs/GQ1/箱</t>
  </si>
  <si>
    <t>6/9 客上柜</t>
  </si>
  <si>
    <t>2/26条码箱贴纸客供+2/17 Event label贴纸</t>
  </si>
  <si>
    <t>已出样板</t>
  </si>
  <si>
    <t>日期码格式：ZURU INC(BVI) 标准格式 日期：按实际生产日期 
Packaging Info: MA 1L 收缩膜+说明书, MA PDQ
Remark: 1.77685GQ1-S002-5 SURPRISE-DINO MIX AND MATCH-SERIES 1-CAPSULE,13PCS/Gravity PDQ, 13PCS/PDQ/CTN。MA 1L 收缩膜+说明书, MA PDQ，产品UPC19305207905
 2. 外箱正唛左上角位置粘贴条码箱贴纸，每箱只贴一张由ZURU订购,来料显示DPCI-087-26-6460, UPC 10193052079050.
 3. 产品和包装上均要印刷tracking code信息，格式为ZURU常规格式。
 4 .外箱正唛右侧空白位置粘贴一张Event label贴纸，由工厂自己订购。
 5. 出货方式：货代自提，兴信出货。</t>
  </si>
  <si>
    <t>Holly Zheng</t>
  </si>
  <si>
    <t>ZB00436-6.9</t>
  </si>
  <si>
    <t>Ramp-s Corporation</t>
  </si>
  <si>
    <t>菲律宾</t>
  </si>
  <si>
    <t>PO-25-0003</t>
  </si>
  <si>
    <t>4500158563-10</t>
  </si>
  <si>
    <t>4/3 截SI</t>
  </si>
  <si>
    <t>3/5 进口商贴纸</t>
  </si>
  <si>
    <t>日期码格式：ZURU INC(BVI) 标准格式 日期：按实际生产日期 
Packaging Info: MA UPC包装+进口商贴纸,贴纸资料待提供
Remark</t>
  </si>
  <si>
    <t>Emma Wu</t>
  </si>
  <si>
    <t>94696-4.3</t>
  </si>
  <si>
    <t>THE WAREHOUSE LIMITED</t>
  </si>
  <si>
    <t>新西兰</t>
  </si>
  <si>
    <t>28854700/1</t>
  </si>
  <si>
    <t>4500159004-10</t>
  </si>
  <si>
    <t>77685SK-S002</t>
  </si>
  <si>
    <t>混搭恐龙展示架带底座</t>
  </si>
  <si>
    <t>PASS</t>
  </si>
  <si>
    <t>4/16 截SI</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</si>
  <si>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t>
  </si>
  <si>
    <t>Abby Liang</t>
  </si>
  <si>
    <t>94964-5.10</t>
  </si>
  <si>
    <t>28854701/1</t>
  </si>
  <si>
    <t>4500159005-10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</si>
  <si>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t>
  </si>
  <si>
    <t>94965-5.10</t>
  </si>
  <si>
    <t>Amazon ES</t>
  </si>
  <si>
    <t>西班牙</t>
  </si>
  <si>
    <t>Amazon ES:
4EASJCSI</t>
  </si>
  <si>
    <t>4500158469-10</t>
  </si>
  <si>
    <t>77723-S001</t>
  </si>
  <si>
    <t>4/21 截SI</t>
  </si>
  <si>
    <t>空白外箱（加印带Zuru字样的最新logo，除了邮包盒直接做外箱的产品）</t>
  </si>
  <si>
    <t>有</t>
  </si>
  <si>
    <t>3/21 SSCC贴纸+空白贴纸</t>
  </si>
  <si>
    <t>日期码格式：ZURU INC(BVI) 标准格式 日期：按实际生产日期 
Packaging Info: Amazon ES(77723)
 1. 77723：2pk 77685 into pvc tube, 12tubes/ctn; MA 3L(3L warning EAN)A收缩膜+MA 1L(23L warning)A说明书+MA 1L A内袋+MA 5L(23L warning)A收藏指南+M
 A 5L A Slime胶袋+客版3L（5L warning UPC)PVC筒彩卡(含英法德意西警告语+UPC#+邮箱地址+FR/ES/IT环保标)
 2. 最迟验货不得晚于2025/4/11;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</si>
  <si>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Crystal Chen</t>
  </si>
  <si>
    <t>94786-4.17</t>
  </si>
  <si>
    <t>AMAZON UK</t>
  </si>
  <si>
    <t>Amazon DE:
1WYS31BD</t>
  </si>
  <si>
    <t>4500158578-160</t>
  </si>
  <si>
    <t>4/27 截SI</t>
  </si>
  <si>
    <t>3/18 SSCC贴纸+空白贴纸</t>
  </si>
  <si>
    <t>日期码格式：ZURU INC(BVI) 标准格式 日期：按实际生产日期
Packaging Info: Amazon UK(15726BEK/15728BEG/15762ABDE)/DE(15726EK/15728B/15762A/77723)/FR(77723)
 4. 77723: 2pk 77685 into pvc tube, 12tubes/ctn; MA 3L(3L warning EAN)A收缩膜+MA 1L(23L warning)A说明书+MA 1L A内袋+MA 5L(23L warning)A收藏指南+M
 A 5L A Slime胶袋+客版PVC筒彩卡(含英法德意西5L警告语+UPC#+邮箱地址+FR/ES/IT环保标，参考翻单PO#4500158469)；
 5. 验货时间不迟于2025/4/11.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</si>
  <si>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94813-4.22</t>
  </si>
  <si>
    <t>法国</t>
  </si>
  <si>
    <t>Amazon FR:
1YINQXLS</t>
  </si>
  <si>
    <t>4500158578-180</t>
  </si>
  <si>
    <t>94834-4.24</t>
  </si>
  <si>
    <t>ASIA GOAL LIMITED</t>
  </si>
  <si>
    <t>香港</t>
  </si>
  <si>
    <t>AG240425-HK</t>
  </si>
  <si>
    <t>4500160929-20</t>
  </si>
  <si>
    <t>混搭恐龙13pcs/GQ1*4/箱</t>
  </si>
  <si>
    <t>4/3客供警语贴纸</t>
  </si>
  <si>
    <t>日期码格式：ZURU INC(BVI) 标准格式 日期：按实际生产日期
Packaging Info: 71152：MA 1L PKG， MA 说明书+客供警语贴纸
77685GQ1：MA 1L PKG, MA PDQ, MA 收藏指南+4张客供警语贴纸
(1张贴球底部，1张贴收藏指南，1张贴说明书上，1张贴口水胶袋子上)
Remark: 此单出香港</t>
  </si>
  <si>
    <t>Doris Shou</t>
  </si>
  <si>
    <t>94777-4.16</t>
  </si>
  <si>
    <t>HARVEY WHOLESALE LTD</t>
  </si>
  <si>
    <t>4500159074-10</t>
  </si>
  <si>
    <t>4/17 截SI</t>
  </si>
  <si>
    <t>日期码格式：ZURU INC(BVI) 标准格式 日期：按实际生产日期
Packaging Info:
Remark: MA UPC 英语包装（优先1L英语版本,或者3L/L含英语即可</t>
  </si>
  <si>
    <t>94768-4.15</t>
  </si>
  <si>
    <t>Distruibuciones Universales, SA - D</t>
  </si>
  <si>
    <t>洪都拉斯</t>
  </si>
  <si>
    <t>4500160421-120</t>
  </si>
  <si>
    <t>自检</t>
  </si>
  <si>
    <t>4/22 截SI</t>
  </si>
  <si>
    <t>3/25 UPC贴纸</t>
  </si>
  <si>
    <t xml:space="preserve">日期码格式：ZURU INC(BVI) 标准格式 日期：按实际生产日期
Packaging Info: 
77685GQ2: MA多语EAN包装+UPC贴纸+MA多语收藏指南+MA多语PDQ+箱唛
Remark: </t>
  </si>
  <si>
    <t>Ava Liang</t>
  </si>
  <si>
    <t>94795-4.18</t>
  </si>
  <si>
    <t>77685GQ2-S001-3L</t>
  </si>
  <si>
    <t>ZMPO250285</t>
  </si>
  <si>
    <t>60套散件</t>
  </si>
  <si>
    <t>Remark:大货最新版本/只需要齐全套散件/麻烦用胶袋分装好一套为一袋/箱唛参照邮件附件;备注：收到样品订单后尽快安排 ，注意样板品质质量要求要高于大货品质要求 ，送货时必须要附带送货单(没有送货单和QC检验合格报告的仓库一律拒绝收货)，请知悉，谢谢！</t>
  </si>
  <si>
    <t>Angus</t>
  </si>
  <si>
    <t>94916-4.30</t>
  </si>
  <si>
    <t>50个满PDQ(650PCS)</t>
  </si>
  <si>
    <t>Remark:大货最新版本/产品按大货比例/大货标准箱装箱/箱唛参照邮件附件;备注：收到样品订单后尽快安排 ，注意样板品质质量要求要高于大货品质要求 ，送货时必须要附带送货单(没有送货单和QC检验合格报告的仓库一律拒绝收货)，请知悉，谢谢！</t>
  </si>
  <si>
    <t>50个满PDQ(1350PCS)</t>
  </si>
  <si>
    <t>Babyhouse</t>
  </si>
  <si>
    <t>乌兹别克斯坦</t>
  </si>
  <si>
    <t>4500159866-10</t>
  </si>
  <si>
    <t>4/22 客上柜</t>
  </si>
  <si>
    <t>3/14 进口商贴纸</t>
  </si>
  <si>
    <t>日期码格式：ZURU INC(BVI) 标准格式 日期：按实际生产日期
Packaging Info: 77685: 1L MA 收缩膜 + 进口商贴纸 ; MA 说明书/指南（如有）;
Remark: 标准配比</t>
  </si>
  <si>
    <t>Ann Zhang</t>
  </si>
  <si>
    <t>94879-4.29</t>
  </si>
  <si>
    <t>ASIA GOAL LIMITED TAIWAN BRANCH (H.</t>
  </si>
  <si>
    <t>台湾</t>
  </si>
  <si>
    <t>AG240426-TW</t>
  </si>
  <si>
    <t>4500160940-10</t>
  </si>
  <si>
    <t>4/29  截SI</t>
  </si>
  <si>
    <t>3.28警语贴纸</t>
  </si>
  <si>
    <t>日期码格式：ZURU INC(BVI) 标准格式 日期：按实际生产日期
Packaging Info: MA 1L PKG, MA 1L PDQ +MA 收藏指南说明书+1张警语贴纸（贴球底部）
Remark: 此单出台湾</t>
  </si>
  <si>
    <t>94842-4.25</t>
  </si>
  <si>
    <t>WAL-MART STORES INC. USA</t>
  </si>
  <si>
    <t>0904512381</t>
  </si>
  <si>
    <t>4500159701-10</t>
  </si>
  <si>
    <t>77685SLB-S001</t>
  </si>
  <si>
    <t xml:space="preserve">混搭恐龙卡板装12pcs/GQ4/CTN**96/Slip Sheet </t>
  </si>
  <si>
    <t>4/23 第三方抽办+验货</t>
  </si>
  <si>
    <t>5/15 截SI</t>
  </si>
  <si>
    <t>首单，3/25</t>
  </si>
  <si>
    <t>3/21 RFID+艾利贴纸（不干胶贴纸）和一张普通贴纸（A4纸）</t>
  </si>
  <si>
    <t>日期码格式：ZURU DGYYYYMMDD CHINA(日期避开周末和法定节假日即可） 日期：按实际生产日期
Packaging Info: 77685SLB-S001：
1.包装要求：
MA 1L A版收缩膜+MA A版纸袋+MA 5L A版收藏指南+MA A版slime bag+客版1L PDQ
每pcs产品上要贴1张RFID贴纸，贴纸由ZURU提供，贴纸位置请严格按照我们签回的签板；
Remark: 77685SLB-S001：
1.包装要求：
MA 1L A版收缩膜+MA A版纸袋+MA 5L A版收藏指南+MA A版slime bag+客版1L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此单需要抽板和验货，抽板时间预计4/23，请多备料
7. 此单以slip sheet出货，77685：1152pcs/96CTN/Slip Sheet</t>
  </si>
  <si>
    <t>Maggie Xie</t>
  </si>
  <si>
    <t>ZB00268-5.16</t>
  </si>
  <si>
    <t>MTA Trade</t>
  </si>
  <si>
    <t>哈萨克斯坦</t>
  </si>
  <si>
    <t>4500160671-90</t>
  </si>
  <si>
    <t>4/25 客自提</t>
  </si>
  <si>
    <t>3/28进口商贴纸</t>
  </si>
  <si>
    <t>日期码格式：ZURU INC(BVI) 标准格式 日期：按实际生产日期
Packaging Info:
77685GQ1:MA UPC 收缩膜（优先1L)+进口商贴纸;MA指南;MA PDQ(优先1L)
Remark: 77685GQ1 Rare ratio:1/48
标准配比</t>
  </si>
  <si>
    <t>Cora Zhou</t>
  </si>
  <si>
    <t>94843-4.25</t>
  </si>
  <si>
    <t>SMYTHS TOYS HQ UC</t>
  </si>
  <si>
    <t>4500156863-10</t>
  </si>
  <si>
    <t>5/20 截SI</t>
  </si>
  <si>
    <t>日期码格式：ZURU INC(BVI) 标准格式 日期：按实际生产日期 
Packaging Info: 77685GQ2：客版收缩膜(英法德意荷)+客版5L slime bag+MA 3L PDQ+MA5L(23L Warning)收藏指南+MA23L说明书(客版翻4500155619)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</si>
  <si>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94996-5.16</t>
  </si>
  <si>
    <t>Andrés Dauhajre SA (LA NOVIA DE VIL</t>
  </si>
  <si>
    <t>多米尼加共和国</t>
  </si>
  <si>
    <t>4500160345-90</t>
  </si>
  <si>
    <t>3/31 UPC贴纸</t>
  </si>
  <si>
    <t>日期码格式：ZURU INC(BVI) 标准格式 日期：按实际生产日期
Packaging Info: 
77685GQ2: MA多语EAN包装+UPC贴纸+MA多语收藏指南+MA多语PDQ+箱唛
Remark:</t>
  </si>
  <si>
    <t>94881-4.29</t>
  </si>
  <si>
    <t>B0DS4YBF4S</t>
  </si>
  <si>
    <t>4500160498-60</t>
  </si>
  <si>
    <t>4/30 客上柜</t>
  </si>
  <si>
    <t>3/18 外箱最长边不能超过25" （超过了，case pack只能为1）</t>
  </si>
  <si>
    <t>日期码格式：ZURU INC(BVI) 标准格式 日期：按实际生产日期
Packaging Info: 
#77723：2PK STD 77685 PVC Tube. MA 1L UPC版本+空白UPC贴纸，3L 铜版纸和空白贴纸跟翻单#4500157378。收藏指南，说明书均为MA 5L标版。（两个球的配比不
能重复）。
Remark: 1.Amazon domestic 订单。出口美国。外箱最长边不能超过25" （超过了，case pack只能为1），不符合要求的大货，一律不接受。
2.无第三方验货/测试要求。
3.日期码使用ZURU标准版本。
4.邮包盒要印刷日期码。</t>
  </si>
  <si>
    <t>Kelly Shen/Mia Pan/P</t>
  </si>
  <si>
    <t>ZB00241-5.13</t>
  </si>
  <si>
    <t>MILLS FLEET FARM</t>
  </si>
  <si>
    <t>PO#4647602</t>
  </si>
  <si>
    <t>4500160726-190</t>
  </si>
  <si>
    <t>6/16 截SI</t>
  </si>
  <si>
    <t>3/26外箱贴纸</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</si>
  <si>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</si>
  <si>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Mila Yao</t>
  </si>
  <si>
    <t>ZB00483-6.16</t>
  </si>
  <si>
    <t>CORPORACION FAVORITA C.A.</t>
  </si>
  <si>
    <t>厄多瓜尔</t>
  </si>
  <si>
    <t>25-2101100JEC</t>
  </si>
  <si>
    <t>4500160092-240</t>
  </si>
  <si>
    <t>指定日期码：2025-05 外箱/产品/包装/进口商贴纸 日期码要一致</t>
  </si>
  <si>
    <t>5/12 截SI</t>
  </si>
  <si>
    <t>4/15 UPC贴纸+进口商贴纸</t>
  </si>
  <si>
    <t>日期码格式：2025-05 日期：
Packaging Info: 
 77685GQ2: MA多语EAN包装+UPC贴纸+MA多语收藏指南+MA多语PDQ+进口商贴纸+箱唛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</si>
  <si>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94973-5.12</t>
  </si>
  <si>
    <t>ZURU Denmark ApS</t>
  </si>
  <si>
    <t>丹麦</t>
  </si>
  <si>
    <t>4500162346-10</t>
  </si>
  <si>
    <t>77685GQ1-S002-MTS</t>
  </si>
  <si>
    <t>5/6截SI</t>
  </si>
  <si>
    <t>4/16警告语贴纸</t>
  </si>
  <si>
    <t>日期码格式：ZURU INC(BVI) 标准格式 日期：按实际生产日期
Packaging Info: 77685GQ1: MA 3L A版PDQ + 3L警语 EAN A版收缩膜 +1*多语折叠警告语贴纸+ 1L+23L警语说明书 + 5L+23L警语收藏指南 + 5L Slime袋子 + 北欧五语通用Slime黑
白说明书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</si>
  <si>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SD04</t>
  </si>
  <si>
    <t>94941-5.7</t>
  </si>
  <si>
    <t>77685GQ1-S002-3L</t>
  </si>
  <si>
    <t>Signature Marketing N.Z Limited</t>
  </si>
  <si>
    <t>SMNZZU2503</t>
  </si>
  <si>
    <t>4500161244-10</t>
  </si>
  <si>
    <t>待SO出货</t>
  </si>
  <si>
    <t>日期码格式：ZURU INC(BVI) 标准格式 日期：按实际生产日期
Packaging Info: 77685GQ1:Rare ratio:1/48
Remark: MA UPC 英语包装（优先1L英语版本,或者3L/L含英语即可）</t>
  </si>
  <si>
    <t>94957-5.10</t>
  </si>
  <si>
    <t>WALMART INC.</t>
  </si>
  <si>
    <t>0904512406
STATESBORO</t>
  </si>
  <si>
    <t>4500161693-10</t>
  </si>
  <si>
    <t>5/9 BV</t>
  </si>
  <si>
    <t>5/15 交仓</t>
  </si>
  <si>
    <t>翻单</t>
  </si>
  <si>
    <t>4/14 RFID</t>
  </si>
  <si>
    <t>日期码格式：ZURU DGYYYYMMDD CHINA(日期避开周末和法定节假日即可） 日期：按实际生产日期
Packaging Info: 77685SLB-S001：
1.包装要求：
MA 1L A版收缩膜+MA A版纸袋+MA 5L A版收藏指南+MA A版slime bag+客版1L PDQ,翻单：4500159701
每pcs产品上要贴1张RFID贴纸，贴纸由ZURU提供，贴纸位置请严格按照我们签回的签板；
Remark: 77685SLB-S001：
1.包装要求：
MA 1L A版收缩膜+MA A版纸袋+MA 5L A版收藏指南+MA A版slime bag+客版1L PDQ,翻单：4500159701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sheet出货，77685：1152pcs/96CTN/Slip Sheet</t>
  </si>
  <si>
    <t>ZB00249-5.14</t>
  </si>
  <si>
    <t>0904512349
SUFFOLK</t>
  </si>
  <si>
    <t>4500161693-20</t>
  </si>
  <si>
    <t>5/10 交仓</t>
  </si>
  <si>
    <t>ZB00240-5.13</t>
  </si>
  <si>
    <t>0904512397</t>
  </si>
  <si>
    <t>4500161749-10</t>
  </si>
  <si>
    <t>5/14 BV</t>
  </si>
  <si>
    <t>5/26 截SI</t>
  </si>
  <si>
    <t>0902421363
SAVANNAH</t>
  </si>
  <si>
    <t>4500162369-10</t>
  </si>
  <si>
    <t>77685GQ4-S001</t>
  </si>
  <si>
    <t>混搭恐龙12pcs/GQ4/箱</t>
  </si>
  <si>
    <t>日期码格式：ZURU DGYYYYMMDD CHINA(日期避开周末和法定节假日即可） 日期：按实际生产日期
Packaging Info: 77685GQ4-S001：
1.包装要求：
MA 1L A版收缩膜+MA A版纸袋+MA 5L A版收藏指南+MA A版slime bag+客版1L PDQ, 翻单：4500159701
每pcs产品上要贴1张RFID贴纸，贴纸由ZURU提供，贴纸位置请严格按照我们签回的签板；
Remark: 77685GQ4-S001：
1.包装要求：
MA 1L A版收缩膜+MA A版纸袋+MA 5L A版收藏指南+MA A版slime bag+客版1L PDQ, 翻单：4500159701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carton出货，77685：12pcs/PDQ/CTN</t>
  </si>
  <si>
    <t>0902421367
SUFFOLK</t>
  </si>
  <si>
    <t>4500162369-20</t>
  </si>
  <si>
    <t>0902421371
RIDGEVILLE SC</t>
  </si>
  <si>
    <t>4500162369-30</t>
  </si>
  <si>
    <t>5/16 截SI</t>
  </si>
  <si>
    <t>10001269475-3890</t>
  </si>
  <si>
    <t>4500162016-10</t>
  </si>
  <si>
    <t>4/16条码箱贴纸客供</t>
  </si>
  <si>
    <t>日期码格式：ZURU INC(BVI) 标准格式 日期：按实际生产日期
Packaging Info: MA 1L 收缩膜+ MA 1L PDQ
Remark: 1.77685GQ1-S002-5 SURPRISE-DINO MIX AND MATCH-SERIES 1-CAPSULE,13PCS/Gravity PDQ, 13PCS/PDQ/CTN
2. MA 1L 收缩膜+ MA 1L PDQ，收缩膜上的UPC193052079053.
3. 每个外箱正唛箱唛信息左上方位置粘贴条码箱贴纸，每箱只贴一张,由ZURU订购，来料显示DPCI-087-26-6460, UPC 10193052079050.
4. 产品和包装上印刷 tracking code信息，格式为ZURU常规格式;
5. 出货方式：货代自提</t>
  </si>
  <si>
    <t>4500161750-10</t>
  </si>
  <si>
    <t>混搭恐龙12pcs/GQ4/CTN**96/卡板装</t>
  </si>
  <si>
    <t>5/19 BV</t>
  </si>
  <si>
    <t>5/27 截SI</t>
  </si>
  <si>
    <t>Big Ideas Marketing</t>
  </si>
  <si>
    <t>4500161373-10</t>
  </si>
  <si>
    <t>MGQ15-77685-S001</t>
  </si>
  <si>
    <t>混搭恐龙24pcs/GQ5+外厂#83183GQ5/箱</t>
  </si>
  <si>
    <t>按标准格式，指定日期为2025年5月15日，为了同外厂的球日期一致</t>
  </si>
  <si>
    <t>日期码格式：ZURU INC(BVI) 标准格式 日期：按实际生产日期 Tracking Code:
Packaging Info: 1、包装方式：MA UPC优先1L+客版PDQ（客版AW邮件提供），出口美国
其中#MGQ15为混厂混Brand产品，混的产品为#77685GQ5-兴信与#83183GQ5-高德斯（最终组装工厂为兴信), 高德斯工厂的#83183GQ5会在2025/05/13送到
 #77685GQ5：193052079053
 #83183GQ5：193052069092
Remark: 2、无第三方测试与验货要求。
 3、纸箱4面印ZURU LOGO + 箱唛 任何外箱最长的边不得大于48"
 4、日期码请按ZURU标准版执行即可。
 5、ZURU QC验货。
 6、Ratio: #MGQ15/CTN=1 PDQ#77685GQ5(5 SURPRISE-DINO MIX AND MATCH-SERIES 1-CAPSULE,2Facing24pcs/Gravity PDQ,24pcs/PDQ/CTN)+1 PDQ#83183GQ5(MAX-MA
 X PREMIUM-SERIES 1-GARDEN POT PLANTS-CAPSULE,15PCS/Gravity PDQ,Facing at short side,15PCS/PDQ/CTN)</t>
  </si>
  <si>
    <t>Annie Huang</t>
  </si>
  <si>
    <t>0904512405
EASTVALE</t>
  </si>
  <si>
    <t>4500161751-10</t>
  </si>
  <si>
    <t>5/22 BV</t>
  </si>
  <si>
    <t>5/30 交仓</t>
  </si>
  <si>
    <t>ZB00394-6.3</t>
  </si>
  <si>
    <t>0904512393
ELWOOD</t>
  </si>
  <si>
    <t>4500161751-20</t>
  </si>
  <si>
    <t>ZB00430-6.7</t>
  </si>
  <si>
    <t>0904512355
STATESBORO</t>
  </si>
  <si>
    <t>4500161751-30</t>
  </si>
  <si>
    <t>6/9 截SI</t>
  </si>
  <si>
    <t>0904512380
SUFFOLK</t>
  </si>
  <si>
    <t>4500161751-40</t>
  </si>
  <si>
    <t>0904512390
RIDGEVILLE SC</t>
  </si>
  <si>
    <t>4500161751-50</t>
  </si>
  <si>
    <t>0902421360
HOUSTON</t>
  </si>
  <si>
    <t>4500162370-10</t>
  </si>
  <si>
    <t>日期码格式：ZURU DGYYYYMMDD CHINA(日期避开周末和法定节假日即可） 日期：按实际生产日期
Packaging Info: 77685GQ4-S001：
1.包装要求：
MA 1L A版收缩膜+MA A版纸袋+MA 5L A版收藏指南+MA A版slime bag+客版1L PDQ,翻单：4500159701
每pcs产品上要贴1张RFID贴纸，贴纸由ZURU提供，贴纸位置请严格按照我们签回的签板；
Remark: 77685GQ4-S001：
1.包装要求：
MA 1L A版收缩膜+MA A版纸袋+MA 5L A版收藏指南+MA A版slime bag+客版1L PDQ,翻单：4500159701
每pcs产品上要贴1张RFID贴纸，贴纸由ZURU提供，贴纸位置请严格按照我们签回的签板；
2. 外箱印刷带条码的RFID箱唛：RFID紫色色带+WM Dept.图标+RFID图标+ITF-14条码+粉色艾利贴纸（不干胶打印），四面右下角印刷ZURU logo, ITF条码只印刷在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carton出货，77685：12pcs/PDQ/CTN</t>
  </si>
  <si>
    <t>0902421364
MOBILE</t>
  </si>
  <si>
    <t>4500162370-20</t>
  </si>
  <si>
    <t>TOYS "R" US (CANADA) LTD.</t>
  </si>
  <si>
    <t>加拿大</t>
  </si>
  <si>
    <t>4500163438-20</t>
  </si>
  <si>
    <t>5/27第三方</t>
  </si>
  <si>
    <t>6/6 截SI</t>
  </si>
  <si>
    <t>4/17 UPC 贴纸</t>
  </si>
  <si>
    <t>日期码格式：ZURU INC(BVI) 标准格式 日期：按实际生产日期
Packaging Info: 1. 出口加拿大市场，MA UPC版本包装。
#77685GQ1: MA 3L EAN_A版本 +UPC 贴纸；UPC#193052079053
2. 产品、包装、外箱上面tracking code的时间格式需要一致
Remark: 3. 需要第三方SGS验货，验货时间2025/05/19，每款每色请备1PC完整带包装样品供验货人员参考。用完后若无损坏可以放回大货里。</t>
  </si>
  <si>
    <t>Abby Mai,Lluvia Zeng</t>
  </si>
  <si>
    <t>英国</t>
  </si>
  <si>
    <t>Amazon UK:
19EG6O9K</t>
  </si>
  <si>
    <t>4500158581-10</t>
  </si>
  <si>
    <t>4/27SSCC贴纸+空白贴纸</t>
  </si>
  <si>
    <t>日期码格式：ZURU INC(BVI) 标准格式 日期：按实际生产日期 
Packaging Info: Amazon UK(77723)
 1. 77723:2pk 77685 into pvc tube, 12tubes/ctn; MA 3L(3L warning EAN)A收缩膜+MA 1L(23L warning)A说明书+MA 1L A内袋+MA 5L(23L warning)A收藏指南+M
 A 5L A Slime胶袋+客版PVC筒彩卡(含英法德意西5L警告语+UPC#+邮箱地址+FR/ES/IT环保标，参考翻单PO#4500158469)；
 2. 验货时间不迟于2025/5/23.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</si>
  <si>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UPD, INC.</t>
  </si>
  <si>
    <t>PO# 34499</t>
  </si>
  <si>
    <t>4500164375-10</t>
  </si>
  <si>
    <t>5/28 截SI</t>
  </si>
  <si>
    <t>日期码格式：ZURU INC(BVI) 标准格式 日期：按实际生产日期
Packaging Info: 1. 包装方式：MA UPC 优先1L 最新包装，出口美国
Remark: 2. 外箱箱唛红色和黑色双色印刷
3. 产品和包装上印刷tracking code信息，格式为ZURU常规
4. 需要ZURU QC 验货合格后方可出货
5. 整柜出货。</t>
  </si>
  <si>
    <t>Sia Liu</t>
  </si>
  <si>
    <t>BINGO GLOBAL GROUP FOR TRADING SUPP</t>
  </si>
  <si>
    <t>埃及</t>
  </si>
  <si>
    <t>4500159286-10</t>
  </si>
  <si>
    <t>6/22 截SI</t>
  </si>
  <si>
    <t>4/23进口商贴纸</t>
  </si>
  <si>
    <t>日期码格式：ZURU INC(BVI) 标准格式 日期：按实际生产日期
Packaging Info: 77685GQ1: MA 3L EAN 收缩膜+ 进口商贴纸 +MA收藏指南和说明书；MA PDQ
Remark: 77685GQ1: Rare ratio:1/48</t>
  </si>
  <si>
    <t>Lena Huang</t>
  </si>
  <si>
    <t>77685GQ1-S001-3L</t>
  </si>
  <si>
    <t>THE ENTERTAINER</t>
  </si>
  <si>
    <t>FB12980</t>
  </si>
  <si>
    <t>4500159575-10</t>
  </si>
  <si>
    <t>日期码格式：ZURU INC(BVI) 标准格式 日期：按实际生产日期
Packaging Info: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*条码如下，请核查
77685GQ1-S001 193052079053
* 大货样： 请在5/10 前寄出每款1整套大货样到罗湖办公室7B Sandy Shao 收。
Remark: 77685GQ1-S001 MA-1L 配套包装</t>
  </si>
  <si>
    <t>Sandy Shao</t>
  </si>
  <si>
    <t>SHOPRITE CHECKERS (PTY) LTD</t>
  </si>
  <si>
    <t>南非</t>
  </si>
  <si>
    <t>BRK1177100734</t>
  </si>
  <si>
    <t>4500163743-40</t>
  </si>
  <si>
    <t>77685SK1-S002</t>
  </si>
  <si>
    <t>5/29 截SI</t>
  </si>
  <si>
    <t>日期码格式：ZURU INC(BVI) 标准格式 日期：按实际生产日期
Packaging Info: MA PKG, 优先1L
Remark: 请留意箱唛色带高度为40mm, 色带顶部需留出10mm高空白地方
客户PO#BRK1177100734</t>
  </si>
  <si>
    <t>K􀃤rkk􀃤inen Oy /Centrawla rehouse</t>
  </si>
  <si>
    <t>芬兰</t>
  </si>
  <si>
    <t>4500161573-140</t>
  </si>
  <si>
    <t>6/4 截SI</t>
  </si>
  <si>
    <t>4/28瑞典芬兰警告语贴纸</t>
  </si>
  <si>
    <t>日期码格式：ZURU INC(BVI) 标准格式 日期：按实际生产日期
Packaging Info: 
14. 77685GQ2: MA 3L EAN版收缩膜+瑞典芬兰警告语贴纸+北欧五语通用Slime黑白说明书+MA 5L slime bag+MA B1L(23L warning)说明书+MA 3L PDQ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77685GQ2:4894680042612</t>
  </si>
  <si>
    <t>Sheba</t>
  </si>
  <si>
    <t>77685GQ2-S002-3L</t>
  </si>
  <si>
    <t>0904512463</t>
  </si>
  <si>
    <t>4500161752-10</t>
  </si>
  <si>
    <t>5/30 BV</t>
  </si>
  <si>
    <t>6/3 交仓</t>
  </si>
  <si>
    <t>ZB00404-6.3</t>
  </si>
  <si>
    <t>0902421348
EASTVALE</t>
  </si>
  <si>
    <t>4500162371-10</t>
  </si>
  <si>
    <t>5/27 BV</t>
  </si>
  <si>
    <t>ZB00412-6.5</t>
  </si>
  <si>
    <t>0902421356
ELWOOD</t>
  </si>
  <si>
    <t>4500162371-20</t>
  </si>
  <si>
    <t>ZB00413-6.5</t>
  </si>
  <si>
    <t>COOP NORGE HANDEL AS - DOM</t>
  </si>
  <si>
    <t>挪威</t>
  </si>
  <si>
    <t>4500162231-20</t>
  </si>
  <si>
    <t>5/26-5/27第三方</t>
  </si>
  <si>
    <t>6/3 截SI</t>
  </si>
  <si>
    <t>4/30挪威语警语贴纸</t>
  </si>
  <si>
    <t>日期码格式：ZURU INC(BVI) 标准格式 日期：按实际生产日期
Packaging Info: 
77685GQ1:MA EAN 3L 收缩膜+MA-B COLLECTOR GUIDE+MA 说明书+MA SLIME BAG&lt;(&gt;&lt;&lt;)&gt;(&gt;&lt;(&gt;&amp;&lt;)&gt;&lt;(&gt;&lt;&lt;)&gt;)&gt; INNER BAG++MA 3L 展示盒+挪威语警语贴纸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
77685GQ1-7254586-4894680042612-10193052079050
6/配比:
77685GQ1:Rare ratio:1/48</t>
  </si>
  <si>
    <t>Zoe Zhou</t>
  </si>
  <si>
    <t>Coop Danmark A/S</t>
  </si>
  <si>
    <t>4500160515-80</t>
  </si>
  <si>
    <t>4/21北欧四语警告语贴纸</t>
  </si>
  <si>
    <t>日期码格式：ZURU INC(BVI) 标准格式 日期：按实际生产日期
Packaging Info: 
6. 77685GQ1: MA 3L EAN版收缩膜+丹麦瑞典挪威芬兰语警告语贴纸+北欧五语通用Slime黑白说明书+MA 5L slime bag+MA B1L(23L warning)说明书+MA 3L PDQ+MA 5
L-23L warning收藏指南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ITEM-COOP ITEM-EAN-GTIN
77685GQ1-1000492570-4894680042612-10193052079050
9. 验货注意，警告语需要包含丹麦语
10，要求样品，寄出时间5/15前，
77685GQ1 各3pcs球+2套散件
其它产品各2套</t>
  </si>
  <si>
    <t>Luna Lin</t>
  </si>
  <si>
    <t>AB Gee of Ripley Ltd.</t>
  </si>
  <si>
    <t>777 2MAY25</t>
  </si>
  <si>
    <t>4500162622-20</t>
  </si>
  <si>
    <t>77685GQ2-S003</t>
  </si>
  <si>
    <t>混搭恐龙27pcs/GQ2/内箱*2</t>
  </si>
  <si>
    <t>5/30 截SI</t>
  </si>
  <si>
    <t>日期码格式：ZURU INC(BVI) 标准格式 日期：按实际生产日期
Packaging Info: MA 最新UPC包装，各款的条码如下，请先检查条码是否正确再安排做货，如有问题请告知,配比跟MA
77685GQ2：193052079053
Remark: 1.产品及包装需要印UKCA图标，包装需要有ZURU UK LTD/ZURU France地址信息，QC同事请核查，如有问题与跟单确认。
2. 需要符合欧洲标准不能含有闪粉和微塑料，否则不和法规会有客诉产生</t>
  </si>
  <si>
    <t>Yoga Huang</t>
  </si>
  <si>
    <t>ZURU Germany GMBH</t>
  </si>
  <si>
    <t>4500164783-10</t>
  </si>
  <si>
    <t>77685GQ2-S002-MTS</t>
  </si>
  <si>
    <t>日期码格式：ZURU INC(BVI) 标准格式 日期：按实际生产日期
Packaging Info: 1.77685GQ2：MA 3L EAN 最新版收缩膜+1张多语警告语贴纸+MA 说明书+MA 最新版PDQ；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</si>
  <si>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Amy Xiao</t>
  </si>
  <si>
    <t>Lekia AB</t>
  </si>
  <si>
    <t>瑞典</t>
  </si>
  <si>
    <t>156653-2</t>
  </si>
  <si>
    <t>4500164226-120</t>
  </si>
  <si>
    <t>北欧五语通用Slime黑白说明书</t>
  </si>
  <si>
    <t>6/3 待SO出货</t>
  </si>
  <si>
    <t>5/9警告语/进口商贴纸</t>
  </si>
  <si>
    <t>日期码格式：ZURU INC(BVI) 标准格式 日期：按实际生产日期
Packaging Info: 
 77685GQ2-S002:MA 3L EAN版收缩膜+北欧五语通用Slime黑白说明书+MA 5L slime bag+MA B1L(23L warning)说明书+MA 3L PDQ+警告语/进口商贴纸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77685GQ2-S002//100-222011469//4894680042612</t>
  </si>
  <si>
    <t>4500164226-210</t>
  </si>
  <si>
    <t>5/9警告语/进口商贴纸+EAN贴纸</t>
  </si>
  <si>
    <t xml:space="preserve">日期码格式：ZURU INC(BVI) 标准格式 日期：按实际生产日期
Packaging Info: 
 77685SK1-S002:MA 3L EAN版收缩膜+北欧五语通用Slime黑白说明书+MA 5L slime bag+MA B1L(23L warning)说明书+MA 3L 展示架+警告语/进口商贴纸+EAN贴纸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77685SK1-S002//100-222011468//4894680054363
</t>
  </si>
  <si>
    <t>77685SK1-S002-3L</t>
  </si>
  <si>
    <t>从PP ZP02411012中扣数</t>
  </si>
  <si>
    <t>4500157534-10</t>
  </si>
  <si>
    <t>6/5 出货</t>
  </si>
  <si>
    <t>5/27 箱唛资料， 箱唛资料会在货期前一天提供，外箱上都要贴一张大黄贴："ZURU Product for NZ test "</t>
  </si>
  <si>
    <t>2/14 UPC贴纸+大黄贴</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</si>
  <si>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77685GQ1: 要加UPC贴纸
 所有外箱上都要贴一张大黄贴："ZURU Product for NZ test "
Remark: 77685GQ1: Rare ratio:1/48</t>
  </si>
  <si>
    <t>消耗PP</t>
  </si>
  <si>
    <t>Bol.com</t>
  </si>
  <si>
    <t>荷兰</t>
  </si>
  <si>
    <t>P2505497</t>
  </si>
  <si>
    <t>4500164939-20</t>
  </si>
  <si>
    <t>6/12截SI</t>
  </si>
  <si>
    <t>5/6EAN+NL警告语+空白贴纸</t>
  </si>
  <si>
    <t>日期码格式：ZURU INC(BVI) 标准格式 日期：按实际生产日期
Packaging Info: BOL NL(9548/77723/92119ABDEH)
2. 77723：2pk 77685 into pvc tube, 12tubes/ctn; MA 3L(3L warning EAN)A收缩膜+MA 1L(23L warning)A说明书+MA 1L A内袋+MA 5L(23L warning)A收藏指南+M
A 5L A Slime胶袋+客版PVC筒彩卡(含英法德意西5L警告语+UPC#+邮箱地址+FR/ES/IT环保标，参考翻单PO#4500158469)+2张贴纸(1张EAN#，1张NL警告语，贴在彩卡)
；
4.最迟验货不得晚于2025/5/30;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</si>
  <si>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4/23 已放MA 圆筒/彩纸/贴纸</t>
  </si>
  <si>
    <t>GLOBUS Logistik GmbH and Co KG</t>
  </si>
  <si>
    <t>4500161168-10</t>
  </si>
  <si>
    <t>6/10 截SI</t>
  </si>
  <si>
    <t>4/28德语警告语贴纸</t>
  </si>
  <si>
    <t>日期码格式：ZURU INC(BVI) 标准格式 日期：按实际生产日期
Packaging Info: "77685GQ2: MA EAN 收缩膜3L-A版本 +德语警告语贴纸+ MA纸袋1L-A版本 +MA贴纸+MA口水胶5L-A版本 + MA收藏指南5+23L-A版本 + MA产品组装说明书23L-A版本+MA
PDQ3L-A版本+PDQ GTIN 贴纸
EAN:4894680042612"
Remark: "1. 此单出德国，需准时出货。无须客户第三方验货但是需要在6-2 提供验货图片(含不良图）。待客人放货后才能安排走货。
2. 外箱正唛需要贴产品图片贴纸，（外箱印4面-2*正唛+2*侧唛）
3. 外箱正唛需要印GTIN, 请保证GTIN条码能扫描。
4. 需要在货期前一个月安排2套样品给客户评估（非测试，包装无要求）"</t>
  </si>
  <si>
    <t>Claire Wang</t>
  </si>
  <si>
    <t>G.T. WHOLESALE LIMITED</t>
  </si>
  <si>
    <t>2924737-00</t>
  </si>
  <si>
    <t>4500165393-10</t>
  </si>
  <si>
    <t>6/5 截SI</t>
  </si>
  <si>
    <t>5/8 UPC贴纸+进口商贴纸</t>
  </si>
  <si>
    <t>已出大货样</t>
  </si>
  <si>
    <t>日期码格式： 标准格式 日期：按实际生产日期
Packaging Info: 77685GQ1 MA 多语EAN版本+UPC贴纸 UPC号码193052079053
Remark: 出口加拿大， 有 进口商贴纸
5/23前寄出大货样2套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</si>
  <si>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Summer Mo</t>
  </si>
  <si>
    <t>NORWEGIAN TOY IMPORT AS - DOM</t>
  </si>
  <si>
    <t>4500163205-160</t>
  </si>
  <si>
    <t>5/12进口商贴纸</t>
  </si>
  <si>
    <t>日期码格式：ZURU INC(BVI) 标准格式 日期：按实际生产日期
Packaging Info: 
77685GQ2：MA-A EAN 3L收缩膜+MA 3L A展示盒+进口商贴纸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</si>
  <si>
    <t>4500163205-230</t>
  </si>
  <si>
    <t>日期码格式：ZURU INC(BVI) 标准格式 日期：按实际生产日期
Packaging Info:
77685SK1：MA-A EAN 3L收缩膜+MA 说明书+MA-A 3L展示架+进口商贴纸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</si>
  <si>
    <t>JSC «Grand-Trade»</t>
  </si>
  <si>
    <t>俄罗斯联邦</t>
  </si>
  <si>
    <t>MPO03508</t>
  </si>
  <si>
    <t>4500165114-母件PO</t>
  </si>
  <si>
    <t xml:space="preserve">77685-S001-MEC348 </t>
  </si>
  <si>
    <t>混搭恐龙4pcs/胶袋*6/箱-同一胶袋内球不重复</t>
  </si>
  <si>
    <t>按照标准配比，4个球一组入一个胶袋，一组球不能有重复   请留意收缩膜和指南需要覆盖recycled material</t>
  </si>
  <si>
    <t>6/10 送丹尼 组装MEC348</t>
  </si>
  <si>
    <t>周转箱</t>
  </si>
  <si>
    <t>5/13进口商贴纸+EAN条码贴纸+空白贴纸</t>
  </si>
  <si>
    <t>Product Requirement
Remark: 注意： 注 此客户不允许包装 此 /产品产 /PDQ 上显示 上 recycled material 字眼，如有请告知跟单需要加贴纸覆盖； 字
1. 包装要求如下 包 ：
77685 MA UPC 1L收缩膜 收 +进口商贴纸（覆盖内膜上的 进 recycled material）+EAN条码贴纸， 条 MA收藏指南 收 + 加空白贴纸覆盖 加 recycled material ， MA产品组装说明书 产
2. 标准配比
仓库联系人 
丹尼 丹尼玩具（龙川）有限公司 中国广东河源广东省 河源市 龙川县 登云镇 深圳宝安（龙川）产业转移工业园6-2号地块</t>
  </si>
  <si>
    <t>Claire Wang/Cora Zhou/Ann Zhang</t>
  </si>
  <si>
    <t>95833-7.31</t>
  </si>
  <si>
    <t>77685-S001-MEC348</t>
  </si>
  <si>
    <t>0904512394EAS
TVALE</t>
  </si>
  <si>
    <t>4500162784-10</t>
  </si>
  <si>
    <t>6/9 BV</t>
  </si>
  <si>
    <t>6/14 截SI</t>
  </si>
  <si>
    <t>5/12 RFID</t>
  </si>
  <si>
    <t>日期码格式：ZURU DGYYYYMMDD CHINA(日期避开周末和法定节假日即可） 日期：按实际生产日期
Packaging Info: 77685SLB-S001：
1.包装要求：
MA 1L A版收缩膜+MA A版纸袋+MA 5L A版收藏指南+MA A版slime bag+客版1L PDQ,翻单：4500159701
每pcs产品上要贴1张RFID贴纸，贴纸由ZURU提供，贴纸位置请严格按照我们签回的签板
Remark: 77685SLB-S001：
1.包装要求：
MA 1L A版收缩膜+MA A版纸袋+MA 5L A版收藏指南+MA A版slime bag+客版1L PDQ,翻单：4500159701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6.此单以slip sheet出货，77685：1152pcs/96CTN/Slip Sheet</t>
  </si>
  <si>
    <t>ZB00475-6.14</t>
  </si>
  <si>
    <t>0904512384ELW
OOD</t>
  </si>
  <si>
    <t>4500162784-20</t>
  </si>
  <si>
    <t>6/20 截SI</t>
  </si>
  <si>
    <t>ZB00505-6.18</t>
  </si>
  <si>
    <t>UNFI WHOLESALE INC</t>
  </si>
  <si>
    <t>PO# 43359476</t>
  </si>
  <si>
    <t>4500165209-40</t>
  </si>
  <si>
    <t>6/18 交仓</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</si>
  <si>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</si>
  <si>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ZB00564-6.24</t>
  </si>
  <si>
    <t>PO# 91157512</t>
  </si>
  <si>
    <t>4500165209-90</t>
  </si>
  <si>
    <t>PO# 96103059</t>
  </si>
  <si>
    <t>4500165209-140</t>
  </si>
  <si>
    <t>Salling Group A/S</t>
  </si>
  <si>
    <t>MPO03527</t>
  </si>
  <si>
    <t>4500165363-母件PO</t>
  </si>
  <si>
    <t>77685-S001-MEC299</t>
  </si>
  <si>
    <t>混搭恐龙30pcs/周装箱</t>
  </si>
  <si>
    <t>送丹尼组装展示架MEC299</t>
  </si>
  <si>
    <t>丹麦语警告语贴纸翻4500160515+北欧五语通用Slime黑白说明书</t>
  </si>
  <si>
    <t>Remark: 1. ##77685: MA 3L EAN版收缩膜+丹麦语警告语贴纸--贴纸和位置图翻Coop PO#4500160515+北欧五语通用Slime黑白说明书+MA 5L slime bag+MA B1L(23L
warning)说明书+MA 5L-23L warning收藏指南; 产品条码EAN#4894680042612: 请先检查条码是否正确再安排做货，如有问题请告知
2. 包装如含PVC,请改为PET,产品/包装要求无硼无香'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每座展示架包含30个#77685，请工厂务必按照每座展示架数量配好每个assortment的配比，方便组装厂直接组装展示架，配比跟MA标准款，如有不清楚的请找PM和跟
单核查
8. 外箱可以直接用周转箱或者其他，工厂自行安排即可，请在外箱上写好每箱装多少和总箱数方便点数
9. 送货到永茂时请在送货单上备注客供子件给Salling Group PO#4500165363/#MEC299混装展示架用
10. 组装厂会安排最终验货，请准备好备品，验货后需要马上安排补货，届时请务必按时送货到永茂厂</t>
  </si>
  <si>
    <t>Sheba Ye</t>
  </si>
  <si>
    <t>MEIJER DISTRIBUTION, INC.</t>
  </si>
  <si>
    <t>客户PO：21688
8482</t>
  </si>
  <si>
    <t>4500161803-40</t>
  </si>
  <si>
    <t>6/13 截仓</t>
  </si>
  <si>
    <t>日期码格式：ZURU INC(BVI) 标准格式 日期：
Packaging Info: 1. MA 1L 包装
2. 客人指定箱唛排版
Remark: 出货前 Zuru QC 验货</t>
  </si>
  <si>
    <t>Cherie Li</t>
  </si>
  <si>
    <t>ZB00469-6.13</t>
  </si>
  <si>
    <t>4500161694-10</t>
  </si>
  <si>
    <t>ZB00468-6.13</t>
  </si>
  <si>
    <t>SUBURBIA S DE R. L. DE C. V.</t>
  </si>
  <si>
    <t>墨西哥</t>
  </si>
  <si>
    <t>4500162850-60</t>
  </si>
  <si>
    <t>有监柜要求，需要每款多准备一套完整物料</t>
  </si>
  <si>
    <t>6/13 截SI</t>
  </si>
  <si>
    <t>外箱只需四面印Zuru logo</t>
  </si>
  <si>
    <t>5/9进口商贴纸+价标贴纸+说明书贴纸+5/26 HU贴纸和ASN贴纸客供</t>
  </si>
  <si>
    <t>日期码格式：ZURU INC(BVI) 标准格式 日期：按实际生产日期
Packaging Info: 
77685GQ2：MA 3L EAN 包装+MA 多语PDQ+MA多语说明书+进口商贴纸+价标贴纸+说明书贴纸
1. 外箱只需四面印Zuru logo，再加2张贴纸，1张Hu贴纸（条码贴），1张ASN贴纸（尺寸6.5cm*6.3cm,潘通色号2597C），都贴于侧唛，只需贴1面(HU贴纸和ASN贴
纸客供）
2. 一个外箱对应一个HU’S(条形码),不可以混条码包装
3.含有说明书需要增加说明书贴纸
4.价格贴纸覆盖原有包装的条形码
Remark:
此单有监柜要求，需要每款多准备一套完整物料，用于监柜，不可以随大货走</t>
  </si>
  <si>
    <t>Ever Li</t>
  </si>
  <si>
    <t>THE KROGER CO.</t>
  </si>
  <si>
    <t>PO#500-23710</t>
  </si>
  <si>
    <t>4500163428-30</t>
  </si>
  <si>
    <t>7/4 截SI</t>
  </si>
  <si>
    <t>日期码格式：ZURU INC(BVI) 标准格式 日期：按实际生产日期
Packaging Info: 1、包装方式: MA UPC 优先1L最新版，出口美国
Remark: 2、无测试无验货要求
3、纸箱4面印ZURU LOGO + 箱唛
4、日期码请按ZURU标准版执行即可
5、ZURU OQC验货</t>
  </si>
  <si>
    <t>Vicky Wu</t>
  </si>
  <si>
    <t>ZXB00622-7.1</t>
  </si>
  <si>
    <t>PO#600-59500</t>
  </si>
  <si>
    <t>4500163428-60</t>
  </si>
  <si>
    <t>ZB00627-7.2</t>
  </si>
  <si>
    <t xml:space="preserve"> BRICKLAND LLC</t>
  </si>
  <si>
    <t>蒙古</t>
  </si>
  <si>
    <t xml:space="preserve"> Zuru.2025Q2(June.addon)</t>
  </si>
  <si>
    <t>4500165462-20</t>
  </si>
  <si>
    <t>客上柜</t>
  </si>
  <si>
    <t>5/13进口商贴纸</t>
  </si>
  <si>
    <t>日期码格式：ZURU INC(BVI) 标准格式 日期：按实际生产日期
Packaging Info: MA UPC packages(优先1L)+1张进口商贴纸;贴纸aw及位置图待提供
Remark:
 77685GQ1-Rare ratio:1/48</t>
  </si>
  <si>
    <t xml:space="preserve"> Emma Wu</t>
  </si>
  <si>
    <t xml:space="preserve"> WALMART INC.</t>
  </si>
  <si>
    <t>0907594855</t>
  </si>
  <si>
    <t>4500166538-10</t>
  </si>
  <si>
    <t>6/17 BV</t>
  </si>
  <si>
    <t>6/23 截SI</t>
  </si>
  <si>
    <t>5/27 RFID</t>
  </si>
  <si>
    <t>日期码格式：ZURU DGYYYYMMDD CHINA(日期避开周末和法定节假日即可） 日期：按实际生产日期
Packaging Info: 77685SLB-S001：
 1.包装要求：
 MA 1L A版收缩膜+MA A版纸袋+MA 5L B版收藏指南+MA A版slime bag+客版1L PDQ
每pcs产品上要贴1张RFID贴纸，贴纸由ZURU提供，贴纸位置请严格按照我们签回的签板；
Remark: 77685SLB-S001：
 1.包装要求：
 MA 1L A版收缩膜+MA A版纸袋+MA 5L B版收藏指南+MA A版slime bag+客版1L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sheet出货，77685：1152pcs/96CTN/Slip Sheet</t>
  </si>
  <si>
    <t xml:space="preserve"> Maggie Xie</t>
  </si>
  <si>
    <t>ZB00535-6.21</t>
  </si>
  <si>
    <t>0904512441HOU
STON</t>
  </si>
  <si>
    <t>4500162798-10</t>
  </si>
  <si>
    <t>6/13 BV</t>
  </si>
  <si>
    <t>ZB00544-6.23</t>
  </si>
  <si>
    <t xml:space="preserve"> COLIMPO LTD</t>
  </si>
  <si>
    <t>比利时</t>
  </si>
  <si>
    <t xml:space="preserve"> F7010986</t>
  </si>
  <si>
    <t>4500165739-10</t>
  </si>
  <si>
    <t>6/13 出货</t>
  </si>
  <si>
    <t>5/9NL 警语贴纸</t>
  </si>
  <si>
    <r>
      <rPr>
        <sz val="10"/>
        <color rgb="FF0000FF"/>
        <rFont val="宋体"/>
        <charset val="134"/>
      </rPr>
      <t xml:space="preserve">日期码格式：ZURU INC(BVI) 标准格式 日期：按实际生产日期
Packaging Info: 77685GQ1:MA 3L A版 EAN收缩膜+DE、NL警语贴纸+法国环保标（做在一起），MA 1L B版内袋，MA 5L+23L B版收藏指南，MA 5L </t>
    </r>
    <r>
      <rPr>
        <sz val="10"/>
        <color rgb="FFFF0000"/>
        <rFont val="宋体"/>
        <charset val="134"/>
      </rPr>
      <t>A版slime</t>
    </r>
    <r>
      <rPr>
        <sz val="10"/>
        <color rgb="FF0000FF"/>
        <rFont val="宋体"/>
        <charset val="134"/>
      </rPr>
      <t xml:space="preserve"> 袋子+NL 警语贴纸，MA 1L
B版说明书，MA A版 PDQ;
L 珠子袋子+NL 警语贴纸;
Remark: 1.此单走LC,货期不可延迟，否则有罚款
2.产品上必须打上日期码，ZURU格式即可，无特殊要求；
3.如MA 产品中有大于10*10cm的塑料袋，必须有德语/法语/荷兰语/英语的警告语，印刷内容请与跟单确认
4.所有塑料袋的厚度不小于0.038mm
5.订单出比利时，产品及包装需要印CE图标，包装需要有ZURU France地址信息，QC同事请核查，如有问题与跟单确认；
6.外箱上有条码要求，排版时请留意，并请确保条码清晰可扫描；
7.出欧洲，微塑料需合规（如item本身不含微塑料，则忽略此要求）
8. STD配比
9.确保产品和包装中SVHC的含量低于0.1%
10. 客人款号
77685GQ1：135636</t>
    </r>
  </si>
  <si>
    <t xml:space="preserve"> Max kong</t>
  </si>
  <si>
    <t>Amazon EU SARL, Ndl Deutschland</t>
  </si>
  <si>
    <t>Amazon
UK:3P5HOGHS</t>
  </si>
  <si>
    <t>4500164250-80</t>
  </si>
  <si>
    <t>6/17 截SI</t>
  </si>
  <si>
    <t>5/14SSCC贴纸+空白贴纸</t>
  </si>
  <si>
    <t>日期码格式：ZURU INC(BVI) 标准格式 日期：按实际生产日期
Packaging Info: Amazon UK(15714K/7150B/77673/77723/92119AH/9279B/9561)/FR(9543D)/DE(71126/77555/77731/92104G/9543E)
4. 77723：2pk 77685 into pvc tube, 12tubes/ctn; MA 3L(3L warning EAN)A收缩膜+MA 1L(23L warning)A说明书+MA 1L A内袋+MA 5L(23L warning)A收藏指南+M
A 5L A Slime胶袋+客版PVC筒彩卡(含英法德意西5L警告语+UPC#+邮箱地址+FR/ES/IT环保标，参考翻单PO#4500158469)；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</si>
  <si>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 xml:space="preserve"> TIENDAS CHEDRAUI, S.A. DE C.V.</t>
  </si>
  <si>
    <t>4500165810-10</t>
  </si>
  <si>
    <t>7/2 截SI</t>
  </si>
  <si>
    <t>5/19 UPC贴纸+进口商贴纸</t>
  </si>
  <si>
    <t xml:space="preserve">日期码格式：ZURU INC(BVI) 标准格式 日期：按实际生产日期
Packaging Info: 1. 77685GQ2：MA 3L EAN包装+UPC条码贴纸+MA 3L PDQ包装+MA 说明书+进口商贴纸+箱唛
Remark: </t>
  </si>
  <si>
    <t xml:space="preserve"> Ever Li</t>
  </si>
  <si>
    <t>95529-7.2</t>
  </si>
  <si>
    <t>SEARS MEXICO</t>
  </si>
  <si>
    <t>4500163238-20</t>
  </si>
  <si>
    <t>6/19 截SI</t>
  </si>
  <si>
    <t>5/15UPC条码贴纸+进口商贴纸</t>
  </si>
  <si>
    <t>日期码格式：ZURU INC(BVI) 标准格式 日期：按实际生产日期
Packaging Info: 
2. 77685GQ2：MA 3L EAN包装+UPC条码贴纸+MA 3L PDQ包装+MA 说明书+进口商贴纸+箱唛
Remark:</t>
  </si>
  <si>
    <t>0907594714RID
GEVILLE SC</t>
  </si>
  <si>
    <t>4500162823-10</t>
  </si>
  <si>
    <t>6/19 BV</t>
  </si>
  <si>
    <t>7/9 截SI</t>
  </si>
  <si>
    <t>ZB00684-7.8</t>
  </si>
  <si>
    <t>0907594769SUF
FOLK</t>
  </si>
  <si>
    <t>4500162823-20</t>
  </si>
  <si>
    <t>6/23 BV</t>
  </si>
  <si>
    <t>6/25 截SI</t>
  </si>
  <si>
    <t>ZB00607-6.30</t>
  </si>
  <si>
    <t>0907594791STA
TESBORO</t>
  </si>
  <si>
    <t>4500162823-30</t>
  </si>
  <si>
    <t>ZB00713-7.10</t>
  </si>
  <si>
    <t>LLC SALUS</t>
  </si>
  <si>
    <t>4500164723-130</t>
  </si>
  <si>
    <t>6/21 客上柜</t>
  </si>
  <si>
    <t>5/7 进口商贴纸</t>
  </si>
  <si>
    <t>日期码格式：ZURU INC(BVI) 标准格式 日期：按实际生产日期
Packaging Info: Fuggler : MA UPC 彩盒 + 进口商贴纸， MA PDQ ；
77685GQ1 ： 1L MA UPC 包装+ 进口商贴纸 ， MA 指南/说明书（如有）
Remark: 标准配比</t>
  </si>
  <si>
    <t>Ann</t>
  </si>
  <si>
    <t xml:space="preserve"> THE ENTERTAINER</t>
  </si>
  <si>
    <t>FB13018</t>
  </si>
  <si>
    <t>4500159668-10</t>
  </si>
  <si>
    <t>6/24截SI</t>
  </si>
  <si>
    <t>日期码格式：ZURU INC(BVI) 标准格式 日期：按实际生产日期
Packaging Info: 77685GQ1-S001：MA-1L 配套包装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请在6/10 前未出货的新品请寄2套大货样到7B Sandy Shao 收，翻单不需要寄</t>
  </si>
  <si>
    <t xml:space="preserve"> Sandy Shao</t>
  </si>
  <si>
    <t>FB13019</t>
  </si>
  <si>
    <t>4500161780-10</t>
  </si>
  <si>
    <t>日期码格式：ZURU INC(BVI) 标准格式 日期：按实际生产日期
Packaging Info:
 77685GQ1-S001：MA-1L 配套包装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请在6/10 前: 未出货的新品请寄2套大货样到7B Sandy Shao 收，翻单不需要寄。</t>
  </si>
  <si>
    <t xml:space="preserve"> ROFU Kinderland Spielwarenhandelsge</t>
  </si>
  <si>
    <t>4500166352-20</t>
  </si>
  <si>
    <t>德语警告语贴纸（翻单：4500161168）</t>
  </si>
  <si>
    <t>日期码格式：ZURU INC(BVI) 标准格式 日期：按实际生产日期
Packaging Info: 
77685: MA EAN 收缩膜3L-A版本+1*客供价格贴纸 +德语警告语贴纸（翻单：4500161168）+ MA纸袋1L-A版本 +MA贴纸+MA口水胶5L-A版本 + MA收藏指南5+23L-A版本
+ MA产品组装说明书23L-A版本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</si>
  <si>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 xml:space="preserve"> Winnie Zhong</t>
  </si>
  <si>
    <t>77685-S001-3L</t>
  </si>
  <si>
    <t xml:space="preserve"> TOYS "R" US (CANADA) LTD.</t>
  </si>
  <si>
    <t>4500166007-20</t>
  </si>
  <si>
    <t>6/26客验</t>
  </si>
  <si>
    <t>7/2 交仓</t>
  </si>
  <si>
    <t>5/16 UPC贴纸</t>
  </si>
  <si>
    <t>日期码格式：ZURU INC(BVI) 标准格式 日期：按实际生产日期
Packaging Info: 1. 出口加拿大市场。
 #77685GQ1：MA 3L EAN_A版本 + UPC贴纸; UPC#193052079053;
 2. 产品、包装、外箱上面tracking code的时间格式需要一致。
Remark: 3. 需要第三方SGS验货，验货时间2025/06/23，每款每色请备1PC完整带包装样品供验货人员参考。用完后若无损坏可以放回大货里。</t>
  </si>
  <si>
    <t xml:space="preserve"> Abby Mai,Lluvia Zeng</t>
  </si>
  <si>
    <t>95575-7.7</t>
  </si>
  <si>
    <t xml:space="preserve">OK </t>
  </si>
  <si>
    <t>SURTIDORA COMERCIAL DEL PACIFICO S.</t>
  </si>
  <si>
    <t>4500165792-60</t>
  </si>
  <si>
    <t>6/26截SI</t>
  </si>
  <si>
    <t>5/30 UPC贴纸+进口商贴纸</t>
  </si>
  <si>
    <t xml:space="preserve">日期码格式：ZURU INC(BVI) 标准格式 日期：按实际生产日期
Packaging Info:
 6. 77685GQ2：MA 多语EAN包装+UPC贴纸+MA B版本说明书+MA PDQ 包装+进口商贴纸+箱唛
Remark: </t>
  </si>
  <si>
    <t xml:space="preserve"> Ava Liang</t>
  </si>
  <si>
    <t xml:space="preserve"> Zhuyu(Shenzhen)Trading Co.,Ltd.</t>
  </si>
  <si>
    <t>中国</t>
  </si>
  <si>
    <t>4500165636-10</t>
  </si>
  <si>
    <t>6/26 客自提</t>
  </si>
  <si>
    <t>5/8 毛重小于5kg 外箱纸质 K=B 爆破:1000Kpa 边压:4400N/M;毛重大于5kg 外箱纸质 K636K 爆破:1400Kpa 边压:6300N/M;</t>
  </si>
  <si>
    <t>年龄贴（8+）</t>
  </si>
  <si>
    <t>日期码格式：ZURU INC(BVI) 标准格式 日期：按实际生产日期
Packaging Info: 1.物料要求
 77685 MA PDQ +外挂中文收藏指南+中文说明书+收缩膜年龄贴（8+）
 此单为首单请各提供6套 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</si>
  <si>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 xml:space="preserve"> Dona Tang</t>
  </si>
  <si>
    <t>77685GQ1-S002-中</t>
  </si>
  <si>
    <t>4500165636-20</t>
  </si>
  <si>
    <t>4500165636-30</t>
  </si>
  <si>
    <t>Zhuyu(Shenzhen)Trading Co.,Ltd.</t>
  </si>
  <si>
    <t>4500165636-60</t>
  </si>
  <si>
    <t>ASDA STORES LTD</t>
  </si>
  <si>
    <t>4500162761-40</t>
  </si>
  <si>
    <t>77685SLB-S002</t>
  </si>
  <si>
    <t>混搭恐龙13pcs/GQ1/CTN**80/卡板装</t>
  </si>
  <si>
    <t>6/24 截SI</t>
  </si>
  <si>
    <t>贴一张slip sheet贴纸自行打印</t>
  </si>
  <si>
    <t>日期码格式：ZURU INC(BVI) 标准格式 日期：按实际生产日期
Packaging Info:
4. 77685SLB-S002
77685GQ1-S002: MA 最新UPC包装，UPC# 193052079053&lt;(&gt;,&lt;)&gt;请先检查条码是否正确再安排做货；
Slip sheet: 13pcs/PDQ/CTN 20*4H=80CTN/SLB=1040pcs/Slip Sheet; 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</si>
  <si>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4500163740-40</t>
  </si>
  <si>
    <t>日期码格式：ZURU INC(BVI) 标准格式 日期：按实际生产日期
Packaging Info:
4. 77685SLB-S002
77685GQ1-S002: MA 最新UPC包装，UPC# 193052079053&lt;(&gt;,&lt;)&gt;请先检查条码是否正确再安排做货；
Slip sheet: 13pcs/PDQ/CTN 20*4H=80CTN/SLB=1040pcs/Slip Sheet; 一共需要1套slip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</si>
  <si>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 xml:space="preserve"> MEIJER DISTRIBUTION, INC.</t>
  </si>
  <si>
    <t>217181366 217181451</t>
  </si>
  <si>
    <t>4500166237-10</t>
  </si>
  <si>
    <t>日期码格式：ZURU INC(BVI) 标准格式 日期：
Packaging Info:  1.  MA 1L 包装
  2. 客人指定箱唛排版
Remark: 出货前 Zuru QC 验货</t>
  </si>
  <si>
    <t xml:space="preserve"> Cherie Li</t>
  </si>
  <si>
    <t>ZB00582-6.25</t>
  </si>
  <si>
    <t>4500166238-10</t>
  </si>
  <si>
    <t>ZB00619-7.1</t>
  </si>
  <si>
    <t>4500167533-140</t>
  </si>
  <si>
    <t>6/30 截SI</t>
  </si>
  <si>
    <t>5/28 UPC贴纸</t>
  </si>
  <si>
    <t>日期码格式：ZURU INC(BVI) 标准格式 日期：按实际生产日期
Packaging Info:
9. 77685GQ2: MA 多语EAN包装+UPC贴纸+MA多语收藏指南+MA PDQ包装+箱唛
Remark:</t>
  </si>
  <si>
    <t>Gabriel Brothers, Inc.</t>
  </si>
  <si>
    <t>客人PO:
84006554</t>
  </si>
  <si>
    <t>4500167243-50</t>
  </si>
  <si>
    <t>7/28 截SI</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</si>
  <si>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</si>
  <si>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Jessi Xu</t>
  </si>
  <si>
    <t>ZB00954-7.29</t>
  </si>
  <si>
    <t>H-E-B, LP</t>
  </si>
  <si>
    <t>PO#60X686399</t>
  </si>
  <si>
    <t>4500167106-70</t>
  </si>
  <si>
    <t>6/25 第三方抽办+验货</t>
  </si>
  <si>
    <t>7/26 截SI</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</si>
  <si>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77685GQ1 6月10前需寄出3套大货样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*2套（盲盒类的：4pcs成品球+2个空PDQ+2套散件）寄到以下地址：
Li Fung　
深圳市福田区绒花路8号深福保大厦附楼3楼。
收件人： Yoland Dai　电话：+0755 8825 3756
4. 验货+ 抽板 （同一天进行）
预约6月25日第三方（利丰）到工厂做100%大货现场验货和抽板，验货需打印EPM出来跟客户回签样板供第三方验货参考。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除15727，其他items出ZURU 标版配比;
6. ZURU QA 验货时需拍齐每款角色的产品和产品包装上的日期码照片（供实验室review）</t>
  </si>
  <si>
    <t>Elsa Zheng</t>
  </si>
  <si>
    <t>ZB00854-7.24</t>
  </si>
  <si>
    <t xml:space="preserve"> GP TURKEY</t>
  </si>
  <si>
    <t>土耳其</t>
  </si>
  <si>
    <t>084207</t>
  </si>
  <si>
    <t>4500165516-60</t>
  </si>
  <si>
    <t>日期码：ZUR5171，产品/包装/外箱请保持一致。产品蛋壳需要印日期ZUR5171和对应的item号码77685GQ2</t>
  </si>
  <si>
    <t>7/25 截SI</t>
  </si>
  <si>
    <t>5/29进口商贴纸</t>
  </si>
  <si>
    <t>期码格式：ZUR5171 日期：
Packaging Info:
77685GQ2:MA 1L 包装+进口商贴纸（含客户条码）+MA 说明书;MA PDQ
2.客户日期码：ZUR5171，产品/包装/外箱请保持一致。产品蛋壳需要印日期ZUR5171和对应的item号码77515GQ5/77685GQ2
77685GQ2:需要两套完整大货样,需要1套满PDQ+1套完整大货样，还需要一套带PDQ的MA样，寄到客户香港办公室，请多备料，地址如下： Attn: Sylvia Li Company
name: GP Services HK Limited Company address: Suite 1502, 15th Floor, Chinachem Golden Plaza, 77 Mody Road, TST East, Kowloon, Hong Kong Compan
y address (Chinese): 香港九龍尖沙咀東部麼地道77號華懋廣場1502室 Contact Tel: +852 2739 5363
Remark:</t>
  </si>
  <si>
    <t xml:space="preserve"> Lena Huang</t>
  </si>
  <si>
    <t>95766-7.24</t>
  </si>
  <si>
    <t>Mid-States Distributing, LLC</t>
  </si>
  <si>
    <t>Kennewick
Ranch &lt;(&gt;&amp;&lt;)&gt;
Home PO
2501-K01859</t>
  </si>
  <si>
    <t>4500161570-570</t>
  </si>
  <si>
    <t>6/30 交仓</t>
  </si>
  <si>
    <t>日期码格式：ZURU INC(BVI) 标准格式 日期：按实际生产日期
Packaging Info: 1.使用 MA UPC版本包装，优先1L，出口美国。
Remark: 1.产品和包装上印刷tracking code信息，格式为ZURU常规。
2.ZURU QC验货</t>
  </si>
  <si>
    <t>Cara Li</t>
  </si>
  <si>
    <t>ZB00611-6.30</t>
  </si>
  <si>
    <t>Theisen
Supply PO4495956-99</t>
  </si>
  <si>
    <t>4500161570-580</t>
  </si>
  <si>
    <t>ZB00612-6.30</t>
  </si>
  <si>
    <t>D &lt;(&gt;&amp;&lt;)&gt; B
Supply PO
1744605</t>
  </si>
  <si>
    <t>4500161570-590</t>
  </si>
  <si>
    <t>L &lt;(&gt;&amp;&lt;)&gt; M
Fleet Supply
PO P10007409</t>
  </si>
  <si>
    <t>4500161570-600</t>
  </si>
  <si>
    <t xml:space="preserve"> Smyths Toys EU HQ UC</t>
  </si>
  <si>
    <t>4500166480-10</t>
  </si>
  <si>
    <t>7/7 截SI</t>
  </si>
  <si>
    <t>5/20 德语CALL OUT/德意荷警语贴纸</t>
  </si>
  <si>
    <t>日期码格式：ZURU INC(BVI) 标准格式 日期：按实际生产日期
Packaging Info: 77685GQ2:最新MA3L EAN收缩膜+德语CALL OUT/德意荷警语贴纸（含法国sorting logo)+MA5L slime bag+荷兰语警语贴纸+MA 3L PDQ+MA5L(23L Warning)收藏指南+M
 A23L说明书+MA 内袋
 EAN#4894680042612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</si>
  <si>
    <t xml:space="preserve"> Joan Wang</t>
  </si>
  <si>
    <t>95596-7.9</t>
  </si>
  <si>
    <t>Gullskógar ehf - DOM</t>
  </si>
  <si>
    <t>冰岛</t>
  </si>
  <si>
    <t>4500166269-90</t>
  </si>
  <si>
    <t>7/12 开仓</t>
  </si>
  <si>
    <t>日期码格式：ZURU INC(BVI) 标准格式 日期：按实际生产日期
Packaging Info: 
77685GQ2:MA 收缩膜 EAN 3L A+MA 收藏指南 5L B+SLime 袋子 5L B+MA PDQ 3L B
Remark: 1/ 产品和包装要求无硼无香，包装不能含有PVC
2/ 如有微塑料，必须合规欧洲标准，闪粉也是微塑料的一种，目前仅接受三张方式
1.去除，2.用可降解材料，和3. 永久封印在固体。
3/带电池出货的产品所用到的电池需要符合欧洲电池新规(EU) 2023-1542
4/配比：</t>
  </si>
  <si>
    <t>95700-7.19</t>
  </si>
  <si>
    <t xml:space="preserve"> CMS FAMOUS TOYS</t>
  </si>
  <si>
    <t>PO0000914.</t>
  </si>
  <si>
    <t>4500165973-10</t>
  </si>
  <si>
    <t>5/28UPC贴纸+5/19 进口商贴纸</t>
  </si>
  <si>
    <t>日期码格式：ZURU INC(BVI) 标准格式 日期：按实际生产日期
Packaging Info: 77685GQ1 MA多语包装，加UPC贴纸，无硼 UPC：1800097425
Remark: 出加拿大
 每款产品都需要加进口商贴纸
Zuru验货.日期跟踪码：产品外包装及产品本身都必须有日期跟踪码，ZURU标准格式日期码</t>
  </si>
  <si>
    <t xml:space="preserve"> Summer Mo</t>
  </si>
  <si>
    <t>PT. STAKOM TRIJAYA ANDALA</t>
  </si>
  <si>
    <t>印度尼西亚</t>
  </si>
  <si>
    <t>AW25</t>
  </si>
  <si>
    <t>4500167451-10</t>
  </si>
  <si>
    <t>第三方验货</t>
  </si>
  <si>
    <t>6/21 入仓</t>
  </si>
  <si>
    <t>6/5SNI label</t>
  </si>
  <si>
    <t>日期码格式：ZURU INC(BVI) 标准格式 日期：按实际生产日期
Packaging Info: MA UPC(优先1L) package+1张SNI label 贴在产品77685GQ1上,贴纸资料待提供;
可能会需样板做测试, 也有可能有第三方验货,请等我们进一步通知;
此单会跟其他订单一起出整柜, 届时如走20GP会改单价给你们;
Remark: 77685GQ1-Rare ratio:1/48</t>
  </si>
  <si>
    <t>95614-7.11</t>
  </si>
  <si>
    <t xml:space="preserve"> Sirius Sales (PTY) Ltd</t>
  </si>
  <si>
    <t>4500166516-30</t>
  </si>
  <si>
    <t>7/1 入仓</t>
  </si>
  <si>
    <t>日期码格式：ZURU INC(BVI) 标准格式 日期：按实际生产日期
Packaging Info: 1. MA UPC PKG(优先1L)
Remark:</t>
  </si>
  <si>
    <t xml:space="preserve"> Doris Shou</t>
  </si>
  <si>
    <t>95520-7.1</t>
  </si>
  <si>
    <t>COMERCIALIZADORA MEXICO AMERICANA S</t>
  </si>
  <si>
    <t>4500167348-20</t>
  </si>
  <si>
    <t>混搭恐龙27pcs/GQ2/箱 干燥剂</t>
  </si>
  <si>
    <t>有第三方监柜，至少多备一套</t>
  </si>
  <si>
    <t>6/30装柜</t>
  </si>
  <si>
    <t>5/29 进口商贴纸+UPC贴纸</t>
  </si>
  <si>
    <t>日期码格式：LOTDGYYYYMMDD 日期：按实际生产日期
Packaging Info: 77685GQ2 :3L EAN收缩膜+ UPC贴纸+ 3LPDQ+MA多语收藏指南+MA多语说明书+进口商贴纸+箱唛，进口商贴纸分别贴在球和说明书上
Remark:
2. 客版日期码要求：LOT+ZURU标准日期码格式。东莞生产的格式：LOTDGYYYYMMDD, DG是东莞拼音首字母，YYYYMMDD是实际的年月日，例如(LOTDG20240920)
3. 此单有第三方监柜，至少多备一套完整的物料用于监柜，请多备料
4. WM墨西哥防霉的新要求:货物必须在出货主箱和集装箱中按要求放置干燥剂，干燥剂指定品牌干霸
5. 77685GQ2：每箱需放置6小包干燥剂, 每包重2-3g
6. 如走柜货等loading plan 确认后再通知集装箱干燥剂数量
此单工厂将安排1*40HC，每个HC需要放置10包干燥剂，每包干燥剂1KG</t>
  </si>
  <si>
    <t>4500167348-30</t>
  </si>
  <si>
    <t>BIG W</t>
  </si>
  <si>
    <t>47836701 SYD</t>
  </si>
  <si>
    <t>4500167734-10</t>
  </si>
  <si>
    <t>7/5 交仓</t>
  </si>
  <si>
    <t>5/28 进口商贴纸</t>
  </si>
  <si>
    <t>日期码格式：ZURU INC(BVI) 标准格式 日期：按实际生产日期
Packaging Info: 1. 包装：77685GQ1: 英文MA包装 (UPC版本，首选1L，无1L可用多L含英语)+1张进口商贴纸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</si>
  <si>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Yvonne Liu</t>
  </si>
  <si>
    <t>95618-7.12</t>
  </si>
  <si>
    <t>47836702 BNE</t>
  </si>
  <si>
    <t>4500167734-20</t>
  </si>
  <si>
    <t>95592-7.9</t>
  </si>
  <si>
    <t>47836703 MEL</t>
  </si>
  <si>
    <t>4500167734-30</t>
  </si>
  <si>
    <t>95604-7.10</t>
  </si>
  <si>
    <t>47836704 FRE</t>
  </si>
  <si>
    <t>4500167734-40</t>
  </si>
  <si>
    <t>95560-7.5</t>
  </si>
  <si>
    <t>0907594669</t>
  </si>
  <si>
    <t>4500166540-10</t>
  </si>
  <si>
    <t>7/4 BV</t>
  </si>
  <si>
    <t>7/18 交仓</t>
  </si>
  <si>
    <t>ZB00795-7.18</t>
  </si>
  <si>
    <t>0907594732</t>
  </si>
  <si>
    <t>4500166540-20</t>
  </si>
  <si>
    <t>7/10 交仓</t>
  </si>
  <si>
    <t>ZB00752-7.15</t>
  </si>
  <si>
    <t>4500167653-10</t>
  </si>
  <si>
    <t>7/3 截SI</t>
  </si>
  <si>
    <t>ZB00640-7.3</t>
  </si>
  <si>
    <t>4500167651-10</t>
  </si>
  <si>
    <t>ZB00641-7.3</t>
  </si>
  <si>
    <t>Amazon
ES:88UDZQ1E</t>
  </si>
  <si>
    <t>4500167394-40</t>
  </si>
  <si>
    <t>空白外箱（加印带Zuru字样的最新logo，除了邮包盒直接做外箱的产品），MADE IN CHINA 外箱只印一正一侧</t>
  </si>
  <si>
    <t>6/3 SSCC贴纸+空白贴纸</t>
  </si>
  <si>
    <t>日期码格式：ZURU INC(BVI) 标准格式 日期：按实际生产日期
Packaging Info: Amazon ES(15726B/15762E/15763E/77723/77731/92119A)/IT(15728G/15762D/15763D/71152/77723)
4. 77723：2pk 77685 into pvc tube, 12tubes/ctn; MA 3L(3L warning EAN)A收缩膜+MA 1L(23L warning)A说明书+MA 1L A内袋+MA 5L(23L warning)A收藏指南+M
A 5L A Slime胶袋+客版PVC筒彩卡(含英法德意西5L警告语+UPC#+邮箱地址+FR/ES/IT环保标，参考翻单PO#4500158469)；
9. 最迟验货不得晚于2025/6/27;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</si>
  <si>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Mandy Hu</t>
  </si>
  <si>
    <t>95587-7.8</t>
  </si>
  <si>
    <t>5/26 已放MA 圆筒/彩纸/贴纸</t>
  </si>
  <si>
    <t>意大利</t>
  </si>
  <si>
    <t>Amazon IT:
5I1RHH8V</t>
  </si>
  <si>
    <t>4500167394-100</t>
  </si>
  <si>
    <t>7/8截SI</t>
  </si>
  <si>
    <t>95621-7.12</t>
  </si>
  <si>
    <t>Amazon UK:
7I41M6FO</t>
  </si>
  <si>
    <t>4500167501-10</t>
  </si>
  <si>
    <t>7/14 截SI</t>
  </si>
  <si>
    <t>6/4 SSCC贴纸+空白贴纸</t>
  </si>
  <si>
    <t>日期码格式：ZURU INC(BVI) 标准格式 日期：按实际生产日期
Packaging Info: Amazon UK(15714D/15728BEG/15762ADE/77673/77723/92119BD)/DE(15710B/15714G)/FR(15710B/15728E/15762B/15763B/77731/9561)
5. 77723: 2pk 77685 into pvc tube, 12tubes/ctn; MA 3L(3L warning EAN)A收缩膜+MA 1L(23L warning)A说明书+MA 1L A内袋+MA 5L(23L warning)A收藏指南+M
A 5L A Slime胶袋+客版PVC筒彩卡(含英法德意西5L警告语+UPC#+邮箱地址+FR/ES/IT环保标，参考翻单PO#4500158469)；
11.验货时间不迟于2025/7/1.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</si>
  <si>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95622-7.12</t>
  </si>
  <si>
    <t>0921438636</t>
  </si>
  <si>
    <t>4500168942-10</t>
  </si>
  <si>
    <t>77685-S002</t>
  </si>
  <si>
    <t>混搭恐龙12pcs/箱</t>
  </si>
  <si>
    <t>7/3 BV</t>
  </si>
  <si>
    <t>7/19 截仓</t>
  </si>
  <si>
    <t>箱唛翻单：4500159701</t>
  </si>
  <si>
    <t>6/18 RFID</t>
  </si>
  <si>
    <t>日期码格式：ZURU DGYYYYMMDD CHINA(日期避开周末和法定节假日即可） 日期：按实际生产日期
Packaging Info: 77685-S002：
1.包装要求：
MA 1L A版收缩膜+MA A版纸袋+MA 5L B版收藏指南+MA A版slime bag
每pcs产品上要贴1张RFID贴纸，贴纸由ZURU提供，贴纸位置请严格按照我们签回的签板；
Remark: 77685-S002：
1.包装要求：
MA 1L A版收缩膜+MA A版纸袋+MA 5L B版收藏指南+MA A版slime bag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字样,箱唛翻单：4500159701
3. 在产品上和包装上要有日期码、以及要有MADE IN CHINA和ZURU字样；
4. 产品如有扎带口要剪平，不能刮手。
5. 此单需要验货，请多备料
6. 此单以loose carton出货，12pcs/CTN</t>
  </si>
  <si>
    <t>ZB00663-7.5</t>
  </si>
  <si>
    <t>0921438670</t>
  </si>
  <si>
    <t>4500168942-20</t>
  </si>
  <si>
    <t>ZB00794-7.18</t>
  </si>
  <si>
    <t>0921438677</t>
  </si>
  <si>
    <t>4500168943-10</t>
  </si>
  <si>
    <t>7/12 截SI</t>
  </si>
  <si>
    <t>ZB00733-7.12</t>
  </si>
  <si>
    <t>0921438684</t>
  </si>
  <si>
    <t>4500168944-10</t>
  </si>
  <si>
    <t>7/7 BV</t>
  </si>
  <si>
    <t>7/8 截SI</t>
  </si>
  <si>
    <t>ZB00685-7.8</t>
  </si>
  <si>
    <t>NASA Panama</t>
  </si>
  <si>
    <t>巴拿马</t>
  </si>
  <si>
    <t>4500168505-50</t>
  </si>
  <si>
    <t>8/8 截SI</t>
  </si>
  <si>
    <t>6/5UPC贴纸</t>
  </si>
  <si>
    <t>日期码格式：ZURU INC(BVI) 标准格式 日期：按实际生产日期
Packaging Info:77685GQ2:MA多语EAN+UPC贴纸+箱唛
Remark: 请确保包装上的条形码是UPC，如有不一致，请及时提出。谢谢！</t>
  </si>
  <si>
    <t>Aimee Huang</t>
  </si>
  <si>
    <t>Ansaldo Chile</t>
  </si>
  <si>
    <t>智利</t>
  </si>
  <si>
    <t>2025-HKF135-C</t>
  </si>
  <si>
    <t>4500163833-20</t>
  </si>
  <si>
    <t>6/17 进口商贴纸+价标贴纸+UPC贴纸</t>
  </si>
  <si>
    <t>日期码格式：ZURU INC(BVI) 标准格式 日期：按实际生产日期
Packaging Info: 77685GQ2:MA 3L EAN包装+进口商贴纸+箱唛+价标贴纸
Remark:</t>
  </si>
  <si>
    <t>95642-7.14</t>
  </si>
  <si>
    <t>0907594685</t>
  </si>
  <si>
    <t>4500166541-10</t>
  </si>
  <si>
    <t>7/11 BV</t>
  </si>
  <si>
    <t>7/17 截SI</t>
  </si>
  <si>
    <t>ZB00796-7.18</t>
  </si>
  <si>
    <t>0907594771</t>
  </si>
  <si>
    <t>4500166541-20</t>
  </si>
  <si>
    <t>7/9 BV</t>
  </si>
  <si>
    <t>ZB00774-7.17</t>
  </si>
  <si>
    <t>47838036 SYD</t>
  </si>
  <si>
    <t>4500168029-10</t>
  </si>
  <si>
    <t>进口商贴纸翻单4500167734</t>
  </si>
  <si>
    <t>日期码格式：ZURU INC(BVI) 标准格式 日期：按实际生产日期
Packaging Info: 1. 包装：77685GQ1: 英文MA包装 (UPC版本，首选1L，无1L可用多L含英语)+1张进口商贴纸，翻单4500167734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</si>
  <si>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95619-7.12</t>
  </si>
  <si>
    <t>47838037 BNE</t>
  </si>
  <si>
    <t>4500168029-20</t>
  </si>
  <si>
    <t>95591-7.9</t>
  </si>
  <si>
    <t>47838038 MEL</t>
  </si>
  <si>
    <t>4500168029-30</t>
  </si>
  <si>
    <t>95687-7.18</t>
  </si>
  <si>
    <t>47838039 FRE</t>
  </si>
  <si>
    <t>4500168029-40</t>
  </si>
  <si>
    <t>95559-7.5</t>
  </si>
  <si>
    <t>JSC 􀂫Grand-Trade</t>
  </si>
  <si>
    <t>PGT-684628</t>
  </si>
  <si>
    <t>4500166910-20</t>
  </si>
  <si>
    <t>第三方监柜</t>
  </si>
  <si>
    <t>7/15 截SI</t>
  </si>
  <si>
    <t>6/18 进口商贴纸+外箱贴纸</t>
  </si>
  <si>
    <t>日期码格式：ZURU INC(BVI) 标准格式 日期：按实际生产日期
Packaging Info: 注意： 此客户不允许包装/产品/PDQ 上显示recycled material 字眼，如有请告知跟单需要加贴纸覆盖；
77685GQ1 MA UPC收缩膜+进口商贴纸（覆盖recycled material 字眼）+EAN条码贴 , MA收藏指南（加贴1张空白帖覆盖recycled material 字眼,MA PDQ(优先1L，
加贴1张空白帖覆盖recycled material 字眼)
2. 有第三方监柜
3. 外箱侧唛右上角各一张贴纸 （共2张）
Remark: 标准配比</t>
  </si>
  <si>
    <t>95701-7.19</t>
  </si>
  <si>
    <t>Wonderland Toys, Inc.</t>
  </si>
  <si>
    <t>4500167544-140</t>
  </si>
  <si>
    <t>7/18 截SI</t>
  </si>
  <si>
    <t>日期码格式：ZURU INC(BVI) 标准格式 日期：按实际生产日期
Packaging Info: 1. 出口美国，MA UPC 版本包装，优先1L。
Remark: 2. Zuru QC 验货即可</t>
  </si>
  <si>
    <t>ZB00805-7.18</t>
  </si>
  <si>
    <t>777 7MAY25</t>
  </si>
  <si>
    <t>4500167998-20</t>
  </si>
  <si>
    <t>日期码格式：ZURU INC(BVI) 标准格式 日期：按实际生产日期
Packaging Info:
2.77685GQ2-S003:MA 最新UPC包装,UPC#193052079053，请先检查条码是否正确再安排做货
Remark: 1.产品及包装需要印UKCA图标，包装需要有ZURU UK LTD/ZURU France地址信息，QC同事请核查，如有问题与跟单确认。
2. 需要符合欧洲标准不能含有闪粉和微塑料，否则不和法规会有客诉产生</t>
  </si>
  <si>
    <t>95675-7.17</t>
  </si>
  <si>
    <t>FB13022</t>
  </si>
  <si>
    <t>4500159670-30</t>
  </si>
  <si>
    <t>日期码格式：ZURU INC(BVI) 标准格式 日期：按实际生产日期
Packaging Info: 77685GQ1-S001:MA-1L 配套包装, 条码：193052079053。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</si>
  <si>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95645-7.14</t>
  </si>
  <si>
    <t>FB13021</t>
  </si>
  <si>
    <t>4500167693-70</t>
  </si>
  <si>
    <t>日期码格式：ZURU INC(BVI) 标准格式 日期：按实际生产日期
Packaging Info: 
77685GQ1-S001： MA 1L 配套包装，条码请核对：193052079053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</si>
  <si>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95692-7.18</t>
  </si>
  <si>
    <t>4500167858-40</t>
  </si>
  <si>
    <t>7/23 截SI</t>
  </si>
  <si>
    <t>日期码格式：ZURU INC(BVI) 标准格式 日期：按实际生产日期
Packaging Info: 
4. 77685SLB-S002
 77685GQ1-S002: MA 最新UPC包装，UPC# 193052079053,请先检查条码是否正确再安排做货；
 Slip sheet: 13pcs/PDQ/CTN 20*4H=80CTN/SLB=1040pcs/Slip Sheet; 一共需要1套slip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5.以上产品如果是电子产品带电池出货，请加上WEEE带电池走货欧洲30语通用黑白说明书,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</si>
  <si>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95740-7.23</t>
  </si>
  <si>
    <t>AHLBERG-DOLLARSTORE AB</t>
  </si>
  <si>
    <t>4500168801-50</t>
  </si>
  <si>
    <t>7/29 截SI</t>
  </si>
  <si>
    <t>6/20警语贴纸+价钱贴纸</t>
  </si>
  <si>
    <t>日期码格式：ZURU INC(BVI) 标准格式 日期：按实际生产日期
Packaging Info: 
77685GQ2:MA EAN 3L_A PET 膜+MA 3L PDQ_A+警语贴纸+价钱贴纸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t>
  </si>
  <si>
    <t>95802-7.28</t>
  </si>
  <si>
    <t>RED APPLE STORES INC.</t>
  </si>
  <si>
    <t xml:space="preserve">加拿大 </t>
  </si>
  <si>
    <t>2874711-00</t>
  </si>
  <si>
    <t>4500167181-30</t>
  </si>
  <si>
    <t>UPC贴纸翻单4500165393</t>
  </si>
  <si>
    <t>日期码格式： 标准格式 日期：按实际生产日期
Packaging Info:
77685GQ1 MA 3L A版 (EAN收缩膜+UPC贴纸193052079053贴纸翻单4500165393+PDQ)，MA 1L INNER BAG-B，MA 23L B版收藏指南，MA 5L SLIME BAG-B, MA 1L B版说
明书。
Remark: 出加拿大
日期跟踪码：产品外包装及产品本身都必须有日期跟踪码，并且确保两者的日期跟踪码要一致；ZURU标准格式日期码(请自行调整具体年月日生产期，但不能为周末
）</t>
  </si>
  <si>
    <t>95780-7.25</t>
  </si>
  <si>
    <t>SHIRRA PANWEST</t>
  </si>
  <si>
    <t>MPO 8071</t>
  </si>
  <si>
    <t>4500169209-20</t>
  </si>
  <si>
    <t>用B版本纸袋和口水胶</t>
  </si>
  <si>
    <t>贴纸翻单4500165393</t>
  </si>
  <si>
    <t>日期码格式： 标准格式 日期：按实际生产日期
Packaging Info:
77685GQ1 MA 3L A版 (EAN收缩膜+UPC贴纸193052079053贴纸翻单4500165393+PDQ)，MA 1L INNER BAG-B，MA 23L B版收藏指南，MA 5L SLIME BAG-B, MA 1L B版说
明书。
Remark: 出加拿大
日期跟踪码：产品外包装及产品本身都必须有日期跟踪码，ZURU标准格式日期码.
不晚于7/9 号提供大货图片， 大货图片要包含外箱，箱唛， 产品带包装/不带包装图片， 尺寸测量， 称重等，请注意 客人看了大货图片才会放SO。</t>
  </si>
  <si>
    <t>95741-7.23</t>
  </si>
  <si>
    <t>0907594676</t>
  </si>
  <si>
    <t>4500166543-10</t>
  </si>
  <si>
    <t>7/16 BV</t>
  </si>
  <si>
    <t>ZB00916-7.28</t>
  </si>
  <si>
    <t>0907594731</t>
  </si>
  <si>
    <t>4500166543-20</t>
  </si>
  <si>
    <t>7/18 BV</t>
  </si>
  <si>
    <t>ZB00915-7.28</t>
  </si>
  <si>
    <t>CMS FAMOUS TOYS</t>
  </si>
  <si>
    <t>PO0000974</t>
  </si>
  <si>
    <t>4500169319-30</t>
  </si>
  <si>
    <t>8/1 交仓</t>
  </si>
  <si>
    <t>6/17UPC贴纸+6/19进口商贴纸</t>
  </si>
  <si>
    <t>日期码格式：ZURU INC(BVI) 标准格式 日期：按实际生产日期
Packaging Info:
77685GQ1 MA多语加UPC贴纸 UPC: 193052079053
Remark: 出加拿大
每款产品都需要加进口商贴纸
Zuru验货.日期跟踪码：产品外包装及产品本身都必须有日期跟踪码，ZURU标准格式
日期码</t>
  </si>
  <si>
    <t>Bella Tan</t>
  </si>
  <si>
    <t>95880-8.1</t>
  </si>
  <si>
    <t>IMPERIAL DISTRIBUTOR</t>
  </si>
  <si>
    <t>650286
Fall 25</t>
  </si>
  <si>
    <t>4500170074-50</t>
  </si>
  <si>
    <t>7/22 截仓</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</si>
  <si>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
77685GQ1:S002-5 SURPRISE-DINO MIX AND MATCH-SERIES 1-CAPSULE,13PCS/Gravity PDQ, 13PCS/PDQ/CTN. GTIN:10193052079050</t>
  </si>
  <si>
    <t>Yvonne Feng</t>
  </si>
  <si>
    <t>ZB00833-7.22</t>
  </si>
  <si>
    <t>JUGUESAL S.A. DE C.V.</t>
  </si>
  <si>
    <t>厄瓜多尔</t>
  </si>
  <si>
    <t>25-1068242JUS</t>
  </si>
  <si>
    <t>4500159848-260</t>
  </si>
  <si>
    <t>指定日期码：2025-07（外箱/产品/包装/进口商贴纸 日期码要一致。</t>
  </si>
  <si>
    <t>8/7 截SI</t>
  </si>
  <si>
    <t>5/15UPC贴纸+进口商贴纸</t>
  </si>
  <si>
    <t>日期码格式：2025-07 日期：
Packaging Info:77685GQ2: MA多语EAN包装+UPC贴纸+MA多语收藏指南+MA多语PDQ+进口商贴纸+箱唛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</si>
  <si>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96592-6-9.30</t>
  </si>
  <si>
    <t>0907594717</t>
  </si>
  <si>
    <t>4500166545-10</t>
  </si>
  <si>
    <t>7/25 BV</t>
  </si>
  <si>
    <t>ZB01140-8.8</t>
  </si>
  <si>
    <t>SANBORN HERMANOS, S. A. DE C. V.</t>
  </si>
  <si>
    <t>4500167249-70</t>
  </si>
  <si>
    <t>7/24 出货</t>
  </si>
  <si>
    <t>6/27UPC 条码贴纸+进口商贴纸</t>
  </si>
  <si>
    <t>日期码格式：ZURU INC(BVI) 标准格式 日期：按实际生产日期
Packaging Info:
77685GQ2：MA 3L EAN 收缩膜+UPC 条码贴纸+MA 说明书+收藏指南+MA 3L PDQ+1张进口商贴纸+箱唛
Remark: 电池：
配比：</t>
  </si>
  <si>
    <t>95779-7.25</t>
  </si>
  <si>
    <t>0907594725</t>
  </si>
  <si>
    <t>4500166547-10</t>
  </si>
  <si>
    <t>7/31 BV</t>
  </si>
  <si>
    <t>8/4 交仓</t>
  </si>
  <si>
    <t>ZB01099-8.6</t>
  </si>
  <si>
    <t>0907594753</t>
  </si>
  <si>
    <t>4500166547-20</t>
  </si>
  <si>
    <t>8/19截SI</t>
  </si>
  <si>
    <t>ZB01303-8.16</t>
  </si>
  <si>
    <t>AB GEE OF RIPLEY LTD.</t>
  </si>
  <si>
    <t>777 2AUG</t>
  </si>
  <si>
    <t>4500170043-30</t>
  </si>
  <si>
    <t>日期码格式：ZURU INC(BVI) 标准格式 日期：按实际生产日期
Packaging Info:
3. 77685GQ2: MA 最新UPC包装&lt;(&gt;,&lt;)&gt; UPC#193052079053，请先检查条码是否正确再安排做货，如有问题请告知
6. 以上产品如果是电子产品带电池出货，请加上WEEE带电池走货欧洲30语通用黑白说明书&lt;(&gt;,&lt;)&gt; 如果是电子产品不带电池出货，请加上WEEE不带电池走货欧洲30
语通用黑白说明书
Remark: 1.产品及包装需要印UKCA图标，包装需要有ZURU UK LTD/ZURU France地址信息，QC同事请核查，如有问题与跟单确认。
2. 需要符合欧洲标准不能含有闪粉和微塑料，否则不合法规会有客诉产生</t>
  </si>
  <si>
    <t>95786-7.26</t>
  </si>
  <si>
    <t>4500168979-20</t>
  </si>
  <si>
    <t>7/22第三方SGS</t>
  </si>
  <si>
    <t>8/6 截SI</t>
  </si>
  <si>
    <t>6/26 UPC贴纸</t>
  </si>
  <si>
    <t>日期码格式：ZURU INC(BVI) 标准格式 日期：按实际生产日期
Packaging Info: 1. 出口加拿大市场。
#77685GQ1: MA 3L EAN_A版本 + UPC贴纸, UPC#193052079053;
2. 产品、包装、外箱上面tracking code的时间格式需要一致.
Remark: 3. 需要第三方SGS验货，验货时间暂定2025/07/22，每款每色请备1PC完整带包装样品供验货人员参考。用完后若无损坏可以放回大货里。</t>
  </si>
  <si>
    <t>CENTRO CUESTA NACIONAL</t>
  </si>
  <si>
    <t>25-1068241JDO</t>
  </si>
  <si>
    <t>4500164774-240</t>
  </si>
  <si>
    <t>8/4 截SI</t>
  </si>
  <si>
    <t>6/30 +UPC贴纸+进口商贴纸</t>
  </si>
  <si>
    <t>日期码格式：2025-07 日期：
Packaging Info: 
77685GQ2: MA多语EAN包装+UPC贴纸+MA多语收藏指南+MA多语PDQ+进口商贴纸+箱唛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</si>
  <si>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96593-5-9.30</t>
  </si>
  <si>
    <t>AMAZON.COM SERVICES LLC</t>
  </si>
  <si>
    <t>6SPB1M6E</t>
  </si>
  <si>
    <t>4500168600-90</t>
  </si>
  <si>
    <t>7/11 SSCC贴纸+空白贴纸翻单#4500157378</t>
  </si>
  <si>
    <t>7/7 客人已寄出SSCC</t>
  </si>
  <si>
    <t>日期码格式：ZURU INC(BVI) 标准格式 日期：按实际生产日期
Packaging Info:
#77723：2PK STD 77685 PVC Tube. MA 1L UPC版本+空白UPC贴纸，3L 铜版纸和空白贴纸跟翻单#4500157378。收藏指南，说明书均为MA 5L标版。（两个球的配比不
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</si>
  <si>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ZB00925-7.28</t>
  </si>
  <si>
    <t xml:space="preserve"> MÄC GEIZ Handelsges. mbH</t>
  </si>
  <si>
    <t>4500166172-20</t>
  </si>
  <si>
    <t>5/14德语警语贴纸</t>
  </si>
  <si>
    <t>日期码格式：ZURU INC(BVI) 标准格式 日期：按实际生产日期
Packaging Info:
 77685GQ1: 最新MA 3L PDQ+3L EAN包装+德语警语贴纸+1L+23L警语说明书+5L Slime袋子+5L+23L警语收藏指南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所有出往欧洲订单的电子产品需增加一张客版WEEE声明说明书，区分带电池和不带电池版本, 如已做客版说明书可忽略此要求。
 6. 所有出往德国订单，化学品需无堋无香版本。
 7. 标准配比
 8. 大货样品2套，请多备料</t>
  </si>
  <si>
    <t xml:space="preserve"> Shirley Zhou</t>
  </si>
  <si>
    <t>95879-8.1</t>
  </si>
  <si>
    <t>4QBFUAGY</t>
  </si>
  <si>
    <t>4500169031-120</t>
  </si>
  <si>
    <t>7/22 待SO出货</t>
  </si>
  <si>
    <t>ZB01037-8.4</t>
  </si>
  <si>
    <t>3J5S7DDW</t>
  </si>
  <si>
    <t>4500168994-190</t>
  </si>
  <si>
    <t>7/11SSCC贴纸+空白贴纸翻单#4500157378</t>
  </si>
  <si>
    <t>日期码格式：ZURU INC(BVI) 标准格式 日期：按实际生产日期
Packaging Info: 
#77723：2PK STD 77685 PVC Tube. MA 1L UPC版本+空白UPC贴纸，3L 铜版纸和空白贴纸跟翻单#4500157378。收藏指南，说明书均为MA 5L标版。（两个球的配比不
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</si>
  <si>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ZB01002-7.31</t>
  </si>
  <si>
    <t>4H2MTQ6B</t>
  </si>
  <si>
    <t>4500168994-300</t>
  </si>
  <si>
    <t>4500169495-10</t>
  </si>
  <si>
    <t>空白贴纸跟翻单#4500157378</t>
  </si>
  <si>
    <t>日期码格式：ZURU INC(BVI) 标准格式 日期：按实际生产日期
Packaging Info: #77723：2PK STD 77685 PVC Tube. MA 1L UPC版本+空白UPC贴纸，3L 铜版纸和空白贴纸跟翻单#4500157378。收藏指南，说明书均为MA 5L标版。（两个球的配比不
能重复）。
Remark: 1.Amazon domestic 订单。出口美国。外箱最长边不能超过25" （超过了，case pack只能为1），不符合要求的大货，一律不接受。
2.无第三方验货/测试要求。
3.日期码使用ZURU标准版本。
4.邮包盒要印刷日期码。</t>
  </si>
  <si>
    <t>ZB01104R1-8.6</t>
  </si>
  <si>
    <t>4500170480-50</t>
  </si>
  <si>
    <t>进口商贴纸翻156526</t>
  </si>
  <si>
    <t>日期码格式：ZURU INC(BVI) 标准格式 日期：按实际生产日期
Packaging Info:
77685GQ2： MA_UPC版本包装（收缩膜和说明书, MA首选1L，如无1L可用多语且含英语的配套多语UPC包装）+ 1张客人通用进口商贴纸（位置图翻单4500156526）
Remark: 1.按实际生产日期;
2.出澳大利亚，请按照相应标准生产;</t>
  </si>
  <si>
    <t>95778-7.25</t>
  </si>
  <si>
    <t>4500170362-30</t>
  </si>
  <si>
    <t>8/5 截SI</t>
  </si>
  <si>
    <t>日期码格式：ZURU INC(BVI) 标准格式 日期：按实际生产日期
Packaging Info:
77685GQ1-S002: MA 最新UPC包装，UPC# 193052079053,请先检查条码是否正确再安排做货；
Slip sheet: 13pcs/PDQ/CTN 20*4H=80CTN/SLB=1040pcs/Slip Sheet; 一共需要1套slip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4.以上产品如果是电子产品带电池出货，请加上WEEE带电池走货欧洲30语通用黑白说明书,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</si>
  <si>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4500171640-40</t>
  </si>
  <si>
    <t>8/12 装柜</t>
  </si>
  <si>
    <t>翻单165636</t>
  </si>
  <si>
    <t>日期码格式：ZURU INC(BVI) 标准格式 日期：按实际生产日期
Packaging Info: 物料要求 SKU
4 77685 MA PDQ +外挂中文收藏指南+中文说明书+收缩膜年龄贴（8+） 翻单： 4500165636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</si>
  <si>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Dona Tang</t>
  </si>
  <si>
    <t>Amazon FR:
8WJ7EDPL</t>
  </si>
  <si>
    <t>4500170600-400</t>
  </si>
  <si>
    <t>8/18 截SI</t>
  </si>
  <si>
    <t>7/8 SSCC贴纸+空白贴纸</t>
  </si>
  <si>
    <t>日期码格式：ZURU INC(BVI) 标准格式 日期：按实际生产日期
Packaging Info: Amazon UK(15701A/15710AB/15711D/15726ABDEGHJKLM/15728ABG/15762B/71152/77731/92119D/9561)/DE(15710B/15711D/15726ADEGHJKL/15728A/77731/92119A)/FR(
15710A/15714AN/15726D/15728A/77723)
9. 77723: 2pk 77685 into pvc tube, 12tubes/ctn; MA 3L(3L warning EAN)A收缩膜+MA 1L(23L warning)B说明书+MA 5L(23L warning)B收藏指南+其他MA最新配
套包装+客版3L(5L warning UPC#)A PVC筒彩卡(含英法德意西5L警告语+UPC#+邮箱地址+FR/ES/IT环保标，参考翻单PO#4500158469)；
13. 验货时间不迟于2025/7/31.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</si>
  <si>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TJX COMPANIES, INC</t>
  </si>
  <si>
    <t>TJ MAXX
PO#767791
SKU#135250
DC#891-240pcs
,
DC#894-180pcs,
DC#896-96pcs,
DC#897-216pcs
,
DC#898-168pcs</t>
  </si>
  <si>
    <t>4500171922-100</t>
  </si>
  <si>
    <t>空白贴纸+7/16客供价格贴纸</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</si>
  <si>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分5个DC出货，每款产品每个DC的箱唛资料不同。具体分DC数量，请参考后面行项目备注。
3. ZURU QC验货。</t>
  </si>
  <si>
    <t>Emily Wu</t>
  </si>
  <si>
    <t>ZB01105R1-8.6</t>
  </si>
  <si>
    <t>TJ MAXX
PO#767798
SKU#135520
DC#891-288pcs
,
DC#894-192pcs
,
DC#896-180pcs
,
DC#897-336pcs
,
DC#898-204pcs</t>
  </si>
  <si>
    <t>4500171921-110</t>
  </si>
  <si>
    <t>8/4 装柜</t>
  </si>
  <si>
    <t>ZB01244R1-8.13  ZB01285R1-8.16</t>
  </si>
  <si>
    <t>TJ MAXX
PO#767793SKU#135967
DC#891-216pcs
,
DC#894-156pcs
,
DC#896-120pcs
,
DC#897-252pcs
,
DC#898-156pcs</t>
  </si>
  <si>
    <t>4500171924-100</t>
  </si>
  <si>
    <t>ZB01139-8.8</t>
  </si>
  <si>
    <t>Marshalls
PO#767788
SKU#855994
DC#881-228pcs
,
DC#884-108pcs
,
DC#887-132pcs
,
DC#888-132pcs</t>
  </si>
  <si>
    <t>4500171907-110</t>
  </si>
  <si>
    <t>8/7 装柜</t>
  </si>
  <si>
    <t>空白贴纸+7/16 客供价格贴纸</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</si>
  <si>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分4-5个DC出货，每款产品每个DC的箱唛资料不同。具体分DC数量，请参考后面行项目备注。
3. ZURU QC验货。</t>
  </si>
  <si>
    <t>ZB01100-8.6  ZB01158-8.8  ZB01208-8.12</t>
  </si>
  <si>
    <t>Marshalls
PO#767789
SKU#855229
DC#881-156pcs
,
DC#884-132pcs
,
DC#886-168pcs
,
DC#887-180pcs
,
DC#888-168pcs</t>
  </si>
  <si>
    <t>4500171908-110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</si>
  <si>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</si>
  <si>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ZB01137-8.8  ZB01154-8.8</t>
  </si>
  <si>
    <t>TJ MAXX
PO#767796
SKU#134997
DC#891-240pcs
,
DC#894-156pcs
,
DC#896-144pcs
,
DC#897-288pcs
,
DC#898-168pcs</t>
  </si>
  <si>
    <t>4500171919-110</t>
  </si>
  <si>
    <t>ZB01138R1-8.8</t>
  </si>
  <si>
    <t>Marshalls
PO#767787
SKU#855483
DC#881-120pcs,
DC#884-96pcs,
DC#886-132pcs
,
DC#887-132pcs
,
DC#888-120pcs</t>
  </si>
  <si>
    <t>4500171916-100</t>
  </si>
  <si>
    <t>ZB01243R1-8.13</t>
  </si>
  <si>
    <t>Marshalls
PO#767785
SKU#855727
DC#881-120pcs
,
DC#884-96pcs,
DC#886-132pcs
,
DC#887-132pcs
,
DC#888-120pcs</t>
  </si>
  <si>
    <t>4500171914-100</t>
  </si>
  <si>
    <t>ZB01222R1-8.12</t>
  </si>
  <si>
    <t>TJ MAXX
PO#767795
SKU#136213
DC#891-228pcs
,
DC#894-108pcs
,
DC#896-144pcs
,
DC#897-264pcs
,
DC#898-156pcs</t>
  </si>
  <si>
    <t>4500171918-110</t>
  </si>
  <si>
    <t>8/8装柜  8/12 装柜</t>
  </si>
  <si>
    <t>ZB01223R1-8.12</t>
  </si>
  <si>
    <t>Marshalls
PO#767790
SKU#856289
DC#881-192pcs
,
DC#884-168pcs
,
DC#886-216pcs
,
DC#887-216pcs
,
DC#888-204pcs</t>
  </si>
  <si>
    <t>4500171912-110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</si>
  <si>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产品和包装上印刷tracking code信息，格式为ZURU常规格式。
2. 分5个DC出货，每款产品每个DC的箱唛资料不同。具体分DC数量，请参考后面行项目备注。
3. ZURU QC验货。</t>
  </si>
  <si>
    <t>47836713 SYD</t>
  </si>
  <si>
    <t>4500170710-50</t>
  </si>
  <si>
    <t>8/7截SI</t>
  </si>
  <si>
    <t>进口商贴纸及位置翻单4500167734</t>
  </si>
  <si>
    <t>日期码格式：ZURU INC(BVI) 标准格式 日期：按实际生产日期
Packaging Info: 1. 包装:
77685GQ1: 英文MA包装 (UPC版本，首选1L，无1L可用多L含英语)+1张进口商贴纸；贴纸及位置翻单4500167734
2. 进口商贴纸上已经去掉日期码，产品和包装上的日期码一致，请按要求在包装上打日期码（进口商贴纸不覆盖日期码）
3. 原指定日期码DDMMYY可改用ZURU标准日期码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</si>
  <si>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Christine Liao</t>
  </si>
  <si>
    <t>已完成</t>
  </si>
  <si>
    <t>47836714 BNE</t>
  </si>
  <si>
    <t>4500170710-60</t>
  </si>
  <si>
    <t>47836715 MEL</t>
  </si>
  <si>
    <t>4500170710-70</t>
  </si>
  <si>
    <t>8/9 截SI</t>
  </si>
  <si>
    <t>47836716 FRE</t>
  </si>
  <si>
    <t>4500170710-80</t>
  </si>
  <si>
    <t>8/11 截SI</t>
  </si>
  <si>
    <t>BEALL'S OUTLET STORES, INC.</t>
  </si>
  <si>
    <t>4500171114-20</t>
  </si>
  <si>
    <t>7/9客供价格贴纸</t>
  </si>
  <si>
    <t>日期码格式：ZURU INC(BVI) 标准格式 日期：按实际生产日期
Packaging Info: 1.ZURU最新MA UPC包装(优先1L) +客供价格贴纸（贴在产品包装右下角，跟单找第三方订购贴纸寄到工厂）。
Remark: 1.ZURU最新MA UPC包装(优先1L)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</si>
  <si>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</si>
  <si>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ZB01210-8.12</t>
  </si>
  <si>
    <t>4500171115-20</t>
  </si>
  <si>
    <t>ZB01179-8.11</t>
  </si>
  <si>
    <t>10001239877-0581</t>
  </si>
  <si>
    <t>4500171577-10</t>
  </si>
  <si>
    <t xml:space="preserve">8/12 客上柜 </t>
  </si>
  <si>
    <t>7/16条码箱贴纸</t>
  </si>
  <si>
    <t>日期码格式：ZURU INC(BVI) 标准格式 日期：按实际生产日期
Packaging Info: MA 1L 收缩膜+ MA 1L PDQ
Remark: 1.77685GQ1-S002-5 SURPRISE-DINO MIX AND MATCH-SERIES 1-CAPSULE,13PCS/Gravity PDQ, 13PCS/PDQ/CTN
2. MA 1L 收缩膜+ MA 1L PDQ，收缩膜上的UPC193052079053
3. 每个外箱正唛箱唛信息左上方位置粘贴条码箱贴纸，每箱只贴一张,由ZURU订购，来料显示DPCI-087-26-6460, UPC 10193052079050.
4. 产品和包装上印刷 tracking code信息，格式为ZURU常规格式;
5. 出货方式：货代自提</t>
  </si>
  <si>
    <t>ZB01216-8.12</t>
  </si>
  <si>
    <t>4400493880</t>
  </si>
  <si>
    <t>4500171129-20</t>
  </si>
  <si>
    <t>德意荷警语贴纸+荷兰语警语贴纸(贴纸都翻4500166480）</t>
  </si>
  <si>
    <t>日期码格式：ZURU INC(BVI) 标准格式 日期：按实际生产日期
Packaging Info: 
77685GQ2:最新MA3L EAN收缩膜+德语CALL OUT/德意荷警语贴纸（含法国sorting logo)+MA5L slime bag+荷兰语警语贴纸(贴纸都翻4500166480）+MA 3L PDQ+MA5L(2
3L Warning)收藏指南+MA23L说明书+MA 内袋
EAN#4894680042612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</si>
  <si>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Joan Wang</t>
  </si>
  <si>
    <t>NASA PANAMA</t>
  </si>
  <si>
    <t>4500172103-170</t>
  </si>
  <si>
    <t>8/14 截SI</t>
  </si>
  <si>
    <t>7/16 UPC贴纸</t>
  </si>
  <si>
    <t>日期码格式：ZURU INC(BVI) 标准格式 日期：按实际生产日期
Packaging Info: 请确保包装上的条形码是UPC，如果是babyUPC，需要用mother UPC覆盖，如有不一致，请及时提出。谢谢!
77685GQ2 MA 多语EAN包装+UPC贴纸+MA B版本说明书+MA PDQ 包装+箱唛
Remark:</t>
  </si>
  <si>
    <t>96595-4-9.30</t>
  </si>
  <si>
    <t>YOYO LLC</t>
  </si>
  <si>
    <t>吉尔吉斯斯坦</t>
  </si>
  <si>
    <t>4500161685-20</t>
  </si>
  <si>
    <t>8/22 客自提</t>
  </si>
  <si>
    <t>5/6进口商贴纸</t>
  </si>
  <si>
    <t>日期码格式：ZURU INC(BVI) 标准格式 日期：按实际生产日期
Packaging Info: 1L MA UPC 包装+ 进口商贴纸 ， MA PDQ /说明书/指南（如有）
Remark: 标准配比</t>
  </si>
  <si>
    <t>THE NORTH WEST COMPANY LP</t>
  </si>
  <si>
    <t>467344 467347</t>
  </si>
  <si>
    <t>4500170899-70</t>
  </si>
  <si>
    <t>日期码格式： 标准格式 日期：按实际生产日期
Packaging Info:
77685GQ1 MA 3L A版 (EAN收缩膜+UPC贴纸193052079053贴纸翻单4500165393+PDQ)，MA 1L INNER BAG-B，MA 23L B版收藏指南，MA 5L SLIME BAG-B, MA 1L B版说明书。
Remark: 出加拿大
Zuru验货.日期跟踪码：产品外包装及产品本身都必须有日期跟踪码，ZURU标准格式日期码</t>
  </si>
  <si>
    <t>po#60X269850</t>
  </si>
  <si>
    <t>4500169184-10</t>
  </si>
  <si>
    <t>8/14 第三方</t>
  </si>
  <si>
    <t>8/30 截SI</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</si>
  <si>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#77685GQ1-S002/92119-S007/77711GQ1-S002-NA/77673-S004/92104TQ2-S001 /71126-S003&lt;(&gt;,&lt;)&gt;需7月25日前需寄出3套大货样板(含PDQ)，样板须跟大货一模一样
（含日期码）。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*带散件的产品： 2套（4pcs成品球+2个空PDQ+2套散件）；
不带散件： 成品2套；
寄到以下地址：
Li Fung　
深圳市福田区绒花路8号深福保大厦附楼3楼。
收件人： Yoland Dai　电话：+0755 8825 3756
4. 验货+ 抽板 （同一天进行）
预约8月13日第三方（利丰）到工厂做100%大货现场验货和抽板，验货需打印EPM出来跟客户回签样板供第三方验货参考。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</si>
  <si>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Amber liang</t>
  </si>
  <si>
    <t>DD'S DISCOUNTS</t>
  </si>
  <si>
    <t>4500171855-10</t>
  </si>
  <si>
    <t>7/25客供价格贴纸+空白贴纸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</si>
  <si>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</si>
  <si>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Taylor Liao</t>
  </si>
  <si>
    <t>PACIFIC OPTICS NZ</t>
  </si>
  <si>
    <t>4500173065-20</t>
  </si>
  <si>
    <t>8/17 截SI</t>
  </si>
  <si>
    <t>日期码格式：ZURU INC(BVI) 标准格式 日期：按实际生产日期
Packaging Info: 1.订单出新西兰
2. MA UPC 英语包装（优先1L英语版本,或者3L/5L含英语即可）
3.CRD日期基于我司 QC完成验货;
4.请确保发货100%的订单数量/ sku;
5. 我司验货日期(请联系Mia Yu Mia.yu@zuru.com提前预定验货日期)，预约验货至少需在完货日期前一周申请;
6, 箱唛: 按照邮件确认的文档
Remark: 77685GQ1:Rare ratio:1/48</t>
  </si>
  <si>
    <t>Jess Huang</t>
  </si>
  <si>
    <t>10001373167-3890</t>
  </si>
  <si>
    <t>4500172802-10</t>
  </si>
  <si>
    <t>7/22条码箱贴纸</t>
  </si>
  <si>
    <t>10001348739-3890</t>
  </si>
  <si>
    <t>4500172800-10</t>
  </si>
  <si>
    <t>8/19 客自提</t>
  </si>
  <si>
    <t>7/22 条码箱贴纸</t>
  </si>
  <si>
    <t>DISTRIBUIDORA COMERCIAL DEL NORTE</t>
  </si>
  <si>
    <t>2025-0893</t>
  </si>
  <si>
    <t>4500170167-100</t>
  </si>
  <si>
    <t>8/24 截SI</t>
  </si>
  <si>
    <t>7/23 UPC 条码贴纸+进口商贴纸</t>
  </si>
  <si>
    <t xml:space="preserve">日期码格式：ZURU INC(BVI) 标准格式 日期：按实际生产日期
Packaging Info: 
77685GQ2；MA 多语EAN包装+UPC贴纸+MA B版本说明书+MA PDQ 包装+进口商贴纸+箱唛
Remark: </t>
  </si>
  <si>
    <t>96147-2-8.25</t>
  </si>
  <si>
    <t>4500172669-40</t>
  </si>
  <si>
    <t>8/22 截SI</t>
  </si>
  <si>
    <t>7/22通用进口商贴纸（位置图翻单4500156526）</t>
  </si>
  <si>
    <t>日期码格式：ZURU INC(BVI) 标准格式 日期：按实际生产日期
Packaging Info: 
77685GQ2： MA_UPC版本包装（收缩膜和说明书, MA首选1L，如无1L可用多语且含英语的配套多语UPC包装）+ 1张客人通用进口商贴纸（位置图翻单4500156526）
Remark: 1.按实际生产日期;
2.出澳大利亚，请按照相应标准生产;</t>
  </si>
  <si>
    <t>4500171859-20</t>
  </si>
  <si>
    <t>8/28 截SI</t>
  </si>
  <si>
    <t>8/2客供价格贴纸+空白贴纸</t>
  </si>
  <si>
    <t>MPO03711</t>
  </si>
  <si>
    <t>母件4500174187</t>
  </si>
  <si>
    <t>8/30 送库有</t>
  </si>
  <si>
    <t>周转箱：备注客供给ENTERTAINER PO#4500174187/#MSLD140混装展示架用</t>
  </si>
  <si>
    <t>7/24 EAN条码贴纸</t>
  </si>
  <si>
    <t>Remark: 1.MA 1L配套包装+客户EAN条码贴纸
2.产品及包装需要印 UKCA图标，包装需要有 ZURU UKLTD/ZURU France 地址信息
QC同事请核查，如有问题与跟单确认
需要符合欧洲标准不能含有闪粉和微塑料，否则不符合法规会有客诉产生
3.请务必按照每座展示架数量配好每个 assortment 的配比，方便组装厂直接组装展示架，配比跟 MA 标准款，如有不清楚的请找客制部和跟单核查
4.外箱可以直接用周转箱或者其他，工厂自行安排即可，请在外箱上写好每箱装多少和总箱数方便点数;
5.送货到库有时请在送货单上备注客供给ENTERTAINER PO#4500174187/#MSLD140混装展示架用
6.组装厂会安排最终验货，请准备好备品，验货后需要马上安排补货，届时请务必按时送货到库有</t>
  </si>
  <si>
    <t>Meyya Liu</t>
  </si>
  <si>
    <t>97095-11.29</t>
  </si>
  <si>
    <t>MPO03663</t>
  </si>
  <si>
    <t>母件4500172824</t>
  </si>
  <si>
    <t>9/6送库有</t>
  </si>
  <si>
    <t>周转箱：备注客供给ENTERTAINER PO#4500172824/#MSLD140混装展示架用</t>
  </si>
  <si>
    <t>7/9 EAN条码贴纸</t>
  </si>
  <si>
    <t>Remark: 1.MA 1L配套包装+客户EAN条码贴纸
条码请核对 77685GQ1：5056296049464
2.产品及包装需要印 UKCA图标，包装需要有 ZURU UKLTD/ZURU France 地址信息QC同事请核查，如有问题与跟单确认
需要符合欧洲标准不能含有闪粉和微塑料，否则不符合法规会有客诉产生
3.请务必按照每座展示架数量配好每个 assortment 的配比，方便组装厂直接组装展示架，配比跟 MA 标准款，如有不清楚的请找客制部和跟单核查
4.外箱可以直接用周转箱或者其他，工厂自行安排即可，请在外箱上写好每箱装多少和总箱数方便点数;
5.送货到库有时请在送货单上备注客供给ENTERTAINER PO#4500172824/#MSLD140混装展示架用
6.组装厂会安排最终验货，请准备好备品，验货后需要马上安排补货，届时请务必按时送货到库有</t>
  </si>
  <si>
    <t>97094-11.29</t>
  </si>
  <si>
    <t>9/7送库有</t>
  </si>
  <si>
    <t>9/8送库有</t>
  </si>
  <si>
    <t>9/9送库有</t>
  </si>
  <si>
    <t>VM INTERNATIONAL</t>
  </si>
  <si>
    <t>MPO03719</t>
  </si>
  <si>
    <t>母件4500174419</t>
  </si>
  <si>
    <t>额外多准备备品10PCS</t>
  </si>
  <si>
    <t>9/1 送 永捷组装MEC299-S001 for VM International PO 4500174419;</t>
  </si>
  <si>
    <t>周转箱：备注客供给永捷 组装MEC299-S001 for VM International PO 4500174419混装展示架用</t>
  </si>
  <si>
    <t>Remark: 1. 订单号：MPO03719
2. Item: 77685- 5 SURPRISE-DINO MIX AND MATCH-SERIES 1-CAPSULE - 30pcs；
3. 包装跟产品印刷Tracking code 信息，格式为Zuru 常规格式。
4. 每座展示架装30pcs。
5. 需要我司QC验货之后才能安排出货，额外多准备备品10PCS 以供在永捷工厂验货/以防万一运输过程有破损可以及时更换。
6. 出货方式，送去永捷组装混装展示架， 在9月1日前完货(123座展示架，共3690pcs)送去永捷，可以用周转箱送货回收周转箱。
7. 优先MA 1L UPC包装，订单无特殊要求，备注可与45单号备注保持一致</t>
  </si>
  <si>
    <t>Angel Lin/Sia Liu</t>
  </si>
  <si>
    <t>ZB01791-9.9</t>
  </si>
  <si>
    <t>77685-S001-MEC299-1</t>
  </si>
  <si>
    <t>WONDERLAND TOYS, INC.</t>
  </si>
  <si>
    <t>4500175531-40</t>
  </si>
  <si>
    <t>9/15 截SI</t>
  </si>
  <si>
    <t>ZB01926-9.15</t>
  </si>
  <si>
    <t>ALBERTSONS LLC</t>
  </si>
  <si>
    <t>PO#093043</t>
  </si>
  <si>
    <t>4500170808-10</t>
  </si>
  <si>
    <t>9/5 第三方 8/1 50%以上抽办</t>
  </si>
  <si>
    <t>9/24 截SI</t>
  </si>
  <si>
    <t>已出测试样+大货样</t>
  </si>
  <si>
    <t>日期码格式：ZURU INC(BVI) 标准格式 日期：按实际生产日期
Packaging Info: 1. MA UPC 包装(优先1L）,出口美国
2. 产品和包装上面要有ZURU格式tracking code
3. ZURU标准日期码格式
Remark: 1. 7/28抽版测试（须50%以上货好入箱）
2. ZURU QC验货OK + 客户QC验货OK + 抽板测试报告OK后方可出货
3. 产品和包装不能含有PFAS物质
4. 产品和包装须符合俄勒冈州HPCCCH测试要求
5.所有产品或材料不得来自新疆维吾尔自治区</t>
  </si>
  <si>
    <t>ZB01820-9.10</t>
  </si>
  <si>
    <t>PO#669729</t>
  </si>
  <si>
    <t>4500170808-20</t>
  </si>
  <si>
    <t>ZB02017-9.20</t>
  </si>
  <si>
    <t>PO#418508</t>
  </si>
  <si>
    <t>4500170808-30</t>
  </si>
  <si>
    <t>ZB01997-9.18</t>
  </si>
  <si>
    <t>PO#924189</t>
  </si>
  <si>
    <t>4500170808-40</t>
  </si>
  <si>
    <t>ZB02018-9.20</t>
  </si>
  <si>
    <t>PO#203533</t>
  </si>
  <si>
    <t>4500170808-50</t>
  </si>
  <si>
    <t>ZB01872-9.12</t>
  </si>
  <si>
    <t>PO#759469</t>
  </si>
  <si>
    <t>4500170808-60</t>
  </si>
  <si>
    <t>ZB02057-9.25</t>
  </si>
  <si>
    <t>PO#955682</t>
  </si>
  <si>
    <t>4500170808-70</t>
  </si>
  <si>
    <t>ZB01938-9.16</t>
  </si>
  <si>
    <t>PO#883501</t>
  </si>
  <si>
    <t>4500170808-80</t>
  </si>
  <si>
    <t>ZB02056-9.25</t>
  </si>
  <si>
    <t>PO#633492</t>
  </si>
  <si>
    <t>4500170808-90</t>
  </si>
  <si>
    <t>ZB01749-9.6</t>
  </si>
  <si>
    <t>10001348762-3890</t>
  </si>
  <si>
    <t>4500175279-10</t>
  </si>
  <si>
    <t>9/13 客自提</t>
  </si>
  <si>
    <t>8/13条码箱贴纸</t>
  </si>
  <si>
    <t>ZB01873-9.13</t>
  </si>
  <si>
    <t>10001373142-3890</t>
  </si>
  <si>
    <t>4500175280-10</t>
  </si>
  <si>
    <t>9/10 客上柜</t>
  </si>
  <si>
    <t>ZB01819-9.10</t>
  </si>
  <si>
    <t>10001373316-3891</t>
  </si>
  <si>
    <t>4500175281-10</t>
  </si>
  <si>
    <t>8/21条码箱贴纸</t>
  </si>
  <si>
    <t>ZB01918-9.15</t>
  </si>
  <si>
    <t>10001348684-3891</t>
  </si>
  <si>
    <t>4500175278-10</t>
  </si>
  <si>
    <t>ZB01917R1-9.15</t>
  </si>
  <si>
    <t>LULU SRL</t>
  </si>
  <si>
    <t>摩尔多瓦</t>
  </si>
  <si>
    <t>4500175435-90</t>
  </si>
  <si>
    <t>9/23 截单</t>
  </si>
  <si>
    <t>8/1 客户通用贴纸</t>
  </si>
  <si>
    <t>日期码格式：ZURU INC(BVI) 标准格式 日期：按实际生产日期
Packaging Info:
77685GQ1：1L MA UPC收缩膜+客户通用贴纸；MA PDQ
Remark:</t>
  </si>
  <si>
    <t>96556-3-9.29</t>
  </si>
  <si>
    <t>MPO03751</t>
  </si>
  <si>
    <t>Remark: 1- 订单号：MPO03751
2- Item: 77685- 5 SURPRISE-DINO MIX AND MATCH-SERIES 1-CAPSULE - 30pcs；
3- 包装跟产品印刷Tracking code 信息，格式为Zuru 常规格式。
4- 每座展示架装30pcs。
5- 需要我司QC验货之后才能安排出货，额外多准备备品10PCS 以供在永捷工厂验货/以防万一运输过程有破损可以及时更换。
6- 出货方式，送去永捷组装混装展示架， 在9月15日前完货(263座展示架，共7890pcs)送去永捷，可以用周转箱送货回收周转箱。
7- 订单无特殊要求，备注可与45单号备注保持一致
8- 关于混装展示架，各工厂交子件到最终母件工厂时，务必要 "带卡板出+围好围膜"。
如果没按要求的，请各工厂自行安排人手卸货。
9- 请贵司确保交货数量准确，与收货方交收清楚，如收货方提出任何异常，请立即安排处理解决。</t>
  </si>
  <si>
    <t>Angel Lin/Iris Yuan</t>
  </si>
  <si>
    <t>ZB02254-9.30</t>
  </si>
  <si>
    <t>PO# 35261</t>
  </si>
  <si>
    <t>4500176521-10</t>
  </si>
  <si>
    <t>9/22  交仓</t>
  </si>
  <si>
    <t>日期码格式：ZURU INC(BVI) 标准格式 日期：按实际生产日期
Packaging Info: 1. 包装方式：MA UPC 优先1L 最新包装，出口美国
Remark: 2. 外箱箱唛红色和黑色双色印刷
3. 产品和包装上印刷tracking code信息，格式为ZURU常规</t>
  </si>
  <si>
    <t>Angel Lin</t>
  </si>
  <si>
    <t>ZB02191-9.27</t>
  </si>
  <si>
    <t>4500174928-10</t>
  </si>
  <si>
    <t>9/20 截SI</t>
  </si>
  <si>
    <t>8/13客供价格贴纸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</si>
  <si>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</si>
  <si>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ZB01996-9.18</t>
  </si>
  <si>
    <t>PAN PACIFIC INTERNATIONAL TRADING</t>
  </si>
  <si>
    <t>日本</t>
  </si>
  <si>
    <t>20250626-012A</t>
  </si>
  <si>
    <t>4500174471-10</t>
  </si>
  <si>
    <t>8/7日语贴纸+条码贴纸</t>
  </si>
  <si>
    <t>日期码格式：ZURU INC(BVI) 标准格式 日期：按实际生产日期
Packaging Info: MA UPC PKG（1L优先）+日语警语贴纸+条码贴纸
Remark: 77685GQ1: Rare ratio 1/48</t>
  </si>
  <si>
    <t>96500-9.22</t>
  </si>
  <si>
    <t>4500177568-10</t>
  </si>
  <si>
    <t>9/27 截SI</t>
  </si>
  <si>
    <t>日期码格式：ZURU INC(BVI) 标准格式 日期：按实际生产日期
Packaging Info: 1.订单出新西兰
2. MA UPC 英语包装（优先1L英语版本,或者3L/5L含英语即可）
3.CRD日期基于我司 QC完成验货;
4.请确保发货100%的订单数量/ sku;
5. 我司验货日期(请联系Mia Yu Mia.yu@zuru.com提前预定验货日期)，预约验货至少需在完货日期前一周申请;
6, 箱唛: 按照邮件确认的文
Remark: Rare ratio:1/48</t>
  </si>
  <si>
    <t>96532-9.26</t>
  </si>
  <si>
    <t>0941292503</t>
  </si>
  <si>
    <t>4500178234-10</t>
  </si>
  <si>
    <t>9/30自检</t>
  </si>
  <si>
    <t>10.16截SI</t>
  </si>
  <si>
    <t>9/9 RFID</t>
  </si>
  <si>
    <t>抵扣手工单MO20250710</t>
  </si>
  <si>
    <t>日期码格式：ZURU DGYYYYMMDD CHINA(日期避开周末和法定节假日即可） 日期：按实际生产日期
Packaging Info: 77685SLB-S001：
1.包装要求：
MA 1L A版收缩膜+MA B版纸袋+MA 5L B版收藏指南+MA B版slime bag+ MA 1L B版说明书+客版1L PDQ
每pcs产品上要贴1张RFID贴纸，贴纸由ZURU提供，贴纸位置请严格按照我们签回的签板；
Remark: 77685SLB-S001：
1.包装要求：
MA 1L A版收缩膜+MA B版纸袋+MA 5L B版收藏指南+MA B版slime bag+ MA 1L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sheet出货，77685：1152pcs/96CTN/Slip Sheet</t>
  </si>
  <si>
    <t>ZB02414(REV1)-10.14</t>
  </si>
  <si>
    <t>0941292515</t>
  </si>
  <si>
    <t>4500178234-20</t>
  </si>
  <si>
    <t>9/29 BV</t>
  </si>
  <si>
    <t>9/30 截仓</t>
  </si>
  <si>
    <t>ZB02463-10.16  ZB02215-9.29</t>
  </si>
  <si>
    <t>0941292530</t>
  </si>
  <si>
    <t>4500178234-30</t>
  </si>
  <si>
    <t>4500178234-40</t>
  </si>
  <si>
    <t>10.13截SI</t>
  </si>
  <si>
    <t>ZB02381-10.13</t>
  </si>
  <si>
    <t>0941292549</t>
  </si>
  <si>
    <t>4500178234-50</t>
  </si>
  <si>
    <t>10/10 截SI</t>
  </si>
  <si>
    <t>ZB02413-10.14</t>
  </si>
  <si>
    <t>0941292553</t>
  </si>
  <si>
    <t>4500178234-60</t>
  </si>
  <si>
    <t>10/11 开仓</t>
  </si>
  <si>
    <t>ZB02415-10.14</t>
  </si>
  <si>
    <t>0941292563</t>
  </si>
  <si>
    <t>4500178234-70</t>
  </si>
  <si>
    <t>10/9交仓</t>
  </si>
  <si>
    <t>ZB02295-10.9</t>
  </si>
  <si>
    <t>4500176236-10</t>
  </si>
  <si>
    <t>10/25截SI</t>
  </si>
  <si>
    <t>9/12客供价格贴纸</t>
  </si>
  <si>
    <t>ZB02568R1-10.23</t>
  </si>
  <si>
    <t>LEKIA AB</t>
  </si>
  <si>
    <t>4500178665-20</t>
  </si>
  <si>
    <t>10/22 截SI</t>
  </si>
  <si>
    <t>9/12警告语/进口商贴纸(翻单4500164226）</t>
  </si>
  <si>
    <t>日期码格式：ZURU INC(BVI) 标准格式 日期：按实际生产日期
Packaging Info:
77685GQ2-S002:MA 3L EAN A版收缩膜+MA 5L slime bag+MA B1L(23L warning)说明书+MA 3L PDQ+警告语/进口商贴纸(翻单4500164226）+丹麦/瑞典/芬兰/挪威语
警告语贴纸（贴slime袋子）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条码信息
77685GQ2-S002:4894680042612</t>
  </si>
  <si>
    <t>A96700-10.21</t>
  </si>
  <si>
    <t>0944785675</t>
  </si>
  <si>
    <t>4500179415-10</t>
  </si>
  <si>
    <t>10/16 BV</t>
  </si>
  <si>
    <t>10/24 交仓</t>
  </si>
  <si>
    <t>9/29 RFID</t>
  </si>
  <si>
    <t>ZB02604-10.24</t>
  </si>
  <si>
    <t>0944785689</t>
  </si>
  <si>
    <t>4500179415-20</t>
  </si>
  <si>
    <t>10/18 交仓</t>
  </si>
  <si>
    <t>ZB02538-10.21</t>
  </si>
  <si>
    <t>THE HAMLEYS GROUP LTD</t>
  </si>
  <si>
    <t>HLL-PO-000015
760</t>
  </si>
  <si>
    <t>4500178312-10</t>
  </si>
  <si>
    <t>11/3 交仓</t>
  </si>
  <si>
    <t>日期码格式：ZURU INC(BVI) 标准格式 日期：按实际生产日期
Packaging Info: 77685:MA 1L 最新UPC包装，UPC：193052079053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*在CRD前1周提供指定格式的自检报告
* 大货样： 新款请在CRD前10天寄出每款2整套大货样到罗湖办公室7B Aaron Xia 收，翻单不用寄。</t>
  </si>
  <si>
    <t>Aaron Xia</t>
  </si>
  <si>
    <t>32686863</t>
  </si>
  <si>
    <t>4500178606-30</t>
  </si>
  <si>
    <t>11/23 截SI</t>
  </si>
  <si>
    <t>挪威语警语贴纸(翻单4500162231)</t>
  </si>
  <si>
    <t>日期码格式：ZURU INC(BVI) 标准格式 日期：按实际生产日期
Packaging Info:
77685GQ1:MA EAN 3L+挪威语警语贴纸(翻单4500162231)
Remark: 1/ 工厂货号-客户货号-彩盒条码-外箱条码
77685GQ1-7254586-4894680042612-10193052079050
2/ 产品和包装要求无硼无香，包装不能含有PVC
3/ 如有微塑料，必须合规欧洲标准，闪粉也是微塑料的一种，目前仅接受三张方式1.去除，2.用可降解材料，和3. 永久封印在固体。
4/ 此订单有第三方验货,77685的签样用于上单4500162231
5.带电池出货的产品所用到的电池需要符合欧洲电池新规(EU)2023-1542；</t>
  </si>
  <si>
    <t>96991-11.21</t>
  </si>
  <si>
    <t>218014158 DC
086</t>
  </si>
  <si>
    <t>4500179184-70</t>
  </si>
  <si>
    <t>11/11 截SI</t>
  </si>
  <si>
    <t>Agnes Zheng</t>
  </si>
  <si>
    <t>ZB02866-11.10</t>
  </si>
  <si>
    <t>218014171 DC
802</t>
  </si>
  <si>
    <t>4500179184-80</t>
  </si>
  <si>
    <t>ZB02885-11.12</t>
  </si>
  <si>
    <t>ZHUYU(SHENZHEN)TRADING CO.,LTD.</t>
  </si>
  <si>
    <t>4500178603-40</t>
  </si>
  <si>
    <t>11/10 截SI</t>
  </si>
  <si>
    <t>翻单： 4500171640</t>
  </si>
  <si>
    <t>年龄贴（8+）+11/16防串码</t>
  </si>
  <si>
    <t>已出样板，需要重签</t>
  </si>
  <si>
    <t>日期码格式：ZURU INC(BVI) 标准格式 日期：按实际生产日期
Packaging Info: 物料要求 SKU
4 77685 MA PDQ +外挂中文收藏指南+中文说明书+收缩膜年龄贴（8+） 翻单： 4500171640
此单启用 防窜码贴纸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</si>
  <si>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4500178603-60</t>
  </si>
  <si>
    <t>4500179602-20</t>
  </si>
  <si>
    <t>11/20 截SI</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</si>
  <si>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3. 大货配比：产品配比按照MA标准配比执行。
GTIN:
77685GQ1:101-93052-07905-0
Remark:</t>
  </si>
  <si>
    <t>ZB03002-11.20</t>
  </si>
  <si>
    <t>PO#2950867206</t>
  </si>
  <si>
    <t>4500180371-30</t>
  </si>
  <si>
    <t>11/12 截SI</t>
  </si>
  <si>
    <t>日期码格式：ZURU INC(BVI) 标准格式 日期：按实际生产日期
Packaging Info: 
77685SLB-S002, MA最新UPC包装，UPC :193052079053，请先检查条码是否正确再安排做货。
Slip sheet: 77685GQ1-S002 13pcs/PDQ/CTN 20*4H=80CTN/SLB=1040pcs/Slip Sheet; 一共需要2 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</si>
  <si>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777 3JAN26</t>
  </si>
  <si>
    <t>4500180232-20</t>
  </si>
  <si>
    <t>11/24 截SI</t>
  </si>
  <si>
    <t>日期码格式：ZURU INC(BVI) 标准格式 日期：按实际生产日期
Packaging Info: MA 最新UPC包装，各款的条码如下，请先检查条码是否正确再安排做货，如有问题请告知,配比跟MA
2.77685GQ2：193052079053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</si>
  <si>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97006-11.24</t>
  </si>
  <si>
    <t>4500178603-80</t>
  </si>
  <si>
    <t>ROFU KINDERLAND SPIELWARENHANDELSGE</t>
  </si>
  <si>
    <t>4500180040-30</t>
  </si>
  <si>
    <t>11/17客供价格贴纸+德语警告语贴纸（翻单：4500161168）</t>
  </si>
  <si>
    <t>日期码格式：ZURU INC(BVI) 标准格式 日期：按实际生产日期
Packaging Info: 
77685-S001: 最新MA 3L EAN包装+德语警告语贴纸（翻单：4500161168）+客供价格贴纸+5L+23L警语收藏指南+5L Slime 袋+多语说明书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</si>
  <si>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Winnie zhong</t>
  </si>
  <si>
    <t>0948877814</t>
  </si>
  <si>
    <t>4500181107-10</t>
  </si>
  <si>
    <t>11/10 BV</t>
  </si>
  <si>
    <t>11/26 截SI</t>
  </si>
  <si>
    <t>11/16 RFID</t>
  </si>
  <si>
    <t>ZB03016-11.21</t>
  </si>
  <si>
    <t>0948877825</t>
  </si>
  <si>
    <t>4500181107-20</t>
  </si>
  <si>
    <t>ZB03112-11.26</t>
  </si>
  <si>
    <t>0948877838</t>
  </si>
  <si>
    <t>4500181107-30</t>
  </si>
  <si>
    <t>11/21 截SI</t>
  </si>
  <si>
    <t>ZB03157-11.29</t>
  </si>
  <si>
    <t>0950689039</t>
  </si>
  <si>
    <t>4500181314-10</t>
  </si>
  <si>
    <t>12/1 截SI</t>
  </si>
  <si>
    <t>10/29 RFID</t>
  </si>
  <si>
    <t>ZB03156-11.29</t>
  </si>
  <si>
    <t>GLOBUS LOGISTIK GMBH AND CO KG</t>
  </si>
  <si>
    <t>10357170 10357227</t>
  </si>
  <si>
    <t>4500180582-10</t>
  </si>
  <si>
    <t>11/28 截SI</t>
  </si>
  <si>
    <t>10/17GTIN条码贴纸+外箱产品图片贴纸</t>
  </si>
  <si>
    <t>日期码格式：ZURU INC(BVI) 标准格式 日期：按实际生产日期
Packaging Info:
77685GQ2-S001：最新MA A版 3L EAN收缩膜+DE警语贴纸，MA B版5L+23L警语收藏指南，MA B版说明书，MA B版 5slime bag，MA B版配件袋，MA B版PDQ+GTIN条码
贴纸
Remark: 1. 此单出德国，需准时出货，微塑料需符合法规；无须客户第三方验货但是需要在11/14提供验货图片(含不良图）。待客人放货后才能安排走货。
2. 外箱正唛需要贴产品图片贴纸
3. 外箱印4面-2*正唛+2*侧唛
4. 一个外箱里超过一个PDQ- 外箱上无需印GTIN 条码 / 一个外箱里只有一个PDQ- 外箱上印GTIN 条码
5. 需要在货期前一个月安排样品给客户评估（非测试，包装无要求）
6. 所有出往欧洲订单的电子产品需增加一张客版 B版 WEEE声明说明书，区分带电池(WEEE 带电池走货 B版 通用30L 说明书)和不带电池版本(WEEE 不带电池走货
B版 通用30L 说明书)
7.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8. 所有出往GAS市场(德国/奥地利/瑞士)订单，化学品需无硼无香版本。</t>
  </si>
  <si>
    <t>Nicole Ye</t>
  </si>
  <si>
    <t>971025-11.26</t>
  </si>
  <si>
    <t>PO#2950867221</t>
  </si>
  <si>
    <t>4500181035-10</t>
  </si>
  <si>
    <t>11/25 截SI</t>
  </si>
  <si>
    <t>日期码格式：ZURU INC(BVI) 标准格式 日期：按实际生产日期
Packaging Info: 77685SLB-S002, MA最新UPC包装，UPC :193052079053，请先检查条码是否正确再安排做货。
Slip sheet: 77685GQ1-S002 13pcs/PDQ/CTN 20*4H=80CTN/SLB=1040pcs/Slip Sheet;
一共需要1个slip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</si>
  <si>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97012-11.25</t>
  </si>
  <si>
    <t>4500179449-20</t>
  </si>
  <si>
    <t>11/18 客上柜</t>
  </si>
  <si>
    <t>UPC贴纸+进口商贴纸翻单PO4500167348</t>
  </si>
  <si>
    <t xml:space="preserve">日期码格式：LOTDGYYYYMMDD </t>
  </si>
  <si>
    <t>日期码格式：LOTDGYYYYMMDD 日期：按实际生产日期
Packaging Info: 
2. 77685GQ2 :MA 3L EAN收缩膜+ UPC贴纸+ 3LPDQ+MA多语收藏指南+MA多语说明书+进口商贴纸+箱唛，进口商贴纸分别贴在球和说明书上，进口商贴纸和UPC贴纸翻
单PO4500167348
Remark: 1. 客版日期码要求：LOT+ZURU标准日期码格式。东莞生产的格式：LOTDGYYYYMMDD, DG是东莞拼音首字母，
YYYYMMDD是实际的年月日，例如(LOTDG20240920)
4. 此单有第三方监柜，至少多备一套完整的物料用于监柜，请多备料。
5.WM墨西哥防霉的新要求:货物必须在出货主箱和集装箱中按要求放置干燥剂，干燥剂指定品牌干霸
77685GQ2: 需要在每箱放入6小包干燥剂，每包干燥剂重量2-3g
如走柜货等loading plan 确认后再通知集装箱干燥剂数量
此单工厂将安排1*40HC，每个柜子要放置20包干燥剂，每包干燥剂1KG</t>
  </si>
  <si>
    <t>96994-11.22</t>
  </si>
  <si>
    <t>ZURU DENMARK APS</t>
  </si>
  <si>
    <t>4500181278-10</t>
  </si>
  <si>
    <t>10/24 多语警语可折叠贴</t>
  </si>
  <si>
    <t>日期码格式：ZURU INC(BVI) 标准格式 日期：按实际生产日期
Packaging Info: 77685GQ1：最新MA 3L PDQ+最新MA 3L EAN收缩膜+1*多语警语可折叠贴纸+最新MA 1L多语警语说明书+最新MA 5L slime bag+1*多语通用(SLIME, DOUGH, SAND)化学
品警语多语说明书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</si>
  <si>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Niki Chen</t>
  </si>
  <si>
    <t>97063-11.29</t>
  </si>
  <si>
    <t>FREDMEYER INC</t>
  </si>
  <si>
    <t>PO#0000420245
25</t>
  </si>
  <si>
    <t>4500182659-10</t>
  </si>
  <si>
    <t>12/1 交仓</t>
  </si>
  <si>
    <t>日期码格式：ZURU INC(BVI) 标准格式 日期：按实际生产日期
Packaging Info: 1、包装方式: 
其他Items: MA UPC 优先1L最新版，出口美国
Remark: 2、无测试无验货要求
3、纸箱4面印ZURU LOGO + 箱唛
4、日期码请按ZURU标准版执行即可
5、ZURU OQC验货</t>
  </si>
  <si>
    <t>ZB03138-11.28</t>
  </si>
  <si>
    <t>A&amp;A GLOBAL INDUSTRIES</t>
  </si>
  <si>
    <t>PO#0221497</t>
  </si>
  <si>
    <t>4500179796-40</t>
  </si>
  <si>
    <t>12/3 截SI</t>
  </si>
  <si>
    <t>9/26UPC贴纸</t>
  </si>
  <si>
    <t>日期码格式：ZURU INC(BVI) 标准格式 日期：按实际生产日期
Packaging Info: 1. 包材：ZURU MA 最新1L UPC版本；出口美国；
77685GQ2-S001: ZURU MA 最新1L UPC版本 + PDQ 上加贴 upc# 193052079053 贴纸（位于PDQ背面左下角）, 贴纸资料跟单提供，工厂采购
Remark: 2. 日期跟踪码：产品包装及产品本身都必须有日期跟踪码，并且确保两者的日期跟踪码要一致；ZURU标准格式日期码(请自行调整具体年月日生产期，但不能为周
末）。
3. 出货配比: Zuru 标版配比。</t>
  </si>
  <si>
    <t>4500181881-310</t>
  </si>
  <si>
    <t>12/1 出货</t>
  </si>
  <si>
    <t>11/4 进口商贴纸+ 10/24 QR code贴纸</t>
  </si>
  <si>
    <t>日期码格式：ZURU INC(BVI) 标准格式 日期：按实际生产日期
Packaging Info: MA UPC 彩卡 + 进口商贴纸+ QR code贴纸（要求每1PCS 的QR 不一样 ）。MA 说明书/指南/PDQ（如有）
Remark: 注意：
1. QR 贴纸要求： 二维码+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</si>
  <si>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97109-3-12.1</t>
  </si>
  <si>
    <t>MID-STATES DISTRIBUTING, LLC</t>
  </si>
  <si>
    <t>L&lt;(&gt;&amp;&lt;)&gt;M
Fleet Supply
P100333394</t>
  </si>
  <si>
    <t>4500182883-20</t>
  </si>
  <si>
    <t>12/2 交仓</t>
  </si>
  <si>
    <t>500-57642</t>
  </si>
  <si>
    <t>4500185340-10</t>
  </si>
  <si>
    <t>12/9 交仓</t>
  </si>
  <si>
    <t>MO250916转实单</t>
  </si>
  <si>
    <t>日期码格式：ZURU INC(BVI) 标准格式 日期：按实际生产日期
Packaging Info: 1、包装方式：#77685GQ1: MA UPC优先1L最新版，出口美国
Remark: 2、无第三方测试&lt;(&gt;&amp;&lt;)&gt;验货要求
3、纸箱4面印ZURU LOGO + 箱唛
4、日期码请按ZURU标准版执行即可
5、ZURU OQC验货</t>
  </si>
  <si>
    <t>700-41349</t>
  </si>
  <si>
    <t>4500185340-30</t>
  </si>
  <si>
    <t>12/11 截SI</t>
  </si>
  <si>
    <t>700-41429</t>
  </si>
  <si>
    <t>4500185340-50</t>
  </si>
  <si>
    <t>910-62649</t>
  </si>
  <si>
    <t>4500185340-80</t>
  </si>
  <si>
    <t>GULLSK􀃓GAR EHF - DOM</t>
  </si>
  <si>
    <t>SS26</t>
  </si>
  <si>
    <t>4500182255-30</t>
  </si>
  <si>
    <t>12/5 截SI</t>
  </si>
  <si>
    <t>日期码格式：ZURU INC(BVI) 标准格式 日期：按实际生产日期
Packaging Info:
77685GQ1: MA EAN 3L
Remark: 1/ 配比：
77685GQ1: Rare ratio:1/48
2/产品和包装要求无硼无香，包装不能含有PVC
3/如有微塑料，必须合规欧洲标准，并增加微塑料合规IFUD声明在说明书上
4/带电池出货的产品，所用到的电池需要符合欧洲电池新规(EU)2023-1542，并增加对应WEEE 说明书</t>
  </si>
  <si>
    <t>ARMY &amp; AIR FORCE EXCHANGE SERVICE</t>
  </si>
  <si>
    <t>0092461721</t>
  </si>
  <si>
    <t>4500183696-10</t>
  </si>
  <si>
    <t>12/15交仓</t>
  </si>
  <si>
    <t>日期码格式：ZURU INC(BVI) 标准格式 日期：按实际生产日期
Packaging Info: 1. MA+UPC版包裝,优先1L，出口美国
Remark: 2. PO# 0092461722, 0092461723, 0092461724, 这3个订单外箱需要贴4x6"UCC 贴纸，只需贴一面（UCC贴纸为客供贴纸）。PO# 0092461721, 0092461725，这2
个订单外箱不需要UCC贴纸。
3. ZURU QC 验货。
4. 产品和包裝上需印刷tracking code信息，格式为ZURU常规。</t>
  </si>
  <si>
    <t>0092461722</t>
  </si>
  <si>
    <t>4500183696-20</t>
  </si>
  <si>
    <t>11/20UCC 贴纸</t>
  </si>
  <si>
    <t>0092461723</t>
  </si>
  <si>
    <t>4500183696-30</t>
  </si>
  <si>
    <t>0092461724</t>
  </si>
  <si>
    <t>4500183696-40</t>
  </si>
  <si>
    <t>0092461725</t>
  </si>
  <si>
    <t>4500183696-50</t>
  </si>
  <si>
    <t>4500183424-10</t>
  </si>
  <si>
    <t>12/9截SI</t>
  </si>
  <si>
    <t>多语警语可折叠贴纸</t>
  </si>
  <si>
    <t>日期码格式：ZURU INC(BVI) 标准格式 日期：按实际生产日期
Packaging Info: 77685GQ1：最新MA 3L PDQ+最新MA 3L EAN收缩膜+1*多语警语可折叠贴纸+最新MA 1L多语警语说明书+最新MA 5L slime bag+1*多语通用(SLIME, DOUGH, SAND)化学
品警语多语说明书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</si>
  <si>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4500183424-20</t>
  </si>
  <si>
    <t>77685SK1-S002-MTS</t>
  </si>
  <si>
    <t>12/12截SI</t>
  </si>
  <si>
    <t>日期码格式：ZURU INC(BVI) 标准格式 日期：按实际生产日期
Packaging Info: 
77685SK1：最新MA 展示架+最新MA 3L EAN收缩膜+1*多语警语可折叠贴纸+最新MA 1L多语警语说明书+最新MA 5L slime bag+1*多语通用(SLIME, DOUGH, SAND)化学
品警语多语说明书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</si>
  <si>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MIGROS-GENOSSENSCHAFTS-BUND</t>
  </si>
  <si>
    <t>瑞士</t>
  </si>
  <si>
    <t>4500185407-110</t>
  </si>
  <si>
    <t>11/18 德意警告语贴纸</t>
  </si>
  <si>
    <t>未出样板</t>
  </si>
  <si>
    <t>日期码格式：ZURU INC(BVI) 标准格式 日期：按实际生产日期
Packaging Info: 
77685-S001: 最新MA 3L EAN包装德意警告语贴纸+5L+23L警语收藏指南+5L Slime 袋+多语说明书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</si>
  <si>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Winnie Zhong</t>
  </si>
  <si>
    <t>4500183825-50</t>
  </si>
  <si>
    <t>12/15 截SI</t>
  </si>
  <si>
    <t>11/14可折叠贴纸+不能吃贴纸+警告语贴纸</t>
  </si>
  <si>
    <t>日期码格式：ZURU INC(BVI) 标准格式 日期：按实际生产日期
Packaging Info: 
77685SK1-S002//3L A版EAN包装4894680042612+可折叠贴纸_小部件+不能吃贴纸+B版收藏指南+B版纸袋+B版说明书+B版Slime袋子+丹麦瑞典芬兰挪威爱沙尼亚语言警
告语贴纸贴在slime袋子上（翻单4500178665）+3L 展示架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</si>
  <si>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Luna</t>
  </si>
  <si>
    <t>WM MORRISON SUPERMARKETS LIMITED</t>
  </si>
  <si>
    <t>4500184671-40</t>
  </si>
  <si>
    <t>77685GQ7-S002</t>
  </si>
  <si>
    <t>混搭恐龙8pcs/GQ1*12/箱</t>
  </si>
  <si>
    <t>日期码格式：ZURU INC(BVI) 标准格式 日期：按实际生产日期
Packaging Info: 
77685GQ7：最新MA-1L包装+ZURU客版PDQ
UPC#193052079053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&lt;(&gt;&amp;&lt;)&gt; G.W. 16 KG，超过的需要客人批准才能出货并且外箱需要印2 man lift标志 。
10.做货前务必核对零售条码是否与订单要求一致 ，对不上到客户仓库需要返工 ，工厂需要承担责任。</t>
  </si>
  <si>
    <t>Sherry Lu</t>
  </si>
  <si>
    <t>4500179539-10</t>
  </si>
  <si>
    <t>混搭恐龙27pcs/GQ2/箱-干燥剂</t>
  </si>
  <si>
    <t>UPC贴纸+进口商贴纸 贴纸翻单PO4500167348</t>
  </si>
  <si>
    <t>日期码格式：LOTDGYYYYMMDD 日期：按实际生产日期
Packaging Info: 1. 77685GQ2 :3L EAN收缩膜+ UPC贴纸+ 3LPDQ+MA多语收藏指南+MA多语说明书+进口商贴纸+箱唛，进口商贴纸分别贴在球和说明书上，贴纸翻单PO4500167348
Remark: 1：客版日期码要求：LOT+ZURU标准日期码格式。东莞生产的格式：LOTDGYYYYMMDD, DG是东莞拼音首字母，YYYYMMDD是实际的年月日
2. 
3. 此单有第三方监柜，至少多备一套完整的物料用于监柜，请多备料。
4. WM墨西哥防霉的新要求:货物必须在出货主箱和集装箱中按要求放置干燥剂，干燥剂指定品牌干霸
77685GQ2：每箱需放置6小包干燥剂, 每包重2-3g
5. 如走柜货等loading plan 确认后再通知集装箱干燥剂数量
此单会和其他工厂的产品合并出4*40HC，每个HC需要放置20包干燥剂，每包干燥剂1KG</t>
  </si>
  <si>
    <t>4500184604-10</t>
  </si>
  <si>
    <t>12/24 截SI</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</si>
  <si>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大货配比：产品配比按照MA标准配比执行。
GTIN: 77685GQ1-S002:101-93052-07905-0</t>
  </si>
  <si>
    <t>DISTRIBUIDORA LIVERPOOL S.A DE C.V.</t>
  </si>
  <si>
    <t>62050798</t>
  </si>
  <si>
    <t>4500182578-130</t>
  </si>
  <si>
    <t>11/28 UPC贴纸+进口商贴纸+12/1价标贴纸</t>
  </si>
  <si>
    <t>日期码格式：ZURU INC(BVI) 标准格式 日期：按实际生产日期
Packaging Info:77685GQ2:MA 多语 EAN 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</si>
  <si>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ESAL TRADING L.L.C.</t>
  </si>
  <si>
    <t>阿拉伯联合酋长国</t>
  </si>
  <si>
    <t>UAE</t>
  </si>
  <si>
    <t>4500180717-210</t>
  </si>
  <si>
    <t>11/28进口商贴纸</t>
  </si>
  <si>
    <t>日期码格式：ZURU INC(BVI) 标准格式 日期：按实际生产日期
Packaging Info:
77685GQ2: MA 收缩膜+进口商贴纸 (含G Mark, QR code, 阿拉伯警语); 贴纸上的QR code需微信可扫，扫描结果另外通知; 收缩膜上UPC条码为193052079053；MA P
DQ+进口商贴纸; 产品年龄3+；
客人箱唛排版，印4面，条码内容193052079053；
Remark:</t>
  </si>
  <si>
    <t>Nora Pan</t>
  </si>
  <si>
    <t>QAT</t>
  </si>
  <si>
    <t>4500180735-190</t>
  </si>
  <si>
    <t>日期码格式：ZURU INC(BVI) 标准格式 日期：按实际生产日期
Packaging Info: 77685GQ2: MA 收缩膜+进口商贴纸 (含G Mark, QR code, 阿拉伯警语); 贴纸上的QR code需微信可扫，扫描结果另外通知; 收缩膜上UPC条码为193052079053；MA P
DQ+进口商贴纸; 产品年龄3+；
客人箱唛排版，印4面，条码内容193052079053；
Remark:</t>
  </si>
  <si>
    <t>KSA</t>
  </si>
  <si>
    <t>4500180758-400</t>
  </si>
  <si>
    <t>4500185221-60</t>
  </si>
  <si>
    <t>12/19  装柜</t>
  </si>
  <si>
    <t>翻单：4500178603</t>
  </si>
  <si>
    <t>年龄贴（8+）+12/9 防串码</t>
  </si>
  <si>
    <t>日期码格式：ZURU INC(BVI) 标准格式 日期：按实际生产日期
Packaging Info: 物料要求 SKU
6 77685 MA PDQ +外挂中文收藏指南+中文说明书+收缩膜年龄贴（8+） 翻单： 4500178603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</si>
  <si>
    <t>0963642005</t>
  </si>
  <si>
    <t>4500188055-10</t>
  </si>
  <si>
    <t>1/20 BV</t>
  </si>
  <si>
    <t>12/16 RFID</t>
  </si>
  <si>
    <t>CRG</t>
  </si>
  <si>
    <t>哥斯达黎加</t>
  </si>
  <si>
    <t>ZU02-26</t>
  </si>
  <si>
    <t>4500183616-190</t>
  </si>
  <si>
    <t>1/13截SI</t>
  </si>
  <si>
    <t>12/10 进口商贴纸+UPC贴纸</t>
  </si>
  <si>
    <t xml:space="preserve">日期码格式：ZURU INC(BVI) 标准格式 日期：按实际生产日期
Packaging Info: 
其余item：MA 多语EAN包装+进口商贴纸+UPC贴纸+箱唛
Remark: </t>
  </si>
  <si>
    <t>IMPORTADORA SUDAMERICANA &amp;</t>
  </si>
  <si>
    <t>阿根廷</t>
  </si>
  <si>
    <t>4500185782-30</t>
  </si>
  <si>
    <t>77685GQ7-S001</t>
  </si>
  <si>
    <t>混搭恐龙8pcs/GQ7/箱</t>
  </si>
  <si>
    <t>12/15进口商贴纸+UPC贴纸</t>
  </si>
  <si>
    <t>日期码格式：ZURU INC(BVI) 标准格式 日期：按实际生产日期
Packaging Info: 77685GQ7： MA 3L EAN包装+进口商贴纸+UPC贴纸+箱唛,,
Remark: 请确保包装上的条形码是UPC，如果是babyUPC，需要用mother UPC 覆盖，如有不一致，请及时提出。谢谢!</t>
  </si>
  <si>
    <t>4500187528-60</t>
  </si>
  <si>
    <t>日期码格式：ZURU INC(BVI) 标准格式 日期：按实际生产日期
Packaging Info: 
77685SLB-S002, MA最新UPC包装，UPC :193052079053，请先检查条码是否正确再安排做货。
Slip sheet: 77685GQ1-S002 13pcs/PDQ/CTN 20*4H=80CTN/SLB=1040pcs/Slip Sheet;
一共需要2个slip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7151SLB-S002, MA最新UPC包装+WEEE带电池走货30语通用说明书，UPC :193052033482，请先检查条码是否正确再安排做货。
Slip sheet: 7151-S005 3PCS(CTN SIZE: 30.5*20*13CM), (5*7+7)*4H=168CTN=504PCS/SLIP SHEET；一共需要3个slip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77711SLB-S001-INT, MA最新UPC包装，UPC :193052080127，请先检查条码是否正确再安排做货。
Slip sheet: 77711GQ1-S002-INT 13pcs/PDQ/CTN 15*5H=75CTN/SLB=975pcs/Slip Sheet;；一共需要3个slip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</si>
  <si>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4500187691-30</t>
  </si>
  <si>
    <t>翻单185782</t>
  </si>
  <si>
    <t>日期码格式：ZURU INC(BVI) 标准格式 日期：按实际生产日期
Packaging Info:  77685GQ7： MA 3L EAN包装+进口商贴纸+UPC贴纸+箱唛
Remark: 请确保包装上的条形码是UPC，如果是babyUPC，需要用mother UPC 覆盖，如有不一致，请及时提出。谢谢!</t>
  </si>
  <si>
    <t>T.J.MORRIS LTD</t>
  </si>
  <si>
    <t>4500188811-10</t>
  </si>
  <si>
    <t>日期码格式：ZURU INC(BVI) 标准格式 日期：按实际生产日期
Packaging Info: 1L MA UPC 包装; MA说明书/指南; MA PDQ
Remark: 1.产品及包装需要印UKCA图标，包装需要有ZURU UK LTD/ZURU France地址信息，QC同事请核查，如有问题与跟单确认。
2. 需要符合欧洲标准不能含有闪粉和微塑料，否则不和法规会有客诉产生</t>
  </si>
  <si>
    <t>MINISO DEPOT CA INC.</t>
  </si>
  <si>
    <t>4500188208-10</t>
  </si>
  <si>
    <t>12/18UPC 条码贴纸</t>
  </si>
  <si>
    <t>日期码格式：ZURU INC(BVI) 标准格式 日期：按实际生产日期
Packaging Info: 1. 包装方式：MA UPC优先1L最新包装，出口美国；
2. 产品和包装上印刷tracking code信息，格式为ZURU常规；
3. ZURU QC 验货合格后即可出货.
Remark: 4. 77685GQ1-S002 PDQ上需要贴一张UPC 条码贴纸,UPC显示：193052079053，贴纸AW跟单提供，工厂自行采购；</t>
  </si>
  <si>
    <t>Iris Yuan</t>
  </si>
  <si>
    <t>4500187984-10</t>
  </si>
  <si>
    <t>4500187084-10</t>
  </si>
  <si>
    <t>日期码格式：LOTDGYYYYMMDD 日期：按实际生产日期
Packaging Info: 1. 77685GQ2 :3L EAN收缩膜+ UPC贴纸+ 3LPDQ+MA多语收藏指南+MA多语说明书+进口商贴纸+箱唛，进口商贴纸分别贴在球和说明书上，贴纸翻单PO4500167348
Remark: 1：客版日期码要求：LOT+ZURU标准日期码格式。东莞生产的格式：LOTDGYYYYMMDD, DG是东莞拼音首字母，YYYYMMDD是实际的年月日
3. 此单有第三方监柜，至少多备一套完整的物料用于监柜，请多备料。
4. WM墨西哥防霉的新要求:货物必须在出货主箱和集装箱中按要求放置干燥剂，干燥剂指定品牌干霸
77685GQ2：每箱需放置6小包干燥剂, 每包重2-3g
5. 如走柜货等loading plan 确认后再通知集装箱干燥剂数量</t>
  </si>
  <si>
    <t>4500188248-100</t>
  </si>
  <si>
    <t>1/6UPC贴纸</t>
  </si>
  <si>
    <r>
      <rPr>
        <sz val="10"/>
        <rFont val="宋体"/>
        <charset val="134"/>
      </rPr>
      <t xml:space="preserve">日期码格式：ZURU INC(BVI) 标准格式 日期：按实际生产日期
Packaging Info: 请确保包装上的条形码是UPC，如果是babyUPC，需要用mother UPC覆盖，如有不一致，请及时提出。谢谢!
</t>
    </r>
    <r>
      <rPr>
        <sz val="10"/>
        <color rgb="FFFF0000"/>
        <rFont val="宋体"/>
        <charset val="134"/>
      </rPr>
      <t>77685GQ2,,MA 多语EAN包装+UPC贴纸+MA B版本说明书+MA PDQ 包装+箱唛,,</t>
    </r>
    <r>
      <rPr>
        <sz val="10"/>
        <rFont val="宋体"/>
        <charset val="134"/>
      </rPr>
      <t xml:space="preserve">
Remark：</t>
    </r>
  </si>
  <si>
    <t>4500189691-70</t>
  </si>
  <si>
    <t>日期码格式：ZURU INC(BVI) 标准格式 日期：按实际生产日期
Packaging Info: 请确保包装上的条形码是UPC，如果是babyUPC，需要用mother UPC覆盖，如有不一致，请及时提出。谢谢!
77685GQ2,,MA 多语EAN包装+UPC贴纸+MA B版本说明书+MA PDQ 包装+箱唛,,
Remark:
Common: Equal ratio,,</t>
  </si>
  <si>
    <t>AMAZON CA (VENDOR CENTER)</t>
  </si>
  <si>
    <t>3MIKTQSU</t>
  </si>
  <si>
    <t>4500190061-330</t>
  </si>
  <si>
    <t>12/30空白UPC贴纸</t>
  </si>
  <si>
    <t>日期码格式：ZURU INC(BVI) 标准格式 日期：按实际生产日期
Packaging Info: 出口加拿大，包装需要至少2/3L UPC版，无硼版本。
#77723：2PK STD 77685 PVC Tube. MA 3L EAN版本+空白UPC贴纸，3L 铜版纸跟翻单#4500157378,空白贴纸跟单提供。收藏指南，说明书均为MA 5L标版。（两个球
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</si>
  <si>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t>
  </si>
  <si>
    <t>JSC 􀂫GRAND-TRADE􀂻</t>
  </si>
  <si>
    <t>PGT-720385</t>
  </si>
  <si>
    <t>4500189587-10</t>
  </si>
  <si>
    <t>欠进口商贴纸+QR code贴纸+外箱贴纸</t>
  </si>
  <si>
    <r>
      <rPr>
        <sz val="10"/>
        <rFont val="宋体"/>
        <charset val="134"/>
      </rPr>
      <t>日期码格式：ZURU INC(BVI) 标准格式 日期：按实际生产日期
Packaging Info: 77685GQ1:MA收缩膜+进口商贴纸+QR code贴纸;MA PDQ
外箱侧面右上</t>
    </r>
    <r>
      <rPr>
        <sz val="10"/>
        <color rgb="FFFF0000"/>
        <rFont val="宋体"/>
        <charset val="134"/>
      </rPr>
      <t>角各1张箱唛；</t>
    </r>
    <r>
      <rPr>
        <sz val="10"/>
        <rFont val="宋体"/>
        <charset val="134"/>
      </rPr>
      <t xml:space="preserve">
有监柜验货；
需要打印序号1-5的二维码拍照给客户确认后再批量打印；</t>
    </r>
    <r>
      <rPr>
        <sz val="10"/>
        <color rgb="FFFF0000"/>
        <rFont val="宋体"/>
        <charset val="134"/>
      </rPr>
      <t>做大货时也提供几张二维码贴产品上的照片</t>
    </r>
    <r>
      <rPr>
        <sz val="10"/>
        <rFont val="宋体"/>
        <charset val="134"/>
      </rPr>
      <t xml:space="preserve">
QRcode要求：贴纸上客户PO号及序号一起打印。尺寸（客户建议18*18mm非强制）根据产品调整，最小接受10*10mm,要清晰可扫描，2年不褪色。
Remark:</t>
    </r>
  </si>
  <si>
    <t xml:space="preserve"> </t>
  </si>
  <si>
    <t>合计</t>
  </si>
  <si>
    <t>总金额</t>
  </si>
  <si>
    <t>生产报数</t>
  </si>
  <si>
    <t xml:space="preserve">                                                                                                                                                                                                                                                                                                                                                                                                                                                                                                                                                                                                                                                                                                                                                                                                                                                                                                                                                                                                                                                                                                                                                                                                                                                                                                                                                                                                                                                                                                                                                                                                                                                                                                                                                                                                                                                                                                                                                                                                                                                                    </t>
  </si>
  <si>
    <t>日期</t>
  </si>
  <si>
    <t>额外说明书/保证书</t>
  </si>
  <si>
    <t>logo英法语彩纸/贴纸  157378</t>
  </si>
  <si>
    <t>1/15 截SI</t>
  </si>
  <si>
    <t>A97534-1.14</t>
  </si>
  <si>
    <t>A97533-1.14</t>
  </si>
  <si>
    <t>1/12 截SI</t>
  </si>
  <si>
    <t>A97503-1.12</t>
  </si>
  <si>
    <t>2/24 ETD</t>
  </si>
  <si>
    <t>1/26 截SI</t>
  </si>
  <si>
    <t>2/3 截SI</t>
  </si>
  <si>
    <t>1/21 截SI</t>
  </si>
  <si>
    <t>2/2 截SI</t>
  </si>
  <si>
    <t>1/23 截SI</t>
  </si>
  <si>
    <t>2/6 截SI</t>
  </si>
  <si>
    <t>2/5 截SI</t>
  </si>
  <si>
    <t>日期码格式：ZURU INC(BVI) 标准格式 日期：按实际生产日期
Packaging Info: 请确保包装上的条形码是UPC，如果是babyUPC，需要用mother UPC覆盖，如有不一致，请及时提出。谢谢!
77685GQ2,,MA 多语EAN包装+UPC贴纸+MA B版本说明书+MA PDQ 包装+箱唛,,
Remark：</t>
  </si>
  <si>
    <t>3/2 截SI</t>
  </si>
  <si>
    <t>4500191213-70</t>
  </si>
  <si>
    <t>3/9 截SI</t>
  </si>
  <si>
    <t>日期码格式：ZURU INC(BVI) 标准格式 日期：按实际生产日期
Packaging Info: 1. ZURU 标准日期码格式，
2. 无第三方测试和验货，ZURU 内部QC验货即可出货
Remark: 3. 优先 MA 1L UPC包装;
4. 纸箱印ZURU LOGO，出口美国；</t>
  </si>
  <si>
    <t>有监柜</t>
  </si>
  <si>
    <t>3/18截SI</t>
  </si>
  <si>
    <t>1/13进口商贴纸+外箱贴纸+EAN条码+1/19 QR code贴纸</t>
  </si>
  <si>
    <t>日期码格式：ZURU INC(BVI) 标准格式 日期：按实际生产日期
Packaging Info: 77685GQ1:MA收缩膜+进口商贴纸+EAN条码+QR code贴纸;MA PDQ+1张空白帖覆盖recycle字样；MA指南+1张空白帖覆盖recycle字样
外箱侧面右上角各1张箱唛；
有监柜验货；
需要打印序号1-5的二维码拍照给客户确认后再批量打印；做大货时也提供几张二维码贴产品上的照片
QRcode要求：贴纸上客户PO号及序号一起打印。尺寸（客户建议18*18mm非强制）根据产品调整，最小接受10*10mm,要清晰可扫描，2年不褪色。
需提供application report追中QR code到箱/柜
Remark:</t>
  </si>
  <si>
    <t>LEGAJO 4610</t>
  </si>
  <si>
    <t>4/29 截SI</t>
  </si>
  <si>
    <t>4500193766-80</t>
  </si>
  <si>
    <t>4/2 装柜</t>
  </si>
  <si>
    <t>3/9价格贴纸+空白贴纸</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</si>
  <si>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item#77723: Marshalls PO#272592,SKU#913011 DC#881-216PCS, DC#884-156PCS, DC#886-228PCS, DC#887-192PCS, DC#888-204PCS</t>
  </si>
  <si>
    <t>4500193767-80</t>
  </si>
  <si>
    <t>4/1装柜</t>
  </si>
  <si>
    <t>4500193770-40</t>
  </si>
  <si>
    <t>4/16 装柜</t>
  </si>
  <si>
    <t>4500193771-40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</si>
  <si>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item#77723: TJ MAXX PO#272596,SKU#192376 DC#891-252PCS, DC#894-204PCS, DC#896-168PCS, DC#897-336PCS, DC#898-240PCS</t>
  </si>
  <si>
    <t>4500193874-10</t>
  </si>
  <si>
    <t>4/13-17 截仓</t>
  </si>
  <si>
    <t>德意警告语贴纸(翻单:4500185407)</t>
  </si>
  <si>
    <t>已出 样板</t>
  </si>
  <si>
    <t>日期码格式：ZURU INC(BVI) 标准格式 日期：按实际生产日期
Packaging Info: 77685-S001: MA 3L EAN包装+德意警告语贴纸(翻单:4500185407)+MA B版 5L+23L警语收藏指南+MA B版5L Slime 袋+MA B版 多语说明书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</si>
  <si>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B&amp;M FRANCE SAS</t>
  </si>
  <si>
    <t>4500191695-10</t>
  </si>
  <si>
    <t>1/26客户货号贴纸</t>
  </si>
  <si>
    <t>日期码格式：ZURU INC(BVI) 标准格式 日期：按实际生产日期
Packaging Info: MA3L EAN最新版收缩膜+1张客户货号贴纸(含法国回收标)+MA 23L最新版说明书+MA 3L最新版PDQ
Remark: 1. 此票无需第三方验货，通过ZURU OQC验货即可；
2. 请多备料一套大货样；
3. 此票出法国，包装需含有法国回收logo，产品符合EU标准；
4. 此票全部用EAN条码
5. 所有出口法国的产品, 法规规定禁止在包装和公众用的印刷品中使用矿物油中含有的物质, 包装印刷油墨中含有的MOAH/MOSH的质量浓度不能超过1%, 否则出货
到法国被抽检出现问题, 供应商需要对此负责;</t>
  </si>
  <si>
    <t>SIMBA TOYS VN</t>
  </si>
  <si>
    <t>越南</t>
  </si>
  <si>
    <t>4500195981-10</t>
  </si>
  <si>
    <t>3/30进口商贴纸</t>
  </si>
  <si>
    <t xml:space="preserve">日期码格式：ZURU INC(BVI) 标准格式 日期：按实际生产日期
Packaging Info: MA EAN 3L收缩膜 +1L PDQ,其他包材配件使用1L+1张进口商贴纸,待提供贴纸资料
Remark: </t>
  </si>
  <si>
    <t>4500195559-20</t>
  </si>
  <si>
    <t>5/8 截SI</t>
  </si>
  <si>
    <t>3/18 价格贴纸+空白贴纸</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</si>
  <si>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item#77723: Marshalls PO#332427,SKU#918882 DC#881-324PCS, DC#884-168PCS, DC#886-300PCS, DC#887-144PCS, DC#888-60PCS</t>
  </si>
  <si>
    <t>4500195560-20</t>
  </si>
  <si>
    <t>5/7 截SI</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</si>
  <si>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item#77723: TJ MAXX PO#332429,SKU#197992 DC#891-252PCS, DC#894-204PCS, DC#896-180PCS, DC#897-372PCS, DC#898-192PCS</t>
  </si>
  <si>
    <t>5167</t>
  </si>
  <si>
    <t>4500196264-50</t>
  </si>
  <si>
    <t>日期码格式：ZURU INC(BVI) 标准格式 日期：按实际生产日期 Tracking Code:
Packaging Info: 1. 出口美国，MA UPC 版本包装，优先1L。
 6. 77685GQ2 UPC#193052079053. MA 3L 收缩 膜 + UPC贴纸 + MA 3L PDQ。
Remark: 8. ZURU QC 验货即可。</t>
  </si>
  <si>
    <t>PLANET OF TOYS LTD</t>
  </si>
  <si>
    <t>吉尔吉吉斯坦</t>
  </si>
  <si>
    <t>4500198237-50</t>
  </si>
  <si>
    <t>待SO 出货</t>
  </si>
  <si>
    <t>3/25通用贴纸</t>
  </si>
  <si>
    <t>日期码格式：ZURU INC(BVI) 标准格式 日期：按实际生产日期
Packaging Info: 1L MA UPC 包装 + 通用贴纸 ， MA 说明书/指南/PDQ （如有）；
Remark: 标准配比；</t>
  </si>
  <si>
    <t>SIGNATURE MARKETING N.Z LIMITED</t>
  </si>
  <si>
    <t>SMNZZU2602</t>
  </si>
  <si>
    <t>4500196294-10</t>
  </si>
  <si>
    <t>5/18 截SO</t>
  </si>
  <si>
    <t>日期码格式：ZURU INC(BVI) 标准格式 日期：按实际生产日期
Packaging Info: 􏁬 MA UPC 英语包装（优先1L英语版本，或者3L/5L含英语都可）
Remark: Rare ratio:1/48</t>
  </si>
  <si>
    <t>Ivy Li</t>
  </si>
  <si>
    <t>SARL SOREDIM</t>
  </si>
  <si>
    <t>2026-027</t>
  </si>
  <si>
    <t>4500198533-10</t>
  </si>
  <si>
    <t>4/13 sorting logo贴纸</t>
  </si>
  <si>
    <t>日期码格式：ZURU INC(BVI) 标准格式 日期：按实际生产日期
Packaging Info: 77685GQ1：MA3L EAN收缩膜+1张法国sorting logo贴纸+MA B版收藏指南+MA3L PDQ
77711GQ1：MA3L EAN收缩膜+1张法国sorting logo贴纸+MA5L收藏指南/说明书+MA23L说明书+MA3L PDQ
9565GQ1：MA3L EAN收缩膜+MA6L收藏指南+WEEE 29L C版说明书_不带电池走货版本+MA3LPDQ
Remark: 1. 此票无需第三方验货，通过ZURU OQC验货即可；
2. 此票出法国，包装需含有两个法国回收logo，产品符合EU标准；
3. 此票全部用EAN条码, assortment产品需用mother EAN条码</t>
  </si>
  <si>
    <t>130350</t>
  </si>
  <si>
    <t>4500200298-20</t>
  </si>
  <si>
    <t>5/28 截IS</t>
  </si>
  <si>
    <t>4/20 价格贴纸+空白贴纸</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</si>
  <si>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分3-4个DC出货，每款产品每个DC的箱唛资料不同，具体DC数量如下：
item#9298: Marshalls PO#130350,SKU#925696 DC#881-336PCS, DC#884-918PCS, DC#886-384PCS, DC#888-564PCS
item#77723: Marshalls PO#130350,SKU#925714 DC#884-420PCS, DC#886-96PCS, DC#887-180PCS, DC#888-300PCS
item#92104: Marshalls PO#130350,SKU#925744 DC#884-336PCS, DC#886-120PCS, DC#888-336PCS
item#71137: Marshalls PO#130350,SKU#925749 DC#881-264PCS, DC#884-192PCS, DC#886-300PCS, DC#888-240PCS</t>
  </si>
  <si>
    <t>Emily  Wu</t>
  </si>
  <si>
    <t>130361</t>
  </si>
  <si>
    <t>4500200299-20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</si>
  <si>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item#9298: TJ MAXX PO#130361,SKU#205447 DC#891-540PCS, DC#894-330PCS, DC#896-366PCS, DC#897-756PCS, DC#898-408PCS
item#77723: TJ MAXX PO#130361,SKU#205457 DC#891-276PCS, DC#894-168PCS, DC#896-180PCS, DC#897-372PCS, DC#898-204PCS
item#92104: TJ MAXX PO#130361,SKU#205488 DC#891-240PCS, DC#894-168PCS, DC#896-120PCS, DC#897-288PCS, DC#898-192PCS
item#71137: TJ MAXX PO#130361,SKU#205490 DC#891-240PCS, DC#894-120PCS, DC#896-252PCS, DC#897-408PCS, DC#898-180PCS</t>
  </si>
  <si>
    <t>4500202421-10</t>
  </si>
  <si>
    <t>6/1 截SI</t>
  </si>
  <si>
    <t>PDQ upc贴纸翻单4500179796</t>
  </si>
  <si>
    <t>日期码格式：ZURU INC(BVI) 标准格式                  日期：按实际生产日期
Packaging Info: 1. 包材：ZURU MA 最新1L UPC版本；出口美国
#77685GQ2-S001: ZURU MA 最新1L UPC版本 + PDQ 上加贴 upc# 193052079053 贴纸（位于PDQ背面左下角）,贴纸资料翻单4500179796，但如版本有更新需要跟跟单
确认是否需要重新做贴纸
Remark: 2. 日期跟踪码：产品包装及产品本身都必须有日期跟踪码；ZURU标准格式日期码(请自行调整具体年月日生产期，但不能为周末）。
3. 出货配比: Zuru 标版配比。</t>
  </si>
  <si>
    <t>4500202421-20</t>
  </si>
  <si>
    <t>ANSALDO CHILE</t>
  </si>
  <si>
    <t>4500199289</t>
  </si>
  <si>
    <t>JCL5300628851</t>
  </si>
  <si>
    <t>4500199289-50</t>
  </si>
  <si>
    <t>5/1 价格贴纸+UPC贴纸</t>
  </si>
  <si>
    <t>日期码格式：ZURU INC(BVI) 标准格式 日期：按实际生产日期
Packaging Info: MA 多语包装价格贴纸+UPC贴纸+箱唛
Remark:</t>
  </si>
  <si>
    <t>4500200490</t>
  </si>
  <si>
    <t/>
  </si>
  <si>
    <t>4500200490-70</t>
  </si>
  <si>
    <t>使用1L收缩膜+【3L GQ2】</t>
  </si>
  <si>
    <t>日期码格式：ZURU INC(BVI) 标准格式 日期：按实际生产日期
Packaging Info: 77685GQ2：MA UPC PKG(3L，GQ2)
其余：MA UPC PKG(优先1L)
Remark: 请留意箱唛顶部色带高度要求40mm, 色带上方需留空10mm高.
箱唛色带的数字代表生产年份"2026"
出南非市场，需符合当地法规</t>
  </si>
  <si>
    <t>4500203493</t>
  </si>
  <si>
    <t>0223553</t>
  </si>
  <si>
    <t>4500203493-10</t>
  </si>
  <si>
    <t>6/8 截SI</t>
  </si>
  <si>
    <t>4500191728-10</t>
  </si>
  <si>
    <t>日期码格式：ZURU INC(BVI) 标准格式 日期：按实际生产日期
Packaging Info: MA3L EAN最新版收缩膜+1张客户货号贴纸(含法国回收标)+MA 23L最新版说明书+MA 3L最新版PDQ
Remark: 1. 此票无需第三方验货，通过ZURU OQC验货即可；
2. 请多备料一套大货样；
3. 此票出法国，包装需含有法国回收logo，产品符合EU标准；
4. 此票全部用EAN条码
5. 所有出口法国的产品, 法规规定禁止在包装和公众用的印刷品中使用矿物油中含有的物质, 包装印刷油墨中含有的MOAH/MOSH的质量浓度不能超过1%, 否则出货
到法国被抽检出现问题, 供应商需要对此负责</t>
  </si>
  <si>
    <t>0223554</t>
  </si>
  <si>
    <t>4500203493-20</t>
  </si>
  <si>
    <t>6/15 截SI</t>
  </si>
  <si>
    <t>4500205316</t>
  </si>
  <si>
    <t>600-25789</t>
  </si>
  <si>
    <t>4500205316-10</t>
  </si>
  <si>
    <t>日期码格式：ZURU INC(BVI) 标准格式                  日期：按实际生产日期
Packaging Info: 1、包装方式:
其他Item：MA UPC优先1L最新版，出口美国
Remark: 2、无测试无验货要求
 3、纸箱4面印ZURU LOGO + 箱唛
 4、日期码请按ZURU标准版执行即可
 5、ZURU QC验货</t>
  </si>
  <si>
    <t>0223555</t>
  </si>
  <si>
    <t>4500203493-30</t>
  </si>
  <si>
    <t>6/21 截SI</t>
  </si>
  <si>
    <t>4500206200</t>
  </si>
  <si>
    <t>500-15550</t>
  </si>
  <si>
    <t>4500206200-30</t>
  </si>
  <si>
    <t>7/10 截SI</t>
  </si>
  <si>
    <t>日期码格式：ZURU INC(BVI) 标准格式                  日期：按实际生产日期
Packaging Info: 1、包装方式: MA UPC优先1L最新版，出口美国
Remark: 2、无测试无验货要求
 3、纸箱4面印ZURU LOGO + 箱唛
 4、日期码请按ZURU标准版执行即可
 5、ZURU QC验货</t>
  </si>
  <si>
    <t>4500206178</t>
  </si>
  <si>
    <t>FB14550</t>
  </si>
  <si>
    <t>4500206178-20</t>
  </si>
  <si>
    <t>日期码格式：ZURU INC(BVI) 标准格式                  日期：按实际生产日期
Packaging Info:
77685GQ1:MA 1L UPC配套包装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</si>
  <si>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4500207776</t>
  </si>
  <si>
    <t>600-27109</t>
  </si>
  <si>
    <t>4500207776-20</t>
  </si>
  <si>
    <t>WALMART CENTRAL AMERICA</t>
  </si>
  <si>
    <t>萨尔瓦多</t>
  </si>
  <si>
    <t>4500209692-10</t>
  </si>
  <si>
    <t>4500206746拆单，总数不变</t>
  </si>
  <si>
    <t>进口商贴纸+UPC贴纸翻单4500205421</t>
  </si>
  <si>
    <r>
      <rPr>
        <sz val="10"/>
        <color rgb="FF1506E0"/>
        <rFont val="宋体"/>
        <charset val="134"/>
      </rPr>
      <t>日期码格式</t>
    </r>
    <r>
      <rPr>
        <sz val="10"/>
        <color rgb="FF1506E0"/>
        <rFont val="汉仪书宋二KW"/>
        <charset val="134"/>
      </rPr>
      <t>：</t>
    </r>
    <r>
      <rPr>
        <sz val="10"/>
        <color rgb="FF1506E0"/>
        <rFont val="等线"/>
        <charset val="134"/>
      </rPr>
      <t>ZURU INC(BVI) 标准格式                  日期</t>
    </r>
    <r>
      <rPr>
        <sz val="10"/>
        <color rgb="FF1506E0"/>
        <rFont val="汉仪书宋二KW"/>
        <charset val="134"/>
      </rPr>
      <t>：</t>
    </r>
    <r>
      <rPr>
        <sz val="10"/>
        <color rgb="FF1506E0"/>
        <rFont val="等线"/>
        <charset val="134"/>
      </rPr>
      <t>按实际生产日期
Packaging Info: 77685GQ2</t>
    </r>
    <r>
      <rPr>
        <sz val="10"/>
        <color rgb="FF1506E0"/>
        <rFont val="汉仪书宋二KW"/>
        <charset val="134"/>
      </rPr>
      <t>：</t>
    </r>
    <r>
      <rPr>
        <sz val="10"/>
        <color rgb="FF1506E0"/>
        <rFont val="等线"/>
        <charset val="134"/>
      </rPr>
      <t>MA 3L EAN 包装(+ UPC 条码贴纸)+MA 3L PDQ包装+客户进口商贴纸+箱唛
所有贴纸翻单P04500205421
Remark: 1.请注意产品包装条形码必须是UPC
2.无第三方验货</t>
    </r>
  </si>
  <si>
    <t>WALMART CENTRAL AMERICA-GT</t>
  </si>
  <si>
    <t>危地马拉</t>
  </si>
  <si>
    <t>4500205421</t>
  </si>
  <si>
    <t>4500205421-10</t>
  </si>
  <si>
    <t>6/8进口商贴纸+UPC贴纸</t>
  </si>
  <si>
    <t>日期码格式：ZURU INC(BVI) 标准格式                  日期：按实际生产日期
Packaging Info: 77685GQ2：MA 3L EAN 包装(+ UPC 条码贴纸)+MA 3L PDQ包装+客户进口商贴纸+箱唛
Remark: 1.请注意产品包装条形码必须是UPC
2.无第三方验货</t>
  </si>
  <si>
    <t>4500206746</t>
  </si>
  <si>
    <t>4500206746-10</t>
  </si>
  <si>
    <t>拆一半数量给4500209692，总数不变</t>
  </si>
  <si>
    <t>日期码格式：ZURU INC(BVI) 标准格式                  日期：按实际生产日期
Packaging Info: 77685GQ2：MA 3L EAN 包装(+ UPC 条码贴纸)+MA 3L PDQ包装+客户进口商贴纸+箱唛
所有贴纸翻单P04500205421
Remark: 1.请注意产品包装条形码必须是UPC
2.无第三方验货</t>
  </si>
  <si>
    <t>WALMART CENTRAL AMERICA-CR</t>
  </si>
  <si>
    <t>4500206748</t>
  </si>
  <si>
    <t>4500206748-10</t>
  </si>
  <si>
    <t>4500203225</t>
  </si>
  <si>
    <t>4500203225-40</t>
  </si>
  <si>
    <t>6/1 UPC贴纸</t>
  </si>
  <si>
    <t>日期码格式：ZURU INC(BVI) 标准格式                  日期：按实际生产日期
Packaging Info: 1.优先多语 MA UPC或者3L/5L MA EAN 包装
2.请确保包装上的条形码是UPC，如果是babyUPC、需要用mother UPC覆盖，如有不一致，请及时提出。谢谢!
77685GQ2 MA 多语UPC 包装+MA 多语PDQ+MA 多语收藏指南+箱唛
Remark: 77794UQ1 RECHARGEABLE LITHIUM BATTERY(INCLUDED)
71172 3PCS AA BATTERIES(INCLUDED)
77773GQ2 3PCS AG13 BATTERIES(INCLUDED) "Rare: 1/48
Common: Equal ratio"
77843GQ2 SUSHI and RAINBOW CAKE(Rare) without batteries, other assortments: 3PCS AG13 BATTERIES(INCLUDED) Ratio: PIZZA: HAMBURGER: PANCAKES: BUB
BLE TEA:  Matcha TEA: TACO: SUSHI: DONUT: Charcuterie Board: RAINBOW CAKE(Rare)=10.88%: 10.88%: 10.88%: 10.88%: 10.88%: 10.88%: 10.88%: 10.88%:
  10.88%: 2.08%=68:68:68:68:68:68:68:68:68:13
77782GQ1
77673 3PCS AG13 BATTERIES(INCLUDED) Fixed Collection
77858 3PCS AA BATTERIES(NOT INCLUDED)
MEC426 77794: RECHARGEABLE LITHIUM BATTERY(INCLUDED) 77772: 4  mini vinyls,1 accessory
 77772 N/A but with electric circuit(EU/UK WEEE IM is required) 4  mini vinyls,1 accessory
 77794 RECHARGEABLE LITHIUM BATTERY(INCLUDED)
9543GQ1 "2PCS AAA BATTERIES(NOT INCLUDED)
" BULE/PURPLE/PINK/ORANGE =5:6:6:5;
9565GQ1 "2PCS AAA BATTERIES（NOT INCLUDED）
" "4 assortment, Orange:blue:pink:brown=5:5:6:6
"
9574 3PCS AAA BATTERIES(NOT INCLUDED) 2pcs baby capybara: 3pcs baby capybara= 5:1
9561 3PCS LR44 BATTERIES(INCLUDED)
9548 3PCS AAA BATTERIES(NOT INCLUDED) 1 assorment
9298TQ1  7 assortment (6 common + 1 rare)=CORGI(Rare):SHEPHERD:POODLE:DALMATIAN:SCHNAUZER:BROWN DALNATIAN:HOUND DOG=2:8:10:10:10:10:10;
92129TQ1  7  assortments, Ratio: Elephant: Toucan: Zebra: Sloth: Giraffe: Tiger: Peacock=10: 10: 10: 10: 10: 8: 2
 92146  Cat:Raccoon:Deer:Tiger:Pigeon:Owl=1:1:1:1:1:1
 9296  COW:MONKEY:PANDA:ZEBRA:AXOLOTL;CHIKEN:=1:1:1:1:1:1;
92119  7 Assortment, Polar bear: Penguin: Walrus: Mammoth: Owl: Seal: Snow man=10:10:10:10:10:8:2. Snow man is the rare item.
92125  6 Assortments,siamese cat:pink-white cat:purple cat:black cat:brown-white cat:orange cat=1:1:1:1:1:1, no rare.
92147  Black Cat:Owl:Axolotl:Unicorn:Bat:Bunny=1:1:1:1:1:1
92106  92106A RHINO:92106D KOALA:92106B ELEPHANT=1:1:1
92104TQ1  MUNCHKIN(RARE): HIMALAYAN: PERSIAN: MAINE COON: RAGDOLL: RAGAMUFFIN: NORWEGIAN FOREST CAT = 2: 8: 10: 10: 10: 10: 10</t>
  </si>
  <si>
    <t>4500205002</t>
  </si>
  <si>
    <t>3301470309</t>
  </si>
  <si>
    <t>4500205002-10</t>
  </si>
  <si>
    <t>有第三方监柜，至少多备一套完整的物料用于监柜</t>
  </si>
  <si>
    <t>7/21 截SI</t>
  </si>
  <si>
    <t>UPC条码贴纸+进口商贴纸翻单4500167348</t>
  </si>
  <si>
    <t>客版日期码要求：LOT+ZURU标准日期码格式</t>
  </si>
  <si>
    <t>日期码格式：LOTDGYYYYMMDD                  日期：按实际生产日期
Packaging Info: 1. 77685GQ2: MA3L EAN收缩膜+UPC条码贴纸+进口商贴纸+MA 多语收藏指南+MA 3L PDQ+箱唛
Remark: 1.  客版日期码要求：LOT+ZURU标准日期码格式。东莞生产的格式：LOTDGYYYYMMDD, DG是东莞拼音首字母，
 YYYYMMDD是实际的年月日，例如(LOTDG20240920)
 2. 92119：7 Assortment, Polar bear: Penguin: Walrus: Mammoth: Owl: Seal: Snow man=10:10:10:10:10:8:2. Snow man is the rare item.
 92129：7 assortments, Ratio: Elephant: Toucan: Zebra: Sloth: Giraffe: Tiger: Peacock=10: 10: 10: 10: 10: 8: 2
 92146：Cat:Raccoon:Deer:Tiger:Pigeon:Owl=1:1:1:1:1:1
 3. 此单有第三方监柜，至少多备一套完整的物料用于监柜，请多备料。
 4. WM墨西哥防霉的新要求:货物必须在出货主箱和集装箱中按要求放置干燥剂，干燥剂指定品牌干霸
 77685GQ2/15783UQ1/92129：  需要在每箱放入4小包干燥剂，每包干燥剂重量2g
 15756SK/15789UQ1/15749/15750/15752/15788/15787/15754/15755/92119：需要在每箱放入6小包干燥剂，每包干燥剂重量2g
 92146: 需要在每箱放入14小包干燥剂，每包干燥剂重量2g
如走柜货等loading plan 确认后再通知集装箱干燥剂数量</t>
  </si>
  <si>
    <t>4500206381</t>
  </si>
  <si>
    <t>7A2MUFXO</t>
  </si>
  <si>
    <t>4500206381-10</t>
  </si>
  <si>
    <t>6/24 SSCC LABEL（客供贴纸)+空白贴纸翻单#4500190061</t>
  </si>
  <si>
    <t>日期码格式：ZURU INC(BVI) 标准格式                  日期：按实际生产日期
Packaging Info: #77723：2PK STD 77685 PVC Tube. MA 3L EAN版本+空白UPC贴纸，3L 铜版纸跟翻单#4500157378,空白贴纸翻单#4500190061。收藏指南，说明书均为MA 5L标版。(
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</si>
  <si>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315HEAMH</t>
  </si>
  <si>
    <t>4500206381-20</t>
  </si>
  <si>
    <t>6B79NAXQ</t>
  </si>
  <si>
    <t>4500206381-30</t>
  </si>
  <si>
    <t>6QB4LY9J</t>
  </si>
  <si>
    <t>4500206381-40</t>
  </si>
  <si>
    <t>5A6E9EKP</t>
  </si>
  <si>
    <t>4500206381-50</t>
  </si>
  <si>
    <t>7TXRVRMU</t>
  </si>
  <si>
    <t>4500206381-60</t>
  </si>
  <si>
    <t>TOYZOONA LIMITED</t>
  </si>
  <si>
    <t>肯尼亚</t>
  </si>
  <si>
    <t>4500211355</t>
  </si>
  <si>
    <t>4500211355-10</t>
  </si>
  <si>
    <t>7/17交仓</t>
  </si>
  <si>
    <t>日期码格式：ZURU INC(BVI) 标准格式                  日期：按实际生产日期
Packaging Info: 77685SK：3L 展架（带底座）  1L 收缩膜，  MA 收藏指南，MA 说明书
Remark：</t>
  </si>
  <si>
    <t>Chelsea Luo</t>
  </si>
  <si>
    <t>ARCHIBRAND, S.A. DE C.V.</t>
  </si>
  <si>
    <t>4500212375-10</t>
  </si>
  <si>
    <t>7/26 出货</t>
  </si>
  <si>
    <t>6/26UPC条码贴纸+进口商贴纸</t>
  </si>
  <si>
    <t xml:space="preserve">日期码格式：ZURU INC(BVI) 标准格式                  日期：按实际生产日期
Packaging Info: 77685GQ2：MA 3L PDQ 包装+MA 3L EAN包装+UPC贴纸+进口商贴纸+箱唛
</t>
  </si>
  <si>
    <t>4500202901</t>
  </si>
  <si>
    <t>4500202901-80</t>
  </si>
  <si>
    <t>有第三方监柜</t>
  </si>
  <si>
    <t>8/2 截SI</t>
  </si>
  <si>
    <t>6/22价标贴纸+进口商贴纸+UPC贴纸翻单4500177857</t>
  </si>
  <si>
    <t>日期码格式：ZURU INC(BVI) 标准格式 日期：按实际生产日期
Packaging Info: 
77685GQ2： MA 多语包装+进口商贴纸+价格标，进口商贴纸翻单4500177857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</si>
  <si>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r>
      <rPr>
        <sz val="10"/>
        <color rgb="FF1506E0"/>
        <rFont val="宋体"/>
        <charset val="134"/>
      </rPr>
      <t>AMAZON</t>
    </r>
    <r>
      <rPr>
        <sz val="12"/>
        <color rgb="FF1506E0"/>
        <rFont val="宋体"/>
        <charset val="134"/>
        <scheme val="minor"/>
      </rPr>
      <t xml:space="preserve">  CA  (VENDOR  CENTER)</t>
    </r>
  </si>
  <si>
    <t>4500208715</t>
  </si>
  <si>
    <t>6RTNXO7H</t>
  </si>
  <si>
    <t>4500208715-300</t>
  </si>
  <si>
    <t>7/10 SSCC LABEL（客供贴纸)+空白贴纸翻单#4500190061</t>
  </si>
  <si>
    <t>日期码格式：     标准格式                                    日期：按实际生产日期
Packaging Info: 
#77723：2PK  STD  77685  PVC  Tube.  MA  3L  EAN版本+空白UPC贴纸，3L  铜版纸跟翻单#4500157378,空白贴纸翻单#4500190061。收藏指南，说明书均为MA  5L标版。(
两个球的配比不能重复）。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</si>
  <si>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r>
      <rPr>
        <sz val="10"/>
        <color rgb="FF1506E0"/>
        <rFont val="宋体"/>
        <charset val="134"/>
      </rPr>
      <t>Kelly</t>
    </r>
    <r>
      <rPr>
        <sz val="10"/>
        <color rgb="FF1506E0"/>
        <rFont val="等线"/>
        <charset val="134"/>
      </rPr>
      <t xml:space="preserve">  Shen</t>
    </r>
  </si>
  <si>
    <t>5I6JSSGP</t>
  </si>
  <si>
    <t>4500208715-310</t>
  </si>
  <si>
    <t>5CX259CZ</t>
  </si>
  <si>
    <t>4500208715-320</t>
  </si>
  <si>
    <t>8TTVUN4J</t>
  </si>
  <si>
    <t>4500208715-330</t>
  </si>
  <si>
    <t>2J6R7HXM</t>
  </si>
  <si>
    <t>4500208715-340</t>
  </si>
  <si>
    <t>4500211896-60</t>
  </si>
  <si>
    <t xml:space="preserve"> 8/4 交仓  外箱：需要加上ZURU France 的地址和ZURU 的邮箱，如果外箱已经生产，可以使用水贴纸加上（需要确保不会掉落），贴在外箱一面正面即可。</t>
  </si>
  <si>
    <t>日期码格式：ZURU INC(BVI) 标准格式                  日期：按实际生产日期
Packaging Info: 
77685: MA 3L EAN包装+德意警告语贴纸(翻单:4500185407)+MA B版 5L+23L警语收藏指南+MA B版5L Slime 袋+MA B版 多语说明书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</si>
  <si>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EL  REGALO  UNIVERSAL  C.A.</t>
  </si>
  <si>
    <t>委内瑞拉</t>
  </si>
  <si>
    <t>4500214106</t>
  </si>
  <si>
    <t>4500214106-80</t>
  </si>
  <si>
    <t>8/15 截SI</t>
  </si>
  <si>
    <t>7/6 进口商贴纸</t>
  </si>
  <si>
    <t>日期码格式：ZURU INC(BVI) 标准格式 日期：按实际生产日期
Packaging Info: 71152/71126/7132/71101/77685GQ2/9543GQ1/9565GQ1/9574: MA 3L EAN包装+UPC条码贴纸+进口商贴纸+箱唛
Remark:</t>
  </si>
  <si>
    <t>Doris  Shou</t>
  </si>
  <si>
    <t>JAKE'S  GLOBAL  TRADING  LTD</t>
  </si>
  <si>
    <t>JGT00036</t>
  </si>
  <si>
    <t>4500214285-20</t>
  </si>
  <si>
    <t>空白贴纸翻单190061</t>
  </si>
  <si>
    <t>日期码格式：ZURU  INC(BVI)  标准格式                                    日期：按实际生产日期
Packaging Info: 
"77723:  MA-3L收缩膜(2个球各加一张白色空白贴纸覆盖条码)+客版3L  PVC桶UPC彩卡(翻PO#4500158469)
UPC#193052083340"
Remark: "*按ZURU标准日期码格式
   *订单必须经过ZURU  QC验货并且通过后方可出货。
   *条码以订单显示为准  ，请安排生产前先核对  ，有问题请提出。
   *此票出美国，需符合美国法规要求"</t>
  </si>
  <si>
    <r>
      <rPr>
        <sz val="10"/>
        <color rgb="FF1506E0"/>
        <rFont val="宋体"/>
        <charset val="134"/>
      </rPr>
      <t>Sherry</t>
    </r>
    <r>
      <rPr>
        <sz val="11"/>
        <color rgb="FF1506E0"/>
        <rFont val="宋体"/>
        <charset val="134"/>
        <scheme val="minor"/>
      </rPr>
      <t xml:space="preserve">  Lu</t>
    </r>
  </si>
  <si>
    <t>JGT00037</t>
  </si>
  <si>
    <t>4500214285-40</t>
  </si>
  <si>
    <t>JGT00038</t>
  </si>
  <si>
    <t>4500214285-60</t>
  </si>
  <si>
    <t>JGT00039</t>
  </si>
  <si>
    <t>4500214285-80</t>
  </si>
  <si>
    <t>JGT00040</t>
  </si>
  <si>
    <t>4500214285-100</t>
  </si>
  <si>
    <t>JGT00041</t>
  </si>
  <si>
    <t>4500214285-120</t>
  </si>
  <si>
    <t>JGT00042</t>
  </si>
  <si>
    <t>4500214285-140</t>
  </si>
  <si>
    <t>JGT00043</t>
  </si>
  <si>
    <t>4500214285-160</t>
  </si>
  <si>
    <t>JGT00044</t>
  </si>
  <si>
    <t>4500214285-180</t>
  </si>
  <si>
    <t>JGT00045</t>
  </si>
  <si>
    <t>4500214285-200</t>
  </si>
  <si>
    <t>ESAL ENTERPRISES FZC</t>
  </si>
  <si>
    <t>卡塔尔</t>
  </si>
  <si>
    <t>4500204719</t>
  </si>
  <si>
    <t>4500204719-10</t>
  </si>
  <si>
    <t>进口商贴纸翻单4500180758</t>
  </si>
  <si>
    <t>日期码格式：ZURU INC(BVI) 标准格式                  日期：按实际生产日期
Packaging Info: 出QATAR, 包装不能有希伯来语
所有RBC的产品（内外）包装上不能有彩虹。
77685GQ2：MA 1L 收缩膜+进口商贴纸 (含G Mark, QR code, 阿拉伯警语); 贴纸上的QR code需微信可扫，扫描结果另外通知; 收缩膜上UPC条码为193052079053；
MA PDQ+进口商贴纸; 产品年龄3+；AW翻单4500180758
客人箱唛排版，印4面，条码内容193052079053；
Remark</t>
  </si>
  <si>
    <t>沙特</t>
  </si>
  <si>
    <t>4500204723</t>
  </si>
  <si>
    <t>4500204723-10</t>
  </si>
  <si>
    <t>日期码格式：ZURU INC(BVI) 标准格式                  日期：按实际生产日期
Packaging Info: 出KSA 包装不能有希伯来语，
所有RBC的产品（内外）包装上不能有彩虹。
77685GQ2：MA 1L 收缩膜+进口商贴纸 (含G Mark, QR code, 阿拉伯警语); 贴纸上的QR code需微信可扫，扫描结果另外通知; 收缩膜上UPC条码为193052079053；
MA PDQ+进口商贴纸；贴纸翻单4500180758; 产品年龄3+；客人箱唛排版，印4面，条码内容193052079053；
Remark</t>
  </si>
  <si>
    <t>阿联酋</t>
  </si>
  <si>
    <t>4500204716-10</t>
  </si>
  <si>
    <t>日期码格式：ZURU INC(BVI) 标准格式 日期：按实际生产日期
Packaging Info: 出UAE, 包装不能有希伯来语
所有RBC的产品（内外）包装上不能有彩虹。
77685GQ2：MA 1L 收缩膜+进口商贴纸 (含G Mark, QR code, 阿拉伯警语); 贴纸上的QR code需微信可扫，扫描结果另外通知; 收缩膜上UPC条码为193052079053；
MA PDQ+进口商贴纸; 产品年龄3+；客人箱唛排版，印4面，条码内容193052079053；AW翻单4500180758，
需备两套大货版寄出到SZ办公室
Remark: 77772GQ2-S001-PRODCC2:
WITH 4PCS DEMO/PDQ; Remove ？？ mini vinyls(squabble up/Low Down/Brick House/Last Friday Night (T.G.I.F.)/Not Like Us/Woah/Messy/Delicious/Good
Luck, Babe!/Pink Pony Club/Super Freak/Man! I Feel Like a Woman!/Thunder( rainbow and ？？)/Shake your Groove Thing" ( Kissing)/Sweet Home Alab
ama ( Rainbow))</t>
  </si>
  <si>
    <t>约旦</t>
  </si>
  <si>
    <t>4500211330</t>
  </si>
  <si>
    <t>4500211330-10</t>
  </si>
  <si>
    <t>7、13 进口商贴纸</t>
  </si>
  <si>
    <t>日期码格式：ZURU INC(BVI) 标准格式 日期：按实际生产日期
Packaging Info: 出Jordan, 包装不能有希伯来语
77685GQ2：MA 1L 收缩膜/PDQ, 各+1张约旦的通用进口商贴纸
Remark:</t>
  </si>
  <si>
    <t>伊拉克</t>
  </si>
  <si>
    <t>4500211382</t>
  </si>
  <si>
    <t>4500211382-10</t>
  </si>
  <si>
    <t>7/13 进口商贴纸</t>
  </si>
  <si>
    <t>日期码格式：ZURU INC(BVI) 标准格式 日期：按实际生产日期
Packaging Info: 出Iraq, 包装不能有希伯来语
77685GQ2：MA 1L 收缩膜/PDQ 各+1张伊拉克通用进口商贴纸（新稿）
Remark:</t>
  </si>
  <si>
    <t>TOYZOONA  LIMITED</t>
  </si>
  <si>
    <t>4500215367-60</t>
  </si>
  <si>
    <r>
      <rPr>
        <sz val="10"/>
        <color rgb="FF000000"/>
        <rFont val="宋体"/>
        <charset val="134"/>
      </rPr>
      <t>日期码格式：ZURU INC(BVI) 标准格式 日期：按实际生产日期</t>
    </r>
    <r>
      <rPr>
        <sz val="12"/>
        <color rgb="FF000000"/>
        <rFont val="宋体"/>
        <charset val="134"/>
        <scheme val="minor"/>
      </rPr>
      <t xml:space="preserve">
Packaging Info: MA PKG 优先1L
Remark:</t>
    </r>
  </si>
  <si>
    <r>
      <rPr>
        <sz val="10"/>
        <color rgb="FF000000"/>
        <rFont val="宋体"/>
        <charset val="134"/>
      </rPr>
      <t>Chelsea</t>
    </r>
    <r>
      <rPr>
        <sz val="12"/>
        <color rgb="FF000000"/>
        <rFont val="宋体"/>
        <charset val="134"/>
        <scheme val="minor"/>
      </rPr>
      <t xml:space="preserve">  Luo</t>
    </r>
  </si>
  <si>
    <t>BINGO  GLOBAL  GROUP  FOR  TRADING  SUPP</t>
  </si>
  <si>
    <t>4500197940-80</t>
  </si>
  <si>
    <t>8/25的船</t>
  </si>
  <si>
    <t>5/18进口商贴纸</t>
  </si>
  <si>
    <r>
      <rPr>
        <sz val="10"/>
        <color rgb="FF000000"/>
        <rFont val="宋体"/>
        <charset val="134"/>
      </rPr>
      <t xml:space="preserve">日期码格式：ZURU  INC(BVI)  标准格式 日期：按实际生产日期
</t>
    </r>
    <r>
      <rPr>
        <sz val="10"/>
        <color rgb="FFFF0000"/>
        <rFont val="宋体"/>
        <charset val="134"/>
      </rPr>
      <t>5. 77685GQ2: MA EAN版本（1L/多L含英语版本都可接受，如有1L 首选出1L版本）+一张进口商贴纸+箱唛</t>
    </r>
    <r>
      <rPr>
        <sz val="10"/>
        <color rgb="FF000000"/>
        <rFont val="宋体"/>
        <charset val="134"/>
      </rPr>
      <t xml:space="preserve">
Remark: MA  EAN版本包装+进口商贴纸</t>
    </r>
  </si>
  <si>
    <t>Nora  Pan</t>
  </si>
  <si>
    <t>ECOPLAY SA</t>
  </si>
  <si>
    <t>葡萄牙</t>
  </si>
  <si>
    <t>4500212758-30</t>
  </si>
  <si>
    <t>7/10 进口商贴纸</t>
  </si>
  <si>
    <r>
      <rPr>
        <sz val="10"/>
        <color rgb="FF000000"/>
        <rFont val="宋体"/>
        <charset val="134"/>
      </rPr>
      <t>日期码格式：ZURU INC(BVI) 标准格式 日期：按实际生产日期
Packaging Info: 
77685GQ1:最新MA 3L EAN版本包装+一张客户进口商内容贴纸+MA 说明书+【MA 3L PDQ+</t>
    </r>
    <r>
      <rPr>
        <sz val="10"/>
        <color rgb="FFFF0000"/>
        <rFont val="宋体"/>
        <charset val="134"/>
      </rPr>
      <t>一张ZURU 通用地址贴纸】；</t>
    </r>
    <r>
      <rPr>
        <sz val="10"/>
        <color rgb="FF000000"/>
        <rFont val="宋体"/>
        <charset val="134"/>
      </rPr>
      <t xml:space="preserve">
Remark: 1. 此单出葡萄牙，需满足EU测试标准要求，另外微塑料需符合EU法规；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logo图标和care@zuru.com 邮箱地址
5.此单是新客户首单，需要准备2套大货样寄给客户作为评估样，请注意备料；
6</t>
    </r>
    <r>
      <rPr>
        <sz val="10"/>
        <color rgb="FFFF0000"/>
        <rFont val="宋体"/>
        <charset val="134"/>
      </rPr>
      <t>.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r>
  </si>
  <si>
    <t>Mary Zhong</t>
  </si>
  <si>
    <t>4500212758-40</t>
  </si>
  <si>
    <r>
      <rPr>
        <sz val="10"/>
        <color rgb="FF000000"/>
        <rFont val="宋体"/>
        <charset val="134"/>
      </rPr>
      <t>日期码格式：ZURU INC(BVI) 标准格式 日期：按实际生产日期
Packaging Info: 
77685GQ2:最新MA 3L EAN版本包装+一张客户进口商内容贴纸+MA 说明书+【MA 3L PDQ+</t>
    </r>
    <r>
      <rPr>
        <sz val="10"/>
        <color rgb="FFFF0000"/>
        <rFont val="宋体"/>
        <charset val="134"/>
      </rPr>
      <t>一张ZURU 通用地址贴纸】；</t>
    </r>
    <r>
      <rPr>
        <sz val="10"/>
        <color rgb="FF000000"/>
        <rFont val="宋体"/>
        <charset val="134"/>
      </rPr>
      <t xml:space="preserve">
Remark: 1. 此单出葡萄牙，需满足EU测试标准要求，另外微塑料需符合EU法规；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logo图标和care@zuru.com 邮箱地址
5.此单是新客户首单，需要准备2套大货样寄给客户作为评估样，请注意备料；
</t>
    </r>
    <r>
      <rPr>
        <sz val="10"/>
        <color rgb="FFFF0000"/>
        <rFont val="宋体"/>
        <charset val="134"/>
      </rPr>
      <t>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r>
  </si>
  <si>
    <t>JSC «GRAND-TRADE»</t>
  </si>
  <si>
    <t>俄罗斯</t>
  </si>
  <si>
    <t>4500208492</t>
  </si>
  <si>
    <t>PGT-750387</t>
  </si>
  <si>
    <t>4500208492-20</t>
  </si>
  <si>
    <t>7/20 QR 贴纸+6/5进口商贴纸</t>
  </si>
  <si>
    <r>
      <rPr>
        <sz val="10"/>
        <color rgb="FF000000"/>
        <rFont val="宋体"/>
        <charset val="134"/>
      </rPr>
      <t>日期码格式：ZURU INC(BVI) 标准格式 日期：按实际生产日期 Tracking Code:
Packaging Info: 77685GQ1S2:</t>
    </r>
    <r>
      <rPr>
        <sz val="10"/>
        <color rgb="FFFF0000"/>
        <rFont val="宋体"/>
        <charset val="134"/>
      </rPr>
      <t>1L MA UPC收缩膜+进口商贴纸+EAN条码贴纸+ QR贴纸 ，MA 说明书/MA PDQ ；</t>
    </r>
    <r>
      <rPr>
        <sz val="10"/>
        <color rgb="FF000000"/>
        <rFont val="宋体"/>
        <charset val="134"/>
      </rPr>
      <t xml:space="preserve">
 2.外箱侧唛右上角各一张贴纸 (共2张)
Remark:</t>
    </r>
    <r>
      <rPr>
        <sz val="10"/>
        <color rgb="FFFF0000"/>
        <rFont val="宋体"/>
        <charset val="134"/>
      </rPr>
      <t xml:space="preserve"> 1. QR code 贴纸 :仅二维码尺寸15X15MM，4边留白尺寸各5mm ，二维码要清晰可扫描，2年不褪色 ，强占不易脱落 ，材质同进口商贴纸纸。要求一物一码，每PCS
的二维码不一样,白底黑字，分辨率要大于300dpi，位置要远离条码。 可贴零售包装的侧面右下角/背面的右上角/挂卡的背面/正面的右上角，距离边距5mm）;
 2. QR 二维码格式要求： DATA MATRIX GS1 ， 大货印刷前请发JPG 图片确认格式是否正确；请用苹果手机下载 Честный знак 官方APP 进行扫描，必
 须100%成功验证并显示正确商品信息 ; --ZURU QC 请留意 。
 3.. 出货前需要按船务的指示提供零售包装上QR CODE 入外箱以及入货柜的明细清单供客户清关使用--用客户的模板（追踪到箱/到柜）；
 4. 货期不能延,有罚金。
 5. 此客户不允许包装/产品/PDQ 上显示recycled material 的callout，如有请告知跟单需要加贴纸覆盖---QC 请验货留意 ；
 6. 此客户有第三方验货和监柜， 在收到船务SO 时需要提供监柜验货联系人/地址/装柜时间。工厂须提前主动联系第三方验货负责人，双方确认以下信息后，方可
 安排提柜：验货人员预计到达时间/预计完成监柜时间 特别强调：未完成上述对接确认前，严禁擅自提柜，请务必遵守。
 7. 若产品中的口水胶/棉花泥等配件已提前印刷好了日期码，需明确告知日期码是多少，客户要求距离货物到店时间至少还有三分之二的有效期（比如Slime有效期1
 年，那到店后还需要8个月的有效） 。
 8. 无特殊要求，按ZURU 标准比例；</t>
    </r>
  </si>
  <si>
    <t>Wendy Wang</t>
  </si>
  <si>
    <t>UPD,  INC.</t>
  </si>
  <si>
    <t>4500215872</t>
  </si>
  <si>
    <t>37053</t>
  </si>
  <si>
    <t>4500215872-80</t>
  </si>
  <si>
    <t>Angel  Lin</t>
  </si>
  <si>
    <t>JGT00048</t>
  </si>
  <si>
    <t>4500214285-220</t>
  </si>
  <si>
    <r>
      <rPr>
        <sz val="10"/>
        <color rgb="FF000000"/>
        <rFont val="宋体"/>
        <charset val="134"/>
      </rPr>
      <t>Sherry</t>
    </r>
    <r>
      <rPr>
        <sz val="11"/>
        <color rgb="FF000000"/>
        <rFont val="宋体"/>
        <charset val="134"/>
        <scheme val="minor"/>
      </rPr>
      <t xml:space="preserve">  Lu</t>
    </r>
  </si>
  <si>
    <t>4500215773</t>
  </si>
  <si>
    <t>4500215773-10</t>
  </si>
  <si>
    <r>
      <rPr>
        <sz val="10"/>
        <color rgb="FF000000"/>
        <rFont val="宋体"/>
        <charset val="134"/>
      </rPr>
      <t>日期码格式：ZURU INC(BVI) 标准格式</t>
    </r>
    <r>
      <rPr>
        <sz val="10"/>
        <color rgb="FF000000"/>
        <rFont val="宋体"/>
        <charset val="134"/>
        <scheme val="minor"/>
      </rPr>
      <t xml:space="preserve">                  </t>
    </r>
    <r>
      <rPr>
        <sz val="10"/>
        <color rgb="FF000000"/>
        <rFont val="宋体"/>
        <charset val="134"/>
        <scheme val="minor"/>
      </rPr>
      <t>日期：按实际生产日期</t>
    </r>
    <r>
      <rPr>
        <sz val="10"/>
        <color rgb="FF000000"/>
        <rFont val="宋体"/>
        <charset val="134"/>
        <scheme val="minor"/>
      </rPr>
      <t xml:space="preserve">
</t>
    </r>
    <r>
      <rPr>
        <sz val="10"/>
        <color rgb="FF000000"/>
        <rFont val="宋体"/>
        <charset val="134"/>
        <scheme val="minor"/>
      </rPr>
      <t>Packaging Info: MA PKG , 优先1L , MA 1L PDQ , MA 收藏指南/说明书</t>
    </r>
  </si>
  <si>
    <t>Warehouse 1</t>
  </si>
  <si>
    <t>4500216583-130</t>
  </si>
  <si>
    <t>7/29UPC贴纸</t>
  </si>
  <si>
    <r>
      <rPr>
        <sz val="10"/>
        <color rgb="FF000000"/>
        <rFont val="宋体"/>
        <charset val="134"/>
      </rPr>
      <t>日期码格式：ZURU INC(BVI) 标准格式</t>
    </r>
    <r>
      <rPr>
        <sz val="12"/>
        <color rgb="FF000000"/>
        <rFont val="宋体"/>
        <charset val="134"/>
        <scheme val="minor"/>
      </rPr>
      <t xml:space="preserve">                  </t>
    </r>
    <r>
      <rPr>
        <sz val="12"/>
        <color rgb="FF000000"/>
        <rFont val="宋体"/>
        <charset val="134"/>
        <scheme val="minor"/>
      </rPr>
      <t>日期：按实际生产日期</t>
    </r>
    <r>
      <rPr>
        <sz val="12"/>
        <color rgb="FF000000"/>
        <rFont val="宋体"/>
        <charset val="134"/>
        <scheme val="minor"/>
      </rPr>
      <t xml:space="preserve">
</t>
    </r>
    <r>
      <rPr>
        <sz val="12"/>
        <color rgb="FF000000"/>
        <rFont val="宋体"/>
        <charset val="134"/>
        <scheme val="minor"/>
      </rPr>
      <t>Packaging Info: 1.优先多语 MA UPC或者3L/5L MA EAN 包装</t>
    </r>
    <r>
      <rPr>
        <sz val="12"/>
        <color rgb="FF000000"/>
        <rFont val="宋体"/>
        <charset val="134"/>
        <scheme val="minor"/>
      </rPr>
      <t xml:space="preserve">
</t>
    </r>
    <r>
      <rPr>
        <sz val="12"/>
        <color rgb="FF000000"/>
        <rFont val="宋体"/>
        <charset val="134"/>
        <scheme val="minor"/>
      </rPr>
      <t>2.请确保包装上的条形码是UPC，如果是babyUPC、需要用mother UPC覆盖，如有不一致，请及时提出。谢谢!</t>
    </r>
    <r>
      <rPr>
        <sz val="12"/>
        <color rgb="FF000000"/>
        <rFont val="宋体"/>
        <charset val="134"/>
        <scheme val="minor"/>
      </rPr>
      <t xml:space="preserve">
</t>
    </r>
    <r>
      <rPr>
        <sz val="12"/>
        <color rgb="FF000000"/>
        <rFont val="宋体"/>
        <charset val="134"/>
        <scheme val="minor"/>
      </rPr>
      <t>3 .MA PDQ 优先用3L,MA 只有1L版本的情况下就用1L PDQ</t>
    </r>
    <r>
      <rPr>
        <sz val="12"/>
        <color rgb="FF000000"/>
        <rFont val="宋体"/>
        <charset val="134"/>
        <scheme val="minor"/>
      </rPr>
      <t xml:space="preserve">
</t>
    </r>
    <r>
      <rPr>
        <sz val="12"/>
        <color rgb="FF000000"/>
        <rFont val="宋体"/>
        <charset val="134"/>
        <scheme val="minor"/>
      </rPr>
      <t>77685GQ2 MA 多语EAN包装+UPC贴纸+MA B版本说明书+MA PDQ 包装+箱唛,&lt;(&gt;,&lt;)&gt;</t>
    </r>
    <r>
      <rPr>
        <sz val="12"/>
        <color rgb="FF000000"/>
        <rFont val="宋体"/>
        <charset val="134"/>
        <scheme val="minor"/>
      </rPr>
      <t xml:space="preserve">
</t>
    </r>
    <r>
      <rPr>
        <sz val="12"/>
        <color rgb="FF000000"/>
        <rFont val="宋体"/>
        <charset val="134"/>
        <scheme val="minor"/>
      </rPr>
      <t>Remark:</t>
    </r>
    <r>
      <rPr>
        <sz val="12"/>
        <color rgb="FF000000"/>
        <rFont val="宋体"/>
        <charset val="134"/>
        <scheme val="minor"/>
      </rPr>
      <t xml:space="preserve">
</t>
    </r>
    <r>
      <rPr>
        <sz val="12"/>
        <color rgb="FF000000"/>
        <rFont val="宋体"/>
        <charset val="134"/>
        <scheme val="minor"/>
      </rPr>
      <t>77685GQ2</t>
    </r>
  </si>
  <si>
    <r>
      <rPr>
        <sz val="10"/>
        <rFont val="宋体"/>
        <charset val="134"/>
      </rPr>
      <t>ANSALDO</t>
    </r>
    <r>
      <rPr>
        <sz val="12"/>
        <color rgb="FF000000"/>
        <rFont val="宋体"/>
        <charset val="134"/>
        <scheme val="minor"/>
      </rPr>
      <t xml:space="preserve">  </t>
    </r>
    <r>
      <rPr>
        <sz val="12"/>
        <color rgb="FF000000"/>
        <rFont val="宋体"/>
        <charset val="134"/>
        <scheme val="minor"/>
      </rPr>
      <t>CHILE</t>
    </r>
  </si>
  <si>
    <t>4500212171</t>
  </si>
  <si>
    <t>4500212171-10</t>
  </si>
  <si>
    <t>货期待沟通</t>
  </si>
  <si>
    <t>8、13进口商贴纸+UPC贴纸</t>
  </si>
  <si>
    <r>
      <rPr>
        <sz val="10"/>
        <rFont val="宋体"/>
        <charset val="134"/>
      </rPr>
      <t>日期码格式：ZURU</t>
    </r>
    <r>
      <rPr>
        <sz val="10"/>
        <color rgb="FF000000"/>
        <rFont val="宋体"/>
        <charset val="134"/>
      </rPr>
      <t xml:space="preserve">  INC(BVI)  标准格式                                    日期：按实际生产日期
Packaging Info: MA  多语包装+进口商贴纸+UPC贴纸+箱唛
Remark: FINAL CUSTOMER:WM CHILE</t>
    </r>
  </si>
  <si>
    <r>
      <rPr>
        <sz val="10"/>
        <rFont val="宋体"/>
        <charset val="134"/>
      </rPr>
      <t>Ava</t>
    </r>
    <r>
      <rPr>
        <sz val="10"/>
        <color rgb="FF000000"/>
        <rFont val="等线"/>
        <charset val="134"/>
      </rPr>
      <t xml:space="preserve">  </t>
    </r>
    <r>
      <rPr>
        <sz val="10"/>
        <color rgb="FF000000"/>
        <rFont val="等线"/>
        <charset val="134"/>
      </rPr>
      <t>Liang</t>
    </r>
  </si>
  <si>
    <t>77685SK-S002-3L</t>
  </si>
  <si>
    <t>JAKE'S GLOBAL TRADING LTD</t>
  </si>
  <si>
    <t>JGT00046</t>
  </si>
  <si>
    <t>4500217674-20</t>
  </si>
  <si>
    <t>空白贴纸翻190061</t>
  </si>
  <si>
    <r>
      <rPr>
        <sz val="10"/>
        <color rgb="FF000000"/>
        <rFont val="宋体"/>
        <charset val="134"/>
      </rPr>
      <t>日期码格式：ZURU INC(BVI) 标准格式 日期：按实际生产日期 Tracking Code:
Packaging Info: "77723: MA-3L收缩膜(2个球各加一张白色空白贴纸覆盖条码,</t>
    </r>
    <r>
      <rPr>
        <sz val="10"/>
        <color rgb="FFFF0000"/>
        <rFont val="宋体"/>
        <charset val="134"/>
      </rPr>
      <t>翻单#4500214285</t>
    </r>
    <r>
      <rPr>
        <sz val="10"/>
        <color rgb="FF000000"/>
        <rFont val="宋体"/>
        <charset val="134"/>
      </rPr>
      <t>)+客版3L PVC桶UPC彩卡(翻PO#4500158469)
 UPC#193052083340"
Remark: "*按ZURU标准日期码格式
 *订单必须经过ZURU QC验货并且通过后方可出货。
 *条码以订单显示为准 ，请安排生产前先核对 ，有问题请提出。
 *此票出美国，需符合美国法规要求</t>
    </r>
  </si>
  <si>
    <t>JGT00047</t>
  </si>
  <si>
    <t>4500217674-40</t>
  </si>
  <si>
    <t>JGT00049</t>
  </si>
  <si>
    <t>4500217674-60</t>
  </si>
  <si>
    <t>JGT00050</t>
  </si>
  <si>
    <t>4500217674-80</t>
  </si>
  <si>
    <t>JGT00051</t>
  </si>
  <si>
    <t>4500217674-100</t>
  </si>
  <si>
    <t>JGT00052</t>
  </si>
  <si>
    <t>4500217674-120</t>
  </si>
  <si>
    <t>JGT00053</t>
  </si>
  <si>
    <t>4500217674-140</t>
  </si>
  <si>
    <t>JGT00054</t>
  </si>
  <si>
    <t>4500217674-160</t>
  </si>
  <si>
    <t>JGT00055</t>
  </si>
  <si>
    <t>4500217674-180</t>
  </si>
  <si>
    <t>8YTMB2PS</t>
  </si>
  <si>
    <t>4500217641-40</t>
  </si>
  <si>
    <t>空白贴纸翻190061+8/14 SSCC LABEL（客供贴纸)</t>
  </si>
  <si>
    <r>
      <rPr>
        <sz val="10"/>
        <color rgb="FF000000"/>
        <rFont val="宋体"/>
        <charset val="134"/>
      </rPr>
      <t>日期码格式：ZURU</t>
    </r>
    <r>
      <rPr>
        <sz val="10"/>
        <color rgb="FF000000"/>
        <rFont val="等线"/>
        <charset val="134"/>
      </rPr>
      <t xml:space="preserve">  </t>
    </r>
    <r>
      <rPr>
        <sz val="10"/>
        <color rgb="FF000000"/>
        <rFont val="等线"/>
        <charset val="134"/>
      </rPr>
      <t>INC(BVI) 标准格式</t>
    </r>
    <r>
      <rPr>
        <sz val="10"/>
        <color rgb="FF000000"/>
        <rFont val="等线"/>
        <charset val="134"/>
      </rPr>
      <t xml:space="preserve">                                    </t>
    </r>
    <r>
      <rPr>
        <sz val="10"/>
        <color rgb="FF000000"/>
        <rFont val="等线"/>
        <charset val="134"/>
      </rPr>
      <t>日期：按实际生产日期</t>
    </r>
    <r>
      <rPr>
        <sz val="10"/>
        <color rgb="FF000000"/>
        <rFont val="等线"/>
        <charset val="134"/>
      </rPr>
      <t xml:space="preserve">
</t>
    </r>
    <r>
      <rPr>
        <sz val="10"/>
        <color rgb="FF000000"/>
        <rFont val="等线"/>
        <charset val="134"/>
      </rPr>
      <t xml:space="preserve">Packaging Info: </t>
    </r>
    <r>
      <rPr>
        <sz val="10"/>
        <color rgb="FF000000"/>
        <rFont val="等线"/>
        <charset val="134"/>
      </rPr>
      <t xml:space="preserve">
</t>
    </r>
    <r>
      <rPr>
        <sz val="10"/>
        <color rgb="FF000000"/>
        <rFont val="等线"/>
        <charset val="134"/>
      </rPr>
      <t xml:space="preserve">  </t>
    </r>
    <r>
      <rPr>
        <sz val="10"/>
        <color rgb="FF000000"/>
        <rFont val="等线"/>
        <charset val="134"/>
      </rPr>
      <t>#77723：2PK STD</t>
    </r>
    <r>
      <rPr>
        <sz val="10"/>
        <color rgb="FF000000"/>
        <rFont val="等线"/>
        <charset val="134"/>
      </rPr>
      <t xml:space="preserve">  </t>
    </r>
    <r>
      <rPr>
        <sz val="10"/>
        <color rgb="FF000000"/>
        <rFont val="等线"/>
        <charset val="134"/>
      </rPr>
      <t>77685 PVC</t>
    </r>
    <r>
      <rPr>
        <sz val="10"/>
        <color rgb="FF000000"/>
        <rFont val="等线"/>
        <charset val="134"/>
      </rPr>
      <t xml:space="preserve">  </t>
    </r>
    <r>
      <rPr>
        <sz val="10"/>
        <color rgb="FF000000"/>
        <rFont val="等线"/>
        <charset val="134"/>
      </rPr>
      <t>Tube. MA 3L EAN版本+空白UPC贴纸，3L 铜版纸跟翻单#4500157378,空白贴纸翻单#4500190061。收藏指南，说明书均为MA</t>
    </r>
    <r>
      <rPr>
        <sz val="10"/>
        <color rgb="FF000000"/>
        <rFont val="等线"/>
        <charset val="134"/>
      </rPr>
      <t xml:space="preserve">  </t>
    </r>
    <r>
      <rPr>
        <sz val="10"/>
        <color rgb="FF000000"/>
        <rFont val="等线"/>
        <charset val="134"/>
      </rPr>
      <t>5L标版。(</t>
    </r>
    <r>
      <rPr>
        <sz val="10"/>
        <color rgb="FF000000"/>
        <rFont val="等线"/>
        <charset val="134"/>
      </rPr>
      <t xml:space="preserve">
</t>
    </r>
    <r>
      <rPr>
        <sz val="10"/>
        <color rgb="FF000000"/>
        <rFont val="等线"/>
        <charset val="134"/>
      </rPr>
      <t>两个球的配比不能重复）。</t>
    </r>
    <r>
      <rPr>
        <sz val="10"/>
        <color rgb="FF000000"/>
        <rFont val="等线"/>
        <charset val="134"/>
      </rPr>
      <t xml:space="preserve">
</t>
    </r>
    <r>
      <rPr>
        <sz val="10"/>
        <color rgb="FF000000"/>
        <rFont val="等线"/>
        <charset val="134"/>
      </rPr>
      <t>Remark: 1. Amazon</t>
    </r>
    <r>
      <rPr>
        <sz val="10"/>
        <color rgb="FF000000"/>
        <rFont val="等线"/>
        <charset val="134"/>
      </rPr>
      <t xml:space="preserve">  </t>
    </r>
    <r>
      <rPr>
        <sz val="10"/>
        <color rgb="FF000000"/>
        <rFont val="等线"/>
        <charset val="134"/>
      </rPr>
      <t>FOB订单，出口CA。外箱最长边不能超过25"</t>
    </r>
    <r>
      <rPr>
        <sz val="10"/>
        <color rgb="FF000000"/>
        <rFont val="等线"/>
        <charset val="134"/>
      </rPr>
      <t xml:space="preserve">   </t>
    </r>
    <r>
      <rPr>
        <sz val="10"/>
        <color rgb="FF000000"/>
        <rFont val="等线"/>
        <charset val="134"/>
      </rPr>
      <t>（超过了，case</t>
    </r>
    <r>
      <rPr>
        <sz val="10"/>
        <color rgb="FF000000"/>
        <rFont val="等线"/>
        <charset val="134"/>
      </rPr>
      <t xml:space="preserve">  </t>
    </r>
    <r>
      <rPr>
        <sz val="10"/>
        <color rgb="FF000000"/>
        <rFont val="等线"/>
        <charset val="134"/>
      </rPr>
      <t>pack只能为1），不符合要求的大货，</t>
    </r>
    <r>
      <rPr>
        <sz val="10"/>
        <color rgb="FF000000"/>
        <rFont val="等线"/>
        <charset val="134"/>
      </rPr>
      <t xml:space="preserve">  </t>
    </r>
    <r>
      <rPr>
        <sz val="10"/>
        <color rgb="FF000000"/>
        <rFont val="等线"/>
        <charset val="134"/>
      </rPr>
      <t>一律不接受。</t>
    </r>
    <r>
      <rPr>
        <sz val="10"/>
        <color rgb="FF000000"/>
        <rFont val="等线"/>
        <charset val="134"/>
      </rPr>
      <t xml:space="preserve">
</t>
    </r>
    <r>
      <rPr>
        <sz val="10"/>
        <color rgb="FF000000"/>
        <rFont val="等线"/>
        <charset val="134"/>
      </rPr>
      <t xml:space="preserve">  </t>
    </r>
    <r>
      <rPr>
        <sz val="10"/>
        <color rgb="FF000000"/>
        <rFont val="等线"/>
        <charset val="134"/>
      </rPr>
      <t>2. 外箱正面印ZURU Logo</t>
    </r>
    <r>
      <rPr>
        <sz val="10"/>
        <color rgb="FF000000"/>
        <rFont val="等线"/>
        <charset val="134"/>
      </rPr>
      <t xml:space="preserve">  </t>
    </r>
    <r>
      <rPr>
        <sz val="10"/>
        <color rgb="FF000000"/>
        <rFont val="等线"/>
        <charset val="134"/>
      </rPr>
      <t>+</t>
    </r>
    <r>
      <rPr>
        <sz val="10"/>
        <color rgb="FF000000"/>
        <rFont val="等线"/>
        <charset val="134"/>
      </rPr>
      <t xml:space="preserve">  </t>
    </r>
    <r>
      <rPr>
        <sz val="10"/>
        <color rgb="FF000000"/>
        <rFont val="等线"/>
        <charset val="134"/>
      </rPr>
      <t>SSCC LABEL（客供贴纸)，侧面印item#（订单上显示的SKU#) +</t>
    </r>
    <r>
      <rPr>
        <sz val="10"/>
        <color rgb="FF000000"/>
        <rFont val="等线"/>
        <charset val="134"/>
      </rPr>
      <t xml:space="preserve">  </t>
    </r>
    <r>
      <rPr>
        <sz val="10"/>
        <color rgb="FF000000"/>
        <rFont val="等线"/>
        <charset val="134"/>
      </rPr>
      <t>carton</t>
    </r>
    <r>
      <rPr>
        <sz val="10"/>
        <color rgb="FF000000"/>
        <rFont val="等线"/>
        <charset val="134"/>
      </rPr>
      <t xml:space="preserve">  </t>
    </r>
    <r>
      <rPr>
        <sz val="10"/>
        <color rgb="FF000000"/>
        <rFont val="等线"/>
        <charset val="134"/>
      </rPr>
      <t>size(以工厂实际尺寸为准，单位: inch) + MADE IN</t>
    </r>
    <r>
      <rPr>
        <sz val="10"/>
        <color rgb="FF000000"/>
        <rFont val="等线"/>
        <charset val="134"/>
      </rPr>
      <t xml:space="preserve">  </t>
    </r>
    <r>
      <rPr>
        <sz val="10"/>
        <color rgb="FF000000"/>
        <rFont val="等线"/>
        <charset val="134"/>
      </rPr>
      <t>CHINA，</t>
    </r>
    <r>
      <rPr>
        <sz val="10"/>
        <color rgb="FF000000"/>
        <rFont val="等线"/>
        <charset val="134"/>
      </rPr>
      <t xml:space="preserve">
</t>
    </r>
    <r>
      <rPr>
        <sz val="10"/>
        <color rgb="FF000000"/>
        <rFont val="等线"/>
        <charset val="134"/>
      </rPr>
      <t>日期使用ZURU</t>
    </r>
    <r>
      <rPr>
        <sz val="10"/>
        <color rgb="FF000000"/>
        <rFont val="等线"/>
        <charset val="134"/>
      </rPr>
      <t xml:space="preserve">  </t>
    </r>
    <r>
      <rPr>
        <sz val="10"/>
        <color rgb="FF000000"/>
        <rFont val="等线"/>
        <charset val="134"/>
      </rPr>
      <t>标准版本</t>
    </r>
    <r>
      <rPr>
        <sz val="10"/>
        <color rgb="FF000000"/>
        <rFont val="等线"/>
        <charset val="134"/>
      </rPr>
      <t xml:space="preserve">  </t>
    </r>
    <r>
      <rPr>
        <sz val="10"/>
        <color rgb="FF000000"/>
        <rFont val="等线"/>
        <charset val="134"/>
      </rPr>
      <t>SSCC Label 显示的是客人自己的item#，SSCC</t>
    </r>
    <r>
      <rPr>
        <sz val="10"/>
        <color rgb="FF000000"/>
        <rFont val="等线"/>
        <charset val="134"/>
      </rPr>
      <t xml:space="preserve">  </t>
    </r>
    <r>
      <rPr>
        <sz val="10"/>
        <color rgb="FF000000"/>
        <rFont val="等线"/>
        <charset val="134"/>
      </rPr>
      <t>Label 贴在外箱正面的正中间，贴一面即可，跟单订购，贴纸离外箱距必须至少3cm，每一</t>
    </r>
    <r>
      <rPr>
        <sz val="10"/>
        <color rgb="FF000000"/>
        <rFont val="等线"/>
        <charset val="134"/>
      </rPr>
      <t xml:space="preserve">
</t>
    </r>
    <r>
      <rPr>
        <sz val="10"/>
        <color rgb="FF000000"/>
        <rFont val="等线"/>
        <charset val="134"/>
      </rPr>
      <t>张SSCC</t>
    </r>
    <r>
      <rPr>
        <sz val="10"/>
        <color rgb="FF000000"/>
        <rFont val="等线"/>
        <charset val="134"/>
      </rPr>
      <t xml:space="preserve">  </t>
    </r>
    <r>
      <rPr>
        <sz val="10"/>
        <color rgb="FF000000"/>
        <rFont val="等线"/>
        <charset val="134"/>
      </rPr>
      <t>label 都是唯一且有不同流水及条码的，没有损耗，绝对不可贴错</t>
    </r>
    <r>
      <rPr>
        <sz val="10"/>
        <color rgb="FF000000"/>
        <rFont val="等线"/>
        <charset val="134"/>
      </rPr>
      <t xml:space="preserve">  </t>
    </r>
    <r>
      <rPr>
        <sz val="10"/>
        <color rgb="FF000000"/>
        <rFont val="等线"/>
        <charset val="134"/>
      </rPr>
      <t>，否则贴错或损坏一张会导致全部都错，千万要注意: SSCC</t>
    </r>
    <r>
      <rPr>
        <sz val="10"/>
        <color rgb="FF000000"/>
        <rFont val="等线"/>
        <charset val="134"/>
      </rPr>
      <t xml:space="preserve">  </t>
    </r>
    <r>
      <rPr>
        <sz val="10"/>
        <color rgb="FF000000"/>
        <rFont val="等线"/>
        <charset val="134"/>
      </rPr>
      <t>贴纸务必要在正中间(可以覆</t>
    </r>
    <r>
      <rPr>
        <sz val="10"/>
        <color rgb="FF000000"/>
        <rFont val="等线"/>
        <charset val="134"/>
      </rPr>
      <t xml:space="preserve">
</t>
    </r>
    <r>
      <rPr>
        <sz val="10"/>
        <color rgb="FF000000"/>
        <rFont val="等线"/>
        <charset val="134"/>
      </rPr>
      <t>盖Logo</t>
    </r>
    <r>
      <rPr>
        <sz val="10"/>
        <color rgb="FF000000"/>
        <rFont val="等线"/>
        <charset val="134"/>
      </rPr>
      <t xml:space="preserve">  </t>
    </r>
    <r>
      <rPr>
        <sz val="10"/>
        <color rgb="FF000000"/>
        <rFont val="等线"/>
        <charset val="134"/>
      </rPr>
      <t>&lt;(&gt;&amp;&lt;)&gt;</t>
    </r>
    <r>
      <rPr>
        <sz val="10"/>
        <color rgb="FF000000"/>
        <rFont val="等线"/>
        <charset val="134"/>
      </rPr>
      <t xml:space="preserve">  </t>
    </r>
    <r>
      <rPr>
        <sz val="10"/>
        <color rgb="FF000000"/>
        <rFont val="等线"/>
        <charset val="134"/>
      </rPr>
      <t>箱唛)，否则会影响到仓库扫描识别。</t>
    </r>
    <r>
      <rPr>
        <sz val="10"/>
        <color rgb="FF000000"/>
        <rFont val="等线"/>
        <charset val="134"/>
      </rPr>
      <t xml:space="preserve">
</t>
    </r>
    <r>
      <rPr>
        <sz val="10"/>
        <color rgb="FF000000"/>
        <rFont val="等线"/>
        <charset val="134"/>
      </rPr>
      <t xml:space="preserve">  </t>
    </r>
    <r>
      <rPr>
        <sz val="10"/>
        <color rgb="FF000000"/>
        <rFont val="等线"/>
        <charset val="134"/>
      </rPr>
      <t>3. 日期码使用ZURU标准版本。</t>
    </r>
    <r>
      <rPr>
        <sz val="10"/>
        <color rgb="FF000000"/>
        <rFont val="等线"/>
        <charset val="134"/>
      </rPr>
      <t xml:space="preserve">
</t>
    </r>
    <r>
      <rPr>
        <sz val="10"/>
        <color rgb="FF000000"/>
        <rFont val="等线"/>
        <charset val="134"/>
      </rPr>
      <t xml:space="preserve">  </t>
    </r>
    <r>
      <rPr>
        <sz val="10"/>
        <color rgb="FF000000"/>
        <rFont val="等线"/>
        <charset val="134"/>
      </rPr>
      <t>4. 如果大货有要求入邮包盒，则对应的邮包盒上面要打上日期码。</t>
    </r>
    <r>
      <rPr>
        <sz val="10"/>
        <color rgb="FF000000"/>
        <rFont val="等线"/>
        <charset val="134"/>
      </rPr>
      <t xml:space="preserve">
</t>
    </r>
    <r>
      <rPr>
        <sz val="10"/>
        <color rgb="FF000000"/>
        <rFont val="等线"/>
        <charset val="134"/>
      </rPr>
      <t xml:space="preserve">  </t>
    </r>
    <r>
      <rPr>
        <sz val="10"/>
        <color rgb="FF000000"/>
        <rFont val="等线"/>
        <charset val="134"/>
      </rPr>
      <t>5. 按照客户PO#</t>
    </r>
    <r>
      <rPr>
        <sz val="10"/>
        <color rgb="FF000000"/>
        <rFont val="等线"/>
        <charset val="134"/>
      </rPr>
      <t xml:space="preserve">  </t>
    </r>
    <r>
      <rPr>
        <sz val="10"/>
        <color rgb="FF000000"/>
        <rFont val="等线"/>
        <charset val="134"/>
      </rPr>
      <t>装柜/箱号顺序装柜，跟单会提前给到装柜计划。在大货生产/仓库存放时，请留意该装柜要求，以便装柜时不混乱（避免装错/装漏/找不到货号等</t>
    </r>
    <r>
      <rPr>
        <sz val="10"/>
        <color rgb="FF000000"/>
        <rFont val="等线"/>
        <charset val="134"/>
      </rPr>
      <t xml:space="preserve">
</t>
    </r>
    <r>
      <rPr>
        <sz val="10"/>
        <color rgb="FF000000"/>
        <rFont val="等线"/>
        <charset val="134"/>
      </rPr>
      <t xml:space="preserve">  </t>
    </r>
    <r>
      <rPr>
        <sz val="10"/>
        <color rgb="FF000000"/>
        <rFont val="等线"/>
        <charset val="134"/>
      </rPr>
      <t>)。</t>
    </r>
    <r>
      <rPr>
        <sz val="10"/>
        <color rgb="FF000000"/>
        <rFont val="等线"/>
        <charset val="134"/>
      </rPr>
      <t xml:space="preserve">
</t>
    </r>
    <r>
      <rPr>
        <sz val="10"/>
        <color rgb="FF000000"/>
        <rFont val="等线"/>
        <charset val="134"/>
      </rPr>
      <t xml:space="preserve">  </t>
    </r>
    <r>
      <rPr>
        <sz val="10"/>
        <color rgb="FF000000"/>
        <rFont val="等线"/>
        <charset val="134"/>
      </rPr>
      <t>6. 出口加拿大，包装需要至少2/3L</t>
    </r>
    <r>
      <rPr>
        <sz val="10"/>
        <color rgb="FF000000"/>
        <rFont val="等线"/>
        <charset val="134"/>
      </rPr>
      <t xml:space="preserve">  </t>
    </r>
    <r>
      <rPr>
        <sz val="10"/>
        <color rgb="FF000000"/>
        <rFont val="等线"/>
        <charset val="134"/>
      </rPr>
      <t>UPC版，无硼版本。</t>
    </r>
    <r>
      <rPr>
        <sz val="10"/>
        <color rgb="FF000000"/>
        <rFont val="等线"/>
        <charset val="134"/>
      </rPr>
      <t xml:space="preserve">
</t>
    </r>
    <r>
      <rPr>
        <sz val="10"/>
        <color rgb="FF000000"/>
        <rFont val="等线"/>
        <charset val="134"/>
      </rPr>
      <t xml:space="preserve">  </t>
    </r>
    <r>
      <rPr>
        <sz val="10"/>
        <color rgb="FF000000"/>
        <rFont val="等线"/>
        <charset val="134"/>
      </rPr>
      <t>7 .邮包盒上要印刷日期码</t>
    </r>
  </si>
  <si>
    <t>4GHH1TMU</t>
  </si>
  <si>
    <t>4500217641-50</t>
  </si>
  <si>
    <t>8PKTAIFV</t>
  </si>
  <si>
    <t>4500217641-60</t>
  </si>
  <si>
    <t>24F1FGQZ</t>
  </si>
  <si>
    <t>4500217641-70</t>
  </si>
  <si>
    <t>15XXKP7T</t>
  </si>
  <si>
    <t>4500217641-80</t>
  </si>
  <si>
    <t>JTG00081</t>
  </si>
  <si>
    <t>4500217769-20</t>
  </si>
  <si>
    <t>8、8</t>
  </si>
  <si>
    <r>
      <rPr>
        <sz val="10"/>
        <color rgb="FF000000"/>
        <rFont val="宋体"/>
        <charset val="134"/>
      </rPr>
      <t>日期码格式：ZURU</t>
    </r>
    <r>
      <rPr>
        <sz val="10"/>
        <color rgb="FF000000"/>
        <rFont val="等线"/>
        <charset val="134"/>
      </rPr>
      <t xml:space="preserve">  </t>
    </r>
    <r>
      <rPr>
        <sz val="10"/>
        <color rgb="FF000000"/>
        <rFont val="等线"/>
        <charset val="134"/>
      </rPr>
      <t>INC(BVI)</t>
    </r>
    <r>
      <rPr>
        <sz val="10"/>
        <color rgb="FF000000"/>
        <rFont val="等线"/>
        <charset val="134"/>
      </rPr>
      <t xml:space="preserve">  </t>
    </r>
    <r>
      <rPr>
        <sz val="10"/>
        <color rgb="FF000000"/>
        <rFont val="等线"/>
        <charset val="134"/>
      </rPr>
      <t>标准格式</t>
    </r>
    <r>
      <rPr>
        <sz val="10"/>
        <color rgb="FF000000"/>
        <rFont val="等线"/>
        <charset val="134"/>
      </rPr>
      <t xml:space="preserve">                                    </t>
    </r>
    <r>
      <rPr>
        <sz val="10"/>
        <color rgb="FF000000"/>
        <rFont val="等线"/>
        <charset val="134"/>
      </rPr>
      <t>日期：按实际生产日期</t>
    </r>
    <r>
      <rPr>
        <sz val="10"/>
        <color rgb="FF000000"/>
        <rFont val="等线"/>
        <charset val="134"/>
      </rPr>
      <t xml:space="preserve">
</t>
    </r>
    <r>
      <rPr>
        <sz val="10"/>
        <color rgb="FF000000"/>
        <rFont val="等线"/>
        <charset val="134"/>
      </rPr>
      <t xml:space="preserve">Packaging Info: </t>
    </r>
    <r>
      <rPr>
        <sz val="10"/>
        <color rgb="FF000000"/>
        <rFont val="等线"/>
        <charset val="134"/>
      </rPr>
      <t xml:space="preserve">
</t>
    </r>
    <r>
      <rPr>
        <sz val="10"/>
        <color rgb="FF000000"/>
        <rFont val="等线"/>
        <charset val="134"/>
      </rPr>
      <t>"77723:</t>
    </r>
    <r>
      <rPr>
        <sz val="10"/>
        <color rgb="FF000000"/>
        <rFont val="等线"/>
        <charset val="134"/>
      </rPr>
      <t xml:space="preserve">  </t>
    </r>
    <r>
      <rPr>
        <sz val="10"/>
        <color rgb="FF000000"/>
        <rFont val="等线"/>
        <charset val="134"/>
      </rPr>
      <t>MA-3L收缩膜(2个球各加一张白色空白贴纸覆盖条码)+客版3L</t>
    </r>
    <r>
      <rPr>
        <sz val="10"/>
        <color rgb="FF000000"/>
        <rFont val="等线"/>
        <charset val="134"/>
      </rPr>
      <t xml:space="preserve">  </t>
    </r>
    <r>
      <rPr>
        <sz val="10"/>
        <color rgb="FF000000"/>
        <rFont val="等线"/>
        <charset val="134"/>
      </rPr>
      <t>PVC桶UPC彩卡(翻PO#4500158469)</t>
    </r>
    <r>
      <rPr>
        <sz val="10"/>
        <color rgb="FF000000"/>
        <rFont val="等线"/>
        <charset val="134"/>
      </rPr>
      <t xml:space="preserve">
</t>
    </r>
    <r>
      <rPr>
        <sz val="10"/>
        <color rgb="FF000000"/>
        <rFont val="等线"/>
        <charset val="134"/>
      </rPr>
      <t>UPC#193052083340"</t>
    </r>
    <r>
      <rPr>
        <sz val="10"/>
        <color rgb="FF000000"/>
        <rFont val="等线"/>
        <charset val="134"/>
      </rPr>
      <t xml:space="preserve">
</t>
    </r>
    <r>
      <rPr>
        <sz val="10"/>
        <color rgb="FF000000"/>
        <rFont val="等线"/>
        <charset val="134"/>
      </rPr>
      <t>Remark: *包装/外箱日期码按ZURU格式即可；</t>
    </r>
    <r>
      <rPr>
        <sz val="10"/>
        <color rgb="FF000000"/>
        <rFont val="等线"/>
        <charset val="134"/>
      </rPr>
      <t xml:space="preserve">
</t>
    </r>
    <r>
      <rPr>
        <sz val="10"/>
        <color rgb="FF000000"/>
        <rFont val="等线"/>
        <charset val="134"/>
      </rPr>
      <t xml:space="preserve">   </t>
    </r>
    <r>
      <rPr>
        <sz val="10"/>
        <color rgb="FF000000"/>
        <rFont val="等线"/>
        <charset val="134"/>
      </rPr>
      <t>*订单出美国，需要符合美国当地法规要求；</t>
    </r>
    <r>
      <rPr>
        <sz val="10"/>
        <color rgb="FF000000"/>
        <rFont val="等线"/>
        <charset val="134"/>
      </rPr>
      <t xml:space="preserve">
</t>
    </r>
    <r>
      <rPr>
        <sz val="10"/>
        <color rgb="FF000000"/>
        <rFont val="等线"/>
        <charset val="134"/>
      </rPr>
      <t xml:space="preserve">   </t>
    </r>
    <r>
      <rPr>
        <sz val="10"/>
        <color rgb="FF000000"/>
        <rFont val="等线"/>
        <charset val="134"/>
      </rPr>
      <t>*订单必须经过ZURU</t>
    </r>
    <r>
      <rPr>
        <sz val="10"/>
        <color rgb="FF000000"/>
        <rFont val="等线"/>
        <charset val="134"/>
      </rPr>
      <t xml:space="preserve">  </t>
    </r>
    <r>
      <rPr>
        <sz val="10"/>
        <color rgb="FF000000"/>
        <rFont val="等线"/>
        <charset val="134"/>
      </rPr>
      <t>QC验货并且通过后方可出货；</t>
    </r>
    <r>
      <rPr>
        <sz val="10"/>
        <color rgb="FF000000"/>
        <rFont val="等线"/>
        <charset val="134"/>
      </rPr>
      <t xml:space="preserve">
</t>
    </r>
    <r>
      <rPr>
        <sz val="10"/>
        <color rgb="FF000000"/>
        <rFont val="等线"/>
        <charset val="134"/>
      </rPr>
      <t xml:space="preserve">   </t>
    </r>
    <r>
      <rPr>
        <sz val="10"/>
        <color rgb="FF000000"/>
        <rFont val="等线"/>
        <charset val="134"/>
      </rPr>
      <t>*条码以订单显示为准</t>
    </r>
    <r>
      <rPr>
        <sz val="10"/>
        <color rgb="FF000000"/>
        <rFont val="等线"/>
        <charset val="134"/>
      </rPr>
      <t xml:space="preserve">  </t>
    </r>
    <r>
      <rPr>
        <sz val="10"/>
        <color rgb="FF000000"/>
        <rFont val="等线"/>
        <charset val="134"/>
      </rPr>
      <t>，请安排生产前先核对</t>
    </r>
    <r>
      <rPr>
        <sz val="10"/>
        <color rgb="FF000000"/>
        <rFont val="等线"/>
        <charset val="134"/>
      </rPr>
      <t xml:space="preserve">  </t>
    </r>
    <r>
      <rPr>
        <sz val="10"/>
        <color rgb="FF000000"/>
        <rFont val="等线"/>
        <charset val="134"/>
      </rPr>
      <t>，有问题请提出；</t>
    </r>
  </si>
  <si>
    <r>
      <rPr>
        <sz val="10"/>
        <color rgb="FF000000"/>
        <rFont val="宋体"/>
        <charset val="134"/>
      </rPr>
      <t>Mary</t>
    </r>
    <r>
      <rPr>
        <sz val="10"/>
        <color rgb="FF000000"/>
        <rFont val="等线"/>
        <charset val="134"/>
      </rPr>
      <t xml:space="preserve">  </t>
    </r>
    <r>
      <rPr>
        <sz val="10"/>
        <color rgb="FF000000"/>
        <rFont val="等线"/>
        <charset val="134"/>
      </rPr>
      <t>Qu/Savannah</t>
    </r>
  </si>
  <si>
    <r>
      <rPr>
        <sz val="10"/>
        <color rgb="FF000000"/>
        <rFont val="宋体"/>
        <charset val="134"/>
      </rPr>
      <t>JAKE'S</t>
    </r>
    <r>
      <rPr>
        <sz val="12"/>
        <color rgb="FF000000"/>
        <rFont val="宋体"/>
        <charset val="134"/>
        <scheme val="minor"/>
      </rPr>
      <t xml:space="preserve">  GLOBAL  TRADING  LTD</t>
    </r>
  </si>
  <si>
    <t>4500217769</t>
  </si>
  <si>
    <t>JTG00082</t>
  </si>
  <si>
    <t>4500217769-40</t>
  </si>
  <si>
    <r>
      <rPr>
        <sz val="10"/>
        <color rgb="FF000000"/>
        <rFont val="宋体"/>
        <charset val="134"/>
      </rPr>
      <t>日期码格式：ZURU</t>
    </r>
    <r>
      <rPr>
        <sz val="10"/>
        <color rgb="FF000000"/>
        <rFont val="等线"/>
        <charset val="134"/>
      </rPr>
      <t xml:space="preserve">  INC(BVI)  标准格式                                    日期</t>
    </r>
    <r>
      <rPr>
        <sz val="10"/>
        <color rgb="FF000000"/>
        <rFont val="汉仪书宋二KW"/>
        <charset val="134"/>
      </rPr>
      <t>：</t>
    </r>
    <r>
      <rPr>
        <sz val="10"/>
        <color rgb="FF000000"/>
        <rFont val="等线"/>
        <charset val="134"/>
      </rPr>
      <t>按实际生产日期
Packaging Info: 
77685GQ2:  最新MA-1L  UPC收缩膜+MA配套包装+MA  PDQ
Remark: *包装/外箱日期码按ZURU格式即可</t>
    </r>
    <r>
      <rPr>
        <sz val="10"/>
        <color rgb="FF000000"/>
        <rFont val="汉仪书宋二KW"/>
        <charset val="134"/>
      </rPr>
      <t>；</t>
    </r>
    <r>
      <rPr>
        <sz val="10"/>
        <color rgb="FF000000"/>
        <rFont val="等线"/>
        <charset val="134"/>
      </rPr>
      <t xml:space="preserve">
   *订单出美国</t>
    </r>
    <r>
      <rPr>
        <sz val="10"/>
        <color rgb="FF000000"/>
        <rFont val="汉仪书宋二KW"/>
        <charset val="134"/>
      </rPr>
      <t>，</t>
    </r>
    <r>
      <rPr>
        <sz val="10"/>
        <color rgb="FF000000"/>
        <rFont val="等线"/>
        <charset val="134"/>
      </rPr>
      <t>需要符合美国当地法规要求</t>
    </r>
    <r>
      <rPr>
        <sz val="10"/>
        <color rgb="FF000000"/>
        <rFont val="汉仪书宋二KW"/>
        <charset val="134"/>
      </rPr>
      <t>；</t>
    </r>
    <r>
      <rPr>
        <sz val="10"/>
        <color rgb="FF000000"/>
        <rFont val="等线"/>
        <charset val="134"/>
      </rPr>
      <t xml:space="preserve">
   *订单必须经过ZURU  QC验货并且通过后方可出货</t>
    </r>
    <r>
      <rPr>
        <sz val="10"/>
        <color rgb="FF000000"/>
        <rFont val="汉仪书宋二KW"/>
        <charset val="134"/>
      </rPr>
      <t>；</t>
    </r>
    <r>
      <rPr>
        <sz val="10"/>
        <color rgb="FF000000"/>
        <rFont val="等线"/>
        <charset val="134"/>
      </rPr>
      <t xml:space="preserve">
   *条码以订单显示为准  </t>
    </r>
    <r>
      <rPr>
        <sz val="10"/>
        <color rgb="FF000000"/>
        <rFont val="汉仪书宋二KW"/>
        <charset val="134"/>
      </rPr>
      <t>，</t>
    </r>
    <r>
      <rPr>
        <sz val="10"/>
        <color rgb="FF000000"/>
        <rFont val="等线"/>
        <charset val="134"/>
      </rPr>
      <t xml:space="preserve">请安排生产前先核对  </t>
    </r>
    <r>
      <rPr>
        <sz val="10"/>
        <color rgb="FF000000"/>
        <rFont val="汉仪书宋二KW"/>
        <charset val="134"/>
      </rPr>
      <t>，</t>
    </r>
    <r>
      <rPr>
        <sz val="10"/>
        <color rgb="FF000000"/>
        <rFont val="等线"/>
        <charset val="134"/>
      </rPr>
      <t>有问题请提出</t>
    </r>
    <r>
      <rPr>
        <sz val="10"/>
        <color rgb="FF000000"/>
        <rFont val="汉仪书宋二KW"/>
        <charset val="134"/>
      </rPr>
      <t>；</t>
    </r>
  </si>
  <si>
    <r>
      <rPr>
        <sz val="10"/>
        <color rgb="FF000000"/>
        <rFont val="宋体"/>
        <charset val="134"/>
      </rPr>
      <t>Mary</t>
    </r>
    <r>
      <rPr>
        <sz val="10"/>
        <color rgb="FF000000"/>
        <rFont val="等线"/>
        <charset val="134"/>
      </rPr>
      <t xml:space="preserve">  Qu/Savannah</t>
    </r>
  </si>
  <si>
    <t>BURLINGTON STORES, INC.</t>
  </si>
  <si>
    <t>4500217846</t>
  </si>
  <si>
    <t>385367201</t>
  </si>
  <si>
    <t>4500217846-70</t>
  </si>
  <si>
    <t>8/4客供价格贴+8/4外箱贴纸</t>
  </si>
  <si>
    <r>
      <rPr>
        <sz val="10"/>
        <color rgb="FF000000"/>
        <rFont val="宋体"/>
        <charset val="134"/>
      </rPr>
      <t>日期码格式：ZURU</t>
    </r>
    <r>
      <rPr>
        <sz val="10"/>
        <color rgb="FF000000"/>
        <rFont val="等线"/>
        <charset val="134"/>
      </rPr>
      <t xml:space="preserve">  INC(BVI) 标准格式                                    日期</t>
    </r>
    <r>
      <rPr>
        <sz val="10"/>
        <color rgb="FF000000"/>
        <rFont val="汉仪书宋二KW"/>
        <charset val="134"/>
      </rPr>
      <t>：</t>
    </r>
    <r>
      <rPr>
        <sz val="10"/>
        <color rgb="FF000000"/>
        <rFont val="等线"/>
        <charset val="134"/>
      </rPr>
      <t xml:space="preserve">按实际生产日期
Packaging Info: 1. ZURU MA    </t>
    </r>
    <r>
      <rPr>
        <sz val="10"/>
        <color rgb="FF000000"/>
        <rFont val="汉仪书宋二KW"/>
        <charset val="134"/>
      </rPr>
      <t>（</t>
    </r>
    <r>
      <rPr>
        <sz val="10"/>
        <color rgb="FF000000"/>
        <rFont val="等线"/>
        <charset val="134"/>
      </rPr>
      <t>首选1L</t>
    </r>
    <r>
      <rPr>
        <sz val="10"/>
        <color rgb="FF000000"/>
        <rFont val="汉仪书宋二KW"/>
        <charset val="134"/>
      </rPr>
      <t>）</t>
    </r>
    <r>
      <rPr>
        <sz val="10"/>
        <color rgb="FF000000"/>
        <rFont val="等线"/>
        <charset val="134"/>
      </rPr>
      <t>UPC版本+客供价格贴+外箱贴纸</t>
    </r>
    <r>
      <rPr>
        <sz val="10"/>
        <color rgb="FF000000"/>
        <rFont val="汉仪书宋二KW"/>
        <charset val="134"/>
      </rPr>
      <t>（</t>
    </r>
    <r>
      <rPr>
        <sz val="10"/>
        <color rgb="FF000000"/>
        <rFont val="等线"/>
        <charset val="134"/>
      </rPr>
      <t>为方便进行装柜区分</t>
    </r>
    <r>
      <rPr>
        <sz val="10"/>
        <color rgb="FF000000"/>
        <rFont val="汉仪书宋二KW"/>
        <charset val="134"/>
      </rPr>
      <t>，</t>
    </r>
    <r>
      <rPr>
        <sz val="10"/>
        <color rgb="FF000000"/>
        <rFont val="等线"/>
        <charset val="134"/>
      </rPr>
      <t>请按照后续提供的外箱贴纸文档去粘贴外箱</t>
    </r>
    <r>
      <rPr>
        <sz val="10"/>
        <color rgb="FF000000"/>
        <rFont val="汉仪书宋二KW"/>
        <charset val="134"/>
      </rPr>
      <t>），</t>
    </r>
    <r>
      <rPr>
        <sz val="10"/>
        <color rgb="FF000000"/>
        <rFont val="等线"/>
        <charset val="134"/>
      </rPr>
      <t>出口美国
Remark: 2. 产品和包装上印刷ZURU 标准日期码</t>
    </r>
    <r>
      <rPr>
        <sz val="10"/>
        <color rgb="FF000000"/>
        <rFont val="汉仪书宋二KW"/>
        <charset val="134"/>
      </rPr>
      <t>；</t>
    </r>
    <r>
      <rPr>
        <sz val="10"/>
        <color rgb="FF000000"/>
        <rFont val="等线"/>
        <charset val="134"/>
      </rPr>
      <t xml:space="preserve">
  3. 纸箱中间靠上沿印刷ZURU LOGO</t>
    </r>
    <r>
      <rPr>
        <sz val="10"/>
        <color rgb="FF000000"/>
        <rFont val="汉仪书宋二KW"/>
        <charset val="134"/>
      </rPr>
      <t>，</t>
    </r>
    <r>
      <rPr>
        <sz val="10"/>
        <color rgb="FF000000"/>
        <rFont val="等线"/>
        <charset val="134"/>
      </rPr>
      <t>见箱唛资料
  4. 外箱UCC  条码贴纸</t>
    </r>
    <r>
      <rPr>
        <sz val="10"/>
        <color rgb="FF000000"/>
        <rFont val="汉仪书宋二KW"/>
        <charset val="134"/>
      </rPr>
      <t>，</t>
    </r>
    <r>
      <rPr>
        <sz val="10"/>
        <color rgb="FF000000"/>
        <rFont val="等线"/>
        <charset val="134"/>
      </rPr>
      <t>尺寸: 4*6inch</t>
    </r>
    <r>
      <rPr>
        <sz val="10"/>
        <color rgb="FF000000"/>
        <rFont val="汉仪书宋二KW"/>
        <charset val="134"/>
      </rPr>
      <t>，</t>
    </r>
    <r>
      <rPr>
        <sz val="10"/>
        <color rgb="FF000000"/>
        <rFont val="等线"/>
        <charset val="134"/>
      </rPr>
      <t>贴在其中一面正唛右下角</t>
    </r>
    <r>
      <rPr>
        <sz val="10"/>
        <color rgb="FF000000"/>
        <rFont val="汉仪书宋二KW"/>
        <charset val="134"/>
      </rPr>
      <t>，</t>
    </r>
    <r>
      <rPr>
        <sz val="10"/>
        <color rgb="FF000000"/>
        <rFont val="等线"/>
        <charset val="134"/>
      </rPr>
      <t>贴纸距离外箱底部3.5cm, 侧边距离3.5cm。外箱贴纸由跟单提供电子版, 工厂自行安排</t>
    </r>
    <r>
      <rPr>
        <sz val="10"/>
        <color rgb="FF000000"/>
        <rFont val="汉仪书宋二KW"/>
        <charset val="134"/>
      </rPr>
      <t>，</t>
    </r>
    <r>
      <rPr>
        <sz val="10"/>
        <color rgb="FF000000"/>
        <rFont val="等线"/>
        <charset val="134"/>
      </rPr>
      <t>不可用
封箱胶覆盖贴纸条码</t>
    </r>
    <r>
      <rPr>
        <sz val="10"/>
        <color rgb="FF000000"/>
        <rFont val="汉仪书宋二KW"/>
        <charset val="134"/>
      </rPr>
      <t>，</t>
    </r>
    <r>
      <rPr>
        <sz val="10"/>
        <color rgb="FF000000"/>
        <rFont val="等线"/>
        <charset val="134"/>
      </rPr>
      <t>贴纸需要可以扫描且无损坏.
很重要</t>
    </r>
    <r>
      <rPr>
        <sz val="10"/>
        <color rgb="FF000000"/>
        <rFont val="汉仪书宋二KW"/>
        <charset val="134"/>
      </rPr>
      <t>：</t>
    </r>
    <r>
      <rPr>
        <sz val="10"/>
        <color rgb="FF000000"/>
        <rFont val="等线"/>
        <charset val="134"/>
      </rPr>
      <t xml:space="preserve">    每份贴纸文档的数量对应的是装柜数量</t>
    </r>
    <r>
      <rPr>
        <sz val="10"/>
        <color rgb="FF000000"/>
        <rFont val="汉仪书宋二KW"/>
        <charset val="134"/>
      </rPr>
      <t>，</t>
    </r>
    <r>
      <rPr>
        <sz val="10"/>
        <color rgb="FF000000"/>
        <rFont val="等线"/>
        <charset val="134"/>
      </rPr>
      <t>一个ID对应一个柜子</t>
    </r>
    <r>
      <rPr>
        <sz val="10"/>
        <color rgb="FF000000"/>
        <rFont val="汉仪书宋二KW"/>
        <charset val="134"/>
      </rPr>
      <t>，</t>
    </r>
    <r>
      <rPr>
        <sz val="10"/>
        <color rgb="FF000000"/>
        <rFont val="等线"/>
        <charset val="134"/>
      </rPr>
      <t>外箱贴纸需要按照SHIPMENT ID  (不会显示在贴纸上</t>
    </r>
    <r>
      <rPr>
        <sz val="10"/>
        <color rgb="FF000000"/>
        <rFont val="汉仪书宋二KW"/>
        <charset val="134"/>
      </rPr>
      <t>，</t>
    </r>
    <r>
      <rPr>
        <sz val="10"/>
        <color rgb="FF000000"/>
        <rFont val="等线"/>
        <charset val="134"/>
      </rPr>
      <t>在贴纸资料文档上命名上</t>
    </r>
    <r>
      <rPr>
        <sz val="10"/>
        <color rgb="FF000000"/>
        <rFont val="汉仪书宋二KW"/>
        <charset val="134"/>
      </rPr>
      <t>）</t>
    </r>
    <r>
      <rPr>
        <sz val="10"/>
        <color rgb="FF000000"/>
        <rFont val="等线"/>
        <charset val="134"/>
      </rPr>
      <t>去区分
,也就是同个item  line 但是SHIPMENT  ID  不一样不可以混在一起</t>
    </r>
    <r>
      <rPr>
        <sz val="10"/>
        <color rgb="FF000000"/>
        <rFont val="汉仪书宋二KW"/>
        <charset val="134"/>
      </rPr>
      <t>，</t>
    </r>
    <r>
      <rPr>
        <sz val="10"/>
        <color rgb="FF000000"/>
        <rFont val="等线"/>
        <charset val="134"/>
      </rPr>
      <t>贴纸和大货需要区分开</t>
    </r>
    <r>
      <rPr>
        <sz val="10"/>
        <color rgb="FF000000"/>
        <rFont val="汉仪书宋二KW"/>
        <charset val="134"/>
      </rPr>
      <t>，</t>
    </r>
    <r>
      <rPr>
        <sz val="10"/>
        <color rgb="FF000000"/>
        <rFont val="等线"/>
        <charset val="134"/>
      </rPr>
      <t>最后装柜会在不同的柜子里面。
5</t>
    </r>
    <r>
      <rPr>
        <sz val="10"/>
        <color rgb="FF000000"/>
        <rFont val="汉仪书宋二KW"/>
        <charset val="134"/>
      </rPr>
      <t>，</t>
    </r>
    <r>
      <rPr>
        <sz val="10"/>
        <color rgb="FF000000"/>
        <rFont val="等线"/>
        <charset val="134"/>
      </rPr>
      <t>每个产品有一个价格贴纸</t>
    </r>
    <r>
      <rPr>
        <sz val="10"/>
        <color rgb="FF000000"/>
        <rFont val="汉仪书宋二KW"/>
        <charset val="134"/>
      </rPr>
      <t>，</t>
    </r>
    <r>
      <rPr>
        <sz val="10"/>
        <color rgb="FF000000"/>
        <rFont val="等线"/>
        <charset val="134"/>
      </rPr>
      <t xml:space="preserve">    价格贴纸覆盖UPC条码上    </t>
    </r>
    <r>
      <rPr>
        <sz val="10"/>
        <color rgb="FF000000"/>
        <rFont val="汉仪书宋二KW"/>
        <charset val="134"/>
      </rPr>
      <t>（</t>
    </r>
    <r>
      <rPr>
        <sz val="10"/>
        <color rgb="FF000000"/>
        <rFont val="等线"/>
        <charset val="134"/>
      </rPr>
      <t>若UPC 条码太大</t>
    </r>
    <r>
      <rPr>
        <sz val="10"/>
        <color rgb="FF000000"/>
        <rFont val="汉仪书宋二KW"/>
        <charset val="134"/>
      </rPr>
      <t>，</t>
    </r>
    <r>
      <rPr>
        <sz val="10"/>
        <color rgb="FF000000"/>
        <rFont val="等线"/>
        <charset val="134"/>
      </rPr>
      <t>可以露出ITEM#, 覆盖条码即可</t>
    </r>
    <r>
      <rPr>
        <sz val="10"/>
        <color rgb="FF000000"/>
        <rFont val="汉仪书宋二KW"/>
        <charset val="134"/>
      </rPr>
      <t>），</t>
    </r>
    <r>
      <rPr>
        <sz val="10"/>
        <color rgb="FF000000"/>
        <rFont val="等线"/>
        <charset val="134"/>
      </rPr>
      <t>收到价格贴时就要确认所有款式的价格贴是否太大
会覆盖UPC 会挡住文字/图案</t>
    </r>
    <r>
      <rPr>
        <sz val="10"/>
        <color rgb="FF000000"/>
        <rFont val="汉仪书宋二KW"/>
        <charset val="134"/>
      </rPr>
      <t>，</t>
    </r>
    <r>
      <rPr>
        <sz val="10"/>
        <color rgb="FF000000"/>
        <rFont val="等线"/>
        <charset val="134"/>
      </rPr>
      <t>需用空白贴覆盖UPC</t>
    </r>
    <r>
      <rPr>
        <sz val="10"/>
        <color rgb="FF000000"/>
        <rFont val="汉仪书宋二KW"/>
        <charset val="134"/>
      </rPr>
      <t>，</t>
    </r>
    <r>
      <rPr>
        <sz val="10"/>
        <color rgb="FF000000"/>
        <rFont val="等线"/>
        <charset val="134"/>
      </rPr>
      <t>价格贴纸移到空白处。贴的时候要是会覆盖包装上重要的信息和图案</t>
    </r>
    <r>
      <rPr>
        <sz val="10"/>
        <color rgb="FF000000"/>
        <rFont val="汉仪书宋二KW"/>
        <charset val="134"/>
      </rPr>
      <t>，</t>
    </r>
    <r>
      <rPr>
        <sz val="10"/>
        <color rgb="FF000000"/>
        <rFont val="等线"/>
        <charset val="134"/>
      </rPr>
      <t>需要告知跟单。</t>
    </r>
  </si>
  <si>
    <t>385368501</t>
  </si>
  <si>
    <t>4500217846-80</t>
  </si>
  <si>
    <t>CONTINENTE S.A.</t>
  </si>
  <si>
    <t>哥伦比亚</t>
  </si>
  <si>
    <t>4500216739</t>
  </si>
  <si>
    <t>COL-46-26-FALL</t>
  </si>
  <si>
    <t>4500216739-10</t>
  </si>
  <si>
    <t>欠</t>
  </si>
  <si>
    <t>欠进口商贴纸+UPC贴纸</t>
  </si>
  <si>
    <t>包装/产品/外箱指定日期码：DG20260918</t>
  </si>
  <si>
    <r>
      <rPr>
        <sz val="10"/>
        <color rgb="FF000000"/>
        <rFont val="宋体"/>
        <charset val="134"/>
      </rPr>
      <t>日期码格式：DG20260918</t>
    </r>
    <r>
      <rPr>
        <sz val="10"/>
        <color rgb="FF000000"/>
        <rFont val="宋体"/>
        <charset val="134"/>
        <scheme val="minor"/>
      </rPr>
      <t xml:space="preserve">                  </t>
    </r>
    <r>
      <rPr>
        <sz val="10"/>
        <color rgb="FF000000"/>
        <rFont val="宋体"/>
        <charset val="134"/>
        <scheme val="minor"/>
      </rPr>
      <t>日期：</t>
    </r>
    <r>
      <rPr>
        <sz val="10"/>
        <color rgb="FF000000"/>
        <rFont val="宋体"/>
        <charset val="134"/>
        <scheme val="minor"/>
      </rPr>
      <t xml:space="preserve">
</t>
    </r>
    <r>
      <rPr>
        <sz val="10"/>
        <color rgb="FF000000"/>
        <rFont val="宋体"/>
        <charset val="134"/>
        <scheme val="minor"/>
      </rPr>
      <t>Packaging Info: 77685GQ2/77555GQ2/77773GQ2/77843GQ2/77711GQ2/77772GQ2/77794UQ1/9296/77711SK:MA 多语包装+进口商贴纸+UPC贴纸+箱唛</t>
    </r>
    <r>
      <rPr>
        <sz val="10"/>
        <color rgb="FF000000"/>
        <rFont val="宋体"/>
        <charset val="134"/>
        <scheme val="minor"/>
      </rPr>
      <t xml:space="preserve">
</t>
    </r>
    <r>
      <rPr>
        <sz val="10"/>
        <color rgb="FF000000"/>
        <rFont val="宋体"/>
        <charset val="134"/>
        <scheme val="minor"/>
      </rPr>
      <t>Remark: 整单包装/产品/外箱指定日期码：DG20260918</t>
    </r>
  </si>
  <si>
    <t>25年年存+实际接单</t>
  </si>
  <si>
    <t>25年已删</t>
  </si>
  <si>
    <r>
      <rPr>
        <b/>
        <sz val="14"/>
        <rFont val="Arial"/>
        <charset val="0"/>
      </rPr>
      <t xml:space="preserve">ZURU  5 Surprise Fidget Links </t>
    </r>
    <r>
      <rPr>
        <b/>
        <sz val="14"/>
        <rFont val="宋体"/>
        <charset val="0"/>
      </rPr>
      <t>（双色恐龙）生产排期表</t>
    </r>
    <r>
      <rPr>
        <b/>
        <sz val="14"/>
        <rFont val="Arial"/>
        <charset val="0"/>
      </rPr>
      <t xml:space="preserve"> #77907</t>
    </r>
  </si>
  <si>
    <t>WMCA-膜</t>
  </si>
  <si>
    <t>WMCA-GQ3</t>
  </si>
  <si>
    <t>A龙</t>
  </si>
  <si>
    <t>B龙</t>
  </si>
  <si>
    <t>C龙</t>
  </si>
  <si>
    <t>D龙</t>
  </si>
  <si>
    <t>E龙</t>
  </si>
  <si>
    <t>F龙</t>
  </si>
  <si>
    <t>215101客版</t>
  </si>
  <si>
    <t>与SP订单核对情况</t>
  </si>
  <si>
    <t>ZMP0260608</t>
  </si>
  <si>
    <t>同PP订单备料</t>
  </si>
  <si>
    <t>ZMP0260608-10</t>
  </si>
  <si>
    <t>77907-S001</t>
  </si>
  <si>
    <t>双色龙24PCS/CTN</t>
  </si>
  <si>
    <t>已送</t>
  </si>
  <si>
    <t>Remark：跟PP订单一起安排/麻烦按款号装箱/并在外箱上注明款号/大货标准箱装箱/箱唛参照邮件附件</t>
  </si>
  <si>
    <t>ZMP0260608-20</t>
  </si>
  <si>
    <t>50套散件</t>
  </si>
  <si>
    <t>Remark：跟PP订单一起安排/只需要齐全套散件/麻烦用胶袋分装好一套为一袋/箱唛参照邮件附件</t>
  </si>
  <si>
    <t>ZMP0260608-30</t>
  </si>
  <si>
    <t>77907GQ1-5001</t>
  </si>
  <si>
    <t>GQ1空PDQ</t>
  </si>
  <si>
    <t>Remark：跟PP订单一起安排/只需要空PDQ/箱唛参照邮件附件</t>
  </si>
  <si>
    <t>ZMP0260608-40</t>
  </si>
  <si>
    <t>77907GQ2-5001</t>
  </si>
  <si>
    <t>GQ2空PDQ（带demo）</t>
  </si>
  <si>
    <t>Remark：眼PP订单一起安排/只需要空PDQ(包含PDQ上的Deno+盒子)/箱唛参照邮件附件</t>
  </si>
  <si>
    <t>ZPO2605013</t>
  </si>
  <si>
    <t>#ZPO2605013-10</t>
  </si>
  <si>
    <t>空白箱</t>
  </si>
  <si>
    <t>MA包装</t>
  </si>
  <si>
    <t>Ava Shuai</t>
  </si>
  <si>
    <t>#ZPO2605013-30</t>
  </si>
  <si>
    <t>77907GQ2-S001-FS</t>
  </si>
  <si>
    <t>双色龙24PCS/GQ2*2/CTN</t>
  </si>
  <si>
    <t>转实单4500215730  240pcs</t>
  </si>
  <si>
    <t>ZURU  NEW  ZEALAND  LIMITED</t>
  </si>
  <si>
    <t>4500213500</t>
  </si>
  <si>
    <t>5200010712</t>
  </si>
  <si>
    <t>4500213500-10</t>
  </si>
  <si>
    <t>7/17 交仓</t>
  </si>
  <si>
    <t>7/1 UPC贴纸+fast  start 黄色贴纸可以 接受自行A4纸打印</t>
  </si>
  <si>
    <t>从#ZPO2605013中扣除</t>
  </si>
  <si>
    <t>日期码格式：ZURU  INC(BVI)  标准格式                                    日期：按实际生产日期
Packaging Info: NZ  FAST  START  ORDER,  从PP  PO中扣除数量，MA  1L  UPC包装，每个产品需要更换UPC贴纸，外箱除常规箱唛外，需要贴一张黄色贴纸，印"fast  start".
Remark：</t>
  </si>
  <si>
    <t>SD92</t>
  </si>
  <si>
    <t>77907GQ2-S001</t>
  </si>
  <si>
    <t>兴信B</t>
  </si>
  <si>
    <t>核对ok</t>
  </si>
  <si>
    <t>ZURU NEW ZEALAND LIMITED</t>
  </si>
  <si>
    <t>4500215730</t>
  </si>
  <si>
    <t>5200010745</t>
  </si>
  <si>
    <t>4500215730-20</t>
  </si>
  <si>
    <t>7/22 交仓</t>
  </si>
  <si>
    <t>贴一张黄色A4纸，印"fast start"内容车间自行打印</t>
  </si>
  <si>
    <t>消耗#ZPO2605013</t>
  </si>
  <si>
    <t>日期码格式：ZURU INC(BVI) 标准格式                  日期：按实际生产日期
Packaging Info: MA英语UPC版本包装（首选1LUPC，如果无1L可用多语含英语UPC版本）+ STD版本的UPC条码即可+贴一张黄色A4纸，印"fast start"内容+箱唛
UPC：
77907GQ2: 193052111180
Remark: 1.请务必按时完货，验货。并且按期送货入货代指定仓库，如果晚了导致船期Delay将会有罚金产生或者客户要求空运，所产生的罚金和空运费由工厂承担。
2.外箱材质为ZURU标准；
3.此单需使用KMART封箱胶上下工字型封箱;从2019年6月开始，要用KMART 新版封箱胶带，此单要用"ANKO"封箱胶带
4.此单出口新西兰，请按相应的澳新标准生产；
5.产品和包装上生产批号的显示格式ZURU标准日期码格式
6.外箱信息不可手写，重量和体积需要与实际的一致(不可手写）实际外箱重量跟印在箱唛上的数据差异不能超3%，尺寸按实际数据印刷
7.所有带纽扣电池的产品都需要在产品包装以及说明书上贴纽扣电池警告语贴纸</t>
  </si>
  <si>
    <t>SD01</t>
  </si>
  <si>
    <r>
      <rPr>
        <sz val="10"/>
        <color rgb="FF000000"/>
        <rFont val="宋体"/>
        <charset val="134"/>
      </rPr>
      <t>WAL-MART</t>
    </r>
    <r>
      <rPr>
        <sz val="10"/>
        <color rgb="FF000000"/>
        <rFont val="宋体"/>
        <charset val="0"/>
      </rPr>
      <t xml:space="preserve">  CANADA  CORP.</t>
    </r>
  </si>
  <si>
    <t>4500215101</t>
  </si>
  <si>
    <t>4500215101-10</t>
  </si>
  <si>
    <t>77907GQ3-S001</t>
  </si>
  <si>
    <t>双色龙16PCS/GQ3/CTN</t>
  </si>
  <si>
    <t>8/7抽办 8/17BV</t>
  </si>
  <si>
    <t>8/25 交仓</t>
  </si>
  <si>
    <t>日期码格式：ZURU  INC(BVI)  标准格式                                    日期：按实际生产日期
Packaging Info: #77907：
客版3L  PDQ(16装)+客版收缩膜(UPC:193052111180)+MA5L收藏指南+MA配件袋
Remark: 1.  此单有箱唛;
          2.  若有UPC贴纸：     必须在原来错误的条码上用黑色粗头笔涂黑直至不能扫描，再贴上正确        的UPC;
          3.  此单有第三方验货，烦请多备包装物料；
          4.  此单须于2026/7/31安排签板，签样数量：大货样3pcs+空PDQ2pcs+齐套散件3sets
            5.此单须于2026/8/7安排抽板测试，抽板数量：随机大货球4pcs+齐套散件4sets
          *********************
          a.  请确保产品符合1999年版本的加拿大环境保护法(CEPA)和2012年禁止某些有毒物        质法规的要求。该产品不含任何在加拿大禁用的化学物质，包括但不限
于有毒物
          质清单中列出的化学物质，并且在为加拿大沃尔玛生产产品期间没有使用任何禁用化        学物质。
          Supplier  certify  that  the  products  comply  with  the  requirements  of  Canadian          Environmental  Protection  Act,  1999  (CEPA),  Prohibition  of  Ce
rtain  To
          xic  Substances  Regulations,  2012.
          The  products  do  not  contain  any  chemicals  that  are  banned  in  Canada,  including  but          not  limited  to  those  listed  in  the  Toxic  Substances  L
ist  and
          no  banned  chemicals  were  used  during  the  manufacturing  of  product  for  Walmart          Canada.
附件列表：(1)  Letter  of  Guarantee  for  Canada  banned  chemicals  -  (1-5CA)
          b.  请确保产品在均质材料中的汞浓度不超过0. 1%（按重量计）。
          Supplier  certify  that  the  WAL-MART  vendor  products  does  not  have  a  mercury          concentration  of  more  than  0. 1%  by  weight  in  homogeneous  mate
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</si>
  <si>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</si>
  <si>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TOYS  "R"  US   –  JAPAN,  LTD</t>
  </si>
  <si>
    <t>4500215618</t>
  </si>
  <si>
    <t>4500215618-10</t>
  </si>
  <si>
    <r>
      <rPr>
        <sz val="11"/>
        <color rgb="FF000000"/>
        <rFont val="宋体"/>
        <charset val="134"/>
      </rPr>
      <t xml:space="preserve">日期码格式：ZURU INC(BVI) 标准格式 日期：按实际生产日期
Packaging Info: 从PP大货中挪产品,跟PP包装 1L,外箱需加一张fast start贴纸,箱唛待提供; </t>
    </r>
    <r>
      <rPr>
        <sz val="11"/>
        <color rgb="FFFF0000"/>
        <rFont val="宋体"/>
        <charset val="134"/>
      </rPr>
      <t>未出货的item都需加贴进口商贴纸,待提供图稿</t>
    </r>
    <r>
      <rPr>
        <sz val="11"/>
        <color rgb="FF000000"/>
        <rFont val="宋体"/>
        <charset val="134"/>
      </rPr>
      <t xml:space="preserve">
每个SKU需寄1pc样品给到客人review, 跟PP包装,任意一个assortment,无需贴纸,寄到SZ办公室,请告知最快能寄出的时间;
Remark: 77907GQ2-6 Assortment</t>
    </r>
  </si>
  <si>
    <t>Emma  Wu</t>
  </si>
  <si>
    <t>WAL-MART  CANADA  CORP.</t>
  </si>
  <si>
    <t>4500216019</t>
  </si>
  <si>
    <t>2551020544</t>
  </si>
  <si>
    <t>4500216019-10</t>
  </si>
  <si>
    <t>8/21 BV</t>
  </si>
  <si>
    <t>日期码格式：ZURU  INC(BVI)  标准格式                                    日期：按实际生产日期
Packaging Info: #77907：
客版3L  PDQ(16装)+客版收缩膜(UPC:193052111180)+MA5L收藏指南+MA配件袋
翻单：4500215101
Remark: 1.  此单有箱唛；
   2.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 1%（按重量计）。
Supplier  certify  that  the  WAL-MART  vendor  products  does  not  have  a  mercury  concentration  of  more  than  0. 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</si>
  <si>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SMYTHS TOYS EU HQ UC</t>
  </si>
  <si>
    <t>4500213935</t>
  </si>
  <si>
    <t>4400579657</t>
  </si>
  <si>
    <t>4500213935-10</t>
  </si>
  <si>
    <t>77907GQ2-S002</t>
  </si>
  <si>
    <t>双色龙24PCS/GQ2/CTN</t>
  </si>
  <si>
    <t>7/2 回收标贴纸</t>
  </si>
  <si>
    <t>日期码格式：ZURU INC(BVI) 标准格式                  日期：按实际生产日期
Packaging Info: "77907GQ2: 最新MA 3L EAN收缩膜+1张含德意荷警语/法国回收标贴纸(本单放稿)+MA 5L收藏指南+MA纸袋+MA PDQ(优先多语)
EAN#4894680064591
6 Assortments
**外箱需要加向上标识**"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</si>
  <si>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Mary Qu</t>
  </si>
  <si>
    <t>77907GQ2-S002-3L</t>
  </si>
  <si>
    <t>SMYTHS  TOYS  EU  HQ  UNLIMITED  COMPANY</t>
  </si>
  <si>
    <t>4500214983</t>
  </si>
  <si>
    <t>4400568239</t>
  </si>
  <si>
    <t>4500214983-10</t>
  </si>
  <si>
    <t>7/3 外箱需要加向上标识</t>
  </si>
  <si>
    <t>7/14 法国回收表贴纸</t>
  </si>
  <si>
    <r>
      <rPr>
        <sz val="11"/>
        <color rgb="FF000000"/>
        <rFont val="宋体"/>
        <charset val="134"/>
      </rPr>
      <t>日期码格式：ZURU INC(BVI) 标准格式 日期：按实际生产日期
Packaging Info: 77907GQ2: 最新MA 3L EAN收缩膜+1张通用非电款法国回收表贴纸</t>
    </r>
    <r>
      <rPr>
        <sz val="11"/>
        <color rgb="FFFF0000"/>
        <rFont val="宋体"/>
        <charset val="134"/>
      </rPr>
      <t>(本单放稿；贴于球顶)+MA 5L收藏指南+MA纸袋+MA PDQ(优先多语)</t>
    </r>
    <r>
      <rPr>
        <sz val="11"/>
        <color rgb="FF000000"/>
        <rFont val="宋体"/>
        <charset val="134"/>
      </rPr>
      <t xml:space="preserve">
EAN#4894680064591
6 Assortments
**外箱需要加向上标识**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r>
  </si>
  <si>
    <t>Mary  Qu</t>
  </si>
  <si>
    <t>4400568238</t>
  </si>
  <si>
    <t>4500214983-20</t>
  </si>
  <si>
    <t>ZURU  GERMANY  GMBH</t>
  </si>
  <si>
    <t>4500216366</t>
  </si>
  <si>
    <t>5200010675</t>
  </si>
  <si>
    <t>4500216366-10</t>
  </si>
  <si>
    <t>77907GQ1-S002-MTS</t>
  </si>
  <si>
    <t>双色龙13PCS/GQ1/CTN</t>
  </si>
  <si>
    <t>7/24 多语折叠警语贴纸</t>
  </si>
  <si>
    <t>日期码格式：ZURU  INC(BVI)  标准格式                                    日期：按实际生产日期
Packaging Info: 77907GQ1：MA  3L  EAN  收缩膜+1*多语折叠警语贴纸+MA  内袋+  MA  5L+23L  收藏指南+  MA  最新版  3L  PDQ
Remark: "1.德国内销单，需要通过ZURU  验货结果后才能出货  (工厂需要主动提前同ZURU  QC预约验货避免延期出货造成不必要麻烦)；
2.产品如含有硅藻泥干燥剂，需要另外加一张14L干燥剂说明书 。产品如含有化学品（slime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</si>
  <si>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Faye  Lei,Amy  Xiao</t>
  </si>
  <si>
    <t>ZURU  LLC</t>
  </si>
  <si>
    <t>4500219729-10</t>
  </si>
  <si>
    <t>8/14UPC贴纸</t>
  </si>
  <si>
    <t>未出签板</t>
  </si>
  <si>
    <t xml:space="preserve">日期码格式：ZURU  INC(BVI)  标准格式                                    日期：按实际生产日期
Packaging Info: 77907:
1.产品包装要求：
MA  1L  A版收缩膜+MA  5+23L  A版收藏指南+MA  A版纸袋+MA  1L  A版PDQ  +客版UPC贴纸.
2.NO  RFID   –  不需要RFID
NEW  UPC  与STD  不同，     需加贴NEW  UPC贴纸。贴前须用黑色笔将原  UPC  码完全涂黑，使其无法扫描，再粘贴新  UPC  贴纸。
Remark: 77907:
1.产品包装要求：
MA  1L  A版收缩膜+MA  5+23L  A版收藏指南+MA  A版纸袋+MA  1L  A版PDQ  +客版UPC贴纸.
2.NO  RFID   –  不需要RFID
NEW  UPC  与STD  不同，     需加贴NEW  UPC贴纸。贴前须用黑色笔将原  UPC  码完全涂黑，使其无法扫描，再粘贴新  UPC  贴纸。
#77907——77907GQ2-S001-FS
UPC：193052117489
GTIN：10193052117486
3.外箱唛参考提供的模版，排版供确认后，才能生产。
4.此MTS订单不需要第三方抽板验货，但是要通过ZURU  QC验货PASS后才能出货。    空运到3PL仓库。
</t>
  </si>
  <si>
    <r>
      <rPr>
        <sz val="10"/>
        <color rgb="FF000000"/>
        <rFont val="宋体"/>
        <charset val="134"/>
      </rPr>
      <t>ZURU</t>
    </r>
    <r>
      <rPr>
        <sz val="10"/>
        <color rgb="FF000000"/>
        <rFont val="宋体"/>
        <charset val="0"/>
      </rPr>
      <t xml:space="preserve">  FRANCE</t>
    </r>
  </si>
  <si>
    <t>4500215153</t>
  </si>
  <si>
    <t>5200009939</t>
  </si>
  <si>
    <t>4500215153-20</t>
  </si>
  <si>
    <t>7/27多语折叠贴纸</t>
  </si>
  <si>
    <t>日期码格式：ZURU  INC(BVI)  标准格式                                    日期：按实际生产日期
Packaging Info: 
77907GQ1:  最新MA3L  EAN收缩膜  +  最新MA  5L（23L  warning)收藏指南+  MA  3L  PDQ  +  多语折叠贴纸（含缺失法意西环保标）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包含DEMO或者Demo  BOX的产品外箱请都统一增加向上标示，
以防倒置造成产品移位或损坏，demo  box外箱需要增加‘Contains  Demo  Box.  Non-Saleable  Unit’。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带电池产品都需要包含最新29LWEEE黑白说明书(带电池出货/不带电池出货)。产品里如果含干燥剂，请附上干燥剂14L说明书。
8，MTS所有订单，SMASHERS  或含Slime产品，所有化合物使用低硼版本出；BOB系列要符合欧洲要求不含亚硝酸版本;  XShot  Hyper系列，统一出EN71版本;  Slime  M
art统一用EUR版本的包装。#17601需要出NS版本。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</si>
  <si>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SD83</t>
  </si>
  <si>
    <t>4500216023</t>
  </si>
  <si>
    <t>2551020545</t>
  </si>
  <si>
    <t>4500216023-10</t>
  </si>
  <si>
    <t>有第三方验货</t>
  </si>
  <si>
    <t>KANDYTOYS LIMITED</t>
  </si>
  <si>
    <t>EB090626ZUR15513</t>
  </si>
  <si>
    <t>4500217785-20</t>
  </si>
  <si>
    <t>8/7 PDQ底部贴纸</t>
  </si>
  <si>
    <t>日期码格式：ZURU  INC(BVI) 标准格式                                    日期：按实际生产日期
Packaging Info: 77907GQ2：MA A1L UPC 收缩膜（193052111180）+  MA A1L PDQ  +  PDQ底部贴纸（35063389177226）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 新款需要三套大货样</t>
  </si>
  <si>
    <t>4500217555</t>
  </si>
  <si>
    <t>87314</t>
  </si>
  <si>
    <t>4500217555-10</t>
  </si>
  <si>
    <t>7/24 进口商贴纸</t>
  </si>
  <si>
    <t>日期码格式：ZURU  INC(BVI) 标准格式                                    日期：按实际生产日期
Packaging Info: 77907GQ2-S002: MA包装(UPC版本，首选1L，无1L可用多L含英语)+1张进口商贴纸
配比信息: 6  Assortment
Remark: 1.按实际生产日期;
  2 .出澳大利亚，请按照相应标准生产;
  3 .所有带纽扣电池的产品都需要在产品包装以及说明书上贴纽扣电池警告语贴纸</t>
  </si>
  <si>
    <t>Louise Lu</t>
  </si>
  <si>
    <t>转华登</t>
  </si>
  <si>
    <t>INDIGO CANADA</t>
  </si>
  <si>
    <t>4500218139</t>
  </si>
  <si>
    <t>4552698649</t>
  </si>
  <si>
    <t>4500218139-20</t>
  </si>
  <si>
    <t>8/3 价格贴纸+UPC条码贴纸+外箱条码贴纸</t>
  </si>
  <si>
    <t>日期码格式：ZURU  INC(BVI) 标准格式                                    日期：按实际生产日期
Packaging Info: 
77907GQ2 MA 3L   EAN+UPC贴纸193052111180
Remark: 出加拿大
有价格贴纸  (Low  Tack  ,must peel off easily without leaving  adhesive  residue)
有shipping  label (贴4面）
Zuru验货.日期跟踪码：产品外包装及产品本身都必须有日期跟踪码，ZURU标准格式日期码。</t>
  </si>
  <si>
    <t>katrina</t>
  </si>
  <si>
    <t>4500218086</t>
  </si>
  <si>
    <t>020128</t>
  </si>
  <si>
    <t>4500218086-10</t>
  </si>
  <si>
    <t>9/14 抽办50%</t>
  </si>
  <si>
    <t>日期码格式：ZURU  INC(BVI) 标准格式                                    日期：按实际生产日期
Packaging Info: 1. 包装方式：MA UPC优先1L，出口美国
  2. 产品和包装上面要有ZURU格式tracking  code
  3. ZURU标准日期码格式
Remark: 1. 9/14抽版测试（须至少完成总数量的50%以上货好入箱，需每一客户PO都有完成入箱的数量）
  2.ZURU QC验货OK + 客户QC验货OK + 抽板测试报告OK后方可出货
  3. 产品和包装不能含有PFAS物质
  4. 产品和包装须符合俄勒冈州HPCCCH测试要求
  5. 所有产品或材料不得来自新疆维吾尔自治区
  6. 产品和包装不能含有1,4 -二氧六环</t>
  </si>
  <si>
    <t>212730</t>
  </si>
  <si>
    <t>4500218086-20</t>
  </si>
  <si>
    <t>441687</t>
  </si>
  <si>
    <t>4500218086-30</t>
  </si>
  <si>
    <t>480923</t>
  </si>
  <si>
    <t>4500218086-40</t>
  </si>
  <si>
    <t>493496</t>
  </si>
  <si>
    <t>4500218086-50</t>
  </si>
  <si>
    <t>672754</t>
  </si>
  <si>
    <t>4500218086-60</t>
  </si>
  <si>
    <t>824882</t>
  </si>
  <si>
    <t>4500218086-70</t>
  </si>
  <si>
    <t>4500216029</t>
  </si>
  <si>
    <t>2551020546</t>
  </si>
  <si>
    <t>4500216029-10</t>
  </si>
  <si>
    <r>
      <rPr>
        <sz val="10"/>
        <color rgb="FF000000"/>
        <rFont val="宋体"/>
        <charset val="134"/>
      </rPr>
      <t>KANDYTOYS</t>
    </r>
    <r>
      <rPr>
        <sz val="11"/>
        <color rgb="FF000000"/>
        <rFont val="宋体"/>
        <charset val="134"/>
        <scheme val="minor"/>
      </rPr>
      <t xml:space="preserve">  </t>
    </r>
    <r>
      <rPr>
        <sz val="11"/>
        <color rgb="FF000000"/>
        <rFont val="宋体"/>
        <charset val="134"/>
        <scheme val="minor"/>
      </rPr>
      <t>LIMITED</t>
    </r>
  </si>
  <si>
    <t>4500218939</t>
  </si>
  <si>
    <t>AS290726ZUR15597</t>
  </si>
  <si>
    <t>4500218939-10</t>
  </si>
  <si>
    <t>77907GQ1-S001</t>
  </si>
  <si>
    <t>双色龙13PCS/GQ1*4/CTN</t>
  </si>
  <si>
    <t>8/13 PDQ底部贴纸</t>
  </si>
  <si>
    <t>日期码格式：ZURU  INC(BVI)  标准格式                                    日期：按实际生产日期
Packaging Info: 【行项目30】
77907GQ1：MA  A1L  UPC收缩膜（193052111180）+MA  A5L收藏指南+MA  A1L纸袋+MA  A1L  PDQ+PDQ底部贴纸（35063389177226）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  新品需要三套大货样</t>
  </si>
  <si>
    <r>
      <rPr>
        <sz val="10"/>
        <color rgb="FF000000"/>
        <rFont val="宋体"/>
        <charset val="134"/>
      </rPr>
      <t>Zoe</t>
    </r>
    <r>
      <rPr>
        <sz val="11"/>
        <color rgb="FF000000"/>
        <rFont val="宋体"/>
        <charset val="134"/>
        <scheme val="minor"/>
      </rPr>
      <t xml:space="preserve">  </t>
    </r>
    <r>
      <rPr>
        <sz val="11"/>
        <color rgb="FF000000"/>
        <rFont val="宋体"/>
        <charset val="134"/>
        <scheme val="minor"/>
      </rPr>
      <t>Zhou</t>
    </r>
  </si>
  <si>
    <t>无bom</t>
  </si>
  <si>
    <r>
      <rPr>
        <sz val="10"/>
        <color rgb="FF000000"/>
        <rFont val="宋体"/>
        <charset val="134"/>
      </rPr>
      <t>UPD,</t>
    </r>
    <r>
      <rPr>
        <sz val="11"/>
        <color rgb="FF000000"/>
        <rFont val="宋体"/>
        <charset val="134"/>
        <scheme val="minor"/>
      </rPr>
      <t xml:space="preserve">  </t>
    </r>
    <r>
      <rPr>
        <sz val="11"/>
        <color rgb="FF000000"/>
        <rFont val="宋体"/>
        <charset val="134"/>
        <scheme val="minor"/>
      </rPr>
      <t>INC.</t>
    </r>
  </si>
  <si>
    <t>4500218444</t>
  </si>
  <si>
    <t>37070</t>
  </si>
  <si>
    <t>4500218444-110</t>
  </si>
  <si>
    <t>日期码格式：ZURU  INC(BVI)  标准格式                                    日期：按实际生产日期
Packaging Info: 1.  包装方式：MA  UPC  优先1L  最新包装，出口美国
Remark: 2.  外箱箱唛红色和黑色双色印刷
   3.  产品和包装上印刷tracking  code信息，格式为ZURU常规</t>
  </si>
  <si>
    <r>
      <rPr>
        <sz val="10"/>
        <color rgb="FF000000"/>
        <rFont val="宋体"/>
        <charset val="134"/>
      </rPr>
      <t>Angel</t>
    </r>
    <r>
      <rPr>
        <sz val="11"/>
        <color rgb="FF000000"/>
        <rFont val="宋体"/>
        <charset val="134"/>
        <scheme val="minor"/>
      </rPr>
      <t xml:space="preserve">  </t>
    </r>
    <r>
      <rPr>
        <sz val="11"/>
        <color rgb="FF000000"/>
        <rFont val="宋体"/>
        <charset val="134"/>
        <scheme val="minor"/>
      </rPr>
      <t>Lin</t>
    </r>
  </si>
  <si>
    <t>GAMESTOP</t>
  </si>
  <si>
    <t>4500217700</t>
  </si>
  <si>
    <t>4500059035</t>
  </si>
  <si>
    <t>4500217700-10</t>
  </si>
  <si>
    <t>日期码格式：ZURU  INC(BVI) 标准格式                                    日期：按实际生产日期
Packaging Info: 1. 出口美国，MA UPC 版本包装，优先1L。
Remark: 2. ZURU QC 验货即可。</t>
  </si>
  <si>
    <t>Abby Mai</t>
  </si>
  <si>
    <t>COOP COOPERATIVE</t>
  </si>
  <si>
    <t>4500218739</t>
  </si>
  <si>
    <t>7211693414</t>
  </si>
  <si>
    <t>4500218739-20</t>
  </si>
  <si>
    <t>欠价格贴纸+警语贴纸+价格贴纸（同产品一样）+通用地址贴纸</t>
  </si>
  <si>
    <t>日期码格式：ZURU  INC(BVI)  标准格式                                    日期：按实际生产日期
Packaging Info: 
77907GQ1:  MA  3L  EAN  收缩膜+1*客户价格贴纸+1*（DE+IT）警语贴纸+MA  5L+23L  收藏指南+MA  纸袋+MA  A版  3L  PDQ  +1*客户价格贴纸（同产品一样）+1*Zuru  PDQ
展示架通用地址贴纸
Remark: 1.  大货样品3套每款每色，用于第三方验货+客户签板，请多备包装物料。如果有PDQ，需要2pcs  空PDQ（客户签板使用）
   2.  客户价格贴纸需使用可移动并无表面处理。EAN  条码贴纸和警语类需要不可移动贴纸。
   3.  出口欧洲，微塑料需合规。如含化学品，需要无硼无香。
4.所有电子产品身上需要加字唛，为ZURU  FRANCE  地址  (如无电子产品，或者产品布标有此地址，可忽略此信息)
如产品太小，也可忽略。如无法加字唛，可以用贴纸的形式加在产品身上。
ZURU  FRANCE  33  rue  Paul  Meurice  75020  Paris,  France.（同包材一致即可，running  change）
（由于我司法国地址在running  change阶段，带电的毛绒产品布标上的ZURU  FRANCE  地址同包装上的地址一样即可）
   5.  客户验货合格后才能走货。
   6.  外箱上需要有ZURU  FRANCE  地址（直接印刷或者贴纸都行）</t>
  </si>
  <si>
    <r>
      <rPr>
        <sz val="10"/>
        <color rgb="FF000000"/>
        <rFont val="宋体"/>
        <charset val="134"/>
      </rPr>
      <t>Amy</t>
    </r>
    <r>
      <rPr>
        <sz val="11"/>
        <color rgb="FF000000"/>
        <rFont val="宋体"/>
        <charset val="134"/>
        <scheme val="minor"/>
      </rPr>
      <t xml:space="preserve">  </t>
    </r>
    <r>
      <rPr>
        <sz val="11"/>
        <color rgb="FF000000"/>
        <rFont val="宋体"/>
        <charset val="134"/>
        <scheme val="minor"/>
      </rPr>
      <t>Xiao</t>
    </r>
  </si>
  <si>
    <t>77907GQ1-S001-3L</t>
  </si>
  <si>
    <t>THE  FARMERS'  TRADING  COMPANY  LIMITE</t>
  </si>
  <si>
    <t>4500219239-10</t>
  </si>
  <si>
    <t>77907GQ1-S002</t>
  </si>
  <si>
    <t>欠价格贴纸</t>
  </si>
  <si>
    <r>
      <rPr>
        <sz val="11"/>
        <color rgb="FF000000"/>
        <rFont val="宋体"/>
        <charset val="134"/>
      </rPr>
      <t>日期码格式：ZURU</t>
    </r>
    <r>
      <rPr>
        <sz val="11"/>
        <color rgb="FF000000"/>
        <rFont val="宋体"/>
        <charset val="134"/>
        <scheme val="minor"/>
      </rPr>
      <t xml:space="preserve">  </t>
    </r>
    <r>
      <rPr>
        <sz val="11"/>
        <color rgb="FF000000"/>
        <rFont val="宋体"/>
        <charset val="134"/>
        <scheme val="minor"/>
      </rPr>
      <t>INC(BVI)</t>
    </r>
    <r>
      <rPr>
        <sz val="11"/>
        <color rgb="FF000000"/>
        <rFont val="宋体"/>
        <charset val="134"/>
        <scheme val="minor"/>
      </rPr>
      <t xml:space="preserve">  </t>
    </r>
    <r>
      <rPr>
        <sz val="11"/>
        <color rgb="FF000000"/>
        <rFont val="宋体"/>
        <charset val="134"/>
        <scheme val="minor"/>
      </rPr>
      <t>标准格式</t>
    </r>
    <r>
      <rPr>
        <sz val="11"/>
        <color rgb="FF000000"/>
        <rFont val="宋体"/>
        <charset val="134"/>
        <scheme val="minor"/>
      </rPr>
      <t xml:space="preserve">                                    </t>
    </r>
    <r>
      <rPr>
        <sz val="11"/>
        <color rgb="FF000000"/>
        <rFont val="宋体"/>
        <charset val="134"/>
        <scheme val="minor"/>
      </rPr>
      <t>日期：按实际生产日期</t>
    </r>
    <r>
      <rPr>
        <sz val="11"/>
        <color rgb="FF000000"/>
        <rFont val="宋体"/>
        <charset val="134"/>
        <scheme val="minor"/>
      </rPr>
      <t xml:space="preserve">
</t>
    </r>
    <r>
      <rPr>
        <sz val="11"/>
        <color rgb="FF000000"/>
        <rFont val="宋体"/>
        <charset val="134"/>
        <scheme val="minor"/>
      </rPr>
      <t>Packaging Info: MA</t>
    </r>
    <r>
      <rPr>
        <sz val="11"/>
        <color rgb="FF000000"/>
        <rFont val="宋体"/>
        <charset val="134"/>
        <scheme val="minor"/>
      </rPr>
      <t xml:space="preserve">  </t>
    </r>
    <r>
      <rPr>
        <sz val="11"/>
        <color rgb="FF000000"/>
        <rFont val="宋体"/>
        <charset val="134"/>
        <scheme val="minor"/>
      </rPr>
      <t>1L</t>
    </r>
    <r>
      <rPr>
        <sz val="11"/>
        <color rgb="FF000000"/>
        <rFont val="宋体"/>
        <charset val="134"/>
        <scheme val="minor"/>
      </rPr>
      <t xml:space="preserve">  </t>
    </r>
    <r>
      <rPr>
        <sz val="11"/>
        <color rgb="FF000000"/>
        <rFont val="宋体"/>
        <charset val="134"/>
        <scheme val="minor"/>
      </rPr>
      <t>UPC</t>
    </r>
    <r>
      <rPr>
        <sz val="11"/>
        <color rgb="FF000000"/>
        <rFont val="宋体"/>
        <charset val="134"/>
        <scheme val="minor"/>
      </rPr>
      <t xml:space="preserve">  </t>
    </r>
    <r>
      <rPr>
        <sz val="11"/>
        <color rgb="FF000000"/>
        <rFont val="宋体"/>
        <charset val="134"/>
        <scheme val="minor"/>
      </rPr>
      <t>PKG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可移动材质的价格贴纸（价格贴纸要切易撕线）</t>
    </r>
    <r>
      <rPr>
        <sz val="11"/>
        <color rgb="FF000000"/>
        <rFont val="宋体"/>
        <charset val="134"/>
        <scheme val="minor"/>
      </rPr>
      <t xml:space="preserve">    </t>
    </r>
    <r>
      <rPr>
        <sz val="11"/>
        <color rgb="FF000000"/>
        <rFont val="宋体"/>
        <charset val="134"/>
        <scheme val="minor"/>
      </rPr>
      <t>+MA</t>
    </r>
    <r>
      <rPr>
        <sz val="11"/>
        <color rgb="FF000000"/>
        <rFont val="宋体"/>
        <charset val="134"/>
        <scheme val="minor"/>
      </rPr>
      <t xml:space="preserve">  </t>
    </r>
    <r>
      <rPr>
        <sz val="11"/>
        <color rgb="FF000000"/>
        <rFont val="宋体"/>
        <charset val="134"/>
        <scheme val="minor"/>
      </rPr>
      <t>1L</t>
    </r>
    <r>
      <rPr>
        <sz val="11"/>
        <color rgb="FF000000"/>
        <rFont val="宋体"/>
        <charset val="134"/>
        <scheme val="minor"/>
      </rPr>
      <t xml:space="preserve">  </t>
    </r>
    <r>
      <rPr>
        <sz val="11"/>
        <color rgb="FF000000"/>
        <rFont val="宋体"/>
        <charset val="134"/>
        <scheme val="minor"/>
      </rPr>
      <t>PDQ(如收缩膜或PDQ没有1L版本，请用多语且含英语的版本）</t>
    </r>
    <r>
      <rPr>
        <sz val="11"/>
        <color rgb="FF000000"/>
        <rFont val="宋体"/>
        <charset val="134"/>
        <scheme val="minor"/>
      </rPr>
      <t xml:space="preserve">
</t>
    </r>
    <r>
      <rPr>
        <sz val="11"/>
        <color rgb="FF000000"/>
        <rFont val="宋体"/>
        <charset val="134"/>
        <scheme val="minor"/>
      </rPr>
      <t>Remark: 1.此单出新西兰</t>
    </r>
    <r>
      <rPr>
        <sz val="11"/>
        <color rgb="FF000000"/>
        <rFont val="宋体"/>
        <charset val="134"/>
        <scheme val="minor"/>
      </rPr>
      <t xml:space="preserve">
</t>
    </r>
    <r>
      <rPr>
        <sz val="11"/>
        <color rgb="FF000000"/>
        <rFont val="宋体"/>
        <charset val="134"/>
        <scheme val="minor"/>
      </rPr>
      <t>2.CRD日期基于我司</t>
    </r>
    <r>
      <rPr>
        <sz val="11"/>
        <color rgb="FF000000"/>
        <rFont val="宋体"/>
        <charset val="134"/>
        <scheme val="minor"/>
      </rPr>
      <t xml:space="preserve">  </t>
    </r>
    <r>
      <rPr>
        <sz val="11"/>
        <color rgb="FF000000"/>
        <rFont val="宋体"/>
        <charset val="134"/>
        <scheme val="minor"/>
      </rPr>
      <t>QC完成验货;</t>
    </r>
    <r>
      <rPr>
        <sz val="11"/>
        <color rgb="FF000000"/>
        <rFont val="宋体"/>
        <charset val="134"/>
        <scheme val="minor"/>
      </rPr>
      <t xml:space="preserve">
</t>
    </r>
    <r>
      <rPr>
        <sz val="11"/>
        <color rgb="FF000000"/>
        <rFont val="宋体"/>
        <charset val="134"/>
        <scheme val="minor"/>
      </rPr>
      <t>3.请确保发货100%的订单数量/</t>
    </r>
    <r>
      <rPr>
        <sz val="11"/>
        <color rgb="FF000000"/>
        <rFont val="宋体"/>
        <charset val="134"/>
        <scheme val="minor"/>
      </rPr>
      <t xml:space="preserve">  </t>
    </r>
    <r>
      <rPr>
        <sz val="11"/>
        <color rgb="FF000000"/>
        <rFont val="宋体"/>
        <charset val="134"/>
        <scheme val="minor"/>
      </rPr>
      <t>sku;</t>
    </r>
    <r>
      <rPr>
        <sz val="11"/>
        <color rgb="FF000000"/>
        <rFont val="宋体"/>
        <charset val="134"/>
        <scheme val="minor"/>
      </rPr>
      <t xml:space="preserve">
</t>
    </r>
    <r>
      <rPr>
        <sz val="11"/>
        <color rgb="FF000000"/>
        <rFont val="宋体"/>
        <charset val="134"/>
        <scheme val="minor"/>
      </rPr>
      <t>4.箱唛请按邮件确认的文档</t>
    </r>
    <r>
      <rPr>
        <sz val="11"/>
        <color rgb="FF000000"/>
        <rFont val="宋体"/>
        <charset val="134"/>
        <scheme val="minor"/>
      </rPr>
      <t xml:space="preserve">
</t>
    </r>
    <r>
      <rPr>
        <sz val="11"/>
        <color rgb="FF000000"/>
        <rFont val="宋体"/>
        <charset val="134"/>
        <scheme val="minor"/>
      </rPr>
      <t>5.我司验货日期(请联系Mia</t>
    </r>
    <r>
      <rPr>
        <sz val="11"/>
        <color rgb="FF000000"/>
        <rFont val="宋体"/>
        <charset val="134"/>
        <scheme val="minor"/>
      </rPr>
      <t xml:space="preserve">  </t>
    </r>
    <r>
      <rPr>
        <sz val="11"/>
        <color rgb="FF000000"/>
        <rFont val="宋体"/>
        <charset val="134"/>
        <scheme val="minor"/>
      </rPr>
      <t>Yu</t>
    </r>
    <r>
      <rPr>
        <sz val="11"/>
        <color rgb="FF000000"/>
        <rFont val="宋体"/>
        <charset val="134"/>
        <scheme val="minor"/>
      </rPr>
      <t xml:space="preserve">  </t>
    </r>
    <r>
      <rPr>
        <sz val="11"/>
        <color rgb="FF000000"/>
        <rFont val="宋体"/>
        <charset val="134"/>
        <scheme val="minor"/>
      </rPr>
      <t>Mia.yu@zuru.com提前预定验货日期)，预约验货至少需在完货日期前一周申请</t>
    </r>
  </si>
  <si>
    <r>
      <rPr>
        <sz val="10"/>
        <color rgb="FF000000"/>
        <rFont val="宋体"/>
        <charset val="134"/>
      </rPr>
      <t>Jess</t>
    </r>
    <r>
      <rPr>
        <sz val="11"/>
        <color rgb="FF000000"/>
        <rFont val="宋体"/>
        <charset val="134"/>
        <scheme val="minor"/>
      </rPr>
      <t xml:space="preserve">  </t>
    </r>
    <r>
      <rPr>
        <sz val="11"/>
        <color rgb="FF000000"/>
        <rFont val="宋体"/>
        <charset val="134"/>
        <scheme val="minor"/>
      </rPr>
      <t>Huang</t>
    </r>
  </si>
  <si>
    <t>4500216030</t>
  </si>
  <si>
    <t>2551020547</t>
  </si>
  <si>
    <t>4500216030-10</t>
  </si>
  <si>
    <t>4500219176-10</t>
  </si>
  <si>
    <r>
      <rPr>
        <sz val="11"/>
        <color rgb="FF000000"/>
        <rFont val="宋体"/>
        <charset val="134"/>
      </rPr>
      <t>日期码格式：ZURU</t>
    </r>
    <r>
      <rPr>
        <sz val="11"/>
        <color rgb="FF000000"/>
        <rFont val="宋体"/>
        <charset val="134"/>
        <scheme val="minor"/>
      </rPr>
      <t xml:space="preserve">  </t>
    </r>
    <r>
      <rPr>
        <sz val="11"/>
        <color rgb="FF000000"/>
        <rFont val="宋体"/>
        <charset val="134"/>
        <scheme val="minor"/>
      </rPr>
      <t>INC(BVI) 标准格式</t>
    </r>
    <r>
      <rPr>
        <sz val="11"/>
        <color rgb="FF000000"/>
        <rFont val="宋体"/>
        <charset val="134"/>
        <scheme val="minor"/>
      </rPr>
      <t xml:space="preserve">                                    </t>
    </r>
    <r>
      <rPr>
        <sz val="11"/>
        <color rgb="FF000000"/>
        <rFont val="宋体"/>
        <charset val="134"/>
        <scheme val="minor"/>
      </rPr>
      <t>日期：按实际生产日期</t>
    </r>
    <r>
      <rPr>
        <sz val="11"/>
        <color rgb="FF000000"/>
        <rFont val="宋体"/>
        <charset val="134"/>
        <scheme val="minor"/>
      </rPr>
      <t xml:space="preserve">
</t>
    </r>
    <r>
      <rPr>
        <sz val="11"/>
        <color rgb="FF000000"/>
        <rFont val="宋体"/>
        <charset val="134"/>
        <scheme val="minor"/>
      </rPr>
      <t>Packaging Info: 1. ZURU MA UPC 优先1L 最新包装，版本统一，不得混包材，</t>
    </r>
    <r>
      <rPr>
        <sz val="11"/>
        <color rgb="FF000000"/>
        <rFont val="宋体"/>
        <charset val="134"/>
        <scheme val="minor"/>
      </rPr>
      <t xml:space="preserve">     </t>
    </r>
    <r>
      <rPr>
        <sz val="11"/>
        <color rgb="FF000000"/>
        <rFont val="宋体"/>
        <charset val="134"/>
        <scheme val="minor"/>
      </rPr>
      <t>出口美国</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2. 产品和包装需有日期码, ZURU标准日期码格式, 按照实际生产自行调整日期,但不能为周末,日期保持一致。</t>
    </r>
    <r>
      <rPr>
        <sz val="11"/>
        <color rgb="FF000000"/>
        <rFont val="宋体"/>
        <charset val="134"/>
        <scheme val="minor"/>
      </rPr>
      <t xml:space="preserve">
</t>
    </r>
    <r>
      <rPr>
        <sz val="11"/>
        <color rgb="FF000000"/>
        <rFont val="宋体"/>
        <charset val="134"/>
        <scheme val="minor"/>
      </rPr>
      <t>Remark: 1. ZURU MA UPC 优先1L 最新包装，版本统一，不得混包材，</t>
    </r>
    <r>
      <rPr>
        <sz val="11"/>
        <color rgb="FF000000"/>
        <rFont val="宋体"/>
        <charset val="134"/>
        <scheme val="minor"/>
      </rPr>
      <t xml:space="preserve">     </t>
    </r>
    <r>
      <rPr>
        <sz val="11"/>
        <color rgb="FF000000"/>
        <rFont val="宋体"/>
        <charset val="134"/>
        <scheme val="minor"/>
      </rPr>
      <t>出口美国</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2. 产品和包装需有日期码, ZURU标准日期码格式, 按照实际生产自行调整日期,但不能为周末,日期保持一致。</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3. 大货配比：产品配比按照MA标准配比执行。</t>
    </r>
  </si>
  <si>
    <t>Joy Huang</t>
  </si>
  <si>
    <r>
      <rPr>
        <sz val="10"/>
        <color rgb="FF000000"/>
        <rFont val="宋体"/>
        <charset val="134"/>
      </rPr>
      <t>KMART</t>
    </r>
    <r>
      <rPr>
        <sz val="11"/>
        <color rgb="FF000000"/>
        <rFont val="宋体"/>
        <charset val="134"/>
        <scheme val="minor"/>
      </rPr>
      <t xml:space="preserve">  </t>
    </r>
    <r>
      <rPr>
        <sz val="11"/>
        <color rgb="FF000000"/>
        <rFont val="宋体"/>
        <charset val="134"/>
        <scheme val="minor"/>
      </rPr>
      <t>AUSTRALIA</t>
    </r>
    <r>
      <rPr>
        <sz val="11"/>
        <color rgb="FF000000"/>
        <rFont val="宋体"/>
        <charset val="134"/>
        <scheme val="minor"/>
      </rPr>
      <t xml:space="preserve">  </t>
    </r>
    <r>
      <rPr>
        <sz val="11"/>
        <color rgb="FF000000"/>
        <rFont val="宋体"/>
        <charset val="134"/>
        <scheme val="minor"/>
      </rPr>
      <t>LTD</t>
    </r>
  </si>
  <si>
    <t>4500215423</t>
  </si>
  <si>
    <t>22017685</t>
  </si>
  <si>
    <t>4500215423-100</t>
  </si>
  <si>
    <t>欠  1张防盗贴纸 +  外箱贴纸SSCC  Label</t>
  </si>
  <si>
    <t>日期码格式：ZURU  INC(BVI)  标准格式                                    日期：按实际生产日期
Packaging Info: 
77907GQ1：MA_ 1L  UPC版本包装（收缩膜和收藏指南,  MA首选1L，如无1L可用多语且含英语的配套多语包装）+  1张防盗贴纸  +  箱唛  +  外箱贴纸SSCC  Label
6  Assortment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PO#4500215424一起合并计算</t>
  </si>
  <si>
    <r>
      <rPr>
        <sz val="10"/>
        <color rgb="FF000000"/>
        <rFont val="宋体"/>
        <charset val="134"/>
      </rPr>
      <t>Louise</t>
    </r>
    <r>
      <rPr>
        <sz val="11"/>
        <color rgb="FF000000"/>
        <rFont val="宋体"/>
        <charset val="134"/>
        <scheme val="minor"/>
      </rPr>
      <t xml:space="preserve">  </t>
    </r>
    <r>
      <rPr>
        <sz val="11"/>
        <color rgb="FF000000"/>
        <rFont val="宋体"/>
        <charset val="134"/>
        <scheme val="minor"/>
      </rPr>
      <t>Lu</t>
    </r>
  </si>
  <si>
    <r>
      <rPr>
        <sz val="10"/>
        <color rgb="FF000000"/>
        <rFont val="宋体"/>
        <charset val="134"/>
      </rPr>
      <t>KMART</t>
    </r>
    <r>
      <rPr>
        <sz val="11"/>
        <color rgb="FF000000"/>
        <rFont val="宋体"/>
        <charset val="134"/>
        <scheme val="minor"/>
      </rPr>
      <t xml:space="preserve">  </t>
    </r>
    <r>
      <rPr>
        <sz val="11"/>
        <color rgb="FF000000"/>
        <rFont val="宋体"/>
        <charset val="134"/>
        <scheme val="minor"/>
      </rPr>
      <t>AUSTRALIA</t>
    </r>
    <r>
      <rPr>
        <sz val="11"/>
        <color rgb="FF000000"/>
        <rFont val="宋体"/>
        <charset val="134"/>
        <scheme val="minor"/>
      </rPr>
      <t xml:space="preserve">  </t>
    </r>
    <r>
      <rPr>
        <sz val="11"/>
        <color rgb="FF000000"/>
        <rFont val="宋体"/>
        <charset val="134"/>
        <scheme val="minor"/>
      </rPr>
      <t>LTD(NEW</t>
    </r>
    <r>
      <rPr>
        <sz val="11"/>
        <color rgb="FF000000"/>
        <rFont val="宋体"/>
        <charset val="134"/>
        <scheme val="minor"/>
      </rPr>
      <t xml:space="preserve">  </t>
    </r>
    <r>
      <rPr>
        <sz val="11"/>
        <color rgb="FF000000"/>
        <rFont val="宋体"/>
        <charset val="134"/>
        <scheme val="minor"/>
      </rPr>
      <t>ZEALAND)</t>
    </r>
  </si>
  <si>
    <t>4500215424</t>
  </si>
  <si>
    <t>22017688</t>
  </si>
  <si>
    <t>4500215424-30</t>
  </si>
  <si>
    <t>日期码格式：ZURU  INC(BVI)  标准格式                                    日期：按实际生产日期
Packaging Info: 
77907GQ1：MA_ 1L  UPC版本包装（收缩膜和收藏指南,  MA首选1L，如无1L可用多语且含英语的配套多语包装）+  1张防盗贴纸（贴纸资料以及位置图翻单PO#45002154
   23）    +  箱唛  +  外箱贴纸SSCC  Label
   6  Assortment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PO#4500215423一起合并计算</t>
  </si>
  <si>
    <t>4500216032</t>
  </si>
  <si>
    <t>2551020548</t>
  </si>
  <si>
    <t>4500216032-10</t>
  </si>
  <si>
    <t>WAL-MART CANADA CORP.</t>
  </si>
  <si>
    <t>4500216034-10</t>
  </si>
  <si>
    <r>
      <rPr>
        <sz val="11"/>
        <color rgb="FF000000"/>
        <rFont val="宋体"/>
        <charset val="134"/>
      </rPr>
      <t>日期码格式：ZURU INC(BVI) 标准格式</t>
    </r>
    <r>
      <rPr>
        <sz val="11"/>
        <color rgb="FF000000"/>
        <rFont val="宋体"/>
        <charset val="0"/>
      </rPr>
      <t xml:space="preserve">                  日期：按实际生产日期
Packaging Info: #77907：
客版3L PDQ(16装)+客版收缩膜(UPC:193052111180)+MA5L收藏指南+MA配件袋
翻单：4500215101
Remark: 1. 此单有箱唛；
 2.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</si>
  <si>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Fly Song</t>
  </si>
  <si>
    <t>4500216035-10</t>
  </si>
  <si>
    <t>4500216038-10</t>
  </si>
  <si>
    <t>4500216040-10</t>
  </si>
  <si>
    <t>4500216041-10</t>
  </si>
  <si>
    <t>PDQ展示公仔</t>
  </si>
  <si>
    <t>跟进负责人员</t>
  </si>
  <si>
    <t>MA 批次</t>
  </si>
  <si>
    <t>放订时间</t>
  </si>
  <si>
    <t>完成时间</t>
  </si>
  <si>
    <t>产品图片</t>
  </si>
  <si>
    <t>球合计</t>
  </si>
  <si>
    <t>无棚口水胶</t>
  </si>
  <si>
    <r>
      <rPr>
        <sz val="11"/>
        <color theme="1"/>
        <rFont val="宋体"/>
        <charset val="134"/>
        <scheme val="minor"/>
      </rPr>
      <t>无棚口水胶</t>
    </r>
    <r>
      <rPr>
        <sz val="11"/>
        <color rgb="FFFF0000"/>
        <rFont val="宋体"/>
        <charset val="134"/>
        <scheme val="minor"/>
      </rPr>
      <t>B版本</t>
    </r>
  </si>
  <si>
    <t>MA 配比</t>
  </si>
  <si>
    <t>英文名称</t>
  </si>
  <si>
    <t>Brachiosaurus</t>
  </si>
  <si>
    <t>Dilophosaurus</t>
  </si>
  <si>
    <t>Therizinosaurus</t>
  </si>
  <si>
    <t>Ankylosaurus</t>
  </si>
  <si>
    <t>Styracosaurus</t>
  </si>
  <si>
    <t>Spinosaurus</t>
  </si>
  <si>
    <t>Mosasaurus</t>
  </si>
  <si>
    <t>Rex</t>
  </si>
  <si>
    <t>Rex (rare)</t>
  </si>
  <si>
    <t>中文名称</t>
  </si>
  <si>
    <t>Jasmine Hunag</t>
  </si>
  <si>
    <t>MA-RR-1483</t>
  </si>
  <si>
    <t>放订MA数量</t>
  </si>
  <si>
    <t>纸袋/3D贴纸/黑白说明书配套采购</t>
  </si>
  <si>
    <t>MA-RR-1520</t>
  </si>
  <si>
    <t>MA-RR-1653</t>
  </si>
  <si>
    <t>B版本资料全套</t>
  </si>
  <si>
    <t>Joy Wan</t>
  </si>
  <si>
    <t>MA-RR-1835</t>
  </si>
  <si>
    <t>纸袋请配套采购</t>
  </si>
  <si>
    <t>MA-RR-1966</t>
  </si>
  <si>
    <t>MA-RR-2390</t>
  </si>
  <si>
    <t>MA合计</t>
  </si>
  <si>
    <t>实单扣数</t>
  </si>
  <si>
    <t>MA半成品剩余</t>
  </si>
  <si>
    <t>验算</t>
  </si>
  <si>
    <t>Character Name</t>
  </si>
  <si>
    <t>MOQ</t>
  </si>
  <si>
    <t>MA Order No. :</t>
  </si>
  <si>
    <t>MA-RR-2361</t>
  </si>
  <si>
    <t>MA-RR-2448</t>
  </si>
  <si>
    <t>Grand Total</t>
  </si>
  <si>
    <t>Order Date:</t>
  </si>
  <si>
    <t>Required CRD:</t>
  </si>
  <si>
    <t>Capsule 77907</t>
  </si>
  <si>
    <t>编号</t>
  </si>
  <si>
    <t>中文</t>
  </si>
  <si>
    <t>Ratio</t>
  </si>
  <si>
    <t>图片</t>
  </si>
  <si>
    <r>
      <rPr>
        <sz val="10"/>
        <color rgb="FF000000"/>
        <rFont val="宋体"/>
        <charset val="134"/>
        <scheme val="minor"/>
      </rPr>
      <t xml:space="preserve">77907# </t>
    </r>
    <r>
      <rPr>
        <sz val="10"/>
        <color rgb="FF000000"/>
        <rFont val="宋体"/>
        <charset val="134"/>
        <scheme val="minor"/>
      </rPr>
      <t xml:space="preserve">
</t>
    </r>
    <r>
      <rPr>
        <sz val="10"/>
        <color rgb="FF000000"/>
        <rFont val="宋体"/>
        <charset val="134"/>
        <scheme val="minor"/>
      </rPr>
      <t>5 Surprise -</t>
    </r>
    <r>
      <rPr>
        <sz val="10"/>
        <color rgb="FF000000"/>
        <rFont val="宋体"/>
        <charset val="134"/>
        <scheme val="minor"/>
      </rPr>
      <t xml:space="preserve">
</t>
    </r>
    <r>
      <rPr>
        <sz val="10"/>
        <color rgb="FF000000"/>
        <rFont val="宋体"/>
        <charset val="134"/>
        <scheme val="minor"/>
      </rPr>
      <t>Fidget Links S1</t>
    </r>
  </si>
  <si>
    <t>Dragon No.1</t>
  </si>
  <si>
    <t>橙色龙</t>
  </si>
  <si>
    <t>纸袋、贴纸请配套购买</t>
  </si>
  <si>
    <t>Dragon No.2</t>
  </si>
  <si>
    <t>浅蓝色龙</t>
  </si>
  <si>
    <t>Dragon No.3</t>
  </si>
  <si>
    <t>绿色龙</t>
  </si>
  <si>
    <t>Dragon No.4</t>
  </si>
  <si>
    <t>深蓝色龙</t>
  </si>
  <si>
    <t>Dragon No.5</t>
  </si>
  <si>
    <t>蓝色龙</t>
  </si>
  <si>
    <t>Dragon No.6</t>
  </si>
  <si>
    <t>红色龙</t>
  </si>
  <si>
    <t>77907# GQ2 DEMO</t>
  </si>
  <si>
    <t>/</t>
  </si>
  <si>
    <t>77907# SK1 DEMO</t>
  </si>
  <si>
    <t>Demo Total</t>
  </si>
  <si>
    <t>77685混搭龙包材扣数表</t>
  </si>
  <si>
    <t>MA PO</t>
  </si>
  <si>
    <t>货号</t>
  </si>
  <si>
    <t>包材</t>
  </si>
  <si>
    <t>数量</t>
  </si>
  <si>
    <t>版本</t>
  </si>
  <si>
    <t>收縮膜</t>
  </si>
  <si>
    <r>
      <rPr>
        <b/>
        <sz val="11"/>
        <rFont val="宋体"/>
        <charset val="0"/>
        <scheme val="major"/>
      </rPr>
      <t xml:space="preserve">MA </t>
    </r>
    <r>
      <rPr>
        <b/>
        <sz val="11"/>
        <color rgb="FFFF0000"/>
        <rFont val="宋体"/>
        <charset val="0"/>
        <scheme val="major"/>
      </rPr>
      <t>B</t>
    </r>
    <r>
      <rPr>
        <b/>
        <sz val="11"/>
        <rFont val="宋体"/>
        <charset val="0"/>
        <scheme val="major"/>
      </rPr>
      <t>5L</t>
    </r>
  </si>
  <si>
    <r>
      <rPr>
        <b/>
        <sz val="11"/>
        <rFont val="宋体"/>
        <charset val="0"/>
        <scheme val="major"/>
      </rPr>
      <t xml:space="preserve">MA </t>
    </r>
    <r>
      <rPr>
        <b/>
        <sz val="11"/>
        <color rgb="FFFF0000"/>
        <rFont val="宋体"/>
        <charset val="0"/>
        <scheme val="major"/>
      </rPr>
      <t>B</t>
    </r>
    <r>
      <rPr>
        <b/>
        <sz val="11"/>
        <rFont val="宋体"/>
        <charset val="0"/>
        <scheme val="major"/>
      </rPr>
      <t>3L</t>
    </r>
  </si>
  <si>
    <t>彩纸/贴纸</t>
  </si>
  <si>
    <t>中文说明书</t>
  </si>
  <si>
    <t>1000025608</t>
  </si>
  <si>
    <t>shrink wrap</t>
  </si>
  <si>
    <t>1L</t>
  </si>
  <si>
    <t>Jamine huang</t>
  </si>
  <si>
    <t>1000025609</t>
  </si>
  <si>
    <t>collector guide</t>
  </si>
  <si>
    <t>5L</t>
  </si>
  <si>
    <t>1000025610</t>
  </si>
  <si>
    <t>77685GQ1</t>
  </si>
  <si>
    <t>PDQ</t>
  </si>
  <si>
    <t>1000025611</t>
  </si>
  <si>
    <t>77685GQ2</t>
  </si>
  <si>
    <t>1000025612</t>
  </si>
  <si>
    <t>3L</t>
  </si>
  <si>
    <t>1000025794</t>
  </si>
  <si>
    <t>PVC  Tube(2PK)</t>
  </si>
  <si>
    <t>N/A</t>
  </si>
  <si>
    <t>Violet Chen</t>
  </si>
  <si>
    <t>Peggy用于PO4500157378以及后续未放单的订单</t>
  </si>
  <si>
    <t>1000025795</t>
  </si>
  <si>
    <t>Art Paper（2PK)</t>
  </si>
  <si>
    <t>1000025796</t>
  </si>
  <si>
    <t>Lid sticker(2PK)</t>
  </si>
  <si>
    <t>1000025988</t>
  </si>
  <si>
    <t>1000025989</t>
  </si>
  <si>
    <t>1000026164</t>
  </si>
  <si>
    <t>1000026165</t>
  </si>
  <si>
    <t>77685SK</t>
  </si>
  <si>
    <t>Sidekick</t>
  </si>
  <si>
    <t>1000026166</t>
  </si>
  <si>
    <t>Base</t>
  </si>
  <si>
    <t>1000026222</t>
  </si>
  <si>
    <t>77685GQ4</t>
  </si>
  <si>
    <t>Daisy.Li</t>
  </si>
  <si>
    <t>Maggie 用于订单4500159701</t>
  </si>
  <si>
    <t>1000026652</t>
  </si>
  <si>
    <t>1000026663</t>
  </si>
  <si>
    <t>1000026653</t>
  </si>
  <si>
    <t>1000026720</t>
  </si>
  <si>
    <t>Maggie用于订单4500161751;4500161693;4500161693;4500161750;4500161749;4500161752</t>
  </si>
  <si>
    <t>1000026880</t>
  </si>
  <si>
    <t>Maggie用于订单4500162371 4500162369 4500162370</t>
  </si>
  <si>
    <t>1000026989</t>
  </si>
  <si>
    <t>1000026990</t>
  </si>
  <si>
    <t>1000026991</t>
  </si>
  <si>
    <t>1000026992</t>
  </si>
  <si>
    <t>1000027291</t>
  </si>
  <si>
    <t>Babbit Zhong</t>
  </si>
  <si>
    <t>Mandy用于订单4500164250-504PCS，后续来单消耗</t>
  </si>
  <si>
    <t>1000027292</t>
  </si>
  <si>
    <t>1000027293</t>
  </si>
  <si>
    <t>1000027420</t>
  </si>
  <si>
    <t>A</t>
  </si>
  <si>
    <t>1000027421</t>
  </si>
  <si>
    <t>1000027422</t>
  </si>
  <si>
    <t>B</t>
  </si>
  <si>
    <t>1000027423</t>
  </si>
  <si>
    <t>1000027424</t>
  </si>
  <si>
    <t>1000027425</t>
  </si>
  <si>
    <t>77685SK1</t>
  </si>
  <si>
    <t>1000027426</t>
  </si>
  <si>
    <t>1000027471</t>
  </si>
  <si>
    <t>Fiona Huang</t>
  </si>
  <si>
    <t>Maggie用于订单4500162784 4500162798 4500162823</t>
  </si>
  <si>
    <t>1000027916</t>
  </si>
  <si>
    <t>Collector Guide</t>
  </si>
  <si>
    <t>Ariel Peng</t>
  </si>
  <si>
    <t>Dona用于订单4500165636 ，中文版，3K/款 （共9款）</t>
  </si>
  <si>
    <t>1000027946</t>
  </si>
  <si>
    <t>Maggie用于订单4500166538;4500166540;4500166541;4500166543;4500166545
4500166547</t>
  </si>
  <si>
    <t>1000028291</t>
  </si>
  <si>
    <t>A 1L</t>
  </si>
  <si>
    <t>1000028292</t>
  </si>
  <si>
    <t>A 3L</t>
  </si>
  <si>
    <t>1000028293</t>
  </si>
  <si>
    <t>B 5L</t>
  </si>
  <si>
    <t>1000028294</t>
  </si>
  <si>
    <t>1000028295</t>
  </si>
  <si>
    <t>1000028302</t>
  </si>
  <si>
    <t>B 3L</t>
  </si>
  <si>
    <t>1000028381</t>
  </si>
  <si>
    <t>Crystal用于4500167394-1008PCS、4500167501-504PCS</t>
  </si>
  <si>
    <t>1000028396</t>
  </si>
  <si>
    <t>1000028461</t>
  </si>
  <si>
    <t>1000028462</t>
  </si>
  <si>
    <t>1000028463</t>
  </si>
  <si>
    <t>1000028464</t>
  </si>
  <si>
    <t>1000029175</t>
  </si>
  <si>
    <t>Mandy用于4500170600-492PCS</t>
  </si>
  <si>
    <t>1000029176</t>
  </si>
  <si>
    <t>Mina Pan</t>
  </si>
  <si>
    <t>Emily用于TJX PO#4500171907~4500171924 共10张订单-8496pcs/用于ROSS &amp; DD'SPO#4500171855, 4500171859 +未放订单-1200pcs</t>
  </si>
  <si>
    <t>1000029784</t>
  </si>
  <si>
    <t>1000029785</t>
  </si>
  <si>
    <t>1000029786</t>
  </si>
  <si>
    <t>1000029787</t>
  </si>
  <si>
    <t>1000029788</t>
  </si>
  <si>
    <t>1000029789</t>
  </si>
  <si>
    <t>1000029790</t>
  </si>
  <si>
    <t>1000030817</t>
  </si>
  <si>
    <t>1000030818</t>
  </si>
  <si>
    <t>1000030819</t>
  </si>
  <si>
    <t>1000030941</t>
  </si>
  <si>
    <t>Maggie用于订单MO20250710</t>
  </si>
  <si>
    <t>Maggie用于订单4500178234</t>
  </si>
  <si>
    <t>1000032041</t>
  </si>
  <si>
    <t>Maggie用于订单 4500179415,  (4500181107消耗 212pc)</t>
  </si>
  <si>
    <t>1000032061</t>
  </si>
  <si>
    <t>1000032062</t>
  </si>
  <si>
    <t>1000032302</t>
  </si>
  <si>
    <t>1000032303</t>
  </si>
  <si>
    <t>1000032304</t>
  </si>
  <si>
    <t>1000032305</t>
  </si>
  <si>
    <t>1000032733</t>
  </si>
  <si>
    <t>Maggie用于订单4500181107,(4500181314消耗136PCS）</t>
  </si>
  <si>
    <t>1000032744</t>
  </si>
  <si>
    <t>1000032745</t>
  </si>
  <si>
    <t>1000032746</t>
  </si>
  <si>
    <t>1000032813</t>
  </si>
  <si>
    <t>Maggie用于订单4500181314 ，（4500188055 消耗444PCS)</t>
  </si>
  <si>
    <t>1000032992</t>
  </si>
  <si>
    <t>1000033177</t>
  </si>
  <si>
    <t>1000033178</t>
  </si>
  <si>
    <t>1000033257</t>
  </si>
  <si>
    <t>1000033851</t>
  </si>
  <si>
    <t>1000033879</t>
  </si>
  <si>
    <t>1000034731</t>
  </si>
  <si>
    <t>Maggie用于订单4500188055, 剩176 PCS 待后续订单消耗</t>
  </si>
  <si>
    <t>1000034970</t>
  </si>
  <si>
    <t>1000034972</t>
  </si>
  <si>
    <t>1000034973</t>
  </si>
  <si>
    <t>1000034665</t>
  </si>
  <si>
    <t>1000036417</t>
  </si>
  <si>
    <t>1000036418</t>
  </si>
  <si>
    <t>Tobey</t>
  </si>
  <si>
    <t>1000040211</t>
  </si>
  <si>
    <t>合计MA数量</t>
  </si>
  <si>
    <t>接单数量</t>
  </si>
  <si>
    <t>MA剩余数</t>
  </si>
  <si>
    <t>77907双色龙包材扣数表</t>
  </si>
  <si>
    <t>shrink wrap  (1L)</t>
  </si>
  <si>
    <t>shrink wrap  (3L)</t>
  </si>
  <si>
    <t>77907GQ1 (MA-1L)</t>
  </si>
  <si>
    <t>GQ1 PDQ(MA 1L)</t>
  </si>
  <si>
    <t>77907GQ1 (MA-3L)</t>
  </si>
  <si>
    <t>GQ1 PDQ(MA 3L)</t>
  </si>
  <si>
    <t>77907GQ2 (MA-1L)</t>
  </si>
  <si>
    <t>GQ2 PDQ(MA 1L)</t>
  </si>
  <si>
    <t>77907GQ2 (MA-3L)</t>
  </si>
  <si>
    <t>GQ2 PDQ(MA 3L)</t>
  </si>
  <si>
    <t>77907GQ3</t>
  </si>
  <si>
    <t>EF</t>
  </si>
  <si>
    <t>Nicole用于4500215101，剩余1285PCS待后续订单消耗</t>
  </si>
  <si>
    <t>Shrink Wrap</t>
  </si>
  <si>
    <t>Nicole用于4500215101，剩余20560PCS待后续订单消耗</t>
  </si>
  <si>
    <t>ZURU PO NO#</t>
  </si>
  <si>
    <r>
      <rPr>
        <b/>
        <sz val="10"/>
        <rFont val="宋体"/>
        <charset val="134"/>
        <scheme val="minor"/>
      </rPr>
      <t xml:space="preserve">MA </t>
    </r>
    <r>
      <rPr>
        <b/>
        <sz val="10"/>
        <color rgb="FFFF0000"/>
        <rFont val="宋体"/>
        <charset val="134"/>
        <scheme val="minor"/>
      </rPr>
      <t>B</t>
    </r>
    <r>
      <rPr>
        <b/>
        <sz val="10"/>
        <rFont val="宋体"/>
        <charset val="134"/>
        <scheme val="minor"/>
      </rPr>
      <t>1L</t>
    </r>
  </si>
  <si>
    <t>Inventive Toys</t>
  </si>
  <si>
    <t>4500153901-10</t>
  </si>
  <si>
    <t>4/14 客人取消</t>
  </si>
  <si>
    <t>贴纸产生费用，无其他物料产生</t>
  </si>
  <si>
    <t>1/14进口商贴纸+EAN条码贴纸</t>
  </si>
  <si>
    <t>日期码格式：外包装/外箱不要打ZURU标准日期码 日期： 
Packaging Info: 注意:外包装 (指: 收缩膜/彩卡/铝箔袋/挂卡/PDQ)/外箱不要打ZURU标准日期码!胶件可以打日期码。
 外包装(包括收缩膜/彩卡/PDQ)都不能含Instagram and facebook logo等社交logo ;
 77685GQ1 : 1L MA 收缩膜 + 进口商贴纸 ， MA PDQ + EAN条码贴纸， MA 说明书/指南（如有）；
Remark: 标准配比：</t>
  </si>
  <si>
    <t>4500156089-30</t>
  </si>
  <si>
    <t>4/15取消</t>
  </si>
  <si>
    <t>欠条码贴纸 + 进口商贴纸</t>
  </si>
  <si>
    <t>日期码格式：外包装/外箱不要打ZURU标准日期码 日期： 
Packaging Info: 注意:外包装 (指: 收缩膜/彩卡/铝箔袋/挂卡/PDQ)/外箱不要打ZURU标准日期码!胶件可以打日期码。
 外包装(包括收缩膜/彩卡/PDQ)都不能含Instagram and facebook logo等社交logo ;
 77685GQ1 : 1L MA 收缩膜 + 进口商贴纸 ，1L MA PDQ + 条码贴纸 （EAN）， MA 说明书/指南（如有）；
Remark: 标准配比</t>
  </si>
  <si>
    <t>0923292897</t>
  </si>
  <si>
    <t>4500170460-10</t>
  </si>
  <si>
    <t>7/2 取消</t>
  </si>
  <si>
    <t>8/15 BV</t>
  </si>
  <si>
    <t>77685箱唛翻单：4500159701</t>
  </si>
  <si>
    <t>7/2 RFID</t>
  </si>
  <si>
    <t>日期码格式：ZURU DGYYYYMMDD CHINA(日期避开周末和法定节假日即可） 日期：按实际生产日期
Packaging Info: 77685
77685-S002：MA 1L A版收缩膜+MA A版纸袋+MA 5L B版收藏指南+MA A版slime bag
每pcs产品上要贴1张RFID贴纸，贴纸由ZURU提供，贴纸位置请严格按照我们签回的签板；
Remark: 77685
77685-S002：MA 1L A版收缩膜+MA A版纸袋+MA 5L B版收藏指南+MA A版slime bag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77711箱唛翻单：4500159672；77673箱唛翻单：4500159641；77685箱唛翻单：4500159701
3. 在产品上和包装上要有日期码、以及要有MADE IN CHINA和ZURU字样；
4. 产品如有扎带口要剪平，不能刮手。
5. 此单需要验货，请多备料
6. 此单以loose carton出货，
77685：12 pcs/CTN</t>
  </si>
  <si>
    <t>0923292910</t>
  </si>
  <si>
    <t>4500170460-20</t>
  </si>
  <si>
    <t>0923292916</t>
  </si>
  <si>
    <t>4500170460-30</t>
  </si>
  <si>
    <t>0923292927</t>
  </si>
  <si>
    <t>4500170460-40</t>
  </si>
  <si>
    <t>10001348683-3890</t>
  </si>
  <si>
    <t>4500176125-10</t>
  </si>
  <si>
    <t>8/13 暂停</t>
  </si>
  <si>
    <t>欠条码箱贴纸</t>
  </si>
  <si>
    <t>10001373315-3890</t>
  </si>
  <si>
    <t>4500176127-10</t>
  </si>
  <si>
    <t>Wal-mart US</t>
  </si>
  <si>
    <t>MO20250710</t>
  </si>
  <si>
    <t>TBA</t>
  </si>
  <si>
    <t>手工单</t>
  </si>
  <si>
    <t>77685SLB-S001：
1.包装要求：
MA 1L A版收缩膜+MA A版纸袋+MA 5L B版收藏指南+MA A版slime bag+客版1L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sheet出货，77685：1152pcs/96CTN/Slip Sheet</t>
  </si>
  <si>
    <t>PO#60X454086</t>
  </si>
  <si>
    <t>4500180967-30</t>
  </si>
  <si>
    <t>11/4客人确认取消，呆滞物料 纸箱</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</si>
  <si>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#77711GQ1, #77685GQ1; #15727;#71126 签样同旧单4500169184，但如果包材有更新需重新寄更新的包材重新签样。
注意:#15727 签样需包含15727L 但不含15727G
#92119 签样同旧单4500167106，但如果包材有更新需重新寄更新的包材重新签样。
92129TQ2;#77773GQ1;#92125 需10月29日前需寄出以下数量的样板(含PDQ)，样板须跟大货一模一样（含日期码）。
一套样板将寄到美国HEB，两套寄到以下深圳利丰地址，到时利丰会回签一套用于第三方100%大货验货。
回签的样板工厂需要保存好，只要产品物料没更新，签样一年内有效，一年内将不再走客户签样流程。
* #92129TQ2; #93125: 3pcs 成品+1个空PDQ样板
*#77773GQ1: 4pcs成品球+1个空PDQ 样板
寄到以下地址
深圳雨禾伟业实业有限公司
地址：广东省深圳市罗湖区东门南路1006号文锦渡口岸大厦B栋7楼
收件人：Elsa
电话：0755 6688 1988 Ext3337
* #92129TQ2; #93125: 每款每色2pcs成品+2个空PDQ+ 2套散件（如果产品涉及散件的话）
#77773GQ1 4pcs成品球+2个空PDQ+2套散件
寄到以下地址：
Li Fung　
深圳市福田区绒花路8号深福保大厦附楼3楼。
收件人： Yoland Dai　电话：+0755 8825 3756
4. 验货+ 抽板 （同一天进行）
预约11月13日第三方（利丰）到工厂做100%大货现场验货和抽板，验货需打印EPM出来跟客户回签样板供第三方验货参考。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</si>
  <si>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MO250916</t>
  </si>
  <si>
    <t>TBD</t>
  </si>
  <si>
    <t>转4500185340实单</t>
  </si>
  <si>
    <t xml:space="preserve"> 1、包装方式: MA UPC 优先1L最新版，出口美国
 2、无测试无验货要求
 3、纸箱4面印ZURU LOGO + 箱唛
 4、日期码请按ZURU标准版执行即可
 5、ZURU OQC验货
</t>
  </si>
  <si>
    <t>#ZPO2605013</t>
  </si>
  <si>
    <t>#ZPO2605013-20</t>
  </si>
  <si>
    <t>转实单4500213500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</si>
</sst>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d&quot;周&quot;aaa"/>
    <numFmt numFmtId="178" formatCode="m/d;@"/>
    <numFmt numFmtId="179" formatCode="0_ "/>
    <numFmt numFmtId="180" formatCode="0_);[Red]\(0\)"/>
    <numFmt numFmtId="181" formatCode="0.00_);[Red]\(0.00\)"/>
    <numFmt numFmtId="182" formatCode="0_ ;[Red]\-0\ "/>
    <numFmt numFmtId="183" formatCode="#,##0_);[Red]\(#,##0\)"/>
    <numFmt numFmtId="184" formatCode="#,##0_ "/>
    <numFmt numFmtId="185" formatCode="0.00##"/>
  </numFmts>
  <fonts count="121">
    <font>
      <sz val="11"/>
      <color theme="1"/>
      <name val="宋体"/>
      <charset val="134"/>
      <scheme val="minor"/>
    </font>
    <font>
      <sz val="11"/>
      <color rgb="FFFF0000"/>
      <name val="宋体"/>
      <charset val="134"/>
      <scheme val="minor"/>
    </font>
    <font>
      <sz val="11"/>
      <name val="宋体"/>
      <charset val="134"/>
      <scheme val="minor"/>
    </font>
    <font>
      <b/>
      <sz val="10"/>
      <name val="宋体"/>
      <charset val="0"/>
    </font>
    <font>
      <b/>
      <sz val="10"/>
      <name val="Arial"/>
      <charset val="0"/>
    </font>
    <font>
      <b/>
      <sz val="10"/>
      <name val="宋体"/>
      <charset val="134"/>
    </font>
    <font>
      <b/>
      <sz val="10"/>
      <name val="宋体"/>
      <charset val="134"/>
      <scheme val="minor"/>
    </font>
    <font>
      <b/>
      <sz val="10"/>
      <color rgb="FF7030A0"/>
      <name val="宋体"/>
      <charset val="0"/>
    </font>
    <font>
      <b/>
      <sz val="10"/>
      <color rgb="FFFF0000"/>
      <name val="宋体"/>
      <charset val="134"/>
      <scheme val="minor"/>
    </font>
    <font>
      <sz val="10"/>
      <color rgb="FFFF0000"/>
      <name val="宋体"/>
      <charset val="134"/>
    </font>
    <font>
      <sz val="10"/>
      <color rgb="FFFF0000"/>
      <name val="宋体"/>
      <charset val="0"/>
    </font>
    <font>
      <sz val="11"/>
      <color rgb="FFFF0000"/>
      <name val="宋体"/>
      <charset val="134"/>
    </font>
    <font>
      <sz val="10"/>
      <name val="宋体"/>
      <charset val="134"/>
    </font>
    <font>
      <sz val="10"/>
      <name val="宋体"/>
      <charset val="0"/>
    </font>
    <font>
      <sz val="11"/>
      <color rgb="FF1506E0"/>
      <name val="宋体"/>
      <charset val="134"/>
      <scheme val="minor"/>
    </font>
    <font>
      <sz val="10"/>
      <color rgb="FF000000"/>
      <name val="宋体"/>
      <charset val="134"/>
    </font>
    <font>
      <sz val="10"/>
      <color rgb="FF000000"/>
      <name val="宋体"/>
      <charset val="0"/>
    </font>
    <font>
      <sz val="11"/>
      <color rgb="FF000000"/>
      <name val="宋体"/>
      <charset val="134"/>
    </font>
    <font>
      <sz val="10"/>
      <name val="宋体"/>
      <charset val="134"/>
      <scheme val="minor"/>
    </font>
    <font>
      <sz val="10"/>
      <color rgb="FF0000FF"/>
      <name val="宋体"/>
      <charset val="134"/>
    </font>
    <font>
      <sz val="10"/>
      <color rgb="FF1C05ED"/>
      <name val="宋体"/>
      <charset val="134"/>
    </font>
    <font>
      <sz val="11"/>
      <color rgb="FF1C05ED"/>
      <name val="宋体"/>
      <charset val="134"/>
      <scheme val="minor"/>
    </font>
    <font>
      <b/>
      <sz val="11"/>
      <color theme="1"/>
      <name val="宋体"/>
      <charset val="134"/>
      <scheme val="minor"/>
    </font>
    <font>
      <b/>
      <sz val="10"/>
      <name val="宋体"/>
      <charset val="134"/>
      <scheme val="major"/>
    </font>
    <font>
      <b/>
      <sz val="10"/>
      <name val="宋体"/>
      <charset val="0"/>
      <scheme val="major"/>
    </font>
    <font>
      <b/>
      <sz val="11"/>
      <name val="宋体"/>
      <charset val="134"/>
      <scheme val="major"/>
    </font>
    <font>
      <b/>
      <sz val="10"/>
      <color rgb="FFFF0000"/>
      <name val="宋体"/>
      <charset val="0"/>
      <scheme val="major"/>
    </font>
    <font>
      <b/>
      <sz val="11"/>
      <name val="宋体"/>
      <charset val="0"/>
      <scheme val="major"/>
    </font>
    <font>
      <sz val="11"/>
      <color rgb="FF000000"/>
      <name val="宋体"/>
      <charset val="134"/>
      <scheme val="minor"/>
    </font>
    <font>
      <b/>
      <sz val="10"/>
      <color rgb="FFFF0000"/>
      <name val="宋体"/>
      <charset val="134"/>
    </font>
    <font>
      <b/>
      <sz val="10"/>
      <color rgb="FFFF0000"/>
      <name val="Times New Roman"/>
      <charset val="134"/>
    </font>
    <font>
      <sz val="10"/>
      <name val="Times New Roman"/>
      <charset val="134"/>
    </font>
    <font>
      <b/>
      <sz val="10"/>
      <name val="Times New Roman"/>
      <charset val="134"/>
    </font>
    <font>
      <b/>
      <sz val="10"/>
      <color rgb="FF000000"/>
      <name val="Times New Roman"/>
      <charset val="134"/>
    </font>
    <font>
      <b/>
      <sz val="10"/>
      <color rgb="FF000000"/>
      <name val="宋体"/>
      <charset val="134"/>
      <scheme val="minor"/>
    </font>
    <font>
      <b/>
      <sz val="10"/>
      <color rgb="FFFFFF00"/>
      <name val="宋体"/>
      <charset val="134"/>
      <scheme val="minor"/>
    </font>
    <font>
      <b/>
      <sz val="10"/>
      <color rgb="FFFFFFFF"/>
      <name val="宋体"/>
      <charset val="134"/>
      <scheme val="minor"/>
    </font>
    <font>
      <sz val="10"/>
      <color rgb="FF000000"/>
      <name val="宋体"/>
      <charset val="134"/>
      <scheme val="minor"/>
    </font>
    <font>
      <b/>
      <sz val="10"/>
      <color rgb="FF000000"/>
      <name val="Calibri"/>
      <charset val="134"/>
    </font>
    <font>
      <b/>
      <sz val="10"/>
      <color rgb="FFFFFFFF"/>
      <name val="宋体"/>
      <charset val="134"/>
    </font>
    <font>
      <sz val="14"/>
      <color rgb="FF000000"/>
      <name val="Tahoma"/>
      <charset val="134"/>
    </font>
    <font>
      <sz val="11"/>
      <color theme="1"/>
      <name val="宋体"/>
      <charset val="134"/>
    </font>
    <font>
      <b/>
      <sz val="14"/>
      <name val="Arial"/>
      <charset val="0"/>
    </font>
    <font>
      <b/>
      <sz val="12"/>
      <color indexed="10"/>
      <name val="宋体"/>
      <charset val="134"/>
    </font>
    <font>
      <b/>
      <sz val="11"/>
      <name val="Arial"/>
      <charset val="0"/>
    </font>
    <font>
      <b/>
      <sz val="12"/>
      <name val="宋体"/>
      <charset val="134"/>
    </font>
    <font>
      <b/>
      <sz val="11"/>
      <name val="宋体"/>
      <charset val="0"/>
    </font>
    <font>
      <b/>
      <sz val="11"/>
      <color rgb="FF000000"/>
      <name val="宋体"/>
      <charset val="134"/>
    </font>
    <font>
      <b/>
      <sz val="10"/>
      <color rgb="FF000000"/>
      <name val="宋体"/>
      <charset val="0"/>
    </font>
    <font>
      <b/>
      <sz val="11"/>
      <name val="宋体"/>
      <charset val="134"/>
    </font>
    <font>
      <b/>
      <sz val="10"/>
      <color rgb="FF000000"/>
      <name val="宋体"/>
      <charset val="134"/>
    </font>
    <font>
      <sz val="11"/>
      <name val="宋体"/>
      <charset val="134"/>
    </font>
    <font>
      <sz val="10"/>
      <color rgb="FF1C05ED"/>
      <name val="宋体"/>
      <charset val="0"/>
    </font>
    <font>
      <sz val="11"/>
      <color rgb="FF1C05ED"/>
      <name val="宋体"/>
      <charset val="134"/>
    </font>
    <font>
      <sz val="10"/>
      <color rgb="FF0000FF"/>
      <name val="宋体"/>
      <charset val="0"/>
    </font>
    <font>
      <sz val="11"/>
      <color rgb="FF0000FF"/>
      <name val="宋体"/>
      <charset val="134"/>
    </font>
    <font>
      <sz val="11"/>
      <color rgb="FF0000FF"/>
      <name val="宋体"/>
      <charset val="134"/>
      <scheme val="minor"/>
    </font>
    <font>
      <b/>
      <sz val="16"/>
      <name val="Arial"/>
      <charset val="0"/>
    </font>
    <font>
      <b/>
      <sz val="10"/>
      <color theme="1"/>
      <name val="宋体"/>
      <charset val="134"/>
      <scheme val="minor"/>
    </font>
    <font>
      <sz val="10"/>
      <color theme="1"/>
      <name val="宋体"/>
      <charset val="0"/>
    </font>
    <font>
      <sz val="10"/>
      <color theme="1"/>
      <name val="宋体"/>
      <charset val="134"/>
    </font>
    <font>
      <sz val="12"/>
      <color rgb="FF0E2EF0"/>
      <name val="宋体"/>
      <charset val="0"/>
      <scheme val="minor"/>
    </font>
    <font>
      <sz val="10"/>
      <color rgb="FF1C05ED"/>
      <name val="宋体"/>
      <charset val="134"/>
      <scheme val="minor"/>
    </font>
    <font>
      <sz val="8"/>
      <color rgb="FF1C05ED"/>
      <name val="宋体"/>
      <charset val="134"/>
    </font>
    <font>
      <sz val="10"/>
      <color rgb="FF0000FF"/>
      <name val="宋体"/>
      <charset val="134"/>
      <scheme val="minor"/>
    </font>
    <font>
      <sz val="10"/>
      <color rgb="FF1506E0"/>
      <name val="宋体"/>
      <charset val="134"/>
    </font>
    <font>
      <sz val="10"/>
      <color rgb="FF1506E0"/>
      <name val="宋体"/>
      <charset val="0"/>
    </font>
    <font>
      <sz val="10"/>
      <color rgb="FF1506E0"/>
      <name val="宋体"/>
      <charset val="134"/>
      <scheme val="minor"/>
    </font>
    <font>
      <sz val="11"/>
      <color rgb="FF1506E0"/>
      <name val="宋体"/>
      <charset val="134"/>
    </font>
    <font>
      <sz val="11"/>
      <color rgb="FF2727F0"/>
      <name val="宋体"/>
      <charset val="134"/>
    </font>
    <font>
      <b/>
      <sz val="10"/>
      <color rgb="FF0000FF"/>
      <name val="宋体"/>
      <charset val="134"/>
    </font>
    <font>
      <sz val="11"/>
      <color rgb="FF0000FF"/>
      <name val="新宋体"/>
      <charset val="134"/>
    </font>
    <font>
      <sz val="12"/>
      <color rgb="FF0000FF"/>
      <name val="宋体"/>
      <charset val="134"/>
      <scheme val="minor"/>
    </font>
    <font>
      <sz val="11"/>
      <color rgb="FF0000FF"/>
      <name val="宋体"/>
      <charset val="0"/>
    </font>
    <font>
      <sz val="6"/>
      <color rgb="FF0000FF"/>
      <name val="宋体"/>
      <charset val="134"/>
    </font>
    <font>
      <sz val="14"/>
      <color rgb="FF1506E0"/>
      <name val="宋体"/>
      <charset val="0"/>
      <scheme val="minor"/>
    </font>
    <font>
      <sz val="9"/>
      <color rgb="FF0000FF"/>
      <name val="宋体"/>
      <charset val="134"/>
    </font>
    <font>
      <sz val="11"/>
      <color rgb="FF2727F0"/>
      <name val="宋体"/>
      <charset val="134"/>
      <scheme val="minor"/>
    </font>
    <font>
      <sz val="10"/>
      <color rgb="FF7030A0"/>
      <name val="宋体"/>
      <charset val="134"/>
    </font>
    <font>
      <sz val="8"/>
      <color rgb="FF0000FF"/>
      <name val="宋体"/>
      <charset val="134"/>
    </font>
    <font>
      <sz val="8"/>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新細明體"/>
      <charset val="134"/>
    </font>
    <font>
      <sz val="12"/>
      <name val="宋体"/>
      <charset val="134"/>
    </font>
    <font>
      <sz val="10"/>
      <name val="Arial"/>
      <charset val="134"/>
    </font>
    <font>
      <b/>
      <sz val="11"/>
      <color rgb="FFFF0000"/>
      <name val="宋体"/>
      <charset val="0"/>
      <scheme val="major"/>
    </font>
    <font>
      <sz val="10"/>
      <color rgb="FF1506E0"/>
      <name val="汉仪书宋二KW"/>
      <charset val="134"/>
    </font>
    <font>
      <sz val="10"/>
      <color rgb="FF1506E0"/>
      <name val="等线"/>
      <charset val="134"/>
    </font>
    <font>
      <b/>
      <sz val="14"/>
      <name val="宋体"/>
      <charset val="0"/>
    </font>
    <font>
      <sz val="12"/>
      <color rgb="FF000000"/>
      <name val="宋体"/>
      <charset val="134"/>
      <scheme val="minor"/>
    </font>
    <font>
      <sz val="10"/>
      <color rgb="FF000000"/>
      <name val="等线"/>
      <charset val="134"/>
    </font>
    <font>
      <sz val="10"/>
      <color rgb="FF000000"/>
      <name val="汉仪书宋二KW"/>
      <charset val="134"/>
    </font>
    <font>
      <sz val="11"/>
      <color rgb="FF000000"/>
      <name val="宋体"/>
      <charset val="0"/>
    </font>
    <font>
      <sz val="12"/>
      <color rgb="FF1506E0"/>
      <name val="宋体"/>
      <charset val="134"/>
      <scheme val="minor"/>
    </font>
    <font>
      <sz val="14"/>
      <name val="宋体"/>
      <charset val="134"/>
    </font>
    <font>
      <sz val="11"/>
      <name val="宋体"/>
      <charset val="134"/>
    </font>
    <font>
      <b/>
      <sz val="11"/>
      <name val="宋体"/>
      <charset val="134"/>
    </font>
    <font>
      <sz val="12"/>
      <name val="宋体"/>
      <charset val="134"/>
    </font>
    <font>
      <b/>
      <sz val="12"/>
      <name val="宋体"/>
      <charset val="134"/>
    </font>
    <font>
      <b/>
      <sz val="9"/>
      <name val="宋体"/>
      <charset val="0"/>
    </font>
    <font>
      <sz val="9"/>
      <name val="宋体"/>
      <charset val="134"/>
    </font>
    <font>
      <sz val="9"/>
      <name val="宋体"/>
      <charset val="0"/>
    </font>
    <font>
      <b/>
      <sz val="9"/>
      <name val="宋体"/>
      <charset val="134"/>
    </font>
  </fonts>
  <fills count="42">
    <fill>
      <patternFill patternType="none"/>
    </fill>
    <fill>
      <patternFill patternType="gray125"/>
    </fill>
    <fill>
      <patternFill patternType="solid">
        <fgColor rgb="FFFFFF00"/>
        <bgColor indexed="64"/>
      </patternFill>
    </fill>
    <fill>
      <patternFill patternType="solid">
        <fgColor theme="6" tint="0.6"/>
        <bgColor indexed="64"/>
      </patternFill>
    </fill>
    <fill>
      <patternFill patternType="solid">
        <fgColor theme="6" tint="0.8"/>
        <bgColor indexed="64"/>
      </patternFill>
    </fill>
    <fill>
      <patternFill patternType="solid">
        <fgColor theme="0"/>
        <bgColor indexed="64"/>
      </patternFill>
    </fill>
    <fill>
      <patternFill patternType="solid">
        <fgColor rgb="FFDBDBDB"/>
        <bgColor indexed="64"/>
      </patternFill>
    </fill>
    <fill>
      <patternFill patternType="solid">
        <fgColor rgb="FF808080"/>
        <bgColor indexed="64"/>
      </patternFill>
    </fill>
    <fill>
      <patternFill patternType="solid">
        <fgColor rgb="FFF2F2F2"/>
        <bgColor indexed="64"/>
      </patternFill>
    </fill>
    <fill>
      <patternFill patternType="solid">
        <fgColor rgb="FFFFFFCC"/>
        <bgColor indexed="64"/>
      </patternFill>
    </fill>
    <fill>
      <patternFill patternType="solid">
        <fgColor rgb="FFC65911"/>
        <bgColor indexed="64"/>
      </patternFill>
    </fill>
    <fill>
      <patternFill patternType="solid">
        <fgColor rgb="FFFFFFFF"/>
        <bgColor indexed="64"/>
      </patternFill>
    </fill>
    <fill>
      <patternFill patternType="solid">
        <fgColor rgb="FF00B0F0"/>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0" fillId="9" borderId="25" applyNumberFormat="0" applyFont="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6" fillId="0" borderId="26" applyNumberFormat="0" applyFill="0" applyAlignment="0" applyProtection="0">
      <alignment vertical="center"/>
    </xf>
    <xf numFmtId="0" fontId="87" fillId="0" borderId="26" applyNumberFormat="0" applyFill="0" applyAlignment="0" applyProtection="0">
      <alignment vertical="center"/>
    </xf>
    <xf numFmtId="0" fontId="88" fillId="0" borderId="27" applyNumberFormat="0" applyFill="0" applyAlignment="0" applyProtection="0">
      <alignment vertical="center"/>
    </xf>
    <xf numFmtId="0" fontId="88" fillId="0" borderId="0" applyNumberFormat="0" applyFill="0" applyBorder="0" applyAlignment="0" applyProtection="0">
      <alignment vertical="center"/>
    </xf>
    <xf numFmtId="0" fontId="89" fillId="13" borderId="28" applyNumberFormat="0" applyAlignment="0" applyProtection="0">
      <alignment vertical="center"/>
    </xf>
    <xf numFmtId="0" fontId="90" fillId="8" borderId="29" applyNumberFormat="0" applyAlignment="0" applyProtection="0">
      <alignment vertical="center"/>
    </xf>
    <xf numFmtId="0" fontId="91" fillId="8" borderId="28" applyNumberFormat="0" applyAlignment="0" applyProtection="0">
      <alignment vertical="center"/>
    </xf>
    <xf numFmtId="0" fontId="92" fillId="14" borderId="30" applyNumberFormat="0" applyAlignment="0" applyProtection="0">
      <alignment vertical="center"/>
    </xf>
    <xf numFmtId="0" fontId="93" fillId="0" borderId="31" applyNumberFormat="0" applyFill="0" applyAlignment="0" applyProtection="0">
      <alignment vertical="center"/>
    </xf>
    <xf numFmtId="0" fontId="94" fillId="0" borderId="32" applyNumberFormat="0" applyFill="0" applyAlignment="0" applyProtection="0">
      <alignment vertical="center"/>
    </xf>
    <xf numFmtId="0" fontId="95" fillId="15" borderId="0" applyNumberFormat="0" applyBorder="0" applyAlignment="0" applyProtection="0">
      <alignment vertical="center"/>
    </xf>
    <xf numFmtId="0" fontId="96" fillId="16" borderId="0" applyNumberFormat="0" applyBorder="0" applyAlignment="0" applyProtection="0">
      <alignment vertical="center"/>
    </xf>
    <xf numFmtId="0" fontId="97" fillId="17" borderId="0" applyNumberFormat="0" applyBorder="0" applyAlignment="0" applyProtection="0">
      <alignment vertical="center"/>
    </xf>
    <xf numFmtId="0" fontId="98" fillId="18"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8" fillId="21" borderId="0" applyNumberFormat="0" applyBorder="0" applyAlignment="0" applyProtection="0">
      <alignment vertical="center"/>
    </xf>
    <xf numFmtId="0" fontId="98" fillId="22"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8" fillId="25" borderId="0" applyNumberFormat="0" applyBorder="0" applyAlignment="0" applyProtection="0">
      <alignment vertical="center"/>
    </xf>
    <xf numFmtId="0" fontId="98" fillId="26"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8" fillId="29" borderId="0" applyNumberFormat="0" applyBorder="0" applyAlignment="0" applyProtection="0">
      <alignment vertical="center"/>
    </xf>
    <xf numFmtId="0" fontId="98" fillId="30"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33" borderId="0" applyNumberFormat="0" applyBorder="0" applyAlignment="0" applyProtection="0">
      <alignment vertical="center"/>
    </xf>
    <xf numFmtId="0" fontId="98" fillId="34" borderId="0" applyNumberFormat="0" applyBorder="0" applyAlignment="0" applyProtection="0">
      <alignment vertical="center"/>
    </xf>
    <xf numFmtId="0" fontId="99" fillId="35" borderId="0" applyNumberFormat="0" applyBorder="0" applyAlignment="0" applyProtection="0">
      <alignment vertical="center"/>
    </xf>
    <xf numFmtId="0" fontId="99" fillId="36" borderId="0" applyNumberFormat="0" applyBorder="0" applyAlignment="0" applyProtection="0">
      <alignment vertical="center"/>
    </xf>
    <xf numFmtId="0" fontId="98" fillId="37" borderId="0" applyNumberFormat="0" applyBorder="0" applyAlignment="0" applyProtection="0">
      <alignment vertical="center"/>
    </xf>
    <xf numFmtId="0" fontId="98" fillId="38" borderId="0" applyNumberFormat="0" applyBorder="0" applyAlignment="0" applyProtection="0">
      <alignment vertical="center"/>
    </xf>
    <xf numFmtId="0" fontId="99" fillId="39" borderId="0" applyNumberFormat="0" applyBorder="0" applyAlignment="0" applyProtection="0">
      <alignment vertical="center"/>
    </xf>
    <xf numFmtId="0" fontId="99" fillId="40" borderId="0" applyNumberFormat="0" applyBorder="0" applyAlignment="0" applyProtection="0">
      <alignment vertical="center"/>
    </xf>
    <xf numFmtId="0" fontId="98" fillId="41"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100" fillId="0" borderId="0">
      <alignment vertical="center"/>
    </xf>
    <xf numFmtId="0" fontId="101" fillId="0" borderId="0"/>
    <xf numFmtId="0" fontId="100" fillId="0" borderId="0">
      <alignment vertical="top"/>
    </xf>
    <xf numFmtId="0" fontId="102" fillId="0" borderId="0"/>
  </cellStyleXfs>
  <cellXfs count="532">
    <xf numFmtId="0" fontId="0" fillId="0" borderId="0" xfId="0">
      <alignment vertical="center"/>
    </xf>
    <xf numFmtId="0" fontId="0" fillId="0" borderId="0" xfId="0" applyFill="1">
      <alignment vertical="center"/>
    </xf>
    <xf numFmtId="0" fontId="1" fillId="0" borderId="0" xfId="0" applyFont="1" applyFill="1" applyAlignment="1">
      <alignment horizontal="center" vertical="center"/>
    </xf>
    <xf numFmtId="0" fontId="1" fillId="0" borderId="0" xfId="0" applyFont="1" applyFill="1" applyAlignment="1" applyProtection="1">
      <alignment horizontal="center" vertical="center"/>
      <protection locked="0"/>
    </xf>
    <xf numFmtId="0" fontId="2" fillId="0" borderId="0" xfId="0" applyFont="1" applyFill="1" applyAlignment="1" applyProtection="1">
      <alignment horizontal="center" vertical="center"/>
      <protection locked="0"/>
    </xf>
    <xf numFmtId="176" fontId="3" fillId="0" borderId="1" xfId="0" applyNumberFormat="1" applyFont="1" applyFill="1" applyBorder="1" applyAlignment="1">
      <alignment horizontal="center" vertical="top" wrapText="1" shrinkToFit="1"/>
    </xf>
    <xf numFmtId="0" fontId="3" fillId="0" borderId="1" xfId="0" applyFont="1" applyFill="1" applyBorder="1" applyAlignment="1">
      <alignment horizontal="center" vertical="top" wrapText="1" shrinkToFit="1"/>
    </xf>
    <xf numFmtId="0" fontId="4" fillId="0" borderId="1" xfId="0" applyFont="1" applyFill="1" applyBorder="1" applyAlignment="1">
      <alignment horizontal="center" vertical="top" wrapText="1" shrinkToFit="1"/>
    </xf>
    <xf numFmtId="0" fontId="5" fillId="0" borderId="1" xfId="0" applyFont="1" applyFill="1" applyBorder="1" applyAlignment="1">
      <alignment horizontal="center" vertical="top" wrapText="1"/>
    </xf>
    <xf numFmtId="177" fontId="6" fillId="0" borderId="1" xfId="0" applyNumberFormat="1" applyFont="1" applyFill="1" applyBorder="1" applyAlignment="1">
      <alignment horizontal="center" vertical="top" wrapText="1" shrinkToFit="1"/>
    </xf>
    <xf numFmtId="178" fontId="3" fillId="0" borderId="1" xfId="0" applyNumberFormat="1" applyFont="1" applyFill="1" applyBorder="1" applyAlignment="1">
      <alignment horizontal="center" vertical="top" wrapText="1" shrinkToFit="1"/>
    </xf>
    <xf numFmtId="0" fontId="5" fillId="0" borderId="1" xfId="0" applyNumberFormat="1" applyFont="1" applyFill="1" applyBorder="1" applyAlignment="1">
      <alignment horizontal="center" vertical="top" wrapText="1" shrinkToFit="1"/>
    </xf>
    <xf numFmtId="0" fontId="7" fillId="0" borderId="1" xfId="0" applyFont="1" applyFill="1" applyBorder="1" applyAlignment="1">
      <alignment horizontal="center" vertical="center" wrapText="1" shrinkToFit="1"/>
    </xf>
    <xf numFmtId="177" fontId="8" fillId="0" borderId="1" xfId="0" applyNumberFormat="1" applyFont="1" applyFill="1" applyBorder="1" applyAlignment="1">
      <alignment horizontal="center" vertical="top" wrapText="1" shrinkToFit="1"/>
    </xf>
    <xf numFmtId="0" fontId="0" fillId="0" borderId="1" xfId="0" applyFill="1" applyBorder="1" applyAlignment="1">
      <alignment horizontal="center" vertical="center"/>
    </xf>
    <xf numFmtId="10" fontId="0" fillId="0" borderId="1" xfId="3" applyNumberFormat="1" applyFill="1" applyBorder="1" applyAlignment="1">
      <alignment horizontal="center" vertical="center"/>
    </xf>
    <xf numFmtId="176" fontId="9" fillId="0" borderId="1" xfId="0" applyNumberFormat="1" applyFont="1" applyFill="1" applyBorder="1" applyAlignment="1">
      <alignment horizontal="center" vertical="center" wrapText="1" shrinkToFit="1"/>
    </xf>
    <xf numFmtId="0" fontId="9" fillId="0" borderId="1" xfId="0" applyFont="1" applyFill="1" applyBorder="1" applyAlignment="1">
      <alignment horizontal="center" vertical="center" wrapText="1"/>
    </xf>
    <xf numFmtId="0" fontId="9" fillId="0" borderId="1" xfId="0" applyFont="1" applyFill="1" applyBorder="1" applyAlignment="1">
      <alignment horizontal="center" vertical="center" wrapText="1" shrinkToFit="1"/>
    </xf>
    <xf numFmtId="0" fontId="9" fillId="0" borderId="1" xfId="0" applyFont="1" applyFill="1" applyBorder="1" applyAlignment="1">
      <alignment horizontal="center" vertical="center"/>
    </xf>
    <xf numFmtId="49" fontId="10" fillId="0" borderId="1" xfId="0" applyNumberFormat="1" applyFont="1" applyFill="1" applyBorder="1" applyAlignment="1">
      <alignment horizontal="center" vertical="center" wrapText="1"/>
    </xf>
    <xf numFmtId="179" fontId="10" fillId="0" borderId="1" xfId="0" applyNumberFormat="1" applyFont="1" applyFill="1" applyBorder="1" applyAlignment="1">
      <alignment horizontal="center" vertical="center"/>
    </xf>
    <xf numFmtId="177" fontId="9" fillId="0" borderId="1" xfId="0" applyNumberFormat="1" applyFont="1" applyFill="1" applyBorder="1" applyAlignment="1">
      <alignment horizontal="center" vertical="center" wrapText="1" shrinkToFit="1"/>
    </xf>
    <xf numFmtId="177" fontId="11" fillId="2" borderId="1" xfId="0" applyNumberFormat="1" applyFont="1" applyFill="1" applyBorder="1" applyAlignment="1">
      <alignment horizontal="center" vertical="center" wrapText="1" shrinkToFit="1"/>
    </xf>
    <xf numFmtId="178" fontId="9"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180" fontId="1" fillId="2" borderId="1" xfId="0" applyNumberFormat="1" applyFont="1" applyFill="1" applyBorder="1" applyAlignment="1">
      <alignment horizontal="center" vertical="center"/>
    </xf>
    <xf numFmtId="180" fontId="2" fillId="0" borderId="1" xfId="0" applyNumberFormat="1" applyFont="1" applyFill="1" applyBorder="1" applyAlignment="1">
      <alignment horizontal="center" vertical="center"/>
    </xf>
    <xf numFmtId="180" fontId="1" fillId="0" borderId="1" xfId="0" applyNumberFormat="1" applyFont="1" applyFill="1" applyBorder="1" applyAlignment="1">
      <alignment horizontal="center" vertical="center" wrapText="1" shrinkToFit="1"/>
    </xf>
    <xf numFmtId="180" fontId="1" fillId="0" borderId="1" xfId="0" applyNumberFormat="1" applyFont="1" applyFill="1" applyBorder="1" applyAlignment="1">
      <alignment horizontal="center" vertical="center"/>
    </xf>
    <xf numFmtId="178" fontId="9" fillId="2" borderId="1" xfId="0" applyNumberFormat="1" applyFont="1" applyFill="1" applyBorder="1" applyAlignment="1">
      <alignment horizontal="center" vertical="center" wrapText="1"/>
    </xf>
    <xf numFmtId="178" fontId="1" fillId="0" borderId="1" xfId="0" applyNumberFormat="1" applyFont="1" applyFill="1" applyBorder="1" applyAlignment="1">
      <alignment horizontal="center" vertical="center" wrapText="1" shrinkToFit="1"/>
    </xf>
    <xf numFmtId="181" fontId="1" fillId="0" borderId="1" xfId="0" applyNumberFormat="1" applyFont="1" applyFill="1" applyBorder="1" applyAlignment="1">
      <alignment horizontal="center" vertical="center" wrapText="1" shrinkToFit="1"/>
    </xf>
    <xf numFmtId="176" fontId="9" fillId="0" borderId="1" xfId="0" applyNumberFormat="1" applyFont="1" applyFill="1" applyBorder="1" applyAlignment="1" applyProtection="1">
      <alignment horizontal="center" vertical="center" wrapText="1" shrinkToFit="1"/>
    </xf>
    <xf numFmtId="0" fontId="9" fillId="0" borderId="1" xfId="0" applyFont="1" applyFill="1" applyBorder="1" applyAlignment="1" applyProtection="1">
      <alignment horizontal="center" vertical="center" wrapText="1" shrinkToFit="1"/>
      <protection locked="0"/>
    </xf>
    <xf numFmtId="0" fontId="9" fillId="0" borderId="1" xfId="0" applyFont="1" applyFill="1" applyBorder="1" applyAlignment="1" applyProtection="1">
      <alignment horizontal="center" vertical="center"/>
      <protection locked="0"/>
    </xf>
    <xf numFmtId="0" fontId="9" fillId="0" borderId="1" xfId="0" applyFont="1" applyFill="1" applyBorder="1" applyAlignment="1" applyProtection="1">
      <alignment horizontal="center" vertical="center" wrapText="1"/>
      <protection locked="0"/>
    </xf>
    <xf numFmtId="49" fontId="10" fillId="0" borderId="1" xfId="0" applyNumberFormat="1" applyFont="1" applyFill="1" applyBorder="1" applyAlignment="1" applyProtection="1">
      <alignment horizontal="center" vertical="center" wrapText="1"/>
      <protection locked="0"/>
    </xf>
    <xf numFmtId="179" fontId="10" fillId="0" borderId="1" xfId="0" applyNumberFormat="1" applyFont="1" applyFill="1" applyBorder="1" applyAlignment="1" applyProtection="1">
      <alignment horizontal="center" vertical="center"/>
      <protection locked="0"/>
    </xf>
    <xf numFmtId="177" fontId="9" fillId="2" borderId="1" xfId="0" applyNumberFormat="1" applyFont="1" applyFill="1" applyBorder="1" applyAlignment="1" applyProtection="1">
      <alignment horizontal="center" vertical="center" wrapText="1" shrinkToFit="1"/>
      <protection locked="0"/>
    </xf>
    <xf numFmtId="178" fontId="9" fillId="0" borderId="1" xfId="0" applyNumberFormat="1" applyFont="1" applyFill="1" applyBorder="1" applyAlignment="1" applyProtection="1">
      <alignment horizontal="center" vertical="center" wrapText="1"/>
      <protection locked="0"/>
    </xf>
    <xf numFmtId="0" fontId="9" fillId="0" borderId="1" xfId="0" applyNumberFormat="1" applyFont="1" applyFill="1" applyBorder="1" applyAlignment="1" applyProtection="1">
      <alignment horizontal="center" vertical="center" wrapText="1"/>
      <protection locked="0"/>
    </xf>
    <xf numFmtId="177" fontId="9" fillId="0" borderId="1" xfId="0" applyNumberFormat="1" applyFont="1" applyFill="1" applyBorder="1" applyAlignment="1" applyProtection="1">
      <alignment horizontal="center" vertical="center" wrapText="1" shrinkToFit="1"/>
      <protection locked="0"/>
    </xf>
    <xf numFmtId="181" fontId="1" fillId="0" borderId="1" xfId="0" applyNumberFormat="1" applyFont="1" applyFill="1" applyBorder="1" applyAlignment="1" applyProtection="1">
      <alignment horizontal="center" vertical="center" wrapText="1" shrinkToFit="1"/>
      <protection locked="0"/>
    </xf>
    <xf numFmtId="0" fontId="1" fillId="0" borderId="1" xfId="0" applyFont="1" applyFill="1" applyBorder="1" applyAlignment="1" applyProtection="1">
      <alignment horizontal="center" vertical="center"/>
      <protection locked="0"/>
    </xf>
    <xf numFmtId="180" fontId="1" fillId="0" borderId="1" xfId="0" applyNumberFormat="1" applyFont="1" applyFill="1" applyBorder="1" applyAlignment="1" applyProtection="1">
      <alignment horizontal="center" vertical="center"/>
      <protection locked="0"/>
    </xf>
    <xf numFmtId="176" fontId="12" fillId="0" borderId="1" xfId="0" applyNumberFormat="1" applyFont="1" applyFill="1" applyBorder="1" applyAlignment="1" applyProtection="1">
      <alignment horizontal="center" vertical="center" wrapText="1" shrinkToFit="1"/>
    </xf>
    <xf numFmtId="0" fontId="12" fillId="0" borderId="1" xfId="0" applyFont="1" applyFill="1" applyBorder="1" applyAlignment="1" applyProtection="1">
      <alignment horizontal="center" vertical="center" wrapText="1"/>
      <protection locked="0"/>
    </xf>
    <xf numFmtId="0" fontId="12" fillId="0" borderId="1" xfId="0" applyFont="1" applyFill="1" applyBorder="1" applyAlignment="1" applyProtection="1">
      <alignment horizontal="center" vertical="center" wrapText="1" shrinkToFit="1"/>
      <protection locked="0"/>
    </xf>
    <xf numFmtId="0" fontId="12" fillId="0" borderId="1" xfId="0" applyFont="1" applyFill="1" applyBorder="1" applyAlignment="1" applyProtection="1">
      <alignment horizontal="center" vertical="center"/>
      <protection locked="0"/>
    </xf>
    <xf numFmtId="49" fontId="13" fillId="0" borderId="1" xfId="0" applyNumberFormat="1" applyFont="1" applyFill="1" applyBorder="1" applyAlignment="1" applyProtection="1">
      <alignment horizontal="center" vertical="center" wrapText="1"/>
      <protection locked="0"/>
    </xf>
    <xf numFmtId="179" fontId="13" fillId="0" borderId="1" xfId="0" applyNumberFormat="1" applyFont="1" applyFill="1" applyBorder="1" applyAlignment="1" applyProtection="1">
      <alignment horizontal="center" vertical="center"/>
      <protection locked="0"/>
    </xf>
    <xf numFmtId="177" fontId="12" fillId="0" borderId="1" xfId="0" applyNumberFormat="1" applyFont="1" applyFill="1" applyBorder="1" applyAlignment="1" applyProtection="1">
      <alignment horizontal="center" vertical="center" wrapText="1" shrinkToFit="1"/>
      <protection locked="0"/>
    </xf>
    <xf numFmtId="178" fontId="12" fillId="0" borderId="1" xfId="0" applyNumberFormat="1" applyFont="1" applyFill="1" applyBorder="1" applyAlignment="1" applyProtection="1">
      <alignment horizontal="center" vertical="center" wrapText="1"/>
      <protection locked="0"/>
    </xf>
    <xf numFmtId="0" fontId="12" fillId="0" borderId="1" xfId="0" applyNumberFormat="1" applyFont="1" applyFill="1" applyBorder="1" applyAlignment="1" applyProtection="1">
      <alignment horizontal="center" vertical="center" wrapText="1"/>
      <protection locked="0"/>
    </xf>
    <xf numFmtId="181" fontId="2" fillId="0" borderId="1" xfId="0" applyNumberFormat="1" applyFont="1" applyFill="1" applyBorder="1" applyAlignment="1" applyProtection="1">
      <alignment horizontal="center" vertical="center" wrapText="1" shrinkToFit="1"/>
      <protection locked="0"/>
    </xf>
    <xf numFmtId="0" fontId="2" fillId="0" borderId="1" xfId="0" applyFont="1" applyFill="1" applyBorder="1" applyAlignment="1" applyProtection="1">
      <alignment horizontal="center" vertical="center"/>
      <protection locked="0"/>
    </xf>
    <xf numFmtId="180" fontId="2" fillId="0" borderId="1" xfId="0" applyNumberFormat="1" applyFont="1" applyFill="1" applyBorder="1" applyAlignment="1" applyProtection="1">
      <alignment horizontal="center" vertical="center"/>
      <protection locked="0"/>
    </xf>
    <xf numFmtId="180" fontId="14" fillId="0" borderId="1" xfId="0" applyNumberFormat="1" applyFont="1" applyFill="1" applyBorder="1" applyAlignment="1" applyProtection="1">
      <alignment horizontal="center" vertical="center"/>
      <protection locked="0"/>
    </xf>
    <xf numFmtId="178" fontId="11" fillId="0" borderId="2" xfId="0" applyNumberFormat="1" applyFont="1" applyFill="1" applyBorder="1" applyAlignment="1" applyProtection="1">
      <alignment horizontal="center" vertical="center" wrapText="1"/>
      <protection locked="0"/>
    </xf>
    <xf numFmtId="176" fontId="12" fillId="0" borderId="3" xfId="0" applyNumberFormat="1" applyFont="1" applyFill="1" applyBorder="1" applyAlignment="1" applyProtection="1">
      <alignment horizontal="center" vertical="center" wrapText="1" shrinkToFit="1"/>
    </xf>
    <xf numFmtId="0" fontId="12" fillId="0" borderId="4" xfId="0" applyFont="1" applyFill="1" applyBorder="1" applyAlignment="1" applyProtection="1">
      <alignment horizontal="center" vertical="center" wrapText="1"/>
      <protection locked="0"/>
    </xf>
    <xf numFmtId="0" fontId="15" fillId="0" borderId="4" xfId="0" applyFont="1" applyFill="1" applyBorder="1" applyAlignment="1" applyProtection="1">
      <alignment horizontal="center" vertical="center" wrapText="1" shrinkToFit="1"/>
      <protection locked="0"/>
    </xf>
    <xf numFmtId="0" fontId="12" fillId="0" borderId="4" xfId="0" applyFont="1" applyFill="1" applyBorder="1" applyAlignment="1" applyProtection="1">
      <alignment horizontal="center" vertical="center"/>
      <protection locked="0"/>
    </xf>
    <xf numFmtId="0" fontId="12" fillId="0" borderId="4" xfId="0" applyFont="1" applyFill="1" applyBorder="1" applyAlignment="1" applyProtection="1">
      <alignment horizontal="center" vertical="center" wrapText="1" shrinkToFit="1"/>
      <protection locked="0"/>
    </xf>
    <xf numFmtId="49" fontId="13" fillId="0" borderId="4" xfId="0" applyNumberFormat="1" applyFont="1" applyFill="1" applyBorder="1" applyAlignment="1" applyProtection="1">
      <alignment horizontal="center" vertical="center" wrapText="1"/>
      <protection locked="0"/>
    </xf>
    <xf numFmtId="179" fontId="16" fillId="0" borderId="4" xfId="0" applyNumberFormat="1" applyFont="1" applyFill="1" applyBorder="1" applyAlignment="1" applyProtection="1">
      <alignment horizontal="center" vertical="center" wrapText="1"/>
      <protection locked="0"/>
    </xf>
    <xf numFmtId="179" fontId="13" fillId="0" borderId="4" xfId="0" applyNumberFormat="1" applyFont="1" applyFill="1" applyBorder="1" applyAlignment="1" applyProtection="1">
      <alignment horizontal="center" vertical="center"/>
      <protection locked="0"/>
    </xf>
    <xf numFmtId="177" fontId="12" fillId="0" borderId="4" xfId="0" applyNumberFormat="1" applyFont="1" applyFill="1" applyBorder="1" applyAlignment="1" applyProtection="1">
      <alignment horizontal="center" vertical="center" wrapText="1" shrinkToFit="1"/>
      <protection locked="0"/>
    </xf>
    <xf numFmtId="178" fontId="15" fillId="0" borderId="4" xfId="0" applyNumberFormat="1" applyFont="1" applyFill="1" applyBorder="1" applyAlignment="1" applyProtection="1">
      <alignment horizontal="center" vertical="center" wrapText="1"/>
      <protection locked="0"/>
    </xf>
    <xf numFmtId="0" fontId="2" fillId="0" borderId="4" xfId="0" applyFont="1" applyFill="1" applyBorder="1" applyAlignment="1" applyProtection="1">
      <alignment horizontal="center" vertical="center"/>
      <protection locked="0"/>
    </xf>
    <xf numFmtId="178" fontId="12" fillId="0" borderId="4" xfId="0" applyNumberFormat="1" applyFont="1" applyFill="1" applyBorder="1" applyAlignment="1" applyProtection="1">
      <alignment horizontal="center" vertical="center" wrapText="1"/>
      <protection locked="0"/>
    </xf>
    <xf numFmtId="178" fontId="17" fillId="0" borderId="4" xfId="0" applyNumberFormat="1" applyFont="1" applyFill="1" applyBorder="1" applyAlignment="1" applyProtection="1">
      <alignment horizontal="center" vertical="center" wrapText="1"/>
      <protection locked="0"/>
    </xf>
    <xf numFmtId="178" fontId="18" fillId="0" borderId="4" xfId="0"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wrapText="1"/>
      <protection locked="0"/>
    </xf>
    <xf numFmtId="181" fontId="2" fillId="0" borderId="4" xfId="0" applyNumberFormat="1" applyFont="1" applyFill="1" applyBorder="1" applyAlignment="1" applyProtection="1">
      <alignment horizontal="center" vertical="center" wrapText="1" shrinkToFit="1"/>
      <protection locked="0"/>
    </xf>
    <xf numFmtId="0" fontId="12" fillId="0" borderId="4" xfId="0" applyNumberFormat="1" applyFont="1" applyFill="1" applyBorder="1" applyAlignment="1" applyProtection="1">
      <alignment horizontal="center" vertical="center" wrapText="1"/>
      <protection locked="0"/>
    </xf>
    <xf numFmtId="0" fontId="19" fillId="0" borderId="4" xfId="0" applyNumberFormat="1" applyFont="1" applyFill="1" applyBorder="1" applyAlignment="1" applyProtection="1">
      <alignment horizontal="center" vertical="center" wrapText="1"/>
      <protection locked="0"/>
    </xf>
    <xf numFmtId="178" fontId="20" fillId="0" borderId="4" xfId="0" applyNumberFormat="1" applyFont="1" applyFill="1" applyBorder="1" applyAlignment="1" applyProtection="1">
      <alignment horizontal="center" vertical="center" wrapText="1"/>
      <protection locked="0"/>
    </xf>
    <xf numFmtId="180" fontId="2" fillId="0" borderId="4" xfId="0" applyNumberFormat="1" applyFont="1" applyFill="1" applyBorder="1" applyAlignment="1" applyProtection="1">
      <alignment horizontal="center" vertical="center"/>
      <protection locked="0"/>
    </xf>
    <xf numFmtId="180" fontId="2" fillId="0" borderId="5" xfId="0" applyNumberFormat="1" applyFont="1" applyFill="1" applyBorder="1" applyAlignment="1" applyProtection="1">
      <alignment horizontal="center" vertical="center"/>
      <protection locked="0"/>
    </xf>
    <xf numFmtId="180" fontId="21" fillId="0" borderId="1" xfId="0" applyNumberFormat="1" applyFont="1" applyFill="1" applyBorder="1" applyAlignment="1" applyProtection="1">
      <alignment horizontal="center" vertical="center"/>
      <protection locked="0"/>
    </xf>
    <xf numFmtId="0" fontId="1" fillId="0" borderId="0" xfId="0" applyFont="1">
      <alignment vertical="center"/>
    </xf>
    <xf numFmtId="0" fontId="22" fillId="3" borderId="1" xfId="0" applyFont="1" applyFill="1" applyBorder="1" applyAlignment="1">
      <alignment horizontal="center" vertical="center"/>
    </xf>
    <xf numFmtId="176" fontId="23" fillId="3" borderId="1" xfId="51" applyNumberFormat="1" applyFont="1" applyFill="1" applyBorder="1" applyAlignment="1">
      <alignment horizontal="center" vertical="center"/>
    </xf>
    <xf numFmtId="180" fontId="23" fillId="3" borderId="1" xfId="51" applyNumberFormat="1" applyFont="1" applyFill="1" applyBorder="1" applyAlignment="1">
      <alignment horizontal="center" vertical="center"/>
    </xf>
    <xf numFmtId="176" fontId="24" fillId="3" borderId="1" xfId="51" applyNumberFormat="1" applyFont="1" applyFill="1" applyBorder="1" applyAlignment="1">
      <alignment horizontal="center" vertical="center"/>
    </xf>
    <xf numFmtId="176" fontId="24" fillId="3" borderId="1" xfId="51" applyNumberFormat="1" applyFont="1" applyFill="1" applyBorder="1" applyAlignment="1">
      <alignment horizontal="center" vertical="center" wrapText="1"/>
    </xf>
    <xf numFmtId="0" fontId="23" fillId="3" borderId="1" xfId="51" applyFont="1" applyFill="1" applyBorder="1" applyAlignment="1">
      <alignment horizontal="center" vertical="center" wrapText="1"/>
    </xf>
    <xf numFmtId="0" fontId="25" fillId="3" borderId="1"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25" fillId="3" borderId="5"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6" fillId="3" borderId="1" xfId="52" applyFont="1" applyFill="1" applyBorder="1" applyAlignment="1">
      <alignment horizontal="center" vertical="center" wrapText="1"/>
    </xf>
    <xf numFmtId="0" fontId="24" fillId="3" borderId="1" xfId="0" applyFont="1" applyFill="1" applyBorder="1" applyAlignment="1">
      <alignment horizontal="center" vertical="center"/>
    </xf>
    <xf numFmtId="180" fontId="24" fillId="3" borderId="1" xfId="51" applyNumberFormat="1" applyFont="1" applyFill="1" applyBorder="1" applyAlignment="1">
      <alignment horizontal="center" vertical="center"/>
    </xf>
    <xf numFmtId="0" fontId="27" fillId="3" borderId="1" xfId="0" applyFont="1" applyFill="1" applyBorder="1" applyAlignment="1">
      <alignment horizontal="center" vertical="top" wrapText="1" shrinkToFit="1"/>
    </xf>
    <xf numFmtId="0" fontId="24" fillId="3" borderId="1" xfId="0" applyFont="1" applyFill="1" applyBorder="1" applyAlignment="1">
      <alignment horizontal="center" vertical="top" wrapText="1" shrinkToFit="1"/>
    </xf>
    <xf numFmtId="0" fontId="24" fillId="3" borderId="1" xfId="52" applyFont="1" applyFill="1" applyBorder="1" applyAlignment="1">
      <alignment horizontal="center" vertical="center" wrapText="1"/>
    </xf>
    <xf numFmtId="0" fontId="23" fillId="3" borderId="1" xfId="0" applyFont="1" applyFill="1" applyBorder="1" applyAlignment="1">
      <alignment horizontal="center" vertical="center" wrapText="1"/>
    </xf>
    <xf numFmtId="176" fontId="0" fillId="0" borderId="1" xfId="0" applyNumberFormat="1" applyBorder="1" applyAlignment="1">
      <alignment horizontal="left" vertical="center"/>
    </xf>
    <xf numFmtId="0" fontId="0" fillId="0" borderId="1" xfId="0" applyBorder="1" applyAlignment="1">
      <alignment horizontal="left" vertical="center"/>
    </xf>
    <xf numFmtId="0" fontId="0" fillId="0" borderId="1" xfId="0" applyBorder="1">
      <alignment vertical="center"/>
    </xf>
    <xf numFmtId="0" fontId="0" fillId="0" borderId="1" xfId="0" applyFill="1" applyBorder="1">
      <alignment vertical="center"/>
    </xf>
    <xf numFmtId="176"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lignment vertical="center"/>
    </xf>
    <xf numFmtId="0" fontId="1" fillId="0" borderId="1" xfId="0" applyFont="1" applyFill="1" applyBorder="1">
      <alignment vertical="center"/>
    </xf>
    <xf numFmtId="176" fontId="0" fillId="0" borderId="1" xfId="0" applyNumberFormat="1" applyFill="1" applyBorder="1" applyAlignment="1">
      <alignment horizontal="left" vertical="center"/>
    </xf>
    <xf numFmtId="0" fontId="0" fillId="0" borderId="1" xfId="0" applyFill="1" applyBorder="1" applyAlignment="1">
      <alignment horizontal="left" vertical="center"/>
    </xf>
    <xf numFmtId="0" fontId="0" fillId="0" borderId="1" xfId="0" applyBorder="1" applyAlignment="1">
      <alignment horizontal="center" vertical="center"/>
    </xf>
    <xf numFmtId="49" fontId="0" fillId="0" borderId="1" xfId="0" applyNumberFormat="1" applyFill="1" applyBorder="1" applyAlignment="1">
      <alignment horizontal="left" vertical="center"/>
    </xf>
    <xf numFmtId="0" fontId="0" fillId="2" borderId="1" xfId="0" applyFill="1" applyBorder="1">
      <alignment vertical="center"/>
    </xf>
    <xf numFmtId="0" fontId="0" fillId="0" borderId="1" xfId="0" applyFill="1" applyBorder="1" applyAlignment="1">
      <alignment horizontal="left" vertical="center" wrapText="1"/>
    </xf>
    <xf numFmtId="0" fontId="0" fillId="2" borderId="1" xfId="0" applyFill="1" applyBorder="1" applyAlignment="1">
      <alignment horizontal="left" vertical="center"/>
    </xf>
    <xf numFmtId="176" fontId="0" fillId="0" borderId="1" xfId="0" applyNumberFormat="1" applyFill="1" applyBorder="1" applyAlignment="1">
      <alignment horizontal="left" vertical="center" wrapText="1"/>
    </xf>
    <xf numFmtId="3" fontId="0" fillId="0" borderId="1" xfId="0" applyNumberFormat="1" applyFill="1" applyBorder="1" applyAlignment="1">
      <alignment horizontal="left" vertical="center"/>
    </xf>
    <xf numFmtId="0" fontId="17" fillId="0" borderId="1" xfId="0" applyFont="1" applyFill="1" applyBorder="1" applyAlignment="1">
      <alignment horizontal="left" vertical="center"/>
    </xf>
    <xf numFmtId="176" fontId="0" fillId="2" borderId="1" xfId="0" applyNumberFormat="1" applyFill="1" applyBorder="1" applyAlignment="1">
      <alignment horizontal="left" vertical="center"/>
    </xf>
    <xf numFmtId="0" fontId="0" fillId="2" borderId="1" xfId="0" applyFill="1" applyBorder="1" applyAlignment="1">
      <alignment horizontal="left" vertical="center" wrapText="1"/>
    </xf>
    <xf numFmtId="0" fontId="17" fillId="2" borderId="1" xfId="0" applyFont="1" applyFill="1" applyBorder="1" applyAlignment="1">
      <alignment horizontal="left" vertical="center"/>
    </xf>
    <xf numFmtId="176" fontId="0" fillId="0" borderId="1" xfId="0" applyNumberFormat="1" applyBorder="1">
      <alignment vertical="center"/>
    </xf>
    <xf numFmtId="0" fontId="24" fillId="3" borderId="7" xfId="51" applyFont="1" applyFill="1" applyBorder="1" applyAlignment="1">
      <alignment horizontal="center" vertical="center" wrapText="1"/>
    </xf>
    <xf numFmtId="0" fontId="24" fillId="3" borderId="8" xfId="51" applyFont="1" applyFill="1" applyBorder="1" applyAlignment="1">
      <alignment horizontal="center" vertical="center" wrapText="1"/>
    </xf>
    <xf numFmtId="0" fontId="24" fillId="3" borderId="9" xfId="51" applyFont="1" applyFill="1" applyBorder="1" applyAlignment="1">
      <alignment horizontal="center" vertical="center" wrapText="1"/>
    </xf>
    <xf numFmtId="0" fontId="23" fillId="3" borderId="1" xfId="52" applyFont="1" applyFill="1" applyBorder="1" applyAlignment="1">
      <alignment horizontal="center" vertical="center" wrapText="1" shrinkToFit="1"/>
    </xf>
    <xf numFmtId="0" fontId="24" fillId="3" borderId="1" xfId="52" applyFont="1" applyFill="1" applyBorder="1" applyAlignment="1">
      <alignment horizontal="center" vertical="center" wrapText="1" shrinkToFit="1"/>
    </xf>
    <xf numFmtId="0" fontId="24" fillId="3" borderId="10" xfId="51" applyFont="1" applyFill="1" applyBorder="1" applyAlignment="1">
      <alignment horizontal="center" vertical="center" wrapText="1"/>
    </xf>
    <xf numFmtId="0" fontId="24" fillId="3" borderId="0" xfId="51" applyFont="1" applyFill="1" applyAlignment="1">
      <alignment horizontal="center" vertical="center" wrapText="1"/>
    </xf>
    <xf numFmtId="0" fontId="24" fillId="3" borderId="11" xfId="51" applyFont="1" applyFill="1" applyBorder="1" applyAlignment="1">
      <alignment horizontal="center" vertical="center" wrapText="1"/>
    </xf>
    <xf numFmtId="0" fontId="24" fillId="3" borderId="12" xfId="51" applyFont="1" applyFill="1" applyBorder="1" applyAlignment="1">
      <alignment horizontal="center" vertical="center" wrapText="1"/>
    </xf>
    <xf numFmtId="0" fontId="24" fillId="3" borderId="13" xfId="51" applyFont="1" applyFill="1" applyBorder="1" applyAlignment="1">
      <alignment horizontal="center" vertical="center" wrapText="1"/>
    </xf>
    <xf numFmtId="0" fontId="24" fillId="3" borderId="14" xfId="51" applyFont="1" applyFill="1" applyBorder="1" applyAlignment="1">
      <alignment horizontal="center" vertical="center" wrapText="1"/>
    </xf>
    <xf numFmtId="182" fontId="24" fillId="3" borderId="1" xfId="52" applyNumberFormat="1" applyFont="1" applyFill="1" applyBorder="1" applyAlignment="1">
      <alignment horizontal="center" vertical="center" wrapText="1" shrinkToFit="1"/>
    </xf>
    <xf numFmtId="0" fontId="27" fillId="3" borderId="1" xfId="0" applyFont="1" applyFill="1" applyBorder="1" applyAlignment="1">
      <alignment horizontal="center" vertical="center" wrapText="1" shrinkToFit="1"/>
    </xf>
    <xf numFmtId="0" fontId="24" fillId="3" borderId="1" xfId="0" applyFont="1" applyFill="1" applyBorder="1" applyAlignment="1">
      <alignment horizontal="center" vertical="center" wrapText="1" shrinkToFit="1"/>
    </xf>
    <xf numFmtId="176" fontId="28" fillId="0" borderId="1" xfId="0" applyNumberFormat="1" applyFont="1" applyFill="1" applyBorder="1" applyAlignment="1">
      <alignment horizontal="left" vertical="center"/>
    </xf>
    <xf numFmtId="0" fontId="28" fillId="0" borderId="1" xfId="0" applyFont="1" applyFill="1" applyBorder="1" applyAlignment="1">
      <alignment horizontal="left" vertical="center" wrapText="1"/>
    </xf>
    <xf numFmtId="0" fontId="28" fillId="0" borderId="1" xfId="0" applyFont="1" applyFill="1" applyBorder="1" applyAlignment="1">
      <alignment horizontal="left" vertical="center"/>
    </xf>
    <xf numFmtId="176" fontId="28" fillId="2" borderId="1" xfId="0" applyNumberFormat="1" applyFont="1" applyFill="1" applyBorder="1" applyAlignment="1">
      <alignment horizontal="left" vertical="center"/>
    </xf>
    <xf numFmtId="0" fontId="28" fillId="2" borderId="1" xfId="0" applyFont="1" applyFill="1" applyBorder="1" applyAlignment="1">
      <alignment horizontal="left" vertical="center" wrapText="1"/>
    </xf>
    <xf numFmtId="0" fontId="28" fillId="2" borderId="1" xfId="0" applyFont="1" applyFill="1" applyBorder="1" applyAlignment="1">
      <alignment horizontal="left" vertical="center"/>
    </xf>
    <xf numFmtId="1" fontId="24" fillId="3" borderId="1" xfId="52" applyNumberFormat="1" applyFont="1" applyFill="1" applyBorder="1" applyAlignment="1">
      <alignment horizontal="center" vertical="center" wrapText="1" shrinkToFi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9" fillId="4" borderId="2" xfId="49" applyFont="1" applyFill="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1" xfId="0" applyFont="1" applyFill="1" applyBorder="1" applyAlignment="1">
      <alignment horizontal="center" vertical="center" wrapText="1"/>
    </xf>
    <xf numFmtId="0" fontId="30" fillId="4" borderId="15" xfId="49" applyFont="1" applyFill="1" applyBorder="1" applyAlignment="1">
      <alignment horizontal="center" vertical="center" wrapText="1"/>
    </xf>
    <xf numFmtId="10" fontId="31" fillId="4" borderId="1" xfId="49" applyNumberFormat="1" applyFont="1" applyFill="1" applyBorder="1" applyAlignment="1">
      <alignment horizontal="center" vertical="center"/>
    </xf>
    <xf numFmtId="49" fontId="31" fillId="4" borderId="1" xfId="49" applyNumberFormat="1" applyFont="1" applyFill="1" applyBorder="1" applyAlignment="1">
      <alignment horizontal="center" vertical="center"/>
    </xf>
    <xf numFmtId="49" fontId="31" fillId="4" borderId="2" xfId="49" applyNumberFormat="1" applyFont="1" applyFill="1" applyBorder="1" applyAlignment="1">
      <alignment horizontal="center" vertical="center"/>
    </xf>
    <xf numFmtId="0" fontId="30" fillId="4" borderId="16" xfId="49" applyFont="1" applyFill="1" applyBorder="1" applyAlignment="1">
      <alignment horizontal="center" vertical="center" wrapText="1"/>
    </xf>
    <xf numFmtId="0" fontId="0" fillId="4" borderId="0" xfId="0" applyFill="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183" fontId="32" fillId="0" borderId="1" xfId="49" applyNumberFormat="1" applyFont="1" applyFill="1" applyBorder="1" applyAlignment="1">
      <alignment horizontal="center" vertical="top" wrapText="1"/>
    </xf>
    <xf numFmtId="14" fontId="32" fillId="0" borderId="1" xfId="49" applyNumberFormat="1" applyFont="1" applyFill="1" applyBorder="1" applyAlignment="1">
      <alignment horizontal="center" vertical="center" wrapText="1"/>
    </xf>
    <xf numFmtId="14" fontId="32" fillId="0" borderId="3" xfId="49" applyNumberFormat="1" applyFont="1" applyFill="1" applyBorder="1" applyAlignment="1">
      <alignment horizontal="center" vertical="center" wrapText="1"/>
    </xf>
    <xf numFmtId="0" fontId="22" fillId="0" borderId="1" xfId="0" applyFont="1" applyBorder="1" applyAlignment="1">
      <alignment horizontal="left" vertical="center"/>
    </xf>
    <xf numFmtId="38" fontId="30" fillId="0" borderId="1" xfId="50" applyNumberFormat="1" applyFont="1" applyFill="1" applyBorder="1" applyAlignment="1">
      <alignment horizontal="center" vertical="center"/>
    </xf>
    <xf numFmtId="184" fontId="31" fillId="5" borderId="1" xfId="49" applyNumberFormat="1" applyFont="1" applyFill="1" applyBorder="1" applyAlignment="1">
      <alignment horizontal="center" vertical="center"/>
    </xf>
    <xf numFmtId="184" fontId="31" fillId="5" borderId="16" xfId="49" applyNumberFormat="1" applyFont="1" applyFill="1" applyBorder="1" applyAlignment="1">
      <alignment horizontal="center" vertical="center"/>
    </xf>
    <xf numFmtId="184" fontId="12" fillId="5" borderId="1" xfId="49" applyNumberFormat="1" applyFont="1" applyFill="1" applyBorder="1" applyAlignment="1">
      <alignment horizontal="center" vertical="center"/>
    </xf>
    <xf numFmtId="184" fontId="31" fillId="0" borderId="1" xfId="49" applyNumberFormat="1" applyFont="1" applyFill="1" applyBorder="1" applyAlignment="1">
      <alignment horizontal="center" vertical="center"/>
    </xf>
    <xf numFmtId="0" fontId="22" fillId="0" borderId="1" xfId="0" applyFont="1" applyFill="1" applyBorder="1" applyAlignment="1">
      <alignment horizontal="left" vertical="center"/>
    </xf>
    <xf numFmtId="183" fontId="32" fillId="2" borderId="1" xfId="49" applyNumberFormat="1" applyFont="1" applyFill="1" applyBorder="1" applyAlignment="1">
      <alignment horizontal="center" vertical="top" wrapText="1"/>
    </xf>
    <xf numFmtId="183" fontId="33" fillId="2" borderId="1" xfId="49" applyNumberFormat="1" applyFont="1" applyFill="1" applyBorder="1" applyAlignment="1">
      <alignment horizontal="center" vertical="top" wrapText="1"/>
    </xf>
    <xf numFmtId="14" fontId="32" fillId="2" borderId="1" xfId="49" applyNumberFormat="1" applyFont="1" applyFill="1" applyBorder="1" applyAlignment="1">
      <alignment horizontal="center" vertical="center" wrapText="1"/>
    </xf>
    <xf numFmtId="14" fontId="32" fillId="2" borderId="3" xfId="49" applyNumberFormat="1" applyFont="1" applyFill="1" applyBorder="1" applyAlignment="1">
      <alignment horizontal="center" vertical="center" wrapText="1"/>
    </xf>
    <xf numFmtId="0" fontId="22" fillId="2" borderId="1" xfId="0" applyFont="1" applyFill="1" applyBorder="1" applyAlignment="1">
      <alignment horizontal="left" vertical="center"/>
    </xf>
    <xf numFmtId="38" fontId="30" fillId="2" borderId="1" xfId="50" applyNumberFormat="1" applyFont="1" applyFill="1" applyBorder="1" applyAlignment="1">
      <alignment horizontal="center" vertical="center"/>
    </xf>
    <xf numFmtId="184" fontId="31" fillId="2" borderId="1" xfId="49" applyNumberFormat="1" applyFont="1" applyFill="1" applyBorder="1" applyAlignment="1">
      <alignment horizontal="center" vertical="center"/>
    </xf>
    <xf numFmtId="0" fontId="22" fillId="0" borderId="1" xfId="0" applyFont="1" applyBorder="1" applyAlignment="1">
      <alignment horizontal="center" vertical="center"/>
    </xf>
    <xf numFmtId="0" fontId="0" fillId="4" borderId="1" xfId="0" applyFill="1" applyBorder="1">
      <alignment vertical="center"/>
    </xf>
    <xf numFmtId="184" fontId="31" fillId="4" borderId="1" xfId="49" applyNumberFormat="1" applyFont="1" applyFill="1" applyBorder="1" applyAlignment="1">
      <alignment horizontal="center" vertical="center"/>
    </xf>
    <xf numFmtId="0" fontId="0" fillId="0" borderId="0" xfId="0" applyAlignment="1">
      <alignment horizontal="center" vertical="center"/>
    </xf>
    <xf numFmtId="0" fontId="34" fillId="6" borderId="17" xfId="0" applyFont="1" applyFill="1" applyBorder="1" applyAlignment="1">
      <alignment horizontal="center" vertical="center"/>
    </xf>
    <xf numFmtId="0" fontId="34" fillId="6" borderId="18" xfId="0" applyFont="1" applyFill="1" applyBorder="1" applyAlignment="1">
      <alignment horizontal="center" vertical="center"/>
    </xf>
    <xf numFmtId="0" fontId="34" fillId="6" borderId="4" xfId="0" applyFont="1" applyFill="1" applyBorder="1" applyAlignment="1">
      <alignment horizontal="center" vertical="center"/>
    </xf>
    <xf numFmtId="0" fontId="34" fillId="6" borderId="19" xfId="0" applyFont="1" applyFill="1" applyBorder="1" applyAlignment="1">
      <alignment horizontal="center" vertical="center"/>
    </xf>
    <xf numFmtId="0" fontId="34" fillId="6" borderId="4" xfId="0" applyFont="1" applyFill="1" applyBorder="1">
      <alignment vertical="center"/>
    </xf>
    <xf numFmtId="183" fontId="35" fillId="7" borderId="4" xfId="0" applyNumberFormat="1" applyFont="1" applyFill="1" applyBorder="1" applyAlignment="1">
      <alignment horizontal="center" vertical="top" wrapText="1"/>
    </xf>
    <xf numFmtId="0" fontId="36" fillId="7" borderId="17" xfId="0" applyFont="1" applyFill="1" applyBorder="1" applyAlignment="1">
      <alignment horizontal="center" vertical="top" wrapText="1"/>
    </xf>
    <xf numFmtId="0" fontId="17" fillId="0" borderId="4" xfId="0" applyFont="1" applyFill="1" applyBorder="1" applyAlignment="1">
      <alignment horizontal="center" vertical="center"/>
    </xf>
    <xf numFmtId="0" fontId="17" fillId="0" borderId="4" xfId="0" applyFont="1" applyFill="1" applyBorder="1" applyAlignment="1">
      <alignment horizontal="center" vertical="center" wrapText="1"/>
    </xf>
    <xf numFmtId="14" fontId="35" fillId="7" borderId="4" xfId="0" applyNumberFormat="1" applyFont="1" applyFill="1" applyBorder="1" applyAlignment="1">
      <alignment horizontal="center" vertical="center" wrapText="1"/>
    </xf>
    <xf numFmtId="14" fontId="35" fillId="7" borderId="17" xfId="0" applyNumberFormat="1" applyFont="1" applyFill="1" applyBorder="1" applyAlignment="1">
      <alignment horizontal="center" vertical="center" wrapText="1"/>
    </xf>
    <xf numFmtId="0" fontId="0" fillId="0" borderId="4" xfId="0" applyFill="1" applyBorder="1" applyAlignment="1">
      <alignment horizontal="center" vertical="center"/>
    </xf>
    <xf numFmtId="0" fontId="0" fillId="0" borderId="4" xfId="0" applyFill="1" applyBorder="1" applyAlignment="1">
      <alignment horizontal="center" vertical="center" wrapText="1"/>
    </xf>
    <xf numFmtId="0" fontId="34" fillId="8" borderId="4" xfId="0" applyFont="1" applyFill="1" applyBorder="1" applyAlignment="1">
      <alignment horizontal="left" vertical="center"/>
    </xf>
    <xf numFmtId="38" fontId="37" fillId="0" borderId="4" xfId="0" applyNumberFormat="1" applyFont="1" applyBorder="1">
      <alignment vertical="center"/>
    </xf>
    <xf numFmtId="183" fontId="38" fillId="9" borderId="20" xfId="0" applyNumberFormat="1" applyFont="1" applyFill="1" applyBorder="1">
      <alignment vertical="center"/>
    </xf>
    <xf numFmtId="0" fontId="0" fillId="0" borderId="4" xfId="0" applyFill="1" applyBorder="1">
      <alignment vertical="center"/>
    </xf>
    <xf numFmtId="0" fontId="36" fillId="10" borderId="17" xfId="0" applyFont="1" applyFill="1" applyBorder="1" applyAlignment="1">
      <alignment horizontal="center" vertical="center"/>
    </xf>
    <xf numFmtId="0" fontId="39" fillId="10" borderId="18" xfId="0" applyFont="1" applyFill="1" applyBorder="1" applyAlignment="1">
      <alignment horizontal="center" vertical="center"/>
    </xf>
    <xf numFmtId="0" fontId="39" fillId="10" borderId="4" xfId="0" applyFont="1" applyFill="1" applyBorder="1">
      <alignment vertical="center"/>
    </xf>
    <xf numFmtId="0" fontId="36" fillId="10" borderId="21" xfId="0" applyFont="1" applyFill="1" applyBorder="1">
      <alignment vertical="center"/>
    </xf>
    <xf numFmtId="0" fontId="36" fillId="10" borderId="4" xfId="0" applyFont="1" applyFill="1" applyBorder="1">
      <alignment vertical="center"/>
    </xf>
    <xf numFmtId="38" fontId="36" fillId="10" borderId="4" xfId="0" applyNumberFormat="1" applyFont="1" applyFill="1" applyBorder="1">
      <alignment vertical="center"/>
    </xf>
    <xf numFmtId="38" fontId="36" fillId="10" borderId="17" xfId="0" applyNumberFormat="1" applyFont="1" applyFill="1" applyBorder="1">
      <alignment vertical="center"/>
    </xf>
    <xf numFmtId="0" fontId="37" fillId="0" borderId="22" xfId="0" applyFont="1" applyBorder="1" applyAlignment="1">
      <alignment horizontal="center" vertical="center" wrapText="1"/>
    </xf>
    <xf numFmtId="0" fontId="37" fillId="0" borderId="4" xfId="0" applyFont="1" applyBorder="1" applyAlignment="1">
      <alignment horizontal="center" vertical="center"/>
    </xf>
    <xf numFmtId="0" fontId="15" fillId="0" borderId="4" xfId="0" applyNumberFormat="1" applyFont="1" applyBorder="1">
      <alignment vertical="center"/>
    </xf>
    <xf numFmtId="10" fontId="37" fillId="0" borderId="4" xfId="0" applyNumberFormat="1" applyFont="1" applyBorder="1">
      <alignment vertical="center"/>
    </xf>
    <xf numFmtId="184" fontId="37" fillId="11" borderId="4" xfId="0" applyNumberFormat="1" applyFont="1" applyFill="1" applyBorder="1">
      <alignment vertical="center"/>
    </xf>
    <xf numFmtId="180" fontId="0" fillId="0" borderId="4" xfId="0" applyNumberFormat="1" applyFill="1" applyBorder="1">
      <alignment vertical="center"/>
    </xf>
    <xf numFmtId="1" fontId="0" fillId="0" borderId="4" xfId="0" applyNumberFormat="1" applyFill="1" applyBorder="1" applyAlignment="1">
      <alignment horizontal="center" vertical="center"/>
    </xf>
    <xf numFmtId="0" fontId="40" fillId="0" borderId="4" xfId="0" applyFont="1" applyBorder="1" applyAlignment="1">
      <alignment horizontal="center" vertical="center" wrapText="1"/>
    </xf>
    <xf numFmtId="0" fontId="0" fillId="0" borderId="4" xfId="0" applyBorder="1">
      <alignment vertical="center"/>
    </xf>
    <xf numFmtId="0" fontId="40" fillId="0" borderId="4" xfId="0" applyFont="1" applyBorder="1" applyAlignment="1">
      <alignment horizontal="center" vertical="center"/>
    </xf>
    <xf numFmtId="0" fontId="36" fillId="10" borderId="4" xfId="0" applyFont="1" applyFill="1" applyBorder="1" applyAlignment="1">
      <alignment horizontal="center" vertical="center"/>
    </xf>
    <xf numFmtId="10" fontId="36" fillId="10" borderId="4" xfId="0" applyNumberFormat="1" applyFont="1" applyFill="1" applyBorder="1">
      <alignment vertical="center"/>
    </xf>
    <xf numFmtId="0" fontId="37" fillId="0" borderId="23" xfId="0" applyFont="1" applyBorder="1" applyAlignment="1">
      <alignment horizontal="left" vertical="center"/>
    </xf>
    <xf numFmtId="0" fontId="37" fillId="0" borderId="24" xfId="0" applyFont="1" applyBorder="1" applyAlignment="1">
      <alignment horizontal="center" vertical="center"/>
    </xf>
    <xf numFmtId="49" fontId="15" fillId="0" borderId="4" xfId="0" applyNumberFormat="1" applyFont="1" applyBorder="1">
      <alignment vertical="center"/>
    </xf>
    <xf numFmtId="10" fontId="37" fillId="0" borderId="4" xfId="0" applyNumberFormat="1" applyFont="1" applyBorder="1" applyAlignment="1">
      <alignment horizontal="center" vertical="center"/>
    </xf>
    <xf numFmtId="0" fontId="37" fillId="0" borderId="17" xfId="0" applyFont="1" applyBorder="1" applyAlignment="1">
      <alignment horizontal="left" vertical="center"/>
    </xf>
    <xf numFmtId="10" fontId="36" fillId="10" borderId="4" xfId="0" applyNumberFormat="1" applyFont="1" applyFill="1" applyBorder="1" applyAlignment="1">
      <alignment horizontal="center" vertical="center"/>
    </xf>
    <xf numFmtId="0" fontId="0" fillId="0" borderId="0" xfId="0" applyFill="1" applyBorder="1" applyProtection="1">
      <alignment vertical="center"/>
      <protection locked="0"/>
    </xf>
    <xf numFmtId="0" fontId="12" fillId="0" borderId="0" xfId="0" applyFont="1" applyFill="1" applyBorder="1" applyAlignment="1" applyProtection="1">
      <alignment horizontal="center" vertical="center"/>
      <protection locked="0"/>
    </xf>
    <xf numFmtId="0" fontId="20" fillId="0" borderId="0" xfId="0" applyFont="1" applyFill="1" applyBorder="1" applyAlignment="1" applyProtection="1">
      <alignment horizontal="center" vertical="center"/>
      <protection locked="0"/>
    </xf>
    <xf numFmtId="0" fontId="19" fillId="0" borderId="0" xfId="0" applyFont="1" applyFill="1" applyBorder="1" applyAlignment="1" applyProtection="1">
      <alignment horizontal="center" vertical="center"/>
      <protection locked="0"/>
    </xf>
    <xf numFmtId="0" fontId="15" fillId="0" borderId="0" xfId="0" applyFont="1" applyFill="1" applyBorder="1" applyAlignment="1" applyProtection="1">
      <alignment horizontal="center" vertical="center"/>
      <protection locked="0"/>
    </xf>
    <xf numFmtId="0" fontId="15" fillId="0" borderId="0" xfId="0" applyFont="1" applyFill="1" applyBorder="1" applyAlignment="1" applyProtection="1">
      <alignment horizontal="center" vertical="center"/>
      <protection locked="0"/>
    </xf>
    <xf numFmtId="0" fontId="0" fillId="0" borderId="0" xfId="0" applyFill="1" applyBorder="1" applyAlignment="1" applyProtection="1">
      <alignment horizontal="center" vertical="center"/>
      <protection locked="0"/>
    </xf>
    <xf numFmtId="0" fontId="0" fillId="0" borderId="0" xfId="0" applyFill="1" applyProtection="1">
      <alignment vertical="center"/>
    </xf>
    <xf numFmtId="0" fontId="0" fillId="0" borderId="0" xfId="0" applyFill="1" applyProtection="1">
      <alignment vertical="center"/>
      <protection locked="0"/>
    </xf>
    <xf numFmtId="0" fontId="41" fillId="0" borderId="0" xfId="0" applyFont="1" applyFill="1" applyProtection="1">
      <alignment vertical="center"/>
      <protection locked="0"/>
    </xf>
    <xf numFmtId="176" fontId="42" fillId="0" borderId="0" xfId="0" applyNumberFormat="1" applyFont="1" applyFill="1" applyAlignment="1" applyProtection="1">
      <alignment vertical="center"/>
    </xf>
    <xf numFmtId="176" fontId="43" fillId="0" borderId="0" xfId="0" applyNumberFormat="1" applyFont="1" applyFill="1" applyAlignment="1" applyProtection="1">
      <alignment vertical="center"/>
      <protection locked="0"/>
    </xf>
    <xf numFmtId="0" fontId="44" fillId="0" borderId="0" xfId="0" applyFont="1" applyFill="1" applyAlignment="1" applyProtection="1">
      <alignment vertical="center" wrapText="1"/>
      <protection locked="0"/>
    </xf>
    <xf numFmtId="176" fontId="43" fillId="0" borderId="0" xfId="0" applyNumberFormat="1" applyFont="1" applyFill="1" applyBorder="1" applyAlignment="1" applyProtection="1">
      <alignment vertical="center"/>
      <protection locked="0"/>
    </xf>
    <xf numFmtId="176" fontId="43" fillId="0" borderId="0" xfId="0" applyNumberFormat="1" applyFont="1" applyFill="1" applyAlignment="1" applyProtection="1">
      <alignment vertical="center" wrapText="1"/>
      <protection locked="0"/>
    </xf>
    <xf numFmtId="0" fontId="45" fillId="0" borderId="0" xfId="0" applyFont="1" applyFill="1" applyAlignment="1" applyProtection="1">
      <alignment vertical="center" wrapText="1"/>
      <protection locked="0"/>
    </xf>
    <xf numFmtId="0" fontId="1" fillId="0" borderId="0" xfId="0" applyFont="1" applyFill="1" applyAlignment="1" applyProtection="1">
      <alignment horizontal="left" vertical="top"/>
      <protection locked="0"/>
    </xf>
    <xf numFmtId="0" fontId="1" fillId="0" borderId="0" xfId="0" applyFont="1" applyFill="1" applyAlignment="1" applyProtection="1">
      <alignment vertical="center"/>
      <protection locked="0"/>
    </xf>
    <xf numFmtId="0" fontId="44" fillId="0" borderId="0" xfId="0" applyFont="1" applyFill="1" applyAlignment="1" applyProtection="1">
      <alignment vertical="center"/>
      <protection locked="0"/>
    </xf>
    <xf numFmtId="178" fontId="44" fillId="0" borderId="0" xfId="0" applyNumberFormat="1" applyFont="1" applyFill="1" applyAlignment="1" applyProtection="1">
      <alignment vertical="center" wrapText="1"/>
      <protection locked="0"/>
    </xf>
    <xf numFmtId="0" fontId="46" fillId="0" borderId="0" xfId="0" applyNumberFormat="1" applyFont="1" applyFill="1" applyAlignment="1" applyProtection="1">
      <alignment vertical="center" wrapText="1"/>
      <protection locked="0"/>
    </xf>
    <xf numFmtId="0" fontId="22" fillId="0" borderId="3" xfId="0" applyFont="1" applyFill="1" applyBorder="1" applyAlignment="1" applyProtection="1">
      <alignment horizontal="center" vertical="center"/>
      <protection locked="0"/>
    </xf>
    <xf numFmtId="0" fontId="22" fillId="0" borderId="6" xfId="0" applyFont="1" applyFill="1" applyBorder="1" applyAlignment="1" applyProtection="1">
      <alignment horizontal="center" vertical="center"/>
      <protection locked="0"/>
    </xf>
    <xf numFmtId="0" fontId="47" fillId="0" borderId="6" xfId="0" applyFont="1" applyFill="1" applyBorder="1" applyAlignment="1" applyProtection="1">
      <alignment horizontal="center" vertical="center"/>
      <protection locked="0"/>
    </xf>
    <xf numFmtId="0" fontId="22" fillId="0" borderId="1" xfId="0" applyFont="1" applyFill="1" applyBorder="1" applyAlignment="1" applyProtection="1">
      <alignment horizontal="center" vertical="center"/>
      <protection locked="0"/>
    </xf>
    <xf numFmtId="0" fontId="22" fillId="0" borderId="0" xfId="0" applyFont="1" applyFill="1" applyAlignment="1" applyProtection="1">
      <alignment horizontal="center" vertical="center"/>
      <protection locked="0"/>
    </xf>
    <xf numFmtId="49" fontId="12" fillId="0" borderId="2" xfId="0" applyNumberFormat="1" applyFont="1" applyFill="1" applyBorder="1" applyAlignment="1" applyProtection="1">
      <alignment horizontal="center" vertical="center"/>
      <protection locked="0"/>
    </xf>
    <xf numFmtId="49" fontId="12" fillId="0" borderId="7" xfId="0" applyNumberFormat="1" applyFont="1" applyFill="1" applyBorder="1" applyAlignment="1" applyProtection="1">
      <alignment horizontal="center" vertical="center"/>
      <protection locked="0"/>
    </xf>
    <xf numFmtId="49" fontId="12" fillId="0" borderId="4" xfId="0" applyNumberFormat="1" applyFont="1" applyFill="1" applyBorder="1" applyAlignment="1" applyProtection="1">
      <alignment horizontal="center" vertical="center"/>
      <protection locked="0"/>
    </xf>
    <xf numFmtId="176" fontId="3" fillId="0" borderId="1" xfId="0" applyNumberFormat="1" applyFont="1" applyFill="1" applyBorder="1" applyAlignment="1" applyProtection="1">
      <alignment horizontal="center" vertical="top" wrapText="1" shrinkToFit="1"/>
    </xf>
    <xf numFmtId="0" fontId="3" fillId="0" borderId="1" xfId="0" applyFont="1" applyFill="1" applyBorder="1" applyAlignment="1" applyProtection="1">
      <alignment horizontal="center" vertical="top" wrapText="1" shrinkToFit="1"/>
      <protection locked="0"/>
    </xf>
    <xf numFmtId="0" fontId="4" fillId="0" borderId="1" xfId="0" applyFont="1" applyFill="1" applyBorder="1" applyAlignment="1" applyProtection="1">
      <alignment horizontal="center" vertical="top" wrapText="1" shrinkToFit="1"/>
      <protection locked="0"/>
    </xf>
    <xf numFmtId="0" fontId="5" fillId="0" borderId="1" xfId="0" applyFont="1" applyFill="1" applyBorder="1" applyAlignment="1" applyProtection="1">
      <alignment horizontal="center" vertical="top" wrapText="1"/>
      <protection locked="0"/>
    </xf>
    <xf numFmtId="177" fontId="6" fillId="0" borderId="1" xfId="0" applyNumberFormat="1" applyFont="1" applyFill="1" applyBorder="1" applyAlignment="1" applyProtection="1">
      <alignment horizontal="center" vertical="top" wrapText="1" shrinkToFit="1"/>
      <protection locked="0"/>
    </xf>
    <xf numFmtId="178" fontId="3" fillId="0" borderId="1" xfId="0" applyNumberFormat="1" applyFont="1" applyFill="1" applyBorder="1" applyAlignment="1" applyProtection="1">
      <alignment horizontal="center" vertical="top" wrapText="1" shrinkToFit="1"/>
      <protection locked="0"/>
    </xf>
    <xf numFmtId="178" fontId="48" fillId="0" borderId="1" xfId="0" applyNumberFormat="1" applyFont="1" applyFill="1" applyBorder="1" applyAlignment="1" applyProtection="1">
      <alignment horizontal="center" vertical="top" wrapText="1" shrinkToFit="1"/>
      <protection locked="0"/>
    </xf>
    <xf numFmtId="0" fontId="49" fillId="0" borderId="1" xfId="0" applyNumberFormat="1" applyFont="1" applyFill="1" applyBorder="1" applyAlignment="1" applyProtection="1">
      <alignment horizontal="center" vertical="top" wrapText="1" shrinkToFit="1"/>
      <protection locked="0"/>
    </xf>
    <xf numFmtId="0" fontId="7" fillId="0" borderId="1" xfId="0" applyFont="1" applyFill="1" applyBorder="1" applyAlignment="1" applyProtection="1">
      <alignment horizontal="center" vertical="center" wrapText="1" shrinkToFit="1"/>
      <protection locked="0"/>
    </xf>
    <xf numFmtId="177" fontId="50" fillId="0" borderId="1" xfId="0" applyNumberFormat="1" applyFont="1" applyFill="1" applyBorder="1" applyAlignment="1" applyProtection="1">
      <alignment horizontal="center" vertical="top" wrapText="1" shrinkToFit="1"/>
      <protection locked="0"/>
    </xf>
    <xf numFmtId="0" fontId="0" fillId="0" borderId="1" xfId="0" applyFill="1" applyBorder="1" applyAlignment="1" applyProtection="1">
      <alignment horizontal="center" vertical="center"/>
      <protection locked="0"/>
    </xf>
    <xf numFmtId="9" fontId="0" fillId="0" borderId="1" xfId="3" applyFill="1" applyBorder="1" applyAlignment="1" applyProtection="1">
      <alignment horizontal="center" vertical="center"/>
      <protection locked="0"/>
    </xf>
    <xf numFmtId="0" fontId="0" fillId="0" borderId="3" xfId="0" applyFill="1" applyBorder="1" applyAlignment="1" applyProtection="1">
      <alignment horizontal="center" vertical="center"/>
      <protection locked="0"/>
    </xf>
    <xf numFmtId="0" fontId="0" fillId="0" borderId="4" xfId="0" applyFill="1" applyBorder="1" applyAlignment="1" applyProtection="1">
      <alignment horizontal="center" vertical="center"/>
      <protection locked="0"/>
    </xf>
    <xf numFmtId="0" fontId="17" fillId="0" borderId="0" xfId="0" applyFont="1" applyFill="1" applyBorder="1" applyProtection="1">
      <alignment vertical="center"/>
      <protection locked="0"/>
    </xf>
    <xf numFmtId="0" fontId="12" fillId="0" borderId="2" xfId="0" applyFont="1" applyFill="1" applyBorder="1" applyAlignment="1" applyProtection="1">
      <alignment horizontal="center" vertical="center" wrapText="1"/>
      <protection locked="0"/>
    </xf>
    <xf numFmtId="0" fontId="12" fillId="0" borderId="2" xfId="0" applyFont="1" applyFill="1" applyBorder="1" applyAlignment="1" applyProtection="1">
      <alignment horizontal="center" vertical="center" wrapText="1" shrinkToFit="1"/>
      <protection locked="0"/>
    </xf>
    <xf numFmtId="0" fontId="12" fillId="0" borderId="2" xfId="0" applyFont="1" applyFill="1" applyBorder="1" applyAlignment="1" applyProtection="1">
      <alignment horizontal="center" vertical="center"/>
      <protection locked="0"/>
    </xf>
    <xf numFmtId="49" fontId="13" fillId="0" borderId="2" xfId="0" applyNumberFormat="1" applyFont="1" applyFill="1" applyBorder="1" applyAlignment="1" applyProtection="1">
      <alignment horizontal="center" vertical="center" wrapText="1"/>
      <protection locked="0"/>
    </xf>
    <xf numFmtId="179" fontId="13" fillId="0" borderId="2" xfId="0" applyNumberFormat="1" applyFont="1" applyFill="1" applyBorder="1" applyAlignment="1" applyProtection="1">
      <alignment horizontal="center" vertical="center"/>
      <protection locked="0"/>
    </xf>
    <xf numFmtId="177" fontId="12" fillId="0" borderId="2" xfId="0" applyNumberFormat="1" applyFont="1" applyFill="1" applyBorder="1" applyAlignment="1" applyProtection="1">
      <alignment horizontal="center" vertical="center" wrapText="1" shrinkToFit="1"/>
      <protection locked="0"/>
    </xf>
    <xf numFmtId="178" fontId="12" fillId="0" borderId="2" xfId="0" applyNumberFormat="1" applyFont="1" applyFill="1" applyBorder="1" applyAlignment="1" applyProtection="1">
      <alignment horizontal="center" vertical="center" wrapText="1"/>
      <protection locked="0"/>
    </xf>
    <xf numFmtId="0" fontId="15" fillId="0" borderId="2" xfId="0" applyFont="1" applyFill="1" applyBorder="1" applyAlignment="1" applyProtection="1">
      <alignment horizontal="center" vertical="center"/>
      <protection locked="0"/>
    </xf>
    <xf numFmtId="0" fontId="51" fillId="0" borderId="2" xfId="0" applyNumberFormat="1" applyFont="1" applyFill="1" applyBorder="1" applyAlignment="1" applyProtection="1">
      <alignment horizontal="center" vertical="center" wrapText="1"/>
      <protection locked="0"/>
    </xf>
    <xf numFmtId="181" fontId="12" fillId="0" borderId="2" xfId="0" applyNumberFormat="1" applyFont="1" applyFill="1" applyBorder="1" applyAlignment="1" applyProtection="1">
      <alignment horizontal="center" vertical="center" wrapText="1" shrinkToFit="1"/>
      <protection locked="0"/>
    </xf>
    <xf numFmtId="49" fontId="16" fillId="0" borderId="2" xfId="0" applyNumberFormat="1" applyFont="1" applyFill="1" applyBorder="1" applyAlignment="1" applyProtection="1">
      <alignment horizontal="center" vertical="center" wrapText="1"/>
      <protection locked="0"/>
    </xf>
    <xf numFmtId="177" fontId="15" fillId="0" borderId="2" xfId="0" applyNumberFormat="1" applyFont="1" applyFill="1" applyBorder="1" applyAlignment="1" applyProtection="1">
      <alignment horizontal="center" vertical="center" wrapText="1" shrinkToFit="1"/>
      <protection locked="0"/>
    </xf>
    <xf numFmtId="0" fontId="12" fillId="0" borderId="2" xfId="0" applyNumberFormat="1" applyFont="1" applyFill="1" applyBorder="1" applyAlignment="1" applyProtection="1">
      <alignment horizontal="center" vertical="center" wrapText="1"/>
      <protection locked="0"/>
    </xf>
    <xf numFmtId="0" fontId="19" fillId="0" borderId="2" xfId="0" applyNumberFormat="1" applyFont="1" applyFill="1" applyBorder="1" applyAlignment="1" applyProtection="1">
      <alignment horizontal="center" vertical="center" wrapText="1"/>
      <protection locked="0"/>
    </xf>
    <xf numFmtId="178" fontId="20" fillId="0" borderId="2" xfId="0" applyNumberFormat="1" applyFont="1" applyFill="1" applyBorder="1" applyAlignment="1" applyProtection="1">
      <alignment horizontal="center" vertical="center" wrapText="1"/>
      <protection locked="0"/>
    </xf>
    <xf numFmtId="180" fontId="12" fillId="0" borderId="2" xfId="0" applyNumberFormat="1" applyFont="1" applyFill="1" applyBorder="1" applyAlignment="1" applyProtection="1">
      <alignment horizontal="center" vertical="center"/>
      <protection locked="0"/>
    </xf>
    <xf numFmtId="180" fontId="12" fillId="0" borderId="7" xfId="0" applyNumberFormat="1" applyFont="1" applyFill="1" applyBorder="1" applyAlignment="1" applyProtection="1">
      <alignment horizontal="center" vertical="center"/>
      <protection locked="0"/>
    </xf>
    <xf numFmtId="180" fontId="12" fillId="0" borderId="4" xfId="0" applyNumberFormat="1" applyFont="1" applyFill="1" applyBorder="1" applyAlignment="1" applyProtection="1">
      <alignment horizontal="center" vertical="center"/>
      <protection locked="0"/>
    </xf>
    <xf numFmtId="180" fontId="12" fillId="0" borderId="0" xfId="0" applyNumberFormat="1" applyFont="1" applyFill="1" applyBorder="1" applyAlignment="1" applyProtection="1">
      <alignment horizontal="center" vertical="center"/>
      <protection locked="0"/>
    </xf>
    <xf numFmtId="180" fontId="20" fillId="0" borderId="0" xfId="0" applyNumberFormat="1" applyFont="1" applyFill="1" applyBorder="1" applyAlignment="1" applyProtection="1">
      <alignment horizontal="center" vertical="center"/>
      <protection locked="0"/>
    </xf>
    <xf numFmtId="0" fontId="51" fillId="0" borderId="4" xfId="0" applyNumberFormat="1" applyFont="1" applyFill="1" applyBorder="1" applyAlignment="1" applyProtection="1">
      <alignment horizontal="center" vertical="center" wrapText="1"/>
      <protection locked="0"/>
    </xf>
    <xf numFmtId="181" fontId="12" fillId="0" borderId="4" xfId="0" applyNumberFormat="1" applyFont="1" applyFill="1" applyBorder="1" applyAlignment="1" applyProtection="1">
      <alignment horizontal="center" vertical="center" wrapText="1" shrinkToFit="1"/>
      <protection locked="0"/>
    </xf>
    <xf numFmtId="0" fontId="15" fillId="0" borderId="4" xfId="0" applyFont="1" applyFill="1" applyBorder="1" applyAlignment="1" applyProtection="1">
      <alignment horizontal="center" vertical="center"/>
      <protection locked="0"/>
    </xf>
    <xf numFmtId="0" fontId="17" fillId="0" borderId="4" xfId="0" applyNumberFormat="1" applyFont="1" applyFill="1" applyBorder="1" applyAlignment="1" applyProtection="1">
      <alignment horizontal="center" vertical="center" wrapText="1"/>
      <protection locked="0"/>
    </xf>
    <xf numFmtId="1" fontId="12" fillId="0" borderId="4" xfId="0" applyNumberFormat="1" applyFont="1" applyFill="1" applyBorder="1" applyAlignment="1" applyProtection="1">
      <alignment horizontal="center" vertical="center"/>
      <protection locked="0"/>
    </xf>
    <xf numFmtId="176" fontId="20" fillId="0" borderId="3" xfId="0" applyNumberFormat="1" applyFont="1" applyFill="1" applyBorder="1" applyAlignment="1" applyProtection="1">
      <alignment horizontal="center" vertical="center" wrapText="1" shrinkToFit="1"/>
    </xf>
    <xf numFmtId="0" fontId="20" fillId="0" borderId="4" xfId="0" applyFont="1" applyFill="1" applyBorder="1" applyAlignment="1" applyProtection="1">
      <alignment horizontal="center" vertical="center" wrapText="1"/>
      <protection locked="0"/>
    </xf>
    <xf numFmtId="0" fontId="20" fillId="0" borderId="4" xfId="0" applyFont="1" applyFill="1" applyBorder="1" applyAlignment="1" applyProtection="1">
      <alignment horizontal="center" vertical="center" wrapText="1" shrinkToFit="1"/>
      <protection locked="0"/>
    </xf>
    <xf numFmtId="0" fontId="20" fillId="0" borderId="4" xfId="0" applyFont="1" applyFill="1" applyBorder="1" applyAlignment="1" applyProtection="1">
      <alignment horizontal="center" vertical="center"/>
      <protection locked="0"/>
    </xf>
    <xf numFmtId="49" fontId="52" fillId="0" borderId="4" xfId="0" applyNumberFormat="1" applyFont="1" applyFill="1" applyBorder="1" applyAlignment="1" applyProtection="1">
      <alignment horizontal="center" vertical="center" wrapText="1"/>
      <protection locked="0"/>
    </xf>
    <xf numFmtId="179" fontId="52" fillId="0" borderId="4" xfId="0" applyNumberFormat="1" applyFont="1" applyFill="1" applyBorder="1" applyAlignment="1" applyProtection="1">
      <alignment horizontal="center" vertical="center" wrapText="1"/>
      <protection locked="0"/>
    </xf>
    <xf numFmtId="179" fontId="52" fillId="0" borderId="4" xfId="0" applyNumberFormat="1" applyFont="1" applyFill="1" applyBorder="1" applyAlignment="1" applyProtection="1">
      <alignment horizontal="center" vertical="center"/>
      <protection locked="0"/>
    </xf>
    <xf numFmtId="177" fontId="20" fillId="0" borderId="4" xfId="0" applyNumberFormat="1" applyFont="1" applyFill="1" applyBorder="1" applyAlignment="1" applyProtection="1">
      <alignment horizontal="center" vertical="center" wrapText="1" shrinkToFit="1"/>
      <protection locked="0"/>
    </xf>
    <xf numFmtId="0" fontId="53" fillId="0" borderId="4" xfId="0" applyNumberFormat="1" applyFont="1" applyFill="1" applyBorder="1" applyAlignment="1" applyProtection="1">
      <alignment horizontal="center" vertical="center" wrapText="1"/>
      <protection locked="0"/>
    </xf>
    <xf numFmtId="181" fontId="20" fillId="0" borderId="4" xfId="0" applyNumberFormat="1" applyFont="1" applyFill="1" applyBorder="1" applyAlignment="1" applyProtection="1">
      <alignment horizontal="center" vertical="center" wrapText="1" shrinkToFit="1"/>
      <protection locked="0"/>
    </xf>
    <xf numFmtId="0" fontId="20" fillId="0" borderId="4" xfId="0" applyNumberFormat="1" applyFont="1" applyFill="1" applyBorder="1" applyAlignment="1" applyProtection="1">
      <alignment horizontal="center" vertical="center" wrapText="1"/>
      <protection locked="0"/>
    </xf>
    <xf numFmtId="1" fontId="20" fillId="0" borderId="4" xfId="0" applyNumberFormat="1" applyFont="1" applyFill="1" applyBorder="1" applyAlignment="1" applyProtection="1">
      <alignment horizontal="center" vertical="center"/>
      <protection locked="0"/>
    </xf>
    <xf numFmtId="176" fontId="19" fillId="0" borderId="3" xfId="0" applyNumberFormat="1" applyFont="1" applyFill="1" applyBorder="1" applyAlignment="1" applyProtection="1">
      <alignment horizontal="center" vertical="center" wrapText="1" shrinkToFit="1"/>
    </xf>
    <xf numFmtId="0" fontId="19" fillId="0" borderId="4" xfId="0" applyFont="1" applyFill="1" applyBorder="1" applyAlignment="1" applyProtection="1">
      <alignment horizontal="center" vertical="center" wrapText="1"/>
      <protection locked="0"/>
    </xf>
    <xf numFmtId="0" fontId="19" fillId="0" borderId="4" xfId="0" applyFont="1" applyFill="1" applyBorder="1" applyAlignment="1" applyProtection="1">
      <alignment horizontal="center" vertical="center" wrapText="1" shrinkToFit="1"/>
      <protection locked="0"/>
    </xf>
    <xf numFmtId="0" fontId="19" fillId="0" borderId="4" xfId="0" applyFont="1" applyFill="1" applyBorder="1" applyAlignment="1" applyProtection="1">
      <alignment horizontal="center" vertical="center"/>
      <protection locked="0"/>
    </xf>
    <xf numFmtId="49" fontId="54" fillId="0" borderId="4" xfId="0" applyNumberFormat="1" applyFont="1" applyFill="1" applyBorder="1" applyAlignment="1" applyProtection="1">
      <alignment horizontal="center" vertical="center" wrapText="1"/>
      <protection locked="0"/>
    </xf>
    <xf numFmtId="179" fontId="54" fillId="0" borderId="4" xfId="0" applyNumberFormat="1" applyFont="1" applyFill="1" applyBorder="1" applyAlignment="1" applyProtection="1">
      <alignment horizontal="center" vertical="center" wrapText="1"/>
      <protection locked="0"/>
    </xf>
    <xf numFmtId="179" fontId="54" fillId="0" borderId="4" xfId="0" applyNumberFormat="1" applyFont="1" applyFill="1" applyBorder="1" applyAlignment="1" applyProtection="1">
      <alignment horizontal="center" vertical="center"/>
      <protection locked="0"/>
    </xf>
    <xf numFmtId="177" fontId="19" fillId="0" borderId="4" xfId="0" applyNumberFormat="1" applyFont="1" applyFill="1" applyBorder="1" applyAlignment="1" applyProtection="1">
      <alignment horizontal="center" vertical="center" wrapText="1" shrinkToFit="1"/>
      <protection locked="0"/>
    </xf>
    <xf numFmtId="178" fontId="19" fillId="0" borderId="4" xfId="0" applyNumberFormat="1" applyFont="1" applyFill="1" applyBorder="1" applyAlignment="1" applyProtection="1">
      <alignment horizontal="center" vertical="center" wrapText="1"/>
      <protection locked="0"/>
    </xf>
    <xf numFmtId="0" fontId="55" fillId="0" borderId="4" xfId="0" applyNumberFormat="1" applyFont="1" applyFill="1" applyBorder="1" applyAlignment="1" applyProtection="1">
      <alignment horizontal="center" vertical="center" wrapText="1"/>
      <protection locked="0"/>
    </xf>
    <xf numFmtId="181" fontId="19" fillId="0" borderId="4" xfId="0" applyNumberFormat="1" applyFont="1" applyFill="1" applyBorder="1" applyAlignment="1" applyProtection="1">
      <alignment horizontal="center" vertical="center" wrapText="1" shrinkToFit="1"/>
      <protection locked="0"/>
    </xf>
    <xf numFmtId="1" fontId="19" fillId="0" borderId="4" xfId="0" applyNumberFormat="1" applyFont="1" applyFill="1" applyBorder="1" applyAlignment="1" applyProtection="1">
      <alignment horizontal="center" vertical="center"/>
      <protection locked="0"/>
    </xf>
    <xf numFmtId="180" fontId="19" fillId="0" borderId="0" xfId="0" applyNumberFormat="1" applyFont="1" applyFill="1" applyBorder="1" applyAlignment="1" applyProtection="1">
      <alignment horizontal="center" vertical="center"/>
      <protection locked="0"/>
    </xf>
    <xf numFmtId="176" fontId="15" fillId="0" borderId="3" xfId="0" applyNumberFormat="1" applyFont="1" applyFill="1" applyBorder="1" applyAlignment="1" applyProtection="1">
      <alignment horizontal="center" vertical="center" wrapText="1" shrinkToFit="1"/>
    </xf>
    <xf numFmtId="0" fontId="15" fillId="0" borderId="4" xfId="0" applyFont="1" applyFill="1" applyBorder="1" applyAlignment="1" applyProtection="1">
      <alignment horizontal="center" vertical="center" wrapText="1"/>
      <protection locked="0"/>
    </xf>
    <xf numFmtId="49" fontId="16" fillId="0" borderId="4" xfId="0" applyNumberFormat="1" applyFont="1" applyFill="1" applyBorder="1" applyAlignment="1" applyProtection="1">
      <alignment horizontal="center" vertical="center" wrapText="1"/>
      <protection locked="0"/>
    </xf>
    <xf numFmtId="179" fontId="16" fillId="0" borderId="4" xfId="0" applyNumberFormat="1" applyFont="1" applyFill="1" applyBorder="1" applyAlignment="1" applyProtection="1">
      <alignment horizontal="center" vertical="center"/>
      <protection locked="0"/>
    </xf>
    <xf numFmtId="177" fontId="15" fillId="0" borderId="4" xfId="0" applyNumberFormat="1" applyFont="1" applyFill="1" applyBorder="1" applyAlignment="1" applyProtection="1">
      <alignment horizontal="center" vertical="center" wrapText="1" shrinkToFit="1"/>
      <protection locked="0"/>
    </xf>
    <xf numFmtId="177" fontId="15" fillId="2" borderId="4" xfId="0" applyNumberFormat="1" applyFont="1" applyFill="1" applyBorder="1" applyAlignment="1" applyProtection="1">
      <alignment horizontal="center" vertical="center" wrapText="1" shrinkToFit="1"/>
      <protection locked="0"/>
    </xf>
    <xf numFmtId="178" fontId="15" fillId="2" borderId="4" xfId="0" applyNumberFormat="1" applyFont="1" applyFill="1" applyBorder="1" applyAlignment="1" applyProtection="1">
      <alignment horizontal="center" vertical="center" wrapText="1"/>
      <protection locked="0"/>
    </xf>
    <xf numFmtId="181" fontId="15" fillId="0" borderId="4" xfId="0" applyNumberFormat="1" applyFont="1" applyFill="1" applyBorder="1" applyAlignment="1" applyProtection="1">
      <alignment horizontal="center" vertical="center" wrapText="1" shrinkToFit="1"/>
      <protection locked="0"/>
    </xf>
    <xf numFmtId="1" fontId="15" fillId="0" borderId="4" xfId="0" applyNumberFormat="1" applyFont="1" applyFill="1" applyBorder="1" applyAlignment="1" applyProtection="1">
      <alignment horizontal="center" vertical="center"/>
      <protection locked="0"/>
    </xf>
    <xf numFmtId="180" fontId="15" fillId="0" borderId="0" xfId="0" applyNumberFormat="1" applyFont="1" applyFill="1" applyBorder="1" applyAlignment="1" applyProtection="1">
      <alignment horizontal="center" vertical="center"/>
      <protection locked="0"/>
    </xf>
    <xf numFmtId="0" fontId="17" fillId="12" borderId="4" xfId="0" applyNumberFormat="1" applyFont="1" applyFill="1" applyBorder="1" applyAlignment="1" applyProtection="1">
      <alignment horizontal="center" vertical="center" wrapText="1"/>
      <protection locked="0"/>
    </xf>
    <xf numFmtId="178" fontId="15" fillId="2" borderId="1" xfId="0" applyNumberFormat="1" applyFont="1" applyFill="1" applyBorder="1" applyAlignment="1">
      <alignment horizontal="center" vertical="center" wrapText="1"/>
    </xf>
    <xf numFmtId="176" fontId="12" fillId="0" borderId="7" xfId="0" applyNumberFormat="1" applyFont="1" applyFill="1" applyBorder="1" applyAlignment="1" applyProtection="1">
      <alignment horizontal="center" vertical="center" wrapText="1" shrinkToFit="1"/>
    </xf>
    <xf numFmtId="176" fontId="15" fillId="0" borderId="3" xfId="0" applyNumberFormat="1" applyFont="1" applyFill="1" applyBorder="1" applyAlignment="1" applyProtection="1">
      <alignment horizontal="center" vertical="center" wrapText="1" shrinkToFit="1"/>
    </xf>
    <xf numFmtId="0" fontId="15" fillId="0" borderId="4" xfId="0" applyFont="1" applyFill="1" applyBorder="1" applyAlignment="1" applyProtection="1">
      <alignment horizontal="center" vertical="center" wrapText="1"/>
      <protection locked="0"/>
    </xf>
    <xf numFmtId="0" fontId="15" fillId="0" borderId="4" xfId="0" applyFont="1" applyFill="1" applyBorder="1" applyAlignment="1" applyProtection="1">
      <alignment horizontal="center" vertical="center" wrapText="1" shrinkToFit="1"/>
      <protection locked="0"/>
    </xf>
    <xf numFmtId="0" fontId="15" fillId="0" borderId="4" xfId="0" applyFont="1" applyFill="1" applyBorder="1" applyAlignment="1" applyProtection="1">
      <alignment horizontal="center" vertical="center"/>
      <protection locked="0"/>
    </xf>
    <xf numFmtId="49" fontId="16" fillId="0" borderId="4" xfId="0" applyNumberFormat="1" applyFont="1" applyFill="1" applyBorder="1" applyAlignment="1" applyProtection="1">
      <alignment horizontal="center" vertical="center" wrapText="1"/>
      <protection locked="0"/>
    </xf>
    <xf numFmtId="179" fontId="16" fillId="0" borderId="4" xfId="0" applyNumberFormat="1" applyFont="1" applyFill="1" applyBorder="1" applyAlignment="1" applyProtection="1">
      <alignment horizontal="center" vertical="center" wrapText="1"/>
      <protection locked="0"/>
    </xf>
    <xf numFmtId="179" fontId="16" fillId="0" borderId="4" xfId="0" applyNumberFormat="1" applyFont="1" applyFill="1" applyBorder="1" applyAlignment="1" applyProtection="1">
      <alignment horizontal="center" vertical="center"/>
      <protection locked="0"/>
    </xf>
    <xf numFmtId="179" fontId="13" fillId="0" borderId="4" xfId="0" applyNumberFormat="1" applyFont="1" applyFill="1" applyBorder="1" applyAlignment="1" applyProtection="1">
      <alignment horizontal="center" vertical="center"/>
      <protection locked="0"/>
    </xf>
    <xf numFmtId="177" fontId="15" fillId="0" borderId="4" xfId="0" applyNumberFormat="1" applyFont="1" applyFill="1" applyBorder="1" applyAlignment="1" applyProtection="1">
      <alignment horizontal="center" vertical="center" wrapText="1" shrinkToFit="1"/>
      <protection locked="0"/>
    </xf>
    <xf numFmtId="178" fontId="15" fillId="0" borderId="4" xfId="0" applyNumberFormat="1" applyFont="1" applyFill="1" applyBorder="1" applyAlignment="1" applyProtection="1">
      <alignment horizontal="center" vertical="center" wrapText="1"/>
      <protection locked="0"/>
    </xf>
    <xf numFmtId="0" fontId="17" fillId="0" borderId="4" xfId="0" applyNumberFormat="1" applyFont="1" applyFill="1" applyBorder="1" applyAlignment="1" applyProtection="1">
      <alignment horizontal="center" vertical="center" wrapText="1"/>
      <protection locked="0"/>
    </xf>
    <xf numFmtId="181" fontId="15" fillId="0" borderId="4" xfId="0" applyNumberFormat="1" applyFont="1" applyFill="1" applyBorder="1" applyAlignment="1" applyProtection="1">
      <alignment horizontal="center" vertical="center" wrapText="1" shrinkToFit="1"/>
      <protection locked="0"/>
    </xf>
    <xf numFmtId="0" fontId="15" fillId="0" borderId="4" xfId="0" applyNumberFormat="1" applyFont="1" applyFill="1" applyBorder="1" applyAlignment="1" applyProtection="1">
      <alignment horizontal="center" vertical="center" wrapText="1"/>
      <protection locked="0"/>
    </xf>
    <xf numFmtId="178" fontId="20" fillId="0" borderId="4" xfId="0"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protection locked="0"/>
    </xf>
    <xf numFmtId="180" fontId="12" fillId="0" borderId="2" xfId="0" applyNumberFormat="1" applyFont="1" applyFill="1" applyBorder="1" applyAlignment="1" applyProtection="1">
      <alignment horizontal="center" vertical="center"/>
      <protection locked="0"/>
    </xf>
    <xf numFmtId="180" fontId="12" fillId="0" borderId="7" xfId="0" applyNumberFormat="1" applyFont="1" applyFill="1" applyBorder="1" applyAlignment="1" applyProtection="1">
      <alignment horizontal="center" vertical="center"/>
      <protection locked="0"/>
    </xf>
    <xf numFmtId="180" fontId="12" fillId="0" borderId="4" xfId="0" applyNumberFormat="1" applyFont="1" applyFill="1" applyBorder="1" applyAlignment="1" applyProtection="1">
      <alignment horizontal="center" vertical="center"/>
      <protection locked="0"/>
    </xf>
    <xf numFmtId="180" fontId="15" fillId="0" borderId="0" xfId="0" applyNumberFormat="1" applyFont="1" applyFill="1" applyBorder="1" applyAlignment="1" applyProtection="1">
      <alignment horizontal="center" vertical="center"/>
      <protection locked="0"/>
    </xf>
    <xf numFmtId="180" fontId="20" fillId="0" borderId="0" xfId="0" applyNumberFormat="1" applyFont="1" applyFill="1" applyBorder="1" applyAlignment="1" applyProtection="1">
      <alignment horizontal="center" vertical="center"/>
      <protection locked="0"/>
    </xf>
    <xf numFmtId="176" fontId="15" fillId="0" borderId="17" xfId="0" applyNumberFormat="1" applyFont="1" applyFill="1" applyBorder="1" applyAlignment="1" applyProtection="1">
      <alignment horizontal="center" vertical="center" wrapText="1" shrinkToFit="1"/>
    </xf>
    <xf numFmtId="176" fontId="15" fillId="0" borderId="12" xfId="0" applyNumberFormat="1" applyFont="1" applyFill="1" applyBorder="1" applyAlignment="1" applyProtection="1">
      <alignment horizontal="center" vertical="center" wrapText="1" shrinkToFit="1"/>
    </xf>
    <xf numFmtId="176" fontId="15" fillId="0" borderId="7" xfId="0" applyNumberFormat="1" applyFont="1" applyFill="1" applyBorder="1" applyAlignment="1" applyProtection="1">
      <alignment horizontal="center" vertical="center" wrapText="1" shrinkToFit="1"/>
    </xf>
    <xf numFmtId="0" fontId="15" fillId="2" borderId="4" xfId="0" applyFont="1" applyFill="1" applyBorder="1" applyAlignment="1" applyProtection="1">
      <alignment horizontal="center" vertical="center" wrapText="1"/>
      <protection locked="0"/>
    </xf>
    <xf numFmtId="49" fontId="16" fillId="2" borderId="4" xfId="0" applyNumberFormat="1" applyFont="1" applyFill="1" applyBorder="1" applyAlignment="1" applyProtection="1">
      <alignment horizontal="center" vertical="center" wrapText="1"/>
      <protection locked="0"/>
    </xf>
    <xf numFmtId="179" fontId="16" fillId="2" borderId="4" xfId="0" applyNumberFormat="1" applyFont="1" applyFill="1" applyBorder="1" applyAlignment="1" applyProtection="1">
      <alignment horizontal="center" vertical="center"/>
      <protection locked="0"/>
    </xf>
    <xf numFmtId="0" fontId="15" fillId="12" borderId="4" xfId="0" applyFont="1" applyFill="1" applyBorder="1" applyAlignment="1" applyProtection="1">
      <alignment horizontal="center" vertical="center" wrapText="1" shrinkToFit="1"/>
      <protection locked="0"/>
    </xf>
    <xf numFmtId="0" fontId="0" fillId="0" borderId="1" xfId="0" applyFill="1" applyBorder="1" applyAlignment="1" applyProtection="1">
      <alignment horizontal="center" vertical="center"/>
    </xf>
    <xf numFmtId="0" fontId="41" fillId="0" borderId="1" xfId="0" applyFont="1" applyFill="1" applyBorder="1" applyAlignment="1" applyProtection="1">
      <alignment horizontal="center" vertical="center" wrapText="1"/>
      <protection locked="0"/>
    </xf>
    <xf numFmtId="0" fontId="20" fillId="0" borderId="1" xfId="0" applyNumberFormat="1" applyFont="1" applyFill="1" applyBorder="1" applyAlignment="1" applyProtection="1">
      <alignment horizontal="center" vertical="center" wrapText="1"/>
      <protection locked="0"/>
    </xf>
    <xf numFmtId="180" fontId="0" fillId="0" borderId="1" xfId="0" applyNumberFormat="1" applyFill="1" applyBorder="1" applyAlignment="1" applyProtection="1">
      <alignment horizontal="center" vertical="center"/>
      <protection locked="0"/>
    </xf>
    <xf numFmtId="0" fontId="0" fillId="0" borderId="0" xfId="0" applyFill="1" applyAlignment="1" applyProtection="1">
      <alignment horizontal="center" vertical="center"/>
      <protection locked="0"/>
    </xf>
    <xf numFmtId="180" fontId="0" fillId="0" borderId="1" xfId="0" applyNumberFormat="1" applyFont="1" applyFill="1" applyBorder="1" applyAlignment="1" applyProtection="1">
      <alignment horizontal="center" vertical="center"/>
      <protection locked="0"/>
    </xf>
    <xf numFmtId="180" fontId="0" fillId="0" borderId="7" xfId="0" applyNumberFormat="1" applyFont="1" applyFill="1" applyBorder="1" applyAlignment="1" applyProtection="1">
      <alignment horizontal="center" vertical="center"/>
      <protection locked="0"/>
    </xf>
    <xf numFmtId="180" fontId="14" fillId="0" borderId="3" xfId="0" applyNumberFormat="1" applyFont="1" applyFill="1" applyBorder="1" applyAlignment="1" applyProtection="1">
      <alignment horizontal="center" vertical="center"/>
      <protection locked="0"/>
    </xf>
    <xf numFmtId="180" fontId="14" fillId="0" borderId="4" xfId="0" applyNumberFormat="1" applyFont="1" applyFill="1" applyBorder="1" applyAlignment="1" applyProtection="1">
      <alignment horizontal="center" vertical="center"/>
      <protection locked="0"/>
    </xf>
    <xf numFmtId="1" fontId="0" fillId="0" borderId="1" xfId="0" applyNumberFormat="1" applyFill="1" applyBorder="1" applyAlignment="1" applyProtection="1">
      <alignment horizontal="center" vertical="center"/>
      <protection locked="0"/>
    </xf>
    <xf numFmtId="180" fontId="0" fillId="0" borderId="3" xfId="0" applyNumberFormat="1" applyFill="1" applyBorder="1" applyAlignment="1" applyProtection="1">
      <alignment horizontal="center" vertical="center"/>
      <protection locked="0"/>
    </xf>
    <xf numFmtId="180" fontId="0" fillId="0" borderId="4" xfId="0" applyNumberFormat="1" applyFill="1" applyBorder="1" applyAlignment="1" applyProtection="1">
      <alignment horizontal="center" vertical="center"/>
      <protection locked="0"/>
    </xf>
    <xf numFmtId="0" fontId="17" fillId="0" borderId="0" xfId="0" applyFont="1" applyFill="1" applyProtection="1">
      <alignment vertical="center"/>
      <protection locked="0"/>
    </xf>
    <xf numFmtId="179" fontId="0" fillId="0" borderId="0" xfId="0" applyNumberFormat="1" applyFill="1" applyAlignment="1" applyProtection="1">
      <alignment horizontal="center" vertical="center"/>
      <protection locked="0"/>
    </xf>
    <xf numFmtId="0" fontId="21" fillId="0" borderId="0" xfId="0" applyFont="1" applyFill="1" applyAlignment="1" applyProtection="1">
      <alignment horizontal="center" vertical="center"/>
      <protection locked="0"/>
    </xf>
    <xf numFmtId="0" fontId="56" fillId="0" borderId="0" xfId="0" applyFont="1" applyFill="1" applyAlignment="1" applyProtection="1">
      <alignment horizontal="center" vertical="center"/>
      <protection locked="0"/>
    </xf>
    <xf numFmtId="0" fontId="14" fillId="0" borderId="0" xfId="0" applyFont="1" applyFill="1" applyAlignment="1" applyProtection="1">
      <alignment horizontal="center" vertical="center"/>
      <protection locked="0"/>
    </xf>
    <xf numFmtId="0" fontId="28" fillId="0" borderId="0" xfId="0" applyFont="1" applyFill="1" applyAlignment="1" applyProtection="1">
      <alignment horizontal="center" vertical="center"/>
      <protection locked="0"/>
    </xf>
    <xf numFmtId="0" fontId="28" fillId="2" borderId="0" xfId="0" applyFont="1" applyFill="1" applyAlignment="1" applyProtection="1">
      <alignment horizontal="center" vertical="center"/>
      <protection locked="0"/>
    </xf>
    <xf numFmtId="0" fontId="57" fillId="0" borderId="0" xfId="0" applyNumberFormat="1" applyFont="1" applyFill="1" applyAlignment="1" applyProtection="1">
      <alignment vertical="center" wrapText="1"/>
      <protection locked="0"/>
    </xf>
    <xf numFmtId="0" fontId="22" fillId="0" borderId="5" xfId="0" applyFont="1" applyFill="1" applyBorder="1" applyAlignment="1" applyProtection="1">
      <alignment horizontal="center" vertical="center"/>
      <protection locked="0"/>
    </xf>
    <xf numFmtId="0" fontId="58" fillId="0" borderId="6" xfId="0" applyFont="1" applyFill="1" applyBorder="1" applyAlignment="1" applyProtection="1">
      <alignment horizontal="center" vertical="center" wrapText="1"/>
      <protection locked="0"/>
    </xf>
    <xf numFmtId="0" fontId="5" fillId="0" borderId="1" xfId="0" applyNumberFormat="1" applyFont="1" applyFill="1" applyBorder="1" applyAlignment="1" applyProtection="1">
      <alignment horizontal="center" vertical="top" wrapText="1" shrinkToFit="1"/>
      <protection locked="0"/>
    </xf>
    <xf numFmtId="177" fontId="50" fillId="0" borderId="1" xfId="0" applyNumberFormat="1" applyFont="1" applyFill="1" applyBorder="1" applyAlignment="1" applyProtection="1">
      <alignment horizontal="center" vertical="top" shrinkToFit="1"/>
      <protection locked="0"/>
    </xf>
    <xf numFmtId="177" fontId="8" fillId="0" borderId="1" xfId="0" applyNumberFormat="1" applyFont="1" applyFill="1" applyBorder="1" applyAlignment="1" applyProtection="1">
      <alignment horizontal="center" vertical="top" wrapText="1" shrinkToFit="1"/>
      <protection locked="0"/>
    </xf>
    <xf numFmtId="10" fontId="0" fillId="0" borderId="1" xfId="3" applyNumberFormat="1" applyFill="1" applyBorder="1" applyAlignment="1" applyProtection="1">
      <alignment horizontal="center" vertical="center"/>
      <protection locked="0"/>
    </xf>
    <xf numFmtId="0" fontId="15" fillId="0" borderId="1" xfId="0" applyFont="1" applyFill="1" applyBorder="1" applyAlignment="1" applyProtection="1">
      <alignment horizontal="center" vertical="center" wrapText="1"/>
      <protection locked="0"/>
    </xf>
    <xf numFmtId="49" fontId="59" fillId="0" borderId="1" xfId="0" applyNumberFormat="1" applyFont="1" applyFill="1" applyBorder="1" applyAlignment="1" applyProtection="1">
      <alignment horizontal="center" vertical="center" wrapText="1"/>
      <protection locked="0"/>
    </xf>
    <xf numFmtId="0" fontId="60" fillId="0" borderId="1" xfId="0" applyFont="1" applyFill="1" applyBorder="1" applyAlignment="1" applyProtection="1">
      <alignment horizontal="center" vertical="center" wrapText="1"/>
      <protection locked="0"/>
    </xf>
    <xf numFmtId="179" fontId="59" fillId="0" borderId="1" xfId="0" applyNumberFormat="1" applyFont="1" applyFill="1" applyBorder="1" applyAlignment="1" applyProtection="1">
      <alignment horizontal="center" vertical="center"/>
      <protection locked="0"/>
    </xf>
    <xf numFmtId="177" fontId="60" fillId="0" borderId="1" xfId="0" applyNumberFormat="1" applyFont="1" applyFill="1" applyBorder="1" applyAlignment="1" applyProtection="1">
      <alignment horizontal="center" vertical="center" wrapText="1" shrinkToFit="1"/>
      <protection locked="0"/>
    </xf>
    <xf numFmtId="178" fontId="60" fillId="0" borderId="1" xfId="0" applyNumberFormat="1" applyFont="1" applyFill="1" applyBorder="1" applyAlignment="1" applyProtection="1">
      <alignment horizontal="center" vertical="center" wrapText="1"/>
      <protection locked="0"/>
    </xf>
    <xf numFmtId="0" fontId="60" fillId="0" borderId="1" xfId="0" applyNumberFormat="1" applyFont="1" applyFill="1" applyBorder="1" applyAlignment="1" applyProtection="1">
      <alignment horizontal="center" vertical="center" wrapText="1"/>
      <protection locked="0"/>
    </xf>
    <xf numFmtId="176" fontId="20" fillId="0" borderId="1" xfId="0" applyNumberFormat="1" applyFont="1" applyFill="1" applyBorder="1" applyAlignment="1" applyProtection="1">
      <alignment horizontal="center" vertical="center" wrapText="1" shrinkToFit="1"/>
    </xf>
    <xf numFmtId="0" fontId="20" fillId="0" borderId="1" xfId="0" applyFont="1" applyFill="1" applyBorder="1" applyAlignment="1" applyProtection="1">
      <alignment horizontal="center" vertical="center" wrapText="1"/>
      <protection locked="0"/>
    </xf>
    <xf numFmtId="0" fontId="20" fillId="0" borderId="1" xfId="0" applyFont="1" applyFill="1" applyBorder="1" applyAlignment="1" applyProtection="1">
      <alignment horizontal="center" vertical="center" wrapText="1" shrinkToFit="1"/>
      <protection locked="0"/>
    </xf>
    <xf numFmtId="0" fontId="20" fillId="0" borderId="1" xfId="0" applyFont="1" applyFill="1" applyBorder="1" applyAlignment="1" applyProtection="1">
      <alignment horizontal="center" vertical="center"/>
      <protection locked="0"/>
    </xf>
    <xf numFmtId="49" fontId="52" fillId="0" borderId="1" xfId="0" applyNumberFormat="1" applyFont="1" applyFill="1" applyBorder="1" applyAlignment="1" applyProtection="1">
      <alignment horizontal="center" vertical="center" wrapText="1"/>
      <protection locked="0"/>
    </xf>
    <xf numFmtId="179" fontId="52" fillId="0" borderId="1" xfId="0" applyNumberFormat="1" applyFont="1" applyFill="1" applyBorder="1" applyAlignment="1" applyProtection="1">
      <alignment horizontal="center" vertical="center"/>
      <protection locked="0"/>
    </xf>
    <xf numFmtId="177" fontId="20" fillId="0" borderId="1" xfId="0" applyNumberFormat="1" applyFont="1" applyFill="1" applyBorder="1" applyAlignment="1" applyProtection="1">
      <alignment horizontal="center" vertical="center" wrapText="1" shrinkToFit="1"/>
      <protection locked="0"/>
    </xf>
    <xf numFmtId="178" fontId="20" fillId="0" borderId="1" xfId="0" applyNumberFormat="1" applyFont="1" applyFill="1" applyBorder="1" applyAlignment="1" applyProtection="1">
      <alignment horizontal="center" vertical="center" wrapText="1"/>
      <protection locked="0"/>
    </xf>
    <xf numFmtId="178" fontId="53" fillId="0" borderId="2" xfId="0" applyNumberFormat="1" applyFont="1" applyFill="1" applyBorder="1" applyAlignment="1" applyProtection="1">
      <alignment horizontal="center" vertical="center" wrapText="1"/>
      <protection locked="0"/>
    </xf>
    <xf numFmtId="178" fontId="53" fillId="0" borderId="1" xfId="0" applyNumberFormat="1" applyFont="1" applyFill="1" applyBorder="1" applyAlignment="1" applyProtection="1">
      <alignment horizontal="center" vertical="center" wrapText="1"/>
      <protection locked="0"/>
    </xf>
    <xf numFmtId="181" fontId="21" fillId="0" borderId="1" xfId="0" applyNumberFormat="1" applyFont="1" applyFill="1" applyBorder="1" applyAlignment="1" applyProtection="1">
      <alignment horizontal="center" vertical="center" wrapText="1" shrinkToFit="1"/>
      <protection locked="0"/>
    </xf>
    <xf numFmtId="0" fontId="61" fillId="0" borderId="4" xfId="0" applyFont="1" applyBorder="1" applyAlignment="1">
      <alignment horizontal="center" vertical="center"/>
    </xf>
    <xf numFmtId="0" fontId="21" fillId="0" borderId="1" xfId="0" applyFont="1" applyFill="1" applyBorder="1" applyAlignment="1" applyProtection="1">
      <alignment horizontal="center" vertical="center"/>
      <protection locked="0"/>
    </xf>
    <xf numFmtId="178" fontId="21" fillId="0" borderId="1" xfId="0" applyNumberFormat="1" applyFont="1" applyFill="1" applyBorder="1" applyAlignment="1" applyProtection="1">
      <alignment horizontal="center" vertical="center" wrapText="1" shrinkToFit="1"/>
      <protection locked="0"/>
    </xf>
    <xf numFmtId="178" fontId="21" fillId="0" borderId="2" xfId="0" applyNumberFormat="1" applyFont="1" applyFill="1" applyBorder="1" applyAlignment="1" applyProtection="1">
      <alignment horizontal="center" vertical="center" wrapText="1" shrinkToFit="1"/>
      <protection locked="0"/>
    </xf>
    <xf numFmtId="178" fontId="20" fillId="0" borderId="3" xfId="0" applyNumberFormat="1" applyFont="1" applyFill="1" applyBorder="1" applyAlignment="1" applyProtection="1">
      <alignment horizontal="center" vertical="center" wrapText="1"/>
      <protection locked="0"/>
    </xf>
    <xf numFmtId="178" fontId="62" fillId="0" borderId="1" xfId="0" applyNumberFormat="1" applyFont="1" applyFill="1" applyBorder="1" applyAlignment="1" applyProtection="1">
      <alignment horizontal="center" vertical="center" wrapText="1"/>
      <protection locked="0"/>
    </xf>
    <xf numFmtId="178" fontId="63" fillId="0" borderId="1" xfId="0" applyNumberFormat="1" applyFont="1" applyFill="1" applyBorder="1" applyAlignment="1" applyProtection="1">
      <alignment horizontal="center" vertical="center" wrapText="1"/>
      <protection locked="0"/>
    </xf>
    <xf numFmtId="177" fontId="62" fillId="0" borderId="1" xfId="0" applyNumberFormat="1" applyFont="1" applyFill="1" applyBorder="1" applyAlignment="1" applyProtection="1">
      <alignment horizontal="center" vertical="center" wrapText="1" shrinkToFit="1"/>
      <protection locked="0"/>
    </xf>
    <xf numFmtId="177" fontId="62" fillId="0" borderId="1" xfId="0" applyNumberFormat="1" applyFont="1" applyFill="1" applyBorder="1" applyAlignment="1" applyProtection="1">
      <alignment horizontal="center" vertical="center" wrapText="1" shrinkToFit="1"/>
    </xf>
    <xf numFmtId="0" fontId="62" fillId="0" borderId="1" xfId="0" applyFont="1" applyFill="1" applyBorder="1" applyAlignment="1" applyProtection="1">
      <alignment horizontal="center" vertical="center" wrapText="1"/>
      <protection locked="0"/>
    </xf>
    <xf numFmtId="176" fontId="19" fillId="0" borderId="1" xfId="0" applyNumberFormat="1" applyFont="1" applyFill="1" applyBorder="1" applyAlignment="1" applyProtection="1">
      <alignment horizontal="center" vertical="center" wrapText="1" shrinkToFit="1"/>
    </xf>
    <xf numFmtId="0" fontId="19" fillId="0" borderId="1" xfId="0" applyFont="1" applyFill="1" applyBorder="1" applyAlignment="1" applyProtection="1">
      <alignment horizontal="center" vertical="center" wrapText="1"/>
      <protection locked="0"/>
    </xf>
    <xf numFmtId="0" fontId="19" fillId="0" borderId="1" xfId="0" applyFont="1" applyFill="1" applyBorder="1" applyAlignment="1" applyProtection="1">
      <alignment horizontal="center" vertical="center" wrapText="1" shrinkToFit="1"/>
      <protection locked="0"/>
    </xf>
    <xf numFmtId="0" fontId="19" fillId="0" borderId="1" xfId="0" applyFont="1" applyFill="1" applyBorder="1" applyAlignment="1" applyProtection="1">
      <alignment horizontal="center" vertical="center"/>
      <protection locked="0"/>
    </xf>
    <xf numFmtId="49" fontId="54" fillId="0" borderId="1" xfId="0" applyNumberFormat="1" applyFont="1" applyFill="1" applyBorder="1" applyAlignment="1" applyProtection="1">
      <alignment horizontal="center" vertical="center" wrapText="1"/>
      <protection locked="0"/>
    </xf>
    <xf numFmtId="179" fontId="54" fillId="0" borderId="1" xfId="0" applyNumberFormat="1" applyFont="1" applyFill="1" applyBorder="1" applyAlignment="1" applyProtection="1">
      <alignment horizontal="center" vertical="center"/>
      <protection locked="0"/>
    </xf>
    <xf numFmtId="177" fontId="19" fillId="0" borderId="1" xfId="0" applyNumberFormat="1" applyFont="1" applyFill="1" applyBorder="1" applyAlignment="1" applyProtection="1">
      <alignment horizontal="center" vertical="center" wrapText="1" shrinkToFit="1"/>
      <protection locked="0"/>
    </xf>
    <xf numFmtId="178" fontId="19" fillId="0" borderId="1" xfId="0" applyNumberFormat="1" applyFont="1" applyFill="1" applyBorder="1" applyAlignment="1" applyProtection="1">
      <alignment horizontal="center" vertical="center" wrapText="1"/>
      <protection locked="0"/>
    </xf>
    <xf numFmtId="178" fontId="56" fillId="0" borderId="2" xfId="0" applyNumberFormat="1" applyFont="1" applyFill="1" applyBorder="1" applyAlignment="1" applyProtection="1">
      <alignment horizontal="center" vertical="center" wrapText="1" shrinkToFit="1"/>
      <protection locked="0"/>
    </xf>
    <xf numFmtId="178" fontId="64" fillId="0" borderId="1" xfId="0" applyNumberFormat="1" applyFont="1" applyFill="1" applyBorder="1" applyAlignment="1" applyProtection="1">
      <alignment horizontal="center" vertical="center" wrapText="1"/>
      <protection locked="0"/>
    </xf>
    <xf numFmtId="0" fontId="19" fillId="0" borderId="1" xfId="0" applyNumberFormat="1" applyFont="1" applyFill="1" applyBorder="1" applyAlignment="1" applyProtection="1">
      <alignment horizontal="center" vertical="center" wrapText="1"/>
      <protection locked="0"/>
    </xf>
    <xf numFmtId="181" fontId="56" fillId="0" borderId="1" xfId="0" applyNumberFormat="1" applyFont="1" applyFill="1" applyBorder="1" applyAlignment="1" applyProtection="1">
      <alignment horizontal="center" vertical="center" wrapText="1" shrinkToFit="1"/>
      <protection locked="0"/>
    </xf>
    <xf numFmtId="0" fontId="56" fillId="0" borderId="1" xfId="0" applyFont="1" applyFill="1" applyBorder="1" applyAlignment="1" applyProtection="1">
      <alignment horizontal="center" vertical="center"/>
      <protection locked="0"/>
    </xf>
    <xf numFmtId="180" fontId="56" fillId="0" borderId="1" xfId="0" applyNumberFormat="1" applyFont="1" applyFill="1" applyBorder="1" applyAlignment="1" applyProtection="1">
      <alignment horizontal="center" vertical="center"/>
      <protection locked="0"/>
    </xf>
    <xf numFmtId="178" fontId="55" fillId="0" borderId="1" xfId="0" applyNumberFormat="1" applyFont="1" applyFill="1" applyBorder="1" applyAlignment="1">
      <alignment horizontal="center" vertical="center" wrapText="1"/>
    </xf>
    <xf numFmtId="178" fontId="19" fillId="0" borderId="3" xfId="0" applyNumberFormat="1" applyFont="1" applyFill="1" applyBorder="1" applyAlignment="1" applyProtection="1">
      <alignment horizontal="center" vertical="center" wrapText="1"/>
      <protection locked="0"/>
    </xf>
    <xf numFmtId="185" fontId="56" fillId="0" borderId="1" xfId="0" applyNumberFormat="1" applyFont="1" applyFill="1" applyBorder="1" applyAlignment="1" applyProtection="1">
      <alignment horizontal="center" vertical="center" wrapText="1" shrinkToFit="1"/>
      <protection locked="0"/>
    </xf>
    <xf numFmtId="177" fontId="19" fillId="0" borderId="16" xfId="0" applyNumberFormat="1" applyFont="1" applyFill="1" applyBorder="1" applyAlignment="1" applyProtection="1">
      <alignment horizontal="center" vertical="center" wrapText="1" shrinkToFit="1"/>
      <protection locked="0"/>
    </xf>
    <xf numFmtId="176" fontId="65" fillId="0" borderId="1" xfId="0" applyNumberFormat="1" applyFont="1" applyFill="1" applyBorder="1" applyAlignment="1" applyProtection="1">
      <alignment horizontal="center" vertical="center" wrapText="1" shrinkToFit="1"/>
    </xf>
    <xf numFmtId="0" fontId="65" fillId="0" borderId="1" xfId="0" applyFont="1" applyFill="1" applyBorder="1" applyAlignment="1" applyProtection="1">
      <alignment horizontal="center" vertical="center" wrapText="1"/>
      <protection locked="0"/>
    </xf>
    <xf numFmtId="0" fontId="65" fillId="0" borderId="1" xfId="0" applyFont="1" applyFill="1" applyBorder="1" applyAlignment="1" applyProtection="1">
      <alignment horizontal="center" vertical="center" wrapText="1" shrinkToFit="1"/>
      <protection locked="0"/>
    </xf>
    <xf numFmtId="0" fontId="65" fillId="0" borderId="1" xfId="0" applyFont="1" applyFill="1" applyBorder="1" applyAlignment="1" applyProtection="1">
      <alignment horizontal="center" vertical="center"/>
      <protection locked="0"/>
    </xf>
    <xf numFmtId="49" fontId="66" fillId="0" borderId="1" xfId="0" applyNumberFormat="1" applyFont="1" applyFill="1" applyBorder="1" applyAlignment="1" applyProtection="1">
      <alignment horizontal="center" vertical="center" wrapText="1"/>
      <protection locked="0"/>
    </xf>
    <xf numFmtId="179" fontId="66" fillId="0" borderId="1" xfId="0" applyNumberFormat="1" applyFont="1" applyFill="1" applyBorder="1" applyAlignment="1" applyProtection="1">
      <alignment horizontal="center" vertical="center"/>
      <protection locked="0"/>
    </xf>
    <xf numFmtId="177" fontId="65" fillId="0" borderId="1" xfId="0" applyNumberFormat="1" applyFont="1" applyFill="1" applyBorder="1" applyAlignment="1" applyProtection="1">
      <alignment horizontal="center" vertical="center" wrapText="1" shrinkToFit="1"/>
      <protection locked="0"/>
    </xf>
    <xf numFmtId="178" fontId="65" fillId="0" borderId="1" xfId="0" applyNumberFormat="1" applyFont="1" applyFill="1" applyBorder="1" applyAlignment="1" applyProtection="1">
      <alignment horizontal="center" vertical="center" wrapText="1"/>
      <protection locked="0"/>
    </xf>
    <xf numFmtId="178" fontId="14" fillId="0" borderId="2" xfId="0" applyNumberFormat="1" applyFont="1" applyFill="1" applyBorder="1" applyAlignment="1" applyProtection="1">
      <alignment horizontal="center" vertical="center" wrapText="1" shrinkToFit="1"/>
      <protection locked="0"/>
    </xf>
    <xf numFmtId="178" fontId="67" fillId="0" borderId="1" xfId="0" applyNumberFormat="1" applyFont="1" applyFill="1" applyBorder="1" applyAlignment="1" applyProtection="1">
      <alignment horizontal="center" vertical="center" wrapText="1"/>
      <protection locked="0"/>
    </xf>
    <xf numFmtId="0" fontId="65" fillId="0" borderId="1" xfId="0" applyNumberFormat="1" applyFont="1" applyFill="1" applyBorder="1" applyAlignment="1" applyProtection="1">
      <alignment horizontal="center" vertical="center" wrapText="1"/>
      <protection locked="0"/>
    </xf>
    <xf numFmtId="185" fontId="65" fillId="0" borderId="1" xfId="0" applyNumberFormat="1" applyFont="1" applyFill="1" applyBorder="1" applyAlignment="1" applyProtection="1">
      <alignment horizontal="center" vertical="center" wrapText="1" shrinkToFit="1"/>
      <protection locked="0"/>
    </xf>
    <xf numFmtId="4" fontId="65" fillId="0" borderId="1" xfId="0" applyNumberFormat="1" applyFont="1" applyFill="1" applyBorder="1" applyAlignment="1" applyProtection="1">
      <alignment horizontal="center" vertical="center" wrapText="1" shrinkToFit="1"/>
      <protection locked="0"/>
    </xf>
    <xf numFmtId="0" fontId="14" fillId="0" borderId="1" xfId="0" applyFont="1" applyFill="1" applyBorder="1" applyAlignment="1" applyProtection="1">
      <alignment horizontal="center" vertical="center"/>
      <protection locked="0"/>
    </xf>
    <xf numFmtId="177" fontId="20" fillId="0" borderId="16" xfId="0" applyNumberFormat="1" applyFont="1" applyFill="1" applyBorder="1" applyAlignment="1" applyProtection="1">
      <alignment horizontal="center" vertical="center" wrapText="1" shrinkToFit="1"/>
      <protection locked="0"/>
    </xf>
    <xf numFmtId="178" fontId="20" fillId="0" borderId="16" xfId="0" applyNumberFormat="1" applyFont="1" applyFill="1" applyBorder="1" applyAlignment="1" applyProtection="1">
      <alignment horizontal="center" vertical="center" wrapText="1"/>
      <protection locked="0"/>
    </xf>
    <xf numFmtId="0" fontId="53" fillId="0" borderId="0" xfId="0" applyFont="1" applyFill="1" applyAlignment="1" applyProtection="1">
      <alignment horizontal="center" vertical="center"/>
      <protection locked="0"/>
    </xf>
    <xf numFmtId="185" fontId="20" fillId="0" borderId="1" xfId="0" applyNumberFormat="1" applyFont="1" applyFill="1" applyBorder="1" applyAlignment="1" applyProtection="1">
      <alignment horizontal="center" vertical="center" wrapText="1" shrinkToFit="1"/>
      <protection locked="0"/>
    </xf>
    <xf numFmtId="4" fontId="20" fillId="0" borderId="1" xfId="0" applyNumberFormat="1" applyFont="1" applyFill="1" applyBorder="1" applyAlignment="1" applyProtection="1">
      <alignment horizontal="center" vertical="center" wrapText="1" shrinkToFit="1"/>
      <protection locked="0"/>
    </xf>
    <xf numFmtId="0" fontId="53" fillId="0" borderId="1" xfId="0" applyFont="1" applyFill="1" applyBorder="1" applyAlignment="1" applyProtection="1">
      <alignment horizontal="center" vertical="center"/>
      <protection locked="0"/>
    </xf>
    <xf numFmtId="178" fontId="68" fillId="0" borderId="1" xfId="0" applyNumberFormat="1" applyFont="1" applyFill="1" applyBorder="1" applyAlignment="1" applyProtection="1">
      <alignment horizontal="center" vertical="center" wrapText="1"/>
      <protection locked="0"/>
    </xf>
    <xf numFmtId="178" fontId="68" fillId="0" borderId="1" xfId="0" applyNumberFormat="1" applyFont="1" applyFill="1" applyBorder="1" applyAlignment="1" applyProtection="1">
      <alignment horizontal="center" vertical="center" wrapText="1"/>
    </xf>
    <xf numFmtId="181" fontId="14" fillId="0" borderId="1" xfId="0" applyNumberFormat="1" applyFont="1" applyFill="1" applyBorder="1" applyAlignment="1" applyProtection="1">
      <alignment horizontal="center" vertical="center" wrapText="1" shrinkToFit="1"/>
      <protection locked="0"/>
    </xf>
    <xf numFmtId="178" fontId="69" fillId="0" borderId="1" xfId="0" applyNumberFormat="1" applyFont="1" applyFill="1" applyBorder="1" applyAlignment="1">
      <alignment horizontal="center" vertical="center" wrapText="1"/>
    </xf>
    <xf numFmtId="178" fontId="68" fillId="0" borderId="1" xfId="0" applyNumberFormat="1" applyFont="1" applyFill="1" applyBorder="1" applyAlignment="1">
      <alignment horizontal="center" vertical="center" wrapText="1"/>
    </xf>
    <xf numFmtId="178" fontId="55" fillId="0" borderId="1" xfId="0" applyNumberFormat="1" applyFont="1" applyFill="1" applyBorder="1" applyAlignment="1" applyProtection="1">
      <alignment horizontal="center" vertical="center" wrapText="1"/>
      <protection locked="0"/>
    </xf>
    <xf numFmtId="185" fontId="19" fillId="0" borderId="1" xfId="0" applyNumberFormat="1" applyFont="1" applyFill="1" applyBorder="1" applyAlignment="1" applyProtection="1">
      <alignment horizontal="center" vertical="center" wrapText="1" shrinkToFit="1"/>
      <protection locked="0"/>
    </xf>
    <xf numFmtId="4" fontId="19" fillId="0" borderId="1" xfId="0" applyNumberFormat="1" applyFont="1" applyFill="1" applyBorder="1" applyAlignment="1" applyProtection="1">
      <alignment horizontal="center" vertical="center" wrapText="1" shrinkToFit="1"/>
      <protection locked="0"/>
    </xf>
    <xf numFmtId="0" fontId="65" fillId="12" borderId="1" xfId="0" applyNumberFormat="1" applyFont="1" applyFill="1" applyBorder="1" applyAlignment="1" applyProtection="1">
      <alignment horizontal="center" vertical="center" wrapText="1"/>
      <protection locked="0"/>
    </xf>
    <xf numFmtId="0" fontId="15" fillId="0" borderId="2" xfId="0" applyFont="1" applyFill="1" applyBorder="1" applyAlignment="1" applyProtection="1">
      <alignment horizontal="center" vertical="center" wrapText="1" shrinkToFit="1"/>
      <protection locked="0"/>
    </xf>
    <xf numFmtId="0" fontId="68" fillId="0" borderId="1" xfId="0" applyFont="1" applyFill="1" applyBorder="1" applyAlignment="1" applyProtection="1">
      <alignment horizontal="center" vertical="center"/>
      <protection locked="0"/>
    </xf>
    <xf numFmtId="177" fontId="65" fillId="0" borderId="3" xfId="0" applyNumberFormat="1" applyFont="1" applyFill="1" applyBorder="1" applyAlignment="1" applyProtection="1">
      <alignment horizontal="center" vertical="center" wrapText="1" shrinkToFit="1"/>
      <protection locked="0"/>
    </xf>
    <xf numFmtId="0" fontId="14" fillId="0" borderId="4" xfId="0" applyFont="1" applyBorder="1">
      <alignment vertical="center"/>
    </xf>
    <xf numFmtId="0" fontId="65" fillId="0" borderId="16" xfId="0" applyNumberFormat="1" applyFont="1" applyFill="1" applyBorder="1" applyAlignment="1" applyProtection="1">
      <alignment horizontal="center" vertical="center" wrapText="1"/>
      <protection locked="0"/>
    </xf>
    <xf numFmtId="181" fontId="14" fillId="12" borderId="1" xfId="0" applyNumberFormat="1" applyFont="1" applyFill="1" applyBorder="1" applyAlignment="1" applyProtection="1">
      <alignment horizontal="center" vertical="center" wrapText="1" shrinkToFit="1"/>
      <protection locked="0"/>
    </xf>
    <xf numFmtId="177" fontId="65" fillId="2" borderId="1" xfId="0" applyNumberFormat="1" applyFont="1" applyFill="1" applyBorder="1" applyAlignment="1" applyProtection="1">
      <alignment horizontal="center" vertical="center" wrapText="1" shrinkToFit="1"/>
      <protection locked="0"/>
    </xf>
    <xf numFmtId="176" fontId="15" fillId="0" borderId="1" xfId="0" applyNumberFormat="1" applyFont="1" applyFill="1" applyBorder="1" applyAlignment="1" applyProtection="1">
      <alignment horizontal="center" vertical="center" wrapText="1" shrinkToFit="1"/>
    </xf>
    <xf numFmtId="0" fontId="15" fillId="0" borderId="1" xfId="0" applyFont="1" applyFill="1" applyBorder="1" applyAlignment="1" applyProtection="1">
      <alignment horizontal="center" vertical="center" wrapText="1" shrinkToFit="1"/>
      <protection locked="0"/>
    </xf>
    <xf numFmtId="0" fontId="15" fillId="0" borderId="1" xfId="0" applyFont="1" applyFill="1" applyBorder="1" applyAlignment="1" applyProtection="1">
      <alignment horizontal="center" vertical="center"/>
      <protection locked="0"/>
    </xf>
    <xf numFmtId="49" fontId="16" fillId="0" borderId="1" xfId="0" applyNumberFormat="1" applyFont="1" applyFill="1" applyBorder="1" applyAlignment="1" applyProtection="1">
      <alignment horizontal="center" vertical="center" wrapText="1"/>
      <protection locked="0"/>
    </xf>
    <xf numFmtId="179" fontId="16" fillId="0" borderId="1" xfId="0" applyNumberFormat="1" applyFont="1" applyFill="1" applyBorder="1" applyAlignment="1" applyProtection="1">
      <alignment horizontal="center" vertical="center"/>
      <protection locked="0"/>
    </xf>
    <xf numFmtId="177" fontId="15" fillId="0" borderId="1" xfId="0" applyNumberFormat="1" applyFont="1" applyFill="1" applyBorder="1" applyAlignment="1" applyProtection="1">
      <alignment horizontal="center" vertical="center" wrapText="1" shrinkToFit="1"/>
      <protection locked="0"/>
    </xf>
    <xf numFmtId="178" fontId="15" fillId="0" borderId="1" xfId="0" applyNumberFormat="1" applyFont="1" applyFill="1" applyBorder="1" applyAlignment="1" applyProtection="1">
      <alignment horizontal="center" vertical="center" wrapText="1"/>
      <protection locked="0"/>
    </xf>
    <xf numFmtId="0" fontId="28" fillId="0" borderId="1" xfId="0" applyFont="1" applyFill="1" applyBorder="1" applyAlignment="1" applyProtection="1">
      <alignment horizontal="center" vertical="center"/>
      <protection locked="0"/>
    </xf>
    <xf numFmtId="178" fontId="17" fillId="0" borderId="1" xfId="0" applyNumberFormat="1" applyFont="1" applyFill="1" applyBorder="1" applyAlignment="1" applyProtection="1">
      <alignment horizontal="center" vertical="center" wrapText="1"/>
      <protection locked="0"/>
    </xf>
    <xf numFmtId="178" fontId="37" fillId="0" borderId="1" xfId="0" applyNumberFormat="1" applyFont="1" applyFill="1" applyBorder="1" applyAlignment="1" applyProtection="1">
      <alignment horizontal="center" vertical="center" wrapText="1"/>
      <protection locked="0"/>
    </xf>
    <xf numFmtId="0" fontId="15" fillId="0" borderId="1" xfId="0" applyNumberFormat="1" applyFont="1" applyFill="1" applyBorder="1" applyAlignment="1" applyProtection="1">
      <alignment horizontal="center" vertical="center" wrapText="1"/>
      <protection locked="0"/>
    </xf>
    <xf numFmtId="181" fontId="28" fillId="0" borderId="1" xfId="0" applyNumberFormat="1" applyFont="1" applyFill="1" applyBorder="1" applyAlignment="1" applyProtection="1">
      <alignment horizontal="center" vertical="center" wrapText="1" shrinkToFit="1"/>
      <protection locked="0"/>
    </xf>
    <xf numFmtId="180" fontId="28" fillId="0" borderId="1" xfId="0" applyNumberFormat="1" applyFont="1" applyFill="1" applyBorder="1" applyAlignment="1" applyProtection="1">
      <alignment horizontal="center" vertical="center"/>
      <protection locked="0"/>
    </xf>
    <xf numFmtId="177" fontId="15" fillId="2" borderId="1" xfId="0" applyNumberFormat="1" applyFont="1" applyFill="1" applyBorder="1" applyAlignment="1" applyProtection="1">
      <alignment horizontal="center" vertical="center" wrapText="1" shrinkToFit="1"/>
      <protection locked="0"/>
    </xf>
    <xf numFmtId="178" fontId="2" fillId="0" borderId="2" xfId="0" applyNumberFormat="1" applyFont="1" applyFill="1" applyBorder="1" applyAlignment="1" applyProtection="1">
      <alignment horizontal="center" vertical="center" wrapText="1" shrinkToFit="1"/>
      <protection locked="0"/>
    </xf>
    <xf numFmtId="178" fontId="18" fillId="0" borderId="1" xfId="0" applyNumberFormat="1" applyFont="1" applyFill="1" applyBorder="1" applyAlignment="1" applyProtection="1">
      <alignment horizontal="center" vertical="center" wrapText="1"/>
      <protection locked="0"/>
    </xf>
    <xf numFmtId="0" fontId="15" fillId="2" borderId="1" xfId="0" applyNumberFormat="1" applyFont="1" applyFill="1" applyBorder="1" applyAlignment="1" applyProtection="1">
      <alignment horizontal="center" vertical="center" wrapText="1"/>
      <protection locked="0"/>
    </xf>
    <xf numFmtId="185" fontId="15" fillId="0" borderId="1" xfId="0" applyNumberFormat="1" applyFont="1" applyFill="1" applyBorder="1" applyAlignment="1" applyProtection="1">
      <alignment horizontal="center" vertical="center" wrapText="1" shrinkToFit="1"/>
      <protection locked="0"/>
    </xf>
    <xf numFmtId="4" fontId="15" fillId="0" borderId="1" xfId="0" applyNumberFormat="1" applyFont="1" applyFill="1" applyBorder="1" applyAlignment="1" applyProtection="1">
      <alignment horizontal="center" vertical="center" wrapText="1" shrinkToFit="1"/>
      <protection locked="0"/>
    </xf>
    <xf numFmtId="0" fontId="15" fillId="12" borderId="1" xfId="0" applyNumberFormat="1" applyFont="1" applyFill="1" applyBorder="1" applyAlignment="1" applyProtection="1">
      <alignment horizontal="center" vertical="center" wrapText="1"/>
      <protection locked="0"/>
    </xf>
    <xf numFmtId="177" fontId="12" fillId="2" borderId="1" xfId="0" applyNumberFormat="1" applyFont="1" applyFill="1" applyBorder="1" applyAlignment="1" applyProtection="1">
      <alignment horizontal="center" vertical="center" wrapText="1" shrinkToFit="1"/>
      <protection locked="0"/>
    </xf>
    <xf numFmtId="178" fontId="51" fillId="0" borderId="1" xfId="0" applyNumberFormat="1" applyFont="1" applyFill="1" applyBorder="1" applyAlignment="1" applyProtection="1">
      <alignment horizontal="center" vertical="center" wrapText="1"/>
      <protection locked="0"/>
    </xf>
    <xf numFmtId="0" fontId="28" fillId="2" borderId="1" xfId="0" applyFont="1" applyFill="1" applyBorder="1" applyAlignment="1" applyProtection="1">
      <alignment horizontal="center" vertical="center"/>
      <protection locked="0"/>
    </xf>
    <xf numFmtId="180" fontId="28" fillId="2" borderId="1" xfId="0" applyNumberFormat="1" applyFont="1" applyFill="1" applyBorder="1" applyAlignment="1" applyProtection="1">
      <alignment horizontal="center" vertical="center"/>
      <protection locked="0"/>
    </xf>
    <xf numFmtId="0" fontId="17" fillId="0" borderId="1" xfId="0" applyFont="1" applyFill="1" applyBorder="1" applyAlignment="1" applyProtection="1">
      <alignment horizontal="center" vertical="center" wrapText="1"/>
      <protection locked="0"/>
    </xf>
    <xf numFmtId="179" fontId="16" fillId="2" borderId="1" xfId="0" applyNumberFormat="1" applyFont="1" applyFill="1" applyBorder="1" applyAlignment="1" applyProtection="1">
      <alignment horizontal="center" vertical="center"/>
      <protection locked="0"/>
    </xf>
    <xf numFmtId="0" fontId="0" fillId="0" borderId="1" xfId="0" applyFill="1" applyBorder="1" applyAlignment="1" applyProtection="1">
      <alignment horizontal="center" vertical="center" wrapText="1"/>
      <protection locked="0"/>
    </xf>
    <xf numFmtId="179" fontId="0" fillId="0" borderId="1" xfId="0" applyNumberFormat="1" applyFill="1" applyBorder="1" applyAlignment="1" applyProtection="1">
      <alignment horizontal="center" vertical="center"/>
      <protection locked="0"/>
    </xf>
    <xf numFmtId="180" fontId="2" fillId="0" borderId="1" xfId="0" applyNumberFormat="1" applyFont="1" applyFill="1" applyBorder="1" applyAlignment="1" applyProtection="1">
      <alignment horizontal="center" vertical="center" wrapText="1" shrinkToFit="1"/>
      <protection locked="0"/>
    </xf>
    <xf numFmtId="178" fontId="70" fillId="0" borderId="1" xfId="0" applyNumberFormat="1" applyFont="1" applyFill="1" applyBorder="1" applyAlignment="1" applyProtection="1">
      <alignment horizontal="center" vertical="center" wrapText="1"/>
      <protection locked="0"/>
    </xf>
    <xf numFmtId="180" fontId="56" fillId="0" borderId="1" xfId="0" applyNumberFormat="1" applyFont="1" applyFill="1" applyBorder="1" applyAlignment="1" applyProtection="1">
      <alignment horizontal="center" vertical="center" wrapText="1" shrinkToFit="1"/>
      <protection locked="0"/>
    </xf>
    <xf numFmtId="0" fontId="56" fillId="0" borderId="0" xfId="0" applyFont="1" applyFill="1" applyAlignment="1" applyProtection="1">
      <alignment horizontal="center" vertical="center" wrapText="1"/>
      <protection locked="0"/>
    </xf>
    <xf numFmtId="178" fontId="65" fillId="0" borderId="16" xfId="0" applyNumberFormat="1" applyFont="1" applyFill="1" applyBorder="1" applyAlignment="1" applyProtection="1">
      <alignment horizontal="center" vertical="center" wrapText="1"/>
      <protection locked="0"/>
    </xf>
    <xf numFmtId="180" fontId="14" fillId="0" borderId="0" xfId="0" applyNumberFormat="1" applyFont="1" applyFill="1" applyAlignment="1" applyProtection="1">
      <alignment horizontal="center" vertical="center"/>
      <protection locked="0"/>
    </xf>
    <xf numFmtId="180" fontId="14" fillId="0" borderId="1" xfId="0" applyNumberFormat="1" applyFont="1" applyFill="1" applyBorder="1" applyAlignment="1" applyProtection="1">
      <alignment horizontal="center" vertical="center" wrapText="1" shrinkToFit="1"/>
      <protection locked="0"/>
    </xf>
    <xf numFmtId="178" fontId="19" fillId="0" borderId="16" xfId="0" applyNumberFormat="1" applyFont="1" applyFill="1" applyBorder="1" applyAlignment="1" applyProtection="1">
      <alignment horizontal="center" vertical="center" wrapText="1"/>
      <protection locked="0"/>
    </xf>
    <xf numFmtId="178" fontId="67" fillId="0" borderId="3" xfId="0" applyNumberFormat="1" applyFont="1" applyFill="1" applyBorder="1" applyAlignment="1" applyProtection="1">
      <alignment horizontal="center" vertical="center" wrapText="1"/>
      <protection locked="0"/>
    </xf>
    <xf numFmtId="178" fontId="12" fillId="0" borderId="16" xfId="0" applyNumberFormat="1" applyFont="1" applyFill="1" applyBorder="1" applyAlignment="1" applyProtection="1">
      <alignment horizontal="center" vertical="center" wrapText="1"/>
      <protection locked="0"/>
    </xf>
    <xf numFmtId="0" fontId="19" fillId="0" borderId="1" xfId="0" applyNumberFormat="1" applyFont="1" applyFill="1" applyBorder="1" applyAlignment="1" applyProtection="1">
      <alignment horizontal="center" vertical="center" wrapText="1" shrinkToFit="1"/>
      <protection locked="0"/>
    </xf>
    <xf numFmtId="178" fontId="71" fillId="0" borderId="1" xfId="0" applyNumberFormat="1" applyFont="1" applyFill="1" applyBorder="1" applyAlignment="1" applyProtection="1">
      <alignment horizontal="center" vertical="center" wrapText="1"/>
      <protection locked="0"/>
    </xf>
    <xf numFmtId="0" fontId="14" fillId="0" borderId="0" xfId="0" applyFont="1" applyFill="1" applyAlignment="1" applyProtection="1">
      <alignment horizontal="center" vertical="center" wrapText="1"/>
      <protection locked="0"/>
    </xf>
    <xf numFmtId="178" fontId="65" fillId="0" borderId="2" xfId="0" applyNumberFormat="1" applyFont="1" applyFill="1" applyBorder="1" applyAlignment="1" applyProtection="1">
      <alignment horizontal="center" vertical="center" wrapText="1"/>
      <protection locked="0"/>
    </xf>
    <xf numFmtId="178" fontId="19" fillId="0" borderId="2" xfId="0" applyNumberFormat="1" applyFont="1" applyFill="1" applyBorder="1" applyAlignment="1" applyProtection="1">
      <alignment horizontal="center" vertical="center" wrapText="1"/>
      <protection locked="0"/>
    </xf>
    <xf numFmtId="177" fontId="55" fillId="0" borderId="1" xfId="0" applyNumberFormat="1" applyFont="1" applyFill="1" applyBorder="1" applyAlignment="1" applyProtection="1">
      <alignment horizontal="center" vertical="center" wrapText="1" shrinkToFit="1"/>
      <protection locked="0"/>
    </xf>
    <xf numFmtId="0" fontId="72" fillId="0" borderId="1" xfId="0" applyFont="1" applyFill="1" applyBorder="1" applyAlignment="1" applyProtection="1">
      <alignment horizontal="center" vertical="center" wrapText="1" shrinkToFit="1"/>
      <protection locked="0"/>
    </xf>
    <xf numFmtId="178" fontId="56" fillId="0" borderId="1" xfId="0" applyNumberFormat="1" applyFont="1" applyFill="1" applyBorder="1" applyAlignment="1" applyProtection="1">
      <alignment horizontal="center" vertical="center" wrapText="1" shrinkToFit="1"/>
      <protection locked="0"/>
    </xf>
    <xf numFmtId="178" fontId="64" fillId="0" borderId="3" xfId="0" applyNumberFormat="1" applyFont="1" applyFill="1" applyBorder="1" applyAlignment="1" applyProtection="1">
      <alignment horizontal="center" vertical="center" wrapText="1"/>
      <protection locked="0"/>
    </xf>
    <xf numFmtId="0" fontId="55" fillId="0" borderId="1" xfId="0" applyFont="1" applyFill="1" applyBorder="1" applyAlignment="1" applyProtection="1">
      <alignment horizontal="center" vertical="center" wrapText="1"/>
      <protection locked="0"/>
    </xf>
    <xf numFmtId="178" fontId="55" fillId="0" borderId="16" xfId="0" applyNumberFormat="1" applyFont="1" applyFill="1" applyBorder="1" applyAlignment="1" applyProtection="1">
      <alignment horizontal="center" vertical="center" wrapText="1"/>
      <protection locked="0"/>
    </xf>
    <xf numFmtId="178" fontId="19" fillId="0" borderId="15" xfId="0" applyNumberFormat="1" applyFont="1" applyFill="1" applyBorder="1" applyAlignment="1" applyProtection="1">
      <alignment horizontal="center" vertical="center" wrapText="1"/>
      <protection locked="0"/>
    </xf>
    <xf numFmtId="0" fontId="55" fillId="0" borderId="3" xfId="0" applyFont="1" applyFill="1" applyBorder="1" applyAlignment="1" applyProtection="1">
      <alignment horizontal="center" vertical="center" wrapText="1"/>
      <protection locked="0"/>
    </xf>
    <xf numFmtId="178" fontId="73" fillId="0" borderId="2" xfId="0" applyNumberFormat="1" applyFont="1" applyFill="1" applyBorder="1" applyAlignment="1" applyProtection="1">
      <alignment horizontal="center" vertical="center" wrapText="1"/>
      <protection locked="0"/>
    </xf>
    <xf numFmtId="177" fontId="74" fillId="0" borderId="1" xfId="0" applyNumberFormat="1" applyFont="1" applyFill="1" applyBorder="1" applyAlignment="1" applyProtection="1">
      <alignment horizontal="center" vertical="center" wrapText="1" shrinkToFit="1"/>
      <protection locked="0"/>
    </xf>
    <xf numFmtId="178" fontId="75" fillId="0" borderId="1" xfId="0" applyNumberFormat="1" applyFont="1" applyFill="1" applyBorder="1" applyAlignment="1" applyProtection="1">
      <alignment horizontal="center" vertical="center" wrapText="1"/>
      <protection locked="0"/>
    </xf>
    <xf numFmtId="177" fontId="76" fillId="0" borderId="1" xfId="0" applyNumberFormat="1" applyFont="1" applyFill="1" applyBorder="1" applyAlignment="1" applyProtection="1">
      <alignment horizontal="center" vertical="center" wrapText="1" shrinkToFit="1"/>
      <protection locked="0"/>
    </xf>
    <xf numFmtId="0" fontId="77" fillId="0" borderId="1" xfId="0" applyFont="1" applyFill="1" applyBorder="1" applyAlignment="1" applyProtection="1">
      <alignment horizontal="center" vertical="center" wrapText="1" shrinkToFit="1"/>
      <protection locked="0"/>
    </xf>
    <xf numFmtId="0" fontId="78" fillId="0" borderId="1" xfId="0" applyNumberFormat="1" applyFont="1" applyFill="1" applyBorder="1" applyAlignment="1" applyProtection="1">
      <alignment horizontal="center" vertical="center" wrapText="1"/>
      <protection locked="0"/>
    </xf>
    <xf numFmtId="178" fontId="55" fillId="0" borderId="2" xfId="0" applyNumberFormat="1" applyFont="1" applyFill="1" applyBorder="1" applyAlignment="1" applyProtection="1">
      <alignment horizontal="center" vertical="center" wrapText="1"/>
      <protection locked="0"/>
    </xf>
    <xf numFmtId="178" fontId="53" fillId="0" borderId="3" xfId="0" applyNumberFormat="1" applyFont="1" applyFill="1" applyBorder="1" applyAlignment="1" applyProtection="1">
      <alignment horizontal="center" vertical="center" wrapText="1"/>
      <protection locked="0"/>
    </xf>
    <xf numFmtId="178" fontId="79" fillId="0" borderId="1" xfId="0" applyNumberFormat="1" applyFont="1" applyFill="1" applyBorder="1" applyAlignment="1" applyProtection="1">
      <alignment horizontal="center" vertical="center" wrapText="1"/>
      <protection locked="0"/>
    </xf>
    <xf numFmtId="0" fontId="64" fillId="0" borderId="1" xfId="0" applyFont="1" applyFill="1" applyBorder="1" applyAlignment="1" applyProtection="1">
      <alignment horizontal="center" vertical="center" wrapText="1"/>
      <protection locked="0"/>
    </xf>
    <xf numFmtId="178" fontId="53" fillId="0" borderId="1" xfId="0" applyNumberFormat="1" applyFont="1" applyFill="1" applyBorder="1" applyAlignment="1">
      <alignment horizontal="center" vertical="center" wrapText="1"/>
    </xf>
    <xf numFmtId="180" fontId="21" fillId="2" borderId="1" xfId="0" applyNumberFormat="1" applyFont="1" applyFill="1" applyBorder="1" applyAlignment="1" applyProtection="1">
      <alignment horizontal="center" vertical="center"/>
      <protection locked="0"/>
    </xf>
    <xf numFmtId="178" fontId="2" fillId="0" borderId="1" xfId="0" applyNumberFormat="1" applyFont="1" applyFill="1" applyBorder="1" applyAlignment="1" applyProtection="1">
      <alignment horizontal="center" vertical="center" wrapText="1" shrinkToFit="1"/>
      <protection locked="0"/>
    </xf>
    <xf numFmtId="178" fontId="12" fillId="0" borderId="3" xfId="0" applyNumberFormat="1" applyFont="1" applyFill="1" applyBorder="1" applyAlignment="1" applyProtection="1">
      <alignment horizontal="center" vertical="center" wrapText="1"/>
      <protection locked="0"/>
    </xf>
    <xf numFmtId="178" fontId="80" fillId="0" borderId="1" xfId="0" applyNumberFormat="1" applyFont="1" applyFill="1" applyBorder="1" applyAlignment="1" applyProtection="1">
      <alignment horizontal="center" vertical="center" wrapText="1"/>
      <protection locked="0"/>
    </xf>
    <xf numFmtId="0" fontId="12" fillId="12" borderId="1" xfId="0" applyNumberFormat="1" applyFont="1" applyFill="1" applyBorder="1" applyAlignment="1" applyProtection="1">
      <alignment horizontal="center" vertical="center" wrapText="1"/>
      <protection locked="0"/>
    </xf>
    <xf numFmtId="178" fontId="51" fillId="0" borderId="2" xfId="0" applyNumberFormat="1" applyFont="1" applyFill="1" applyBorder="1" applyAlignment="1" applyProtection="1">
      <alignment horizontal="center" vertical="center" wrapText="1"/>
      <protection locked="0"/>
    </xf>
    <xf numFmtId="0" fontId="65" fillId="0" borderId="1" xfId="0" applyFont="1" applyFill="1" applyBorder="1" applyAlignment="1" applyProtection="1" quotePrefix="1">
      <alignment horizontal="center" vertical="center" wrapText="1" shrinkToFit="1"/>
      <protection locked="0"/>
    </xf>
    <xf numFmtId="0" fontId="19" fillId="0" borderId="1" xfId="0" applyFont="1" applyFill="1" applyBorder="1" applyAlignment="1" applyProtection="1" quotePrefix="1">
      <alignment horizontal="center" vertical="center" wrapText="1" shrinkToFit="1"/>
      <protection locked="0"/>
    </xf>
    <xf numFmtId="0" fontId="20" fillId="0" borderId="1" xfId="0" applyFont="1" applyFill="1" applyBorder="1" applyAlignment="1" applyProtection="1" quotePrefix="1">
      <alignment horizontal="center" vertical="center" wrapText="1" shrinkToFit="1"/>
      <protection locked="0"/>
    </xf>
    <xf numFmtId="0" fontId="19" fillId="0" borderId="1" xfId="0" applyFont="1" applyFill="1" applyBorder="1" applyAlignment="1" applyProtection="1" quotePrefix="1">
      <alignment horizontal="center" vertical="center" wrapText="1"/>
      <protection locked="0"/>
    </xf>
    <xf numFmtId="0" fontId="20" fillId="0" borderId="1" xfId="0" applyFont="1" applyFill="1" applyBorder="1" applyAlignment="1" applyProtection="1" quotePrefix="1">
      <alignment horizontal="center" vertical="center" wrapText="1"/>
      <protection locked="0"/>
    </xf>
    <xf numFmtId="0" fontId="15" fillId="0" borderId="4" xfId="0" applyFont="1" applyFill="1" applyBorder="1" applyAlignment="1" applyProtection="1" quotePrefix="1">
      <alignment horizontal="center" vertical="center" wrapText="1" shrinkToFit="1"/>
      <protection locked="0"/>
    </xf>
    <xf numFmtId="0" fontId="9" fillId="0" borderId="1" xfId="0" applyFont="1" applyFill="1" applyBorder="1" applyAlignment="1" quotePrefix="1">
      <alignment horizontal="center" vertical="center" wrapText="1" shrinkToFi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2" xfId="49"/>
    <cellStyle name="千位分隔 5" xfId="50"/>
    <cellStyle name="常规_MA Inventory list" xfId="51"/>
    <cellStyle name="常规 5 6" xfId="52"/>
    <cellStyle name="常规_87000-0001 MSU 5'' Talking Figure-Mike 电子报价BOM_15-11-2011" xfId="53"/>
    <cellStyle name="常规 2" xfId="54"/>
  </cellStyles>
  <dxfs count="4">
    <dxf>
      <font>
        <color rgb="FF9C0006"/>
      </font>
      <fill>
        <patternFill patternType="solid">
          <bgColor rgb="FFFFC7CE"/>
        </patternFill>
      </fill>
    </dxf>
    <dxf>
      <fill>
        <patternFill patternType="solid">
          <bgColor rgb="FFFFC7CE"/>
        </patternFill>
      </fill>
    </dxf>
    <dxf>
      <font>
        <color rgb="FFD73434"/>
      </font>
      <fill>
        <patternFill patternType="solid">
          <bgColor rgb="FFFEC8CE"/>
        </patternFill>
      </fill>
    </dxf>
    <dxf>
      <fill>
        <patternFill patternType="solid">
          <fgColor rgb="FFFFFF00"/>
          <bgColor rgb="FF000000"/>
        </patternFill>
      </fill>
    </dxf>
  </dxfs>
  <tableStyles count="0" defaultTableStyle="TableStyleMedium2" defaultPivotStyle="PivotStyleLight16"/>
  <colors>
    <mruColors>
      <color rgb="001506E0"/>
      <color rgb="00F7241F"/>
      <color rgb="00F323E7"/>
      <color rgb="000FB7FD"/>
      <color rgb="001C05ED"/>
      <color rgb="00000000"/>
      <color rgb="0000B0F0"/>
      <color rgb="000000FF"/>
      <color rgb="00FF0000"/>
      <color rgb="00FFFF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2385" dbFileVersion="0" changeLogVersion="0">
    <open main="185" threadCnt="1"/>
    <sheetInfos>
      <sheetInfo cellCmpFml="1209" sheetStid="5">
        <open main="82" threadCnt="1"/>
      </sheetInfo>
      <sheetInfo cellCmpFml="557" sheetStid="1">
        <open main="35" threadCnt="1"/>
      </sheetInfo>
      <sheetInfo cellCmpFml="189" sheetStid="6">
        <open main="5" threadCnt="1"/>
      </sheetInfo>
      <sheetInfo cellCmpFml="54" sheetStid="2">
        <open main="1" threadCnt="1"/>
      </sheetInfo>
      <sheetInfo cellCmpFml="168" sheetStid="3">
        <open main="3" threadCnt="1"/>
      </sheetInfo>
      <sheetInfo cellCmpFml="208" sheetStid="4">
        <open main="3" threadCnt="1"/>
      </sheetInfo>
      <sheetInfo cellCmpFml="0" sheetStid="7">
        <open threadCnt="1"/>
      </sheetInfo>
    </sheetInfos>
  </bookInfo>
</woInfos>
</file>

<file path=xl/_rels/cellimages.xml.rels><?xml version="1.0" encoding="UTF-8" standalone="yes"?>
<Relationships xmlns="http://schemas.openxmlformats.org/package/2006/relationships"><Relationship Id="rId7" Type="http://schemas.openxmlformats.org/officeDocument/2006/relationships/image" Target="media/image16.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www.wps.cn/officeDocument/2023/relationships/woinfos" Target="woinfos.xml"/><Relationship Id="rId16" Type="http://schemas.openxmlformats.org/officeDocument/2006/relationships/styles" Target="styles.xml"/><Relationship Id="rId15" Type="http://schemas.openxmlformats.org/officeDocument/2006/relationships/customXml" Target="../customXml/item5.xml"/><Relationship Id="rId14" Type="http://schemas.openxmlformats.org/officeDocument/2006/relationships/customXml" Target="../customXml/item4.xml"/><Relationship Id="rId13" Type="http://schemas.openxmlformats.org/officeDocument/2006/relationships/customXml" Target="../customXml/item3.xml"/><Relationship Id="rId12" Type="http://www.wps.cn/officeDocument/2020/cellImage" Target="cellimag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7" Type="http://schemas.openxmlformats.org/officeDocument/2006/relationships/image" Target="../media/image16.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90805</xdr:colOff>
      <xdr:row>0</xdr:row>
      <xdr:rowOff>635</xdr:rowOff>
    </xdr:from>
    <xdr:to>
      <xdr:col>13</xdr:col>
      <xdr:colOff>533400</xdr:colOff>
      <xdr:row>0</xdr:row>
      <xdr:rowOff>279400</xdr:rowOff>
    </xdr:to>
    <xdr:pic>
      <xdr:nvPicPr>
        <xdr:cNvPr id="2" name="图片 1"/>
        <xdr:cNvPicPr>
          <a:picLocks noChangeAspect="1"/>
        </xdr:cNvPicPr>
      </xdr:nvPicPr>
      <xdr:blipFill>
        <a:blip r:embed="rId1"/>
        <a:stretch>
          <a:fillRect/>
        </a:stretch>
      </xdr:blipFill>
      <xdr:spPr>
        <a:xfrm>
          <a:off x="10639425" y="635"/>
          <a:ext cx="442595" cy="278765"/>
        </a:xfrm>
        <a:prstGeom prst="rect">
          <a:avLst/>
        </a:prstGeom>
      </xdr:spPr>
    </xdr:pic>
    <xdr:clientData/>
  </xdr:twoCellAnchor>
  <xdr:twoCellAnchor editAs="oneCell">
    <xdr:from>
      <xdr:col>14</xdr:col>
      <xdr:colOff>109220</xdr:colOff>
      <xdr:row>0</xdr:row>
      <xdr:rowOff>635</xdr:rowOff>
    </xdr:from>
    <xdr:to>
      <xdr:col>14</xdr:col>
      <xdr:colOff>549910</xdr:colOff>
      <xdr:row>0</xdr:row>
      <xdr:rowOff>259715</xdr:rowOff>
    </xdr:to>
    <xdr:pic>
      <xdr:nvPicPr>
        <xdr:cNvPr id="3" name="图片 2"/>
        <xdr:cNvPicPr>
          <a:picLocks noChangeAspect="1"/>
        </xdr:cNvPicPr>
      </xdr:nvPicPr>
      <xdr:blipFill>
        <a:blip r:embed="rId2"/>
        <a:stretch>
          <a:fillRect/>
        </a:stretch>
      </xdr:blipFill>
      <xdr:spPr>
        <a:xfrm>
          <a:off x="11446510" y="635"/>
          <a:ext cx="440690" cy="259080"/>
        </a:xfrm>
        <a:prstGeom prst="rect">
          <a:avLst/>
        </a:prstGeom>
      </xdr:spPr>
    </xdr:pic>
    <xdr:clientData/>
  </xdr:twoCellAnchor>
  <xdr:twoCellAnchor editAs="oneCell">
    <xdr:from>
      <xdr:col>12</xdr:col>
      <xdr:colOff>154940</xdr:colOff>
      <xdr:row>0</xdr:row>
      <xdr:rowOff>635</xdr:rowOff>
    </xdr:from>
    <xdr:to>
      <xdr:col>12</xdr:col>
      <xdr:colOff>555625</xdr:colOff>
      <xdr:row>0</xdr:row>
      <xdr:rowOff>298450</xdr:rowOff>
    </xdr:to>
    <xdr:pic>
      <xdr:nvPicPr>
        <xdr:cNvPr id="4" name="图片 3"/>
        <xdr:cNvPicPr>
          <a:picLocks noChangeAspect="1"/>
        </xdr:cNvPicPr>
      </xdr:nvPicPr>
      <xdr:blipFill>
        <a:blip r:embed="rId3"/>
        <a:stretch>
          <a:fillRect/>
        </a:stretch>
      </xdr:blipFill>
      <xdr:spPr>
        <a:xfrm>
          <a:off x="9914890" y="635"/>
          <a:ext cx="400685" cy="297815"/>
        </a:xfrm>
        <a:prstGeom prst="rect">
          <a:avLst/>
        </a:prstGeom>
      </xdr:spPr>
    </xdr:pic>
    <xdr:clientData/>
  </xdr:twoCellAnchor>
  <xdr:twoCellAnchor editAs="oneCell">
    <xdr:from>
      <xdr:col>11</xdr:col>
      <xdr:colOff>192405</xdr:colOff>
      <xdr:row>0</xdr:row>
      <xdr:rowOff>635</xdr:rowOff>
    </xdr:from>
    <xdr:to>
      <xdr:col>11</xdr:col>
      <xdr:colOff>593725</xdr:colOff>
      <xdr:row>0</xdr:row>
      <xdr:rowOff>302895</xdr:rowOff>
    </xdr:to>
    <xdr:pic>
      <xdr:nvPicPr>
        <xdr:cNvPr id="5" name="图片 4"/>
        <xdr:cNvPicPr>
          <a:picLocks noChangeAspect="1"/>
        </xdr:cNvPicPr>
      </xdr:nvPicPr>
      <xdr:blipFill>
        <a:blip r:embed="rId4"/>
        <a:stretch>
          <a:fillRect/>
        </a:stretch>
      </xdr:blipFill>
      <xdr:spPr>
        <a:xfrm>
          <a:off x="9163685" y="635"/>
          <a:ext cx="401320" cy="302260"/>
        </a:xfrm>
        <a:prstGeom prst="rect">
          <a:avLst/>
        </a:prstGeom>
      </xdr:spPr>
    </xdr:pic>
    <xdr:clientData/>
  </xdr:twoCellAnchor>
  <xdr:twoCellAnchor editAs="oneCell">
    <xdr:from>
      <xdr:col>10</xdr:col>
      <xdr:colOff>104140</xdr:colOff>
      <xdr:row>0</xdr:row>
      <xdr:rowOff>635</xdr:rowOff>
    </xdr:from>
    <xdr:to>
      <xdr:col>10</xdr:col>
      <xdr:colOff>439420</xdr:colOff>
      <xdr:row>0</xdr:row>
      <xdr:rowOff>272415</xdr:rowOff>
    </xdr:to>
    <xdr:pic>
      <xdr:nvPicPr>
        <xdr:cNvPr id="6" name="图片 5"/>
        <xdr:cNvPicPr>
          <a:picLocks noChangeAspect="1"/>
        </xdr:cNvPicPr>
      </xdr:nvPicPr>
      <xdr:blipFill>
        <a:blip r:embed="rId5"/>
        <a:stretch>
          <a:fillRect/>
        </a:stretch>
      </xdr:blipFill>
      <xdr:spPr>
        <a:xfrm>
          <a:off x="8286750" y="635"/>
          <a:ext cx="335280" cy="271780"/>
        </a:xfrm>
        <a:prstGeom prst="rect">
          <a:avLst/>
        </a:prstGeom>
      </xdr:spPr>
    </xdr:pic>
    <xdr:clientData/>
  </xdr:twoCellAnchor>
  <xdr:twoCellAnchor editAs="oneCell">
    <xdr:from>
      <xdr:col>9</xdr:col>
      <xdr:colOff>154940</xdr:colOff>
      <xdr:row>0</xdr:row>
      <xdr:rowOff>63500</xdr:rowOff>
    </xdr:from>
    <xdr:to>
      <xdr:col>9</xdr:col>
      <xdr:colOff>549910</xdr:colOff>
      <xdr:row>0</xdr:row>
      <xdr:rowOff>321310</xdr:rowOff>
    </xdr:to>
    <xdr:pic>
      <xdr:nvPicPr>
        <xdr:cNvPr id="7" name="图片 6"/>
        <xdr:cNvPicPr>
          <a:picLocks noChangeAspect="1"/>
        </xdr:cNvPicPr>
      </xdr:nvPicPr>
      <xdr:blipFill>
        <a:blip r:embed="rId6"/>
        <a:stretch>
          <a:fillRect/>
        </a:stretch>
      </xdr:blipFill>
      <xdr:spPr>
        <a:xfrm>
          <a:off x="7548880" y="63500"/>
          <a:ext cx="394970" cy="257810"/>
        </a:xfrm>
        <a:prstGeom prst="rect">
          <a:avLst/>
        </a:prstGeom>
      </xdr:spPr>
    </xdr:pic>
    <xdr:clientData/>
  </xdr:twoCellAnchor>
  <xdr:twoCellAnchor editAs="oneCell">
    <xdr:from>
      <xdr:col>8</xdr:col>
      <xdr:colOff>73660</xdr:colOff>
      <xdr:row>0</xdr:row>
      <xdr:rowOff>635</xdr:rowOff>
    </xdr:from>
    <xdr:to>
      <xdr:col>8</xdr:col>
      <xdr:colOff>605790</xdr:colOff>
      <xdr:row>0</xdr:row>
      <xdr:rowOff>320675</xdr:rowOff>
    </xdr:to>
    <xdr:pic>
      <xdr:nvPicPr>
        <xdr:cNvPr id="8" name="图片 7"/>
        <xdr:cNvPicPr>
          <a:picLocks noChangeAspect="1"/>
        </xdr:cNvPicPr>
      </xdr:nvPicPr>
      <xdr:blipFill>
        <a:blip r:embed="rId7"/>
        <a:stretch>
          <a:fillRect/>
        </a:stretch>
      </xdr:blipFill>
      <xdr:spPr>
        <a:xfrm>
          <a:off x="6678930" y="635"/>
          <a:ext cx="532130" cy="320040"/>
        </a:xfrm>
        <a:prstGeom prst="rect">
          <a:avLst/>
        </a:prstGeom>
      </xdr:spPr>
    </xdr:pic>
    <xdr:clientData/>
  </xdr:twoCellAnchor>
  <xdr:twoCellAnchor editAs="oneCell">
    <xdr:from>
      <xdr:col>7</xdr:col>
      <xdr:colOff>240665</xdr:colOff>
      <xdr:row>0</xdr:row>
      <xdr:rowOff>635</xdr:rowOff>
    </xdr:from>
    <xdr:to>
      <xdr:col>7</xdr:col>
      <xdr:colOff>687705</xdr:colOff>
      <xdr:row>0</xdr:row>
      <xdr:rowOff>296545</xdr:rowOff>
    </xdr:to>
    <xdr:pic>
      <xdr:nvPicPr>
        <xdr:cNvPr id="9" name="图片 8"/>
        <xdr:cNvPicPr>
          <a:picLocks noChangeAspect="1"/>
        </xdr:cNvPicPr>
      </xdr:nvPicPr>
      <xdr:blipFill>
        <a:blip r:embed="rId8"/>
        <a:stretch>
          <a:fillRect/>
        </a:stretch>
      </xdr:blipFill>
      <xdr:spPr>
        <a:xfrm>
          <a:off x="6057265" y="635"/>
          <a:ext cx="447040" cy="295910"/>
        </a:xfrm>
        <a:prstGeom prst="rect">
          <a:avLst/>
        </a:prstGeom>
      </xdr:spPr>
    </xdr:pic>
    <xdr:clientData/>
  </xdr:twoCellAnchor>
  <xdr:twoCellAnchor editAs="oneCell">
    <xdr:from>
      <xdr:col>6</xdr:col>
      <xdr:colOff>222885</xdr:colOff>
      <xdr:row>0</xdr:row>
      <xdr:rowOff>635</xdr:rowOff>
    </xdr:from>
    <xdr:to>
      <xdr:col>6</xdr:col>
      <xdr:colOff>566420</xdr:colOff>
      <xdr:row>0</xdr:row>
      <xdr:rowOff>300990</xdr:rowOff>
    </xdr:to>
    <xdr:pic>
      <xdr:nvPicPr>
        <xdr:cNvPr id="10" name="图片 9"/>
        <xdr:cNvPicPr>
          <a:picLocks noChangeAspect="1"/>
        </xdr:cNvPicPr>
      </xdr:nvPicPr>
      <xdr:blipFill>
        <a:blip r:embed="rId9"/>
        <a:stretch>
          <a:fillRect/>
        </a:stretch>
      </xdr:blipFill>
      <xdr:spPr>
        <a:xfrm>
          <a:off x="5250815" y="635"/>
          <a:ext cx="343535" cy="30035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119380</xdr:colOff>
      <xdr:row>2</xdr:row>
      <xdr:rowOff>152400</xdr:rowOff>
    </xdr:to>
    <xdr:pic>
      <xdr:nvPicPr>
        <xdr:cNvPr id="8" name="ID_95A1E42B117A437B8FC0B90EA3C2F77F" descr="post_object_image_2077275976"/>
        <xdr:cNvPicPr/>
      </xdr:nvPicPr>
      <xdr:blipFill>
        <a:blip r:embed="rId1"/>
        <a:stretch>
          <a:fillRect/>
        </a:stretch>
      </xdr:blipFill>
      <xdr:spPr>
        <a:xfrm>
          <a:off x="0" y="0"/>
          <a:ext cx="1490980" cy="495300"/>
        </a:xfrm>
        <a:prstGeom prst="rect">
          <a:avLst/>
        </a:prstGeom>
      </xdr:spPr>
    </xdr:pic>
    <xdr:clientData/>
  </xdr:twoCellAnchor>
  <xdr:twoCellAnchor editAs="oneCell">
    <xdr:from>
      <xdr:col>0</xdr:col>
      <xdr:colOff>0</xdr:colOff>
      <xdr:row>0</xdr:row>
      <xdr:rowOff>0</xdr:rowOff>
    </xdr:from>
    <xdr:to>
      <xdr:col>2</xdr:col>
      <xdr:colOff>119380</xdr:colOff>
      <xdr:row>2</xdr:row>
      <xdr:rowOff>152400</xdr:rowOff>
    </xdr:to>
    <xdr:pic>
      <xdr:nvPicPr>
        <xdr:cNvPr id="9" name="ID_107C29F80CE74A91A3A63E05F8A2AD2F" descr="post_object_image_3568072083"/>
        <xdr:cNvPicPr/>
      </xdr:nvPicPr>
      <xdr:blipFill>
        <a:blip r:embed="rId1"/>
        <a:stretch>
          <a:fillRect/>
        </a:stretch>
      </xdr:blipFill>
      <xdr:spPr>
        <a:xfrm>
          <a:off x="0" y="0"/>
          <a:ext cx="1490980" cy="495300"/>
        </a:xfrm>
        <a:prstGeom prst="rect">
          <a:avLst/>
        </a:prstGeom>
      </xdr:spPr>
    </xdr:pic>
    <xdr:clientData/>
  </xdr:twoCellAnchor>
  <xdr:twoCellAnchor editAs="oneCell">
    <xdr:from>
      <xdr:col>0</xdr:col>
      <xdr:colOff>0</xdr:colOff>
      <xdr:row>0</xdr:row>
      <xdr:rowOff>0</xdr:rowOff>
    </xdr:from>
    <xdr:to>
      <xdr:col>2</xdr:col>
      <xdr:colOff>119380</xdr:colOff>
      <xdr:row>2</xdr:row>
      <xdr:rowOff>152400</xdr:rowOff>
    </xdr:to>
    <xdr:pic>
      <xdr:nvPicPr>
        <xdr:cNvPr id="10" name="ID_72A44C10A37D4386856AB3FB4C996C21" descr="post_object_image_1622484266"/>
        <xdr:cNvPicPr/>
      </xdr:nvPicPr>
      <xdr:blipFill>
        <a:blip r:embed="rId1"/>
        <a:stretch>
          <a:fillRect/>
        </a:stretch>
      </xdr:blipFill>
      <xdr:spPr>
        <a:xfrm>
          <a:off x="0" y="0"/>
          <a:ext cx="1490980" cy="495300"/>
        </a:xfrm>
        <a:prstGeom prst="rect">
          <a:avLst/>
        </a:prstGeom>
      </xdr:spPr>
    </xdr:pic>
    <xdr:clientData/>
  </xdr:twoCellAnchor>
  <xdr:twoCellAnchor editAs="oneCell">
    <xdr:from>
      <xdr:col>0</xdr:col>
      <xdr:colOff>0</xdr:colOff>
      <xdr:row>0</xdr:row>
      <xdr:rowOff>0</xdr:rowOff>
    </xdr:from>
    <xdr:to>
      <xdr:col>2</xdr:col>
      <xdr:colOff>119380</xdr:colOff>
      <xdr:row>2</xdr:row>
      <xdr:rowOff>152400</xdr:rowOff>
    </xdr:to>
    <xdr:pic>
      <xdr:nvPicPr>
        <xdr:cNvPr id="11" name="ID_98318259577C4B108CFE6665BD612EA0" descr="post_object_image_939659003"/>
        <xdr:cNvPicPr/>
      </xdr:nvPicPr>
      <xdr:blipFill>
        <a:blip r:embed="rId2"/>
        <a:stretch>
          <a:fillRect/>
        </a:stretch>
      </xdr:blipFill>
      <xdr:spPr>
        <a:xfrm>
          <a:off x="0" y="0"/>
          <a:ext cx="1490980" cy="495300"/>
        </a:xfrm>
        <a:prstGeom prst="rect">
          <a:avLst/>
        </a:prstGeom>
      </xdr:spPr>
    </xdr:pic>
    <xdr:clientData/>
  </xdr:twoCellAnchor>
  <xdr:twoCellAnchor editAs="oneCell">
    <xdr:from>
      <xdr:col>0</xdr:col>
      <xdr:colOff>0</xdr:colOff>
      <xdr:row>0</xdr:row>
      <xdr:rowOff>0</xdr:rowOff>
    </xdr:from>
    <xdr:to>
      <xdr:col>2</xdr:col>
      <xdr:colOff>119380</xdr:colOff>
      <xdr:row>2</xdr:row>
      <xdr:rowOff>152400</xdr:rowOff>
    </xdr:to>
    <xdr:pic>
      <xdr:nvPicPr>
        <xdr:cNvPr id="12" name="ID_0D88EBC9838241A5925F16A7BCED0E17" descr="post_object_image_2712913276"/>
        <xdr:cNvPicPr/>
      </xdr:nvPicPr>
      <xdr:blipFill>
        <a:blip r:embed="rId3"/>
        <a:stretch>
          <a:fillRect/>
        </a:stretch>
      </xdr:blipFill>
      <xdr:spPr>
        <a:xfrm>
          <a:off x="0" y="0"/>
          <a:ext cx="1490980" cy="495300"/>
        </a:xfrm>
        <a:prstGeom prst="rect">
          <a:avLst/>
        </a:prstGeom>
      </xdr:spPr>
    </xdr:pic>
    <xdr:clientData/>
  </xdr:twoCellAnchor>
  <xdr:twoCellAnchor editAs="oneCell">
    <xdr:from>
      <xdr:col>0</xdr:col>
      <xdr:colOff>0</xdr:colOff>
      <xdr:row>0</xdr:row>
      <xdr:rowOff>0</xdr:rowOff>
    </xdr:from>
    <xdr:to>
      <xdr:col>2</xdr:col>
      <xdr:colOff>119380</xdr:colOff>
      <xdr:row>2</xdr:row>
      <xdr:rowOff>152400</xdr:rowOff>
    </xdr:to>
    <xdr:pic>
      <xdr:nvPicPr>
        <xdr:cNvPr id="13" name="ID_994D91EAAAC1400A9591852D25976B5E" descr="post_object_image_3020460191"/>
        <xdr:cNvPicPr/>
      </xdr:nvPicPr>
      <xdr:blipFill>
        <a:blip r:embed="rId4"/>
        <a:stretch>
          <a:fillRect/>
        </a:stretch>
      </xdr:blipFill>
      <xdr:spPr>
        <a:xfrm>
          <a:off x="0" y="0"/>
          <a:ext cx="1490980" cy="495300"/>
        </a:xfrm>
        <a:prstGeom prst="rect">
          <a:avLst/>
        </a:prstGeom>
      </xdr:spPr>
    </xdr:pic>
    <xdr:clientData/>
  </xdr:twoCellAnchor>
  <xdr:twoCellAnchor editAs="oneCell">
    <xdr:from>
      <xdr:col>0</xdr:col>
      <xdr:colOff>0</xdr:colOff>
      <xdr:row>0</xdr:row>
      <xdr:rowOff>0</xdr:rowOff>
    </xdr:from>
    <xdr:to>
      <xdr:col>2</xdr:col>
      <xdr:colOff>119380</xdr:colOff>
      <xdr:row>2</xdr:row>
      <xdr:rowOff>152400</xdr:rowOff>
    </xdr:to>
    <xdr:pic>
      <xdr:nvPicPr>
        <xdr:cNvPr id="14" name="ID_D1D05AB424154DDC8B55946A7A8767A4" descr="post_object_image_997527687"/>
        <xdr:cNvPicPr/>
      </xdr:nvPicPr>
      <xdr:blipFill>
        <a:blip r:embed="rId5"/>
        <a:stretch>
          <a:fillRect/>
        </a:stretch>
      </xdr:blipFill>
      <xdr:spPr>
        <a:xfrm>
          <a:off x="0" y="0"/>
          <a:ext cx="1490980" cy="495300"/>
        </a:xfrm>
        <a:prstGeom prst="rect">
          <a:avLst/>
        </a:prstGeom>
      </xdr:spPr>
    </xdr:pic>
    <xdr:clientData/>
  </xdr:twoCellAnchor>
  <xdr:twoCellAnchor editAs="oneCell">
    <xdr:from>
      <xdr:col>0</xdr:col>
      <xdr:colOff>0</xdr:colOff>
      <xdr:row>0</xdr:row>
      <xdr:rowOff>0</xdr:rowOff>
    </xdr:from>
    <xdr:to>
      <xdr:col>2</xdr:col>
      <xdr:colOff>119380</xdr:colOff>
      <xdr:row>2</xdr:row>
      <xdr:rowOff>152400</xdr:rowOff>
    </xdr:to>
    <xdr:pic>
      <xdr:nvPicPr>
        <xdr:cNvPr id="15" name="ID_0C2743E423E04B8C9694EEDC3E580263" descr="post_object_image_241630934"/>
        <xdr:cNvPicPr/>
      </xdr:nvPicPr>
      <xdr:blipFill>
        <a:blip r:embed="rId6"/>
        <a:stretch>
          <a:fillRect/>
        </a:stretch>
      </xdr:blipFill>
      <xdr:spPr>
        <a:xfrm>
          <a:off x="0" y="0"/>
          <a:ext cx="1490980" cy="495300"/>
        </a:xfrm>
        <a:prstGeom prst="rect">
          <a:avLst/>
        </a:prstGeom>
      </xdr:spPr>
    </xdr:pic>
    <xdr:clientData/>
  </xdr:twoCellAnchor>
  <xdr:twoCellAnchor editAs="oneCell">
    <xdr:from>
      <xdr:col>0</xdr:col>
      <xdr:colOff>0</xdr:colOff>
      <xdr:row>0</xdr:row>
      <xdr:rowOff>0</xdr:rowOff>
    </xdr:from>
    <xdr:to>
      <xdr:col>2</xdr:col>
      <xdr:colOff>119380</xdr:colOff>
      <xdr:row>2</xdr:row>
      <xdr:rowOff>161925</xdr:rowOff>
    </xdr:to>
    <xdr:pic>
      <xdr:nvPicPr>
        <xdr:cNvPr id="16" name="ID_F6FDA78DA1934AE3BAD28D0E0590B4BA" descr="post_object_image_2733786242"/>
        <xdr:cNvPicPr/>
      </xdr:nvPicPr>
      <xdr:blipFill>
        <a:blip r:embed="rId7"/>
        <a:stretch>
          <a:fillRect/>
        </a:stretch>
      </xdr:blipFill>
      <xdr:spPr>
        <a:xfrm>
          <a:off x="0" y="0"/>
          <a:ext cx="1490980" cy="50482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I323"/>
  <sheetViews>
    <sheetView zoomScale="85" zoomScaleNormal="85" workbookViewId="0">
      <pane xSplit="14" ySplit="2" topLeftCell="W296" activePane="bottomRight" state="frozen"/>
      <selection/>
      <selection pane="topRight"/>
      <selection pane="bottomLeft"/>
      <selection pane="bottomRight" activeCell="W296" sqref="$A1:$XFD1048576"/>
    </sheetView>
  </sheetViews>
  <sheetFormatPr defaultColWidth="9" defaultRowHeight="13.5"/>
  <cols>
    <col min="1" max="1" width="8.19166666666667" style="229" customWidth="1"/>
    <col min="2" max="2" width="9.45" style="230" customWidth="1"/>
    <col min="3" max="3" width="9" style="230" customWidth="1"/>
    <col min="4" max="4" width="10.775" style="230" customWidth="1"/>
    <col min="5" max="5" width="13.05" style="230" customWidth="1"/>
    <col min="6" max="6" width="10.8583333333333" style="230" customWidth="1"/>
    <col min="7" max="7" width="13.5833333333333" style="230" customWidth="1"/>
    <col min="8" max="8" width="12.9666666666667" style="230" customWidth="1"/>
    <col min="9" max="9" width="8.975" style="230" customWidth="1"/>
    <col min="10" max="10" width="9" style="230"/>
    <col min="11" max="11" width="11.225" style="230" customWidth="1"/>
    <col min="12" max="12" width="9" style="230"/>
    <col min="13" max="13" width="15.35" style="230" customWidth="1"/>
    <col min="14" max="14" width="13.5083333333333" style="230" customWidth="1"/>
    <col min="15" max="15" width="10.3916666666667" style="230" customWidth="1"/>
    <col min="16" max="16" width="9" style="230"/>
    <col min="17" max="17" width="9.55" style="230" customWidth="1"/>
    <col min="18" max="18" width="10.3" style="230" customWidth="1"/>
    <col min="19" max="19" width="9" style="230"/>
    <col min="20" max="21" width="11.1583333333333" style="230" customWidth="1"/>
    <col min="22" max="22" width="45.425" style="230" customWidth="1"/>
    <col min="23" max="24" width="9" style="230" customWidth="1"/>
    <col min="25" max="25" width="12.8" style="230" customWidth="1"/>
    <col min="26" max="26" width="9" style="230" customWidth="1"/>
    <col min="27" max="28" width="9" style="230"/>
    <col min="29" max="29" width="5.58333333333333" style="230" customWidth="1"/>
    <col min="30" max="30" width="9" style="230"/>
    <col min="31" max="31" width="18.5083333333333" style="230" customWidth="1"/>
    <col min="32" max="32" width="7.01666666666667" style="230" customWidth="1"/>
    <col min="33" max="33" width="11.1833333333333" style="230" customWidth="1"/>
    <col min="34" max="36" width="7.4" style="230" customWidth="1"/>
    <col min="37" max="45" width="9" style="230"/>
    <col min="46" max="46" width="12.8" style="230"/>
    <col min="47" max="60" width="9" style="230"/>
    <col min="61" max="61" width="5.50833333333333" style="230" customWidth="1"/>
    <col min="62" max="69" width="11.1916666666667" style="230" customWidth="1"/>
    <col min="70" max="70" width="12.6166666666667" style="230" customWidth="1"/>
    <col min="71" max="71" width="7.1" style="230" customWidth="1"/>
    <col min="72" max="79" width="11.7583333333333" style="230" customWidth="1"/>
    <col min="80" max="80" width="14.9333333333333" style="230" customWidth="1"/>
    <col min="81" max="81" width="9" style="230"/>
    <col min="82" max="82" width="18.2083333333333" style="230" customWidth="1"/>
    <col min="83" max="16384" width="9" style="230"/>
  </cols>
  <sheetData>
    <row r="1" s="230" customFormat="1" ht="49" customHeight="1" spans="1:87">
      <c r="A1" s="232" t="s">
        <v>0</v>
      </c>
      <c r="B1" s="233"/>
      <c r="C1" s="234"/>
      <c r="D1" s="235"/>
      <c r="E1" s="235"/>
      <c r="F1" s="236"/>
      <c r="G1" s="237"/>
      <c r="H1" s="238" t="s">
        <v>1</v>
      </c>
      <c r="I1" s="239"/>
      <c r="J1" s="240"/>
      <c r="K1" s="240"/>
      <c r="L1" s="240"/>
      <c r="M1" s="240"/>
      <c r="N1" s="240"/>
      <c r="O1" s="241"/>
      <c r="P1" s="234"/>
      <c r="Q1" s="234"/>
      <c r="R1" s="240"/>
      <c r="S1" s="240"/>
      <c r="T1" s="241"/>
      <c r="U1" s="241"/>
      <c r="V1" s="375"/>
      <c r="AA1" s="234"/>
      <c r="AB1" s="234"/>
      <c r="AC1" s="234"/>
      <c r="AD1" s="234"/>
      <c r="AH1" s="255" t="s">
        <v>2</v>
      </c>
      <c r="AI1" s="255"/>
      <c r="AJ1" s="255"/>
      <c r="AK1" s="243" t="s">
        <v>3</v>
      </c>
      <c r="AL1" s="244"/>
      <c r="AM1" s="376"/>
      <c r="AN1" s="243" t="s">
        <v>4</v>
      </c>
      <c r="AO1" s="376"/>
      <c r="AP1" s="377" t="s">
        <v>5</v>
      </c>
      <c r="AQ1" s="243" t="s">
        <v>6</v>
      </c>
      <c r="AR1" s="244"/>
      <c r="AS1" s="376"/>
      <c r="AT1" s="246" t="s">
        <v>7</v>
      </c>
      <c r="AU1" s="246"/>
      <c r="AV1" s="246" t="s">
        <v>8</v>
      </c>
      <c r="AW1" s="246" t="s">
        <v>9</v>
      </c>
      <c r="AX1" s="243" t="s">
        <v>10</v>
      </c>
      <c r="AY1" s="376"/>
      <c r="AZ1" s="246" t="s">
        <v>11</v>
      </c>
      <c r="BA1" s="246"/>
      <c r="BB1" s="246"/>
      <c r="BC1" s="246" t="s">
        <v>12</v>
      </c>
      <c r="BD1" s="246"/>
      <c r="BE1" s="246"/>
      <c r="BF1" s="247" t="s">
        <v>13</v>
      </c>
      <c r="BG1" s="247"/>
      <c r="BH1" s="247"/>
      <c r="BJ1" s="248" t="s">
        <v>14</v>
      </c>
      <c r="BK1" s="248" t="s">
        <v>15</v>
      </c>
      <c r="BL1" s="248" t="s">
        <v>16</v>
      </c>
      <c r="BM1" s="248" t="s">
        <v>17</v>
      </c>
      <c r="BN1" s="248" t="s">
        <v>18</v>
      </c>
      <c r="BO1" s="248" t="s">
        <v>19</v>
      </c>
      <c r="BP1" s="248" t="s">
        <v>20</v>
      </c>
      <c r="BQ1" s="248" t="s">
        <v>21</v>
      </c>
      <c r="BR1" s="248" t="s">
        <v>22</v>
      </c>
      <c r="BT1" s="261" t="str">
        <f>生产MA!G4</f>
        <v>腕龙</v>
      </c>
      <c r="BU1" s="261" t="str">
        <f>生产MA!H4</f>
        <v>双脊龙</v>
      </c>
      <c r="BV1" s="261" t="str">
        <f>生产MA!I4</f>
        <v>镰刀龙</v>
      </c>
      <c r="BW1" s="261" t="str">
        <f>生产MA!J4</f>
        <v>甲龙</v>
      </c>
      <c r="BX1" s="261" t="str">
        <f>生产MA!K4</f>
        <v>戟龙</v>
      </c>
      <c r="BY1" s="261" t="str">
        <f>生产MA!L4</f>
        <v>棘龙</v>
      </c>
      <c r="BZ1" s="261" t="str">
        <f>生产MA!M4</f>
        <v>沧龙</v>
      </c>
      <c r="CA1" s="261" t="str">
        <f>生产MA!N4</f>
        <v>霸王龙</v>
      </c>
      <c r="CB1" s="261" t="str">
        <f>生产MA!O4</f>
        <v>特殊款霸王龙</v>
      </c>
    </row>
    <row r="2" s="230" customFormat="1" ht="30" customHeight="1" spans="1:87">
      <c r="A2" s="251" t="s">
        <v>23</v>
      </c>
      <c r="B2" s="252" t="s">
        <v>24</v>
      </c>
      <c r="C2" s="252" t="s">
        <v>25</v>
      </c>
      <c r="D2" s="253" t="s">
        <v>26</v>
      </c>
      <c r="E2" s="252" t="s">
        <v>27</v>
      </c>
      <c r="F2" s="253" t="s">
        <v>28</v>
      </c>
      <c r="G2" s="253" t="s">
        <v>29</v>
      </c>
      <c r="H2" s="252" t="s">
        <v>30</v>
      </c>
      <c r="I2" s="254" t="s">
        <v>31</v>
      </c>
      <c r="J2" s="252" t="s">
        <v>32</v>
      </c>
      <c r="K2" s="252" t="s">
        <v>33</v>
      </c>
      <c r="L2" s="252" t="s">
        <v>34</v>
      </c>
      <c r="M2" s="255" t="s">
        <v>35</v>
      </c>
      <c r="N2" s="255" t="s">
        <v>36</v>
      </c>
      <c r="O2" s="256" t="s">
        <v>37</v>
      </c>
      <c r="P2" s="252" t="s">
        <v>38</v>
      </c>
      <c r="Q2" s="252" t="s">
        <v>39</v>
      </c>
      <c r="R2" s="252" t="s">
        <v>40</v>
      </c>
      <c r="S2" s="252" t="s">
        <v>41</v>
      </c>
      <c r="T2" s="256" t="s">
        <v>42</v>
      </c>
      <c r="U2" s="256" t="s">
        <v>43</v>
      </c>
      <c r="V2" s="378" t="s">
        <v>44</v>
      </c>
      <c r="W2" s="255" t="s">
        <v>45</v>
      </c>
      <c r="X2" s="255" t="s">
        <v>46</v>
      </c>
      <c r="Y2" s="255" t="s">
        <v>47</v>
      </c>
      <c r="Z2" s="255" t="s">
        <v>48</v>
      </c>
      <c r="AA2" s="259" t="s">
        <v>49</v>
      </c>
      <c r="AB2" s="259" t="s">
        <v>50</v>
      </c>
      <c r="AC2" s="259" t="s">
        <v>51</v>
      </c>
      <c r="AD2" s="259" t="s">
        <v>52</v>
      </c>
      <c r="AE2" s="255" t="s">
        <v>53</v>
      </c>
      <c r="AF2" s="255" t="s">
        <v>54</v>
      </c>
      <c r="AG2" s="255" t="s">
        <v>55</v>
      </c>
      <c r="AH2" s="255" t="s">
        <v>56</v>
      </c>
      <c r="AI2" s="380" t="s">
        <v>57</v>
      </c>
      <c r="AJ2" s="255" t="s">
        <v>58</v>
      </c>
      <c r="AK2" s="255" t="s">
        <v>59</v>
      </c>
      <c r="AL2" s="255" t="s">
        <v>60</v>
      </c>
      <c r="AM2" s="255" t="s">
        <v>61</v>
      </c>
      <c r="AN2" s="255" t="s">
        <v>62</v>
      </c>
      <c r="AO2" s="380" t="s">
        <v>63</v>
      </c>
      <c r="AP2" s="380" t="s">
        <v>58</v>
      </c>
      <c r="AQ2" s="255" t="s">
        <v>59</v>
      </c>
      <c r="AR2" s="255" t="s">
        <v>60</v>
      </c>
      <c r="AS2" s="255" t="s">
        <v>64</v>
      </c>
      <c r="AT2" s="255" t="s">
        <v>59</v>
      </c>
      <c r="AU2" s="255" t="s">
        <v>60</v>
      </c>
      <c r="AV2" s="255" t="s">
        <v>65</v>
      </c>
      <c r="AW2" s="255" t="s">
        <v>66</v>
      </c>
      <c r="AX2" s="255" t="s">
        <v>67</v>
      </c>
      <c r="AY2" s="255" t="s">
        <v>68</v>
      </c>
      <c r="AZ2" s="255" t="s">
        <v>59</v>
      </c>
      <c r="BA2" s="255" t="s">
        <v>60</v>
      </c>
      <c r="BB2" s="255" t="s">
        <v>69</v>
      </c>
      <c r="BC2" s="255" t="s">
        <v>59</v>
      </c>
      <c r="BD2" s="255" t="s">
        <v>60</v>
      </c>
      <c r="BE2" s="255" t="s">
        <v>70</v>
      </c>
      <c r="BF2" s="255" t="s">
        <v>71</v>
      </c>
      <c r="BG2" s="255" t="s">
        <v>72</v>
      </c>
      <c r="BH2" s="255"/>
      <c r="BI2" s="261"/>
      <c r="BJ2" s="381">
        <v>0.122395833333333</v>
      </c>
      <c r="BK2" s="381">
        <v>0.122395833333333</v>
      </c>
      <c r="BL2" s="381">
        <v>0.122395833333333</v>
      </c>
      <c r="BM2" s="381">
        <v>0.122395833333333</v>
      </c>
      <c r="BN2" s="381">
        <v>0.122395833333333</v>
      </c>
      <c r="BO2" s="381">
        <v>0.122395833333333</v>
      </c>
      <c r="BP2" s="381">
        <v>0.122395833333333</v>
      </c>
      <c r="BQ2" s="381">
        <v>0.122395833333333</v>
      </c>
      <c r="BR2" s="381">
        <v>0.0208333333333333</v>
      </c>
      <c r="BS2" s="230" t="s">
        <v>73</v>
      </c>
      <c r="BT2" s="261">
        <f>生产MA!G12</f>
        <v>134028</v>
      </c>
      <c r="BU2" s="261">
        <f>生产MA!H12</f>
        <v>134028</v>
      </c>
      <c r="BV2" s="261">
        <f>生产MA!I12</f>
        <v>134028</v>
      </c>
      <c r="BW2" s="261">
        <f>生产MA!J12</f>
        <v>134028</v>
      </c>
      <c r="BX2" s="261">
        <f>生产MA!K12</f>
        <v>134028</v>
      </c>
      <c r="BY2" s="261">
        <f>生产MA!L12</f>
        <v>134028</v>
      </c>
      <c r="BZ2" s="261">
        <f>生产MA!M12</f>
        <v>134028</v>
      </c>
      <c r="CA2" s="261">
        <f>生产MA!N12</f>
        <v>134028</v>
      </c>
      <c r="CB2" s="261">
        <f>生产MA!O12</f>
        <v>22815</v>
      </c>
    </row>
    <row r="3" s="360" customFormat="1" ht="27" hidden="1" customHeight="1" spans="1:87">
      <c r="A3" s="47">
        <v>45617</v>
      </c>
      <c r="B3" s="48" t="s">
        <v>74</v>
      </c>
      <c r="C3" s="49" t="s">
        <v>75</v>
      </c>
      <c r="D3" s="50" t="s">
        <v>76</v>
      </c>
      <c r="E3" s="49" t="s">
        <v>77</v>
      </c>
      <c r="F3" s="48"/>
      <c r="G3" s="383" t="s">
        <v>78</v>
      </c>
      <c r="H3" s="384" t="s">
        <v>79</v>
      </c>
      <c r="I3" s="385">
        <v>1135</v>
      </c>
      <c r="J3" s="385">
        <v>0</v>
      </c>
      <c r="K3" s="385">
        <v>54</v>
      </c>
      <c r="L3" s="385">
        <f t="shared" ref="L3:L12" si="0">I3/K3</f>
        <v>21.0185185185185</v>
      </c>
      <c r="M3" s="386">
        <v>45639</v>
      </c>
      <c r="N3" s="386">
        <v>45635</v>
      </c>
      <c r="O3" s="387"/>
      <c r="P3" s="387"/>
      <c r="Q3" s="387"/>
      <c r="R3" s="387" t="s">
        <v>80</v>
      </c>
      <c r="S3" s="387" t="s">
        <v>80</v>
      </c>
      <c r="T3" s="387" t="s">
        <v>80</v>
      </c>
      <c r="U3" s="387"/>
      <c r="V3" s="388" t="s">
        <v>81</v>
      </c>
      <c r="W3" s="386"/>
      <c r="X3" s="386"/>
      <c r="Y3" s="386"/>
      <c r="Z3" s="386" t="s">
        <v>82</v>
      </c>
      <c r="AA3" s="387"/>
      <c r="AB3" s="387"/>
      <c r="AC3" s="387"/>
      <c r="AD3" s="387"/>
      <c r="AE3" s="386"/>
      <c r="AF3" s="386"/>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359"/>
      <c r="BK3" s="359"/>
      <c r="BL3" s="359"/>
      <c r="BM3" s="359"/>
      <c r="BN3" s="359"/>
      <c r="BO3" s="359"/>
      <c r="BP3" s="359"/>
      <c r="BQ3" s="359"/>
      <c r="BR3" s="359"/>
      <c r="BT3" s="359">
        <f t="shared" ref="BT3:CB3" si="1">BT2-BJ3</f>
        <v>134028</v>
      </c>
      <c r="BU3" s="359">
        <f t="shared" si="1"/>
        <v>134028</v>
      </c>
      <c r="BV3" s="359">
        <f t="shared" si="1"/>
        <v>134028</v>
      </c>
      <c r="BW3" s="359">
        <f t="shared" si="1"/>
        <v>134028</v>
      </c>
      <c r="BX3" s="359">
        <f t="shared" si="1"/>
        <v>134028</v>
      </c>
      <c r="BY3" s="359">
        <f t="shared" si="1"/>
        <v>134028</v>
      </c>
      <c r="BZ3" s="359">
        <f t="shared" si="1"/>
        <v>134028</v>
      </c>
      <c r="CA3" s="359">
        <f t="shared" si="1"/>
        <v>134028</v>
      </c>
      <c r="CB3" s="359">
        <f t="shared" si="1"/>
        <v>22815</v>
      </c>
    </row>
    <row r="4" s="360" customFormat="1" ht="27" hidden="1" customHeight="1" spans="1:87">
      <c r="A4" s="47">
        <v>45618</v>
      </c>
      <c r="B4" s="48" t="s">
        <v>74</v>
      </c>
      <c r="C4" s="49" t="s">
        <v>83</v>
      </c>
      <c r="D4" s="50" t="s">
        <v>84</v>
      </c>
      <c r="E4" s="49" t="s">
        <v>85</v>
      </c>
      <c r="F4" s="48"/>
      <c r="G4" s="383" t="s">
        <v>86</v>
      </c>
      <c r="H4" s="384" t="s">
        <v>87</v>
      </c>
      <c r="I4" s="385">
        <v>1008</v>
      </c>
      <c r="J4" s="385">
        <v>0</v>
      </c>
      <c r="K4" s="385">
        <v>24</v>
      </c>
      <c r="L4" s="385">
        <f t="shared" si="0"/>
        <v>42</v>
      </c>
      <c r="M4" s="386">
        <v>45639</v>
      </c>
      <c r="N4" s="386">
        <v>45635</v>
      </c>
      <c r="O4" s="387"/>
      <c r="P4" s="387"/>
      <c r="Q4" s="387"/>
      <c r="R4" s="387" t="s">
        <v>80</v>
      </c>
      <c r="S4" s="387" t="s">
        <v>80</v>
      </c>
      <c r="T4" s="387" t="s">
        <v>80</v>
      </c>
      <c r="U4" s="387"/>
      <c r="V4" s="388" t="s">
        <v>88</v>
      </c>
      <c r="W4" s="386" t="s">
        <v>89</v>
      </c>
      <c r="X4" s="386"/>
      <c r="Y4" s="386"/>
      <c r="Z4" s="386" t="s">
        <v>90</v>
      </c>
      <c r="AA4" s="387"/>
      <c r="AB4" s="387"/>
      <c r="AC4" s="387"/>
      <c r="AD4" s="387"/>
      <c r="AE4" s="386"/>
      <c r="AF4" s="386"/>
      <c r="AG4" s="261"/>
      <c r="AH4" s="261"/>
      <c r="AI4" s="261"/>
      <c r="AJ4" s="261"/>
      <c r="AK4" s="261"/>
      <c r="AL4" s="261"/>
      <c r="AM4" s="261"/>
      <c r="AN4" s="261"/>
      <c r="AO4" s="261"/>
      <c r="AP4" s="261"/>
      <c r="AQ4" s="261"/>
      <c r="AR4" s="261"/>
      <c r="AS4" s="261"/>
      <c r="AT4" s="261"/>
      <c r="AU4" s="261"/>
      <c r="AV4" s="261"/>
      <c r="AW4" s="261"/>
      <c r="AX4" s="261"/>
      <c r="AY4" s="261"/>
      <c r="AZ4" s="261"/>
      <c r="BA4" s="261"/>
      <c r="BB4" s="261"/>
      <c r="BC4" s="261"/>
      <c r="BD4" s="261"/>
      <c r="BE4" s="261"/>
      <c r="BF4" s="261"/>
      <c r="BG4" s="261"/>
      <c r="BH4" s="261"/>
      <c r="BI4" s="261"/>
      <c r="BJ4" s="359"/>
      <c r="BK4" s="359"/>
      <c r="BL4" s="359"/>
      <c r="BM4" s="359"/>
      <c r="BN4" s="359"/>
      <c r="BO4" s="359"/>
      <c r="BP4" s="359"/>
      <c r="BQ4" s="359"/>
      <c r="BR4" s="359"/>
      <c r="BT4" s="359">
        <f t="shared" ref="BT4:CB4" si="2">BT3-BJ4</f>
        <v>134028</v>
      </c>
      <c r="BU4" s="359">
        <f t="shared" si="2"/>
        <v>134028</v>
      </c>
      <c r="BV4" s="359">
        <f t="shared" si="2"/>
        <v>134028</v>
      </c>
      <c r="BW4" s="359">
        <f t="shared" si="2"/>
        <v>134028</v>
      </c>
      <c r="BX4" s="359">
        <f t="shared" si="2"/>
        <v>134028</v>
      </c>
      <c r="BY4" s="359">
        <f t="shared" si="2"/>
        <v>134028</v>
      </c>
      <c r="BZ4" s="359">
        <f t="shared" si="2"/>
        <v>134028</v>
      </c>
      <c r="CA4" s="359">
        <f t="shared" si="2"/>
        <v>134028</v>
      </c>
      <c r="CB4" s="359">
        <f t="shared" si="2"/>
        <v>22815</v>
      </c>
    </row>
    <row r="5" s="360" customFormat="1" ht="27" hidden="1" customHeight="1" spans="1:87">
      <c r="A5" s="47">
        <v>45618</v>
      </c>
      <c r="B5" s="48" t="s">
        <v>74</v>
      </c>
      <c r="C5" s="49" t="s">
        <v>83</v>
      </c>
      <c r="D5" s="50" t="s">
        <v>84</v>
      </c>
      <c r="E5" s="49" t="s">
        <v>85</v>
      </c>
      <c r="F5" s="48"/>
      <c r="G5" s="383" t="s">
        <v>86</v>
      </c>
      <c r="H5" s="384" t="s">
        <v>91</v>
      </c>
      <c r="I5" s="385">
        <v>10</v>
      </c>
      <c r="J5" s="385">
        <v>0</v>
      </c>
      <c r="K5" s="385">
        <v>10</v>
      </c>
      <c r="L5" s="385">
        <f t="shared" si="0"/>
        <v>1</v>
      </c>
      <c r="M5" s="386">
        <v>45639</v>
      </c>
      <c r="N5" s="386">
        <v>45635</v>
      </c>
      <c r="O5" s="387"/>
      <c r="P5" s="387"/>
      <c r="Q5" s="387"/>
      <c r="R5" s="387" t="s">
        <v>80</v>
      </c>
      <c r="S5" s="387" t="s">
        <v>80</v>
      </c>
      <c r="T5" s="387" t="s">
        <v>80</v>
      </c>
      <c r="U5" s="387"/>
      <c r="V5" s="388" t="s">
        <v>92</v>
      </c>
      <c r="W5" s="386" t="s">
        <v>89</v>
      </c>
      <c r="X5" s="386"/>
      <c r="Y5" s="386"/>
      <c r="Z5" s="386" t="s">
        <v>90</v>
      </c>
      <c r="AA5" s="387"/>
      <c r="AB5" s="387"/>
      <c r="AC5" s="387"/>
      <c r="AD5" s="387"/>
      <c r="AE5" s="386" t="s">
        <v>93</v>
      </c>
      <c r="AF5" s="386"/>
      <c r="AG5" s="261"/>
      <c r="AH5" s="261"/>
      <c r="AI5" s="261"/>
      <c r="AJ5" s="261"/>
      <c r="AK5" s="261"/>
      <c r="AL5" s="261"/>
      <c r="AM5" s="261"/>
      <c r="AN5" s="261"/>
      <c r="AO5" s="261"/>
      <c r="AP5" s="261"/>
      <c r="AQ5" s="261"/>
      <c r="AR5" s="261"/>
      <c r="AS5" s="261"/>
      <c r="AT5" s="261"/>
      <c r="AU5" s="261"/>
      <c r="AV5" s="261"/>
      <c r="AW5" s="261"/>
      <c r="AX5" s="261"/>
      <c r="AY5" s="261"/>
      <c r="AZ5" s="261"/>
      <c r="BA5" s="261"/>
      <c r="BB5" s="261"/>
      <c r="BC5" s="261"/>
      <c r="BD5" s="261"/>
      <c r="BE5" s="261"/>
      <c r="BF5" s="261"/>
      <c r="BG5" s="261"/>
      <c r="BH5" s="261"/>
      <c r="BI5" s="261"/>
      <c r="BJ5" s="359"/>
      <c r="BK5" s="359"/>
      <c r="BL5" s="359"/>
      <c r="BM5" s="359"/>
      <c r="BN5" s="359"/>
      <c r="BO5" s="359"/>
      <c r="BP5" s="359"/>
      <c r="BQ5" s="359"/>
      <c r="BR5" s="359"/>
      <c r="BT5" s="359">
        <f t="shared" ref="BT5:CB5" si="3">BT4-BJ5</f>
        <v>134028</v>
      </c>
      <c r="BU5" s="359">
        <f t="shared" si="3"/>
        <v>134028</v>
      </c>
      <c r="BV5" s="359">
        <f t="shared" si="3"/>
        <v>134028</v>
      </c>
      <c r="BW5" s="359">
        <f t="shared" si="3"/>
        <v>134028</v>
      </c>
      <c r="BX5" s="359">
        <f t="shared" si="3"/>
        <v>134028</v>
      </c>
      <c r="BY5" s="359">
        <f t="shared" si="3"/>
        <v>134028</v>
      </c>
      <c r="BZ5" s="359">
        <f t="shared" si="3"/>
        <v>134028</v>
      </c>
      <c r="CA5" s="359">
        <f t="shared" si="3"/>
        <v>134028</v>
      </c>
      <c r="CB5" s="359">
        <f t="shared" si="3"/>
        <v>22815</v>
      </c>
    </row>
    <row r="6" s="360" customFormat="1" ht="27" hidden="1" customHeight="1" spans="1:87">
      <c r="A6" s="47">
        <v>45618</v>
      </c>
      <c r="B6" s="48" t="s">
        <v>74</v>
      </c>
      <c r="C6" s="49" t="s">
        <v>83</v>
      </c>
      <c r="D6" s="50" t="s">
        <v>84</v>
      </c>
      <c r="E6" s="49" t="s">
        <v>85</v>
      </c>
      <c r="F6" s="48"/>
      <c r="G6" s="383" t="s">
        <v>94</v>
      </c>
      <c r="H6" s="384" t="s">
        <v>95</v>
      </c>
      <c r="I6" s="385">
        <v>20</v>
      </c>
      <c r="J6" s="385">
        <v>0</v>
      </c>
      <c r="K6" s="385">
        <v>20</v>
      </c>
      <c r="L6" s="385">
        <f t="shared" si="0"/>
        <v>1</v>
      </c>
      <c r="M6" s="386">
        <v>45639</v>
      </c>
      <c r="N6" s="386">
        <v>45635</v>
      </c>
      <c r="O6" s="387"/>
      <c r="P6" s="387"/>
      <c r="Q6" s="387"/>
      <c r="R6" s="387" t="s">
        <v>80</v>
      </c>
      <c r="S6" s="387" t="s">
        <v>80</v>
      </c>
      <c r="T6" s="387" t="s">
        <v>80</v>
      </c>
      <c r="U6" s="387"/>
      <c r="V6" s="388" t="s">
        <v>96</v>
      </c>
      <c r="W6" s="386" t="s">
        <v>89</v>
      </c>
      <c r="X6" s="386"/>
      <c r="Y6" s="386"/>
      <c r="Z6" s="386" t="s">
        <v>90</v>
      </c>
      <c r="AA6" s="387"/>
      <c r="AB6" s="387"/>
      <c r="AC6" s="387"/>
      <c r="AD6" s="387"/>
      <c r="AE6" s="386" t="s">
        <v>93</v>
      </c>
      <c r="AF6" s="386"/>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359"/>
      <c r="BK6" s="359"/>
      <c r="BL6" s="359"/>
      <c r="BM6" s="359"/>
      <c r="BN6" s="359"/>
      <c r="BO6" s="359"/>
      <c r="BP6" s="359"/>
      <c r="BQ6" s="359"/>
      <c r="BR6" s="359"/>
      <c r="BT6" s="359">
        <f t="shared" ref="BT6:CB6" si="4">BT5-BJ6</f>
        <v>134028</v>
      </c>
      <c r="BU6" s="359">
        <f t="shared" si="4"/>
        <v>134028</v>
      </c>
      <c r="BV6" s="359">
        <f t="shared" si="4"/>
        <v>134028</v>
      </c>
      <c r="BW6" s="359">
        <f t="shared" si="4"/>
        <v>134028</v>
      </c>
      <c r="BX6" s="359">
        <f t="shared" si="4"/>
        <v>134028</v>
      </c>
      <c r="BY6" s="359">
        <f t="shared" si="4"/>
        <v>134028</v>
      </c>
      <c r="BZ6" s="359">
        <f t="shared" si="4"/>
        <v>134028</v>
      </c>
      <c r="CA6" s="359">
        <f t="shared" si="4"/>
        <v>134028</v>
      </c>
      <c r="CB6" s="359">
        <f t="shared" si="4"/>
        <v>22815</v>
      </c>
    </row>
    <row r="7" s="360" customFormat="1" ht="27" hidden="1" customHeight="1" spans="1:87">
      <c r="A7" s="47">
        <v>45618</v>
      </c>
      <c r="B7" s="48" t="s">
        <v>74</v>
      </c>
      <c r="C7" s="49" t="s">
        <v>83</v>
      </c>
      <c r="D7" s="50" t="s">
        <v>84</v>
      </c>
      <c r="E7" s="49" t="s">
        <v>85</v>
      </c>
      <c r="F7" s="48"/>
      <c r="G7" s="383" t="s">
        <v>78</v>
      </c>
      <c r="H7" s="384" t="s">
        <v>97</v>
      </c>
      <c r="I7" s="385">
        <v>20</v>
      </c>
      <c r="J7" s="385">
        <v>0</v>
      </c>
      <c r="K7" s="385">
        <v>20</v>
      </c>
      <c r="L7" s="385">
        <f t="shared" si="0"/>
        <v>1</v>
      </c>
      <c r="M7" s="386">
        <v>45639</v>
      </c>
      <c r="N7" s="386">
        <v>45635</v>
      </c>
      <c r="O7" s="387"/>
      <c r="P7" s="387"/>
      <c r="Q7" s="387"/>
      <c r="R7" s="387" t="s">
        <v>80</v>
      </c>
      <c r="S7" s="387" t="s">
        <v>80</v>
      </c>
      <c r="T7" s="387" t="s">
        <v>80</v>
      </c>
      <c r="U7" s="387"/>
      <c r="V7" s="388" t="s">
        <v>98</v>
      </c>
      <c r="W7" s="386" t="s">
        <v>89</v>
      </c>
      <c r="X7" s="386"/>
      <c r="Y7" s="386"/>
      <c r="Z7" s="386" t="s">
        <v>90</v>
      </c>
      <c r="AA7" s="387"/>
      <c r="AB7" s="387"/>
      <c r="AC7" s="387"/>
      <c r="AD7" s="387"/>
      <c r="AE7" s="386" t="s">
        <v>93</v>
      </c>
      <c r="AF7" s="386"/>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359"/>
      <c r="BK7" s="359"/>
      <c r="BL7" s="359"/>
      <c r="BM7" s="359"/>
      <c r="BN7" s="359"/>
      <c r="BO7" s="359"/>
      <c r="BP7" s="359"/>
      <c r="BQ7" s="359"/>
      <c r="BR7" s="359"/>
      <c r="BT7" s="359">
        <f t="shared" ref="BT7:CB7" si="5">BT6-BJ7</f>
        <v>134028</v>
      </c>
      <c r="BU7" s="359">
        <f t="shared" si="5"/>
        <v>134028</v>
      </c>
      <c r="BV7" s="359">
        <f t="shared" si="5"/>
        <v>134028</v>
      </c>
      <c r="BW7" s="359">
        <f t="shared" si="5"/>
        <v>134028</v>
      </c>
      <c r="BX7" s="359">
        <f t="shared" si="5"/>
        <v>134028</v>
      </c>
      <c r="BY7" s="359">
        <f t="shared" si="5"/>
        <v>134028</v>
      </c>
      <c r="BZ7" s="359">
        <f t="shared" si="5"/>
        <v>134028</v>
      </c>
      <c r="CA7" s="359">
        <f t="shared" si="5"/>
        <v>134028</v>
      </c>
      <c r="CB7" s="359">
        <f t="shared" si="5"/>
        <v>22815</v>
      </c>
    </row>
    <row r="8" s="4" customFormat="1" ht="27" hidden="1" customHeight="1" spans="1:87">
      <c r="A8" s="47">
        <v>45714</v>
      </c>
      <c r="B8" s="48"/>
      <c r="C8" s="49"/>
      <c r="D8" s="50" t="s">
        <v>99</v>
      </c>
      <c r="E8" s="49"/>
      <c r="F8" s="48"/>
      <c r="G8" s="51" t="s">
        <v>94</v>
      </c>
      <c r="H8" s="52" t="s">
        <v>100</v>
      </c>
      <c r="I8" s="52">
        <v>40</v>
      </c>
      <c r="J8" s="385">
        <v>0</v>
      </c>
      <c r="K8" s="52">
        <v>40</v>
      </c>
      <c r="L8" s="385">
        <f t="shared" si="0"/>
        <v>1</v>
      </c>
      <c r="M8" s="53">
        <v>45726</v>
      </c>
      <c r="N8" s="53">
        <v>45722</v>
      </c>
      <c r="O8" s="54"/>
      <c r="P8" s="54"/>
      <c r="Q8" s="54"/>
      <c r="R8" s="54">
        <v>45714</v>
      </c>
      <c r="S8" s="387" t="s">
        <v>80</v>
      </c>
      <c r="T8" s="387" t="s">
        <v>80</v>
      </c>
      <c r="U8" s="387"/>
      <c r="V8" s="55" t="s">
        <v>101</v>
      </c>
      <c r="W8" s="53" t="s">
        <v>89</v>
      </c>
      <c r="X8" s="53"/>
      <c r="Y8" s="53"/>
      <c r="Z8" s="53" t="s">
        <v>102</v>
      </c>
      <c r="AA8" s="55">
        <v>40</v>
      </c>
      <c r="AB8" s="55">
        <f t="shared" ref="AB8:AB71" si="6">AA8-I8</f>
        <v>0</v>
      </c>
      <c r="AC8" s="54"/>
      <c r="AD8" s="54"/>
      <c r="AE8" s="53" t="s">
        <v>93</v>
      </c>
      <c r="AF8" s="53"/>
      <c r="AG8" s="57"/>
      <c r="AH8" s="57"/>
      <c r="AI8" s="57"/>
      <c r="AJ8" s="57"/>
      <c r="AK8" s="57"/>
      <c r="AL8" s="57"/>
      <c r="AM8" s="57"/>
      <c r="AN8" s="57"/>
      <c r="AO8" s="57"/>
      <c r="AP8" s="57"/>
      <c r="AQ8" s="57"/>
      <c r="AR8" s="57"/>
      <c r="AS8" s="57"/>
      <c r="AT8" s="57">
        <f>I8</f>
        <v>40</v>
      </c>
      <c r="AU8" s="57"/>
      <c r="AV8" s="57"/>
      <c r="AW8" s="57"/>
      <c r="AX8" s="57"/>
      <c r="AY8" s="57"/>
      <c r="AZ8" s="57"/>
      <c r="BA8" s="57"/>
      <c r="BB8" s="57"/>
      <c r="BC8" s="57"/>
      <c r="BD8" s="57"/>
      <c r="BE8" s="57"/>
      <c r="BF8" s="57"/>
      <c r="BG8" s="57"/>
      <c r="BH8" s="57"/>
      <c r="BI8" s="57"/>
      <c r="BJ8" s="58"/>
      <c r="BK8" s="58"/>
      <c r="BL8" s="58"/>
      <c r="BM8" s="58"/>
      <c r="BN8" s="58"/>
      <c r="BO8" s="58"/>
      <c r="BP8" s="58"/>
      <c r="BQ8" s="58"/>
      <c r="BR8" s="58"/>
      <c r="BT8" s="359">
        <f t="shared" ref="BT8:CB8" si="7">BT7-BJ8</f>
        <v>134028</v>
      </c>
      <c r="BU8" s="359">
        <f t="shared" si="7"/>
        <v>134028</v>
      </c>
      <c r="BV8" s="359">
        <f t="shared" si="7"/>
        <v>134028</v>
      </c>
      <c r="BW8" s="359">
        <f t="shared" si="7"/>
        <v>134028</v>
      </c>
      <c r="BX8" s="359">
        <f t="shared" si="7"/>
        <v>134028</v>
      </c>
      <c r="BY8" s="359">
        <f t="shared" si="7"/>
        <v>134028</v>
      </c>
      <c r="BZ8" s="359">
        <f t="shared" si="7"/>
        <v>134028</v>
      </c>
      <c r="CA8" s="359">
        <f t="shared" si="7"/>
        <v>134028</v>
      </c>
      <c r="CB8" s="359">
        <f t="shared" si="7"/>
        <v>22815</v>
      </c>
    </row>
    <row r="9" s="4" customFormat="1" ht="27" hidden="1" customHeight="1" spans="1:87">
      <c r="A9" s="47">
        <v>45714</v>
      </c>
      <c r="B9" s="48"/>
      <c r="C9" s="49"/>
      <c r="D9" s="50" t="s">
        <v>99</v>
      </c>
      <c r="E9" s="49"/>
      <c r="F9" s="48"/>
      <c r="G9" s="51" t="s">
        <v>78</v>
      </c>
      <c r="H9" s="52" t="s">
        <v>100</v>
      </c>
      <c r="I9" s="52">
        <v>40</v>
      </c>
      <c r="J9" s="385">
        <v>0</v>
      </c>
      <c r="K9" s="52">
        <v>40</v>
      </c>
      <c r="L9" s="385">
        <f t="shared" si="0"/>
        <v>1</v>
      </c>
      <c r="M9" s="53">
        <v>45726</v>
      </c>
      <c r="N9" s="53">
        <v>45722</v>
      </c>
      <c r="O9" s="54"/>
      <c r="P9" s="54"/>
      <c r="Q9" s="54"/>
      <c r="R9" s="54">
        <v>45714</v>
      </c>
      <c r="S9" s="387" t="s">
        <v>80</v>
      </c>
      <c r="T9" s="387" t="s">
        <v>80</v>
      </c>
      <c r="U9" s="387"/>
      <c r="V9" s="55" t="s">
        <v>101</v>
      </c>
      <c r="W9" s="53" t="s">
        <v>89</v>
      </c>
      <c r="X9" s="492"/>
      <c r="Y9" s="52"/>
      <c r="Z9" s="53" t="s">
        <v>102</v>
      </c>
      <c r="AA9" s="55">
        <v>40</v>
      </c>
      <c r="AB9" s="55">
        <f t="shared" si="6"/>
        <v>0</v>
      </c>
      <c r="AC9" s="54"/>
      <c r="AD9" s="54"/>
      <c r="AE9" s="53" t="s">
        <v>93</v>
      </c>
      <c r="AF9" s="53"/>
      <c r="AG9" s="57"/>
      <c r="AH9" s="57"/>
      <c r="AI9" s="57"/>
      <c r="AJ9" s="57"/>
      <c r="AK9" s="57"/>
      <c r="AL9" s="57"/>
      <c r="AM9" s="57"/>
      <c r="AN9" s="57"/>
      <c r="AO9" s="57"/>
      <c r="AP9" s="57"/>
      <c r="AQ9" s="57">
        <f>I9</f>
        <v>40</v>
      </c>
      <c r="AR9" s="57"/>
      <c r="AS9" s="57"/>
      <c r="AT9" s="57"/>
      <c r="AU9" s="57"/>
      <c r="AV9" s="57"/>
      <c r="AW9" s="57"/>
      <c r="AX9" s="57"/>
      <c r="AY9" s="57"/>
      <c r="AZ9" s="57"/>
      <c r="BA9" s="57"/>
      <c r="BB9" s="57"/>
      <c r="BC9" s="57"/>
      <c r="BD9" s="57"/>
      <c r="BE9" s="57"/>
      <c r="BF9" s="57"/>
      <c r="BG9" s="57"/>
      <c r="BH9" s="57"/>
      <c r="BI9" s="57"/>
      <c r="BJ9" s="58"/>
      <c r="BK9" s="58"/>
      <c r="BL9" s="58"/>
      <c r="BM9" s="58"/>
      <c r="BN9" s="58"/>
      <c r="BO9" s="58"/>
      <c r="BP9" s="58"/>
      <c r="BQ9" s="58"/>
      <c r="BR9" s="58"/>
      <c r="BT9" s="359">
        <f t="shared" ref="BT9:CB9" si="8">BT8-BJ9</f>
        <v>134028</v>
      </c>
      <c r="BU9" s="359">
        <f t="shared" si="8"/>
        <v>134028</v>
      </c>
      <c r="BV9" s="359">
        <f t="shared" si="8"/>
        <v>134028</v>
      </c>
      <c r="BW9" s="359">
        <f t="shared" si="8"/>
        <v>134028</v>
      </c>
      <c r="BX9" s="359">
        <f t="shared" si="8"/>
        <v>134028</v>
      </c>
      <c r="BY9" s="359">
        <f t="shared" si="8"/>
        <v>134028</v>
      </c>
      <c r="BZ9" s="359">
        <f t="shared" si="8"/>
        <v>134028</v>
      </c>
      <c r="CA9" s="359">
        <f t="shared" si="8"/>
        <v>134028</v>
      </c>
      <c r="CB9" s="359">
        <f t="shared" si="8"/>
        <v>22815</v>
      </c>
    </row>
    <row r="10" s="371" customFormat="1" ht="27" hidden="1" customHeight="1" spans="1:87">
      <c r="A10" s="410">
        <v>45680</v>
      </c>
      <c r="B10" s="411" t="s">
        <v>103</v>
      </c>
      <c r="C10" s="412" t="s">
        <v>104</v>
      </c>
      <c r="D10" s="413">
        <v>4500156526</v>
      </c>
      <c r="E10" s="412">
        <v>83574</v>
      </c>
      <c r="F10" s="411" t="s">
        <v>105</v>
      </c>
      <c r="G10" s="414" t="s">
        <v>78</v>
      </c>
      <c r="H10" s="411" t="s">
        <v>79</v>
      </c>
      <c r="I10" s="415">
        <v>3618</v>
      </c>
      <c r="J10" s="415">
        <v>0</v>
      </c>
      <c r="K10" s="415">
        <v>54</v>
      </c>
      <c r="L10" s="415">
        <f t="shared" si="0"/>
        <v>67</v>
      </c>
      <c r="M10" s="416">
        <v>45730</v>
      </c>
      <c r="N10" s="416">
        <v>45726</v>
      </c>
      <c r="O10" s="493" t="s">
        <v>106</v>
      </c>
      <c r="P10" s="417" t="s">
        <v>107</v>
      </c>
      <c r="Q10" s="417" t="s">
        <v>108</v>
      </c>
      <c r="R10" s="417">
        <v>45680</v>
      </c>
      <c r="S10" s="417" t="s">
        <v>80</v>
      </c>
      <c r="T10" s="417" t="s">
        <v>109</v>
      </c>
      <c r="U10" s="417"/>
      <c r="V10" s="420" t="s">
        <v>110</v>
      </c>
      <c r="W10" s="416" t="s">
        <v>111</v>
      </c>
      <c r="X10" s="421">
        <v>0.9779</v>
      </c>
      <c r="Y10" s="415">
        <f t="shared" ref="Y10:Y16" si="9">X10*I10</f>
        <v>3538.0422</v>
      </c>
      <c r="Z10" s="494" t="s">
        <v>112</v>
      </c>
      <c r="AA10" s="420">
        <f>3101+75</f>
        <v>3176</v>
      </c>
      <c r="AB10" s="420">
        <f t="shared" si="6"/>
        <v>-442</v>
      </c>
      <c r="AC10" s="417" t="s">
        <v>113</v>
      </c>
      <c r="AD10" s="417" t="s">
        <v>114</v>
      </c>
      <c r="AE10" s="416" t="s">
        <v>78</v>
      </c>
      <c r="AF10" s="416" t="s">
        <v>115</v>
      </c>
      <c r="AG10" s="422">
        <f t="shared" ref="AG10:AG18" si="10">I10</f>
        <v>3618</v>
      </c>
      <c r="AH10" s="422">
        <f>I10</f>
        <v>3618</v>
      </c>
      <c r="AI10" s="422"/>
      <c r="AJ10" s="422"/>
      <c r="AK10" s="422">
        <f>I10</f>
        <v>3618</v>
      </c>
      <c r="AL10" s="422"/>
      <c r="AM10" s="422"/>
      <c r="AN10" s="422">
        <f t="shared" ref="AN10:AN18" si="11">I10</f>
        <v>3618</v>
      </c>
      <c r="AO10" s="422"/>
      <c r="AP10" s="422"/>
      <c r="AQ10" s="422">
        <f>I10/27</f>
        <v>134</v>
      </c>
      <c r="AR10" s="422"/>
      <c r="AS10" s="422"/>
      <c r="AT10" s="422"/>
      <c r="AU10" s="422"/>
      <c r="AV10" s="422"/>
      <c r="AW10" s="422"/>
      <c r="AX10" s="422"/>
      <c r="AY10" s="422"/>
      <c r="AZ10" s="422"/>
      <c r="BA10" s="422"/>
      <c r="BB10" s="422"/>
      <c r="BC10" s="422"/>
      <c r="BD10" s="422"/>
      <c r="BE10" s="422"/>
      <c r="BF10" s="422"/>
      <c r="BG10" s="422"/>
      <c r="BH10" s="422"/>
      <c r="BI10" s="422"/>
      <c r="BJ10" s="423">
        <f t="shared" ref="BJ10:BR10" si="12">$I10*BJ$2</f>
        <v>442.828124999999</v>
      </c>
      <c r="BK10" s="423">
        <f t="shared" si="12"/>
        <v>442.828124999999</v>
      </c>
      <c r="BL10" s="423">
        <f t="shared" si="12"/>
        <v>442.828124999999</v>
      </c>
      <c r="BM10" s="423">
        <f t="shared" si="12"/>
        <v>442.828124999999</v>
      </c>
      <c r="BN10" s="423">
        <f t="shared" si="12"/>
        <v>442.828124999999</v>
      </c>
      <c r="BO10" s="423">
        <f t="shared" si="12"/>
        <v>442.828124999999</v>
      </c>
      <c r="BP10" s="423">
        <f t="shared" si="12"/>
        <v>442.828124999999</v>
      </c>
      <c r="BQ10" s="423">
        <f t="shared" si="12"/>
        <v>442.828124999999</v>
      </c>
      <c r="BR10" s="423">
        <f t="shared" si="12"/>
        <v>75.3749999999999</v>
      </c>
      <c r="BT10" s="423">
        <f t="shared" ref="BT10:CB10" si="13">BT9-BJ10</f>
        <v>133585.171875</v>
      </c>
      <c r="BU10" s="423">
        <f t="shared" si="13"/>
        <v>133585.171875</v>
      </c>
      <c r="BV10" s="423">
        <f t="shared" si="13"/>
        <v>133585.171875</v>
      </c>
      <c r="BW10" s="423">
        <f t="shared" si="13"/>
        <v>133585.171875</v>
      </c>
      <c r="BX10" s="423">
        <f t="shared" si="13"/>
        <v>133585.171875</v>
      </c>
      <c r="BY10" s="423">
        <f t="shared" si="13"/>
        <v>133585.171875</v>
      </c>
      <c r="BZ10" s="423">
        <f t="shared" si="13"/>
        <v>133585.171875</v>
      </c>
      <c r="CA10" s="423">
        <f t="shared" si="13"/>
        <v>133585.171875</v>
      </c>
      <c r="CB10" s="423">
        <f t="shared" si="13"/>
        <v>22739.625</v>
      </c>
    </row>
    <row r="11" s="371" customFormat="1" ht="27" hidden="1" customHeight="1" spans="1:87">
      <c r="A11" s="410">
        <v>45701</v>
      </c>
      <c r="B11" s="411" t="s">
        <v>116</v>
      </c>
      <c r="C11" s="412" t="s">
        <v>117</v>
      </c>
      <c r="D11" s="413">
        <v>4500157378</v>
      </c>
      <c r="E11" s="412">
        <v>5200006139</v>
      </c>
      <c r="F11" s="411" t="s">
        <v>118</v>
      </c>
      <c r="G11" s="414" t="s">
        <v>119</v>
      </c>
      <c r="H11" s="411" t="s">
        <v>120</v>
      </c>
      <c r="I11" s="415">
        <v>492</v>
      </c>
      <c r="J11" s="415">
        <v>0</v>
      </c>
      <c r="K11" s="415">
        <v>12</v>
      </c>
      <c r="L11" s="415">
        <f t="shared" si="0"/>
        <v>41</v>
      </c>
      <c r="M11" s="416">
        <v>45734</v>
      </c>
      <c r="N11" s="416">
        <v>45730</v>
      </c>
      <c r="O11" s="417"/>
      <c r="P11" s="417" t="s">
        <v>107</v>
      </c>
      <c r="Q11" s="417" t="s">
        <v>121</v>
      </c>
      <c r="R11" s="417" t="s">
        <v>122</v>
      </c>
      <c r="S11" s="417" t="s">
        <v>80</v>
      </c>
      <c r="T11" s="417" t="s">
        <v>123</v>
      </c>
      <c r="U11" s="417"/>
      <c r="V11" s="420" t="s">
        <v>124</v>
      </c>
      <c r="W11" s="416" t="s">
        <v>125</v>
      </c>
      <c r="X11" s="421">
        <v>2.09</v>
      </c>
      <c r="Y11" s="415">
        <f t="shared" si="9"/>
        <v>1028.28</v>
      </c>
      <c r="Z11" s="494" t="s">
        <v>126</v>
      </c>
      <c r="AA11" s="420">
        <v>492</v>
      </c>
      <c r="AB11" s="420">
        <f t="shared" si="6"/>
        <v>0</v>
      </c>
      <c r="AC11" s="417" t="s">
        <v>113</v>
      </c>
      <c r="AD11" s="417" t="s">
        <v>114</v>
      </c>
      <c r="AE11" s="416" t="s">
        <v>119</v>
      </c>
      <c r="AF11" s="416" t="s">
        <v>115</v>
      </c>
      <c r="AG11" s="422">
        <f>I11*2</f>
        <v>984</v>
      </c>
      <c r="AH11" s="422">
        <f>I11*2</f>
        <v>984</v>
      </c>
      <c r="AI11" s="422"/>
      <c r="AJ11" s="422"/>
      <c r="AK11" s="422">
        <f>I11*2</f>
        <v>984</v>
      </c>
      <c r="AL11" s="422"/>
      <c r="AM11" s="422"/>
      <c r="AN11" s="422">
        <f>I11*2</f>
        <v>984</v>
      </c>
      <c r="AO11" s="422"/>
      <c r="AP11" s="422"/>
      <c r="AQ11" s="422"/>
      <c r="AR11" s="422"/>
      <c r="AS11" s="422"/>
      <c r="AT11" s="422"/>
      <c r="AU11" s="422"/>
      <c r="AV11" s="422"/>
      <c r="AW11" s="422"/>
      <c r="AX11" s="422"/>
      <c r="AY11" s="422"/>
      <c r="AZ11" s="422"/>
      <c r="BA11" s="422"/>
      <c r="BB11" s="422"/>
      <c r="BC11" s="422"/>
      <c r="BD11" s="422"/>
      <c r="BE11" s="422"/>
      <c r="BF11" s="422">
        <f>I11</f>
        <v>492</v>
      </c>
      <c r="BG11" s="422">
        <f>I11</f>
        <v>492</v>
      </c>
      <c r="BH11" s="422"/>
      <c r="BI11" s="422"/>
      <c r="BJ11" s="423">
        <f t="shared" ref="BJ11:BR11" si="14">$I11*BJ$2*2</f>
        <v>120.4375</v>
      </c>
      <c r="BK11" s="423">
        <f t="shared" si="14"/>
        <v>120.4375</v>
      </c>
      <c r="BL11" s="423">
        <f t="shared" si="14"/>
        <v>120.4375</v>
      </c>
      <c r="BM11" s="423">
        <f t="shared" si="14"/>
        <v>120.4375</v>
      </c>
      <c r="BN11" s="423">
        <f t="shared" si="14"/>
        <v>120.4375</v>
      </c>
      <c r="BO11" s="423">
        <f t="shared" si="14"/>
        <v>120.4375</v>
      </c>
      <c r="BP11" s="423">
        <f t="shared" si="14"/>
        <v>120.4375</v>
      </c>
      <c r="BQ11" s="423">
        <f t="shared" si="14"/>
        <v>120.4375</v>
      </c>
      <c r="BR11" s="423">
        <f t="shared" si="14"/>
        <v>20.5</v>
      </c>
      <c r="BT11" s="423">
        <f t="shared" ref="BT11:CB11" si="15">BT10-BJ11</f>
        <v>133464.734375</v>
      </c>
      <c r="BU11" s="423">
        <f t="shared" si="15"/>
        <v>133464.734375</v>
      </c>
      <c r="BV11" s="423">
        <f t="shared" si="15"/>
        <v>133464.734375</v>
      </c>
      <c r="BW11" s="423">
        <f t="shared" si="15"/>
        <v>133464.734375</v>
      </c>
      <c r="BX11" s="423">
        <f t="shared" si="15"/>
        <v>133464.734375</v>
      </c>
      <c r="BY11" s="423">
        <f t="shared" si="15"/>
        <v>133464.734375</v>
      </c>
      <c r="BZ11" s="423">
        <f t="shared" si="15"/>
        <v>133464.734375</v>
      </c>
      <c r="CA11" s="423">
        <f t="shared" si="15"/>
        <v>133464.734375</v>
      </c>
      <c r="CB11" s="423">
        <f t="shared" si="15"/>
        <v>22719.125</v>
      </c>
      <c r="CD11" s="495" t="s">
        <v>127</v>
      </c>
      <c r="CE11" s="371">
        <v>10000</v>
      </c>
      <c r="CF11" s="371">
        <v>5000</v>
      </c>
      <c r="CH11" s="371">
        <f>CE11-I11</f>
        <v>9508</v>
      </c>
      <c r="CI11" s="371">
        <f>CF11-I11</f>
        <v>4508</v>
      </c>
    </row>
    <row r="12" s="371" customFormat="1" ht="27" hidden="1" customHeight="1" spans="1:87">
      <c r="A12" s="410">
        <v>45674</v>
      </c>
      <c r="B12" s="411" t="s">
        <v>128</v>
      </c>
      <c r="C12" s="412" t="s">
        <v>129</v>
      </c>
      <c r="D12" s="413">
        <v>4500156119</v>
      </c>
      <c r="E12" s="412"/>
      <c r="F12" s="411" t="s">
        <v>130</v>
      </c>
      <c r="G12" s="414" t="s">
        <v>131</v>
      </c>
      <c r="H12" s="411" t="s">
        <v>132</v>
      </c>
      <c r="I12" s="415">
        <v>10017</v>
      </c>
      <c r="J12" s="415">
        <v>0</v>
      </c>
      <c r="K12" s="415">
        <v>27</v>
      </c>
      <c r="L12" s="415">
        <f t="shared" si="0"/>
        <v>371</v>
      </c>
      <c r="M12" s="416">
        <v>45741</v>
      </c>
      <c r="N12" s="416">
        <v>45737</v>
      </c>
      <c r="O12" s="417"/>
      <c r="P12" s="417" t="s">
        <v>107</v>
      </c>
      <c r="Q12" s="417" t="s">
        <v>133</v>
      </c>
      <c r="R12" s="417">
        <v>45674</v>
      </c>
      <c r="S12" s="417" t="s">
        <v>80</v>
      </c>
      <c r="T12" s="417" t="s">
        <v>80</v>
      </c>
      <c r="U12" s="417"/>
      <c r="V12" s="420" t="s">
        <v>134</v>
      </c>
      <c r="W12" s="416" t="s">
        <v>135</v>
      </c>
      <c r="X12" s="421">
        <v>0.89</v>
      </c>
      <c r="Y12" s="415">
        <f t="shared" ref="Y12:Y14" si="16">I12*X12</f>
        <v>8915.13</v>
      </c>
      <c r="Z12" s="494" t="s">
        <v>136</v>
      </c>
      <c r="AA12" s="420">
        <v>10017</v>
      </c>
      <c r="AB12" s="420">
        <f t="shared" si="6"/>
        <v>0</v>
      </c>
      <c r="AC12" s="417" t="s">
        <v>80</v>
      </c>
      <c r="AD12" s="417" t="s">
        <v>114</v>
      </c>
      <c r="AE12" s="416" t="s">
        <v>137</v>
      </c>
      <c r="AF12" s="416" t="s">
        <v>115</v>
      </c>
      <c r="AG12" s="422">
        <f t="shared" si="10"/>
        <v>10017</v>
      </c>
      <c r="AH12" s="422"/>
      <c r="AI12" s="422"/>
      <c r="AJ12" s="422">
        <f t="shared" ref="AJ12:AJ14" si="17">I12</f>
        <v>10017</v>
      </c>
      <c r="AK12" s="422"/>
      <c r="AL12" s="422"/>
      <c r="AM12" s="422">
        <f t="shared" ref="AM12:AM14" si="18">I12</f>
        <v>10017</v>
      </c>
      <c r="AN12" s="422">
        <f t="shared" si="11"/>
        <v>10017</v>
      </c>
      <c r="AO12" s="422"/>
      <c r="AP12" s="422"/>
      <c r="AQ12" s="422"/>
      <c r="AR12" s="422">
        <f t="shared" ref="AR12:AR14" si="19">I12/27</f>
        <v>371</v>
      </c>
      <c r="AS12" s="422"/>
      <c r="AT12" s="422"/>
      <c r="AU12" s="422"/>
      <c r="AV12" s="422"/>
      <c r="AW12" s="422"/>
      <c r="AX12" s="422"/>
      <c r="AY12" s="422"/>
      <c r="AZ12" s="422"/>
      <c r="BA12" s="422"/>
      <c r="BB12" s="422"/>
      <c r="BC12" s="422"/>
      <c r="BD12" s="422"/>
      <c r="BE12" s="422"/>
      <c r="BF12" s="422"/>
      <c r="BG12" s="422"/>
      <c r="BH12" s="422"/>
      <c r="BI12" s="422"/>
      <c r="BJ12" s="423">
        <f t="shared" ref="BJ12:BR12" si="20">$I12*BJ$2</f>
        <v>1226.0390625</v>
      </c>
      <c r="BK12" s="423">
        <f t="shared" si="20"/>
        <v>1226.0390625</v>
      </c>
      <c r="BL12" s="423">
        <f t="shared" si="20"/>
        <v>1226.0390625</v>
      </c>
      <c r="BM12" s="423">
        <f t="shared" si="20"/>
        <v>1226.0390625</v>
      </c>
      <c r="BN12" s="423">
        <f t="shared" si="20"/>
        <v>1226.0390625</v>
      </c>
      <c r="BO12" s="423">
        <f t="shared" si="20"/>
        <v>1226.0390625</v>
      </c>
      <c r="BP12" s="423">
        <f t="shared" si="20"/>
        <v>1226.0390625</v>
      </c>
      <c r="BQ12" s="423">
        <f t="shared" si="20"/>
        <v>1226.0390625</v>
      </c>
      <c r="BR12" s="423">
        <f t="shared" si="20"/>
        <v>208.6875</v>
      </c>
      <c r="BT12" s="423">
        <f t="shared" ref="BT12:CB12" si="21">BT11-BJ12</f>
        <v>132238.6953125</v>
      </c>
      <c r="BU12" s="423">
        <f t="shared" si="21"/>
        <v>132238.6953125</v>
      </c>
      <c r="BV12" s="423">
        <f t="shared" si="21"/>
        <v>132238.6953125</v>
      </c>
      <c r="BW12" s="423">
        <f t="shared" si="21"/>
        <v>132238.6953125</v>
      </c>
      <c r="BX12" s="423">
        <f t="shared" si="21"/>
        <v>132238.6953125</v>
      </c>
      <c r="BY12" s="423">
        <f t="shared" si="21"/>
        <v>132238.6953125</v>
      </c>
      <c r="BZ12" s="423">
        <f t="shared" si="21"/>
        <v>132238.6953125</v>
      </c>
      <c r="CA12" s="423">
        <f t="shared" si="21"/>
        <v>132238.6953125</v>
      </c>
      <c r="CB12" s="423">
        <f t="shared" si="21"/>
        <v>22510.4375</v>
      </c>
    </row>
    <row r="13" s="371" customFormat="1" ht="27" hidden="1" customHeight="1" spans="1:87">
      <c r="A13" s="410">
        <v>45670</v>
      </c>
      <c r="B13" s="411" t="s">
        <v>138</v>
      </c>
      <c r="C13" s="412" t="s">
        <v>139</v>
      </c>
      <c r="D13" s="413">
        <v>4500155619</v>
      </c>
      <c r="E13" s="412" t="s">
        <v>140</v>
      </c>
      <c r="F13" s="411" t="s">
        <v>141</v>
      </c>
      <c r="G13" s="414" t="s">
        <v>131</v>
      </c>
      <c r="H13" s="411" t="s">
        <v>132</v>
      </c>
      <c r="I13" s="415">
        <v>8046</v>
      </c>
      <c r="J13" s="415">
        <v>0</v>
      </c>
      <c r="K13" s="415">
        <v>27</v>
      </c>
      <c r="L13" s="415">
        <v>298</v>
      </c>
      <c r="M13" s="416">
        <v>45741</v>
      </c>
      <c r="N13" s="416">
        <v>45737</v>
      </c>
      <c r="O13" s="417"/>
      <c r="P13" s="417" t="s">
        <v>107</v>
      </c>
      <c r="Q13" s="417" t="s">
        <v>142</v>
      </c>
      <c r="R13" s="417">
        <v>45670</v>
      </c>
      <c r="S13" s="417" t="s">
        <v>80</v>
      </c>
      <c r="T13" s="417" t="s">
        <v>80</v>
      </c>
      <c r="U13" s="417"/>
      <c r="V13" s="420" t="s">
        <v>143</v>
      </c>
      <c r="W13" s="416" t="s">
        <v>144</v>
      </c>
      <c r="X13" s="421">
        <v>0.89</v>
      </c>
      <c r="Y13" s="415">
        <f t="shared" si="16"/>
        <v>7160.94</v>
      </c>
      <c r="Z13" s="416" t="s">
        <v>145</v>
      </c>
      <c r="AA13" s="420">
        <f>7452+594</f>
        <v>8046</v>
      </c>
      <c r="AB13" s="420">
        <f t="shared" si="6"/>
        <v>0</v>
      </c>
      <c r="AC13" s="417" t="s">
        <v>80</v>
      </c>
      <c r="AD13" s="417" t="s">
        <v>114</v>
      </c>
      <c r="AE13" s="416" t="s">
        <v>137</v>
      </c>
      <c r="AF13" s="416" t="s">
        <v>115</v>
      </c>
      <c r="AG13" s="422">
        <f t="shared" si="10"/>
        <v>8046</v>
      </c>
      <c r="AH13" s="422"/>
      <c r="AI13" s="422"/>
      <c r="AJ13" s="422">
        <f t="shared" si="17"/>
        <v>8046</v>
      </c>
      <c r="AK13" s="422"/>
      <c r="AL13" s="422"/>
      <c r="AM13" s="422">
        <f t="shared" si="18"/>
        <v>8046</v>
      </c>
      <c r="AN13" s="422">
        <f t="shared" si="11"/>
        <v>8046</v>
      </c>
      <c r="AO13" s="422"/>
      <c r="AP13" s="422"/>
      <c r="AQ13" s="422"/>
      <c r="AR13" s="422">
        <f t="shared" si="19"/>
        <v>298</v>
      </c>
      <c r="AS13" s="422"/>
      <c r="AT13" s="422"/>
      <c r="AU13" s="422"/>
      <c r="AV13" s="422"/>
      <c r="AW13" s="422"/>
      <c r="AX13" s="422"/>
      <c r="AY13" s="422"/>
      <c r="AZ13" s="422"/>
      <c r="BA13" s="422"/>
      <c r="BB13" s="422"/>
      <c r="BC13" s="422"/>
      <c r="BD13" s="422"/>
      <c r="BE13" s="422"/>
      <c r="BF13" s="422"/>
      <c r="BG13" s="422"/>
      <c r="BH13" s="422"/>
      <c r="BI13" s="422"/>
      <c r="BJ13" s="423">
        <f t="shared" ref="BJ13:BR13" si="22">$I13*BJ$2</f>
        <v>984.796874999997</v>
      </c>
      <c r="BK13" s="423">
        <f t="shared" si="22"/>
        <v>984.796874999997</v>
      </c>
      <c r="BL13" s="423">
        <f t="shared" si="22"/>
        <v>984.796874999997</v>
      </c>
      <c r="BM13" s="423">
        <f t="shared" si="22"/>
        <v>984.796874999997</v>
      </c>
      <c r="BN13" s="423">
        <f t="shared" si="22"/>
        <v>984.796874999997</v>
      </c>
      <c r="BO13" s="423">
        <f t="shared" si="22"/>
        <v>984.796874999997</v>
      </c>
      <c r="BP13" s="423">
        <f t="shared" si="22"/>
        <v>984.796874999997</v>
      </c>
      <c r="BQ13" s="423">
        <f t="shared" si="22"/>
        <v>984.796874999997</v>
      </c>
      <c r="BR13" s="423">
        <f t="shared" si="22"/>
        <v>167.625</v>
      </c>
      <c r="BT13" s="423">
        <f t="shared" ref="BT13:CB13" si="23">BT12-BJ13</f>
        <v>131253.8984375</v>
      </c>
      <c r="BU13" s="423">
        <f t="shared" si="23"/>
        <v>131253.8984375</v>
      </c>
      <c r="BV13" s="423">
        <f t="shared" si="23"/>
        <v>131253.8984375</v>
      </c>
      <c r="BW13" s="423">
        <f t="shared" si="23"/>
        <v>131253.8984375</v>
      </c>
      <c r="BX13" s="423">
        <f t="shared" si="23"/>
        <v>131253.8984375</v>
      </c>
      <c r="BY13" s="423">
        <f t="shared" si="23"/>
        <v>131253.8984375</v>
      </c>
      <c r="BZ13" s="423">
        <f t="shared" si="23"/>
        <v>131253.8984375</v>
      </c>
      <c r="CA13" s="423">
        <f t="shared" si="23"/>
        <v>131253.8984375</v>
      </c>
      <c r="CB13" s="423">
        <f t="shared" si="23"/>
        <v>22342.8125</v>
      </c>
    </row>
    <row r="14" s="371" customFormat="1" ht="27" hidden="1" customHeight="1" spans="1:87">
      <c r="A14" s="410">
        <v>45670</v>
      </c>
      <c r="B14" s="411" t="s">
        <v>138</v>
      </c>
      <c r="C14" s="412" t="s">
        <v>139</v>
      </c>
      <c r="D14" s="413">
        <v>4500155619</v>
      </c>
      <c r="E14" s="412" t="s">
        <v>146</v>
      </c>
      <c r="F14" s="411" t="s">
        <v>147</v>
      </c>
      <c r="G14" s="414" t="s">
        <v>131</v>
      </c>
      <c r="H14" s="411" t="s">
        <v>132</v>
      </c>
      <c r="I14" s="415">
        <v>2052</v>
      </c>
      <c r="J14" s="415">
        <v>0</v>
      </c>
      <c r="K14" s="415">
        <v>27</v>
      </c>
      <c r="L14" s="415">
        <f t="shared" ref="L14:L77" si="24">I14/K14</f>
        <v>76</v>
      </c>
      <c r="M14" s="416">
        <v>45741</v>
      </c>
      <c r="N14" s="416">
        <v>45737</v>
      </c>
      <c r="O14" s="417"/>
      <c r="P14" s="417" t="s">
        <v>107</v>
      </c>
      <c r="Q14" s="417" t="s">
        <v>133</v>
      </c>
      <c r="R14" s="417">
        <v>45670</v>
      </c>
      <c r="S14" s="417" t="s">
        <v>80</v>
      </c>
      <c r="T14" s="417" t="s">
        <v>80</v>
      </c>
      <c r="U14" s="417"/>
      <c r="V14" s="420" t="s">
        <v>143</v>
      </c>
      <c r="W14" s="416" t="s">
        <v>144</v>
      </c>
      <c r="X14" s="421">
        <v>0.89</v>
      </c>
      <c r="Y14" s="415">
        <f t="shared" si="16"/>
        <v>1826.28</v>
      </c>
      <c r="Z14" s="416" t="s">
        <v>148</v>
      </c>
      <c r="AA14" s="420">
        <v>2052</v>
      </c>
      <c r="AB14" s="420">
        <f t="shared" si="6"/>
        <v>0</v>
      </c>
      <c r="AC14" s="417" t="s">
        <v>80</v>
      </c>
      <c r="AD14" s="417" t="s">
        <v>114</v>
      </c>
      <c r="AE14" s="416" t="s">
        <v>137</v>
      </c>
      <c r="AF14" s="416" t="s">
        <v>115</v>
      </c>
      <c r="AG14" s="422">
        <f t="shared" si="10"/>
        <v>2052</v>
      </c>
      <c r="AH14" s="422"/>
      <c r="AI14" s="422"/>
      <c r="AJ14" s="422">
        <f t="shared" si="17"/>
        <v>2052</v>
      </c>
      <c r="AK14" s="422"/>
      <c r="AL14" s="422"/>
      <c r="AM14" s="422">
        <f t="shared" si="18"/>
        <v>2052</v>
      </c>
      <c r="AN14" s="422">
        <f t="shared" si="11"/>
        <v>2052</v>
      </c>
      <c r="AO14" s="422"/>
      <c r="AP14" s="422"/>
      <c r="AQ14" s="422"/>
      <c r="AR14" s="422">
        <f t="shared" si="19"/>
        <v>76</v>
      </c>
      <c r="AS14" s="422"/>
      <c r="AT14" s="422"/>
      <c r="AU14" s="422"/>
      <c r="AV14" s="422"/>
      <c r="AW14" s="422"/>
      <c r="AX14" s="422"/>
      <c r="AY14" s="422"/>
      <c r="AZ14" s="422"/>
      <c r="BA14" s="422"/>
      <c r="BB14" s="422"/>
      <c r="BC14" s="422"/>
      <c r="BD14" s="422"/>
      <c r="BE14" s="422"/>
      <c r="BF14" s="422"/>
      <c r="BG14" s="422"/>
      <c r="BH14" s="422"/>
      <c r="BI14" s="422"/>
      <c r="BJ14" s="423">
        <f t="shared" ref="BJ14:BR14" si="25">$I14*BJ$2</f>
        <v>251.156249999999</v>
      </c>
      <c r="BK14" s="423">
        <f t="shared" si="25"/>
        <v>251.156249999999</v>
      </c>
      <c r="BL14" s="423">
        <f t="shared" si="25"/>
        <v>251.156249999999</v>
      </c>
      <c r="BM14" s="423">
        <f t="shared" si="25"/>
        <v>251.156249999999</v>
      </c>
      <c r="BN14" s="423">
        <f t="shared" si="25"/>
        <v>251.156249999999</v>
      </c>
      <c r="BO14" s="423">
        <f t="shared" si="25"/>
        <v>251.156249999999</v>
      </c>
      <c r="BP14" s="423">
        <f t="shared" si="25"/>
        <v>251.156249999999</v>
      </c>
      <c r="BQ14" s="423">
        <f t="shared" si="25"/>
        <v>251.156249999999</v>
      </c>
      <c r="BR14" s="423">
        <f t="shared" si="25"/>
        <v>42.7499999999999</v>
      </c>
      <c r="BT14" s="423">
        <f t="shared" ref="BT14:CB14" si="26">BT13-BJ14</f>
        <v>131002.7421875</v>
      </c>
      <c r="BU14" s="423">
        <f t="shared" si="26"/>
        <v>131002.7421875</v>
      </c>
      <c r="BV14" s="423">
        <f t="shared" si="26"/>
        <v>131002.7421875</v>
      </c>
      <c r="BW14" s="423">
        <f t="shared" si="26"/>
        <v>131002.7421875</v>
      </c>
      <c r="BX14" s="423">
        <f t="shared" si="26"/>
        <v>131002.7421875</v>
      </c>
      <c r="BY14" s="423">
        <f t="shared" si="26"/>
        <v>131002.7421875</v>
      </c>
      <c r="BZ14" s="423">
        <f t="shared" si="26"/>
        <v>131002.7421875</v>
      </c>
      <c r="CA14" s="423">
        <f t="shared" si="26"/>
        <v>131002.7421875</v>
      </c>
      <c r="CB14" s="423">
        <f t="shared" si="26"/>
        <v>22300.0625</v>
      </c>
    </row>
    <row r="15" s="372" customFormat="1" ht="27" hidden="1" customHeight="1" spans="1:87">
      <c r="A15" s="428">
        <v>45705</v>
      </c>
      <c r="B15" s="429" t="s">
        <v>149</v>
      </c>
      <c r="C15" s="430" t="s">
        <v>117</v>
      </c>
      <c r="D15" s="431">
        <v>4500157763</v>
      </c>
      <c r="E15" s="430" t="s">
        <v>150</v>
      </c>
      <c r="F15" s="429" t="s">
        <v>151</v>
      </c>
      <c r="G15" s="432" t="s">
        <v>152</v>
      </c>
      <c r="H15" s="429" t="s">
        <v>153</v>
      </c>
      <c r="I15" s="433">
        <v>18720</v>
      </c>
      <c r="J15" s="433">
        <v>0</v>
      </c>
      <c r="K15" s="433">
        <v>13</v>
      </c>
      <c r="L15" s="433">
        <f t="shared" si="24"/>
        <v>1440</v>
      </c>
      <c r="M15" s="434">
        <v>45770</v>
      </c>
      <c r="N15" s="434">
        <v>45766</v>
      </c>
      <c r="O15" s="435"/>
      <c r="P15" s="496" t="s">
        <v>107</v>
      </c>
      <c r="Q15" s="435" t="s">
        <v>154</v>
      </c>
      <c r="R15" s="435">
        <v>45705</v>
      </c>
      <c r="S15" s="435" t="s">
        <v>80</v>
      </c>
      <c r="T15" s="435" t="s">
        <v>155</v>
      </c>
      <c r="U15" s="435" t="s">
        <v>156</v>
      </c>
      <c r="V15" s="438" t="s">
        <v>157</v>
      </c>
      <c r="W15" s="434" t="s">
        <v>158</v>
      </c>
      <c r="X15" s="421">
        <v>0.765</v>
      </c>
      <c r="Y15" s="433">
        <f t="shared" si="9"/>
        <v>14320.8</v>
      </c>
      <c r="Z15" s="434" t="s">
        <v>159</v>
      </c>
      <c r="AA15" s="438">
        <v>18720</v>
      </c>
      <c r="AB15" s="438">
        <f t="shared" si="6"/>
        <v>0</v>
      </c>
      <c r="AC15" s="435" t="s">
        <v>113</v>
      </c>
      <c r="AD15" s="435" t="s">
        <v>114</v>
      </c>
      <c r="AE15" s="434" t="s">
        <v>152</v>
      </c>
      <c r="AF15" s="434" t="s">
        <v>115</v>
      </c>
      <c r="AG15" s="441">
        <f t="shared" si="10"/>
        <v>18720</v>
      </c>
      <c r="AH15" s="441">
        <f t="shared" ref="AH15:AH18" si="27">I15</f>
        <v>18720</v>
      </c>
      <c r="AI15" s="441"/>
      <c r="AJ15" s="441"/>
      <c r="AK15" s="441">
        <f t="shared" ref="AK15:AK18" si="28">I15</f>
        <v>18720</v>
      </c>
      <c r="AL15" s="441"/>
      <c r="AM15" s="441"/>
      <c r="AN15" s="441">
        <f t="shared" si="11"/>
        <v>18720</v>
      </c>
      <c r="AO15" s="441"/>
      <c r="AP15" s="441"/>
      <c r="AQ15" s="441"/>
      <c r="AR15" s="441"/>
      <c r="AS15" s="441"/>
      <c r="AT15" s="441">
        <f>I15/13</f>
        <v>1440</v>
      </c>
      <c r="AU15" s="441"/>
      <c r="AV15" s="441"/>
      <c r="AW15" s="441"/>
      <c r="AX15" s="441"/>
      <c r="AY15" s="441"/>
      <c r="AZ15" s="441"/>
      <c r="BA15" s="441"/>
      <c r="BB15" s="441"/>
      <c r="BC15" s="441"/>
      <c r="BD15" s="441"/>
      <c r="BE15" s="441"/>
      <c r="BF15" s="441"/>
      <c r="BG15" s="441"/>
      <c r="BH15" s="441"/>
      <c r="BI15" s="441"/>
      <c r="BJ15" s="59">
        <f t="shared" ref="BJ15:BR15" si="29">$I15*BJ$2</f>
        <v>2291.24999999999</v>
      </c>
      <c r="BK15" s="59">
        <f t="shared" si="29"/>
        <v>2291.24999999999</v>
      </c>
      <c r="BL15" s="59">
        <f t="shared" si="29"/>
        <v>2291.24999999999</v>
      </c>
      <c r="BM15" s="59">
        <f t="shared" si="29"/>
        <v>2291.24999999999</v>
      </c>
      <c r="BN15" s="59">
        <f t="shared" si="29"/>
        <v>2291.24999999999</v>
      </c>
      <c r="BO15" s="59">
        <f t="shared" si="29"/>
        <v>2291.24999999999</v>
      </c>
      <c r="BP15" s="59">
        <f t="shared" si="29"/>
        <v>2291.24999999999</v>
      </c>
      <c r="BQ15" s="59">
        <f t="shared" si="29"/>
        <v>2291.24999999999</v>
      </c>
      <c r="BR15" s="59">
        <f t="shared" si="29"/>
        <v>389.999999999999</v>
      </c>
      <c r="BT15" s="59">
        <f t="shared" ref="BT15:CB15" si="30">BT14-BJ15</f>
        <v>128711.4921875</v>
      </c>
      <c r="BU15" s="59">
        <f t="shared" si="30"/>
        <v>128711.4921875</v>
      </c>
      <c r="BV15" s="59">
        <f t="shared" si="30"/>
        <v>128711.4921875</v>
      </c>
      <c r="BW15" s="59">
        <f t="shared" si="30"/>
        <v>128711.4921875</v>
      </c>
      <c r="BX15" s="59">
        <f t="shared" si="30"/>
        <v>128711.4921875</v>
      </c>
      <c r="BY15" s="59">
        <f t="shared" si="30"/>
        <v>128711.4921875</v>
      </c>
      <c r="BZ15" s="59">
        <f t="shared" si="30"/>
        <v>128711.4921875</v>
      </c>
      <c r="CA15" s="59">
        <f t="shared" si="30"/>
        <v>128711.4921875</v>
      </c>
      <c r="CB15" s="59">
        <f t="shared" si="30"/>
        <v>21910.0625</v>
      </c>
    </row>
    <row r="16" s="372" customFormat="1" ht="27" hidden="1" customHeight="1" spans="1:87">
      <c r="A16" s="428">
        <v>45713</v>
      </c>
      <c r="B16" s="429" t="s">
        <v>160</v>
      </c>
      <c r="C16" s="430" t="s">
        <v>161</v>
      </c>
      <c r="D16" s="431">
        <v>4500158563</v>
      </c>
      <c r="E16" s="430" t="s">
        <v>162</v>
      </c>
      <c r="F16" s="429" t="s">
        <v>163</v>
      </c>
      <c r="G16" s="432" t="s">
        <v>78</v>
      </c>
      <c r="H16" s="429" t="s">
        <v>79</v>
      </c>
      <c r="I16" s="433">
        <v>2052</v>
      </c>
      <c r="J16" s="433">
        <v>0</v>
      </c>
      <c r="K16" s="433">
        <v>54</v>
      </c>
      <c r="L16" s="433">
        <f t="shared" si="24"/>
        <v>38</v>
      </c>
      <c r="M16" s="434">
        <v>45749</v>
      </c>
      <c r="N16" s="434">
        <v>45745</v>
      </c>
      <c r="O16" s="435"/>
      <c r="P16" s="496" t="s">
        <v>107</v>
      </c>
      <c r="Q16" s="435" t="s">
        <v>164</v>
      </c>
      <c r="R16" s="435">
        <v>45719</v>
      </c>
      <c r="S16" s="435" t="s">
        <v>80</v>
      </c>
      <c r="T16" s="435" t="s">
        <v>165</v>
      </c>
      <c r="U16" s="435"/>
      <c r="V16" s="438" t="s">
        <v>166</v>
      </c>
      <c r="W16" s="434" t="s">
        <v>167</v>
      </c>
      <c r="X16" s="421">
        <v>0.8048</v>
      </c>
      <c r="Y16" s="433">
        <f t="shared" si="9"/>
        <v>1651.4496</v>
      </c>
      <c r="Z16" s="434" t="s">
        <v>168</v>
      </c>
      <c r="AA16" s="438">
        <v>2052</v>
      </c>
      <c r="AB16" s="438">
        <f t="shared" si="6"/>
        <v>0</v>
      </c>
      <c r="AC16" s="435" t="s">
        <v>113</v>
      </c>
      <c r="AD16" s="435" t="s">
        <v>114</v>
      </c>
      <c r="AE16" s="434" t="s">
        <v>78</v>
      </c>
      <c r="AF16" s="434" t="s">
        <v>115</v>
      </c>
      <c r="AG16" s="441">
        <f t="shared" si="10"/>
        <v>2052</v>
      </c>
      <c r="AH16" s="441">
        <f t="shared" si="27"/>
        <v>2052</v>
      </c>
      <c r="AI16" s="441"/>
      <c r="AJ16" s="441"/>
      <c r="AK16" s="441">
        <f t="shared" si="28"/>
        <v>2052</v>
      </c>
      <c r="AL16" s="441"/>
      <c r="AM16" s="441"/>
      <c r="AN16" s="441">
        <f t="shared" si="11"/>
        <v>2052</v>
      </c>
      <c r="AO16" s="441"/>
      <c r="AP16" s="441"/>
      <c r="AQ16" s="441">
        <f>I16/27</f>
        <v>76</v>
      </c>
      <c r="AR16" s="441"/>
      <c r="AS16" s="441"/>
      <c r="AT16" s="441"/>
      <c r="AU16" s="441"/>
      <c r="AV16" s="441"/>
      <c r="AW16" s="441"/>
      <c r="AX16" s="441"/>
      <c r="AY16" s="441"/>
      <c r="AZ16" s="441"/>
      <c r="BA16" s="441"/>
      <c r="BB16" s="441"/>
      <c r="BC16" s="441"/>
      <c r="BD16" s="441"/>
      <c r="BE16" s="441"/>
      <c r="BF16" s="441"/>
      <c r="BG16" s="441"/>
      <c r="BH16" s="441"/>
      <c r="BI16" s="59"/>
      <c r="BJ16" s="423">
        <f t="shared" ref="BJ16:BR16" si="31">$I16*BJ$2</f>
        <v>251.156249999999</v>
      </c>
      <c r="BK16" s="423">
        <f t="shared" si="31"/>
        <v>251.156249999999</v>
      </c>
      <c r="BL16" s="423">
        <f t="shared" si="31"/>
        <v>251.156249999999</v>
      </c>
      <c r="BM16" s="423">
        <f t="shared" si="31"/>
        <v>251.156249999999</v>
      </c>
      <c r="BN16" s="423">
        <f t="shared" si="31"/>
        <v>251.156249999999</v>
      </c>
      <c r="BO16" s="423">
        <f t="shared" si="31"/>
        <v>251.156249999999</v>
      </c>
      <c r="BP16" s="423">
        <f t="shared" si="31"/>
        <v>251.156249999999</v>
      </c>
      <c r="BQ16" s="423">
        <f t="shared" si="31"/>
        <v>251.156249999999</v>
      </c>
      <c r="BR16" s="423">
        <f t="shared" si="31"/>
        <v>42.7499999999999</v>
      </c>
      <c r="BS16" s="59"/>
      <c r="BT16" s="59">
        <f t="shared" ref="BT16:CB16" si="32">BT15-BJ16</f>
        <v>128460.3359375</v>
      </c>
      <c r="BU16" s="59">
        <f t="shared" si="32"/>
        <v>128460.3359375</v>
      </c>
      <c r="BV16" s="59">
        <f t="shared" si="32"/>
        <v>128460.3359375</v>
      </c>
      <c r="BW16" s="59">
        <f t="shared" si="32"/>
        <v>128460.3359375</v>
      </c>
      <c r="BX16" s="59">
        <f t="shared" si="32"/>
        <v>128460.3359375</v>
      </c>
      <c r="BY16" s="59">
        <f t="shared" si="32"/>
        <v>128460.3359375</v>
      </c>
      <c r="BZ16" s="59">
        <f t="shared" si="32"/>
        <v>128460.3359375</v>
      </c>
      <c r="CA16" s="59">
        <f t="shared" si="32"/>
        <v>128460.3359375</v>
      </c>
      <c r="CB16" s="59">
        <f t="shared" si="32"/>
        <v>21867.3125</v>
      </c>
    </row>
    <row r="17" s="372" customFormat="1" ht="27" customHeight="1" spans="1:87">
      <c r="A17" s="428">
        <v>45719</v>
      </c>
      <c r="B17" s="429" t="s">
        <v>169</v>
      </c>
      <c r="C17" s="430" t="s">
        <v>170</v>
      </c>
      <c r="D17" s="431">
        <v>4500159004</v>
      </c>
      <c r="E17" s="430" t="s">
        <v>171</v>
      </c>
      <c r="F17" s="429" t="s">
        <v>172</v>
      </c>
      <c r="G17" s="432" t="s">
        <v>173</v>
      </c>
      <c r="H17" s="429" t="s">
        <v>174</v>
      </c>
      <c r="I17" s="433">
        <v>2508</v>
      </c>
      <c r="J17" s="433">
        <v>0</v>
      </c>
      <c r="K17" s="433">
        <v>66</v>
      </c>
      <c r="L17" s="433">
        <f t="shared" si="24"/>
        <v>38</v>
      </c>
      <c r="M17" s="434">
        <v>45756</v>
      </c>
      <c r="N17" s="434">
        <v>45751</v>
      </c>
      <c r="O17" s="435"/>
      <c r="P17" s="496" t="s">
        <v>175</v>
      </c>
      <c r="Q17" s="435" t="s">
        <v>176</v>
      </c>
      <c r="R17" s="435">
        <v>45719</v>
      </c>
      <c r="S17" s="435" t="s">
        <v>80</v>
      </c>
      <c r="T17" s="435" t="s">
        <v>80</v>
      </c>
      <c r="U17" s="435"/>
      <c r="V17" s="438" t="s">
        <v>177</v>
      </c>
      <c r="W17" s="434" t="s">
        <v>178</v>
      </c>
      <c r="X17" s="421">
        <v>59.55</v>
      </c>
      <c r="Y17" s="433">
        <f>X17*L17</f>
        <v>2262.9</v>
      </c>
      <c r="Z17" s="434" t="s">
        <v>179</v>
      </c>
      <c r="AA17" s="438">
        <v>2508</v>
      </c>
      <c r="AB17" s="438">
        <f t="shared" si="6"/>
        <v>0</v>
      </c>
      <c r="AC17" s="435" t="s">
        <v>80</v>
      </c>
      <c r="AD17" s="435" t="s">
        <v>114</v>
      </c>
      <c r="AE17" s="434" t="s">
        <v>173</v>
      </c>
      <c r="AF17" s="434" t="s">
        <v>115</v>
      </c>
      <c r="AG17" s="441">
        <f t="shared" si="10"/>
        <v>2508</v>
      </c>
      <c r="AH17" s="441">
        <f t="shared" si="27"/>
        <v>2508</v>
      </c>
      <c r="AI17" s="441"/>
      <c r="AJ17" s="441"/>
      <c r="AK17" s="441">
        <f t="shared" si="28"/>
        <v>2508</v>
      </c>
      <c r="AL17" s="441"/>
      <c r="AM17" s="441"/>
      <c r="AN17" s="441">
        <f t="shared" si="11"/>
        <v>2508</v>
      </c>
      <c r="AO17" s="441"/>
      <c r="AP17" s="441"/>
      <c r="AQ17" s="441"/>
      <c r="AR17" s="441"/>
      <c r="AS17" s="441"/>
      <c r="AT17" s="441"/>
      <c r="AU17" s="441"/>
      <c r="AV17" s="441"/>
      <c r="AW17" s="441"/>
      <c r="AX17" s="441"/>
      <c r="AY17" s="441"/>
      <c r="AZ17" s="441"/>
      <c r="BA17" s="441">
        <f>I17/66</f>
        <v>38</v>
      </c>
      <c r="BB17" s="441">
        <f>BA17</f>
        <v>38</v>
      </c>
      <c r="BC17" s="441"/>
      <c r="BD17" s="441"/>
      <c r="BE17" s="441"/>
      <c r="BF17" s="441"/>
      <c r="BG17" s="441"/>
      <c r="BH17" s="441"/>
      <c r="BI17" s="59"/>
      <c r="BJ17" s="59">
        <f t="shared" ref="BJ17:BR17" si="33">$I17*BJ$2</f>
        <v>306.968749999999</v>
      </c>
      <c r="BK17" s="59">
        <f t="shared" si="33"/>
        <v>306.968749999999</v>
      </c>
      <c r="BL17" s="59">
        <f t="shared" si="33"/>
        <v>306.968749999999</v>
      </c>
      <c r="BM17" s="59">
        <f t="shared" si="33"/>
        <v>306.968749999999</v>
      </c>
      <c r="BN17" s="59">
        <f t="shared" si="33"/>
        <v>306.968749999999</v>
      </c>
      <c r="BO17" s="59">
        <f t="shared" si="33"/>
        <v>306.968749999999</v>
      </c>
      <c r="BP17" s="59">
        <f t="shared" si="33"/>
        <v>306.968749999999</v>
      </c>
      <c r="BQ17" s="59">
        <f t="shared" si="33"/>
        <v>306.968749999999</v>
      </c>
      <c r="BR17" s="59">
        <f t="shared" si="33"/>
        <v>52.2499999999999</v>
      </c>
      <c r="BS17" s="497"/>
      <c r="BT17" s="59">
        <f t="shared" ref="BT17:CB17" si="34">BT16-BJ17</f>
        <v>128153.3671875</v>
      </c>
      <c r="BU17" s="59">
        <f t="shared" si="34"/>
        <v>128153.3671875</v>
      </c>
      <c r="BV17" s="59">
        <f t="shared" si="34"/>
        <v>128153.3671875</v>
      </c>
      <c r="BW17" s="59">
        <f t="shared" si="34"/>
        <v>128153.3671875</v>
      </c>
      <c r="BX17" s="59">
        <f t="shared" si="34"/>
        <v>128153.3671875</v>
      </c>
      <c r="BY17" s="59">
        <f t="shared" si="34"/>
        <v>128153.3671875</v>
      </c>
      <c r="BZ17" s="59">
        <f t="shared" si="34"/>
        <v>128153.3671875</v>
      </c>
      <c r="CA17" s="59">
        <f t="shared" si="34"/>
        <v>128153.3671875</v>
      </c>
      <c r="CB17" s="59">
        <f t="shared" si="34"/>
        <v>21815.0625</v>
      </c>
    </row>
    <row r="18" s="372" customFormat="1" ht="27" customHeight="1" spans="1:87">
      <c r="A18" s="428">
        <v>45719</v>
      </c>
      <c r="B18" s="429" t="s">
        <v>169</v>
      </c>
      <c r="C18" s="430" t="s">
        <v>170</v>
      </c>
      <c r="D18" s="431">
        <v>4500159005</v>
      </c>
      <c r="E18" s="430" t="s">
        <v>180</v>
      </c>
      <c r="F18" s="429" t="s">
        <v>181</v>
      </c>
      <c r="G18" s="432" t="s">
        <v>173</v>
      </c>
      <c r="H18" s="429" t="s">
        <v>174</v>
      </c>
      <c r="I18" s="433">
        <v>792</v>
      </c>
      <c r="J18" s="433">
        <v>0</v>
      </c>
      <c r="K18" s="433">
        <v>66</v>
      </c>
      <c r="L18" s="433">
        <f t="shared" si="24"/>
        <v>12</v>
      </c>
      <c r="M18" s="434">
        <v>45756</v>
      </c>
      <c r="N18" s="434">
        <v>45751</v>
      </c>
      <c r="O18" s="435"/>
      <c r="P18" s="496" t="s">
        <v>175</v>
      </c>
      <c r="Q18" s="435"/>
      <c r="R18" s="435">
        <v>45719</v>
      </c>
      <c r="S18" s="435" t="s">
        <v>80</v>
      </c>
      <c r="T18" s="435" t="s">
        <v>80</v>
      </c>
      <c r="U18" s="435"/>
      <c r="V18" s="438" t="s">
        <v>182</v>
      </c>
      <c r="W18" s="434" t="s">
        <v>178</v>
      </c>
      <c r="X18" s="421">
        <v>59.55</v>
      </c>
      <c r="Y18" s="433">
        <f>X18*L18</f>
        <v>714.6</v>
      </c>
      <c r="Z18" s="434" t="s">
        <v>183</v>
      </c>
      <c r="AA18" s="438">
        <v>792</v>
      </c>
      <c r="AB18" s="438">
        <f t="shared" si="6"/>
        <v>0</v>
      </c>
      <c r="AC18" s="435" t="s">
        <v>80</v>
      </c>
      <c r="AD18" s="435" t="s">
        <v>114</v>
      </c>
      <c r="AE18" s="434" t="s">
        <v>173</v>
      </c>
      <c r="AF18" s="434" t="s">
        <v>115</v>
      </c>
      <c r="AG18" s="441">
        <f t="shared" si="10"/>
        <v>792</v>
      </c>
      <c r="AH18" s="441">
        <f t="shared" si="27"/>
        <v>792</v>
      </c>
      <c r="AI18" s="441"/>
      <c r="AJ18" s="441"/>
      <c r="AK18" s="441">
        <f t="shared" si="28"/>
        <v>792</v>
      </c>
      <c r="AL18" s="441"/>
      <c r="AM18" s="441"/>
      <c r="AN18" s="441">
        <f t="shared" si="11"/>
        <v>792</v>
      </c>
      <c r="AO18" s="441"/>
      <c r="AP18" s="441"/>
      <c r="AQ18" s="441"/>
      <c r="AR18" s="441"/>
      <c r="AS18" s="441"/>
      <c r="AT18" s="441"/>
      <c r="AU18" s="441"/>
      <c r="AV18" s="441"/>
      <c r="AW18" s="441"/>
      <c r="AX18" s="441"/>
      <c r="AY18" s="441"/>
      <c r="AZ18" s="441"/>
      <c r="BA18" s="441">
        <f>I18/66</f>
        <v>12</v>
      </c>
      <c r="BB18" s="441">
        <f>BA18</f>
        <v>12</v>
      </c>
      <c r="BC18" s="441"/>
      <c r="BD18" s="441"/>
      <c r="BE18" s="441"/>
      <c r="BF18" s="441"/>
      <c r="BG18" s="441"/>
      <c r="BH18" s="441"/>
      <c r="BI18" s="59"/>
      <c r="BJ18" s="59">
        <f t="shared" ref="BJ18:BR18" si="35">$I18*BJ$2</f>
        <v>96.9374999999997</v>
      </c>
      <c r="BK18" s="59">
        <f t="shared" si="35"/>
        <v>96.9374999999997</v>
      </c>
      <c r="BL18" s="59">
        <f t="shared" si="35"/>
        <v>96.9374999999997</v>
      </c>
      <c r="BM18" s="59">
        <f t="shared" si="35"/>
        <v>96.9374999999997</v>
      </c>
      <c r="BN18" s="59">
        <f t="shared" si="35"/>
        <v>96.9374999999997</v>
      </c>
      <c r="BO18" s="59">
        <f t="shared" si="35"/>
        <v>96.9374999999997</v>
      </c>
      <c r="BP18" s="59">
        <f t="shared" si="35"/>
        <v>96.9374999999997</v>
      </c>
      <c r="BQ18" s="59">
        <f t="shared" si="35"/>
        <v>96.9374999999997</v>
      </c>
      <c r="BR18" s="59">
        <f t="shared" si="35"/>
        <v>16.5</v>
      </c>
      <c r="BS18" s="497"/>
      <c r="BT18" s="59">
        <f t="shared" ref="BT18:CB18" si="36">BT17-BJ18</f>
        <v>128056.4296875</v>
      </c>
      <c r="BU18" s="59">
        <f t="shared" si="36"/>
        <v>128056.4296875</v>
      </c>
      <c r="BV18" s="59">
        <f t="shared" si="36"/>
        <v>128056.4296875</v>
      </c>
      <c r="BW18" s="59">
        <f t="shared" si="36"/>
        <v>128056.4296875</v>
      </c>
      <c r="BX18" s="59">
        <f t="shared" si="36"/>
        <v>128056.4296875</v>
      </c>
      <c r="BY18" s="59">
        <f t="shared" si="36"/>
        <v>128056.4296875</v>
      </c>
      <c r="BZ18" s="59">
        <f t="shared" si="36"/>
        <v>128056.4296875</v>
      </c>
      <c r="CA18" s="59">
        <f t="shared" si="36"/>
        <v>128056.4296875</v>
      </c>
      <c r="CB18" s="59">
        <f t="shared" si="36"/>
        <v>21798.5625</v>
      </c>
    </row>
    <row r="19" s="372" customFormat="1" ht="27" hidden="1" customHeight="1" spans="1:87">
      <c r="A19" s="428">
        <v>45713</v>
      </c>
      <c r="B19" s="429" t="s">
        <v>184</v>
      </c>
      <c r="C19" s="430" t="s">
        <v>185</v>
      </c>
      <c r="D19" s="431">
        <v>4500158469</v>
      </c>
      <c r="E19" s="430" t="s">
        <v>186</v>
      </c>
      <c r="F19" s="429" t="s">
        <v>187</v>
      </c>
      <c r="G19" s="432" t="s">
        <v>188</v>
      </c>
      <c r="H19" s="429" t="s">
        <v>120</v>
      </c>
      <c r="I19" s="433">
        <v>492</v>
      </c>
      <c r="J19" s="433">
        <v>0</v>
      </c>
      <c r="K19" s="433">
        <v>12</v>
      </c>
      <c r="L19" s="433">
        <f t="shared" si="24"/>
        <v>41</v>
      </c>
      <c r="M19" s="434">
        <v>45757</v>
      </c>
      <c r="N19" s="434">
        <v>45754</v>
      </c>
      <c r="O19" s="435"/>
      <c r="P19" s="496" t="s">
        <v>175</v>
      </c>
      <c r="Q19" s="435" t="s">
        <v>189</v>
      </c>
      <c r="R19" s="435" t="s">
        <v>190</v>
      </c>
      <c r="S19" s="435" t="s">
        <v>191</v>
      </c>
      <c r="T19" s="435" t="s">
        <v>192</v>
      </c>
      <c r="U19" s="435"/>
      <c r="V19" s="438" t="s">
        <v>193</v>
      </c>
      <c r="W19" s="434" t="s">
        <v>194</v>
      </c>
      <c r="X19" s="421">
        <v>1.8938</v>
      </c>
      <c r="Y19" s="433">
        <f t="shared" ref="Y19:Y24" si="37">X19*I19</f>
        <v>931.7496</v>
      </c>
      <c r="Z19" s="498" t="s">
        <v>195</v>
      </c>
      <c r="AA19" s="438">
        <v>492</v>
      </c>
      <c r="AB19" s="438">
        <f t="shared" si="6"/>
        <v>0</v>
      </c>
      <c r="AC19" s="435" t="s">
        <v>113</v>
      </c>
      <c r="AD19" s="435" t="s">
        <v>114</v>
      </c>
      <c r="AE19" s="434" t="s">
        <v>188</v>
      </c>
      <c r="AF19" s="434" t="s">
        <v>115</v>
      </c>
      <c r="AG19" s="441">
        <f t="shared" ref="AG19:AG21" si="38">I19*2</f>
        <v>984</v>
      </c>
      <c r="AH19" s="441">
        <f t="shared" ref="AH19:AH21" si="39">I19*2</f>
        <v>984</v>
      </c>
      <c r="AI19" s="441"/>
      <c r="AJ19" s="441"/>
      <c r="AK19" s="441"/>
      <c r="AL19" s="441">
        <f t="shared" ref="AL19:AL21" si="40">I19*2</f>
        <v>984</v>
      </c>
      <c r="AM19" s="441"/>
      <c r="AN19" s="441">
        <f t="shared" ref="AN19:AN21" si="41">I19*2</f>
        <v>984</v>
      </c>
      <c r="AO19" s="441"/>
      <c r="AP19" s="441"/>
      <c r="AQ19" s="441"/>
      <c r="AR19" s="441"/>
      <c r="AS19" s="441"/>
      <c r="AT19" s="441"/>
      <c r="AU19" s="441"/>
      <c r="AV19" s="441"/>
      <c r="AW19" s="441"/>
      <c r="AX19" s="441"/>
      <c r="AY19" s="441"/>
      <c r="AZ19" s="441"/>
      <c r="BA19" s="441"/>
      <c r="BB19" s="441"/>
      <c r="BC19" s="441"/>
      <c r="BD19" s="441"/>
      <c r="BE19" s="441"/>
      <c r="BF19" s="441">
        <f t="shared" ref="BF19:BF21" si="42">I19</f>
        <v>492</v>
      </c>
      <c r="BG19" s="441">
        <f t="shared" ref="BG19:BG21" si="43">I19</f>
        <v>492</v>
      </c>
      <c r="BH19" s="441"/>
      <c r="BI19" s="441"/>
      <c r="BJ19" s="59">
        <f t="shared" ref="BJ19:BR19" si="44">$I19*BJ$2*2</f>
        <v>120.4375</v>
      </c>
      <c r="BK19" s="59">
        <f t="shared" si="44"/>
        <v>120.4375</v>
      </c>
      <c r="BL19" s="59">
        <f t="shared" si="44"/>
        <v>120.4375</v>
      </c>
      <c r="BM19" s="59">
        <f t="shared" si="44"/>
        <v>120.4375</v>
      </c>
      <c r="BN19" s="59">
        <f t="shared" si="44"/>
        <v>120.4375</v>
      </c>
      <c r="BO19" s="59">
        <f t="shared" si="44"/>
        <v>120.4375</v>
      </c>
      <c r="BP19" s="59">
        <f t="shared" si="44"/>
        <v>120.4375</v>
      </c>
      <c r="BQ19" s="59">
        <f t="shared" si="44"/>
        <v>120.4375</v>
      </c>
      <c r="BR19" s="59">
        <f t="shared" si="44"/>
        <v>20.5</v>
      </c>
      <c r="BT19" s="59">
        <f t="shared" ref="BT19:CB19" si="45">BT18-BJ19</f>
        <v>127935.9921875</v>
      </c>
      <c r="BU19" s="59">
        <f t="shared" si="45"/>
        <v>127935.9921875</v>
      </c>
      <c r="BV19" s="59">
        <f t="shared" si="45"/>
        <v>127935.9921875</v>
      </c>
      <c r="BW19" s="59">
        <f t="shared" si="45"/>
        <v>127935.9921875</v>
      </c>
      <c r="BX19" s="59">
        <f t="shared" si="45"/>
        <v>127935.9921875</v>
      </c>
      <c r="BY19" s="59">
        <f t="shared" si="45"/>
        <v>127935.9921875</v>
      </c>
      <c r="BZ19" s="59">
        <f t="shared" si="45"/>
        <v>127935.9921875</v>
      </c>
      <c r="CA19" s="59">
        <f t="shared" si="45"/>
        <v>127935.9921875</v>
      </c>
      <c r="CB19" s="59">
        <f t="shared" si="45"/>
        <v>21778.0625</v>
      </c>
      <c r="CD19" s="495" t="s">
        <v>127</v>
      </c>
      <c r="CH19" s="372">
        <f>CH11-I19</f>
        <v>9016</v>
      </c>
      <c r="CI19" s="372">
        <f>CI11-I19</f>
        <v>4016</v>
      </c>
    </row>
    <row r="20" s="372" customFormat="1" ht="27" hidden="1" customHeight="1" spans="1:87">
      <c r="A20" s="428">
        <v>45720</v>
      </c>
      <c r="B20" s="429" t="s">
        <v>196</v>
      </c>
      <c r="C20" s="430" t="s">
        <v>129</v>
      </c>
      <c r="D20" s="431">
        <v>4500158578</v>
      </c>
      <c r="E20" s="430" t="s">
        <v>197</v>
      </c>
      <c r="F20" s="429" t="s">
        <v>198</v>
      </c>
      <c r="G20" s="432" t="s">
        <v>188</v>
      </c>
      <c r="H20" s="429" t="s">
        <v>120</v>
      </c>
      <c r="I20" s="433">
        <v>744</v>
      </c>
      <c r="J20" s="433">
        <v>0</v>
      </c>
      <c r="K20" s="433">
        <v>12</v>
      </c>
      <c r="L20" s="433">
        <f t="shared" si="24"/>
        <v>62</v>
      </c>
      <c r="M20" s="434">
        <v>45757</v>
      </c>
      <c r="N20" s="434">
        <v>45754</v>
      </c>
      <c r="O20" s="435"/>
      <c r="P20" s="496" t="s">
        <v>175</v>
      </c>
      <c r="Q20" s="435" t="s">
        <v>199</v>
      </c>
      <c r="R20" s="435" t="s">
        <v>190</v>
      </c>
      <c r="S20" s="435" t="s">
        <v>191</v>
      </c>
      <c r="T20" s="435" t="s">
        <v>200</v>
      </c>
      <c r="U20" s="435"/>
      <c r="V20" s="438" t="s">
        <v>201</v>
      </c>
      <c r="W20" s="434" t="s">
        <v>194</v>
      </c>
      <c r="X20" s="421">
        <v>1.8626</v>
      </c>
      <c r="Y20" s="433">
        <f t="shared" si="37"/>
        <v>1385.7744</v>
      </c>
      <c r="Z20" s="434" t="s">
        <v>202</v>
      </c>
      <c r="AA20" s="438">
        <v>744</v>
      </c>
      <c r="AB20" s="438">
        <f t="shared" si="6"/>
        <v>0</v>
      </c>
      <c r="AC20" s="435" t="s">
        <v>113</v>
      </c>
      <c r="AD20" s="435" t="s">
        <v>114</v>
      </c>
      <c r="AE20" s="434" t="s">
        <v>188</v>
      </c>
      <c r="AF20" s="434" t="s">
        <v>115</v>
      </c>
      <c r="AG20" s="441">
        <f t="shared" si="38"/>
        <v>1488</v>
      </c>
      <c r="AH20" s="441">
        <f t="shared" si="39"/>
        <v>1488</v>
      </c>
      <c r="AI20" s="441"/>
      <c r="AJ20" s="441"/>
      <c r="AK20" s="441"/>
      <c r="AL20" s="441">
        <f t="shared" si="40"/>
        <v>1488</v>
      </c>
      <c r="AM20" s="441"/>
      <c r="AN20" s="441">
        <f t="shared" si="41"/>
        <v>1488</v>
      </c>
      <c r="AO20" s="441"/>
      <c r="AP20" s="441"/>
      <c r="AQ20" s="441"/>
      <c r="AR20" s="441"/>
      <c r="AS20" s="441"/>
      <c r="AT20" s="441"/>
      <c r="AU20" s="441"/>
      <c r="AV20" s="441"/>
      <c r="AW20" s="441"/>
      <c r="AX20" s="441"/>
      <c r="AY20" s="441"/>
      <c r="AZ20" s="441"/>
      <c r="BA20" s="441"/>
      <c r="BB20" s="441"/>
      <c r="BC20" s="441"/>
      <c r="BD20" s="441"/>
      <c r="BE20" s="441"/>
      <c r="BF20" s="441">
        <f t="shared" si="42"/>
        <v>744</v>
      </c>
      <c r="BG20" s="441">
        <f t="shared" si="43"/>
        <v>744</v>
      </c>
      <c r="BH20" s="441"/>
      <c r="BI20" s="441"/>
      <c r="BJ20" s="59">
        <f t="shared" ref="BJ20:BR20" si="46">$I20*BJ$2*2</f>
        <v>182.124999999999</v>
      </c>
      <c r="BK20" s="59">
        <f t="shared" si="46"/>
        <v>182.124999999999</v>
      </c>
      <c r="BL20" s="59">
        <f t="shared" si="46"/>
        <v>182.124999999999</v>
      </c>
      <c r="BM20" s="59">
        <f t="shared" si="46"/>
        <v>182.124999999999</v>
      </c>
      <c r="BN20" s="59">
        <f t="shared" si="46"/>
        <v>182.124999999999</v>
      </c>
      <c r="BO20" s="59">
        <f t="shared" si="46"/>
        <v>182.124999999999</v>
      </c>
      <c r="BP20" s="59">
        <f t="shared" si="46"/>
        <v>182.124999999999</v>
      </c>
      <c r="BQ20" s="59">
        <f t="shared" si="46"/>
        <v>182.124999999999</v>
      </c>
      <c r="BR20" s="59">
        <f t="shared" si="46"/>
        <v>31</v>
      </c>
      <c r="BT20" s="59">
        <f t="shared" ref="BT20:CB20" si="47">BT19-BJ20</f>
        <v>127753.8671875</v>
      </c>
      <c r="BU20" s="59">
        <f t="shared" si="47"/>
        <v>127753.8671875</v>
      </c>
      <c r="BV20" s="59">
        <f t="shared" si="47"/>
        <v>127753.8671875</v>
      </c>
      <c r="BW20" s="59">
        <f t="shared" si="47"/>
        <v>127753.8671875</v>
      </c>
      <c r="BX20" s="59">
        <f t="shared" si="47"/>
        <v>127753.8671875</v>
      </c>
      <c r="BY20" s="59">
        <f t="shared" si="47"/>
        <v>127753.8671875</v>
      </c>
      <c r="BZ20" s="59">
        <f t="shared" si="47"/>
        <v>127753.8671875</v>
      </c>
      <c r="CA20" s="59">
        <f t="shared" si="47"/>
        <v>127753.8671875</v>
      </c>
      <c r="CB20" s="59">
        <f t="shared" si="47"/>
        <v>21747.0625</v>
      </c>
      <c r="CD20" s="495" t="s">
        <v>127</v>
      </c>
      <c r="CH20" s="372">
        <f>CH19-I20</f>
        <v>8272</v>
      </c>
      <c r="CI20" s="372">
        <f>CI19-I20</f>
        <v>3272</v>
      </c>
    </row>
    <row r="21" s="372" customFormat="1" ht="27" hidden="1" customHeight="1" spans="1:87">
      <c r="A21" s="428">
        <v>45720</v>
      </c>
      <c r="B21" s="429" t="s">
        <v>196</v>
      </c>
      <c r="C21" s="430" t="s">
        <v>203</v>
      </c>
      <c r="D21" s="431">
        <v>4500158578</v>
      </c>
      <c r="E21" s="430" t="s">
        <v>204</v>
      </c>
      <c r="F21" s="429" t="s">
        <v>205</v>
      </c>
      <c r="G21" s="432" t="s">
        <v>188</v>
      </c>
      <c r="H21" s="429" t="s">
        <v>120</v>
      </c>
      <c r="I21" s="433">
        <v>492</v>
      </c>
      <c r="J21" s="433">
        <v>0</v>
      </c>
      <c r="K21" s="433">
        <v>12</v>
      </c>
      <c r="L21" s="433">
        <f t="shared" si="24"/>
        <v>41</v>
      </c>
      <c r="M21" s="434">
        <v>45757</v>
      </c>
      <c r="N21" s="434">
        <v>45754</v>
      </c>
      <c r="O21" s="435"/>
      <c r="P21" s="496" t="s">
        <v>175</v>
      </c>
      <c r="Q21" s="435" t="s">
        <v>199</v>
      </c>
      <c r="R21" s="435" t="s">
        <v>190</v>
      </c>
      <c r="S21" s="435" t="s">
        <v>191</v>
      </c>
      <c r="T21" s="435" t="s">
        <v>200</v>
      </c>
      <c r="U21" s="435"/>
      <c r="V21" s="438" t="s">
        <v>201</v>
      </c>
      <c r="W21" s="434" t="s">
        <v>194</v>
      </c>
      <c r="X21" s="421">
        <v>1.8626</v>
      </c>
      <c r="Y21" s="433">
        <f t="shared" si="37"/>
        <v>916.3992</v>
      </c>
      <c r="Z21" s="434" t="s">
        <v>206</v>
      </c>
      <c r="AA21" s="438">
        <v>492</v>
      </c>
      <c r="AB21" s="438">
        <f t="shared" si="6"/>
        <v>0</v>
      </c>
      <c r="AC21" s="435" t="s">
        <v>113</v>
      </c>
      <c r="AD21" s="435" t="s">
        <v>114</v>
      </c>
      <c r="AE21" s="434" t="s">
        <v>188</v>
      </c>
      <c r="AF21" s="434" t="s">
        <v>115</v>
      </c>
      <c r="AG21" s="441">
        <f t="shared" si="38"/>
        <v>984</v>
      </c>
      <c r="AH21" s="441">
        <f t="shared" si="39"/>
        <v>984</v>
      </c>
      <c r="AI21" s="441"/>
      <c r="AJ21" s="441"/>
      <c r="AK21" s="441"/>
      <c r="AL21" s="441">
        <f t="shared" si="40"/>
        <v>984</v>
      </c>
      <c r="AM21" s="441"/>
      <c r="AN21" s="441">
        <f t="shared" si="41"/>
        <v>984</v>
      </c>
      <c r="AO21" s="441"/>
      <c r="AP21" s="441"/>
      <c r="AQ21" s="441"/>
      <c r="AR21" s="441"/>
      <c r="AS21" s="441"/>
      <c r="AT21" s="441"/>
      <c r="AU21" s="441"/>
      <c r="AV21" s="441"/>
      <c r="AW21" s="441"/>
      <c r="AX21" s="441"/>
      <c r="AY21" s="441"/>
      <c r="AZ21" s="441"/>
      <c r="BA21" s="441"/>
      <c r="BB21" s="441"/>
      <c r="BC21" s="441"/>
      <c r="BD21" s="441"/>
      <c r="BE21" s="441"/>
      <c r="BF21" s="441">
        <f t="shared" si="42"/>
        <v>492</v>
      </c>
      <c r="BG21" s="441">
        <f t="shared" si="43"/>
        <v>492</v>
      </c>
      <c r="BH21" s="441"/>
      <c r="BI21" s="441"/>
      <c r="BJ21" s="59">
        <f t="shared" ref="BJ21:BR21" si="48">$I21*BJ$2*2</f>
        <v>120.4375</v>
      </c>
      <c r="BK21" s="59">
        <f t="shared" si="48"/>
        <v>120.4375</v>
      </c>
      <c r="BL21" s="59">
        <f t="shared" si="48"/>
        <v>120.4375</v>
      </c>
      <c r="BM21" s="59">
        <f t="shared" si="48"/>
        <v>120.4375</v>
      </c>
      <c r="BN21" s="59">
        <f t="shared" si="48"/>
        <v>120.4375</v>
      </c>
      <c r="BO21" s="59">
        <f t="shared" si="48"/>
        <v>120.4375</v>
      </c>
      <c r="BP21" s="59">
        <f t="shared" si="48"/>
        <v>120.4375</v>
      </c>
      <c r="BQ21" s="59">
        <f t="shared" si="48"/>
        <v>120.4375</v>
      </c>
      <c r="BR21" s="59">
        <f t="shared" si="48"/>
        <v>20.5</v>
      </c>
      <c r="BT21" s="59">
        <f t="shared" ref="BT21:CB21" si="49">BT20-BJ21</f>
        <v>127633.4296875</v>
      </c>
      <c r="BU21" s="59">
        <f t="shared" si="49"/>
        <v>127633.4296875</v>
      </c>
      <c r="BV21" s="59">
        <f t="shared" si="49"/>
        <v>127633.4296875</v>
      </c>
      <c r="BW21" s="59">
        <f t="shared" si="49"/>
        <v>127633.4296875</v>
      </c>
      <c r="BX21" s="59">
        <f t="shared" si="49"/>
        <v>127633.4296875</v>
      </c>
      <c r="BY21" s="59">
        <f t="shared" si="49"/>
        <v>127633.4296875</v>
      </c>
      <c r="BZ21" s="59">
        <f t="shared" si="49"/>
        <v>127633.4296875</v>
      </c>
      <c r="CA21" s="59">
        <f t="shared" si="49"/>
        <v>127633.4296875</v>
      </c>
      <c r="CB21" s="59">
        <f t="shared" si="49"/>
        <v>21726.5625</v>
      </c>
      <c r="CD21" s="495" t="s">
        <v>127</v>
      </c>
      <c r="CH21" s="372">
        <f>CH20-I21</f>
        <v>7780</v>
      </c>
      <c r="CI21" s="372">
        <f>CI20-I21</f>
        <v>2780</v>
      </c>
    </row>
    <row r="22" s="371" customFormat="1" ht="27" hidden="1" customHeight="1" spans="1:87">
      <c r="A22" s="410">
        <v>45737</v>
      </c>
      <c r="B22" s="411" t="s">
        <v>207</v>
      </c>
      <c r="C22" s="412" t="s">
        <v>208</v>
      </c>
      <c r="D22" s="413">
        <v>4500160929</v>
      </c>
      <c r="E22" s="412" t="s">
        <v>209</v>
      </c>
      <c r="F22" s="411" t="s">
        <v>210</v>
      </c>
      <c r="G22" s="414" t="s">
        <v>94</v>
      </c>
      <c r="H22" s="411" t="s">
        <v>211</v>
      </c>
      <c r="I22" s="415">
        <v>780</v>
      </c>
      <c r="J22" s="415">
        <v>0</v>
      </c>
      <c r="K22" s="415">
        <v>52</v>
      </c>
      <c r="L22" s="415">
        <f t="shared" si="24"/>
        <v>15</v>
      </c>
      <c r="M22" s="416">
        <v>45761</v>
      </c>
      <c r="N22" s="416">
        <v>45757</v>
      </c>
      <c r="O22" s="417"/>
      <c r="P22" s="499" t="s">
        <v>107</v>
      </c>
      <c r="Q22" s="417" t="s">
        <v>176</v>
      </c>
      <c r="R22" s="417">
        <v>45737</v>
      </c>
      <c r="S22" s="417" t="s">
        <v>80</v>
      </c>
      <c r="T22" s="417" t="s">
        <v>212</v>
      </c>
      <c r="U22" s="417"/>
      <c r="V22" s="420" t="s">
        <v>213</v>
      </c>
      <c r="W22" s="416" t="s">
        <v>214</v>
      </c>
      <c r="X22" s="421">
        <v>0.8533</v>
      </c>
      <c r="Y22" s="415">
        <f t="shared" si="37"/>
        <v>665.574</v>
      </c>
      <c r="Z22" s="416" t="s">
        <v>215</v>
      </c>
      <c r="AA22" s="420">
        <v>780</v>
      </c>
      <c r="AB22" s="420">
        <f t="shared" si="6"/>
        <v>0</v>
      </c>
      <c r="AC22" s="417" t="s">
        <v>113</v>
      </c>
      <c r="AD22" s="417" t="s">
        <v>114</v>
      </c>
      <c r="AE22" s="416" t="s">
        <v>94</v>
      </c>
      <c r="AF22" s="416" t="s">
        <v>115</v>
      </c>
      <c r="AG22" s="422">
        <f t="shared" ref="AG22:AG24" si="50">I22</f>
        <v>780</v>
      </c>
      <c r="AH22" s="422">
        <f t="shared" ref="AH22:AH24" si="51">I22</f>
        <v>780</v>
      </c>
      <c r="AI22" s="422"/>
      <c r="AJ22" s="422"/>
      <c r="AK22" s="422">
        <f t="shared" ref="AK22:AK31" si="52">I22</f>
        <v>780</v>
      </c>
      <c r="AL22" s="422"/>
      <c r="AM22" s="422"/>
      <c r="AN22" s="422">
        <f t="shared" ref="AN22:AN24" si="53">I22</f>
        <v>780</v>
      </c>
      <c r="AO22" s="422"/>
      <c r="AP22" s="422"/>
      <c r="AQ22" s="422"/>
      <c r="AR22" s="422"/>
      <c r="AS22" s="422"/>
      <c r="AT22" s="422">
        <f>I22/13</f>
        <v>60</v>
      </c>
      <c r="AU22" s="422"/>
      <c r="AV22" s="422"/>
      <c r="AW22" s="422"/>
      <c r="AX22" s="422"/>
      <c r="AY22" s="422"/>
      <c r="AZ22" s="422"/>
      <c r="BA22" s="422"/>
      <c r="BB22" s="422"/>
      <c r="BC22" s="422"/>
      <c r="BD22" s="422"/>
      <c r="BE22" s="422"/>
      <c r="BF22" s="422"/>
      <c r="BG22" s="422"/>
      <c r="BH22" s="422"/>
      <c r="BI22" s="422"/>
      <c r="BJ22" s="423">
        <f t="shared" ref="BJ22:BR22" si="54">$I22*BJ$2</f>
        <v>95.4687499999997</v>
      </c>
      <c r="BK22" s="423">
        <f t="shared" si="54"/>
        <v>95.4687499999997</v>
      </c>
      <c r="BL22" s="423">
        <f t="shared" si="54"/>
        <v>95.4687499999997</v>
      </c>
      <c r="BM22" s="423">
        <f t="shared" si="54"/>
        <v>95.4687499999997</v>
      </c>
      <c r="BN22" s="423">
        <f t="shared" si="54"/>
        <v>95.4687499999997</v>
      </c>
      <c r="BO22" s="423">
        <f t="shared" si="54"/>
        <v>95.4687499999997</v>
      </c>
      <c r="BP22" s="423">
        <f t="shared" si="54"/>
        <v>95.4687499999997</v>
      </c>
      <c r="BQ22" s="423">
        <f t="shared" si="54"/>
        <v>95.4687499999997</v>
      </c>
      <c r="BR22" s="423">
        <f t="shared" si="54"/>
        <v>16.25</v>
      </c>
      <c r="BT22" s="59">
        <f t="shared" ref="BT22:CB22" si="55">BT21-BJ22</f>
        <v>127537.9609375</v>
      </c>
      <c r="BU22" s="59">
        <f t="shared" si="55"/>
        <v>127537.9609375</v>
      </c>
      <c r="BV22" s="59">
        <f t="shared" si="55"/>
        <v>127537.9609375</v>
      </c>
      <c r="BW22" s="59">
        <f t="shared" si="55"/>
        <v>127537.9609375</v>
      </c>
      <c r="BX22" s="59">
        <f t="shared" si="55"/>
        <v>127537.9609375</v>
      </c>
      <c r="BY22" s="59">
        <f t="shared" si="55"/>
        <v>127537.9609375</v>
      </c>
      <c r="BZ22" s="59">
        <f t="shared" si="55"/>
        <v>127537.9609375</v>
      </c>
      <c r="CA22" s="59">
        <f t="shared" si="55"/>
        <v>127537.9609375</v>
      </c>
      <c r="CB22" s="59">
        <f t="shared" si="55"/>
        <v>21710.3125</v>
      </c>
    </row>
    <row r="23" s="372" customFormat="1" ht="27" hidden="1" customHeight="1" spans="1:87">
      <c r="A23" s="428">
        <v>45720</v>
      </c>
      <c r="B23" s="429" t="s">
        <v>216</v>
      </c>
      <c r="C23" s="430" t="s">
        <v>170</v>
      </c>
      <c r="D23" s="431">
        <v>4500159074</v>
      </c>
      <c r="E23" s="430">
        <v>3002</v>
      </c>
      <c r="F23" s="429" t="s">
        <v>217</v>
      </c>
      <c r="G23" s="432" t="s">
        <v>131</v>
      </c>
      <c r="H23" s="429" t="s">
        <v>132</v>
      </c>
      <c r="I23" s="433">
        <v>1350</v>
      </c>
      <c r="J23" s="433">
        <v>0</v>
      </c>
      <c r="K23" s="433">
        <v>27</v>
      </c>
      <c r="L23" s="433">
        <f t="shared" si="24"/>
        <v>50</v>
      </c>
      <c r="M23" s="434">
        <v>45763</v>
      </c>
      <c r="N23" s="434">
        <v>45758</v>
      </c>
      <c r="O23" s="435"/>
      <c r="P23" s="496" t="s">
        <v>107</v>
      </c>
      <c r="Q23" s="435" t="s">
        <v>218</v>
      </c>
      <c r="R23" s="435">
        <v>45720</v>
      </c>
      <c r="S23" s="435" t="s">
        <v>80</v>
      </c>
      <c r="T23" s="435" t="s">
        <v>80</v>
      </c>
      <c r="U23" s="435"/>
      <c r="V23" s="438" t="s">
        <v>219</v>
      </c>
      <c r="W23" s="434" t="s">
        <v>178</v>
      </c>
      <c r="X23" s="421">
        <v>0.89</v>
      </c>
      <c r="Y23" s="433">
        <f t="shared" si="37"/>
        <v>1201.5</v>
      </c>
      <c r="Z23" s="434" t="s">
        <v>220</v>
      </c>
      <c r="AA23" s="438">
        <v>1350</v>
      </c>
      <c r="AB23" s="438">
        <f t="shared" si="6"/>
        <v>0</v>
      </c>
      <c r="AC23" s="435" t="s">
        <v>80</v>
      </c>
      <c r="AD23" s="435" t="s">
        <v>114</v>
      </c>
      <c r="AE23" s="434" t="s">
        <v>131</v>
      </c>
      <c r="AF23" s="434" t="s">
        <v>115</v>
      </c>
      <c r="AG23" s="441">
        <f t="shared" si="50"/>
        <v>1350</v>
      </c>
      <c r="AH23" s="441">
        <f t="shared" si="51"/>
        <v>1350</v>
      </c>
      <c r="AI23" s="441"/>
      <c r="AJ23" s="441"/>
      <c r="AK23" s="441">
        <f t="shared" si="52"/>
        <v>1350</v>
      </c>
      <c r="AL23" s="441"/>
      <c r="AM23" s="441"/>
      <c r="AN23" s="441">
        <f t="shared" si="53"/>
        <v>1350</v>
      </c>
      <c r="AO23" s="441"/>
      <c r="AP23" s="441"/>
      <c r="AQ23" s="441">
        <f>I23/27</f>
        <v>50</v>
      </c>
      <c r="AR23" s="441"/>
      <c r="AS23" s="441"/>
      <c r="AT23" s="441"/>
      <c r="AU23" s="441"/>
      <c r="AV23" s="441"/>
      <c r="AW23" s="441"/>
      <c r="AX23" s="441"/>
      <c r="AY23" s="441"/>
      <c r="AZ23" s="441"/>
      <c r="BA23" s="441"/>
      <c r="BB23" s="441"/>
      <c r="BC23" s="441"/>
      <c r="BD23" s="441"/>
      <c r="BE23" s="441"/>
      <c r="BF23" s="441"/>
      <c r="BG23" s="441"/>
      <c r="BH23" s="441"/>
      <c r="BI23" s="441"/>
      <c r="BJ23" s="59">
        <f t="shared" ref="BJ23:BR23" si="56">$I23*BJ$2</f>
        <v>165.234375</v>
      </c>
      <c r="BK23" s="59">
        <f t="shared" si="56"/>
        <v>165.234375</v>
      </c>
      <c r="BL23" s="59">
        <f t="shared" si="56"/>
        <v>165.234375</v>
      </c>
      <c r="BM23" s="59">
        <f t="shared" si="56"/>
        <v>165.234375</v>
      </c>
      <c r="BN23" s="59">
        <f t="shared" si="56"/>
        <v>165.234375</v>
      </c>
      <c r="BO23" s="59">
        <f t="shared" si="56"/>
        <v>165.234375</v>
      </c>
      <c r="BP23" s="59">
        <f t="shared" si="56"/>
        <v>165.234375</v>
      </c>
      <c r="BQ23" s="59">
        <f t="shared" si="56"/>
        <v>165.234375</v>
      </c>
      <c r="BR23" s="59">
        <f t="shared" si="56"/>
        <v>28.125</v>
      </c>
      <c r="BT23" s="59">
        <f t="shared" ref="BT23:CB23" si="57">BT22-BJ23</f>
        <v>127372.7265625</v>
      </c>
      <c r="BU23" s="59">
        <f t="shared" si="57"/>
        <v>127372.7265625</v>
      </c>
      <c r="BV23" s="59">
        <f t="shared" si="57"/>
        <v>127372.7265625</v>
      </c>
      <c r="BW23" s="59">
        <f t="shared" si="57"/>
        <v>127372.7265625</v>
      </c>
      <c r="BX23" s="59">
        <f t="shared" si="57"/>
        <v>127372.7265625</v>
      </c>
      <c r="BY23" s="59">
        <f t="shared" si="57"/>
        <v>127372.7265625</v>
      </c>
      <c r="BZ23" s="59">
        <f t="shared" si="57"/>
        <v>127372.7265625</v>
      </c>
      <c r="CA23" s="59">
        <f t="shared" si="57"/>
        <v>127372.7265625</v>
      </c>
      <c r="CB23" s="59">
        <f t="shared" si="57"/>
        <v>21682.1875</v>
      </c>
    </row>
    <row r="24" s="372" customFormat="1" ht="27" hidden="1" customHeight="1" spans="1:87">
      <c r="A24" s="428">
        <v>45733</v>
      </c>
      <c r="B24" s="429" t="s">
        <v>221</v>
      </c>
      <c r="C24" s="430" t="s">
        <v>222</v>
      </c>
      <c r="D24" s="431">
        <v>4500160421</v>
      </c>
      <c r="E24" s="430"/>
      <c r="F24" s="429" t="s">
        <v>223</v>
      </c>
      <c r="G24" s="432" t="s">
        <v>78</v>
      </c>
      <c r="H24" s="429" t="s">
        <v>79</v>
      </c>
      <c r="I24" s="433">
        <v>378</v>
      </c>
      <c r="J24" s="433">
        <v>0</v>
      </c>
      <c r="K24" s="433">
        <v>54</v>
      </c>
      <c r="L24" s="433">
        <f t="shared" si="24"/>
        <v>7</v>
      </c>
      <c r="M24" s="434">
        <v>45768</v>
      </c>
      <c r="N24" s="434">
        <v>45764</v>
      </c>
      <c r="O24" s="435"/>
      <c r="P24" s="496" t="s">
        <v>224</v>
      </c>
      <c r="Q24" s="437" t="s">
        <v>225</v>
      </c>
      <c r="R24" s="448">
        <v>45736</v>
      </c>
      <c r="S24" s="435" t="s">
        <v>80</v>
      </c>
      <c r="T24" s="500" t="s">
        <v>226</v>
      </c>
      <c r="U24" s="500"/>
      <c r="V24" s="438" t="s">
        <v>227</v>
      </c>
      <c r="W24" s="434" t="s">
        <v>228</v>
      </c>
      <c r="X24" s="421">
        <v>0.9779</v>
      </c>
      <c r="Y24" s="433">
        <f t="shared" si="37"/>
        <v>369.6462</v>
      </c>
      <c r="Z24" s="434" t="s">
        <v>229</v>
      </c>
      <c r="AA24" s="438">
        <v>378</v>
      </c>
      <c r="AB24" s="438">
        <f t="shared" si="6"/>
        <v>0</v>
      </c>
      <c r="AC24" s="435" t="s">
        <v>113</v>
      </c>
      <c r="AD24" s="435" t="s">
        <v>114</v>
      </c>
      <c r="AE24" s="434" t="s">
        <v>230</v>
      </c>
      <c r="AF24" s="434" t="s">
        <v>115</v>
      </c>
      <c r="AG24" s="441">
        <f t="shared" si="50"/>
        <v>378</v>
      </c>
      <c r="AH24" s="441">
        <f t="shared" si="51"/>
        <v>378</v>
      </c>
      <c r="AI24" s="441"/>
      <c r="AJ24" s="441"/>
      <c r="AK24" s="441"/>
      <c r="AL24" s="441">
        <f>I24</f>
        <v>378</v>
      </c>
      <c r="AM24" s="441"/>
      <c r="AN24" s="441">
        <f t="shared" si="53"/>
        <v>378</v>
      </c>
      <c r="AO24" s="441"/>
      <c r="AP24" s="441"/>
      <c r="AQ24" s="441"/>
      <c r="AR24" s="441">
        <f>I24/27</f>
        <v>14</v>
      </c>
      <c r="AS24" s="441"/>
      <c r="AT24" s="441"/>
      <c r="AU24" s="441"/>
      <c r="AV24" s="441"/>
      <c r="AW24" s="441"/>
      <c r="AX24" s="441"/>
      <c r="AY24" s="441"/>
      <c r="AZ24" s="441"/>
      <c r="BA24" s="441"/>
      <c r="BB24" s="441"/>
      <c r="BC24" s="441"/>
      <c r="BD24" s="441"/>
      <c r="BE24" s="441"/>
      <c r="BF24" s="441"/>
      <c r="BG24" s="441"/>
      <c r="BH24" s="441"/>
      <c r="BI24" s="441"/>
      <c r="BJ24" s="423">
        <f t="shared" ref="BJ24:BR24" si="58">$I24*BJ$2</f>
        <v>46.2656249999999</v>
      </c>
      <c r="BK24" s="423">
        <f t="shared" si="58"/>
        <v>46.2656249999999</v>
      </c>
      <c r="BL24" s="423">
        <f t="shared" si="58"/>
        <v>46.2656249999999</v>
      </c>
      <c r="BM24" s="423">
        <f t="shared" si="58"/>
        <v>46.2656249999999</v>
      </c>
      <c r="BN24" s="423">
        <f t="shared" si="58"/>
        <v>46.2656249999999</v>
      </c>
      <c r="BO24" s="423">
        <f t="shared" si="58"/>
        <v>46.2656249999999</v>
      </c>
      <c r="BP24" s="423">
        <f t="shared" si="58"/>
        <v>46.2656249999999</v>
      </c>
      <c r="BQ24" s="423">
        <f t="shared" si="58"/>
        <v>46.2656249999999</v>
      </c>
      <c r="BR24" s="423">
        <f t="shared" si="58"/>
        <v>7.87499999999999</v>
      </c>
      <c r="BT24" s="59">
        <f t="shared" ref="BT24:CB24" si="59">BT23-BJ24</f>
        <v>127326.4609375</v>
      </c>
      <c r="BU24" s="59">
        <f t="shared" si="59"/>
        <v>127326.4609375</v>
      </c>
      <c r="BV24" s="59">
        <f t="shared" si="59"/>
        <v>127326.4609375</v>
      </c>
      <c r="BW24" s="59">
        <f t="shared" si="59"/>
        <v>127326.4609375</v>
      </c>
      <c r="BX24" s="59">
        <f t="shared" si="59"/>
        <v>127326.4609375</v>
      </c>
      <c r="BY24" s="59">
        <f t="shared" si="59"/>
        <v>127326.4609375</v>
      </c>
      <c r="BZ24" s="59">
        <f t="shared" si="59"/>
        <v>127326.4609375</v>
      </c>
      <c r="CA24" s="59">
        <f t="shared" si="59"/>
        <v>127326.4609375</v>
      </c>
      <c r="CB24" s="59">
        <f t="shared" si="59"/>
        <v>21674.3125</v>
      </c>
    </row>
    <row r="25" s="4" customFormat="1" ht="27" hidden="1" customHeight="1" spans="1:87">
      <c r="A25" s="47">
        <v>45749</v>
      </c>
      <c r="B25" s="48"/>
      <c r="C25" s="49"/>
      <c r="D25" s="50" t="s">
        <v>231</v>
      </c>
      <c r="E25" s="49"/>
      <c r="F25" s="48"/>
      <c r="G25" s="51" t="s">
        <v>86</v>
      </c>
      <c r="H25" s="48" t="s">
        <v>232</v>
      </c>
      <c r="I25" s="52">
        <v>60</v>
      </c>
      <c r="J25" s="52">
        <v>0</v>
      </c>
      <c r="K25" s="52">
        <v>24</v>
      </c>
      <c r="L25" s="52">
        <f t="shared" si="24"/>
        <v>2.5</v>
      </c>
      <c r="M25" s="53">
        <v>45768</v>
      </c>
      <c r="N25" s="53">
        <v>45764</v>
      </c>
      <c r="O25" s="54"/>
      <c r="P25" s="501" t="s">
        <v>93</v>
      </c>
      <c r="Q25" s="54"/>
      <c r="R25" s="54">
        <v>45749</v>
      </c>
      <c r="S25" s="54" t="s">
        <v>80</v>
      </c>
      <c r="T25" s="54" t="s">
        <v>80</v>
      </c>
      <c r="U25" s="54"/>
      <c r="V25" s="55" t="s">
        <v>233</v>
      </c>
      <c r="W25" s="53" t="s">
        <v>234</v>
      </c>
      <c r="X25" s="421"/>
      <c r="Y25" s="52"/>
      <c r="Z25" s="53" t="s">
        <v>235</v>
      </c>
      <c r="AA25" s="438">
        <v>60</v>
      </c>
      <c r="AB25" s="438">
        <f t="shared" si="6"/>
        <v>0</v>
      </c>
      <c r="AC25" s="54" t="s">
        <v>80</v>
      </c>
      <c r="AD25" s="54"/>
      <c r="AE25" s="53" t="s">
        <v>93</v>
      </c>
      <c r="AF25" s="53"/>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8">
        <v>60</v>
      </c>
      <c r="BK25" s="58">
        <v>60</v>
      </c>
      <c r="BL25" s="58">
        <v>60</v>
      </c>
      <c r="BM25" s="58">
        <v>60</v>
      </c>
      <c r="BN25" s="58">
        <v>60</v>
      </c>
      <c r="BO25" s="58">
        <v>60</v>
      </c>
      <c r="BP25" s="58">
        <v>60</v>
      </c>
      <c r="BQ25" s="58">
        <v>60</v>
      </c>
      <c r="BR25" s="58">
        <v>60</v>
      </c>
      <c r="BT25" s="59">
        <f t="shared" ref="BT25:CB25" si="60">BT24-BJ25</f>
        <v>127266.4609375</v>
      </c>
      <c r="BU25" s="59">
        <f t="shared" si="60"/>
        <v>127266.4609375</v>
      </c>
      <c r="BV25" s="59">
        <f t="shared" si="60"/>
        <v>127266.4609375</v>
      </c>
      <c r="BW25" s="59">
        <f t="shared" si="60"/>
        <v>127266.4609375</v>
      </c>
      <c r="BX25" s="59">
        <f t="shared" si="60"/>
        <v>127266.4609375</v>
      </c>
      <c r="BY25" s="59">
        <f t="shared" si="60"/>
        <v>127266.4609375</v>
      </c>
      <c r="BZ25" s="59">
        <f t="shared" si="60"/>
        <v>127266.4609375</v>
      </c>
      <c r="CA25" s="59">
        <f t="shared" si="60"/>
        <v>127266.4609375</v>
      </c>
      <c r="CB25" s="59">
        <f t="shared" si="60"/>
        <v>21614.3125</v>
      </c>
    </row>
    <row r="26" s="372" customFormat="1" ht="27" hidden="1" customHeight="1" spans="1:87">
      <c r="A26" s="428">
        <v>45749</v>
      </c>
      <c r="B26" s="429"/>
      <c r="C26" s="430"/>
      <c r="D26" s="431" t="s">
        <v>231</v>
      </c>
      <c r="E26" s="430"/>
      <c r="F26" s="429"/>
      <c r="G26" s="432" t="s">
        <v>94</v>
      </c>
      <c r="H26" s="429" t="s">
        <v>236</v>
      </c>
      <c r="I26" s="433">
        <v>650</v>
      </c>
      <c r="J26" s="433">
        <v>0</v>
      </c>
      <c r="K26" s="433">
        <v>52</v>
      </c>
      <c r="L26" s="433">
        <f t="shared" si="24"/>
        <v>12.5</v>
      </c>
      <c r="M26" s="434">
        <v>45768</v>
      </c>
      <c r="N26" s="434">
        <v>45764</v>
      </c>
      <c r="O26" s="435"/>
      <c r="P26" s="496" t="s">
        <v>107</v>
      </c>
      <c r="Q26" s="435"/>
      <c r="R26" s="435">
        <v>45749</v>
      </c>
      <c r="S26" s="435" t="s">
        <v>80</v>
      </c>
      <c r="T26" s="435" t="s">
        <v>80</v>
      </c>
      <c r="U26" s="435"/>
      <c r="V26" s="438" t="s">
        <v>237</v>
      </c>
      <c r="W26" s="434" t="s">
        <v>234</v>
      </c>
      <c r="X26" s="421"/>
      <c r="Y26" s="433"/>
      <c r="Z26" s="53" t="s">
        <v>235</v>
      </c>
      <c r="AA26" s="438">
        <v>650</v>
      </c>
      <c r="AB26" s="438">
        <f t="shared" si="6"/>
        <v>0</v>
      </c>
      <c r="AC26" s="435" t="s">
        <v>80</v>
      </c>
      <c r="AD26" s="435" t="s">
        <v>114</v>
      </c>
      <c r="AE26" s="434" t="s">
        <v>94</v>
      </c>
      <c r="AF26" s="434" t="s">
        <v>115</v>
      </c>
      <c r="AG26" s="441">
        <f t="shared" ref="AG26:AG33" si="61">I26</f>
        <v>650</v>
      </c>
      <c r="AH26" s="441">
        <f t="shared" ref="AH26:AH31" si="62">I26</f>
        <v>650</v>
      </c>
      <c r="AI26" s="441"/>
      <c r="AJ26" s="441"/>
      <c r="AK26" s="441">
        <f t="shared" si="52"/>
        <v>650</v>
      </c>
      <c r="AL26" s="441"/>
      <c r="AM26" s="441"/>
      <c r="AN26" s="441">
        <f t="shared" ref="AN26:AN33" si="63">I26</f>
        <v>650</v>
      </c>
      <c r="AO26" s="441"/>
      <c r="AP26" s="441"/>
      <c r="AQ26" s="441"/>
      <c r="AR26" s="441"/>
      <c r="AS26" s="441"/>
      <c r="AT26" s="441">
        <f t="shared" ref="AT26:AT29" si="64">I26/13</f>
        <v>50</v>
      </c>
      <c r="AU26" s="441"/>
      <c r="AV26" s="441"/>
      <c r="AW26" s="441"/>
      <c r="AX26" s="441"/>
      <c r="AY26" s="441"/>
      <c r="AZ26" s="441"/>
      <c r="BA26" s="441"/>
      <c r="BB26" s="441"/>
      <c r="BC26" s="441"/>
      <c r="BD26" s="441"/>
      <c r="BE26" s="441"/>
      <c r="BF26" s="441"/>
      <c r="BG26" s="441"/>
      <c r="BH26" s="441"/>
      <c r="BI26" s="441"/>
      <c r="BJ26" s="59">
        <f t="shared" ref="BJ26:BR26" si="65">$I26*BJ$2</f>
        <v>79.5572916666664</v>
      </c>
      <c r="BK26" s="59">
        <f t="shared" si="65"/>
        <v>79.5572916666664</v>
      </c>
      <c r="BL26" s="59">
        <f t="shared" si="65"/>
        <v>79.5572916666664</v>
      </c>
      <c r="BM26" s="59">
        <f t="shared" si="65"/>
        <v>79.5572916666664</v>
      </c>
      <c r="BN26" s="59">
        <f t="shared" si="65"/>
        <v>79.5572916666664</v>
      </c>
      <c r="BO26" s="59">
        <f t="shared" si="65"/>
        <v>79.5572916666664</v>
      </c>
      <c r="BP26" s="59">
        <f t="shared" si="65"/>
        <v>79.5572916666664</v>
      </c>
      <c r="BQ26" s="59">
        <f t="shared" si="65"/>
        <v>79.5572916666664</v>
      </c>
      <c r="BR26" s="59">
        <f t="shared" si="65"/>
        <v>13.5416666666666</v>
      </c>
      <c r="BT26" s="59">
        <f t="shared" ref="BT26:CB26" si="66">BT25-BJ26</f>
        <v>127186.903645833</v>
      </c>
      <c r="BU26" s="59">
        <f t="shared" si="66"/>
        <v>127186.903645833</v>
      </c>
      <c r="BV26" s="59">
        <f t="shared" si="66"/>
        <v>127186.903645833</v>
      </c>
      <c r="BW26" s="59">
        <f t="shared" si="66"/>
        <v>127186.903645833</v>
      </c>
      <c r="BX26" s="59">
        <f t="shared" si="66"/>
        <v>127186.903645833</v>
      </c>
      <c r="BY26" s="59">
        <f t="shared" si="66"/>
        <v>127186.903645833</v>
      </c>
      <c r="BZ26" s="59">
        <f t="shared" si="66"/>
        <v>127186.903645833</v>
      </c>
      <c r="CA26" s="59">
        <f t="shared" si="66"/>
        <v>127186.903645833</v>
      </c>
      <c r="CB26" s="59">
        <f t="shared" si="66"/>
        <v>21600.7708333333</v>
      </c>
    </row>
    <row r="27" s="372" customFormat="1" ht="27" hidden="1" customHeight="1" spans="1:87">
      <c r="A27" s="428">
        <v>45749</v>
      </c>
      <c r="B27" s="429"/>
      <c r="C27" s="430"/>
      <c r="D27" s="431" t="s">
        <v>231</v>
      </c>
      <c r="E27" s="430"/>
      <c r="F27" s="429"/>
      <c r="G27" s="432" t="s">
        <v>78</v>
      </c>
      <c r="H27" s="429" t="s">
        <v>238</v>
      </c>
      <c r="I27" s="433">
        <v>1350</v>
      </c>
      <c r="J27" s="433">
        <v>0</v>
      </c>
      <c r="K27" s="433">
        <v>54</v>
      </c>
      <c r="L27" s="433">
        <f t="shared" si="24"/>
        <v>25</v>
      </c>
      <c r="M27" s="434">
        <v>45768</v>
      </c>
      <c r="N27" s="434">
        <v>45764</v>
      </c>
      <c r="O27" s="435"/>
      <c r="P27" s="496" t="s">
        <v>107</v>
      </c>
      <c r="Q27" s="435"/>
      <c r="R27" s="435">
        <v>45749</v>
      </c>
      <c r="S27" s="435" t="s">
        <v>80</v>
      </c>
      <c r="T27" s="435" t="s">
        <v>80</v>
      </c>
      <c r="U27" s="435"/>
      <c r="V27" s="438" t="s">
        <v>237</v>
      </c>
      <c r="W27" s="434" t="s">
        <v>234</v>
      </c>
      <c r="X27" s="421"/>
      <c r="Y27" s="433"/>
      <c r="Z27" s="53" t="s">
        <v>235</v>
      </c>
      <c r="AA27" s="438">
        <v>1350</v>
      </c>
      <c r="AB27" s="438">
        <f t="shared" si="6"/>
        <v>0</v>
      </c>
      <c r="AC27" s="435" t="s">
        <v>80</v>
      </c>
      <c r="AD27" s="435" t="s">
        <v>114</v>
      </c>
      <c r="AE27" s="434" t="s">
        <v>78</v>
      </c>
      <c r="AF27" s="434" t="s">
        <v>115</v>
      </c>
      <c r="AG27" s="441">
        <f t="shared" si="61"/>
        <v>1350</v>
      </c>
      <c r="AH27" s="441">
        <f t="shared" si="62"/>
        <v>1350</v>
      </c>
      <c r="AI27" s="441"/>
      <c r="AJ27" s="441"/>
      <c r="AK27" s="441">
        <f t="shared" si="52"/>
        <v>1350</v>
      </c>
      <c r="AL27" s="441"/>
      <c r="AM27" s="441"/>
      <c r="AN27" s="441">
        <f t="shared" si="63"/>
        <v>1350</v>
      </c>
      <c r="AO27" s="441"/>
      <c r="AP27" s="441"/>
      <c r="AQ27" s="441">
        <f>I27/27</f>
        <v>50</v>
      </c>
      <c r="AR27" s="441"/>
      <c r="AS27" s="441"/>
      <c r="AT27" s="441"/>
      <c r="AU27" s="441"/>
      <c r="AV27" s="441"/>
      <c r="AW27" s="441"/>
      <c r="AX27" s="441"/>
      <c r="AY27" s="441"/>
      <c r="AZ27" s="441"/>
      <c r="BA27" s="441"/>
      <c r="BB27" s="441"/>
      <c r="BC27" s="441"/>
      <c r="BD27" s="441"/>
      <c r="BE27" s="441"/>
      <c r="BF27" s="441"/>
      <c r="BG27" s="441"/>
      <c r="BH27" s="441"/>
      <c r="BI27" s="441"/>
      <c r="BJ27" s="423">
        <f t="shared" ref="BJ27:BR27" si="67">$I27*BJ$2</f>
        <v>165.234375</v>
      </c>
      <c r="BK27" s="423">
        <f t="shared" si="67"/>
        <v>165.234375</v>
      </c>
      <c r="BL27" s="423">
        <f t="shared" si="67"/>
        <v>165.234375</v>
      </c>
      <c r="BM27" s="423">
        <f t="shared" si="67"/>
        <v>165.234375</v>
      </c>
      <c r="BN27" s="423">
        <f t="shared" si="67"/>
        <v>165.234375</v>
      </c>
      <c r="BO27" s="423">
        <f t="shared" si="67"/>
        <v>165.234375</v>
      </c>
      <c r="BP27" s="423">
        <f t="shared" si="67"/>
        <v>165.234375</v>
      </c>
      <c r="BQ27" s="423">
        <f t="shared" si="67"/>
        <v>165.234375</v>
      </c>
      <c r="BR27" s="423">
        <f t="shared" si="67"/>
        <v>28.125</v>
      </c>
      <c r="BT27" s="59">
        <f t="shared" ref="BT27:CB27" si="68">BT26-BJ27</f>
        <v>127021.669270833</v>
      </c>
      <c r="BU27" s="59">
        <f t="shared" si="68"/>
        <v>127021.669270833</v>
      </c>
      <c r="BV27" s="59">
        <f t="shared" si="68"/>
        <v>127021.669270833</v>
      </c>
      <c r="BW27" s="59">
        <f t="shared" si="68"/>
        <v>127021.669270833</v>
      </c>
      <c r="BX27" s="59">
        <f t="shared" si="68"/>
        <v>127021.669270833</v>
      </c>
      <c r="BY27" s="59">
        <f t="shared" si="68"/>
        <v>127021.669270833</v>
      </c>
      <c r="BZ27" s="59">
        <f t="shared" si="68"/>
        <v>127021.669270833</v>
      </c>
      <c r="CA27" s="59">
        <f t="shared" si="68"/>
        <v>127021.669270833</v>
      </c>
      <c r="CB27" s="59">
        <f t="shared" si="68"/>
        <v>21572.6458333333</v>
      </c>
    </row>
    <row r="28" s="372" customFormat="1" ht="27" hidden="1" customHeight="1" spans="1:87">
      <c r="A28" s="428">
        <v>45729</v>
      </c>
      <c r="B28" s="429" t="s">
        <v>239</v>
      </c>
      <c r="C28" s="430" t="s">
        <v>240</v>
      </c>
      <c r="D28" s="431">
        <v>4500159866</v>
      </c>
      <c r="E28" s="430"/>
      <c r="F28" s="429" t="s">
        <v>241</v>
      </c>
      <c r="G28" s="432" t="s">
        <v>94</v>
      </c>
      <c r="H28" s="429" t="s">
        <v>211</v>
      </c>
      <c r="I28" s="433">
        <v>208</v>
      </c>
      <c r="J28" s="433">
        <v>0</v>
      </c>
      <c r="K28" s="433">
        <v>52</v>
      </c>
      <c r="L28" s="433">
        <f t="shared" si="24"/>
        <v>4</v>
      </c>
      <c r="M28" s="434">
        <v>45769</v>
      </c>
      <c r="N28" s="434">
        <v>45765</v>
      </c>
      <c r="O28" s="435"/>
      <c r="P28" s="496" t="s">
        <v>224</v>
      </c>
      <c r="Q28" s="435" t="s">
        <v>242</v>
      </c>
      <c r="R28" s="435">
        <v>45729</v>
      </c>
      <c r="S28" s="435" t="s">
        <v>80</v>
      </c>
      <c r="T28" s="435" t="s">
        <v>243</v>
      </c>
      <c r="U28" s="435"/>
      <c r="V28" s="438" t="s">
        <v>244</v>
      </c>
      <c r="W28" s="434" t="s">
        <v>245</v>
      </c>
      <c r="X28" s="421">
        <v>0.945</v>
      </c>
      <c r="Y28" s="433">
        <f t="shared" ref="Y28:Y38" si="69">X28*I28</f>
        <v>196.56</v>
      </c>
      <c r="Z28" s="434" t="s">
        <v>246</v>
      </c>
      <c r="AA28" s="438">
        <v>208</v>
      </c>
      <c r="AB28" s="438">
        <f t="shared" si="6"/>
        <v>0</v>
      </c>
      <c r="AC28" s="435" t="s">
        <v>113</v>
      </c>
      <c r="AD28" s="435" t="s">
        <v>114</v>
      </c>
      <c r="AE28" s="434" t="s">
        <v>94</v>
      </c>
      <c r="AF28" s="434" t="s">
        <v>115</v>
      </c>
      <c r="AG28" s="441">
        <f t="shared" si="61"/>
        <v>208</v>
      </c>
      <c r="AH28" s="441">
        <f t="shared" si="62"/>
        <v>208</v>
      </c>
      <c r="AI28" s="441"/>
      <c r="AJ28" s="441"/>
      <c r="AK28" s="441">
        <f t="shared" si="52"/>
        <v>208</v>
      </c>
      <c r="AL28" s="441"/>
      <c r="AM28" s="441"/>
      <c r="AN28" s="441">
        <f t="shared" si="63"/>
        <v>208</v>
      </c>
      <c r="AO28" s="441"/>
      <c r="AP28" s="441"/>
      <c r="AQ28" s="441"/>
      <c r="AR28" s="441"/>
      <c r="AS28" s="441"/>
      <c r="AT28" s="441">
        <f t="shared" si="64"/>
        <v>16</v>
      </c>
      <c r="AU28" s="441"/>
      <c r="AV28" s="441"/>
      <c r="AW28" s="441"/>
      <c r="AX28" s="441"/>
      <c r="AY28" s="441"/>
      <c r="AZ28" s="441"/>
      <c r="BA28" s="441"/>
      <c r="BB28" s="441"/>
      <c r="BC28" s="441"/>
      <c r="BD28" s="441"/>
      <c r="BE28" s="441"/>
      <c r="BF28" s="441"/>
      <c r="BG28" s="441"/>
      <c r="BH28" s="441"/>
      <c r="BI28" s="441"/>
      <c r="BJ28" s="59">
        <f t="shared" ref="BJ28:BR28" si="70">$I28*BJ$2</f>
        <v>25.4583333333333</v>
      </c>
      <c r="BK28" s="59">
        <f t="shared" si="70"/>
        <v>25.4583333333333</v>
      </c>
      <c r="BL28" s="59">
        <f t="shared" si="70"/>
        <v>25.4583333333333</v>
      </c>
      <c r="BM28" s="59">
        <f t="shared" si="70"/>
        <v>25.4583333333333</v>
      </c>
      <c r="BN28" s="59">
        <f t="shared" si="70"/>
        <v>25.4583333333333</v>
      </c>
      <c r="BO28" s="59">
        <f t="shared" si="70"/>
        <v>25.4583333333333</v>
      </c>
      <c r="BP28" s="59">
        <f t="shared" si="70"/>
        <v>25.4583333333333</v>
      </c>
      <c r="BQ28" s="59">
        <f t="shared" si="70"/>
        <v>25.4583333333333</v>
      </c>
      <c r="BR28" s="59">
        <f t="shared" si="70"/>
        <v>4.33333333333333</v>
      </c>
      <c r="BT28" s="59">
        <f t="shared" ref="BT28:CB28" si="71">BT27-BJ28</f>
        <v>126996.2109375</v>
      </c>
      <c r="BU28" s="59">
        <f t="shared" si="71"/>
        <v>126996.2109375</v>
      </c>
      <c r="BV28" s="59">
        <f t="shared" si="71"/>
        <v>126996.2109375</v>
      </c>
      <c r="BW28" s="59">
        <f t="shared" si="71"/>
        <v>126996.2109375</v>
      </c>
      <c r="BX28" s="59">
        <f t="shared" si="71"/>
        <v>126996.2109375</v>
      </c>
      <c r="BY28" s="59">
        <f t="shared" si="71"/>
        <v>126996.2109375</v>
      </c>
      <c r="BZ28" s="59">
        <f t="shared" si="71"/>
        <v>126996.2109375</v>
      </c>
      <c r="CA28" s="59">
        <f t="shared" si="71"/>
        <v>126996.2109375</v>
      </c>
      <c r="CB28" s="59">
        <f t="shared" si="71"/>
        <v>21568.3125</v>
      </c>
    </row>
    <row r="29" s="372" customFormat="1" ht="27" hidden="1" customHeight="1" spans="1:87">
      <c r="A29" s="428">
        <v>45737</v>
      </c>
      <c r="B29" s="429" t="s">
        <v>247</v>
      </c>
      <c r="C29" s="430" t="s">
        <v>248</v>
      </c>
      <c r="D29" s="431">
        <v>4500160940</v>
      </c>
      <c r="E29" s="430" t="s">
        <v>249</v>
      </c>
      <c r="F29" s="429" t="s">
        <v>250</v>
      </c>
      <c r="G29" s="432" t="s">
        <v>94</v>
      </c>
      <c r="H29" s="429" t="s">
        <v>211</v>
      </c>
      <c r="I29" s="433">
        <v>780</v>
      </c>
      <c r="J29" s="433">
        <v>0</v>
      </c>
      <c r="K29" s="433">
        <v>52</v>
      </c>
      <c r="L29" s="433">
        <f t="shared" si="24"/>
        <v>15</v>
      </c>
      <c r="M29" s="434">
        <v>45772</v>
      </c>
      <c r="N29" s="434">
        <v>45768</v>
      </c>
      <c r="O29" s="435"/>
      <c r="P29" s="496" t="s">
        <v>107</v>
      </c>
      <c r="Q29" s="435" t="s">
        <v>251</v>
      </c>
      <c r="R29" s="435">
        <v>45737</v>
      </c>
      <c r="S29" s="435" t="s">
        <v>80</v>
      </c>
      <c r="T29" s="435" t="s">
        <v>252</v>
      </c>
      <c r="U29" s="435"/>
      <c r="V29" s="438" t="s">
        <v>253</v>
      </c>
      <c r="W29" s="434" t="s">
        <v>214</v>
      </c>
      <c r="X29" s="421">
        <v>0.945</v>
      </c>
      <c r="Y29" s="433">
        <f t="shared" si="69"/>
        <v>737.1</v>
      </c>
      <c r="Z29" s="434" t="s">
        <v>254</v>
      </c>
      <c r="AA29" s="438">
        <v>780</v>
      </c>
      <c r="AB29" s="438">
        <f t="shared" si="6"/>
        <v>0</v>
      </c>
      <c r="AC29" s="435" t="s">
        <v>113</v>
      </c>
      <c r="AD29" s="435" t="s">
        <v>114</v>
      </c>
      <c r="AE29" s="434" t="s">
        <v>94</v>
      </c>
      <c r="AF29" s="434" t="s">
        <v>115</v>
      </c>
      <c r="AG29" s="441">
        <f t="shared" si="61"/>
        <v>780</v>
      </c>
      <c r="AH29" s="441">
        <f t="shared" si="62"/>
        <v>780</v>
      </c>
      <c r="AI29" s="441"/>
      <c r="AJ29" s="441"/>
      <c r="AK29" s="441">
        <f t="shared" si="52"/>
        <v>780</v>
      </c>
      <c r="AL29" s="441"/>
      <c r="AM29" s="441"/>
      <c r="AN29" s="441">
        <f t="shared" si="63"/>
        <v>780</v>
      </c>
      <c r="AO29" s="441"/>
      <c r="AP29" s="441"/>
      <c r="AQ29" s="441"/>
      <c r="AR29" s="441"/>
      <c r="AS29" s="441"/>
      <c r="AT29" s="441">
        <f t="shared" si="64"/>
        <v>60</v>
      </c>
      <c r="AU29" s="441"/>
      <c r="AV29" s="441"/>
      <c r="AW29" s="441"/>
      <c r="AX29" s="441"/>
      <c r="AY29" s="441"/>
      <c r="AZ29" s="441"/>
      <c r="BA29" s="441"/>
      <c r="BB29" s="441"/>
      <c r="BC29" s="441"/>
      <c r="BD29" s="441"/>
      <c r="BE29" s="441"/>
      <c r="BF29" s="441"/>
      <c r="BG29" s="441"/>
      <c r="BH29" s="441"/>
      <c r="BI29" s="441"/>
      <c r="BJ29" s="59">
        <f t="shared" ref="BJ29:BR29" si="72">$I29*BJ$2</f>
        <v>95.4687499999997</v>
      </c>
      <c r="BK29" s="59">
        <f t="shared" si="72"/>
        <v>95.4687499999997</v>
      </c>
      <c r="BL29" s="59">
        <f t="shared" si="72"/>
        <v>95.4687499999997</v>
      </c>
      <c r="BM29" s="59">
        <f t="shared" si="72"/>
        <v>95.4687499999997</v>
      </c>
      <c r="BN29" s="59">
        <f t="shared" si="72"/>
        <v>95.4687499999997</v>
      </c>
      <c r="BO29" s="59">
        <f t="shared" si="72"/>
        <v>95.4687499999997</v>
      </c>
      <c r="BP29" s="59">
        <f t="shared" si="72"/>
        <v>95.4687499999997</v>
      </c>
      <c r="BQ29" s="59">
        <f t="shared" si="72"/>
        <v>95.4687499999997</v>
      </c>
      <c r="BR29" s="59">
        <f t="shared" si="72"/>
        <v>16.25</v>
      </c>
      <c r="BT29" s="59">
        <f t="shared" ref="BT29:CB29" si="73">BT28-BJ29</f>
        <v>126900.7421875</v>
      </c>
      <c r="BU29" s="59">
        <f t="shared" si="73"/>
        <v>126900.7421875</v>
      </c>
      <c r="BV29" s="59">
        <f t="shared" si="73"/>
        <v>126900.7421875</v>
      </c>
      <c r="BW29" s="59">
        <f t="shared" si="73"/>
        <v>126900.7421875</v>
      </c>
      <c r="BX29" s="59">
        <f t="shared" si="73"/>
        <v>126900.7421875</v>
      </c>
      <c r="BY29" s="59">
        <f t="shared" si="73"/>
        <v>126900.7421875</v>
      </c>
      <c r="BZ29" s="59">
        <f t="shared" si="73"/>
        <v>126900.7421875</v>
      </c>
      <c r="CA29" s="59">
        <f t="shared" si="73"/>
        <v>126900.7421875</v>
      </c>
      <c r="CB29" s="59">
        <f t="shared" si="73"/>
        <v>21552.0625</v>
      </c>
    </row>
    <row r="30" s="372" customFormat="1" ht="27" hidden="1" customHeight="1" spans="1:87">
      <c r="A30" s="428">
        <v>45726</v>
      </c>
      <c r="B30" s="429" t="s">
        <v>255</v>
      </c>
      <c r="C30" s="430" t="s">
        <v>117</v>
      </c>
      <c r="D30" s="431">
        <v>4500159701</v>
      </c>
      <c r="E30" s="532" t="s">
        <v>256</v>
      </c>
      <c r="F30" s="429" t="s">
        <v>257</v>
      </c>
      <c r="G30" s="432" t="s">
        <v>258</v>
      </c>
      <c r="H30" s="429" t="s">
        <v>259</v>
      </c>
      <c r="I30" s="433">
        <v>1152</v>
      </c>
      <c r="J30" s="433">
        <v>0</v>
      </c>
      <c r="K30" s="433">
        <v>1152</v>
      </c>
      <c r="L30" s="433">
        <f t="shared" si="24"/>
        <v>1</v>
      </c>
      <c r="M30" s="434">
        <v>45770</v>
      </c>
      <c r="N30" s="434">
        <v>45768</v>
      </c>
      <c r="O30" s="435" t="s">
        <v>260</v>
      </c>
      <c r="P30" s="496" t="s">
        <v>107</v>
      </c>
      <c r="Q30" s="435" t="s">
        <v>261</v>
      </c>
      <c r="R30" s="435" t="s">
        <v>262</v>
      </c>
      <c r="S30" s="435" t="s">
        <v>191</v>
      </c>
      <c r="T30" s="435" t="s">
        <v>263</v>
      </c>
      <c r="U30" s="435"/>
      <c r="V30" s="438" t="s">
        <v>264</v>
      </c>
      <c r="W30" s="434" t="s">
        <v>265</v>
      </c>
      <c r="X30" s="421">
        <v>903.2128</v>
      </c>
      <c r="Y30" s="433">
        <f>X30*L30</f>
        <v>903.2128</v>
      </c>
      <c r="Z30" s="434" t="s">
        <v>266</v>
      </c>
      <c r="AA30" s="438">
        <v>1152</v>
      </c>
      <c r="AB30" s="438">
        <f t="shared" si="6"/>
        <v>0</v>
      </c>
      <c r="AC30" s="435"/>
      <c r="AD30" s="435" t="s">
        <v>114</v>
      </c>
      <c r="AE30" s="434" t="s">
        <v>258</v>
      </c>
      <c r="AF30" s="434" t="s">
        <v>115</v>
      </c>
      <c r="AG30" s="441">
        <f t="shared" si="61"/>
        <v>1152</v>
      </c>
      <c r="AH30" s="441">
        <f t="shared" si="62"/>
        <v>1152</v>
      </c>
      <c r="AI30" s="441"/>
      <c r="AJ30" s="441"/>
      <c r="AK30" s="441">
        <f t="shared" si="52"/>
        <v>1152</v>
      </c>
      <c r="AL30" s="441"/>
      <c r="AM30" s="441"/>
      <c r="AN30" s="441">
        <f t="shared" si="63"/>
        <v>1152</v>
      </c>
      <c r="AO30" s="441"/>
      <c r="AP30" s="441"/>
      <c r="AQ30" s="441"/>
      <c r="AR30" s="441"/>
      <c r="AS30" s="441"/>
      <c r="AT30" s="441"/>
      <c r="AU30" s="441"/>
      <c r="AV30" s="441">
        <f>I30/12</f>
        <v>96</v>
      </c>
      <c r="AW30" s="441"/>
      <c r="AX30" s="441"/>
      <c r="AY30" s="441"/>
      <c r="AZ30" s="441"/>
      <c r="BA30" s="441"/>
      <c r="BB30" s="441"/>
      <c r="BC30" s="441"/>
      <c r="BD30" s="441"/>
      <c r="BE30" s="441"/>
      <c r="BF30" s="441"/>
      <c r="BG30" s="441"/>
      <c r="BH30" s="441"/>
      <c r="BI30" s="441"/>
      <c r="BJ30" s="59">
        <f t="shared" ref="BJ30:BR30" si="74">$I30*BJ$2</f>
        <v>141</v>
      </c>
      <c r="BK30" s="59">
        <f t="shared" si="74"/>
        <v>141</v>
      </c>
      <c r="BL30" s="59">
        <f t="shared" si="74"/>
        <v>141</v>
      </c>
      <c r="BM30" s="59">
        <f t="shared" si="74"/>
        <v>141</v>
      </c>
      <c r="BN30" s="59">
        <f t="shared" si="74"/>
        <v>141</v>
      </c>
      <c r="BO30" s="59">
        <f t="shared" si="74"/>
        <v>141</v>
      </c>
      <c r="BP30" s="59">
        <f t="shared" si="74"/>
        <v>141</v>
      </c>
      <c r="BQ30" s="59">
        <f t="shared" si="74"/>
        <v>141</v>
      </c>
      <c r="BR30" s="59">
        <f t="shared" si="74"/>
        <v>24</v>
      </c>
      <c r="BT30" s="59">
        <f t="shared" ref="BT30:CB30" si="75">BT29-BJ30</f>
        <v>126759.7421875</v>
      </c>
      <c r="BU30" s="59">
        <f t="shared" si="75"/>
        <v>126759.7421875</v>
      </c>
      <c r="BV30" s="59">
        <f t="shared" si="75"/>
        <v>126759.7421875</v>
      </c>
      <c r="BW30" s="59">
        <f t="shared" si="75"/>
        <v>126759.7421875</v>
      </c>
      <c r="BX30" s="59">
        <f t="shared" si="75"/>
        <v>126759.7421875</v>
      </c>
      <c r="BY30" s="59">
        <f t="shared" si="75"/>
        <v>126759.7421875</v>
      </c>
      <c r="BZ30" s="59">
        <f t="shared" si="75"/>
        <v>126759.7421875</v>
      </c>
      <c r="CA30" s="59">
        <f t="shared" si="75"/>
        <v>126759.7421875</v>
      </c>
      <c r="CB30" s="59">
        <f t="shared" si="75"/>
        <v>21528.0625</v>
      </c>
    </row>
    <row r="31" s="372" customFormat="1" ht="27" hidden="1" customHeight="1" spans="1:87">
      <c r="A31" s="428">
        <v>45735</v>
      </c>
      <c r="B31" s="429" t="s">
        <v>267</v>
      </c>
      <c r="C31" s="430" t="s">
        <v>268</v>
      </c>
      <c r="D31" s="431">
        <v>4500160671</v>
      </c>
      <c r="E31" s="430"/>
      <c r="F31" s="429" t="s">
        <v>269</v>
      </c>
      <c r="G31" s="432" t="s">
        <v>94</v>
      </c>
      <c r="H31" s="429" t="s">
        <v>211</v>
      </c>
      <c r="I31" s="433">
        <v>312</v>
      </c>
      <c r="J31" s="433">
        <v>0</v>
      </c>
      <c r="K31" s="433">
        <v>52</v>
      </c>
      <c r="L31" s="433">
        <f t="shared" si="24"/>
        <v>6</v>
      </c>
      <c r="M31" s="434">
        <v>45772</v>
      </c>
      <c r="N31" s="434">
        <v>45768</v>
      </c>
      <c r="O31" s="435"/>
      <c r="P31" s="496" t="s">
        <v>224</v>
      </c>
      <c r="Q31" s="435" t="s">
        <v>270</v>
      </c>
      <c r="R31" s="435">
        <v>45735</v>
      </c>
      <c r="S31" s="435" t="s">
        <v>80</v>
      </c>
      <c r="T31" s="435" t="s">
        <v>271</v>
      </c>
      <c r="U31" s="435"/>
      <c r="V31" s="438" t="s">
        <v>272</v>
      </c>
      <c r="W31" s="434" t="s">
        <v>273</v>
      </c>
      <c r="X31" s="421">
        <v>0.7909</v>
      </c>
      <c r="Y31" s="433">
        <f t="shared" si="69"/>
        <v>246.7608</v>
      </c>
      <c r="Z31" s="434" t="s">
        <v>274</v>
      </c>
      <c r="AA31" s="438">
        <v>312</v>
      </c>
      <c r="AB31" s="438">
        <f t="shared" si="6"/>
        <v>0</v>
      </c>
      <c r="AC31" s="435" t="s">
        <v>113</v>
      </c>
      <c r="AD31" s="435" t="s">
        <v>114</v>
      </c>
      <c r="AE31" s="434" t="s">
        <v>94</v>
      </c>
      <c r="AF31" s="434" t="s">
        <v>115</v>
      </c>
      <c r="AG31" s="441">
        <f t="shared" si="61"/>
        <v>312</v>
      </c>
      <c r="AH31" s="441">
        <f t="shared" si="62"/>
        <v>312</v>
      </c>
      <c r="AI31" s="441"/>
      <c r="AJ31" s="441"/>
      <c r="AK31" s="441">
        <f t="shared" si="52"/>
        <v>312</v>
      </c>
      <c r="AL31" s="441"/>
      <c r="AM31" s="441"/>
      <c r="AN31" s="441">
        <f t="shared" si="63"/>
        <v>312</v>
      </c>
      <c r="AO31" s="441"/>
      <c r="AP31" s="441"/>
      <c r="AQ31" s="441"/>
      <c r="AR31" s="441"/>
      <c r="AS31" s="441"/>
      <c r="AT31" s="441">
        <f>I31/13</f>
        <v>24</v>
      </c>
      <c r="AU31" s="441"/>
      <c r="AV31" s="441"/>
      <c r="AW31" s="441"/>
      <c r="AX31" s="441"/>
      <c r="AY31" s="441"/>
      <c r="AZ31" s="441"/>
      <c r="BA31" s="441"/>
      <c r="BB31" s="441"/>
      <c r="BC31" s="441"/>
      <c r="BD31" s="441"/>
      <c r="BE31" s="441"/>
      <c r="BF31" s="441"/>
      <c r="BG31" s="441"/>
      <c r="BH31" s="441"/>
      <c r="BI31" s="441"/>
      <c r="BJ31" s="59">
        <f t="shared" ref="BJ31:BR31" si="76">$I31*BJ$2</f>
        <v>38.1874999999999</v>
      </c>
      <c r="BK31" s="59">
        <f t="shared" si="76"/>
        <v>38.1874999999999</v>
      </c>
      <c r="BL31" s="59">
        <f t="shared" si="76"/>
        <v>38.1874999999999</v>
      </c>
      <c r="BM31" s="59">
        <f t="shared" si="76"/>
        <v>38.1874999999999</v>
      </c>
      <c r="BN31" s="59">
        <f t="shared" si="76"/>
        <v>38.1874999999999</v>
      </c>
      <c r="BO31" s="59">
        <f t="shared" si="76"/>
        <v>38.1874999999999</v>
      </c>
      <c r="BP31" s="59">
        <f t="shared" si="76"/>
        <v>38.1874999999999</v>
      </c>
      <c r="BQ31" s="59">
        <f t="shared" si="76"/>
        <v>38.1874999999999</v>
      </c>
      <c r="BR31" s="59">
        <f t="shared" si="76"/>
        <v>6.49999999999999</v>
      </c>
      <c r="BT31" s="59">
        <f t="shared" ref="BT31:CB31" si="77">BT30-BJ31</f>
        <v>126721.5546875</v>
      </c>
      <c r="BU31" s="59">
        <f t="shared" si="77"/>
        <v>126721.5546875</v>
      </c>
      <c r="BV31" s="59">
        <f t="shared" si="77"/>
        <v>126721.5546875</v>
      </c>
      <c r="BW31" s="59">
        <f t="shared" si="77"/>
        <v>126721.5546875</v>
      </c>
      <c r="BX31" s="59">
        <f t="shared" si="77"/>
        <v>126721.5546875</v>
      </c>
      <c r="BY31" s="59">
        <f t="shared" si="77"/>
        <v>126721.5546875</v>
      </c>
      <c r="BZ31" s="59">
        <f t="shared" si="77"/>
        <v>126721.5546875</v>
      </c>
      <c r="CA31" s="59">
        <f t="shared" si="77"/>
        <v>126721.5546875</v>
      </c>
      <c r="CB31" s="59">
        <f t="shared" si="77"/>
        <v>21521.5625</v>
      </c>
    </row>
    <row r="32" s="372" customFormat="1" ht="27" hidden="1" customHeight="1" spans="1:87">
      <c r="A32" s="428">
        <v>45695</v>
      </c>
      <c r="B32" s="429" t="s">
        <v>275</v>
      </c>
      <c r="C32" s="430" t="s">
        <v>203</v>
      </c>
      <c r="D32" s="431">
        <v>4500156863</v>
      </c>
      <c r="E32" s="430">
        <v>4400463048</v>
      </c>
      <c r="F32" s="429" t="s">
        <v>276</v>
      </c>
      <c r="G32" s="432" t="s">
        <v>131</v>
      </c>
      <c r="H32" s="429" t="s">
        <v>132</v>
      </c>
      <c r="I32" s="433">
        <v>4023</v>
      </c>
      <c r="J32" s="433">
        <v>0</v>
      </c>
      <c r="K32" s="433">
        <v>27</v>
      </c>
      <c r="L32" s="433">
        <f t="shared" si="24"/>
        <v>149</v>
      </c>
      <c r="M32" s="434">
        <v>45775</v>
      </c>
      <c r="N32" s="434">
        <v>45771</v>
      </c>
      <c r="O32" s="435"/>
      <c r="P32" s="496" t="s">
        <v>107</v>
      </c>
      <c r="Q32" s="435" t="s">
        <v>277</v>
      </c>
      <c r="R32" s="435">
        <v>45696</v>
      </c>
      <c r="S32" s="435" t="s">
        <v>80</v>
      </c>
      <c r="T32" s="435" t="s">
        <v>80</v>
      </c>
      <c r="U32" s="435"/>
      <c r="V32" s="438" t="s">
        <v>278</v>
      </c>
      <c r="W32" s="434" t="s">
        <v>144</v>
      </c>
      <c r="X32" s="421">
        <v>0.89</v>
      </c>
      <c r="Y32" s="433">
        <f t="shared" si="69"/>
        <v>3580.47</v>
      </c>
      <c r="Z32" s="434" t="s">
        <v>279</v>
      </c>
      <c r="AA32" s="438">
        <v>4023</v>
      </c>
      <c r="AB32" s="438">
        <f t="shared" si="6"/>
        <v>0</v>
      </c>
      <c r="AC32" s="435" t="s">
        <v>80</v>
      </c>
      <c r="AD32" s="435" t="s">
        <v>114</v>
      </c>
      <c r="AE32" s="434" t="s">
        <v>137</v>
      </c>
      <c r="AF32" s="434" t="s">
        <v>115</v>
      </c>
      <c r="AG32" s="441">
        <f t="shared" si="61"/>
        <v>4023</v>
      </c>
      <c r="AH32" s="441"/>
      <c r="AI32" s="441"/>
      <c r="AJ32" s="441">
        <f>I32</f>
        <v>4023</v>
      </c>
      <c r="AK32" s="441"/>
      <c r="AL32" s="441"/>
      <c r="AM32" s="441">
        <f>I32</f>
        <v>4023</v>
      </c>
      <c r="AN32" s="441">
        <f t="shared" si="63"/>
        <v>4023</v>
      </c>
      <c r="AO32" s="441"/>
      <c r="AP32" s="441"/>
      <c r="AQ32" s="441"/>
      <c r="AR32" s="441">
        <f t="shared" ref="AR32:AR36" si="78">I32/27</f>
        <v>149</v>
      </c>
      <c r="AS32" s="441"/>
      <c r="AT32" s="441"/>
      <c r="AU32" s="441"/>
      <c r="AV32" s="441"/>
      <c r="AW32" s="441"/>
      <c r="AX32" s="441"/>
      <c r="AY32" s="441"/>
      <c r="AZ32" s="441"/>
      <c r="BA32" s="441"/>
      <c r="BB32" s="441"/>
      <c r="BC32" s="441"/>
      <c r="BD32" s="441"/>
      <c r="BE32" s="441"/>
      <c r="BF32" s="441"/>
      <c r="BG32" s="441"/>
      <c r="BH32" s="441"/>
      <c r="BI32" s="441"/>
      <c r="BJ32" s="59">
        <f t="shared" ref="BJ32:BR32" si="79">$I32*BJ$2</f>
        <v>492.398437499999</v>
      </c>
      <c r="BK32" s="59">
        <f t="shared" si="79"/>
        <v>492.398437499999</v>
      </c>
      <c r="BL32" s="59">
        <f t="shared" si="79"/>
        <v>492.398437499999</v>
      </c>
      <c r="BM32" s="59">
        <f t="shared" si="79"/>
        <v>492.398437499999</v>
      </c>
      <c r="BN32" s="59">
        <f t="shared" si="79"/>
        <v>492.398437499999</v>
      </c>
      <c r="BO32" s="59">
        <f t="shared" si="79"/>
        <v>492.398437499999</v>
      </c>
      <c r="BP32" s="59">
        <f t="shared" si="79"/>
        <v>492.398437499999</v>
      </c>
      <c r="BQ32" s="59">
        <f t="shared" si="79"/>
        <v>492.398437499999</v>
      </c>
      <c r="BR32" s="59">
        <f t="shared" si="79"/>
        <v>83.8124999999999</v>
      </c>
      <c r="BT32" s="59">
        <f t="shared" ref="BT32:CB32" si="80">BT31-BJ32</f>
        <v>126229.15625</v>
      </c>
      <c r="BU32" s="59">
        <f t="shared" si="80"/>
        <v>126229.15625</v>
      </c>
      <c r="BV32" s="59">
        <f t="shared" si="80"/>
        <v>126229.15625</v>
      </c>
      <c r="BW32" s="59">
        <f t="shared" si="80"/>
        <v>126229.15625</v>
      </c>
      <c r="BX32" s="59">
        <f t="shared" si="80"/>
        <v>126229.15625</v>
      </c>
      <c r="BY32" s="59">
        <f t="shared" si="80"/>
        <v>126229.15625</v>
      </c>
      <c r="BZ32" s="59">
        <f t="shared" si="80"/>
        <v>126229.15625</v>
      </c>
      <c r="CA32" s="59">
        <f t="shared" si="80"/>
        <v>126229.15625</v>
      </c>
      <c r="CB32" s="59">
        <f t="shared" si="80"/>
        <v>21437.75</v>
      </c>
    </row>
    <row r="33" s="372" customFormat="1" ht="27" hidden="1" customHeight="1" spans="1:87">
      <c r="A33" s="428">
        <v>45730</v>
      </c>
      <c r="B33" s="429" t="s">
        <v>280</v>
      </c>
      <c r="C33" s="430" t="s">
        <v>281</v>
      </c>
      <c r="D33" s="431">
        <v>4500160345</v>
      </c>
      <c r="E33" s="430"/>
      <c r="F33" s="429" t="s">
        <v>282</v>
      </c>
      <c r="G33" s="432" t="s">
        <v>78</v>
      </c>
      <c r="H33" s="429" t="s">
        <v>79</v>
      </c>
      <c r="I33" s="433">
        <v>108</v>
      </c>
      <c r="J33" s="433">
        <v>0</v>
      </c>
      <c r="K33" s="433">
        <v>54</v>
      </c>
      <c r="L33" s="433">
        <f t="shared" si="24"/>
        <v>2</v>
      </c>
      <c r="M33" s="434">
        <v>45776</v>
      </c>
      <c r="N33" s="434">
        <v>45772</v>
      </c>
      <c r="O33" s="435"/>
      <c r="P33" s="496" t="s">
        <v>224</v>
      </c>
      <c r="Q33" s="435"/>
      <c r="R33" s="435">
        <v>45743</v>
      </c>
      <c r="S33" s="435" t="s">
        <v>80</v>
      </c>
      <c r="T33" s="435" t="s">
        <v>283</v>
      </c>
      <c r="U33" s="435"/>
      <c r="V33" s="438" t="s">
        <v>284</v>
      </c>
      <c r="W33" s="434" t="s">
        <v>228</v>
      </c>
      <c r="X33" s="421">
        <v>0.7967</v>
      </c>
      <c r="Y33" s="433">
        <f t="shared" si="69"/>
        <v>86.0436</v>
      </c>
      <c r="Z33" s="434" t="s">
        <v>285</v>
      </c>
      <c r="AA33" s="438">
        <v>108</v>
      </c>
      <c r="AB33" s="438">
        <f t="shared" si="6"/>
        <v>0</v>
      </c>
      <c r="AC33" s="435" t="s">
        <v>113</v>
      </c>
      <c r="AD33" s="435" t="s">
        <v>114</v>
      </c>
      <c r="AE33" s="434" t="s">
        <v>230</v>
      </c>
      <c r="AF33" s="434" t="s">
        <v>115</v>
      </c>
      <c r="AG33" s="441">
        <f t="shared" si="61"/>
        <v>108</v>
      </c>
      <c r="AH33" s="441">
        <f t="shared" ref="AH33:AH54" si="81">I33</f>
        <v>108</v>
      </c>
      <c r="AI33" s="441"/>
      <c r="AJ33" s="441"/>
      <c r="AK33" s="441"/>
      <c r="AL33" s="441">
        <f t="shared" ref="AL33:AL37" si="82">I33</f>
        <v>108</v>
      </c>
      <c r="AM33" s="441"/>
      <c r="AN33" s="441">
        <f t="shared" si="63"/>
        <v>108</v>
      </c>
      <c r="AO33" s="441"/>
      <c r="AP33" s="441"/>
      <c r="AQ33" s="441"/>
      <c r="AR33" s="441">
        <f t="shared" si="78"/>
        <v>4</v>
      </c>
      <c r="AS33" s="441"/>
      <c r="AT33" s="441"/>
      <c r="AU33" s="441"/>
      <c r="AV33" s="441"/>
      <c r="AW33" s="441"/>
      <c r="AX33" s="441"/>
      <c r="AY33" s="441"/>
      <c r="AZ33" s="441"/>
      <c r="BA33" s="441"/>
      <c r="BB33" s="441"/>
      <c r="BC33" s="441"/>
      <c r="BD33" s="441"/>
      <c r="BE33" s="441"/>
      <c r="BF33" s="441"/>
      <c r="BG33" s="441"/>
      <c r="BH33" s="441"/>
      <c r="BI33" s="441"/>
      <c r="BJ33" s="423">
        <f t="shared" ref="BJ33:BR33" si="83">$I33*BJ$2</f>
        <v>13.21875</v>
      </c>
      <c r="BK33" s="423">
        <f t="shared" si="83"/>
        <v>13.21875</v>
      </c>
      <c r="BL33" s="423">
        <f t="shared" si="83"/>
        <v>13.21875</v>
      </c>
      <c r="BM33" s="423">
        <f t="shared" si="83"/>
        <v>13.21875</v>
      </c>
      <c r="BN33" s="423">
        <f t="shared" si="83"/>
        <v>13.21875</v>
      </c>
      <c r="BO33" s="423">
        <f t="shared" si="83"/>
        <v>13.21875</v>
      </c>
      <c r="BP33" s="423">
        <f t="shared" si="83"/>
        <v>13.21875</v>
      </c>
      <c r="BQ33" s="423">
        <f t="shared" si="83"/>
        <v>13.21875</v>
      </c>
      <c r="BR33" s="423">
        <f t="shared" si="83"/>
        <v>2.25</v>
      </c>
      <c r="BT33" s="59">
        <f t="shared" ref="BT33:CB33" si="84">BT32-BJ33</f>
        <v>126215.9375</v>
      </c>
      <c r="BU33" s="59">
        <f t="shared" si="84"/>
        <v>126215.9375</v>
      </c>
      <c r="BV33" s="59">
        <f t="shared" si="84"/>
        <v>126215.9375</v>
      </c>
      <c r="BW33" s="59">
        <f t="shared" si="84"/>
        <v>126215.9375</v>
      </c>
      <c r="BX33" s="59">
        <f t="shared" si="84"/>
        <v>126215.9375</v>
      </c>
      <c r="BY33" s="59">
        <f t="shared" si="84"/>
        <v>126215.9375</v>
      </c>
      <c r="BZ33" s="59">
        <f t="shared" si="84"/>
        <v>126215.9375</v>
      </c>
      <c r="CA33" s="59">
        <f t="shared" si="84"/>
        <v>126215.9375</v>
      </c>
      <c r="CB33" s="59">
        <f t="shared" si="84"/>
        <v>21435.5</v>
      </c>
    </row>
    <row r="34" s="372" customFormat="1" ht="27" hidden="1" customHeight="1" spans="1:87">
      <c r="A34" s="428">
        <v>45734</v>
      </c>
      <c r="B34" s="429" t="s">
        <v>116</v>
      </c>
      <c r="C34" s="430" t="s">
        <v>117</v>
      </c>
      <c r="D34" s="431">
        <v>4500160498</v>
      </c>
      <c r="E34" s="430" t="s">
        <v>286</v>
      </c>
      <c r="F34" s="429" t="s">
        <v>287</v>
      </c>
      <c r="G34" s="432" t="s">
        <v>119</v>
      </c>
      <c r="H34" s="429" t="s">
        <v>120</v>
      </c>
      <c r="I34" s="433">
        <v>756</v>
      </c>
      <c r="J34" s="433">
        <v>0</v>
      </c>
      <c r="K34" s="433">
        <v>12</v>
      </c>
      <c r="L34" s="433">
        <f t="shared" si="24"/>
        <v>63</v>
      </c>
      <c r="M34" s="434">
        <v>45777</v>
      </c>
      <c r="N34" s="434">
        <v>45773</v>
      </c>
      <c r="O34" s="435"/>
      <c r="P34" s="496" t="s">
        <v>224</v>
      </c>
      <c r="Q34" s="435" t="s">
        <v>288</v>
      </c>
      <c r="R34" s="435" t="s">
        <v>289</v>
      </c>
      <c r="S34" s="435" t="s">
        <v>80</v>
      </c>
      <c r="T34" s="435" t="s">
        <v>123</v>
      </c>
      <c r="U34" s="435"/>
      <c r="V34" s="438" t="s">
        <v>290</v>
      </c>
      <c r="W34" s="434" t="s">
        <v>291</v>
      </c>
      <c r="X34" s="421">
        <v>2.09</v>
      </c>
      <c r="Y34" s="433">
        <f t="shared" si="69"/>
        <v>1580.04</v>
      </c>
      <c r="Z34" s="434" t="s">
        <v>292</v>
      </c>
      <c r="AA34" s="438">
        <v>756</v>
      </c>
      <c r="AB34" s="438">
        <f t="shared" si="6"/>
        <v>0</v>
      </c>
      <c r="AC34" s="435" t="s">
        <v>113</v>
      </c>
      <c r="AD34" s="435" t="s">
        <v>114</v>
      </c>
      <c r="AE34" s="434" t="s">
        <v>119</v>
      </c>
      <c r="AF34" s="434" t="s">
        <v>115</v>
      </c>
      <c r="AG34" s="441">
        <f>I34*2</f>
        <v>1512</v>
      </c>
      <c r="AH34" s="441">
        <f>I34*2</f>
        <v>1512</v>
      </c>
      <c r="AI34" s="441"/>
      <c r="AJ34" s="441"/>
      <c r="AK34" s="441">
        <f>I34*2</f>
        <v>1512</v>
      </c>
      <c r="AL34" s="441"/>
      <c r="AM34" s="441"/>
      <c r="AN34" s="441">
        <f>I34*2</f>
        <v>1512</v>
      </c>
      <c r="AO34" s="441"/>
      <c r="AP34" s="441"/>
      <c r="AQ34" s="441"/>
      <c r="AR34" s="441"/>
      <c r="AS34" s="441"/>
      <c r="AT34" s="441"/>
      <c r="AU34" s="441"/>
      <c r="AV34" s="441"/>
      <c r="AW34" s="441"/>
      <c r="AX34" s="441"/>
      <c r="AY34" s="441"/>
      <c r="AZ34" s="441"/>
      <c r="BA34" s="441"/>
      <c r="BB34" s="441"/>
      <c r="BC34" s="441"/>
      <c r="BD34" s="441"/>
      <c r="BE34" s="441"/>
      <c r="BF34" s="441">
        <f>I34</f>
        <v>756</v>
      </c>
      <c r="BG34" s="441">
        <f>I34</f>
        <v>756</v>
      </c>
      <c r="BH34" s="441"/>
      <c r="BI34" s="441"/>
      <c r="BJ34" s="59">
        <f t="shared" ref="BJ34:BR34" si="85">$I34*BJ$2*2</f>
        <v>185.062499999999</v>
      </c>
      <c r="BK34" s="59">
        <f t="shared" si="85"/>
        <v>185.062499999999</v>
      </c>
      <c r="BL34" s="59">
        <f t="shared" si="85"/>
        <v>185.062499999999</v>
      </c>
      <c r="BM34" s="59">
        <f t="shared" si="85"/>
        <v>185.062499999999</v>
      </c>
      <c r="BN34" s="59">
        <f t="shared" si="85"/>
        <v>185.062499999999</v>
      </c>
      <c r="BO34" s="59">
        <f t="shared" si="85"/>
        <v>185.062499999999</v>
      </c>
      <c r="BP34" s="59">
        <f t="shared" si="85"/>
        <v>185.062499999999</v>
      </c>
      <c r="BQ34" s="59">
        <f t="shared" si="85"/>
        <v>185.062499999999</v>
      </c>
      <c r="BR34" s="59">
        <f t="shared" si="85"/>
        <v>31.5</v>
      </c>
      <c r="BT34" s="59">
        <f t="shared" ref="BT34:CB34" si="86">BT33-BJ34</f>
        <v>126030.875</v>
      </c>
      <c r="BU34" s="59">
        <f t="shared" si="86"/>
        <v>126030.875</v>
      </c>
      <c r="BV34" s="59">
        <f t="shared" si="86"/>
        <v>126030.875</v>
      </c>
      <c r="BW34" s="59">
        <f t="shared" si="86"/>
        <v>126030.875</v>
      </c>
      <c r="BX34" s="59">
        <f t="shared" si="86"/>
        <v>126030.875</v>
      </c>
      <c r="BY34" s="59">
        <f t="shared" si="86"/>
        <v>126030.875</v>
      </c>
      <c r="BZ34" s="59">
        <f t="shared" si="86"/>
        <v>126030.875</v>
      </c>
      <c r="CA34" s="59">
        <f t="shared" si="86"/>
        <v>126030.875</v>
      </c>
      <c r="CB34" s="59">
        <f t="shared" si="86"/>
        <v>21404</v>
      </c>
      <c r="CD34" s="495" t="s">
        <v>127</v>
      </c>
      <c r="CH34" s="372">
        <f>CH21-I34</f>
        <v>7024</v>
      </c>
      <c r="CI34" s="372">
        <f>CI21-I34</f>
        <v>2024</v>
      </c>
    </row>
    <row r="35" s="372" customFormat="1" ht="27" hidden="1" customHeight="1" spans="1:87">
      <c r="A35" s="428">
        <v>45735</v>
      </c>
      <c r="B35" s="429" t="s">
        <v>293</v>
      </c>
      <c r="C35" s="430" t="s">
        <v>117</v>
      </c>
      <c r="D35" s="431">
        <v>4500160726</v>
      </c>
      <c r="E35" s="430" t="s">
        <v>294</v>
      </c>
      <c r="F35" s="429" t="s">
        <v>295</v>
      </c>
      <c r="G35" s="432" t="s">
        <v>94</v>
      </c>
      <c r="H35" s="429" t="s">
        <v>211</v>
      </c>
      <c r="I35" s="433">
        <v>988</v>
      </c>
      <c r="J35" s="433">
        <v>0</v>
      </c>
      <c r="K35" s="433">
        <v>52</v>
      </c>
      <c r="L35" s="433">
        <f t="shared" si="24"/>
        <v>19</v>
      </c>
      <c r="M35" s="463">
        <v>45818</v>
      </c>
      <c r="N35" s="434">
        <v>45814</v>
      </c>
      <c r="O35" s="435"/>
      <c r="P35" s="496" t="s">
        <v>107</v>
      </c>
      <c r="Q35" s="435" t="s">
        <v>296</v>
      </c>
      <c r="R35" s="435">
        <v>45742</v>
      </c>
      <c r="S35" s="435" t="s">
        <v>191</v>
      </c>
      <c r="T35" s="435" t="s">
        <v>297</v>
      </c>
      <c r="U35" s="435"/>
      <c r="V35" s="438" t="s">
        <v>298</v>
      </c>
      <c r="W35" s="434" t="s">
        <v>299</v>
      </c>
      <c r="X35" s="421">
        <v>0.945</v>
      </c>
      <c r="Y35" s="433">
        <f t="shared" si="69"/>
        <v>933.66</v>
      </c>
      <c r="Z35" s="434" t="s">
        <v>300</v>
      </c>
      <c r="AA35" s="438">
        <v>988</v>
      </c>
      <c r="AB35" s="438">
        <f t="shared" si="6"/>
        <v>0</v>
      </c>
      <c r="AC35" s="435"/>
      <c r="AD35" s="435" t="s">
        <v>114</v>
      </c>
      <c r="AE35" s="434" t="s">
        <v>94</v>
      </c>
      <c r="AF35" s="434" t="s">
        <v>115</v>
      </c>
      <c r="AG35" s="441">
        <f t="shared" ref="AG35:AG55" si="87">I35</f>
        <v>988</v>
      </c>
      <c r="AH35" s="441">
        <f t="shared" si="81"/>
        <v>988</v>
      </c>
      <c r="AI35" s="441"/>
      <c r="AJ35" s="441"/>
      <c r="AK35" s="441">
        <f t="shared" ref="AK35:AK54" si="88">I35</f>
        <v>988</v>
      </c>
      <c r="AL35" s="441"/>
      <c r="AM35" s="441"/>
      <c r="AN35" s="441">
        <f t="shared" ref="AN35:AN44" si="89">I35</f>
        <v>988</v>
      </c>
      <c r="AO35" s="441"/>
      <c r="AP35" s="441"/>
      <c r="AQ35" s="441"/>
      <c r="AR35" s="441"/>
      <c r="AS35" s="441"/>
      <c r="AT35" s="441">
        <f>I35/13</f>
        <v>76</v>
      </c>
      <c r="AU35" s="441"/>
      <c r="AV35" s="441"/>
      <c r="AW35" s="441"/>
      <c r="AX35" s="441"/>
      <c r="AY35" s="441"/>
      <c r="AZ35" s="441"/>
      <c r="BA35" s="441"/>
      <c r="BB35" s="441"/>
      <c r="BC35" s="441"/>
      <c r="BD35" s="441"/>
      <c r="BE35" s="441"/>
      <c r="BF35" s="441"/>
      <c r="BG35" s="441"/>
      <c r="BH35" s="441"/>
      <c r="BI35" s="441"/>
      <c r="BJ35" s="59">
        <f t="shared" ref="BJ35:BR35" si="90">$I35*BJ$2</f>
        <v>120.927083333333</v>
      </c>
      <c r="BK35" s="59">
        <f t="shared" si="90"/>
        <v>120.927083333333</v>
      </c>
      <c r="BL35" s="59">
        <f t="shared" si="90"/>
        <v>120.927083333333</v>
      </c>
      <c r="BM35" s="59">
        <f t="shared" si="90"/>
        <v>120.927083333333</v>
      </c>
      <c r="BN35" s="59">
        <f t="shared" si="90"/>
        <v>120.927083333333</v>
      </c>
      <c r="BO35" s="59">
        <f t="shared" si="90"/>
        <v>120.927083333333</v>
      </c>
      <c r="BP35" s="59">
        <f t="shared" si="90"/>
        <v>120.927083333333</v>
      </c>
      <c r="BQ35" s="59">
        <f t="shared" si="90"/>
        <v>120.927083333333</v>
      </c>
      <c r="BR35" s="59">
        <f t="shared" si="90"/>
        <v>20.5833333333333</v>
      </c>
      <c r="BT35" s="59">
        <f t="shared" ref="BT35:CB35" si="91">BT34-BJ35</f>
        <v>125909.947916667</v>
      </c>
      <c r="BU35" s="59">
        <f t="shared" si="91"/>
        <v>125909.947916667</v>
      </c>
      <c r="BV35" s="59">
        <f t="shared" si="91"/>
        <v>125909.947916667</v>
      </c>
      <c r="BW35" s="59">
        <f t="shared" si="91"/>
        <v>125909.947916667</v>
      </c>
      <c r="BX35" s="59">
        <f t="shared" si="91"/>
        <v>125909.947916667</v>
      </c>
      <c r="BY35" s="59">
        <f t="shared" si="91"/>
        <v>125909.947916667</v>
      </c>
      <c r="BZ35" s="59">
        <f t="shared" si="91"/>
        <v>125909.947916667</v>
      </c>
      <c r="CA35" s="59">
        <f t="shared" si="91"/>
        <v>125909.947916667</v>
      </c>
      <c r="CB35" s="59">
        <f t="shared" si="91"/>
        <v>21383.4166666667</v>
      </c>
      <c r="CD35" s="495"/>
    </row>
    <row r="36" s="371" customFormat="1" ht="27" hidden="1" customHeight="1" spans="1:87">
      <c r="A36" s="410">
        <v>45730</v>
      </c>
      <c r="B36" s="411" t="s">
        <v>301</v>
      </c>
      <c r="C36" s="412" t="s">
        <v>302</v>
      </c>
      <c r="D36" s="413">
        <v>4500160092</v>
      </c>
      <c r="E36" s="412" t="s">
        <v>303</v>
      </c>
      <c r="F36" s="413" t="s">
        <v>304</v>
      </c>
      <c r="G36" s="414" t="s">
        <v>78</v>
      </c>
      <c r="H36" s="411" t="s">
        <v>79</v>
      </c>
      <c r="I36" s="415">
        <v>2700</v>
      </c>
      <c r="J36" s="415">
        <v>0</v>
      </c>
      <c r="K36" s="415">
        <v>54</v>
      </c>
      <c r="L36" s="415">
        <f t="shared" si="24"/>
        <v>50</v>
      </c>
      <c r="M36" s="416">
        <v>45775</v>
      </c>
      <c r="N36" s="416">
        <v>45775</v>
      </c>
      <c r="O36" s="417" t="s">
        <v>305</v>
      </c>
      <c r="P36" s="499" t="s">
        <v>107</v>
      </c>
      <c r="Q36" s="417" t="s">
        <v>306</v>
      </c>
      <c r="R36" s="417">
        <v>45740</v>
      </c>
      <c r="S36" s="417" t="s">
        <v>80</v>
      </c>
      <c r="T36" s="417" t="s">
        <v>307</v>
      </c>
      <c r="U36" s="417"/>
      <c r="V36" s="420" t="s">
        <v>308</v>
      </c>
      <c r="W36" s="416" t="s">
        <v>228</v>
      </c>
      <c r="X36" s="421">
        <v>0.9779</v>
      </c>
      <c r="Y36" s="415">
        <f t="shared" si="69"/>
        <v>2640.33</v>
      </c>
      <c r="Z36" s="416" t="s">
        <v>309</v>
      </c>
      <c r="AA36" s="420">
        <f>2700</f>
        <v>2700</v>
      </c>
      <c r="AB36" s="420">
        <f t="shared" si="6"/>
        <v>0</v>
      </c>
      <c r="AC36" s="417" t="s">
        <v>113</v>
      </c>
      <c r="AD36" s="417" t="s">
        <v>114</v>
      </c>
      <c r="AE36" s="416" t="s">
        <v>230</v>
      </c>
      <c r="AF36" s="416" t="s">
        <v>115</v>
      </c>
      <c r="AG36" s="422">
        <f t="shared" si="87"/>
        <v>2700</v>
      </c>
      <c r="AH36" s="422">
        <f t="shared" si="81"/>
        <v>2700</v>
      </c>
      <c r="AI36" s="422"/>
      <c r="AJ36" s="422"/>
      <c r="AK36" s="422"/>
      <c r="AL36" s="422">
        <f t="shared" si="82"/>
        <v>2700</v>
      </c>
      <c r="AM36" s="422"/>
      <c r="AN36" s="422">
        <f t="shared" si="89"/>
        <v>2700</v>
      </c>
      <c r="AO36" s="422"/>
      <c r="AP36" s="422"/>
      <c r="AQ36" s="422"/>
      <c r="AR36" s="422">
        <f t="shared" si="78"/>
        <v>100</v>
      </c>
      <c r="AS36" s="422"/>
      <c r="AT36" s="422"/>
      <c r="AU36" s="422"/>
      <c r="AV36" s="422"/>
      <c r="AW36" s="422"/>
      <c r="AX36" s="422"/>
      <c r="AY36" s="422"/>
      <c r="AZ36" s="422"/>
      <c r="BA36" s="422"/>
      <c r="BB36" s="422"/>
      <c r="BC36" s="422"/>
      <c r="BD36" s="422"/>
      <c r="BE36" s="422"/>
      <c r="BF36" s="422"/>
      <c r="BG36" s="422"/>
      <c r="BH36" s="422"/>
      <c r="BI36" s="422"/>
      <c r="BJ36" s="423">
        <f t="shared" ref="BJ36:BR36" si="92">$I36*BJ$2</f>
        <v>330.468749999999</v>
      </c>
      <c r="BK36" s="423">
        <f t="shared" si="92"/>
        <v>330.468749999999</v>
      </c>
      <c r="BL36" s="423">
        <f t="shared" si="92"/>
        <v>330.468749999999</v>
      </c>
      <c r="BM36" s="423">
        <f t="shared" si="92"/>
        <v>330.468749999999</v>
      </c>
      <c r="BN36" s="423">
        <f t="shared" si="92"/>
        <v>330.468749999999</v>
      </c>
      <c r="BO36" s="423">
        <f t="shared" si="92"/>
        <v>330.468749999999</v>
      </c>
      <c r="BP36" s="423">
        <f t="shared" si="92"/>
        <v>330.468749999999</v>
      </c>
      <c r="BQ36" s="423">
        <f t="shared" si="92"/>
        <v>330.468749999999</v>
      </c>
      <c r="BR36" s="423">
        <f t="shared" si="92"/>
        <v>56.2499999999999</v>
      </c>
      <c r="BT36" s="59">
        <f t="shared" ref="BT36:CB36" si="93">BT35-BJ36</f>
        <v>125579.479166667</v>
      </c>
      <c r="BU36" s="59">
        <f t="shared" si="93"/>
        <v>125579.479166667</v>
      </c>
      <c r="BV36" s="59">
        <f t="shared" si="93"/>
        <v>125579.479166667</v>
      </c>
      <c r="BW36" s="59">
        <f t="shared" si="93"/>
        <v>125579.479166667</v>
      </c>
      <c r="BX36" s="59">
        <f t="shared" si="93"/>
        <v>125579.479166667</v>
      </c>
      <c r="BY36" s="59">
        <f t="shared" si="93"/>
        <v>125579.479166667</v>
      </c>
      <c r="BZ36" s="59">
        <f t="shared" si="93"/>
        <v>125579.479166667</v>
      </c>
      <c r="CA36" s="59">
        <f t="shared" si="93"/>
        <v>125579.479166667</v>
      </c>
      <c r="CB36" s="59">
        <f t="shared" si="93"/>
        <v>21327.1666666667</v>
      </c>
    </row>
    <row r="37" s="372" customFormat="1" ht="27" hidden="1" customHeight="1" spans="1:87">
      <c r="A37" s="428">
        <v>45754</v>
      </c>
      <c r="B37" s="429" t="s">
        <v>310</v>
      </c>
      <c r="C37" s="430" t="s">
        <v>311</v>
      </c>
      <c r="D37" s="431">
        <v>4500162346</v>
      </c>
      <c r="E37" s="430">
        <v>5200006527</v>
      </c>
      <c r="F37" s="429" t="s">
        <v>312</v>
      </c>
      <c r="G37" s="432" t="s">
        <v>313</v>
      </c>
      <c r="H37" s="429" t="s">
        <v>153</v>
      </c>
      <c r="I37" s="433">
        <v>3315</v>
      </c>
      <c r="J37" s="433">
        <v>0</v>
      </c>
      <c r="K37" s="433">
        <v>13</v>
      </c>
      <c r="L37" s="433">
        <f t="shared" si="24"/>
        <v>255</v>
      </c>
      <c r="M37" s="434">
        <v>45783</v>
      </c>
      <c r="N37" s="434">
        <v>45782</v>
      </c>
      <c r="O37" s="435"/>
      <c r="P37" s="496" t="s">
        <v>107</v>
      </c>
      <c r="Q37" s="435" t="s">
        <v>314</v>
      </c>
      <c r="R37" s="435">
        <v>45757</v>
      </c>
      <c r="S37" s="435" t="s">
        <v>80</v>
      </c>
      <c r="T37" s="435" t="s">
        <v>315</v>
      </c>
      <c r="U37" s="435"/>
      <c r="V37" s="438" t="s">
        <v>316</v>
      </c>
      <c r="W37" s="434" t="s">
        <v>317</v>
      </c>
      <c r="X37" s="421">
        <v>0.7931</v>
      </c>
      <c r="Y37" s="433">
        <f t="shared" si="69"/>
        <v>2629.1265</v>
      </c>
      <c r="Z37" s="434" t="s">
        <v>318</v>
      </c>
      <c r="AA37" s="438">
        <v>3315</v>
      </c>
      <c r="AB37" s="438">
        <f t="shared" si="6"/>
        <v>0</v>
      </c>
      <c r="AC37" s="435" t="s">
        <v>113</v>
      </c>
      <c r="AD37" s="435" t="s">
        <v>114</v>
      </c>
      <c r="AE37" s="434" t="s">
        <v>319</v>
      </c>
      <c r="AF37" s="434" t="s">
        <v>115</v>
      </c>
      <c r="AG37" s="441">
        <f t="shared" si="87"/>
        <v>3315</v>
      </c>
      <c r="AH37" s="441">
        <f t="shared" si="81"/>
        <v>3315</v>
      </c>
      <c r="AJ37" s="441"/>
      <c r="AL37" s="441">
        <f t="shared" si="82"/>
        <v>3315</v>
      </c>
      <c r="AM37" s="441"/>
      <c r="AN37" s="441">
        <f t="shared" si="89"/>
        <v>3315</v>
      </c>
      <c r="AQ37" s="441"/>
      <c r="AR37" s="441"/>
      <c r="AS37" s="441"/>
      <c r="AU37" s="441">
        <f>I37/13</f>
        <v>255</v>
      </c>
      <c r="AV37" s="441"/>
      <c r="AW37" s="441"/>
      <c r="AX37" s="441"/>
      <c r="AY37" s="441"/>
      <c r="AZ37" s="441"/>
      <c r="BA37" s="441"/>
      <c r="BB37" s="441"/>
      <c r="BC37" s="441"/>
      <c r="BD37" s="441"/>
      <c r="BE37" s="441"/>
      <c r="BF37" s="441"/>
      <c r="BG37" s="441"/>
      <c r="BH37" s="441"/>
      <c r="BI37" s="441"/>
      <c r="BJ37" s="59">
        <f t="shared" ref="BJ37:BR37" si="94">$I37*BJ$2</f>
        <v>405.742187499999</v>
      </c>
      <c r="BK37" s="59">
        <f t="shared" si="94"/>
        <v>405.742187499999</v>
      </c>
      <c r="BL37" s="59">
        <f t="shared" si="94"/>
        <v>405.742187499999</v>
      </c>
      <c r="BM37" s="59">
        <f t="shared" si="94"/>
        <v>405.742187499999</v>
      </c>
      <c r="BN37" s="59">
        <f t="shared" si="94"/>
        <v>405.742187499999</v>
      </c>
      <c r="BO37" s="59">
        <f t="shared" si="94"/>
        <v>405.742187499999</v>
      </c>
      <c r="BP37" s="59">
        <f t="shared" si="94"/>
        <v>405.742187499999</v>
      </c>
      <c r="BQ37" s="59">
        <f t="shared" si="94"/>
        <v>405.742187499999</v>
      </c>
      <c r="BR37" s="59">
        <f t="shared" si="94"/>
        <v>69.0624999999999</v>
      </c>
      <c r="BT37" s="59">
        <f t="shared" ref="BT37:CB37" si="95">BT36-BJ37</f>
        <v>125173.736979167</v>
      </c>
      <c r="BU37" s="59">
        <f t="shared" si="95"/>
        <v>125173.736979167</v>
      </c>
      <c r="BV37" s="59">
        <f t="shared" si="95"/>
        <v>125173.736979167</v>
      </c>
      <c r="BW37" s="59">
        <f t="shared" si="95"/>
        <v>125173.736979167</v>
      </c>
      <c r="BX37" s="59">
        <f t="shared" si="95"/>
        <v>125173.736979167</v>
      </c>
      <c r="BY37" s="59">
        <f t="shared" si="95"/>
        <v>125173.736979167</v>
      </c>
      <c r="BZ37" s="59">
        <f t="shared" si="95"/>
        <v>125173.736979167</v>
      </c>
      <c r="CA37" s="59">
        <f t="shared" si="95"/>
        <v>125173.736979167</v>
      </c>
      <c r="CB37" s="59">
        <f t="shared" si="95"/>
        <v>21258.1041666667</v>
      </c>
    </row>
    <row r="38" s="372" customFormat="1" ht="27" hidden="1" customHeight="1" spans="1:87">
      <c r="A38" s="428">
        <v>45740</v>
      </c>
      <c r="B38" s="429" t="s">
        <v>320</v>
      </c>
      <c r="C38" s="430" t="s">
        <v>170</v>
      </c>
      <c r="D38" s="431">
        <v>4500161244</v>
      </c>
      <c r="E38" s="430" t="s">
        <v>321</v>
      </c>
      <c r="F38" s="429" t="s">
        <v>322</v>
      </c>
      <c r="G38" s="432" t="s">
        <v>94</v>
      </c>
      <c r="H38" s="429" t="s">
        <v>211</v>
      </c>
      <c r="I38" s="433">
        <v>1456</v>
      </c>
      <c r="J38" s="433">
        <v>0</v>
      </c>
      <c r="K38" s="433">
        <v>52</v>
      </c>
      <c r="L38" s="433">
        <f t="shared" si="24"/>
        <v>28</v>
      </c>
      <c r="M38" s="434">
        <v>45784</v>
      </c>
      <c r="N38" s="434">
        <v>45782</v>
      </c>
      <c r="O38" s="435"/>
      <c r="P38" s="496" t="s">
        <v>107</v>
      </c>
      <c r="Q38" s="435" t="s">
        <v>323</v>
      </c>
      <c r="R38" s="435">
        <v>45747</v>
      </c>
      <c r="S38" s="435" t="s">
        <v>80</v>
      </c>
      <c r="T38" s="435" t="s">
        <v>80</v>
      </c>
      <c r="U38" s="435"/>
      <c r="V38" s="438" t="s">
        <v>324</v>
      </c>
      <c r="W38" s="434" t="s">
        <v>178</v>
      </c>
      <c r="X38" s="421">
        <v>0.945</v>
      </c>
      <c r="Y38" s="433">
        <f t="shared" si="69"/>
        <v>1375.92</v>
      </c>
      <c r="Z38" s="434" t="s">
        <v>325</v>
      </c>
      <c r="AA38" s="438">
        <v>1456</v>
      </c>
      <c r="AB38" s="55">
        <f t="shared" si="6"/>
        <v>0</v>
      </c>
      <c r="AC38" s="435" t="s">
        <v>80</v>
      </c>
      <c r="AD38" s="435" t="s">
        <v>114</v>
      </c>
      <c r="AE38" s="434" t="s">
        <v>94</v>
      </c>
      <c r="AF38" s="434" t="s">
        <v>115</v>
      </c>
      <c r="AG38" s="441">
        <f t="shared" si="87"/>
        <v>1456</v>
      </c>
      <c r="AH38" s="441">
        <f t="shared" si="81"/>
        <v>1456</v>
      </c>
      <c r="AI38" s="441"/>
      <c r="AJ38" s="441"/>
      <c r="AK38" s="441">
        <f t="shared" si="88"/>
        <v>1456</v>
      </c>
      <c r="AL38" s="441"/>
      <c r="AM38" s="441"/>
      <c r="AN38" s="441">
        <f t="shared" si="89"/>
        <v>1456</v>
      </c>
      <c r="AO38" s="441"/>
      <c r="AP38" s="441"/>
      <c r="AQ38" s="441"/>
      <c r="AR38" s="441"/>
      <c r="AS38" s="441"/>
      <c r="AT38" s="441">
        <f>I38/13</f>
        <v>112</v>
      </c>
      <c r="AU38" s="441"/>
      <c r="AV38" s="441"/>
      <c r="AW38" s="441"/>
      <c r="AX38" s="441"/>
      <c r="AY38" s="441"/>
      <c r="AZ38" s="441"/>
      <c r="BA38" s="441"/>
      <c r="BB38" s="441"/>
      <c r="BC38" s="441"/>
      <c r="BD38" s="441"/>
      <c r="BE38" s="441"/>
      <c r="BF38" s="441"/>
      <c r="BG38" s="441"/>
      <c r="BH38" s="441"/>
      <c r="BI38" s="441"/>
      <c r="BJ38" s="59">
        <f t="shared" ref="BJ38:BR38" si="96">$I38*BJ$2</f>
        <v>178.208333333333</v>
      </c>
      <c r="BK38" s="59">
        <f t="shared" si="96"/>
        <v>178.208333333333</v>
      </c>
      <c r="BL38" s="59">
        <f t="shared" si="96"/>
        <v>178.208333333333</v>
      </c>
      <c r="BM38" s="59">
        <f t="shared" si="96"/>
        <v>178.208333333333</v>
      </c>
      <c r="BN38" s="59">
        <f t="shared" si="96"/>
        <v>178.208333333333</v>
      </c>
      <c r="BO38" s="59">
        <f t="shared" si="96"/>
        <v>178.208333333333</v>
      </c>
      <c r="BP38" s="59">
        <f t="shared" si="96"/>
        <v>178.208333333333</v>
      </c>
      <c r="BQ38" s="59">
        <f t="shared" si="96"/>
        <v>178.208333333333</v>
      </c>
      <c r="BR38" s="59">
        <f t="shared" si="96"/>
        <v>30.3333333333333</v>
      </c>
      <c r="BT38" s="59">
        <f t="shared" ref="BT38:CB38" si="97">BT37-BJ38</f>
        <v>124995.528645833</v>
      </c>
      <c r="BU38" s="59">
        <f t="shared" si="97"/>
        <v>124995.528645833</v>
      </c>
      <c r="BV38" s="59">
        <f t="shared" si="97"/>
        <v>124995.528645833</v>
      </c>
      <c r="BW38" s="59">
        <f t="shared" si="97"/>
        <v>124995.528645833</v>
      </c>
      <c r="BX38" s="59">
        <f t="shared" si="97"/>
        <v>124995.528645833</v>
      </c>
      <c r="BY38" s="59">
        <f t="shared" si="97"/>
        <v>124995.528645833</v>
      </c>
      <c r="BZ38" s="59">
        <f t="shared" si="97"/>
        <v>124995.528645833</v>
      </c>
      <c r="CA38" s="59">
        <f t="shared" si="97"/>
        <v>124995.528645833</v>
      </c>
      <c r="CB38" s="59">
        <f t="shared" si="97"/>
        <v>21227.7708333333</v>
      </c>
    </row>
    <row r="39" s="372" customFormat="1" ht="27" hidden="1" customHeight="1" spans="1:87">
      <c r="A39" s="428">
        <v>45744</v>
      </c>
      <c r="B39" s="429" t="s">
        <v>326</v>
      </c>
      <c r="C39" s="430" t="s">
        <v>117</v>
      </c>
      <c r="D39" s="431">
        <v>4500161693</v>
      </c>
      <c r="E39" s="430" t="s">
        <v>327</v>
      </c>
      <c r="F39" s="429" t="s">
        <v>328</v>
      </c>
      <c r="G39" s="432" t="s">
        <v>258</v>
      </c>
      <c r="H39" s="429" t="s">
        <v>259</v>
      </c>
      <c r="I39" s="433">
        <v>1152</v>
      </c>
      <c r="J39" s="433">
        <v>0</v>
      </c>
      <c r="K39" s="433">
        <v>1152</v>
      </c>
      <c r="L39" s="433">
        <f t="shared" si="24"/>
        <v>1</v>
      </c>
      <c r="M39" s="434">
        <v>45785</v>
      </c>
      <c r="N39" s="434">
        <v>45782</v>
      </c>
      <c r="O39" s="435" t="s">
        <v>329</v>
      </c>
      <c r="P39" s="496" t="s">
        <v>107</v>
      </c>
      <c r="Q39" s="435" t="s">
        <v>330</v>
      </c>
      <c r="R39" s="435" t="s">
        <v>331</v>
      </c>
      <c r="S39" s="435" t="s">
        <v>191</v>
      </c>
      <c r="T39" s="435" t="s">
        <v>332</v>
      </c>
      <c r="U39" s="435"/>
      <c r="V39" s="438" t="s">
        <v>333</v>
      </c>
      <c r="W39" s="434" t="s">
        <v>265</v>
      </c>
      <c r="X39" s="421">
        <v>903.2128</v>
      </c>
      <c r="Y39" s="433">
        <f t="shared" ref="Y39:Y41" si="98">X39*L39</f>
        <v>903.2128</v>
      </c>
      <c r="Z39" s="434" t="s">
        <v>334</v>
      </c>
      <c r="AA39" s="438">
        <v>1152</v>
      </c>
      <c r="AB39" s="55">
        <f t="shared" si="6"/>
        <v>0</v>
      </c>
      <c r="AC39" s="435"/>
      <c r="AD39" s="435" t="s">
        <v>114</v>
      </c>
      <c r="AE39" s="434" t="s">
        <v>258</v>
      </c>
      <c r="AF39" s="434" t="s">
        <v>115</v>
      </c>
      <c r="AG39" s="441">
        <f t="shared" si="87"/>
        <v>1152</v>
      </c>
      <c r="AH39" s="441">
        <f t="shared" si="81"/>
        <v>1152</v>
      </c>
      <c r="AI39" s="441"/>
      <c r="AJ39" s="441"/>
      <c r="AK39" s="441">
        <f t="shared" si="88"/>
        <v>1152</v>
      </c>
      <c r="AL39" s="441"/>
      <c r="AM39" s="441"/>
      <c r="AN39" s="441">
        <f t="shared" si="89"/>
        <v>1152</v>
      </c>
      <c r="AO39" s="441"/>
      <c r="AP39" s="441"/>
      <c r="AQ39" s="441"/>
      <c r="AR39" s="441"/>
      <c r="AS39" s="441"/>
      <c r="AT39" s="441"/>
      <c r="AU39" s="441"/>
      <c r="AV39" s="441">
        <f t="shared" ref="AV39:AV44" si="99">I39/12</f>
        <v>96</v>
      </c>
      <c r="AW39" s="441"/>
      <c r="AX39" s="441"/>
      <c r="AY39" s="441"/>
      <c r="AZ39" s="441"/>
      <c r="BA39" s="441"/>
      <c r="BB39" s="441"/>
      <c r="BC39" s="441"/>
      <c r="BD39" s="441"/>
      <c r="BE39" s="441"/>
      <c r="BF39" s="441"/>
      <c r="BG39" s="441"/>
      <c r="BH39" s="441"/>
      <c r="BI39" s="441"/>
      <c r="BJ39" s="59">
        <f t="shared" ref="BJ39:BR39" si="100">$I39*BJ$2</f>
        <v>141</v>
      </c>
      <c r="BK39" s="59">
        <f t="shared" si="100"/>
        <v>141</v>
      </c>
      <c r="BL39" s="59">
        <f t="shared" si="100"/>
        <v>141</v>
      </c>
      <c r="BM39" s="59">
        <f t="shared" si="100"/>
        <v>141</v>
      </c>
      <c r="BN39" s="59">
        <f t="shared" si="100"/>
        <v>141</v>
      </c>
      <c r="BO39" s="59">
        <f t="shared" si="100"/>
        <v>141</v>
      </c>
      <c r="BP39" s="59">
        <f t="shared" si="100"/>
        <v>141</v>
      </c>
      <c r="BQ39" s="59">
        <f t="shared" si="100"/>
        <v>141</v>
      </c>
      <c r="BR39" s="59">
        <f t="shared" si="100"/>
        <v>24</v>
      </c>
      <c r="BT39" s="59">
        <f t="shared" ref="BT39:CB39" si="101">BT38-BJ39</f>
        <v>124854.528645833</v>
      </c>
      <c r="BU39" s="59">
        <f t="shared" si="101"/>
        <v>124854.528645833</v>
      </c>
      <c r="BV39" s="59">
        <f t="shared" si="101"/>
        <v>124854.528645833</v>
      </c>
      <c r="BW39" s="59">
        <f t="shared" si="101"/>
        <v>124854.528645833</v>
      </c>
      <c r="BX39" s="59">
        <f t="shared" si="101"/>
        <v>124854.528645833</v>
      </c>
      <c r="BY39" s="59">
        <f t="shared" si="101"/>
        <v>124854.528645833</v>
      </c>
      <c r="BZ39" s="59">
        <f t="shared" si="101"/>
        <v>124854.528645833</v>
      </c>
      <c r="CA39" s="59">
        <f t="shared" si="101"/>
        <v>124854.528645833</v>
      </c>
      <c r="CB39" s="59">
        <f t="shared" si="101"/>
        <v>21203.7708333333</v>
      </c>
    </row>
    <row r="40" s="372" customFormat="1" ht="27" hidden="1" customHeight="1" spans="1:87">
      <c r="A40" s="428">
        <v>45744</v>
      </c>
      <c r="B40" s="429" t="s">
        <v>326</v>
      </c>
      <c r="C40" s="430" t="s">
        <v>117</v>
      </c>
      <c r="D40" s="431">
        <v>4500161693</v>
      </c>
      <c r="E40" s="430" t="s">
        <v>335</v>
      </c>
      <c r="F40" s="429" t="s">
        <v>336</v>
      </c>
      <c r="G40" s="432" t="s">
        <v>258</v>
      </c>
      <c r="H40" s="429" t="s">
        <v>259</v>
      </c>
      <c r="I40" s="433">
        <v>1152</v>
      </c>
      <c r="J40" s="433">
        <v>0</v>
      </c>
      <c r="K40" s="433">
        <v>1152</v>
      </c>
      <c r="L40" s="433">
        <f t="shared" si="24"/>
        <v>1</v>
      </c>
      <c r="M40" s="434">
        <v>45785</v>
      </c>
      <c r="N40" s="434">
        <v>45782</v>
      </c>
      <c r="O40" s="435" t="s">
        <v>329</v>
      </c>
      <c r="P40" s="496" t="s">
        <v>107</v>
      </c>
      <c r="Q40" s="435" t="s">
        <v>337</v>
      </c>
      <c r="R40" s="435" t="s">
        <v>331</v>
      </c>
      <c r="S40" s="435" t="s">
        <v>191</v>
      </c>
      <c r="T40" s="435" t="s">
        <v>332</v>
      </c>
      <c r="U40" s="435"/>
      <c r="V40" s="438" t="s">
        <v>333</v>
      </c>
      <c r="W40" s="434" t="s">
        <v>265</v>
      </c>
      <c r="X40" s="421">
        <v>903.2128</v>
      </c>
      <c r="Y40" s="433">
        <f t="shared" si="98"/>
        <v>903.2128</v>
      </c>
      <c r="Z40" s="434" t="s">
        <v>338</v>
      </c>
      <c r="AA40" s="438">
        <v>1152</v>
      </c>
      <c r="AB40" s="55">
        <f t="shared" si="6"/>
        <v>0</v>
      </c>
      <c r="AC40" s="435"/>
      <c r="AD40" s="435" t="s">
        <v>114</v>
      </c>
      <c r="AE40" s="434" t="s">
        <v>258</v>
      </c>
      <c r="AF40" s="434" t="s">
        <v>115</v>
      </c>
      <c r="AG40" s="441">
        <f t="shared" si="87"/>
        <v>1152</v>
      </c>
      <c r="AH40" s="441">
        <f t="shared" si="81"/>
        <v>1152</v>
      </c>
      <c r="AI40" s="441"/>
      <c r="AJ40" s="441"/>
      <c r="AK40" s="441">
        <f t="shared" si="88"/>
        <v>1152</v>
      </c>
      <c r="AL40" s="441"/>
      <c r="AM40" s="441"/>
      <c r="AN40" s="441">
        <f t="shared" si="89"/>
        <v>1152</v>
      </c>
      <c r="AO40" s="441"/>
      <c r="AP40" s="441"/>
      <c r="AQ40" s="441"/>
      <c r="AR40" s="441"/>
      <c r="AS40" s="441"/>
      <c r="AT40" s="441"/>
      <c r="AU40" s="441"/>
      <c r="AV40" s="441">
        <f t="shared" si="99"/>
        <v>96</v>
      </c>
      <c r="AW40" s="441"/>
      <c r="AX40" s="441"/>
      <c r="AY40" s="441"/>
      <c r="AZ40" s="441"/>
      <c r="BA40" s="441"/>
      <c r="BB40" s="441"/>
      <c r="BC40" s="441"/>
      <c r="BD40" s="441"/>
      <c r="BE40" s="441"/>
      <c r="BF40" s="441"/>
      <c r="BG40" s="441"/>
      <c r="BH40" s="441"/>
      <c r="BI40" s="441"/>
      <c r="BJ40" s="59">
        <f t="shared" ref="BJ40:BR40" si="102">$I40*BJ$2</f>
        <v>141</v>
      </c>
      <c r="BK40" s="59">
        <f t="shared" si="102"/>
        <v>141</v>
      </c>
      <c r="BL40" s="59">
        <f t="shared" si="102"/>
        <v>141</v>
      </c>
      <c r="BM40" s="59">
        <f t="shared" si="102"/>
        <v>141</v>
      </c>
      <c r="BN40" s="59">
        <f t="shared" si="102"/>
        <v>141</v>
      </c>
      <c r="BO40" s="59">
        <f t="shared" si="102"/>
        <v>141</v>
      </c>
      <c r="BP40" s="59">
        <f t="shared" si="102"/>
        <v>141</v>
      </c>
      <c r="BQ40" s="59">
        <f t="shared" si="102"/>
        <v>141</v>
      </c>
      <c r="BR40" s="59">
        <f t="shared" si="102"/>
        <v>24</v>
      </c>
      <c r="BT40" s="59">
        <f t="shared" ref="BT40:CB40" si="103">BT39-BJ40</f>
        <v>124713.528645833</v>
      </c>
      <c r="BU40" s="59">
        <f t="shared" si="103"/>
        <v>124713.528645833</v>
      </c>
      <c r="BV40" s="59">
        <f t="shared" si="103"/>
        <v>124713.528645833</v>
      </c>
      <c r="BW40" s="59">
        <f t="shared" si="103"/>
        <v>124713.528645833</v>
      </c>
      <c r="BX40" s="59">
        <f t="shared" si="103"/>
        <v>124713.528645833</v>
      </c>
      <c r="BY40" s="59">
        <f t="shared" si="103"/>
        <v>124713.528645833</v>
      </c>
      <c r="BZ40" s="59">
        <f t="shared" si="103"/>
        <v>124713.528645833</v>
      </c>
      <c r="CA40" s="59">
        <f t="shared" si="103"/>
        <v>124713.528645833</v>
      </c>
      <c r="CB40" s="59">
        <f t="shared" si="103"/>
        <v>21179.7708333333</v>
      </c>
    </row>
    <row r="41" s="372" customFormat="1" ht="27" hidden="1" customHeight="1" spans="1:87">
      <c r="A41" s="428">
        <v>45744</v>
      </c>
      <c r="B41" s="429" t="s">
        <v>326</v>
      </c>
      <c r="C41" s="430" t="s">
        <v>117</v>
      </c>
      <c r="D41" s="431">
        <v>4500161749</v>
      </c>
      <c r="E41" s="532" t="s">
        <v>339</v>
      </c>
      <c r="F41" s="429" t="s">
        <v>340</v>
      </c>
      <c r="G41" s="432" t="s">
        <v>258</v>
      </c>
      <c r="H41" s="429" t="s">
        <v>259</v>
      </c>
      <c r="I41" s="433">
        <v>1152</v>
      </c>
      <c r="J41" s="433">
        <v>0</v>
      </c>
      <c r="K41" s="433">
        <v>1152</v>
      </c>
      <c r="L41" s="433">
        <f t="shared" si="24"/>
        <v>1</v>
      </c>
      <c r="M41" s="434">
        <v>45789</v>
      </c>
      <c r="N41" s="434">
        <v>45785</v>
      </c>
      <c r="O41" s="435" t="s">
        <v>341</v>
      </c>
      <c r="P41" s="496" t="s">
        <v>107</v>
      </c>
      <c r="Q41" s="435" t="s">
        <v>342</v>
      </c>
      <c r="R41" s="435" t="s">
        <v>331</v>
      </c>
      <c r="S41" s="435" t="s">
        <v>191</v>
      </c>
      <c r="T41" s="435" t="s">
        <v>332</v>
      </c>
      <c r="U41" s="435"/>
      <c r="V41" s="438" t="s">
        <v>333</v>
      </c>
      <c r="W41" s="434" t="s">
        <v>265</v>
      </c>
      <c r="X41" s="421">
        <v>903.2128</v>
      </c>
      <c r="Y41" s="433">
        <f t="shared" si="98"/>
        <v>903.2128</v>
      </c>
      <c r="Z41" s="434"/>
      <c r="AA41" s="438">
        <v>1152</v>
      </c>
      <c r="AB41" s="55">
        <f t="shared" si="6"/>
        <v>0</v>
      </c>
      <c r="AC41" s="435"/>
      <c r="AD41" s="435" t="s">
        <v>114</v>
      </c>
      <c r="AE41" s="434" t="s">
        <v>258</v>
      </c>
      <c r="AF41" s="434" t="s">
        <v>115</v>
      </c>
      <c r="AG41" s="441">
        <f t="shared" si="87"/>
        <v>1152</v>
      </c>
      <c r="AH41" s="441">
        <f t="shared" si="81"/>
        <v>1152</v>
      </c>
      <c r="AI41" s="441"/>
      <c r="AJ41" s="441"/>
      <c r="AK41" s="441">
        <f t="shared" si="88"/>
        <v>1152</v>
      </c>
      <c r="AL41" s="441"/>
      <c r="AM41" s="441"/>
      <c r="AN41" s="441">
        <f t="shared" si="89"/>
        <v>1152</v>
      </c>
      <c r="AO41" s="441"/>
      <c r="AP41" s="441"/>
      <c r="AQ41" s="441"/>
      <c r="AR41" s="441"/>
      <c r="AS41" s="441"/>
      <c r="AT41" s="441"/>
      <c r="AU41" s="441"/>
      <c r="AV41" s="441">
        <f t="shared" si="99"/>
        <v>96</v>
      </c>
      <c r="AW41" s="441"/>
      <c r="AX41" s="441"/>
      <c r="AY41" s="441"/>
      <c r="AZ41" s="441"/>
      <c r="BA41" s="441"/>
      <c r="BB41" s="441"/>
      <c r="BC41" s="441"/>
      <c r="BD41" s="441"/>
      <c r="BE41" s="441"/>
      <c r="BF41" s="441"/>
      <c r="BG41" s="441"/>
      <c r="BH41" s="441"/>
      <c r="BI41" s="441"/>
      <c r="BJ41" s="59">
        <f t="shared" ref="BJ41:BR41" si="104">$I41*BJ$2</f>
        <v>141</v>
      </c>
      <c r="BK41" s="59">
        <f t="shared" si="104"/>
        <v>141</v>
      </c>
      <c r="BL41" s="59">
        <f t="shared" si="104"/>
        <v>141</v>
      </c>
      <c r="BM41" s="59">
        <f t="shared" si="104"/>
        <v>141</v>
      </c>
      <c r="BN41" s="59">
        <f t="shared" si="104"/>
        <v>141</v>
      </c>
      <c r="BO41" s="59">
        <f t="shared" si="104"/>
        <v>141</v>
      </c>
      <c r="BP41" s="59">
        <f t="shared" si="104"/>
        <v>141</v>
      </c>
      <c r="BQ41" s="59">
        <f t="shared" si="104"/>
        <v>141</v>
      </c>
      <c r="BR41" s="59">
        <f t="shared" si="104"/>
        <v>24</v>
      </c>
      <c r="BT41" s="59">
        <f t="shared" ref="BT41:CB41" si="105">BT40-BJ41</f>
        <v>124572.528645833</v>
      </c>
      <c r="BU41" s="59">
        <f t="shared" si="105"/>
        <v>124572.528645833</v>
      </c>
      <c r="BV41" s="59">
        <f t="shared" si="105"/>
        <v>124572.528645833</v>
      </c>
      <c r="BW41" s="59">
        <f t="shared" si="105"/>
        <v>124572.528645833</v>
      </c>
      <c r="BX41" s="59">
        <f t="shared" si="105"/>
        <v>124572.528645833</v>
      </c>
      <c r="BY41" s="59">
        <f t="shared" si="105"/>
        <v>124572.528645833</v>
      </c>
      <c r="BZ41" s="59">
        <f t="shared" si="105"/>
        <v>124572.528645833</v>
      </c>
      <c r="CA41" s="59">
        <f t="shared" si="105"/>
        <v>124572.528645833</v>
      </c>
      <c r="CB41" s="59">
        <f t="shared" si="105"/>
        <v>21155.7708333333</v>
      </c>
    </row>
    <row r="42" s="372" customFormat="1" ht="27" hidden="1" customHeight="1" spans="1:87">
      <c r="A42" s="428">
        <v>45749</v>
      </c>
      <c r="B42" s="429" t="s">
        <v>326</v>
      </c>
      <c r="C42" s="430" t="s">
        <v>117</v>
      </c>
      <c r="D42" s="431">
        <v>4500162369</v>
      </c>
      <c r="E42" s="430" t="s">
        <v>343</v>
      </c>
      <c r="F42" s="429" t="s">
        <v>344</v>
      </c>
      <c r="G42" s="432" t="s">
        <v>345</v>
      </c>
      <c r="H42" s="429" t="s">
        <v>346</v>
      </c>
      <c r="I42" s="433">
        <v>5064</v>
      </c>
      <c r="J42" s="433">
        <v>0</v>
      </c>
      <c r="K42" s="433">
        <v>12</v>
      </c>
      <c r="L42" s="433">
        <f t="shared" si="24"/>
        <v>422</v>
      </c>
      <c r="M42" s="434">
        <v>45789</v>
      </c>
      <c r="N42" s="434">
        <v>45785</v>
      </c>
      <c r="O42" s="435" t="s">
        <v>341</v>
      </c>
      <c r="P42" s="496" t="s">
        <v>107</v>
      </c>
      <c r="Q42" s="435" t="s">
        <v>277</v>
      </c>
      <c r="R42" s="435">
        <v>45749</v>
      </c>
      <c r="S42" s="435" t="s">
        <v>191</v>
      </c>
      <c r="T42" s="435" t="s">
        <v>332</v>
      </c>
      <c r="U42" s="435"/>
      <c r="V42" s="438" t="s">
        <v>347</v>
      </c>
      <c r="W42" s="434" t="s">
        <v>265</v>
      </c>
      <c r="X42" s="421">
        <v>0.945</v>
      </c>
      <c r="Y42" s="433">
        <f t="shared" ref="Y42:Y45" si="106">X42*I42</f>
        <v>4785.48</v>
      </c>
      <c r="Z42" s="434"/>
      <c r="AA42" s="438">
        <v>5064</v>
      </c>
      <c r="AB42" s="55">
        <f t="shared" si="6"/>
        <v>0</v>
      </c>
      <c r="AC42" s="435"/>
      <c r="AD42" s="435" t="s">
        <v>114</v>
      </c>
      <c r="AE42" s="434" t="s">
        <v>345</v>
      </c>
      <c r="AF42" s="434" t="s">
        <v>115</v>
      </c>
      <c r="AG42" s="441">
        <f t="shared" si="87"/>
        <v>5064</v>
      </c>
      <c r="AH42" s="441">
        <f t="shared" si="81"/>
        <v>5064</v>
      </c>
      <c r="AI42" s="441"/>
      <c r="AJ42" s="441"/>
      <c r="AK42" s="441">
        <f t="shared" si="88"/>
        <v>5064</v>
      </c>
      <c r="AL42" s="441"/>
      <c r="AM42" s="441"/>
      <c r="AN42" s="441">
        <f t="shared" si="89"/>
        <v>5064</v>
      </c>
      <c r="AO42" s="441"/>
      <c r="AP42" s="441"/>
      <c r="AQ42" s="441"/>
      <c r="AR42" s="441"/>
      <c r="AS42" s="441"/>
      <c r="AT42" s="441"/>
      <c r="AU42" s="441"/>
      <c r="AV42" s="441">
        <f t="shared" si="99"/>
        <v>422</v>
      </c>
      <c r="AW42" s="441"/>
      <c r="AX42" s="441"/>
      <c r="AY42" s="441"/>
      <c r="AZ42" s="441"/>
      <c r="BA42" s="441"/>
      <c r="BB42" s="441"/>
      <c r="BC42" s="441"/>
      <c r="BD42" s="441"/>
      <c r="BE42" s="441"/>
      <c r="BF42" s="441"/>
      <c r="BG42" s="441"/>
      <c r="BH42" s="441"/>
      <c r="BI42" s="441"/>
      <c r="BJ42" s="59">
        <f t="shared" ref="BJ42:BR42" si="107">$I42*BJ$2</f>
        <v>619.812499999998</v>
      </c>
      <c r="BK42" s="59">
        <f t="shared" si="107"/>
        <v>619.812499999998</v>
      </c>
      <c r="BL42" s="59">
        <f t="shared" si="107"/>
        <v>619.812499999998</v>
      </c>
      <c r="BM42" s="59">
        <f t="shared" si="107"/>
        <v>619.812499999998</v>
      </c>
      <c r="BN42" s="59">
        <f t="shared" si="107"/>
        <v>619.812499999998</v>
      </c>
      <c r="BO42" s="59">
        <f t="shared" si="107"/>
        <v>619.812499999998</v>
      </c>
      <c r="BP42" s="59">
        <f t="shared" si="107"/>
        <v>619.812499999998</v>
      </c>
      <c r="BQ42" s="59">
        <f t="shared" si="107"/>
        <v>619.812499999998</v>
      </c>
      <c r="BR42" s="59">
        <f t="shared" si="107"/>
        <v>105.5</v>
      </c>
      <c r="BT42" s="59">
        <f t="shared" ref="BT42:CB42" si="108">BT41-BJ42</f>
        <v>123952.716145833</v>
      </c>
      <c r="BU42" s="59">
        <f t="shared" si="108"/>
        <v>123952.716145833</v>
      </c>
      <c r="BV42" s="59">
        <f t="shared" si="108"/>
        <v>123952.716145833</v>
      </c>
      <c r="BW42" s="59">
        <f t="shared" si="108"/>
        <v>123952.716145833</v>
      </c>
      <c r="BX42" s="59">
        <f t="shared" si="108"/>
        <v>123952.716145833</v>
      </c>
      <c r="BY42" s="59">
        <f t="shared" si="108"/>
        <v>123952.716145833</v>
      </c>
      <c r="BZ42" s="59">
        <f t="shared" si="108"/>
        <v>123952.716145833</v>
      </c>
      <c r="CA42" s="59">
        <f t="shared" si="108"/>
        <v>123952.716145833</v>
      </c>
      <c r="CB42" s="59">
        <f t="shared" si="108"/>
        <v>21050.2708333333</v>
      </c>
    </row>
    <row r="43" s="372" customFormat="1" ht="27" hidden="1" customHeight="1" spans="1:87">
      <c r="A43" s="428">
        <v>45749</v>
      </c>
      <c r="B43" s="429" t="s">
        <v>326</v>
      </c>
      <c r="C43" s="430" t="s">
        <v>117</v>
      </c>
      <c r="D43" s="431">
        <v>4500162369</v>
      </c>
      <c r="E43" s="430" t="s">
        <v>348</v>
      </c>
      <c r="F43" s="429" t="s">
        <v>349</v>
      </c>
      <c r="G43" s="432" t="s">
        <v>345</v>
      </c>
      <c r="H43" s="429" t="s">
        <v>346</v>
      </c>
      <c r="I43" s="433">
        <v>6684</v>
      </c>
      <c r="J43" s="433">
        <v>0</v>
      </c>
      <c r="K43" s="433">
        <v>12</v>
      </c>
      <c r="L43" s="433">
        <f t="shared" si="24"/>
        <v>557</v>
      </c>
      <c r="M43" s="434">
        <v>45789</v>
      </c>
      <c r="N43" s="434">
        <v>45785</v>
      </c>
      <c r="O43" s="435" t="s">
        <v>341</v>
      </c>
      <c r="P43" s="496" t="s">
        <v>107</v>
      </c>
      <c r="Q43" s="435" t="s">
        <v>261</v>
      </c>
      <c r="R43" s="435">
        <v>45749</v>
      </c>
      <c r="S43" s="435" t="s">
        <v>191</v>
      </c>
      <c r="T43" s="435" t="s">
        <v>332</v>
      </c>
      <c r="U43" s="435"/>
      <c r="V43" s="438" t="s">
        <v>347</v>
      </c>
      <c r="W43" s="434" t="s">
        <v>265</v>
      </c>
      <c r="X43" s="421">
        <v>0.945</v>
      </c>
      <c r="Y43" s="433">
        <f t="shared" si="106"/>
        <v>6316.38</v>
      </c>
      <c r="Z43" s="434"/>
      <c r="AA43" s="438">
        <v>6684</v>
      </c>
      <c r="AB43" s="55">
        <f t="shared" si="6"/>
        <v>0</v>
      </c>
      <c r="AC43" s="435"/>
      <c r="AD43" s="435" t="s">
        <v>114</v>
      </c>
      <c r="AE43" s="434" t="s">
        <v>345</v>
      </c>
      <c r="AF43" s="434" t="s">
        <v>115</v>
      </c>
      <c r="AG43" s="441">
        <f t="shared" si="87"/>
        <v>6684</v>
      </c>
      <c r="AH43" s="441">
        <f t="shared" si="81"/>
        <v>6684</v>
      </c>
      <c r="AI43" s="441"/>
      <c r="AJ43" s="441"/>
      <c r="AK43" s="441">
        <f t="shared" si="88"/>
        <v>6684</v>
      </c>
      <c r="AL43" s="441"/>
      <c r="AM43" s="441"/>
      <c r="AN43" s="441">
        <f t="shared" si="89"/>
        <v>6684</v>
      </c>
      <c r="AO43" s="441"/>
      <c r="AP43" s="441"/>
      <c r="AQ43" s="441"/>
      <c r="AR43" s="441"/>
      <c r="AS43" s="441"/>
      <c r="AT43" s="441"/>
      <c r="AU43" s="441"/>
      <c r="AV43" s="441">
        <f t="shared" si="99"/>
        <v>557</v>
      </c>
      <c r="AW43" s="441"/>
      <c r="AX43" s="441"/>
      <c r="AY43" s="441"/>
      <c r="AZ43" s="441"/>
      <c r="BA43" s="441"/>
      <c r="BB43" s="441"/>
      <c r="BC43" s="441"/>
      <c r="BD43" s="441"/>
      <c r="BE43" s="441"/>
      <c r="BF43" s="441"/>
      <c r="BG43" s="441"/>
      <c r="BH43" s="441"/>
      <c r="BI43" s="441"/>
      <c r="BJ43" s="59">
        <f t="shared" ref="BJ43:BR43" si="109">$I43*BJ$2</f>
        <v>818.093749999998</v>
      </c>
      <c r="BK43" s="59">
        <f t="shared" si="109"/>
        <v>818.093749999998</v>
      </c>
      <c r="BL43" s="59">
        <f t="shared" si="109"/>
        <v>818.093749999998</v>
      </c>
      <c r="BM43" s="59">
        <f t="shared" si="109"/>
        <v>818.093749999998</v>
      </c>
      <c r="BN43" s="59">
        <f t="shared" si="109"/>
        <v>818.093749999998</v>
      </c>
      <c r="BO43" s="59">
        <f t="shared" si="109"/>
        <v>818.093749999998</v>
      </c>
      <c r="BP43" s="59">
        <f t="shared" si="109"/>
        <v>818.093749999998</v>
      </c>
      <c r="BQ43" s="59">
        <f t="shared" si="109"/>
        <v>818.093749999998</v>
      </c>
      <c r="BR43" s="59">
        <f t="shared" si="109"/>
        <v>139.25</v>
      </c>
      <c r="BT43" s="59">
        <f t="shared" ref="BT43:CB43" si="110">BT42-BJ43</f>
        <v>123134.622395833</v>
      </c>
      <c r="BU43" s="59">
        <f t="shared" si="110"/>
        <v>123134.622395833</v>
      </c>
      <c r="BV43" s="59">
        <f t="shared" si="110"/>
        <v>123134.622395833</v>
      </c>
      <c r="BW43" s="59">
        <f t="shared" si="110"/>
        <v>123134.622395833</v>
      </c>
      <c r="BX43" s="59">
        <f t="shared" si="110"/>
        <v>123134.622395833</v>
      </c>
      <c r="BY43" s="59">
        <f t="shared" si="110"/>
        <v>123134.622395833</v>
      </c>
      <c r="BZ43" s="59">
        <f t="shared" si="110"/>
        <v>123134.622395833</v>
      </c>
      <c r="CA43" s="59">
        <f t="shared" si="110"/>
        <v>123134.622395833</v>
      </c>
      <c r="CB43" s="59">
        <f t="shared" si="110"/>
        <v>20911.0208333333</v>
      </c>
    </row>
    <row r="44" s="372" customFormat="1" ht="27" hidden="1" customHeight="1" spans="1:87">
      <c r="A44" s="428">
        <v>45749</v>
      </c>
      <c r="B44" s="429" t="s">
        <v>326</v>
      </c>
      <c r="C44" s="430" t="s">
        <v>117</v>
      </c>
      <c r="D44" s="431">
        <v>4500162369</v>
      </c>
      <c r="E44" s="430" t="s">
        <v>350</v>
      </c>
      <c r="F44" s="429" t="s">
        <v>351</v>
      </c>
      <c r="G44" s="432" t="s">
        <v>345</v>
      </c>
      <c r="H44" s="429" t="s">
        <v>346</v>
      </c>
      <c r="I44" s="433">
        <v>5820</v>
      </c>
      <c r="J44" s="433">
        <v>0</v>
      </c>
      <c r="K44" s="433">
        <v>12</v>
      </c>
      <c r="L44" s="433">
        <f t="shared" si="24"/>
        <v>485</v>
      </c>
      <c r="M44" s="434">
        <v>45789</v>
      </c>
      <c r="N44" s="434">
        <v>45785</v>
      </c>
      <c r="O44" s="435" t="s">
        <v>341</v>
      </c>
      <c r="P44" s="496" t="s">
        <v>107</v>
      </c>
      <c r="Q44" s="435" t="s">
        <v>352</v>
      </c>
      <c r="R44" s="435">
        <v>45749</v>
      </c>
      <c r="S44" s="435" t="s">
        <v>191</v>
      </c>
      <c r="T44" s="435" t="s">
        <v>332</v>
      </c>
      <c r="U44" s="435"/>
      <c r="V44" s="438" t="s">
        <v>347</v>
      </c>
      <c r="W44" s="434" t="s">
        <v>265</v>
      </c>
      <c r="X44" s="421">
        <v>0.945</v>
      </c>
      <c r="Y44" s="433">
        <f t="shared" si="106"/>
        <v>5499.9</v>
      </c>
      <c r="Z44" s="434"/>
      <c r="AA44" s="438">
        <v>5820</v>
      </c>
      <c r="AB44" s="55">
        <f t="shared" si="6"/>
        <v>0</v>
      </c>
      <c r="AC44" s="435"/>
      <c r="AD44" s="435" t="s">
        <v>114</v>
      </c>
      <c r="AE44" s="434" t="s">
        <v>345</v>
      </c>
      <c r="AF44" s="434" t="s">
        <v>115</v>
      </c>
      <c r="AG44" s="441">
        <f t="shared" si="87"/>
        <v>5820</v>
      </c>
      <c r="AH44" s="441">
        <f t="shared" si="81"/>
        <v>5820</v>
      </c>
      <c r="AI44" s="441"/>
      <c r="AJ44" s="441"/>
      <c r="AK44" s="441">
        <f t="shared" si="88"/>
        <v>5820</v>
      </c>
      <c r="AL44" s="441"/>
      <c r="AM44" s="441"/>
      <c r="AN44" s="441">
        <f t="shared" si="89"/>
        <v>5820</v>
      </c>
      <c r="AO44" s="441"/>
      <c r="AP44" s="441"/>
      <c r="AQ44" s="441"/>
      <c r="AR44" s="441"/>
      <c r="AS44" s="441"/>
      <c r="AT44" s="441"/>
      <c r="AU44" s="441"/>
      <c r="AV44" s="441">
        <f t="shared" si="99"/>
        <v>485</v>
      </c>
      <c r="AW44" s="441"/>
      <c r="AX44" s="441"/>
      <c r="AY44" s="441"/>
      <c r="AZ44" s="441"/>
      <c r="BA44" s="441"/>
      <c r="BB44" s="441"/>
      <c r="BC44" s="441"/>
      <c r="BD44" s="441"/>
      <c r="BE44" s="441"/>
      <c r="BF44" s="441"/>
      <c r="BG44" s="441"/>
      <c r="BH44" s="441"/>
      <c r="BI44" s="441"/>
      <c r="BJ44" s="59">
        <f t="shared" ref="BJ44:BR44" si="111">$I44*BJ$2</f>
        <v>712.343749999998</v>
      </c>
      <c r="BK44" s="59">
        <f t="shared" si="111"/>
        <v>712.343749999998</v>
      </c>
      <c r="BL44" s="59">
        <f t="shared" si="111"/>
        <v>712.343749999998</v>
      </c>
      <c r="BM44" s="59">
        <f t="shared" si="111"/>
        <v>712.343749999998</v>
      </c>
      <c r="BN44" s="59">
        <f t="shared" si="111"/>
        <v>712.343749999998</v>
      </c>
      <c r="BO44" s="59">
        <f t="shared" si="111"/>
        <v>712.343749999998</v>
      </c>
      <c r="BP44" s="59">
        <f t="shared" si="111"/>
        <v>712.343749999998</v>
      </c>
      <c r="BQ44" s="59">
        <f t="shared" si="111"/>
        <v>712.343749999998</v>
      </c>
      <c r="BR44" s="59">
        <f t="shared" si="111"/>
        <v>121.25</v>
      </c>
      <c r="BT44" s="59">
        <f t="shared" ref="BT44:CB44" si="112">BT43-BJ44</f>
        <v>122422.278645833</v>
      </c>
      <c r="BU44" s="59">
        <f t="shared" si="112"/>
        <v>122422.278645833</v>
      </c>
      <c r="BV44" s="59">
        <f t="shared" si="112"/>
        <v>122422.278645833</v>
      </c>
      <c r="BW44" s="59">
        <f t="shared" si="112"/>
        <v>122422.278645833</v>
      </c>
      <c r="BX44" s="59">
        <f t="shared" si="112"/>
        <v>122422.278645833</v>
      </c>
      <c r="BY44" s="59">
        <f t="shared" si="112"/>
        <v>122422.278645833</v>
      </c>
      <c r="BZ44" s="59">
        <f t="shared" si="112"/>
        <v>122422.278645833</v>
      </c>
      <c r="CA44" s="59">
        <f t="shared" si="112"/>
        <v>122422.278645833</v>
      </c>
      <c r="CB44" s="59">
        <f t="shared" si="112"/>
        <v>20789.7708333333</v>
      </c>
    </row>
    <row r="45" s="371" customFormat="1" ht="27" hidden="1" customHeight="1" spans="1:87">
      <c r="A45" s="410">
        <v>45747</v>
      </c>
      <c r="B45" s="411" t="s">
        <v>149</v>
      </c>
      <c r="C45" s="412" t="s">
        <v>117</v>
      </c>
      <c r="D45" s="413">
        <v>4500162016</v>
      </c>
      <c r="E45" s="412" t="s">
        <v>353</v>
      </c>
      <c r="F45" s="411" t="s">
        <v>354</v>
      </c>
      <c r="G45" s="414" t="s">
        <v>152</v>
      </c>
      <c r="H45" s="411" t="s">
        <v>153</v>
      </c>
      <c r="I45" s="415">
        <v>10530</v>
      </c>
      <c r="J45" s="415">
        <v>0</v>
      </c>
      <c r="K45" s="415">
        <v>13</v>
      </c>
      <c r="L45" s="415">
        <f t="shared" si="24"/>
        <v>810</v>
      </c>
      <c r="M45" s="416">
        <v>45790</v>
      </c>
      <c r="N45" s="416">
        <v>45790</v>
      </c>
      <c r="O45" s="417"/>
      <c r="P45" s="417" t="s">
        <v>107</v>
      </c>
      <c r="Q45" s="417" t="s">
        <v>342</v>
      </c>
      <c r="R45" s="417">
        <v>45761</v>
      </c>
      <c r="S45" s="417" t="s">
        <v>80</v>
      </c>
      <c r="T45" s="417" t="s">
        <v>355</v>
      </c>
      <c r="U45" s="417"/>
      <c r="V45" s="420" t="s">
        <v>356</v>
      </c>
      <c r="W45" s="416" t="s">
        <v>158</v>
      </c>
      <c r="X45" s="421">
        <v>0.765</v>
      </c>
      <c r="Y45" s="415">
        <f t="shared" si="106"/>
        <v>8055.45</v>
      </c>
      <c r="Z45" s="416"/>
      <c r="AA45" s="420">
        <f>10491+39</f>
        <v>10530</v>
      </c>
      <c r="AB45" s="55">
        <f t="shared" si="6"/>
        <v>0</v>
      </c>
      <c r="AC45" s="417" t="s">
        <v>113</v>
      </c>
      <c r="AD45" s="417" t="s">
        <v>114</v>
      </c>
      <c r="AE45" s="416" t="s">
        <v>152</v>
      </c>
      <c r="AF45" s="416" t="s">
        <v>115</v>
      </c>
      <c r="AG45" s="422">
        <f t="shared" si="87"/>
        <v>10530</v>
      </c>
      <c r="AH45" s="422">
        <f t="shared" si="81"/>
        <v>10530</v>
      </c>
      <c r="AI45" s="422"/>
      <c r="AJ45" s="422"/>
      <c r="AK45" s="422">
        <f t="shared" si="88"/>
        <v>10530</v>
      </c>
      <c r="AL45" s="422"/>
      <c r="AM45" s="422"/>
      <c r="AN45" s="422"/>
      <c r="AO45" s="422">
        <f t="shared" ref="AO45:AO55" si="113">I45</f>
        <v>10530</v>
      </c>
      <c r="AP45" s="422"/>
      <c r="AQ45" s="422"/>
      <c r="AR45" s="422"/>
      <c r="AS45" s="422"/>
      <c r="AT45" s="422">
        <f>I45/13</f>
        <v>810</v>
      </c>
      <c r="AU45" s="422"/>
      <c r="AV45" s="422"/>
      <c r="AW45" s="422"/>
      <c r="AX45" s="422"/>
      <c r="AY45" s="422"/>
      <c r="AZ45" s="422"/>
      <c r="BA45" s="422"/>
      <c r="BB45" s="422"/>
      <c r="BC45" s="422"/>
      <c r="BD45" s="422"/>
      <c r="BE45" s="422"/>
      <c r="BF45" s="422"/>
      <c r="BG45" s="422"/>
      <c r="BH45" s="422"/>
      <c r="BI45" s="422"/>
      <c r="BJ45" s="423">
        <f t="shared" ref="BJ45:BR45" si="114">$I45*BJ$2</f>
        <v>1288.828125</v>
      </c>
      <c r="BK45" s="423">
        <f t="shared" si="114"/>
        <v>1288.828125</v>
      </c>
      <c r="BL45" s="423">
        <f t="shared" si="114"/>
        <v>1288.828125</v>
      </c>
      <c r="BM45" s="423">
        <f t="shared" si="114"/>
        <v>1288.828125</v>
      </c>
      <c r="BN45" s="423">
        <f t="shared" si="114"/>
        <v>1288.828125</v>
      </c>
      <c r="BO45" s="423">
        <f t="shared" si="114"/>
        <v>1288.828125</v>
      </c>
      <c r="BP45" s="423">
        <f t="shared" si="114"/>
        <v>1288.828125</v>
      </c>
      <c r="BQ45" s="423">
        <f t="shared" si="114"/>
        <v>1288.828125</v>
      </c>
      <c r="BR45" s="423">
        <f t="shared" si="114"/>
        <v>219.375</v>
      </c>
      <c r="BT45" s="59">
        <f t="shared" ref="BT45:CB45" si="115">BT44-BJ45</f>
        <v>121133.450520833</v>
      </c>
      <c r="BU45" s="59">
        <f t="shared" si="115"/>
        <v>121133.450520833</v>
      </c>
      <c r="BV45" s="59">
        <f t="shared" si="115"/>
        <v>121133.450520833</v>
      </c>
      <c r="BW45" s="59">
        <f t="shared" si="115"/>
        <v>121133.450520833</v>
      </c>
      <c r="BX45" s="59">
        <f t="shared" si="115"/>
        <v>121133.450520833</v>
      </c>
      <c r="BY45" s="59">
        <f t="shared" si="115"/>
        <v>121133.450520833</v>
      </c>
      <c r="BZ45" s="59">
        <f t="shared" si="115"/>
        <v>121133.450520833</v>
      </c>
      <c r="CA45" s="59">
        <f t="shared" si="115"/>
        <v>121133.450520833</v>
      </c>
      <c r="CB45" s="59">
        <f t="shared" si="115"/>
        <v>20570.3958333333</v>
      </c>
    </row>
    <row r="46" s="371" customFormat="1" ht="27" hidden="1" customHeight="1" spans="1:87">
      <c r="A46" s="410">
        <v>45744</v>
      </c>
      <c r="B46" s="411" t="s">
        <v>326</v>
      </c>
      <c r="C46" s="412" t="s">
        <v>117</v>
      </c>
      <c r="D46" s="413">
        <v>4500161750</v>
      </c>
      <c r="E46" s="502">
        <v>904512454</v>
      </c>
      <c r="F46" s="411" t="s">
        <v>357</v>
      </c>
      <c r="G46" s="414" t="s">
        <v>258</v>
      </c>
      <c r="H46" s="411" t="s">
        <v>358</v>
      </c>
      <c r="I46" s="415">
        <v>1152</v>
      </c>
      <c r="J46" s="415">
        <v>0</v>
      </c>
      <c r="K46" s="415">
        <v>1152</v>
      </c>
      <c r="L46" s="415">
        <f t="shared" si="24"/>
        <v>1</v>
      </c>
      <c r="M46" s="416">
        <v>45793</v>
      </c>
      <c r="N46" s="416">
        <v>45789</v>
      </c>
      <c r="O46" s="417" t="s">
        <v>359</v>
      </c>
      <c r="P46" s="417" t="s">
        <v>107</v>
      </c>
      <c r="Q46" s="417" t="s">
        <v>360</v>
      </c>
      <c r="R46" s="417" t="s">
        <v>331</v>
      </c>
      <c r="S46" s="417" t="s">
        <v>191</v>
      </c>
      <c r="T46" s="417" t="s">
        <v>332</v>
      </c>
      <c r="U46" s="417"/>
      <c r="V46" s="420" t="s">
        <v>333</v>
      </c>
      <c r="W46" s="416" t="s">
        <v>265</v>
      </c>
      <c r="X46" s="421">
        <v>903.2128</v>
      </c>
      <c r="Y46" s="415">
        <f t="shared" ref="Y46:Y52" si="116">X46*L46</f>
        <v>903.2128</v>
      </c>
      <c r="Z46" s="416"/>
      <c r="AA46" s="420">
        <v>1152</v>
      </c>
      <c r="AB46" s="420">
        <f t="shared" si="6"/>
        <v>0</v>
      </c>
      <c r="AC46" s="417"/>
      <c r="AD46" s="417" t="s">
        <v>114</v>
      </c>
      <c r="AE46" s="416" t="s">
        <v>258</v>
      </c>
      <c r="AF46" s="416" t="s">
        <v>115</v>
      </c>
      <c r="AG46" s="422">
        <f t="shared" si="87"/>
        <v>1152</v>
      </c>
      <c r="AH46" s="422">
        <f t="shared" si="81"/>
        <v>1152</v>
      </c>
      <c r="AI46" s="422"/>
      <c r="AJ46" s="422"/>
      <c r="AK46" s="422">
        <f t="shared" si="88"/>
        <v>1152</v>
      </c>
      <c r="AL46" s="422"/>
      <c r="AM46" s="422"/>
      <c r="AN46" s="422">
        <f>I46</f>
        <v>1152</v>
      </c>
      <c r="AQ46" s="422"/>
      <c r="AR46" s="422"/>
      <c r="AS46" s="422"/>
      <c r="AT46" s="422"/>
      <c r="AU46" s="422"/>
      <c r="AV46" s="422">
        <f t="shared" ref="AV46:AV54" si="117">I46/12</f>
        <v>96</v>
      </c>
      <c r="AW46" s="422"/>
      <c r="AX46" s="422"/>
      <c r="AY46" s="422"/>
      <c r="AZ46" s="422"/>
      <c r="BA46" s="422"/>
      <c r="BB46" s="422"/>
      <c r="BC46" s="422"/>
      <c r="BD46" s="422"/>
      <c r="BE46" s="422"/>
      <c r="BF46" s="422"/>
      <c r="BG46" s="422"/>
      <c r="BH46" s="422"/>
      <c r="BI46" s="422"/>
      <c r="BJ46" s="423">
        <f t="shared" ref="BJ46:BR46" si="118">$I46*BJ$2</f>
        <v>141</v>
      </c>
      <c r="BK46" s="423">
        <f t="shared" si="118"/>
        <v>141</v>
      </c>
      <c r="BL46" s="423">
        <f t="shared" si="118"/>
        <v>141</v>
      </c>
      <c r="BM46" s="423">
        <f t="shared" si="118"/>
        <v>141</v>
      </c>
      <c r="BN46" s="423">
        <f t="shared" si="118"/>
        <v>141</v>
      </c>
      <c r="BO46" s="423">
        <f t="shared" si="118"/>
        <v>141</v>
      </c>
      <c r="BP46" s="423">
        <f t="shared" si="118"/>
        <v>141</v>
      </c>
      <c r="BQ46" s="423">
        <f t="shared" si="118"/>
        <v>141</v>
      </c>
      <c r="BR46" s="423">
        <f t="shared" si="118"/>
        <v>24</v>
      </c>
      <c r="BT46" s="59">
        <f t="shared" ref="BT46:CB46" si="119">BT45-BJ46</f>
        <v>120992.450520833</v>
      </c>
      <c r="BU46" s="59">
        <f t="shared" si="119"/>
        <v>120992.450520833</v>
      </c>
      <c r="BV46" s="59">
        <f t="shared" si="119"/>
        <v>120992.450520833</v>
      </c>
      <c r="BW46" s="59">
        <f t="shared" si="119"/>
        <v>120992.450520833</v>
      </c>
      <c r="BX46" s="59">
        <f t="shared" si="119"/>
        <v>120992.450520833</v>
      </c>
      <c r="BY46" s="59">
        <f t="shared" si="119"/>
        <v>120992.450520833</v>
      </c>
      <c r="BZ46" s="59">
        <f t="shared" si="119"/>
        <v>120992.450520833</v>
      </c>
      <c r="CA46" s="59">
        <f t="shared" si="119"/>
        <v>120992.450520833</v>
      </c>
      <c r="CB46" s="59">
        <f t="shared" si="119"/>
        <v>20546.3958333333</v>
      </c>
    </row>
    <row r="47" s="371" customFormat="1" ht="27" hidden="1" customHeight="1" spans="1:87">
      <c r="A47" s="410">
        <v>45741</v>
      </c>
      <c r="B47" s="411" t="s">
        <v>361</v>
      </c>
      <c r="C47" s="412" t="s">
        <v>117</v>
      </c>
      <c r="D47" s="413">
        <v>4500161373</v>
      </c>
      <c r="E47" s="412">
        <v>22425</v>
      </c>
      <c r="F47" s="411" t="s">
        <v>362</v>
      </c>
      <c r="G47" s="414" t="s">
        <v>363</v>
      </c>
      <c r="H47" s="411" t="s">
        <v>364</v>
      </c>
      <c r="I47" s="415">
        <v>12840</v>
      </c>
      <c r="J47" s="415">
        <v>0</v>
      </c>
      <c r="K47" s="415">
        <v>24</v>
      </c>
      <c r="L47" s="415">
        <f t="shared" si="24"/>
        <v>535</v>
      </c>
      <c r="M47" s="416">
        <v>45797</v>
      </c>
      <c r="N47" s="416">
        <v>45793</v>
      </c>
      <c r="O47" s="417" t="s">
        <v>365</v>
      </c>
      <c r="P47" s="417" t="s">
        <v>175</v>
      </c>
      <c r="Q47" s="417" t="s">
        <v>342</v>
      </c>
      <c r="R47" s="417">
        <v>45741</v>
      </c>
      <c r="S47" s="417" t="s">
        <v>80</v>
      </c>
      <c r="T47" s="417" t="s">
        <v>80</v>
      </c>
      <c r="U47" s="417"/>
      <c r="V47" s="420" t="s">
        <v>366</v>
      </c>
      <c r="W47" s="416" t="s">
        <v>367</v>
      </c>
      <c r="X47" s="421">
        <v>18.4169</v>
      </c>
      <c r="Y47" s="415">
        <f t="shared" si="116"/>
        <v>9853.0415</v>
      </c>
      <c r="Z47" s="416"/>
      <c r="AA47" s="420">
        <f>12792+48</f>
        <v>12840</v>
      </c>
      <c r="AB47" s="55">
        <f t="shared" si="6"/>
        <v>0</v>
      </c>
      <c r="AC47" s="417" t="s">
        <v>80</v>
      </c>
      <c r="AD47" s="417" t="s">
        <v>114</v>
      </c>
      <c r="AE47" s="416" t="s">
        <v>363</v>
      </c>
      <c r="AF47" s="416" t="s">
        <v>115</v>
      </c>
      <c r="AG47" s="422">
        <f t="shared" si="87"/>
        <v>12840</v>
      </c>
      <c r="AH47" s="422">
        <f t="shared" si="81"/>
        <v>12840</v>
      </c>
      <c r="AI47" s="422"/>
      <c r="AJ47" s="422"/>
      <c r="AK47" s="422">
        <f t="shared" si="88"/>
        <v>12840</v>
      </c>
      <c r="AL47" s="422"/>
      <c r="AM47" s="422"/>
      <c r="AN47" s="422"/>
      <c r="AO47" s="422">
        <f t="shared" si="113"/>
        <v>12840</v>
      </c>
      <c r="AP47" s="422"/>
      <c r="AQ47" s="422"/>
      <c r="AR47" s="422"/>
      <c r="AS47" s="422"/>
      <c r="AT47" s="422"/>
      <c r="AU47" s="422"/>
      <c r="AV47" s="422"/>
      <c r="AW47" s="422">
        <f>I47/24</f>
        <v>535</v>
      </c>
      <c r="AX47" s="422"/>
      <c r="AY47" s="422"/>
      <c r="AZ47" s="422"/>
      <c r="BA47" s="422"/>
      <c r="BB47" s="422"/>
      <c r="BC47" s="422"/>
      <c r="BD47" s="422"/>
      <c r="BE47" s="422"/>
      <c r="BF47" s="422"/>
      <c r="BG47" s="422"/>
      <c r="BH47" s="422"/>
      <c r="BI47" s="422"/>
      <c r="BJ47" s="423">
        <f t="shared" ref="BJ47:BR47" si="120">$I47*BJ$2</f>
        <v>1571.5625</v>
      </c>
      <c r="BK47" s="423">
        <f t="shared" si="120"/>
        <v>1571.5625</v>
      </c>
      <c r="BL47" s="423">
        <f t="shared" si="120"/>
        <v>1571.5625</v>
      </c>
      <c r="BM47" s="423">
        <f t="shared" si="120"/>
        <v>1571.5625</v>
      </c>
      <c r="BN47" s="423">
        <f t="shared" si="120"/>
        <v>1571.5625</v>
      </c>
      <c r="BO47" s="423">
        <f t="shared" si="120"/>
        <v>1571.5625</v>
      </c>
      <c r="BP47" s="423">
        <f t="shared" si="120"/>
        <v>1571.5625</v>
      </c>
      <c r="BQ47" s="423">
        <f t="shared" si="120"/>
        <v>1571.5625</v>
      </c>
      <c r="BR47" s="423">
        <f t="shared" si="120"/>
        <v>267.5</v>
      </c>
      <c r="BT47" s="59">
        <f t="shared" ref="BT47:CB47" si="121">BT46-BJ47</f>
        <v>119420.888020833</v>
      </c>
      <c r="BU47" s="59">
        <f t="shared" si="121"/>
        <v>119420.888020833</v>
      </c>
      <c r="BV47" s="59">
        <f t="shared" si="121"/>
        <v>119420.888020833</v>
      </c>
      <c r="BW47" s="59">
        <f t="shared" si="121"/>
        <v>119420.888020833</v>
      </c>
      <c r="BX47" s="59">
        <f t="shared" si="121"/>
        <v>119420.888020833</v>
      </c>
      <c r="BY47" s="59">
        <f t="shared" si="121"/>
        <v>119420.888020833</v>
      </c>
      <c r="BZ47" s="59">
        <f t="shared" si="121"/>
        <v>119420.888020833</v>
      </c>
      <c r="CA47" s="59">
        <f t="shared" si="121"/>
        <v>119420.888020833</v>
      </c>
      <c r="CB47" s="59">
        <f t="shared" si="121"/>
        <v>20278.8958333333</v>
      </c>
    </row>
    <row r="48" s="371" customFormat="1" ht="27" hidden="1" customHeight="1" spans="1:87">
      <c r="A48" s="410">
        <v>45744</v>
      </c>
      <c r="B48" s="411" t="s">
        <v>326</v>
      </c>
      <c r="C48" s="412" t="s">
        <v>117</v>
      </c>
      <c r="D48" s="413">
        <v>4500161751</v>
      </c>
      <c r="E48" s="412" t="s">
        <v>368</v>
      </c>
      <c r="F48" s="411" t="s">
        <v>369</v>
      </c>
      <c r="G48" s="414" t="s">
        <v>258</v>
      </c>
      <c r="H48" s="411" t="s">
        <v>259</v>
      </c>
      <c r="I48" s="415">
        <v>1152</v>
      </c>
      <c r="J48" s="415">
        <v>0</v>
      </c>
      <c r="K48" s="415">
        <v>1152</v>
      </c>
      <c r="L48" s="415">
        <f t="shared" si="24"/>
        <v>1</v>
      </c>
      <c r="M48" s="416">
        <v>45797</v>
      </c>
      <c r="N48" s="416">
        <v>45793</v>
      </c>
      <c r="O48" s="417" t="s">
        <v>370</v>
      </c>
      <c r="P48" s="417" t="s">
        <v>107</v>
      </c>
      <c r="Q48" s="417" t="s">
        <v>371</v>
      </c>
      <c r="R48" s="417" t="s">
        <v>331</v>
      </c>
      <c r="S48" s="417" t="s">
        <v>191</v>
      </c>
      <c r="T48" s="417" t="s">
        <v>332</v>
      </c>
      <c r="U48" s="417"/>
      <c r="V48" s="420" t="s">
        <v>333</v>
      </c>
      <c r="W48" s="416" t="s">
        <v>265</v>
      </c>
      <c r="X48" s="421">
        <v>903.2128</v>
      </c>
      <c r="Y48" s="415">
        <f t="shared" si="116"/>
        <v>903.2128</v>
      </c>
      <c r="Z48" s="416" t="s">
        <v>372</v>
      </c>
      <c r="AA48" s="420">
        <v>1152</v>
      </c>
      <c r="AB48" s="55">
        <f t="shared" si="6"/>
        <v>0</v>
      </c>
      <c r="AC48" s="417"/>
      <c r="AD48" s="417" t="s">
        <v>114</v>
      </c>
      <c r="AE48" s="416" t="s">
        <v>258</v>
      </c>
      <c r="AF48" s="416" t="s">
        <v>115</v>
      </c>
      <c r="AG48" s="422">
        <f t="shared" si="87"/>
        <v>1152</v>
      </c>
      <c r="AH48" s="422">
        <f t="shared" si="81"/>
        <v>1152</v>
      </c>
      <c r="AI48" s="422"/>
      <c r="AJ48" s="422"/>
      <c r="AK48" s="422">
        <f t="shared" si="88"/>
        <v>1152</v>
      </c>
      <c r="AL48" s="422"/>
      <c r="AM48" s="422"/>
      <c r="AN48" s="422"/>
      <c r="AO48" s="422">
        <f t="shared" si="113"/>
        <v>1152</v>
      </c>
      <c r="AP48" s="422"/>
      <c r="AQ48" s="422"/>
      <c r="AR48" s="422"/>
      <c r="AS48" s="422"/>
      <c r="AT48" s="422"/>
      <c r="AU48" s="422"/>
      <c r="AV48" s="422">
        <f t="shared" si="117"/>
        <v>96</v>
      </c>
      <c r="AW48" s="422"/>
      <c r="AX48" s="422"/>
      <c r="AY48" s="422"/>
      <c r="AZ48" s="422"/>
      <c r="BA48" s="422"/>
      <c r="BB48" s="422"/>
      <c r="BC48" s="422"/>
      <c r="BD48" s="422"/>
      <c r="BE48" s="422"/>
      <c r="BF48" s="422"/>
      <c r="BG48" s="422"/>
      <c r="BH48" s="422"/>
      <c r="BI48" s="422"/>
      <c r="BJ48" s="423">
        <f t="shared" ref="BJ48:BR48" si="122">$I48*BJ$2</f>
        <v>141</v>
      </c>
      <c r="BK48" s="423">
        <f t="shared" si="122"/>
        <v>141</v>
      </c>
      <c r="BL48" s="423">
        <f t="shared" si="122"/>
        <v>141</v>
      </c>
      <c r="BM48" s="423">
        <f t="shared" si="122"/>
        <v>141</v>
      </c>
      <c r="BN48" s="423">
        <f t="shared" si="122"/>
        <v>141</v>
      </c>
      <c r="BO48" s="423">
        <f t="shared" si="122"/>
        <v>141</v>
      </c>
      <c r="BP48" s="423">
        <f t="shared" si="122"/>
        <v>141</v>
      </c>
      <c r="BQ48" s="423">
        <f t="shared" si="122"/>
        <v>141</v>
      </c>
      <c r="BR48" s="423">
        <f t="shared" si="122"/>
        <v>24</v>
      </c>
      <c r="BT48" s="59">
        <f t="shared" ref="BT48:CB48" si="123">BT47-BJ48</f>
        <v>119279.888020833</v>
      </c>
      <c r="BU48" s="59">
        <f t="shared" si="123"/>
        <v>119279.888020833</v>
      </c>
      <c r="BV48" s="59">
        <f t="shared" si="123"/>
        <v>119279.888020833</v>
      </c>
      <c r="BW48" s="59">
        <f t="shared" si="123"/>
        <v>119279.888020833</v>
      </c>
      <c r="BX48" s="59">
        <f t="shared" si="123"/>
        <v>119279.888020833</v>
      </c>
      <c r="BY48" s="59">
        <f t="shared" si="123"/>
        <v>119279.888020833</v>
      </c>
      <c r="BZ48" s="59">
        <f t="shared" si="123"/>
        <v>119279.888020833</v>
      </c>
      <c r="CA48" s="59">
        <f t="shared" si="123"/>
        <v>119279.888020833</v>
      </c>
      <c r="CB48" s="59">
        <f t="shared" si="123"/>
        <v>20254.8958333333</v>
      </c>
    </row>
    <row r="49" s="371" customFormat="1" ht="27" hidden="1" customHeight="1" spans="1:87">
      <c r="A49" s="410">
        <v>45744</v>
      </c>
      <c r="B49" s="411" t="s">
        <v>326</v>
      </c>
      <c r="C49" s="412" t="s">
        <v>117</v>
      </c>
      <c r="D49" s="413">
        <v>4500161751</v>
      </c>
      <c r="E49" s="412" t="s">
        <v>373</v>
      </c>
      <c r="F49" s="411" t="s">
        <v>374</v>
      </c>
      <c r="G49" s="414" t="s">
        <v>258</v>
      </c>
      <c r="H49" s="411" t="s">
        <v>259</v>
      </c>
      <c r="I49" s="415">
        <v>1152</v>
      </c>
      <c r="J49" s="415">
        <v>0</v>
      </c>
      <c r="K49" s="415">
        <v>1152</v>
      </c>
      <c r="L49" s="415">
        <f t="shared" si="24"/>
        <v>1</v>
      </c>
      <c r="M49" s="416">
        <v>45797</v>
      </c>
      <c r="N49" s="416">
        <v>45793</v>
      </c>
      <c r="O49" s="417" t="s">
        <v>370</v>
      </c>
      <c r="P49" s="417" t="s">
        <v>107</v>
      </c>
      <c r="Q49" s="417" t="s">
        <v>371</v>
      </c>
      <c r="R49" s="417" t="s">
        <v>331</v>
      </c>
      <c r="S49" s="417" t="s">
        <v>191</v>
      </c>
      <c r="T49" s="417" t="s">
        <v>332</v>
      </c>
      <c r="U49" s="417"/>
      <c r="V49" s="420" t="s">
        <v>333</v>
      </c>
      <c r="W49" s="416" t="s">
        <v>265</v>
      </c>
      <c r="X49" s="421">
        <v>903.2128</v>
      </c>
      <c r="Y49" s="415">
        <f t="shared" si="116"/>
        <v>903.2128</v>
      </c>
      <c r="Z49" s="416" t="s">
        <v>375</v>
      </c>
      <c r="AA49" s="420">
        <f>1140+12</f>
        <v>1152</v>
      </c>
      <c r="AB49" s="55">
        <f t="shared" si="6"/>
        <v>0</v>
      </c>
      <c r="AC49" s="417"/>
      <c r="AD49" s="417" t="s">
        <v>114</v>
      </c>
      <c r="AE49" s="416" t="s">
        <v>258</v>
      </c>
      <c r="AF49" s="416" t="s">
        <v>115</v>
      </c>
      <c r="AG49" s="422">
        <f t="shared" si="87"/>
        <v>1152</v>
      </c>
      <c r="AH49" s="422">
        <f t="shared" si="81"/>
        <v>1152</v>
      </c>
      <c r="AI49" s="422"/>
      <c r="AJ49" s="422"/>
      <c r="AK49" s="422">
        <f t="shared" si="88"/>
        <v>1152</v>
      </c>
      <c r="AL49" s="422"/>
      <c r="AM49" s="422"/>
      <c r="AN49" s="422"/>
      <c r="AO49" s="422">
        <f t="shared" si="113"/>
        <v>1152</v>
      </c>
      <c r="AP49" s="422"/>
      <c r="AQ49" s="422"/>
      <c r="AR49" s="422"/>
      <c r="AS49" s="422"/>
      <c r="AT49" s="422"/>
      <c r="AU49" s="422"/>
      <c r="AV49" s="422">
        <f t="shared" si="117"/>
        <v>96</v>
      </c>
      <c r="AW49" s="422"/>
      <c r="AX49" s="422"/>
      <c r="AY49" s="422"/>
      <c r="AZ49" s="422"/>
      <c r="BA49" s="422"/>
      <c r="BB49" s="422"/>
      <c r="BC49" s="422"/>
      <c r="BD49" s="422"/>
      <c r="BE49" s="422"/>
      <c r="BF49" s="422"/>
      <c r="BG49" s="422"/>
      <c r="BH49" s="422"/>
      <c r="BI49" s="422"/>
      <c r="BJ49" s="423">
        <f t="shared" ref="BJ49:BR49" si="124">$I49*BJ$2</f>
        <v>141</v>
      </c>
      <c r="BK49" s="423">
        <f t="shared" si="124"/>
        <v>141</v>
      </c>
      <c r="BL49" s="423">
        <f t="shared" si="124"/>
        <v>141</v>
      </c>
      <c r="BM49" s="423">
        <f t="shared" si="124"/>
        <v>141</v>
      </c>
      <c r="BN49" s="423">
        <f t="shared" si="124"/>
        <v>141</v>
      </c>
      <c r="BO49" s="423">
        <f t="shared" si="124"/>
        <v>141</v>
      </c>
      <c r="BP49" s="423">
        <f t="shared" si="124"/>
        <v>141</v>
      </c>
      <c r="BQ49" s="423">
        <f t="shared" si="124"/>
        <v>141</v>
      </c>
      <c r="BR49" s="423">
        <f t="shared" si="124"/>
        <v>24</v>
      </c>
      <c r="BT49" s="59">
        <f t="shared" ref="BT49:CB49" si="125">BT48-BJ49</f>
        <v>119138.888020833</v>
      </c>
      <c r="BU49" s="59">
        <f t="shared" si="125"/>
        <v>119138.888020833</v>
      </c>
      <c r="BV49" s="59">
        <f t="shared" si="125"/>
        <v>119138.888020833</v>
      </c>
      <c r="BW49" s="59">
        <f t="shared" si="125"/>
        <v>119138.888020833</v>
      </c>
      <c r="BX49" s="59">
        <f t="shared" si="125"/>
        <v>119138.888020833</v>
      </c>
      <c r="BY49" s="59">
        <f t="shared" si="125"/>
        <v>119138.888020833</v>
      </c>
      <c r="BZ49" s="59">
        <f t="shared" si="125"/>
        <v>119138.888020833</v>
      </c>
      <c r="CA49" s="59">
        <f t="shared" si="125"/>
        <v>119138.888020833</v>
      </c>
      <c r="CB49" s="59">
        <f t="shared" si="125"/>
        <v>20230.8958333333</v>
      </c>
    </row>
    <row r="50" s="371" customFormat="1" ht="27" hidden="1" customHeight="1" spans="1:87">
      <c r="A50" s="410">
        <v>45744</v>
      </c>
      <c r="B50" s="411" t="s">
        <v>326</v>
      </c>
      <c r="C50" s="412" t="s">
        <v>117</v>
      </c>
      <c r="D50" s="413">
        <v>4500161751</v>
      </c>
      <c r="E50" s="412" t="s">
        <v>376</v>
      </c>
      <c r="F50" s="411" t="s">
        <v>377</v>
      </c>
      <c r="G50" s="414" t="s">
        <v>258</v>
      </c>
      <c r="H50" s="411" t="s">
        <v>259</v>
      </c>
      <c r="I50" s="415">
        <v>1152</v>
      </c>
      <c r="J50" s="415">
        <v>0</v>
      </c>
      <c r="K50" s="415">
        <v>1152</v>
      </c>
      <c r="L50" s="415">
        <f t="shared" si="24"/>
        <v>1</v>
      </c>
      <c r="M50" s="416">
        <v>45797</v>
      </c>
      <c r="N50" s="416">
        <v>45793</v>
      </c>
      <c r="O50" s="417" t="s">
        <v>370</v>
      </c>
      <c r="P50" s="417" t="s">
        <v>107</v>
      </c>
      <c r="Q50" s="417" t="s">
        <v>378</v>
      </c>
      <c r="R50" s="417" t="s">
        <v>331</v>
      </c>
      <c r="S50" s="417" t="s">
        <v>191</v>
      </c>
      <c r="T50" s="417" t="s">
        <v>332</v>
      </c>
      <c r="U50" s="417"/>
      <c r="V50" s="420" t="s">
        <v>333</v>
      </c>
      <c r="W50" s="416" t="s">
        <v>265</v>
      </c>
      <c r="X50" s="421">
        <v>903.2128</v>
      </c>
      <c r="Y50" s="415">
        <f t="shared" si="116"/>
        <v>903.2128</v>
      </c>
      <c r="Z50" s="416"/>
      <c r="AA50" s="420">
        <v>1152</v>
      </c>
      <c r="AB50" s="55">
        <f t="shared" si="6"/>
        <v>0</v>
      </c>
      <c r="AC50" s="417"/>
      <c r="AD50" s="417" t="s">
        <v>114</v>
      </c>
      <c r="AE50" s="416" t="s">
        <v>258</v>
      </c>
      <c r="AF50" s="416" t="s">
        <v>115</v>
      </c>
      <c r="AG50" s="422">
        <f t="shared" si="87"/>
        <v>1152</v>
      </c>
      <c r="AH50" s="422">
        <f t="shared" si="81"/>
        <v>1152</v>
      </c>
      <c r="AI50" s="422"/>
      <c r="AJ50" s="422"/>
      <c r="AK50" s="422">
        <f t="shared" si="88"/>
        <v>1152</v>
      </c>
      <c r="AL50" s="422"/>
      <c r="AM50" s="422"/>
      <c r="AN50" s="422"/>
      <c r="AO50" s="422">
        <f t="shared" si="113"/>
        <v>1152</v>
      </c>
      <c r="AP50" s="422"/>
      <c r="AQ50" s="422"/>
      <c r="AR50" s="422"/>
      <c r="AS50" s="422"/>
      <c r="AT50" s="422"/>
      <c r="AU50" s="422"/>
      <c r="AV50" s="422">
        <f t="shared" si="117"/>
        <v>96</v>
      </c>
      <c r="AW50" s="422"/>
      <c r="AX50" s="422"/>
      <c r="AY50" s="422"/>
      <c r="AZ50" s="422"/>
      <c r="BA50" s="422"/>
      <c r="BB50" s="422"/>
      <c r="BC50" s="422"/>
      <c r="BD50" s="422"/>
      <c r="BE50" s="422"/>
      <c r="BF50" s="422"/>
      <c r="BG50" s="422"/>
      <c r="BH50" s="422"/>
      <c r="BI50" s="422"/>
      <c r="BJ50" s="423">
        <f t="shared" ref="BJ50:BR50" si="126">$I50*BJ$2</f>
        <v>141</v>
      </c>
      <c r="BK50" s="423">
        <f t="shared" si="126"/>
        <v>141</v>
      </c>
      <c r="BL50" s="423">
        <f t="shared" si="126"/>
        <v>141</v>
      </c>
      <c r="BM50" s="423">
        <f t="shared" si="126"/>
        <v>141</v>
      </c>
      <c r="BN50" s="423">
        <f t="shared" si="126"/>
        <v>141</v>
      </c>
      <c r="BO50" s="423">
        <f t="shared" si="126"/>
        <v>141</v>
      </c>
      <c r="BP50" s="423">
        <f t="shared" si="126"/>
        <v>141</v>
      </c>
      <c r="BQ50" s="423">
        <f t="shared" si="126"/>
        <v>141</v>
      </c>
      <c r="BR50" s="423">
        <f t="shared" si="126"/>
        <v>24</v>
      </c>
      <c r="BT50" s="59">
        <f t="shared" ref="BT50:CB50" si="127">BT49-BJ50</f>
        <v>118997.888020833</v>
      </c>
      <c r="BU50" s="59">
        <f t="shared" si="127"/>
        <v>118997.888020833</v>
      </c>
      <c r="BV50" s="59">
        <f t="shared" si="127"/>
        <v>118997.888020833</v>
      </c>
      <c r="BW50" s="59">
        <f t="shared" si="127"/>
        <v>118997.888020833</v>
      </c>
      <c r="BX50" s="59">
        <f t="shared" si="127"/>
        <v>118997.888020833</v>
      </c>
      <c r="BY50" s="59">
        <f t="shared" si="127"/>
        <v>118997.888020833</v>
      </c>
      <c r="BZ50" s="59">
        <f t="shared" si="127"/>
        <v>118997.888020833</v>
      </c>
      <c r="CA50" s="59">
        <f t="shared" si="127"/>
        <v>118997.888020833</v>
      </c>
      <c r="CB50" s="59">
        <f t="shared" si="127"/>
        <v>20206.8958333333</v>
      </c>
    </row>
    <row r="51" s="371" customFormat="1" ht="27" hidden="1" customHeight="1" spans="1:87">
      <c r="A51" s="410">
        <v>45744</v>
      </c>
      <c r="B51" s="411" t="s">
        <v>326</v>
      </c>
      <c r="C51" s="412" t="s">
        <v>117</v>
      </c>
      <c r="D51" s="413">
        <v>4500161751</v>
      </c>
      <c r="E51" s="412" t="s">
        <v>379</v>
      </c>
      <c r="F51" s="411" t="s">
        <v>380</v>
      </c>
      <c r="G51" s="414" t="s">
        <v>258</v>
      </c>
      <c r="H51" s="411" t="s">
        <v>259</v>
      </c>
      <c r="I51" s="415">
        <v>1152</v>
      </c>
      <c r="J51" s="415">
        <v>0</v>
      </c>
      <c r="K51" s="415">
        <v>1152</v>
      </c>
      <c r="L51" s="415">
        <f t="shared" si="24"/>
        <v>1</v>
      </c>
      <c r="M51" s="416">
        <v>45797</v>
      </c>
      <c r="N51" s="416">
        <v>45793</v>
      </c>
      <c r="O51" s="417" t="s">
        <v>370</v>
      </c>
      <c r="P51" s="417" t="s">
        <v>107</v>
      </c>
      <c r="Q51" s="417" t="s">
        <v>371</v>
      </c>
      <c r="R51" s="417" t="s">
        <v>331</v>
      </c>
      <c r="S51" s="417" t="s">
        <v>191</v>
      </c>
      <c r="T51" s="417" t="s">
        <v>332</v>
      </c>
      <c r="U51" s="417"/>
      <c r="V51" s="420" t="s">
        <v>333</v>
      </c>
      <c r="W51" s="416" t="s">
        <v>265</v>
      </c>
      <c r="X51" s="421">
        <v>903.2128</v>
      </c>
      <c r="Y51" s="415">
        <f t="shared" si="116"/>
        <v>903.2128</v>
      </c>
      <c r="Z51" s="416"/>
      <c r="AA51" s="420">
        <f>1128+24</f>
        <v>1152</v>
      </c>
      <c r="AB51" s="55">
        <f t="shared" si="6"/>
        <v>0</v>
      </c>
      <c r="AC51" s="417"/>
      <c r="AD51" s="417" t="s">
        <v>114</v>
      </c>
      <c r="AE51" s="416" t="s">
        <v>258</v>
      </c>
      <c r="AF51" s="416" t="s">
        <v>115</v>
      </c>
      <c r="AG51" s="422">
        <f t="shared" si="87"/>
        <v>1152</v>
      </c>
      <c r="AH51" s="422">
        <f t="shared" si="81"/>
        <v>1152</v>
      </c>
      <c r="AI51" s="422"/>
      <c r="AJ51" s="422"/>
      <c r="AK51" s="422">
        <f t="shared" si="88"/>
        <v>1152</v>
      </c>
      <c r="AL51" s="422"/>
      <c r="AM51" s="422"/>
      <c r="AN51" s="422"/>
      <c r="AO51" s="422">
        <f t="shared" si="113"/>
        <v>1152</v>
      </c>
      <c r="AP51" s="422"/>
      <c r="AQ51" s="422"/>
      <c r="AR51" s="422"/>
      <c r="AS51" s="422"/>
      <c r="AT51" s="422"/>
      <c r="AU51" s="422"/>
      <c r="AV51" s="422">
        <f t="shared" si="117"/>
        <v>96</v>
      </c>
      <c r="AW51" s="422"/>
      <c r="AX51" s="422"/>
      <c r="AY51" s="422"/>
      <c r="AZ51" s="422"/>
      <c r="BA51" s="422"/>
      <c r="BB51" s="422"/>
      <c r="BC51" s="422"/>
      <c r="BD51" s="422"/>
      <c r="BE51" s="422"/>
      <c r="BF51" s="422"/>
      <c r="BG51" s="422"/>
      <c r="BH51" s="422"/>
      <c r="BI51" s="422"/>
      <c r="BJ51" s="423">
        <f t="shared" ref="BJ51:BR51" si="128">$I51*BJ$2</f>
        <v>141</v>
      </c>
      <c r="BK51" s="423">
        <f t="shared" si="128"/>
        <v>141</v>
      </c>
      <c r="BL51" s="423">
        <f t="shared" si="128"/>
        <v>141</v>
      </c>
      <c r="BM51" s="423">
        <f t="shared" si="128"/>
        <v>141</v>
      </c>
      <c r="BN51" s="423">
        <f t="shared" si="128"/>
        <v>141</v>
      </c>
      <c r="BO51" s="423">
        <f t="shared" si="128"/>
        <v>141</v>
      </c>
      <c r="BP51" s="423">
        <f t="shared" si="128"/>
        <v>141</v>
      </c>
      <c r="BQ51" s="423">
        <f t="shared" si="128"/>
        <v>141</v>
      </c>
      <c r="BR51" s="423">
        <f t="shared" si="128"/>
        <v>24</v>
      </c>
      <c r="BT51" s="59">
        <f t="shared" ref="BT51:CB51" si="129">BT50-BJ51</f>
        <v>118856.888020833</v>
      </c>
      <c r="BU51" s="59">
        <f t="shared" si="129"/>
        <v>118856.888020833</v>
      </c>
      <c r="BV51" s="59">
        <f t="shared" si="129"/>
        <v>118856.888020833</v>
      </c>
      <c r="BW51" s="59">
        <f t="shared" si="129"/>
        <v>118856.888020833</v>
      </c>
      <c r="BX51" s="59">
        <f t="shared" si="129"/>
        <v>118856.888020833</v>
      </c>
      <c r="BY51" s="59">
        <f t="shared" si="129"/>
        <v>118856.888020833</v>
      </c>
      <c r="BZ51" s="59">
        <f t="shared" si="129"/>
        <v>118856.888020833</v>
      </c>
      <c r="CA51" s="59">
        <f t="shared" si="129"/>
        <v>118856.888020833</v>
      </c>
      <c r="CB51" s="59">
        <f t="shared" si="129"/>
        <v>20182.8958333333</v>
      </c>
    </row>
    <row r="52" s="371" customFormat="1" ht="27" hidden="1" customHeight="1" spans="1:87">
      <c r="A52" s="410">
        <v>45744</v>
      </c>
      <c r="B52" s="411" t="s">
        <v>326</v>
      </c>
      <c r="C52" s="412" t="s">
        <v>117</v>
      </c>
      <c r="D52" s="413">
        <v>4500161751</v>
      </c>
      <c r="E52" s="412" t="s">
        <v>381</v>
      </c>
      <c r="F52" s="411" t="s">
        <v>382</v>
      </c>
      <c r="G52" s="414" t="s">
        <v>258</v>
      </c>
      <c r="H52" s="411" t="s">
        <v>259</v>
      </c>
      <c r="I52" s="415">
        <v>1152</v>
      </c>
      <c r="J52" s="415">
        <v>0</v>
      </c>
      <c r="K52" s="415">
        <v>1152</v>
      </c>
      <c r="L52" s="415">
        <f t="shared" si="24"/>
        <v>1</v>
      </c>
      <c r="M52" s="416">
        <v>45797</v>
      </c>
      <c r="N52" s="416">
        <v>45793</v>
      </c>
      <c r="O52" s="417" t="s">
        <v>370</v>
      </c>
      <c r="P52" s="417" t="s">
        <v>107</v>
      </c>
      <c r="Q52" s="417" t="s">
        <v>371</v>
      </c>
      <c r="R52" s="417" t="s">
        <v>331</v>
      </c>
      <c r="S52" s="417" t="s">
        <v>191</v>
      </c>
      <c r="T52" s="417" t="s">
        <v>332</v>
      </c>
      <c r="U52" s="417"/>
      <c r="V52" s="420" t="s">
        <v>333</v>
      </c>
      <c r="W52" s="416" t="s">
        <v>265</v>
      </c>
      <c r="X52" s="421">
        <v>903.2128</v>
      </c>
      <c r="Y52" s="415">
        <f t="shared" si="116"/>
        <v>903.2128</v>
      </c>
      <c r="Z52" s="416"/>
      <c r="AA52" s="420">
        <v>1152</v>
      </c>
      <c r="AB52" s="55">
        <f t="shared" si="6"/>
        <v>0</v>
      </c>
      <c r="AC52" s="417"/>
      <c r="AD52" s="417" t="s">
        <v>114</v>
      </c>
      <c r="AE52" s="416" t="s">
        <v>258</v>
      </c>
      <c r="AF52" s="416" t="s">
        <v>115</v>
      </c>
      <c r="AG52" s="422">
        <f t="shared" si="87"/>
        <v>1152</v>
      </c>
      <c r="AH52" s="422">
        <f t="shared" si="81"/>
        <v>1152</v>
      </c>
      <c r="AI52" s="422"/>
      <c r="AJ52" s="422"/>
      <c r="AK52" s="422">
        <f t="shared" si="88"/>
        <v>1152</v>
      </c>
      <c r="AL52" s="422"/>
      <c r="AM52" s="422"/>
      <c r="AN52" s="422"/>
      <c r="AO52" s="422">
        <f t="shared" si="113"/>
        <v>1152</v>
      </c>
      <c r="AP52" s="422"/>
      <c r="AQ52" s="422"/>
      <c r="AR52" s="422"/>
      <c r="AS52" s="422"/>
      <c r="AT52" s="422"/>
      <c r="AU52" s="422"/>
      <c r="AV52" s="422">
        <f t="shared" si="117"/>
        <v>96</v>
      </c>
      <c r="AW52" s="422"/>
      <c r="AX52" s="422"/>
      <c r="AY52" s="422"/>
      <c r="AZ52" s="422"/>
      <c r="BA52" s="422"/>
      <c r="BB52" s="422"/>
      <c r="BC52" s="422"/>
      <c r="BD52" s="422"/>
      <c r="BE52" s="422"/>
      <c r="BF52" s="422"/>
      <c r="BG52" s="422"/>
      <c r="BH52" s="422"/>
      <c r="BI52" s="422"/>
      <c r="BJ52" s="423">
        <f t="shared" ref="BJ52:BR52" si="130">$I52*BJ$2</f>
        <v>141</v>
      </c>
      <c r="BK52" s="423">
        <f t="shared" si="130"/>
        <v>141</v>
      </c>
      <c r="BL52" s="423">
        <f t="shared" si="130"/>
        <v>141</v>
      </c>
      <c r="BM52" s="423">
        <f t="shared" si="130"/>
        <v>141</v>
      </c>
      <c r="BN52" s="423">
        <f t="shared" si="130"/>
        <v>141</v>
      </c>
      <c r="BO52" s="423">
        <f t="shared" si="130"/>
        <v>141</v>
      </c>
      <c r="BP52" s="423">
        <f t="shared" si="130"/>
        <v>141</v>
      </c>
      <c r="BQ52" s="423">
        <f t="shared" si="130"/>
        <v>141</v>
      </c>
      <c r="BR52" s="423">
        <f t="shared" si="130"/>
        <v>24</v>
      </c>
      <c r="BT52" s="59">
        <f t="shared" ref="BT52:CB52" si="131">BT51-BJ52</f>
        <v>118715.888020833</v>
      </c>
      <c r="BU52" s="59">
        <f t="shared" si="131"/>
        <v>118715.888020833</v>
      </c>
      <c r="BV52" s="59">
        <f t="shared" si="131"/>
        <v>118715.888020833</v>
      </c>
      <c r="BW52" s="59">
        <f t="shared" si="131"/>
        <v>118715.888020833</v>
      </c>
      <c r="BX52" s="59">
        <f t="shared" si="131"/>
        <v>118715.888020833</v>
      </c>
      <c r="BY52" s="59">
        <f t="shared" si="131"/>
        <v>118715.888020833</v>
      </c>
      <c r="BZ52" s="59">
        <f t="shared" si="131"/>
        <v>118715.888020833</v>
      </c>
      <c r="CA52" s="59">
        <f t="shared" si="131"/>
        <v>118715.888020833</v>
      </c>
      <c r="CB52" s="59">
        <f t="shared" si="131"/>
        <v>20158.8958333333</v>
      </c>
    </row>
    <row r="53" s="371" customFormat="1" ht="27" hidden="1" customHeight="1" spans="1:87">
      <c r="A53" s="410">
        <v>45749</v>
      </c>
      <c r="B53" s="411" t="s">
        <v>326</v>
      </c>
      <c r="C53" s="412" t="s">
        <v>117</v>
      </c>
      <c r="D53" s="413">
        <v>4500162370</v>
      </c>
      <c r="E53" s="412" t="s">
        <v>383</v>
      </c>
      <c r="F53" s="411" t="s">
        <v>384</v>
      </c>
      <c r="G53" s="414" t="s">
        <v>345</v>
      </c>
      <c r="H53" s="411" t="s">
        <v>346</v>
      </c>
      <c r="I53" s="415">
        <v>9108</v>
      </c>
      <c r="J53" s="415">
        <v>0</v>
      </c>
      <c r="K53" s="415">
        <v>12</v>
      </c>
      <c r="L53" s="415">
        <f t="shared" si="24"/>
        <v>759</v>
      </c>
      <c r="M53" s="416">
        <v>45797</v>
      </c>
      <c r="N53" s="416">
        <v>45793</v>
      </c>
      <c r="O53" s="417" t="s">
        <v>370</v>
      </c>
      <c r="P53" s="417" t="s">
        <v>107</v>
      </c>
      <c r="Q53" s="417" t="s">
        <v>360</v>
      </c>
      <c r="R53" s="417">
        <v>45749</v>
      </c>
      <c r="S53" s="417" t="s">
        <v>191</v>
      </c>
      <c r="T53" s="417" t="s">
        <v>332</v>
      </c>
      <c r="U53" s="417"/>
      <c r="V53" s="420" t="s">
        <v>385</v>
      </c>
      <c r="W53" s="416" t="s">
        <v>265</v>
      </c>
      <c r="X53" s="421">
        <v>0.945</v>
      </c>
      <c r="Y53" s="415">
        <f t="shared" ref="Y53:Y59" si="132">X53*I53</f>
        <v>8607.06</v>
      </c>
      <c r="Z53" s="416"/>
      <c r="AA53" s="420">
        <f>8928+180</f>
        <v>9108</v>
      </c>
      <c r="AB53" s="55">
        <f t="shared" si="6"/>
        <v>0</v>
      </c>
      <c r="AC53" s="417"/>
      <c r="AD53" s="417" t="s">
        <v>114</v>
      </c>
      <c r="AE53" s="416" t="s">
        <v>345</v>
      </c>
      <c r="AF53" s="416" t="s">
        <v>115</v>
      </c>
      <c r="AG53" s="422">
        <f t="shared" si="87"/>
        <v>9108</v>
      </c>
      <c r="AH53" s="422">
        <f t="shared" si="81"/>
        <v>9108</v>
      </c>
      <c r="AI53" s="422"/>
      <c r="AJ53" s="422"/>
      <c r="AK53" s="422">
        <f t="shared" si="88"/>
        <v>9108</v>
      </c>
      <c r="AL53" s="422"/>
      <c r="AM53" s="422"/>
      <c r="AN53" s="422"/>
      <c r="AO53" s="422">
        <f t="shared" si="113"/>
        <v>9108</v>
      </c>
      <c r="AP53" s="422"/>
      <c r="AQ53" s="422"/>
      <c r="AR53" s="422"/>
      <c r="AS53" s="422"/>
      <c r="AT53" s="422"/>
      <c r="AU53" s="422"/>
      <c r="AV53" s="422">
        <f t="shared" si="117"/>
        <v>759</v>
      </c>
      <c r="AW53" s="422"/>
      <c r="AX53" s="422"/>
      <c r="AY53" s="422"/>
      <c r="AZ53" s="422"/>
      <c r="BA53" s="422"/>
      <c r="BB53" s="422"/>
      <c r="BC53" s="422"/>
      <c r="BD53" s="422"/>
      <c r="BE53" s="422"/>
      <c r="BF53" s="422"/>
      <c r="BG53" s="422"/>
      <c r="BH53" s="422"/>
      <c r="BI53" s="422"/>
      <c r="BJ53" s="423">
        <f t="shared" ref="BJ53:BR53" si="133">$I53*BJ$2</f>
        <v>1114.78125</v>
      </c>
      <c r="BK53" s="423">
        <f t="shared" si="133"/>
        <v>1114.78125</v>
      </c>
      <c r="BL53" s="423">
        <f t="shared" si="133"/>
        <v>1114.78125</v>
      </c>
      <c r="BM53" s="423">
        <f t="shared" si="133"/>
        <v>1114.78125</v>
      </c>
      <c r="BN53" s="423">
        <f t="shared" si="133"/>
        <v>1114.78125</v>
      </c>
      <c r="BO53" s="423">
        <f t="shared" si="133"/>
        <v>1114.78125</v>
      </c>
      <c r="BP53" s="423">
        <f t="shared" si="133"/>
        <v>1114.78125</v>
      </c>
      <c r="BQ53" s="423">
        <f t="shared" si="133"/>
        <v>1114.78125</v>
      </c>
      <c r="BR53" s="423">
        <f t="shared" si="133"/>
        <v>189.75</v>
      </c>
      <c r="BT53" s="59">
        <f t="shared" ref="BT53:CB53" si="134">BT52-BJ53</f>
        <v>117601.106770833</v>
      </c>
      <c r="BU53" s="59">
        <f t="shared" si="134"/>
        <v>117601.106770833</v>
      </c>
      <c r="BV53" s="59">
        <f t="shared" si="134"/>
        <v>117601.106770833</v>
      </c>
      <c r="BW53" s="59">
        <f t="shared" si="134"/>
        <v>117601.106770833</v>
      </c>
      <c r="BX53" s="59">
        <f t="shared" si="134"/>
        <v>117601.106770833</v>
      </c>
      <c r="BY53" s="59">
        <f t="shared" si="134"/>
        <v>117601.106770833</v>
      </c>
      <c r="BZ53" s="59">
        <f t="shared" si="134"/>
        <v>117601.106770833</v>
      </c>
      <c r="CA53" s="59">
        <f t="shared" si="134"/>
        <v>117601.106770833</v>
      </c>
      <c r="CB53" s="59">
        <f t="shared" si="134"/>
        <v>19969.1458333333</v>
      </c>
    </row>
    <row r="54" s="371" customFormat="1" ht="27" hidden="1" customHeight="1" spans="1:87">
      <c r="A54" s="410">
        <v>45749</v>
      </c>
      <c r="B54" s="411" t="s">
        <v>326</v>
      </c>
      <c r="C54" s="412" t="s">
        <v>117</v>
      </c>
      <c r="D54" s="413">
        <v>4500162370</v>
      </c>
      <c r="E54" s="412" t="s">
        <v>386</v>
      </c>
      <c r="F54" s="411" t="s">
        <v>387</v>
      </c>
      <c r="G54" s="414" t="s">
        <v>345</v>
      </c>
      <c r="H54" s="411" t="s">
        <v>346</v>
      </c>
      <c r="I54" s="415">
        <v>7860</v>
      </c>
      <c r="J54" s="415">
        <v>0</v>
      </c>
      <c r="K54" s="415">
        <v>12</v>
      </c>
      <c r="L54" s="415">
        <f t="shared" si="24"/>
        <v>655</v>
      </c>
      <c r="M54" s="416">
        <v>45797</v>
      </c>
      <c r="N54" s="416">
        <v>45793</v>
      </c>
      <c r="O54" s="417" t="s">
        <v>370</v>
      </c>
      <c r="P54" s="417" t="s">
        <v>107</v>
      </c>
      <c r="Q54" s="417" t="s">
        <v>360</v>
      </c>
      <c r="R54" s="417">
        <v>45749</v>
      </c>
      <c r="S54" s="417" t="s">
        <v>191</v>
      </c>
      <c r="T54" s="417" t="s">
        <v>332</v>
      </c>
      <c r="U54" s="417"/>
      <c r="V54" s="420" t="s">
        <v>385</v>
      </c>
      <c r="W54" s="416" t="s">
        <v>265</v>
      </c>
      <c r="X54" s="421">
        <v>0.945</v>
      </c>
      <c r="Y54" s="415">
        <f t="shared" si="132"/>
        <v>7427.7</v>
      </c>
      <c r="Z54" s="416"/>
      <c r="AA54" s="420">
        <f>7752+108</f>
        <v>7860</v>
      </c>
      <c r="AB54" s="55">
        <f t="shared" si="6"/>
        <v>0</v>
      </c>
      <c r="AC54" s="417"/>
      <c r="AD54" s="417" t="s">
        <v>114</v>
      </c>
      <c r="AE54" s="416" t="s">
        <v>345</v>
      </c>
      <c r="AF54" s="416" t="s">
        <v>115</v>
      </c>
      <c r="AG54" s="422">
        <f t="shared" si="87"/>
        <v>7860</v>
      </c>
      <c r="AH54" s="422">
        <f t="shared" si="81"/>
        <v>7860</v>
      </c>
      <c r="AI54" s="422"/>
      <c r="AJ54" s="422"/>
      <c r="AK54" s="422">
        <f t="shared" si="88"/>
        <v>7860</v>
      </c>
      <c r="AL54" s="422"/>
      <c r="AM54" s="422"/>
      <c r="AN54" s="422"/>
      <c r="AO54" s="422">
        <f t="shared" si="113"/>
        <v>7860</v>
      </c>
      <c r="AP54" s="422"/>
      <c r="AQ54" s="422"/>
      <c r="AR54" s="422"/>
      <c r="AS54" s="422"/>
      <c r="AT54" s="422"/>
      <c r="AU54" s="422"/>
      <c r="AV54" s="422">
        <f t="shared" si="117"/>
        <v>655</v>
      </c>
      <c r="AW54" s="422"/>
      <c r="AX54" s="422"/>
      <c r="AY54" s="422"/>
      <c r="AZ54" s="422"/>
      <c r="BA54" s="422"/>
      <c r="BB54" s="422"/>
      <c r="BC54" s="422"/>
      <c r="BD54" s="422"/>
      <c r="BE54" s="422"/>
      <c r="BF54" s="422"/>
      <c r="BG54" s="422"/>
      <c r="BH54" s="422"/>
      <c r="BI54" s="422"/>
      <c r="BJ54" s="423">
        <f t="shared" ref="BJ54:BR54" si="135">$I54*BJ$2</f>
        <v>962.031249999997</v>
      </c>
      <c r="BK54" s="423">
        <f t="shared" si="135"/>
        <v>962.031249999997</v>
      </c>
      <c r="BL54" s="423">
        <f t="shared" si="135"/>
        <v>962.031249999997</v>
      </c>
      <c r="BM54" s="423">
        <f t="shared" si="135"/>
        <v>962.031249999997</v>
      </c>
      <c r="BN54" s="423">
        <f t="shared" si="135"/>
        <v>962.031249999997</v>
      </c>
      <c r="BO54" s="423">
        <f t="shared" si="135"/>
        <v>962.031249999997</v>
      </c>
      <c r="BP54" s="423">
        <f t="shared" si="135"/>
        <v>962.031249999997</v>
      </c>
      <c r="BQ54" s="423">
        <f t="shared" si="135"/>
        <v>962.031249999997</v>
      </c>
      <c r="BR54" s="423">
        <f t="shared" si="135"/>
        <v>163.75</v>
      </c>
      <c r="BT54" s="59">
        <f t="shared" ref="BT54:CB54" si="136">BT53-BJ54</f>
        <v>116639.075520833</v>
      </c>
      <c r="BU54" s="59">
        <f t="shared" si="136"/>
        <v>116639.075520833</v>
      </c>
      <c r="BV54" s="59">
        <f t="shared" si="136"/>
        <v>116639.075520833</v>
      </c>
      <c r="BW54" s="59">
        <f t="shared" si="136"/>
        <v>116639.075520833</v>
      </c>
      <c r="BX54" s="59">
        <f t="shared" si="136"/>
        <v>116639.075520833</v>
      </c>
      <c r="BY54" s="59">
        <f t="shared" si="136"/>
        <v>116639.075520833</v>
      </c>
      <c r="BZ54" s="59">
        <f t="shared" si="136"/>
        <v>116639.075520833</v>
      </c>
      <c r="CA54" s="59">
        <f t="shared" si="136"/>
        <v>116639.075520833</v>
      </c>
      <c r="CB54" s="59">
        <f t="shared" si="136"/>
        <v>19805.3958333333</v>
      </c>
    </row>
    <row r="55" s="371" customFormat="1" ht="27" hidden="1" customHeight="1" spans="1:87">
      <c r="A55" s="410">
        <v>45758</v>
      </c>
      <c r="B55" s="411" t="s">
        <v>388</v>
      </c>
      <c r="C55" s="412" t="s">
        <v>389</v>
      </c>
      <c r="D55" s="413">
        <v>4500163438</v>
      </c>
      <c r="E55" s="412">
        <v>3501527805</v>
      </c>
      <c r="F55" s="411" t="s">
        <v>390</v>
      </c>
      <c r="G55" s="414" t="s">
        <v>152</v>
      </c>
      <c r="H55" s="411" t="s">
        <v>153</v>
      </c>
      <c r="I55" s="415">
        <v>1716</v>
      </c>
      <c r="J55" s="415">
        <v>0</v>
      </c>
      <c r="K55" s="415">
        <v>13</v>
      </c>
      <c r="L55" s="415">
        <f t="shared" si="24"/>
        <v>132</v>
      </c>
      <c r="M55" s="416">
        <v>45796</v>
      </c>
      <c r="N55" s="416">
        <v>45793</v>
      </c>
      <c r="O55" s="417" t="s">
        <v>391</v>
      </c>
      <c r="P55" s="417" t="s">
        <v>224</v>
      </c>
      <c r="Q55" s="417" t="s">
        <v>392</v>
      </c>
      <c r="R55" s="417">
        <v>45764</v>
      </c>
      <c r="S55" s="417" t="s">
        <v>80</v>
      </c>
      <c r="T55" s="417" t="s">
        <v>393</v>
      </c>
      <c r="U55" s="417"/>
      <c r="V55" s="420" t="s">
        <v>394</v>
      </c>
      <c r="W55" s="416" t="s">
        <v>395</v>
      </c>
      <c r="X55" s="421">
        <v>0.7931</v>
      </c>
      <c r="Y55" s="415">
        <f t="shared" si="132"/>
        <v>1360.9596</v>
      </c>
      <c r="Z55" s="416"/>
      <c r="AA55" s="420">
        <f>1547+169</f>
        <v>1716</v>
      </c>
      <c r="AB55" s="420">
        <f t="shared" si="6"/>
        <v>0</v>
      </c>
      <c r="AC55" s="417" t="s">
        <v>113</v>
      </c>
      <c r="AD55" s="417" t="s">
        <v>114</v>
      </c>
      <c r="AE55" s="416" t="s">
        <v>319</v>
      </c>
      <c r="AF55" s="416" t="s">
        <v>115</v>
      </c>
      <c r="AG55" s="422">
        <f t="shared" si="87"/>
        <v>1716</v>
      </c>
      <c r="AH55" s="422"/>
      <c r="AI55" s="422">
        <f>I55</f>
        <v>1716</v>
      </c>
      <c r="AJ55" s="422"/>
      <c r="AK55" s="422"/>
      <c r="AL55" s="422">
        <f t="shared" ref="AL55:AL58" si="137">I55</f>
        <v>1716</v>
      </c>
      <c r="AM55" s="422"/>
      <c r="AN55" s="422"/>
      <c r="AO55" s="422">
        <f t="shared" si="113"/>
        <v>1716</v>
      </c>
      <c r="AP55" s="422"/>
      <c r="AQ55" s="422"/>
      <c r="AR55" s="422"/>
      <c r="AS55" s="422"/>
      <c r="AT55" s="422"/>
      <c r="AU55" s="422">
        <f>I55/13</f>
        <v>132</v>
      </c>
      <c r="AV55" s="422"/>
      <c r="AW55" s="422"/>
      <c r="AX55" s="422"/>
      <c r="AY55" s="422"/>
      <c r="AZ55" s="422"/>
      <c r="BA55" s="422"/>
      <c r="BB55" s="422"/>
      <c r="BC55" s="422"/>
      <c r="BD55" s="422"/>
      <c r="BE55" s="422"/>
      <c r="BF55" s="422"/>
      <c r="BG55" s="422"/>
      <c r="BH55" s="422"/>
      <c r="BI55" s="422"/>
      <c r="BJ55" s="423">
        <f t="shared" ref="BJ55:BR55" si="138">$I55*BJ$2</f>
        <v>210.031249999999</v>
      </c>
      <c r="BK55" s="423">
        <f t="shared" si="138"/>
        <v>210.031249999999</v>
      </c>
      <c r="BL55" s="423">
        <f t="shared" si="138"/>
        <v>210.031249999999</v>
      </c>
      <c r="BM55" s="423">
        <f t="shared" si="138"/>
        <v>210.031249999999</v>
      </c>
      <c r="BN55" s="423">
        <f t="shared" si="138"/>
        <v>210.031249999999</v>
      </c>
      <c r="BO55" s="423">
        <f t="shared" si="138"/>
        <v>210.031249999999</v>
      </c>
      <c r="BP55" s="423">
        <f t="shared" si="138"/>
        <v>210.031249999999</v>
      </c>
      <c r="BQ55" s="423">
        <f t="shared" si="138"/>
        <v>210.031249999999</v>
      </c>
      <c r="BR55" s="423">
        <f t="shared" si="138"/>
        <v>35.7499999999999</v>
      </c>
      <c r="BT55" s="59">
        <f t="shared" ref="BT55:CB55" si="139">BT54-BJ55</f>
        <v>116429.044270833</v>
      </c>
      <c r="BU55" s="59">
        <f t="shared" si="139"/>
        <v>116429.044270833</v>
      </c>
      <c r="BV55" s="59">
        <f t="shared" si="139"/>
        <v>116429.044270833</v>
      </c>
      <c r="BW55" s="59">
        <f t="shared" si="139"/>
        <v>116429.044270833</v>
      </c>
      <c r="BX55" s="59">
        <f t="shared" si="139"/>
        <v>116429.044270833</v>
      </c>
      <c r="BY55" s="59">
        <f t="shared" si="139"/>
        <v>116429.044270833</v>
      </c>
      <c r="BZ55" s="59">
        <f t="shared" si="139"/>
        <v>116429.044270833</v>
      </c>
      <c r="CA55" s="59">
        <f t="shared" si="139"/>
        <v>116429.044270833</v>
      </c>
      <c r="CB55" s="59">
        <f t="shared" si="139"/>
        <v>19769.6458333333</v>
      </c>
    </row>
    <row r="56" s="371" customFormat="1" ht="27" hidden="1" customHeight="1" spans="1:87">
      <c r="A56" s="410">
        <v>45720</v>
      </c>
      <c r="B56" s="411" t="s">
        <v>196</v>
      </c>
      <c r="C56" s="412" t="s">
        <v>396</v>
      </c>
      <c r="D56" s="413">
        <v>4500158581</v>
      </c>
      <c r="E56" s="412" t="s">
        <v>397</v>
      </c>
      <c r="F56" s="411" t="s">
        <v>398</v>
      </c>
      <c r="G56" s="414" t="s">
        <v>188</v>
      </c>
      <c r="H56" s="411" t="s">
        <v>120</v>
      </c>
      <c r="I56" s="415">
        <v>600</v>
      </c>
      <c r="J56" s="415">
        <v>0</v>
      </c>
      <c r="K56" s="415">
        <v>12</v>
      </c>
      <c r="L56" s="415">
        <f t="shared" si="24"/>
        <v>50</v>
      </c>
      <c r="M56" s="416">
        <v>45799</v>
      </c>
      <c r="N56" s="416">
        <v>45793</v>
      </c>
      <c r="O56" s="417"/>
      <c r="P56" s="417" t="s">
        <v>224</v>
      </c>
      <c r="Q56" s="417" t="s">
        <v>360</v>
      </c>
      <c r="R56" s="417" t="s">
        <v>190</v>
      </c>
      <c r="S56" s="417" t="s">
        <v>191</v>
      </c>
      <c r="T56" s="417" t="s">
        <v>399</v>
      </c>
      <c r="U56" s="417"/>
      <c r="V56" s="420" t="s">
        <v>400</v>
      </c>
      <c r="W56" s="416" t="s">
        <v>194</v>
      </c>
      <c r="X56" s="421">
        <v>1.8626</v>
      </c>
      <c r="Y56" s="415">
        <f t="shared" si="132"/>
        <v>1117.56</v>
      </c>
      <c r="Z56" s="416"/>
      <c r="AA56" s="420">
        <v>600</v>
      </c>
      <c r="AB56" s="420">
        <f t="shared" si="6"/>
        <v>0</v>
      </c>
      <c r="AC56" s="417" t="s">
        <v>113</v>
      </c>
      <c r="AD56" s="417" t="s">
        <v>114</v>
      </c>
      <c r="AE56" s="416" t="s">
        <v>188</v>
      </c>
      <c r="AF56" s="416" t="s">
        <v>115</v>
      </c>
      <c r="AG56" s="422">
        <f>I56*2</f>
        <v>1200</v>
      </c>
      <c r="AH56" s="422">
        <f>I56*2</f>
        <v>1200</v>
      </c>
      <c r="AI56" s="422"/>
      <c r="AJ56" s="422"/>
      <c r="AK56" s="422"/>
      <c r="AL56" s="422">
        <f>I56*2</f>
        <v>1200</v>
      </c>
      <c r="AM56" s="422"/>
      <c r="AN56" s="422"/>
      <c r="AO56" s="422">
        <f>I56*2</f>
        <v>1200</v>
      </c>
      <c r="AP56" s="422"/>
      <c r="AQ56" s="422"/>
      <c r="AR56" s="422"/>
      <c r="AS56" s="422"/>
      <c r="AT56" s="422"/>
      <c r="AU56" s="422"/>
      <c r="AV56" s="422"/>
      <c r="AW56" s="422"/>
      <c r="AX56" s="422"/>
      <c r="AY56" s="422"/>
      <c r="AZ56" s="422"/>
      <c r="BA56" s="422"/>
      <c r="BB56" s="422"/>
      <c r="BC56" s="422"/>
      <c r="BD56" s="422"/>
      <c r="BE56" s="422"/>
      <c r="BF56" s="422">
        <f>I56</f>
        <v>600</v>
      </c>
      <c r="BG56" s="422">
        <f>I56</f>
        <v>600</v>
      </c>
      <c r="BH56" s="422"/>
      <c r="BI56" s="422"/>
      <c r="BJ56" s="423">
        <f t="shared" ref="BJ56:BR56" si="140">$I56*BJ$2*2</f>
        <v>146.875</v>
      </c>
      <c r="BK56" s="423">
        <f t="shared" si="140"/>
        <v>146.875</v>
      </c>
      <c r="BL56" s="423">
        <f t="shared" si="140"/>
        <v>146.875</v>
      </c>
      <c r="BM56" s="423">
        <f t="shared" si="140"/>
        <v>146.875</v>
      </c>
      <c r="BN56" s="423">
        <f t="shared" si="140"/>
        <v>146.875</v>
      </c>
      <c r="BO56" s="423">
        <f t="shared" si="140"/>
        <v>146.875</v>
      </c>
      <c r="BP56" s="423">
        <f t="shared" si="140"/>
        <v>146.875</v>
      </c>
      <c r="BQ56" s="423">
        <f t="shared" si="140"/>
        <v>146.875</v>
      </c>
      <c r="BR56" s="423">
        <f t="shared" si="140"/>
        <v>25</v>
      </c>
      <c r="BT56" s="59">
        <f t="shared" ref="BT56:CB56" si="141">BT55-BJ56</f>
        <v>116282.169270833</v>
      </c>
      <c r="BU56" s="59">
        <f t="shared" si="141"/>
        <v>116282.169270833</v>
      </c>
      <c r="BV56" s="59">
        <f t="shared" si="141"/>
        <v>116282.169270833</v>
      </c>
      <c r="BW56" s="59">
        <f t="shared" si="141"/>
        <v>116282.169270833</v>
      </c>
      <c r="BX56" s="59">
        <f t="shared" si="141"/>
        <v>116282.169270833</v>
      </c>
      <c r="BY56" s="59">
        <f t="shared" si="141"/>
        <v>116282.169270833</v>
      </c>
      <c r="BZ56" s="59">
        <f t="shared" si="141"/>
        <v>116282.169270833</v>
      </c>
      <c r="CA56" s="59">
        <f t="shared" si="141"/>
        <v>116282.169270833</v>
      </c>
      <c r="CB56" s="59">
        <f t="shared" si="141"/>
        <v>19744.6458333333</v>
      </c>
      <c r="CD56" s="495" t="s">
        <v>127</v>
      </c>
      <c r="CH56" s="371">
        <f>CH34-I56</f>
        <v>6424</v>
      </c>
      <c r="CI56" s="371">
        <f>CI34-I56</f>
        <v>1424</v>
      </c>
    </row>
    <row r="57" s="371" customFormat="1" ht="27" hidden="1" customHeight="1" spans="1:87">
      <c r="A57" s="410">
        <v>45768</v>
      </c>
      <c r="B57" s="411" t="s">
        <v>401</v>
      </c>
      <c r="C57" s="412" t="s">
        <v>117</v>
      </c>
      <c r="D57" s="413">
        <v>4500164375</v>
      </c>
      <c r="E57" s="412" t="s">
        <v>402</v>
      </c>
      <c r="F57" s="411" t="s">
        <v>403</v>
      </c>
      <c r="G57" s="414" t="s">
        <v>78</v>
      </c>
      <c r="H57" s="411" t="s">
        <v>79</v>
      </c>
      <c r="I57" s="415">
        <v>2160</v>
      </c>
      <c r="J57" s="415">
        <v>0</v>
      </c>
      <c r="K57" s="415">
        <v>54</v>
      </c>
      <c r="L57" s="415">
        <f t="shared" si="24"/>
        <v>40</v>
      </c>
      <c r="M57" s="416">
        <v>45799</v>
      </c>
      <c r="N57" s="416">
        <v>45803</v>
      </c>
      <c r="O57" s="417"/>
      <c r="P57" s="417" t="s">
        <v>107</v>
      </c>
      <c r="Q57" s="417" t="s">
        <v>404</v>
      </c>
      <c r="R57" s="417">
        <v>45771</v>
      </c>
      <c r="S57" s="417" t="s">
        <v>80</v>
      </c>
      <c r="T57" s="417" t="s">
        <v>80</v>
      </c>
      <c r="U57" s="417"/>
      <c r="V57" s="420" t="s">
        <v>405</v>
      </c>
      <c r="W57" s="494" t="s">
        <v>406</v>
      </c>
      <c r="X57" s="421">
        <v>0.4748</v>
      </c>
      <c r="Y57" s="415">
        <f t="shared" si="132"/>
        <v>1025.568</v>
      </c>
      <c r="Z57" s="416"/>
      <c r="AA57" s="420">
        <f>108+2052</f>
        <v>2160</v>
      </c>
      <c r="AB57" s="420">
        <f t="shared" si="6"/>
        <v>0</v>
      </c>
      <c r="AC57" s="417" t="s">
        <v>80</v>
      </c>
      <c r="AD57" s="417" t="s">
        <v>114</v>
      </c>
      <c r="AE57" s="416" t="s">
        <v>230</v>
      </c>
      <c r="AF57" s="416" t="s">
        <v>115</v>
      </c>
      <c r="AG57" s="422">
        <f t="shared" ref="AG57:AG70" si="142">I57</f>
        <v>2160</v>
      </c>
      <c r="AH57" s="422">
        <f t="shared" ref="AH57:AH70" si="143">I57</f>
        <v>2160</v>
      </c>
      <c r="AI57" s="422"/>
      <c r="AJ57" s="422"/>
      <c r="AK57" s="422"/>
      <c r="AL57" s="422">
        <f t="shared" si="137"/>
        <v>2160</v>
      </c>
      <c r="AM57" s="422"/>
      <c r="AN57" s="422"/>
      <c r="AO57" s="422">
        <f t="shared" ref="AO57:AO70" si="144">I57</f>
        <v>2160</v>
      </c>
      <c r="AP57" s="422"/>
      <c r="AQ57" s="422">
        <f>I57/27</f>
        <v>80</v>
      </c>
      <c r="AR57" s="422"/>
      <c r="AS57" s="422"/>
      <c r="AT57" s="422"/>
      <c r="AU57" s="422"/>
      <c r="AV57" s="422"/>
      <c r="AW57" s="422"/>
      <c r="AX57" s="422"/>
      <c r="AY57" s="422"/>
      <c r="AZ57" s="422"/>
      <c r="BA57" s="422"/>
      <c r="BB57" s="422"/>
      <c r="BC57" s="422"/>
      <c r="BD57" s="422"/>
      <c r="BE57" s="422"/>
      <c r="BF57" s="422"/>
      <c r="BG57" s="422"/>
      <c r="BH57" s="422"/>
      <c r="BI57" s="422"/>
      <c r="BJ57" s="423">
        <f t="shared" ref="BJ57:BR57" si="145">$I57*BJ$2</f>
        <v>264.374999999999</v>
      </c>
      <c r="BK57" s="423">
        <f t="shared" si="145"/>
        <v>264.374999999999</v>
      </c>
      <c r="BL57" s="423">
        <f t="shared" si="145"/>
        <v>264.374999999999</v>
      </c>
      <c r="BM57" s="423">
        <f t="shared" si="145"/>
        <v>264.374999999999</v>
      </c>
      <c r="BN57" s="423">
        <f t="shared" si="145"/>
        <v>264.374999999999</v>
      </c>
      <c r="BO57" s="423">
        <f t="shared" si="145"/>
        <v>264.374999999999</v>
      </c>
      <c r="BP57" s="423">
        <f t="shared" si="145"/>
        <v>264.374999999999</v>
      </c>
      <c r="BQ57" s="423">
        <f t="shared" si="145"/>
        <v>264.374999999999</v>
      </c>
      <c r="BR57" s="423">
        <f t="shared" si="145"/>
        <v>44.9999999999999</v>
      </c>
      <c r="BT57" s="59">
        <f t="shared" ref="BT57:CB57" si="146">BT56-BJ57</f>
        <v>116017.794270833</v>
      </c>
      <c r="BU57" s="59">
        <f t="shared" si="146"/>
        <v>116017.794270833</v>
      </c>
      <c r="BV57" s="59">
        <f t="shared" si="146"/>
        <v>116017.794270833</v>
      </c>
      <c r="BW57" s="59">
        <f t="shared" si="146"/>
        <v>116017.794270833</v>
      </c>
      <c r="BX57" s="59">
        <f t="shared" si="146"/>
        <v>116017.794270833</v>
      </c>
      <c r="BY57" s="59">
        <f t="shared" si="146"/>
        <v>116017.794270833</v>
      </c>
      <c r="BZ57" s="59">
        <f t="shared" si="146"/>
        <v>116017.794270833</v>
      </c>
      <c r="CA57" s="59">
        <f t="shared" si="146"/>
        <v>116017.794270833</v>
      </c>
      <c r="CB57" s="59">
        <f t="shared" si="146"/>
        <v>19699.6458333333</v>
      </c>
    </row>
    <row r="58" s="371" customFormat="1" ht="27" hidden="1" customHeight="1" spans="1:87">
      <c r="A58" s="410">
        <v>45722</v>
      </c>
      <c r="B58" s="411" t="s">
        <v>407</v>
      </c>
      <c r="C58" s="412" t="s">
        <v>408</v>
      </c>
      <c r="D58" s="413">
        <v>4500159286</v>
      </c>
      <c r="E58" s="412"/>
      <c r="F58" s="411" t="s">
        <v>409</v>
      </c>
      <c r="G58" s="414" t="s">
        <v>94</v>
      </c>
      <c r="H58" s="411" t="s">
        <v>211</v>
      </c>
      <c r="I58" s="415">
        <v>1040</v>
      </c>
      <c r="J58" s="415">
        <v>0</v>
      </c>
      <c r="K58" s="415">
        <v>52</v>
      </c>
      <c r="L58" s="415">
        <f t="shared" si="24"/>
        <v>20</v>
      </c>
      <c r="M58" s="416">
        <v>45800</v>
      </c>
      <c r="N58" s="416">
        <v>45803</v>
      </c>
      <c r="O58" s="417"/>
      <c r="P58" s="503" t="s">
        <v>224</v>
      </c>
      <c r="Q58" s="417" t="s">
        <v>410</v>
      </c>
      <c r="R58" s="417">
        <v>45762</v>
      </c>
      <c r="S58" s="417" t="s">
        <v>80</v>
      </c>
      <c r="T58" s="417" t="s">
        <v>411</v>
      </c>
      <c r="U58" s="417"/>
      <c r="V58" s="420" t="s">
        <v>412</v>
      </c>
      <c r="W58" s="494" t="s">
        <v>413</v>
      </c>
      <c r="X58" s="421">
        <v>0.945</v>
      </c>
      <c r="Y58" s="415">
        <f t="shared" si="132"/>
        <v>982.8</v>
      </c>
      <c r="Z58" s="416"/>
      <c r="AA58" s="420">
        <v>1040</v>
      </c>
      <c r="AB58" s="420">
        <f t="shared" si="6"/>
        <v>0</v>
      </c>
      <c r="AC58" s="417" t="s">
        <v>113</v>
      </c>
      <c r="AD58" s="417" t="s">
        <v>114</v>
      </c>
      <c r="AE58" s="416" t="s">
        <v>414</v>
      </c>
      <c r="AF58" s="416" t="s">
        <v>115</v>
      </c>
      <c r="AG58" s="422">
        <f t="shared" si="142"/>
        <v>1040</v>
      </c>
      <c r="AH58" s="422">
        <f t="shared" si="143"/>
        <v>1040</v>
      </c>
      <c r="AI58" s="422"/>
      <c r="AJ58" s="422"/>
      <c r="AK58" s="422"/>
      <c r="AL58" s="422">
        <f t="shared" si="137"/>
        <v>1040</v>
      </c>
      <c r="AM58" s="422"/>
      <c r="AN58" s="422"/>
      <c r="AO58" s="422">
        <f t="shared" si="144"/>
        <v>1040</v>
      </c>
      <c r="AP58" s="422"/>
      <c r="AQ58" s="422"/>
      <c r="AR58" s="422"/>
      <c r="AS58" s="422"/>
      <c r="AT58" s="422"/>
      <c r="AU58" s="422">
        <f>I58/13</f>
        <v>80</v>
      </c>
      <c r="AV58" s="422"/>
      <c r="AW58" s="422"/>
      <c r="AX58" s="422"/>
      <c r="AY58" s="422"/>
      <c r="AZ58" s="422"/>
      <c r="BA58" s="422"/>
      <c r="BB58" s="422"/>
      <c r="BC58" s="422"/>
      <c r="BD58" s="422"/>
      <c r="BE58" s="422"/>
      <c r="BF58" s="422"/>
      <c r="BG58" s="422"/>
      <c r="BH58" s="422"/>
      <c r="BI58" s="422"/>
      <c r="BJ58" s="423">
        <f t="shared" ref="BJ58:BR58" si="147">$I58*BJ$2</f>
        <v>127.291666666666</v>
      </c>
      <c r="BK58" s="423">
        <f t="shared" si="147"/>
        <v>127.291666666666</v>
      </c>
      <c r="BL58" s="423">
        <f t="shared" si="147"/>
        <v>127.291666666666</v>
      </c>
      <c r="BM58" s="423">
        <f t="shared" si="147"/>
        <v>127.291666666666</v>
      </c>
      <c r="BN58" s="423">
        <f t="shared" si="147"/>
        <v>127.291666666666</v>
      </c>
      <c r="BO58" s="423">
        <f t="shared" si="147"/>
        <v>127.291666666666</v>
      </c>
      <c r="BP58" s="423">
        <f t="shared" si="147"/>
        <v>127.291666666666</v>
      </c>
      <c r="BQ58" s="423">
        <f t="shared" si="147"/>
        <v>127.291666666666</v>
      </c>
      <c r="BR58" s="423">
        <f t="shared" si="147"/>
        <v>21.6666666666666</v>
      </c>
      <c r="BT58" s="59">
        <f t="shared" ref="BT58:CB58" si="148">BT57-BJ58</f>
        <v>115890.502604167</v>
      </c>
      <c r="BU58" s="59">
        <f t="shared" si="148"/>
        <v>115890.502604167</v>
      </c>
      <c r="BV58" s="59">
        <f t="shared" si="148"/>
        <v>115890.502604167</v>
      </c>
      <c r="BW58" s="59">
        <f t="shared" si="148"/>
        <v>115890.502604167</v>
      </c>
      <c r="BX58" s="59">
        <f t="shared" si="148"/>
        <v>115890.502604167</v>
      </c>
      <c r="BY58" s="59">
        <f t="shared" si="148"/>
        <v>115890.502604167</v>
      </c>
      <c r="BZ58" s="59">
        <f t="shared" si="148"/>
        <v>115890.502604167</v>
      </c>
      <c r="CA58" s="59">
        <f t="shared" si="148"/>
        <v>115890.502604167</v>
      </c>
      <c r="CB58" s="59">
        <f t="shared" si="148"/>
        <v>19677.9791666667</v>
      </c>
    </row>
    <row r="59" s="371" customFormat="1" ht="27" hidden="1" customHeight="1" spans="1:87">
      <c r="A59" s="410">
        <v>45727</v>
      </c>
      <c r="B59" s="411" t="s">
        <v>415</v>
      </c>
      <c r="C59" s="412" t="s">
        <v>396</v>
      </c>
      <c r="D59" s="413">
        <v>4500159575</v>
      </c>
      <c r="E59" s="412" t="s">
        <v>416</v>
      </c>
      <c r="F59" s="411" t="s">
        <v>417</v>
      </c>
      <c r="G59" s="414" t="s">
        <v>94</v>
      </c>
      <c r="H59" s="411" t="s">
        <v>211</v>
      </c>
      <c r="I59" s="415">
        <v>21216</v>
      </c>
      <c r="J59" s="415">
        <v>0</v>
      </c>
      <c r="K59" s="415">
        <v>52</v>
      </c>
      <c r="L59" s="415">
        <f t="shared" si="24"/>
        <v>408</v>
      </c>
      <c r="M59" s="416">
        <v>45800</v>
      </c>
      <c r="N59" s="416">
        <v>45803</v>
      </c>
      <c r="O59" s="417"/>
      <c r="P59" s="417" t="s">
        <v>107</v>
      </c>
      <c r="Q59" s="417" t="s">
        <v>404</v>
      </c>
      <c r="R59" s="417">
        <v>45727</v>
      </c>
      <c r="S59" s="417" t="s">
        <v>80</v>
      </c>
      <c r="T59" s="417" t="s">
        <v>80</v>
      </c>
      <c r="U59" s="417" t="s">
        <v>156</v>
      </c>
      <c r="V59" s="420" t="s">
        <v>418</v>
      </c>
      <c r="W59" s="494" t="s">
        <v>419</v>
      </c>
      <c r="X59" s="421">
        <v>0.7835</v>
      </c>
      <c r="Y59" s="415">
        <f t="shared" si="132"/>
        <v>16622.736</v>
      </c>
      <c r="Z59" s="416"/>
      <c r="AA59" s="420">
        <f>21216</f>
        <v>21216</v>
      </c>
      <c r="AB59" s="420">
        <f t="shared" si="6"/>
        <v>0</v>
      </c>
      <c r="AC59" s="417" t="s">
        <v>80</v>
      </c>
      <c r="AD59" s="417" t="s">
        <v>114</v>
      </c>
      <c r="AE59" s="416" t="s">
        <v>94</v>
      </c>
      <c r="AF59" s="416" t="s">
        <v>115</v>
      </c>
      <c r="AG59" s="422">
        <f t="shared" si="142"/>
        <v>21216</v>
      </c>
      <c r="AH59" s="422">
        <f t="shared" si="143"/>
        <v>21216</v>
      </c>
      <c r="AI59" s="422"/>
      <c r="AJ59" s="422"/>
      <c r="AK59" s="422">
        <f t="shared" ref="AK59:AK64" si="149">I59</f>
        <v>21216</v>
      </c>
      <c r="AL59" s="422"/>
      <c r="AM59" s="422"/>
      <c r="AN59" s="422"/>
      <c r="AO59" s="422">
        <f t="shared" si="144"/>
        <v>21216</v>
      </c>
      <c r="AP59" s="422"/>
      <c r="AQ59" s="422"/>
      <c r="AR59" s="422"/>
      <c r="AS59" s="422"/>
      <c r="AT59" s="422">
        <f>I59/13</f>
        <v>1632</v>
      </c>
      <c r="AU59" s="422"/>
      <c r="AV59" s="422"/>
      <c r="AW59" s="422"/>
      <c r="AX59" s="422"/>
      <c r="AY59" s="422"/>
      <c r="AZ59" s="422"/>
      <c r="BA59" s="422"/>
      <c r="BB59" s="422"/>
      <c r="BC59" s="422"/>
      <c r="BD59" s="422"/>
      <c r="BE59" s="422"/>
      <c r="BF59" s="422"/>
      <c r="BG59" s="422"/>
      <c r="BH59" s="422"/>
      <c r="BI59" s="422"/>
      <c r="BJ59" s="423">
        <f t="shared" ref="BJ59:BR59" si="150">$I59*BJ$2</f>
        <v>2596.74999999999</v>
      </c>
      <c r="BK59" s="423">
        <f t="shared" si="150"/>
        <v>2596.74999999999</v>
      </c>
      <c r="BL59" s="423">
        <f t="shared" si="150"/>
        <v>2596.74999999999</v>
      </c>
      <c r="BM59" s="423">
        <f t="shared" si="150"/>
        <v>2596.74999999999</v>
      </c>
      <c r="BN59" s="423">
        <f t="shared" si="150"/>
        <v>2596.74999999999</v>
      </c>
      <c r="BO59" s="423">
        <f t="shared" si="150"/>
        <v>2596.74999999999</v>
      </c>
      <c r="BP59" s="423">
        <f t="shared" si="150"/>
        <v>2596.74999999999</v>
      </c>
      <c r="BQ59" s="423">
        <f t="shared" si="150"/>
        <v>2596.74999999999</v>
      </c>
      <c r="BR59" s="423">
        <f t="shared" si="150"/>
        <v>441.999999999999</v>
      </c>
      <c r="BT59" s="59">
        <f t="shared" ref="BT59:CB59" si="151">BT58-BJ59</f>
        <v>113293.752604167</v>
      </c>
      <c r="BU59" s="59">
        <f t="shared" si="151"/>
        <v>113293.752604167</v>
      </c>
      <c r="BV59" s="59">
        <f t="shared" si="151"/>
        <v>113293.752604167</v>
      </c>
      <c r="BW59" s="59">
        <f t="shared" si="151"/>
        <v>113293.752604167</v>
      </c>
      <c r="BX59" s="59">
        <f t="shared" si="151"/>
        <v>113293.752604167</v>
      </c>
      <c r="BY59" s="59">
        <f t="shared" si="151"/>
        <v>113293.752604167</v>
      </c>
      <c r="BZ59" s="59">
        <f t="shared" si="151"/>
        <v>113293.752604167</v>
      </c>
      <c r="CA59" s="59">
        <f t="shared" si="151"/>
        <v>113293.752604167</v>
      </c>
      <c r="CB59" s="59">
        <f t="shared" si="151"/>
        <v>19235.9791666667</v>
      </c>
    </row>
    <row r="60" s="371" customFormat="1" ht="27" hidden="1" customHeight="1" spans="1:87">
      <c r="A60" s="410">
        <v>45764</v>
      </c>
      <c r="B60" s="411" t="s">
        <v>420</v>
      </c>
      <c r="C60" s="412" t="s">
        <v>421</v>
      </c>
      <c r="D60" s="413">
        <v>4500163743</v>
      </c>
      <c r="E60" s="412" t="s">
        <v>422</v>
      </c>
      <c r="F60" s="411" t="s">
        <v>423</v>
      </c>
      <c r="G60" s="414" t="s">
        <v>424</v>
      </c>
      <c r="H60" s="411" t="s">
        <v>174</v>
      </c>
      <c r="I60" s="415">
        <v>4950</v>
      </c>
      <c r="J60" s="415">
        <v>0</v>
      </c>
      <c r="K60" s="415">
        <v>33</v>
      </c>
      <c r="L60" s="415">
        <f t="shared" si="24"/>
        <v>150</v>
      </c>
      <c r="M60" s="416">
        <v>45800</v>
      </c>
      <c r="N60" s="416">
        <v>45803</v>
      </c>
      <c r="O60" s="417"/>
      <c r="P60" s="417" t="s">
        <v>107</v>
      </c>
      <c r="Q60" s="417" t="s">
        <v>425</v>
      </c>
      <c r="R60" s="417">
        <v>45762</v>
      </c>
      <c r="S60" s="417" t="s">
        <v>80</v>
      </c>
      <c r="T60" s="417" t="s">
        <v>80</v>
      </c>
      <c r="U60" s="417"/>
      <c r="V60" s="420" t="s">
        <v>426</v>
      </c>
      <c r="W60" s="416" t="s">
        <v>214</v>
      </c>
      <c r="X60" s="421">
        <v>38.1703</v>
      </c>
      <c r="Y60" s="415">
        <f>X60*L60</f>
        <v>5725.545</v>
      </c>
      <c r="Z60" s="416"/>
      <c r="AA60" s="420">
        <f>33+4917</f>
        <v>4950</v>
      </c>
      <c r="AB60" s="420">
        <f t="shared" si="6"/>
        <v>0</v>
      </c>
      <c r="AC60" s="417" t="s">
        <v>80</v>
      </c>
      <c r="AD60" s="417" t="s">
        <v>114</v>
      </c>
      <c r="AE60" s="414" t="s">
        <v>424</v>
      </c>
      <c r="AF60" s="416" t="s">
        <v>115</v>
      </c>
      <c r="AG60" s="422">
        <f t="shared" si="142"/>
        <v>4950</v>
      </c>
      <c r="AH60" s="422">
        <f t="shared" si="143"/>
        <v>4950</v>
      </c>
      <c r="AI60" s="422"/>
      <c r="AJ60" s="422"/>
      <c r="AK60" s="422">
        <f t="shared" si="149"/>
        <v>4950</v>
      </c>
      <c r="AL60" s="422"/>
      <c r="AM60" s="422"/>
      <c r="AN60" s="422"/>
      <c r="AO60" s="422">
        <f t="shared" si="144"/>
        <v>4950</v>
      </c>
      <c r="AP60" s="422"/>
      <c r="AQ60" s="422"/>
      <c r="AR60" s="422"/>
      <c r="AS60" s="422"/>
      <c r="AT60" s="422"/>
      <c r="AU60" s="422"/>
      <c r="AV60" s="422"/>
      <c r="AW60" s="422"/>
      <c r="AX60" s="422"/>
      <c r="AY60" s="422"/>
      <c r="AZ60" s="422"/>
      <c r="BA60" s="422"/>
      <c r="BB60" s="422"/>
      <c r="BC60" s="422">
        <f>I60/33</f>
        <v>150</v>
      </c>
      <c r="BD60" s="422"/>
      <c r="BE60" s="422">
        <f>BC60</f>
        <v>150</v>
      </c>
      <c r="BF60" s="422"/>
      <c r="BG60" s="422"/>
      <c r="BH60" s="422"/>
      <c r="BI60" s="422"/>
      <c r="BJ60" s="423">
        <f t="shared" ref="BJ60:BR60" si="152">$I60*BJ$2</f>
        <v>605.859374999998</v>
      </c>
      <c r="BK60" s="423">
        <f t="shared" si="152"/>
        <v>605.859374999998</v>
      </c>
      <c r="BL60" s="423">
        <f t="shared" si="152"/>
        <v>605.859374999998</v>
      </c>
      <c r="BM60" s="423">
        <f t="shared" si="152"/>
        <v>605.859374999998</v>
      </c>
      <c r="BN60" s="423">
        <f t="shared" si="152"/>
        <v>605.859374999998</v>
      </c>
      <c r="BO60" s="423">
        <f t="shared" si="152"/>
        <v>605.859374999998</v>
      </c>
      <c r="BP60" s="423">
        <f t="shared" si="152"/>
        <v>605.859374999998</v>
      </c>
      <c r="BQ60" s="423">
        <f t="shared" si="152"/>
        <v>605.859374999998</v>
      </c>
      <c r="BR60" s="423">
        <f t="shared" si="152"/>
        <v>103.125</v>
      </c>
      <c r="BT60" s="59">
        <f t="shared" ref="BT60:CB60" si="153">BT59-BJ60</f>
        <v>112687.893229167</v>
      </c>
      <c r="BU60" s="59">
        <f t="shared" si="153"/>
        <v>112687.893229167</v>
      </c>
      <c r="BV60" s="59">
        <f t="shared" si="153"/>
        <v>112687.893229167</v>
      </c>
      <c r="BW60" s="59">
        <f t="shared" si="153"/>
        <v>112687.893229167</v>
      </c>
      <c r="BX60" s="59">
        <f t="shared" si="153"/>
        <v>112687.893229167</v>
      </c>
      <c r="BY60" s="59">
        <f t="shared" si="153"/>
        <v>112687.893229167</v>
      </c>
      <c r="BZ60" s="59">
        <f t="shared" si="153"/>
        <v>112687.893229167</v>
      </c>
      <c r="CA60" s="59">
        <f t="shared" si="153"/>
        <v>112687.893229167</v>
      </c>
      <c r="CB60" s="59">
        <f t="shared" si="153"/>
        <v>19132.8541666667</v>
      </c>
    </row>
    <row r="61" s="371" customFormat="1" ht="27" hidden="1" customHeight="1" spans="1:87">
      <c r="A61" s="410">
        <v>45749</v>
      </c>
      <c r="B61" s="411" t="s">
        <v>427</v>
      </c>
      <c r="C61" s="412" t="s">
        <v>428</v>
      </c>
      <c r="D61" s="413">
        <v>4500161573</v>
      </c>
      <c r="E61" s="412">
        <v>4100411993</v>
      </c>
      <c r="F61" s="411" t="s">
        <v>429</v>
      </c>
      <c r="G61" s="414" t="s">
        <v>131</v>
      </c>
      <c r="H61" s="411" t="s">
        <v>132</v>
      </c>
      <c r="I61" s="415">
        <v>162</v>
      </c>
      <c r="J61" s="415">
        <v>0</v>
      </c>
      <c r="K61" s="415">
        <v>27</v>
      </c>
      <c r="L61" s="415">
        <f t="shared" si="24"/>
        <v>6</v>
      </c>
      <c r="M61" s="416">
        <v>45803</v>
      </c>
      <c r="N61" s="416">
        <v>45803</v>
      </c>
      <c r="O61" s="417"/>
      <c r="P61" s="417" t="s">
        <v>224</v>
      </c>
      <c r="Q61" s="417" t="s">
        <v>430</v>
      </c>
      <c r="R61" s="417">
        <v>45770</v>
      </c>
      <c r="S61" s="417" t="s">
        <v>80</v>
      </c>
      <c r="T61" s="417" t="s">
        <v>431</v>
      </c>
      <c r="U61" s="417"/>
      <c r="V61" s="420" t="s">
        <v>432</v>
      </c>
      <c r="W61" s="416" t="s">
        <v>433</v>
      </c>
      <c r="X61" s="421">
        <v>0.7792</v>
      </c>
      <c r="Y61" s="415">
        <f t="shared" ref="Y61:Y69" si="154">X61*I61</f>
        <v>126.2304</v>
      </c>
      <c r="Z61" s="416"/>
      <c r="AA61" s="420">
        <v>162</v>
      </c>
      <c r="AB61" s="420">
        <f t="shared" si="6"/>
        <v>0</v>
      </c>
      <c r="AC61" s="417" t="s">
        <v>113</v>
      </c>
      <c r="AD61" s="417" t="s">
        <v>114</v>
      </c>
      <c r="AE61" s="416" t="s">
        <v>434</v>
      </c>
      <c r="AF61" s="416" t="s">
        <v>115</v>
      </c>
      <c r="AG61" s="422">
        <f t="shared" si="142"/>
        <v>162</v>
      </c>
      <c r="AH61" s="422">
        <f t="shared" si="143"/>
        <v>162</v>
      </c>
      <c r="AI61" s="422"/>
      <c r="AJ61" s="422"/>
      <c r="AK61" s="422"/>
      <c r="AL61" s="422">
        <f t="shared" ref="AL61:AL66" si="155">I61</f>
        <v>162</v>
      </c>
      <c r="AM61" s="422"/>
      <c r="AN61" s="422"/>
      <c r="AO61" s="422">
        <f t="shared" si="144"/>
        <v>162</v>
      </c>
      <c r="AP61" s="422"/>
      <c r="AQ61" s="422"/>
      <c r="AR61" s="422">
        <f>I61/27</f>
        <v>6</v>
      </c>
      <c r="AS61" s="422"/>
      <c r="AT61" s="422"/>
      <c r="AU61" s="422"/>
      <c r="AV61" s="422"/>
      <c r="AW61" s="422"/>
      <c r="AX61" s="422"/>
      <c r="AY61" s="422"/>
      <c r="AZ61" s="422"/>
      <c r="BA61" s="422"/>
      <c r="BB61" s="422"/>
      <c r="BC61" s="422"/>
      <c r="BD61" s="422"/>
      <c r="BE61" s="422"/>
      <c r="BF61" s="422"/>
      <c r="BG61" s="422"/>
      <c r="BH61" s="422"/>
      <c r="BI61" s="422"/>
      <c r="BJ61" s="423">
        <f t="shared" ref="BJ61:BR61" si="156">$I61*BJ$2</f>
        <v>19.8281249999999</v>
      </c>
      <c r="BK61" s="423">
        <f t="shared" si="156"/>
        <v>19.8281249999999</v>
      </c>
      <c r="BL61" s="423">
        <f t="shared" si="156"/>
        <v>19.8281249999999</v>
      </c>
      <c r="BM61" s="423">
        <f t="shared" si="156"/>
        <v>19.8281249999999</v>
      </c>
      <c r="BN61" s="423">
        <f t="shared" si="156"/>
        <v>19.8281249999999</v>
      </c>
      <c r="BO61" s="423">
        <f t="shared" si="156"/>
        <v>19.8281249999999</v>
      </c>
      <c r="BP61" s="423">
        <f t="shared" si="156"/>
        <v>19.8281249999999</v>
      </c>
      <c r="BQ61" s="423">
        <f t="shared" si="156"/>
        <v>19.8281249999999</v>
      </c>
      <c r="BR61" s="423">
        <f t="shared" si="156"/>
        <v>3.37499999999999</v>
      </c>
      <c r="BT61" s="59">
        <f t="shared" ref="BT61:CB61" si="157">BT60-BJ61</f>
        <v>112668.065104167</v>
      </c>
      <c r="BU61" s="59">
        <f t="shared" si="157"/>
        <v>112668.065104167</v>
      </c>
      <c r="BV61" s="59">
        <f t="shared" si="157"/>
        <v>112668.065104167</v>
      </c>
      <c r="BW61" s="59">
        <f t="shared" si="157"/>
        <v>112668.065104167</v>
      </c>
      <c r="BX61" s="59">
        <f t="shared" si="157"/>
        <v>112668.065104167</v>
      </c>
      <c r="BY61" s="59">
        <f t="shared" si="157"/>
        <v>112668.065104167</v>
      </c>
      <c r="BZ61" s="59">
        <f t="shared" si="157"/>
        <v>112668.065104167</v>
      </c>
      <c r="CA61" s="59">
        <f t="shared" si="157"/>
        <v>112668.065104167</v>
      </c>
      <c r="CB61" s="59">
        <f t="shared" si="157"/>
        <v>19129.4791666667</v>
      </c>
    </row>
    <row r="62" s="371" customFormat="1" ht="27" hidden="1" customHeight="1" spans="1:87">
      <c r="A62" s="410">
        <v>45744</v>
      </c>
      <c r="B62" s="411" t="s">
        <v>326</v>
      </c>
      <c r="C62" s="412" t="s">
        <v>117</v>
      </c>
      <c r="D62" s="413">
        <v>4500161752</v>
      </c>
      <c r="E62" s="533" t="s">
        <v>435</v>
      </c>
      <c r="F62" s="411" t="s">
        <v>436</v>
      </c>
      <c r="G62" s="414" t="s">
        <v>258</v>
      </c>
      <c r="H62" s="411" t="s">
        <v>259</v>
      </c>
      <c r="I62" s="415">
        <v>1152</v>
      </c>
      <c r="J62" s="415">
        <v>0</v>
      </c>
      <c r="K62" s="415">
        <v>1152</v>
      </c>
      <c r="L62" s="415">
        <f t="shared" si="24"/>
        <v>1</v>
      </c>
      <c r="M62" s="416">
        <v>45803</v>
      </c>
      <c r="N62" s="416">
        <v>45803</v>
      </c>
      <c r="O62" s="417" t="s">
        <v>437</v>
      </c>
      <c r="P62" s="417" t="s">
        <v>107</v>
      </c>
      <c r="Q62" s="417" t="s">
        <v>438</v>
      </c>
      <c r="R62" s="417" t="s">
        <v>331</v>
      </c>
      <c r="S62" s="417" t="s">
        <v>191</v>
      </c>
      <c r="T62" s="417" t="s">
        <v>332</v>
      </c>
      <c r="U62" s="417"/>
      <c r="V62" s="420" t="s">
        <v>333</v>
      </c>
      <c r="W62" s="416" t="s">
        <v>265</v>
      </c>
      <c r="X62" s="421">
        <v>903.2128</v>
      </c>
      <c r="Y62" s="415">
        <f>X62*L62</f>
        <v>903.2128</v>
      </c>
      <c r="Z62" s="416" t="s">
        <v>439</v>
      </c>
      <c r="AA62" s="420">
        <f>1140+12</f>
        <v>1152</v>
      </c>
      <c r="AB62" s="420">
        <f t="shared" si="6"/>
        <v>0</v>
      </c>
      <c r="AC62" s="417"/>
      <c r="AD62" s="417" t="s">
        <v>114</v>
      </c>
      <c r="AE62" s="416" t="s">
        <v>258</v>
      </c>
      <c r="AF62" s="416" t="s">
        <v>115</v>
      </c>
      <c r="AG62" s="422">
        <f t="shared" si="142"/>
        <v>1152</v>
      </c>
      <c r="AH62" s="422">
        <f t="shared" si="143"/>
        <v>1152</v>
      </c>
      <c r="AI62" s="422"/>
      <c r="AJ62" s="422"/>
      <c r="AK62" s="422">
        <f t="shared" si="149"/>
        <v>1152</v>
      </c>
      <c r="AL62" s="422"/>
      <c r="AM62" s="422"/>
      <c r="AN62" s="422"/>
      <c r="AO62" s="422">
        <f t="shared" si="144"/>
        <v>1152</v>
      </c>
      <c r="AP62" s="422"/>
      <c r="AQ62" s="422"/>
      <c r="AR62" s="422"/>
      <c r="AS62" s="422"/>
      <c r="AT62" s="422"/>
      <c r="AU62" s="422"/>
      <c r="AV62" s="422">
        <f t="shared" ref="AV62:AV64" si="158">I62/12</f>
        <v>96</v>
      </c>
      <c r="AW62" s="422"/>
      <c r="AX62" s="422"/>
      <c r="AY62" s="422"/>
      <c r="AZ62" s="422"/>
      <c r="BA62" s="422"/>
      <c r="BB62" s="422"/>
      <c r="BC62" s="422"/>
      <c r="BD62" s="422"/>
      <c r="BE62" s="422"/>
      <c r="BF62" s="422"/>
      <c r="BG62" s="422"/>
      <c r="BH62" s="422"/>
      <c r="BI62" s="422"/>
      <c r="BJ62" s="423">
        <f t="shared" ref="BJ62:BR62" si="159">$I62*BJ$2</f>
        <v>141</v>
      </c>
      <c r="BK62" s="423">
        <f t="shared" si="159"/>
        <v>141</v>
      </c>
      <c r="BL62" s="423">
        <f t="shared" si="159"/>
        <v>141</v>
      </c>
      <c r="BM62" s="423">
        <f t="shared" si="159"/>
        <v>141</v>
      </c>
      <c r="BN62" s="423">
        <f t="shared" si="159"/>
        <v>141</v>
      </c>
      <c r="BO62" s="423">
        <f t="shared" si="159"/>
        <v>141</v>
      </c>
      <c r="BP62" s="423">
        <f t="shared" si="159"/>
        <v>141</v>
      </c>
      <c r="BQ62" s="423">
        <f t="shared" si="159"/>
        <v>141</v>
      </c>
      <c r="BR62" s="423">
        <f t="shared" si="159"/>
        <v>24</v>
      </c>
      <c r="BT62" s="59">
        <f t="shared" ref="BT62:CB62" si="160">BT61-BJ62</f>
        <v>112527.065104167</v>
      </c>
      <c r="BU62" s="59">
        <f t="shared" si="160"/>
        <v>112527.065104167</v>
      </c>
      <c r="BV62" s="59">
        <f t="shared" si="160"/>
        <v>112527.065104167</v>
      </c>
      <c r="BW62" s="59">
        <f t="shared" si="160"/>
        <v>112527.065104167</v>
      </c>
      <c r="BX62" s="59">
        <f t="shared" si="160"/>
        <v>112527.065104167</v>
      </c>
      <c r="BY62" s="59">
        <f t="shared" si="160"/>
        <v>112527.065104167</v>
      </c>
      <c r="BZ62" s="59">
        <f t="shared" si="160"/>
        <v>112527.065104167</v>
      </c>
      <c r="CA62" s="59">
        <f t="shared" si="160"/>
        <v>112527.065104167</v>
      </c>
      <c r="CB62" s="59">
        <f t="shared" si="160"/>
        <v>19105.4791666667</v>
      </c>
    </row>
    <row r="63" s="371" customFormat="1" ht="27" hidden="1" customHeight="1" spans="1:87">
      <c r="A63" s="410">
        <v>45749</v>
      </c>
      <c r="B63" s="411" t="s">
        <v>326</v>
      </c>
      <c r="C63" s="412" t="s">
        <v>117</v>
      </c>
      <c r="D63" s="413">
        <v>4500162371</v>
      </c>
      <c r="E63" s="412" t="s">
        <v>440</v>
      </c>
      <c r="F63" s="411" t="s">
        <v>441</v>
      </c>
      <c r="G63" s="414" t="s">
        <v>345</v>
      </c>
      <c r="H63" s="411" t="s">
        <v>346</v>
      </c>
      <c r="I63" s="415">
        <v>6276</v>
      </c>
      <c r="J63" s="415">
        <v>0</v>
      </c>
      <c r="K63" s="415">
        <v>12</v>
      </c>
      <c r="L63" s="415">
        <f t="shared" si="24"/>
        <v>523</v>
      </c>
      <c r="M63" s="416">
        <v>45803</v>
      </c>
      <c r="N63" s="416">
        <v>45803</v>
      </c>
      <c r="O63" s="417" t="s">
        <v>442</v>
      </c>
      <c r="P63" s="417" t="s">
        <v>107</v>
      </c>
      <c r="Q63" s="417" t="s">
        <v>392</v>
      </c>
      <c r="R63" s="417">
        <v>45749</v>
      </c>
      <c r="S63" s="417" t="s">
        <v>191</v>
      </c>
      <c r="T63" s="417" t="s">
        <v>332</v>
      </c>
      <c r="U63" s="417"/>
      <c r="V63" s="420" t="s">
        <v>385</v>
      </c>
      <c r="W63" s="416" t="s">
        <v>265</v>
      </c>
      <c r="X63" s="421">
        <v>0.945</v>
      </c>
      <c r="Y63" s="415">
        <f t="shared" si="154"/>
        <v>5930.82</v>
      </c>
      <c r="Z63" s="416" t="s">
        <v>443</v>
      </c>
      <c r="AA63" s="420">
        <v>6276</v>
      </c>
      <c r="AB63" s="420">
        <f t="shared" si="6"/>
        <v>0</v>
      </c>
      <c r="AC63" s="417"/>
      <c r="AD63" s="417" t="s">
        <v>114</v>
      </c>
      <c r="AE63" s="416" t="s">
        <v>345</v>
      </c>
      <c r="AF63" s="416" t="s">
        <v>115</v>
      </c>
      <c r="AG63" s="422">
        <f t="shared" si="142"/>
        <v>6276</v>
      </c>
      <c r="AH63" s="422">
        <f t="shared" si="143"/>
        <v>6276</v>
      </c>
      <c r="AI63" s="422"/>
      <c r="AJ63" s="422"/>
      <c r="AK63" s="422">
        <f t="shared" si="149"/>
        <v>6276</v>
      </c>
      <c r="AL63" s="422"/>
      <c r="AM63" s="422"/>
      <c r="AN63" s="422"/>
      <c r="AO63" s="422">
        <f t="shared" si="144"/>
        <v>6276</v>
      </c>
      <c r="AP63" s="422"/>
      <c r="AQ63" s="422"/>
      <c r="AR63" s="422"/>
      <c r="AS63" s="422"/>
      <c r="AT63" s="422"/>
      <c r="AU63" s="422"/>
      <c r="AV63" s="422">
        <f t="shared" si="158"/>
        <v>523</v>
      </c>
      <c r="AW63" s="422"/>
      <c r="AX63" s="422"/>
      <c r="AY63" s="422"/>
      <c r="AZ63" s="422"/>
      <c r="BA63" s="422"/>
      <c r="BB63" s="422"/>
      <c r="BC63" s="422"/>
      <c r="BD63" s="422"/>
      <c r="BE63" s="422"/>
      <c r="BF63" s="422"/>
      <c r="BG63" s="422"/>
      <c r="BH63" s="422"/>
      <c r="BI63" s="422"/>
      <c r="BJ63" s="423">
        <f t="shared" ref="BJ63:BR63" si="161">$I63*BJ$2</f>
        <v>768.156249999998</v>
      </c>
      <c r="BK63" s="423">
        <f t="shared" si="161"/>
        <v>768.156249999998</v>
      </c>
      <c r="BL63" s="423">
        <f t="shared" si="161"/>
        <v>768.156249999998</v>
      </c>
      <c r="BM63" s="423">
        <f t="shared" si="161"/>
        <v>768.156249999998</v>
      </c>
      <c r="BN63" s="423">
        <f t="shared" si="161"/>
        <v>768.156249999998</v>
      </c>
      <c r="BO63" s="423">
        <f t="shared" si="161"/>
        <v>768.156249999998</v>
      </c>
      <c r="BP63" s="423">
        <f t="shared" si="161"/>
        <v>768.156249999998</v>
      </c>
      <c r="BQ63" s="423">
        <f t="shared" si="161"/>
        <v>768.156249999998</v>
      </c>
      <c r="BR63" s="423">
        <f t="shared" si="161"/>
        <v>130.75</v>
      </c>
      <c r="BT63" s="59">
        <f t="shared" ref="BT63:CB63" si="162">BT62-BJ63</f>
        <v>111758.908854167</v>
      </c>
      <c r="BU63" s="59">
        <f t="shared" si="162"/>
        <v>111758.908854167</v>
      </c>
      <c r="BV63" s="59">
        <f t="shared" si="162"/>
        <v>111758.908854167</v>
      </c>
      <c r="BW63" s="59">
        <f t="shared" si="162"/>
        <v>111758.908854167</v>
      </c>
      <c r="BX63" s="59">
        <f t="shared" si="162"/>
        <v>111758.908854167</v>
      </c>
      <c r="BY63" s="59">
        <f t="shared" si="162"/>
        <v>111758.908854167</v>
      </c>
      <c r="BZ63" s="59">
        <f t="shared" si="162"/>
        <v>111758.908854167</v>
      </c>
      <c r="CA63" s="59">
        <f t="shared" si="162"/>
        <v>111758.908854167</v>
      </c>
      <c r="CB63" s="59">
        <f t="shared" si="162"/>
        <v>18974.7291666667</v>
      </c>
    </row>
    <row r="64" s="371" customFormat="1" ht="27" hidden="1" customHeight="1" spans="1:87">
      <c r="A64" s="410">
        <v>45749</v>
      </c>
      <c r="B64" s="411" t="s">
        <v>326</v>
      </c>
      <c r="C64" s="412" t="s">
        <v>117</v>
      </c>
      <c r="D64" s="413">
        <v>4500162371</v>
      </c>
      <c r="E64" s="412" t="s">
        <v>444</v>
      </c>
      <c r="F64" s="411" t="s">
        <v>445</v>
      </c>
      <c r="G64" s="414" t="s">
        <v>345</v>
      </c>
      <c r="H64" s="411" t="s">
        <v>346</v>
      </c>
      <c r="I64" s="415">
        <v>6000</v>
      </c>
      <c r="J64" s="415">
        <v>0</v>
      </c>
      <c r="K64" s="415">
        <v>12</v>
      </c>
      <c r="L64" s="415">
        <f t="shared" si="24"/>
        <v>500</v>
      </c>
      <c r="M64" s="416">
        <v>45803</v>
      </c>
      <c r="N64" s="416">
        <v>45803</v>
      </c>
      <c r="O64" s="417" t="s">
        <v>442</v>
      </c>
      <c r="P64" s="417" t="s">
        <v>107</v>
      </c>
      <c r="Q64" s="417" t="s">
        <v>392</v>
      </c>
      <c r="R64" s="417">
        <v>45749</v>
      </c>
      <c r="S64" s="417" t="s">
        <v>191</v>
      </c>
      <c r="T64" s="417" t="s">
        <v>332</v>
      </c>
      <c r="U64" s="417"/>
      <c r="V64" s="420" t="s">
        <v>385</v>
      </c>
      <c r="W64" s="416" t="s">
        <v>265</v>
      </c>
      <c r="X64" s="421">
        <v>0.945</v>
      </c>
      <c r="Y64" s="415">
        <f t="shared" si="154"/>
        <v>5670</v>
      </c>
      <c r="Z64" s="416" t="s">
        <v>446</v>
      </c>
      <c r="AA64" s="420">
        <f>5976+24</f>
        <v>6000</v>
      </c>
      <c r="AB64" s="420">
        <f t="shared" si="6"/>
        <v>0</v>
      </c>
      <c r="AC64" s="417"/>
      <c r="AD64" s="417" t="s">
        <v>114</v>
      </c>
      <c r="AE64" s="416" t="s">
        <v>345</v>
      </c>
      <c r="AF64" s="416" t="s">
        <v>115</v>
      </c>
      <c r="AG64" s="422">
        <f t="shared" si="142"/>
        <v>6000</v>
      </c>
      <c r="AH64" s="422">
        <f t="shared" si="143"/>
        <v>6000</v>
      </c>
      <c r="AI64" s="422"/>
      <c r="AJ64" s="422"/>
      <c r="AK64" s="422">
        <f t="shared" si="149"/>
        <v>6000</v>
      </c>
      <c r="AL64" s="422"/>
      <c r="AM64" s="422"/>
      <c r="AN64" s="422"/>
      <c r="AO64" s="422">
        <f t="shared" si="144"/>
        <v>6000</v>
      </c>
      <c r="AP64" s="422"/>
      <c r="AQ64" s="422"/>
      <c r="AR64" s="422"/>
      <c r="AS64" s="422"/>
      <c r="AT64" s="422"/>
      <c r="AU64" s="422"/>
      <c r="AV64" s="422">
        <f t="shared" si="158"/>
        <v>500</v>
      </c>
      <c r="AW64" s="422"/>
      <c r="AX64" s="422"/>
      <c r="AY64" s="422"/>
      <c r="AZ64" s="422"/>
      <c r="BA64" s="422"/>
      <c r="BB64" s="422"/>
      <c r="BC64" s="422"/>
      <c r="BD64" s="422"/>
      <c r="BE64" s="422"/>
      <c r="BF64" s="422"/>
      <c r="BG64" s="422"/>
      <c r="BH64" s="422"/>
      <c r="BI64" s="422"/>
      <c r="BJ64" s="423">
        <f t="shared" ref="BJ64:BR64" si="163">$I64*BJ$2</f>
        <v>734.374999999998</v>
      </c>
      <c r="BK64" s="423">
        <f t="shared" si="163"/>
        <v>734.374999999998</v>
      </c>
      <c r="BL64" s="423">
        <f t="shared" si="163"/>
        <v>734.374999999998</v>
      </c>
      <c r="BM64" s="423">
        <f t="shared" si="163"/>
        <v>734.374999999998</v>
      </c>
      <c r="BN64" s="423">
        <f t="shared" si="163"/>
        <v>734.374999999998</v>
      </c>
      <c r="BO64" s="423">
        <f t="shared" si="163"/>
        <v>734.374999999998</v>
      </c>
      <c r="BP64" s="423">
        <f t="shared" si="163"/>
        <v>734.374999999998</v>
      </c>
      <c r="BQ64" s="423">
        <f t="shared" si="163"/>
        <v>734.374999999998</v>
      </c>
      <c r="BR64" s="423">
        <f t="shared" si="163"/>
        <v>125</v>
      </c>
      <c r="BT64" s="59">
        <f t="shared" ref="BT64:CB64" si="164">BT63-BJ64</f>
        <v>111024.533854167</v>
      </c>
      <c r="BU64" s="59">
        <f t="shared" si="164"/>
        <v>111024.533854167</v>
      </c>
      <c r="BV64" s="59">
        <f t="shared" si="164"/>
        <v>111024.533854167</v>
      </c>
      <c r="BW64" s="59">
        <f t="shared" si="164"/>
        <v>111024.533854167</v>
      </c>
      <c r="BX64" s="59">
        <f t="shared" si="164"/>
        <v>111024.533854167</v>
      </c>
      <c r="BY64" s="59">
        <f t="shared" si="164"/>
        <v>111024.533854167</v>
      </c>
      <c r="BZ64" s="59">
        <f t="shared" si="164"/>
        <v>111024.533854167</v>
      </c>
      <c r="CA64" s="59">
        <f t="shared" si="164"/>
        <v>111024.533854167</v>
      </c>
      <c r="CB64" s="59">
        <f t="shared" si="164"/>
        <v>18849.7291666667</v>
      </c>
    </row>
    <row r="65" s="371" customFormat="1" ht="27" hidden="1" customHeight="1" spans="1:87">
      <c r="A65" s="410">
        <v>45749</v>
      </c>
      <c r="B65" s="411" t="s">
        <v>447</v>
      </c>
      <c r="C65" s="412" t="s">
        <v>448</v>
      </c>
      <c r="D65" s="413">
        <v>4500162231</v>
      </c>
      <c r="E65" s="412">
        <v>32578104</v>
      </c>
      <c r="F65" s="411" t="s">
        <v>449</v>
      </c>
      <c r="G65" s="414" t="s">
        <v>152</v>
      </c>
      <c r="H65" s="411" t="s">
        <v>153</v>
      </c>
      <c r="I65" s="415">
        <v>2600</v>
      </c>
      <c r="J65" s="415">
        <v>0</v>
      </c>
      <c r="K65" s="415">
        <v>13</v>
      </c>
      <c r="L65" s="415">
        <f t="shared" si="24"/>
        <v>200</v>
      </c>
      <c r="M65" s="416">
        <v>45803</v>
      </c>
      <c r="N65" s="416">
        <v>45803</v>
      </c>
      <c r="O65" s="417" t="s">
        <v>450</v>
      </c>
      <c r="P65" s="417" t="s">
        <v>107</v>
      </c>
      <c r="Q65" s="417" t="s">
        <v>451</v>
      </c>
      <c r="R65" s="417">
        <v>45750</v>
      </c>
      <c r="S65" s="417" t="s">
        <v>80</v>
      </c>
      <c r="T65" s="417" t="s">
        <v>452</v>
      </c>
      <c r="U65" s="417" t="s">
        <v>156</v>
      </c>
      <c r="V65" s="420" t="s">
        <v>453</v>
      </c>
      <c r="W65" s="416" t="s">
        <v>454</v>
      </c>
      <c r="X65" s="421">
        <v>0.7931</v>
      </c>
      <c r="Y65" s="415">
        <f t="shared" si="154"/>
        <v>2062.06</v>
      </c>
      <c r="Z65" s="416"/>
      <c r="AA65" s="420">
        <f>2548+39+13</f>
        <v>2600</v>
      </c>
      <c r="AB65" s="420">
        <f t="shared" si="6"/>
        <v>0</v>
      </c>
      <c r="AC65" s="417" t="s">
        <v>113</v>
      </c>
      <c r="AD65" s="417" t="s">
        <v>114</v>
      </c>
      <c r="AE65" s="416" t="s">
        <v>319</v>
      </c>
      <c r="AF65" s="416" t="s">
        <v>115</v>
      </c>
      <c r="AG65" s="422">
        <f t="shared" si="142"/>
        <v>2600</v>
      </c>
      <c r="AH65" s="422">
        <f t="shared" si="143"/>
        <v>2600</v>
      </c>
      <c r="AI65" s="422"/>
      <c r="AJ65" s="422"/>
      <c r="AK65" s="422"/>
      <c r="AL65" s="422">
        <f t="shared" si="155"/>
        <v>2600</v>
      </c>
      <c r="AM65" s="422"/>
      <c r="AN65" s="422"/>
      <c r="AO65" s="422">
        <f t="shared" si="144"/>
        <v>2600</v>
      </c>
      <c r="AP65" s="422"/>
      <c r="AQ65" s="422"/>
      <c r="AR65" s="422"/>
      <c r="AS65" s="422"/>
      <c r="AT65" s="422"/>
      <c r="AU65" s="422">
        <f>I65/13</f>
        <v>200</v>
      </c>
      <c r="AV65" s="422"/>
      <c r="AW65" s="422"/>
      <c r="AX65" s="422"/>
      <c r="AY65" s="422"/>
      <c r="AZ65" s="422"/>
      <c r="BA65" s="422"/>
      <c r="BB65" s="422"/>
      <c r="BC65" s="422"/>
      <c r="BD65" s="422"/>
      <c r="BE65" s="422"/>
      <c r="BF65" s="422"/>
      <c r="BG65" s="422"/>
      <c r="BH65" s="422"/>
      <c r="BI65" s="422"/>
      <c r="BJ65" s="423">
        <f t="shared" ref="BJ65:BR65" si="165">$I65*BJ$2</f>
        <v>318.229166666666</v>
      </c>
      <c r="BK65" s="423">
        <f t="shared" si="165"/>
        <v>318.229166666666</v>
      </c>
      <c r="BL65" s="423">
        <f t="shared" si="165"/>
        <v>318.229166666666</v>
      </c>
      <c r="BM65" s="423">
        <f t="shared" si="165"/>
        <v>318.229166666666</v>
      </c>
      <c r="BN65" s="423">
        <f t="shared" si="165"/>
        <v>318.229166666666</v>
      </c>
      <c r="BO65" s="423">
        <f t="shared" si="165"/>
        <v>318.229166666666</v>
      </c>
      <c r="BP65" s="423">
        <f t="shared" si="165"/>
        <v>318.229166666666</v>
      </c>
      <c r="BQ65" s="423">
        <f t="shared" si="165"/>
        <v>318.229166666666</v>
      </c>
      <c r="BR65" s="423">
        <f t="shared" si="165"/>
        <v>54.1666666666666</v>
      </c>
      <c r="BT65" s="59">
        <f t="shared" ref="BT65:CB65" si="166">BT64-BJ65</f>
        <v>110706.3046875</v>
      </c>
      <c r="BU65" s="59">
        <f t="shared" si="166"/>
        <v>110706.3046875</v>
      </c>
      <c r="BV65" s="59">
        <f t="shared" si="166"/>
        <v>110706.3046875</v>
      </c>
      <c r="BW65" s="59">
        <f t="shared" si="166"/>
        <v>110706.3046875</v>
      </c>
      <c r="BX65" s="59">
        <f t="shared" si="166"/>
        <v>110706.3046875</v>
      </c>
      <c r="BY65" s="59">
        <f t="shared" si="166"/>
        <v>110706.3046875</v>
      </c>
      <c r="BZ65" s="59">
        <f t="shared" si="166"/>
        <v>110706.3046875</v>
      </c>
      <c r="CA65" s="59">
        <f t="shared" si="166"/>
        <v>110706.3046875</v>
      </c>
      <c r="CB65" s="59">
        <f t="shared" si="166"/>
        <v>18795.5625</v>
      </c>
    </row>
    <row r="66" s="371" customFormat="1" ht="27" hidden="1" customHeight="1" spans="1:87">
      <c r="A66" s="410">
        <v>45755</v>
      </c>
      <c r="B66" s="411" t="s">
        <v>455</v>
      </c>
      <c r="C66" s="412" t="s">
        <v>311</v>
      </c>
      <c r="D66" s="413">
        <v>4500160515</v>
      </c>
      <c r="E66" s="412">
        <v>4508281081</v>
      </c>
      <c r="F66" s="411" t="s">
        <v>456</v>
      </c>
      <c r="G66" s="414" t="s">
        <v>152</v>
      </c>
      <c r="H66" s="411" t="s">
        <v>153</v>
      </c>
      <c r="I66" s="415">
        <v>3510</v>
      </c>
      <c r="J66" s="415">
        <v>0</v>
      </c>
      <c r="K66" s="415">
        <v>13</v>
      </c>
      <c r="L66" s="415">
        <f t="shared" si="24"/>
        <v>270</v>
      </c>
      <c r="M66" s="416">
        <v>45803</v>
      </c>
      <c r="N66" s="416">
        <v>45803</v>
      </c>
      <c r="O66" s="417"/>
      <c r="P66" s="417" t="s">
        <v>224</v>
      </c>
      <c r="Q66" s="417" t="s">
        <v>451</v>
      </c>
      <c r="R66" s="417">
        <v>45755</v>
      </c>
      <c r="S66" s="417" t="s">
        <v>80</v>
      </c>
      <c r="T66" s="417" t="s">
        <v>457</v>
      </c>
      <c r="U66" s="417" t="s">
        <v>156</v>
      </c>
      <c r="V66" s="420" t="s">
        <v>458</v>
      </c>
      <c r="W66" s="416" t="s">
        <v>459</v>
      </c>
      <c r="X66" s="421">
        <v>0.7758</v>
      </c>
      <c r="Y66" s="415">
        <f t="shared" si="154"/>
        <v>2723.058</v>
      </c>
      <c r="Z66" s="416"/>
      <c r="AA66" s="420">
        <v>3510</v>
      </c>
      <c r="AB66" s="420">
        <f t="shared" si="6"/>
        <v>0</v>
      </c>
      <c r="AC66" s="417" t="s">
        <v>113</v>
      </c>
      <c r="AD66" s="417" t="s">
        <v>114</v>
      </c>
      <c r="AE66" s="416" t="s">
        <v>319</v>
      </c>
      <c r="AF66" s="416" t="s">
        <v>115</v>
      </c>
      <c r="AG66" s="422">
        <f t="shared" si="142"/>
        <v>3510</v>
      </c>
      <c r="AH66" s="422">
        <f t="shared" si="143"/>
        <v>3510</v>
      </c>
      <c r="AJ66" s="422"/>
      <c r="AK66" s="422"/>
      <c r="AL66" s="422">
        <f t="shared" si="155"/>
        <v>3510</v>
      </c>
      <c r="AM66" s="422"/>
      <c r="AN66" s="422"/>
      <c r="AO66" s="422">
        <f t="shared" si="144"/>
        <v>3510</v>
      </c>
      <c r="AP66" s="422"/>
      <c r="AQ66" s="422"/>
      <c r="AR66" s="422"/>
      <c r="AS66" s="422"/>
      <c r="AT66" s="422"/>
      <c r="AU66" s="422">
        <f>I66/13</f>
        <v>270</v>
      </c>
      <c r="AV66" s="422"/>
      <c r="AW66" s="422"/>
      <c r="AX66" s="422"/>
      <c r="AY66" s="422"/>
      <c r="AZ66" s="422"/>
      <c r="BA66" s="422"/>
      <c r="BB66" s="422"/>
      <c r="BC66" s="422"/>
      <c r="BD66" s="422"/>
      <c r="BE66" s="422"/>
      <c r="BF66" s="422"/>
      <c r="BG66" s="422"/>
      <c r="BH66" s="422"/>
      <c r="BI66" s="422"/>
      <c r="BJ66" s="423">
        <f t="shared" ref="BJ66:BR66" si="167">$I66*BJ$2</f>
        <v>429.609374999999</v>
      </c>
      <c r="BK66" s="423">
        <f t="shared" si="167"/>
        <v>429.609374999999</v>
      </c>
      <c r="BL66" s="423">
        <f t="shared" si="167"/>
        <v>429.609374999999</v>
      </c>
      <c r="BM66" s="423">
        <f t="shared" si="167"/>
        <v>429.609374999999</v>
      </c>
      <c r="BN66" s="423">
        <f t="shared" si="167"/>
        <v>429.609374999999</v>
      </c>
      <c r="BO66" s="423">
        <f t="shared" si="167"/>
        <v>429.609374999999</v>
      </c>
      <c r="BP66" s="423">
        <f t="shared" si="167"/>
        <v>429.609374999999</v>
      </c>
      <c r="BQ66" s="423">
        <f t="shared" si="167"/>
        <v>429.609374999999</v>
      </c>
      <c r="BR66" s="423">
        <f t="shared" si="167"/>
        <v>73.1249999999999</v>
      </c>
      <c r="BT66" s="59">
        <f t="shared" ref="BT66:CB66" si="168">BT65-BJ66</f>
        <v>110276.6953125</v>
      </c>
      <c r="BU66" s="59">
        <f t="shared" si="168"/>
        <v>110276.6953125</v>
      </c>
      <c r="BV66" s="59">
        <f t="shared" si="168"/>
        <v>110276.6953125</v>
      </c>
      <c r="BW66" s="59">
        <f t="shared" si="168"/>
        <v>110276.6953125</v>
      </c>
      <c r="BX66" s="59">
        <f t="shared" si="168"/>
        <v>110276.6953125</v>
      </c>
      <c r="BY66" s="59">
        <f t="shared" si="168"/>
        <v>110276.6953125</v>
      </c>
      <c r="BZ66" s="59">
        <f t="shared" si="168"/>
        <v>110276.6953125</v>
      </c>
      <c r="CA66" s="59">
        <f t="shared" si="168"/>
        <v>110276.6953125</v>
      </c>
      <c r="CB66" s="59">
        <f t="shared" si="168"/>
        <v>18722.4375</v>
      </c>
    </row>
    <row r="67" s="371" customFormat="1" ht="27" hidden="1" customHeight="1" spans="1:87">
      <c r="A67" s="410">
        <v>45756</v>
      </c>
      <c r="B67" s="411" t="s">
        <v>460</v>
      </c>
      <c r="C67" s="412" t="s">
        <v>396</v>
      </c>
      <c r="D67" s="413">
        <v>4500162622</v>
      </c>
      <c r="E67" s="412" t="s">
        <v>461</v>
      </c>
      <c r="F67" s="411" t="s">
        <v>462</v>
      </c>
      <c r="G67" s="414" t="s">
        <v>463</v>
      </c>
      <c r="H67" s="411" t="s">
        <v>464</v>
      </c>
      <c r="I67" s="415">
        <v>540</v>
      </c>
      <c r="J67" s="415">
        <v>27</v>
      </c>
      <c r="K67" s="415">
        <v>54</v>
      </c>
      <c r="L67" s="415">
        <f t="shared" si="24"/>
        <v>10</v>
      </c>
      <c r="M67" s="416">
        <v>45804</v>
      </c>
      <c r="N67" s="416">
        <v>45803</v>
      </c>
      <c r="O67" s="417"/>
      <c r="P67" s="417" t="s">
        <v>224</v>
      </c>
      <c r="Q67" s="417" t="s">
        <v>465</v>
      </c>
      <c r="R67" s="417">
        <v>45761</v>
      </c>
      <c r="S67" s="417" t="s">
        <v>80</v>
      </c>
      <c r="T67" s="417" t="s">
        <v>80</v>
      </c>
      <c r="U67" s="417"/>
      <c r="V67" s="420" t="s">
        <v>466</v>
      </c>
      <c r="W67" s="416" t="s">
        <v>467</v>
      </c>
      <c r="X67" s="421">
        <v>0.9779</v>
      </c>
      <c r="Y67" s="415">
        <f t="shared" si="154"/>
        <v>528.066</v>
      </c>
      <c r="Z67" s="416"/>
      <c r="AA67" s="420">
        <v>540</v>
      </c>
      <c r="AB67" s="420">
        <f t="shared" si="6"/>
        <v>0</v>
      </c>
      <c r="AC67" s="417" t="s">
        <v>80</v>
      </c>
      <c r="AD67" s="417" t="s">
        <v>114</v>
      </c>
      <c r="AE67" s="416" t="s">
        <v>463</v>
      </c>
      <c r="AF67" s="416" t="s">
        <v>115</v>
      </c>
      <c r="AG67" s="422">
        <f t="shared" si="142"/>
        <v>540</v>
      </c>
      <c r="AH67" s="422">
        <f t="shared" si="143"/>
        <v>540</v>
      </c>
      <c r="AJ67" s="422"/>
      <c r="AK67" s="422">
        <f>I67</f>
        <v>540</v>
      </c>
      <c r="AL67" s="422"/>
      <c r="AM67" s="422"/>
      <c r="AN67" s="422"/>
      <c r="AO67" s="422">
        <f t="shared" si="144"/>
        <v>540</v>
      </c>
      <c r="AP67" s="422"/>
      <c r="AQ67" s="422">
        <f>I67/27</f>
        <v>20</v>
      </c>
      <c r="AR67" s="422"/>
      <c r="AS67" s="422"/>
      <c r="AT67" s="422"/>
      <c r="AU67" s="422"/>
      <c r="AV67" s="422"/>
      <c r="AW67" s="422"/>
      <c r="AX67" s="422"/>
      <c r="AY67" s="422"/>
      <c r="AZ67" s="422"/>
      <c r="BA67" s="422"/>
      <c r="BB67" s="422"/>
      <c r="BC67" s="422"/>
      <c r="BD67" s="422"/>
      <c r="BE67" s="422"/>
      <c r="BF67" s="422"/>
      <c r="BG67" s="422"/>
      <c r="BH67" s="422"/>
      <c r="BI67" s="422"/>
      <c r="BJ67" s="423">
        <f t="shared" ref="BJ67:BR67" si="169">$I67*BJ$2</f>
        <v>66.0937499999998</v>
      </c>
      <c r="BK67" s="423">
        <f t="shared" si="169"/>
        <v>66.0937499999998</v>
      </c>
      <c r="BL67" s="423">
        <f t="shared" si="169"/>
        <v>66.0937499999998</v>
      </c>
      <c r="BM67" s="423">
        <f t="shared" si="169"/>
        <v>66.0937499999998</v>
      </c>
      <c r="BN67" s="423">
        <f t="shared" si="169"/>
        <v>66.0937499999998</v>
      </c>
      <c r="BO67" s="423">
        <f t="shared" si="169"/>
        <v>66.0937499999998</v>
      </c>
      <c r="BP67" s="423">
        <f t="shared" si="169"/>
        <v>66.0937499999998</v>
      </c>
      <c r="BQ67" s="423">
        <f t="shared" si="169"/>
        <v>66.0937499999998</v>
      </c>
      <c r="BR67" s="423">
        <f t="shared" si="169"/>
        <v>11.25</v>
      </c>
      <c r="BT67" s="59">
        <f t="shared" ref="BT67:CB67" si="170">BT66-BJ67</f>
        <v>110210.6015625</v>
      </c>
      <c r="BU67" s="59">
        <f t="shared" si="170"/>
        <v>110210.6015625</v>
      </c>
      <c r="BV67" s="59">
        <f t="shared" si="170"/>
        <v>110210.6015625</v>
      </c>
      <c r="BW67" s="59">
        <f t="shared" si="170"/>
        <v>110210.6015625</v>
      </c>
      <c r="BX67" s="59">
        <f t="shared" si="170"/>
        <v>110210.6015625</v>
      </c>
      <c r="BY67" s="59">
        <f t="shared" si="170"/>
        <v>110210.6015625</v>
      </c>
      <c r="BZ67" s="59">
        <f t="shared" si="170"/>
        <v>110210.6015625</v>
      </c>
      <c r="CA67" s="59">
        <f t="shared" si="170"/>
        <v>110210.6015625</v>
      </c>
      <c r="CB67" s="59">
        <f t="shared" si="170"/>
        <v>18711.1875</v>
      </c>
    </row>
    <row r="68" s="371" customFormat="1" ht="27" hidden="1" customHeight="1" spans="1:87">
      <c r="A68" s="410">
        <v>45771</v>
      </c>
      <c r="B68" s="411" t="s">
        <v>468</v>
      </c>
      <c r="C68" s="412" t="s">
        <v>129</v>
      </c>
      <c r="D68" s="413">
        <v>4500164783</v>
      </c>
      <c r="E68" s="412">
        <v>5200006663</v>
      </c>
      <c r="F68" s="411" t="s">
        <v>469</v>
      </c>
      <c r="G68" s="414" t="s">
        <v>470</v>
      </c>
      <c r="H68" s="411" t="s">
        <v>132</v>
      </c>
      <c r="I68" s="415">
        <v>1458</v>
      </c>
      <c r="J68" s="415">
        <v>0</v>
      </c>
      <c r="K68" s="415">
        <v>27</v>
      </c>
      <c r="L68" s="415">
        <f t="shared" si="24"/>
        <v>54</v>
      </c>
      <c r="M68" s="416">
        <v>45804</v>
      </c>
      <c r="N68" s="416">
        <v>45803</v>
      </c>
      <c r="O68" s="417"/>
      <c r="P68" s="417" t="s">
        <v>107</v>
      </c>
      <c r="Q68" s="417" t="s">
        <v>425</v>
      </c>
      <c r="R68" s="417">
        <v>45772</v>
      </c>
      <c r="S68" s="417" t="s">
        <v>80</v>
      </c>
      <c r="T68" s="417" t="s">
        <v>80</v>
      </c>
      <c r="U68" s="417"/>
      <c r="V68" s="420" t="s">
        <v>471</v>
      </c>
      <c r="W68" s="416" t="s">
        <v>472</v>
      </c>
      <c r="X68" s="421">
        <v>0.7581</v>
      </c>
      <c r="Y68" s="415">
        <f t="shared" si="154"/>
        <v>1105.3098</v>
      </c>
      <c r="Z68" s="416"/>
      <c r="AA68" s="420">
        <f>1458</f>
        <v>1458</v>
      </c>
      <c r="AB68" s="420">
        <f t="shared" si="6"/>
        <v>0</v>
      </c>
      <c r="AC68" s="417" t="s">
        <v>113</v>
      </c>
      <c r="AD68" s="417" t="s">
        <v>114</v>
      </c>
      <c r="AE68" s="416" t="s">
        <v>434</v>
      </c>
      <c r="AF68" s="416" t="s">
        <v>115</v>
      </c>
      <c r="AG68" s="422">
        <f t="shared" si="142"/>
        <v>1458</v>
      </c>
      <c r="AH68" s="422">
        <f t="shared" si="143"/>
        <v>1458</v>
      </c>
      <c r="AJ68" s="422"/>
      <c r="AK68" s="422"/>
      <c r="AL68" s="422">
        <f t="shared" ref="AL68:AL70" si="171">I68</f>
        <v>1458</v>
      </c>
      <c r="AM68" s="422"/>
      <c r="AN68" s="422"/>
      <c r="AO68" s="422">
        <f t="shared" si="144"/>
        <v>1458</v>
      </c>
      <c r="AP68" s="422"/>
      <c r="AQ68" s="422"/>
      <c r="AR68" s="422">
        <f t="shared" ref="AR68:AR73" si="172">I68/27</f>
        <v>54</v>
      </c>
      <c r="AS68" s="422"/>
      <c r="AT68" s="422"/>
      <c r="AU68" s="422"/>
      <c r="AV68" s="422"/>
      <c r="AW68" s="422"/>
      <c r="AX68" s="422"/>
      <c r="AY68" s="422"/>
      <c r="AZ68" s="422"/>
      <c r="BA68" s="422"/>
      <c r="BB68" s="422"/>
      <c r="BC68" s="422"/>
      <c r="BD68" s="422"/>
      <c r="BE68" s="422"/>
      <c r="BF68" s="422"/>
      <c r="BG68" s="422"/>
      <c r="BH68" s="422"/>
      <c r="BI68" s="422"/>
      <c r="BJ68" s="423">
        <f t="shared" ref="BJ68:BR68" si="173">$I68*BJ$2</f>
        <v>178.453125</v>
      </c>
      <c r="BK68" s="423">
        <f t="shared" si="173"/>
        <v>178.453125</v>
      </c>
      <c r="BL68" s="423">
        <f t="shared" si="173"/>
        <v>178.453125</v>
      </c>
      <c r="BM68" s="423">
        <f t="shared" si="173"/>
        <v>178.453125</v>
      </c>
      <c r="BN68" s="423">
        <f t="shared" si="173"/>
        <v>178.453125</v>
      </c>
      <c r="BO68" s="423">
        <f t="shared" si="173"/>
        <v>178.453125</v>
      </c>
      <c r="BP68" s="423">
        <f t="shared" si="173"/>
        <v>178.453125</v>
      </c>
      <c r="BQ68" s="423">
        <f t="shared" si="173"/>
        <v>178.453125</v>
      </c>
      <c r="BR68" s="423">
        <f t="shared" si="173"/>
        <v>30.375</v>
      </c>
      <c r="BT68" s="59">
        <f t="shared" ref="BT68:CB68" si="174">BT67-BJ68</f>
        <v>110032.1484375</v>
      </c>
      <c r="BU68" s="59">
        <f t="shared" si="174"/>
        <v>110032.1484375</v>
      </c>
      <c r="BV68" s="59">
        <f t="shared" si="174"/>
        <v>110032.1484375</v>
      </c>
      <c r="BW68" s="59">
        <f t="shared" si="174"/>
        <v>110032.1484375</v>
      </c>
      <c r="BX68" s="59">
        <f t="shared" si="174"/>
        <v>110032.1484375</v>
      </c>
      <c r="BY68" s="59">
        <f t="shared" si="174"/>
        <v>110032.1484375</v>
      </c>
      <c r="BZ68" s="59">
        <f t="shared" si="174"/>
        <v>110032.1484375</v>
      </c>
      <c r="CA68" s="59">
        <f t="shared" si="174"/>
        <v>110032.1484375</v>
      </c>
      <c r="CB68" s="59">
        <f t="shared" si="174"/>
        <v>18680.8125</v>
      </c>
    </row>
    <row r="69" s="371" customFormat="1" ht="27" hidden="1" customHeight="1" spans="1:87">
      <c r="A69" s="410">
        <v>45765</v>
      </c>
      <c r="B69" s="411" t="s">
        <v>473</v>
      </c>
      <c r="C69" s="412" t="s">
        <v>474</v>
      </c>
      <c r="D69" s="413">
        <v>4500164226</v>
      </c>
      <c r="E69" s="412" t="s">
        <v>475</v>
      </c>
      <c r="F69" s="411" t="s">
        <v>476</v>
      </c>
      <c r="G69" s="414" t="s">
        <v>131</v>
      </c>
      <c r="H69" s="411" t="s">
        <v>132</v>
      </c>
      <c r="I69" s="415">
        <v>729</v>
      </c>
      <c r="J69" s="415">
        <v>0</v>
      </c>
      <c r="K69" s="415">
        <v>27</v>
      </c>
      <c r="L69" s="415">
        <f t="shared" si="24"/>
        <v>27</v>
      </c>
      <c r="M69" s="416">
        <v>45811</v>
      </c>
      <c r="N69" s="416">
        <v>45807</v>
      </c>
      <c r="O69" s="417" t="s">
        <v>477</v>
      </c>
      <c r="P69" s="417" t="s">
        <v>224</v>
      </c>
      <c r="Q69" s="417" t="s">
        <v>478</v>
      </c>
      <c r="R69" s="417">
        <v>45772</v>
      </c>
      <c r="S69" s="417" t="s">
        <v>80</v>
      </c>
      <c r="T69" s="417" t="s">
        <v>479</v>
      </c>
      <c r="U69" s="417"/>
      <c r="V69" s="420" t="s">
        <v>480</v>
      </c>
      <c r="W69" s="416" t="s">
        <v>459</v>
      </c>
      <c r="X69" s="421">
        <v>0.7792</v>
      </c>
      <c r="Y69" s="415">
        <f t="shared" si="154"/>
        <v>568.0368</v>
      </c>
      <c r="Z69" s="416"/>
      <c r="AA69" s="420">
        <v>729</v>
      </c>
      <c r="AB69" s="420">
        <f t="shared" si="6"/>
        <v>0</v>
      </c>
      <c r="AC69" s="417" t="s">
        <v>113</v>
      </c>
      <c r="AD69" s="417" t="s">
        <v>114</v>
      </c>
      <c r="AE69" s="416" t="s">
        <v>434</v>
      </c>
      <c r="AF69" s="416" t="s">
        <v>115</v>
      </c>
      <c r="AG69" s="422">
        <f t="shared" si="142"/>
        <v>729</v>
      </c>
      <c r="AH69" s="422">
        <f t="shared" si="143"/>
        <v>729</v>
      </c>
      <c r="AJ69" s="422"/>
      <c r="AK69" s="422"/>
      <c r="AL69" s="422">
        <f t="shared" si="171"/>
        <v>729</v>
      </c>
      <c r="AM69" s="422"/>
      <c r="AN69" s="422"/>
      <c r="AO69" s="422">
        <f t="shared" si="144"/>
        <v>729</v>
      </c>
      <c r="AP69" s="422"/>
      <c r="AQ69" s="422"/>
      <c r="AR69" s="422">
        <f t="shared" si="172"/>
        <v>27</v>
      </c>
      <c r="AS69" s="422"/>
      <c r="AT69" s="422"/>
      <c r="AU69" s="422"/>
      <c r="AV69" s="422"/>
      <c r="AW69" s="422"/>
      <c r="AX69" s="422"/>
      <c r="AY69" s="422"/>
      <c r="AZ69" s="422"/>
      <c r="BA69" s="422"/>
      <c r="BB69" s="422"/>
      <c r="BC69" s="422"/>
      <c r="BD69" s="422"/>
      <c r="BE69" s="422"/>
      <c r="BF69" s="422"/>
      <c r="BG69" s="422"/>
      <c r="BH69" s="422"/>
      <c r="BI69" s="422"/>
      <c r="BJ69" s="423">
        <f t="shared" ref="BJ69:BR69" si="175">$I69*BJ$2</f>
        <v>89.2265624999998</v>
      </c>
      <c r="BK69" s="423">
        <f t="shared" si="175"/>
        <v>89.2265624999998</v>
      </c>
      <c r="BL69" s="423">
        <f t="shared" si="175"/>
        <v>89.2265624999998</v>
      </c>
      <c r="BM69" s="423">
        <f t="shared" si="175"/>
        <v>89.2265624999998</v>
      </c>
      <c r="BN69" s="423">
        <f t="shared" si="175"/>
        <v>89.2265624999998</v>
      </c>
      <c r="BO69" s="423">
        <f t="shared" si="175"/>
        <v>89.2265624999998</v>
      </c>
      <c r="BP69" s="423">
        <f t="shared" si="175"/>
        <v>89.2265624999998</v>
      </c>
      <c r="BQ69" s="423">
        <f t="shared" si="175"/>
        <v>89.2265624999998</v>
      </c>
      <c r="BR69" s="423">
        <f t="shared" si="175"/>
        <v>15.1875</v>
      </c>
      <c r="BT69" s="59">
        <f t="shared" ref="BT69:CB69" si="176">BT68-BJ69</f>
        <v>109942.921875</v>
      </c>
      <c r="BU69" s="59">
        <f t="shared" si="176"/>
        <v>109942.921875</v>
      </c>
      <c r="BV69" s="59">
        <f t="shared" si="176"/>
        <v>109942.921875</v>
      </c>
      <c r="BW69" s="59">
        <f t="shared" si="176"/>
        <v>109942.921875</v>
      </c>
      <c r="BX69" s="59">
        <f t="shared" si="176"/>
        <v>109942.921875</v>
      </c>
      <c r="BY69" s="59">
        <f t="shared" si="176"/>
        <v>109942.921875</v>
      </c>
      <c r="BZ69" s="59">
        <f t="shared" si="176"/>
        <v>109942.921875</v>
      </c>
      <c r="CA69" s="59">
        <f t="shared" si="176"/>
        <v>109942.921875</v>
      </c>
      <c r="CB69" s="59">
        <f t="shared" si="176"/>
        <v>18665.625</v>
      </c>
    </row>
    <row r="70" s="371" customFormat="1" ht="27" hidden="1" customHeight="1" spans="1:87">
      <c r="A70" s="410">
        <v>45765</v>
      </c>
      <c r="B70" s="411" t="s">
        <v>473</v>
      </c>
      <c r="C70" s="412" t="s">
        <v>474</v>
      </c>
      <c r="D70" s="413">
        <v>4500164226</v>
      </c>
      <c r="E70" s="412" t="s">
        <v>475</v>
      </c>
      <c r="F70" s="411" t="s">
        <v>481</v>
      </c>
      <c r="G70" s="414" t="s">
        <v>424</v>
      </c>
      <c r="H70" s="411" t="s">
        <v>174</v>
      </c>
      <c r="I70" s="415">
        <v>462</v>
      </c>
      <c r="J70" s="415">
        <v>0</v>
      </c>
      <c r="K70" s="415">
        <v>33</v>
      </c>
      <c r="L70" s="415">
        <f t="shared" si="24"/>
        <v>14</v>
      </c>
      <c r="M70" s="416">
        <v>45811</v>
      </c>
      <c r="N70" s="416">
        <v>45807</v>
      </c>
      <c r="O70" s="417" t="s">
        <v>477</v>
      </c>
      <c r="P70" s="417" t="s">
        <v>224</v>
      </c>
      <c r="Q70" s="417" t="s">
        <v>478</v>
      </c>
      <c r="R70" s="417">
        <v>45772</v>
      </c>
      <c r="S70" s="417" t="s">
        <v>80</v>
      </c>
      <c r="T70" s="417" t="s">
        <v>482</v>
      </c>
      <c r="U70" s="417"/>
      <c r="V70" s="420" t="s">
        <v>483</v>
      </c>
      <c r="W70" s="416" t="s">
        <v>459</v>
      </c>
      <c r="X70" s="421">
        <v>38.3485</v>
      </c>
      <c r="Y70" s="415">
        <f>X70*L70</f>
        <v>536.879</v>
      </c>
      <c r="Z70" s="416"/>
      <c r="AA70" s="420">
        <v>462</v>
      </c>
      <c r="AB70" s="420">
        <f t="shared" si="6"/>
        <v>0</v>
      </c>
      <c r="AC70" s="417" t="s">
        <v>113</v>
      </c>
      <c r="AD70" s="417" t="s">
        <v>114</v>
      </c>
      <c r="AE70" s="414" t="s">
        <v>484</v>
      </c>
      <c r="AF70" s="416" t="s">
        <v>115</v>
      </c>
      <c r="AG70" s="422">
        <f t="shared" si="142"/>
        <v>462</v>
      </c>
      <c r="AH70" s="422">
        <f t="shared" si="143"/>
        <v>462</v>
      </c>
      <c r="AJ70" s="422"/>
      <c r="AK70" s="422"/>
      <c r="AL70" s="422">
        <f t="shared" si="171"/>
        <v>462</v>
      </c>
      <c r="AM70" s="422"/>
      <c r="AN70" s="422"/>
      <c r="AO70" s="422">
        <f t="shared" si="144"/>
        <v>462</v>
      </c>
      <c r="AP70" s="422"/>
      <c r="AQ70" s="422"/>
      <c r="AR70" s="422"/>
      <c r="AS70" s="422"/>
      <c r="AT70" s="422"/>
      <c r="AU70" s="422"/>
      <c r="AV70" s="422"/>
      <c r="AW70" s="422"/>
      <c r="AX70" s="422"/>
      <c r="AY70" s="422"/>
      <c r="AZ70" s="422"/>
      <c r="BA70" s="422"/>
      <c r="BB70" s="422"/>
      <c r="BC70" s="422"/>
      <c r="BD70" s="422">
        <f>I70/33</f>
        <v>14</v>
      </c>
      <c r="BE70" s="422">
        <f>BD70</f>
        <v>14</v>
      </c>
      <c r="BF70" s="422"/>
      <c r="BG70" s="422"/>
      <c r="BH70" s="422"/>
      <c r="BI70" s="422"/>
      <c r="BJ70" s="423">
        <f t="shared" ref="BJ70:BR70" si="177">$I70*BJ$2</f>
        <v>56.5468749999998</v>
      </c>
      <c r="BK70" s="423">
        <f t="shared" si="177"/>
        <v>56.5468749999998</v>
      </c>
      <c r="BL70" s="423">
        <f t="shared" si="177"/>
        <v>56.5468749999998</v>
      </c>
      <c r="BM70" s="423">
        <f t="shared" si="177"/>
        <v>56.5468749999998</v>
      </c>
      <c r="BN70" s="423">
        <f t="shared" si="177"/>
        <v>56.5468749999998</v>
      </c>
      <c r="BO70" s="423">
        <f t="shared" si="177"/>
        <v>56.5468749999998</v>
      </c>
      <c r="BP70" s="423">
        <f t="shared" si="177"/>
        <v>56.5468749999998</v>
      </c>
      <c r="BQ70" s="423">
        <f t="shared" si="177"/>
        <v>56.5468749999998</v>
      </c>
      <c r="BR70" s="423">
        <f t="shared" si="177"/>
        <v>9.62499999999999</v>
      </c>
      <c r="BT70" s="59">
        <f t="shared" ref="BT70:CB70" si="178">BT69-BJ70</f>
        <v>109886.375</v>
      </c>
      <c r="BU70" s="59">
        <f t="shared" si="178"/>
        <v>109886.375</v>
      </c>
      <c r="BV70" s="59">
        <f t="shared" si="178"/>
        <v>109886.375</v>
      </c>
      <c r="BW70" s="59">
        <f t="shared" si="178"/>
        <v>109886.375</v>
      </c>
      <c r="BX70" s="59">
        <f t="shared" si="178"/>
        <v>109886.375</v>
      </c>
      <c r="BY70" s="59">
        <f t="shared" si="178"/>
        <v>109886.375</v>
      </c>
      <c r="BZ70" s="59">
        <f t="shared" si="178"/>
        <v>109886.375</v>
      </c>
      <c r="CA70" s="59">
        <f t="shared" si="178"/>
        <v>109886.375</v>
      </c>
      <c r="CB70" s="59">
        <f t="shared" si="178"/>
        <v>18656</v>
      </c>
    </row>
    <row r="71" s="372" customFormat="1" ht="27" hidden="1" customHeight="1" spans="1:87">
      <c r="A71" s="428">
        <v>45701</v>
      </c>
      <c r="B71" s="429" t="s">
        <v>169</v>
      </c>
      <c r="C71" s="430" t="s">
        <v>170</v>
      </c>
      <c r="D71" s="431">
        <v>4500157534</v>
      </c>
      <c r="E71" s="435" t="s">
        <v>485</v>
      </c>
      <c r="F71" s="429" t="s">
        <v>486</v>
      </c>
      <c r="G71" s="432" t="s">
        <v>152</v>
      </c>
      <c r="H71" s="429" t="s">
        <v>153</v>
      </c>
      <c r="I71" s="433">
        <v>156</v>
      </c>
      <c r="J71" s="433">
        <v>0</v>
      </c>
      <c r="K71" s="433">
        <v>13</v>
      </c>
      <c r="L71" s="433">
        <f t="shared" si="24"/>
        <v>12</v>
      </c>
      <c r="M71" s="434">
        <v>45731</v>
      </c>
      <c r="N71" s="434">
        <v>45813</v>
      </c>
      <c r="O71" s="435"/>
      <c r="P71" s="435" t="s">
        <v>224</v>
      </c>
      <c r="Q71" s="435" t="s">
        <v>487</v>
      </c>
      <c r="R71" s="435" t="s">
        <v>488</v>
      </c>
      <c r="S71" s="435" t="s">
        <v>191</v>
      </c>
      <c r="T71" s="435" t="s">
        <v>489</v>
      </c>
      <c r="U71" s="435"/>
      <c r="V71" s="438" t="s">
        <v>490</v>
      </c>
      <c r="W71" s="434" t="s">
        <v>178</v>
      </c>
      <c r="X71" s="421">
        <v>0.7812</v>
      </c>
      <c r="Y71" s="433">
        <f t="shared" ref="Y71:Y75" si="179">X71*I71</f>
        <v>121.8672</v>
      </c>
      <c r="Z71" s="498"/>
      <c r="AA71" s="438">
        <v>156</v>
      </c>
      <c r="AB71" s="438">
        <f t="shared" si="6"/>
        <v>0</v>
      </c>
      <c r="AC71" s="435" t="s">
        <v>113</v>
      </c>
      <c r="AD71" s="435" t="s">
        <v>491</v>
      </c>
      <c r="AE71" s="434" t="s">
        <v>152</v>
      </c>
      <c r="AF71" s="434" t="s">
        <v>115</v>
      </c>
      <c r="AG71" s="441"/>
      <c r="AH71" s="441"/>
      <c r="AI71" s="441"/>
      <c r="AJ71" s="441"/>
      <c r="AK71" s="441"/>
      <c r="AL71" s="441"/>
      <c r="AM71" s="441"/>
      <c r="AN71" s="441"/>
      <c r="AO71" s="441"/>
      <c r="AP71" s="441"/>
      <c r="AQ71" s="441"/>
      <c r="AR71" s="441"/>
      <c r="AS71" s="441"/>
      <c r="AT71" s="441"/>
      <c r="AU71" s="441"/>
      <c r="AV71" s="441"/>
      <c r="AW71" s="441"/>
      <c r="AX71" s="441"/>
      <c r="AY71" s="441"/>
      <c r="AZ71" s="441"/>
      <c r="BA71" s="441"/>
      <c r="BB71" s="441"/>
      <c r="BC71" s="441"/>
      <c r="BD71" s="441"/>
      <c r="BE71" s="441"/>
      <c r="BF71" s="441"/>
      <c r="BG71" s="441"/>
      <c r="BH71" s="441"/>
      <c r="BI71" s="441"/>
      <c r="BJ71" s="59">
        <f t="shared" ref="BJ71:BR71" si="180">$I71*BJ$2</f>
        <v>19.0937499999999</v>
      </c>
      <c r="BK71" s="59">
        <f t="shared" si="180"/>
        <v>19.0937499999999</v>
      </c>
      <c r="BL71" s="59">
        <f t="shared" si="180"/>
        <v>19.0937499999999</v>
      </c>
      <c r="BM71" s="59">
        <f t="shared" si="180"/>
        <v>19.0937499999999</v>
      </c>
      <c r="BN71" s="59">
        <f t="shared" si="180"/>
        <v>19.0937499999999</v>
      </c>
      <c r="BO71" s="59">
        <f t="shared" si="180"/>
        <v>19.0937499999999</v>
      </c>
      <c r="BP71" s="59">
        <f t="shared" si="180"/>
        <v>19.0937499999999</v>
      </c>
      <c r="BQ71" s="59">
        <f t="shared" si="180"/>
        <v>19.0937499999999</v>
      </c>
      <c r="BR71" s="59">
        <f t="shared" si="180"/>
        <v>3.24999999999999</v>
      </c>
      <c r="BT71" s="59">
        <f t="shared" ref="BT71:CB71" si="181">BT70-BJ71</f>
        <v>109867.28125</v>
      </c>
      <c r="BU71" s="59">
        <f t="shared" si="181"/>
        <v>109867.28125</v>
      </c>
      <c r="BV71" s="59">
        <f t="shared" si="181"/>
        <v>109867.28125</v>
      </c>
      <c r="BW71" s="59">
        <f t="shared" si="181"/>
        <v>109867.28125</v>
      </c>
      <c r="BX71" s="59">
        <f t="shared" si="181"/>
        <v>109867.28125</v>
      </c>
      <c r="BY71" s="59">
        <f t="shared" si="181"/>
        <v>109867.28125</v>
      </c>
      <c r="BZ71" s="59">
        <f t="shared" si="181"/>
        <v>109867.28125</v>
      </c>
      <c r="CA71" s="59">
        <f t="shared" si="181"/>
        <v>109867.28125</v>
      </c>
      <c r="CB71" s="59">
        <f t="shared" si="181"/>
        <v>18652.75</v>
      </c>
    </row>
    <row r="72" s="372" customFormat="1" ht="27" hidden="1" customHeight="1" spans="1:87">
      <c r="A72" s="428">
        <v>45775</v>
      </c>
      <c r="B72" s="429" t="s">
        <v>492</v>
      </c>
      <c r="C72" s="430" t="s">
        <v>493</v>
      </c>
      <c r="D72" s="431">
        <v>4500164939</v>
      </c>
      <c r="E72" s="430" t="s">
        <v>494</v>
      </c>
      <c r="F72" s="429" t="s">
        <v>495</v>
      </c>
      <c r="G72" s="432" t="s">
        <v>188</v>
      </c>
      <c r="H72" s="429" t="s">
        <v>120</v>
      </c>
      <c r="I72" s="433">
        <v>744</v>
      </c>
      <c r="J72" s="433">
        <v>0</v>
      </c>
      <c r="K72" s="433">
        <v>12</v>
      </c>
      <c r="L72" s="433">
        <f t="shared" si="24"/>
        <v>62</v>
      </c>
      <c r="M72" s="434">
        <v>45806</v>
      </c>
      <c r="N72" s="434">
        <v>45811</v>
      </c>
      <c r="O72" s="435"/>
      <c r="P72" s="435" t="s">
        <v>224</v>
      </c>
      <c r="Q72" s="435" t="s">
        <v>496</v>
      </c>
      <c r="R72" s="435">
        <v>45777</v>
      </c>
      <c r="S72" s="435" t="s">
        <v>191</v>
      </c>
      <c r="T72" s="435" t="s">
        <v>497</v>
      </c>
      <c r="U72" s="435"/>
      <c r="V72" s="438" t="s">
        <v>498</v>
      </c>
      <c r="W72" s="434" t="s">
        <v>194</v>
      </c>
      <c r="X72" s="421">
        <v>1.8228</v>
      </c>
      <c r="Y72" s="433">
        <f t="shared" si="179"/>
        <v>1356.1632</v>
      </c>
      <c r="Z72" s="434"/>
      <c r="AA72" s="438">
        <v>744</v>
      </c>
      <c r="AB72" s="438">
        <f t="shared" ref="AB72:AB104" si="182">AA72-I72</f>
        <v>0</v>
      </c>
      <c r="AC72" s="435" t="s">
        <v>113</v>
      </c>
      <c r="AD72" s="435" t="s">
        <v>114</v>
      </c>
      <c r="AE72" s="434" t="s">
        <v>188</v>
      </c>
      <c r="AF72" s="434" t="s">
        <v>115</v>
      </c>
      <c r="AG72" s="441">
        <f>I72*2</f>
        <v>1488</v>
      </c>
      <c r="AH72" s="441">
        <f>I72*2</f>
        <v>1488</v>
      </c>
      <c r="AJ72" s="441"/>
      <c r="AK72" s="441"/>
      <c r="AL72" s="441">
        <f>I72*2</f>
        <v>1488</v>
      </c>
      <c r="AM72" s="441"/>
      <c r="AN72" s="441"/>
      <c r="AO72" s="441">
        <f>I72*2</f>
        <v>1488</v>
      </c>
      <c r="AP72" s="441"/>
      <c r="AQ72" s="441"/>
      <c r="AR72" s="441"/>
      <c r="AS72" s="441"/>
      <c r="AT72" s="441"/>
      <c r="AU72" s="441"/>
      <c r="AV72" s="441"/>
      <c r="AW72" s="441"/>
      <c r="AX72" s="441"/>
      <c r="AY72" s="441"/>
      <c r="AZ72" s="441"/>
      <c r="BA72" s="441"/>
      <c r="BB72" s="441"/>
      <c r="BC72" s="441"/>
      <c r="BD72" s="441"/>
      <c r="BE72" s="441"/>
      <c r="BF72" s="441">
        <f>I72</f>
        <v>744</v>
      </c>
      <c r="BG72" s="441">
        <f>I72</f>
        <v>744</v>
      </c>
      <c r="BH72" s="441"/>
      <c r="BI72" s="441"/>
      <c r="BJ72" s="59">
        <f t="shared" ref="BJ72:BR72" si="183">$I72*BJ$2*2</f>
        <v>182.124999999999</v>
      </c>
      <c r="BK72" s="59">
        <f t="shared" si="183"/>
        <v>182.124999999999</v>
      </c>
      <c r="BL72" s="59">
        <f t="shared" si="183"/>
        <v>182.124999999999</v>
      </c>
      <c r="BM72" s="59">
        <f t="shared" si="183"/>
        <v>182.124999999999</v>
      </c>
      <c r="BN72" s="59">
        <f t="shared" si="183"/>
        <v>182.124999999999</v>
      </c>
      <c r="BO72" s="59">
        <f t="shared" si="183"/>
        <v>182.124999999999</v>
      </c>
      <c r="BP72" s="59">
        <f t="shared" si="183"/>
        <v>182.124999999999</v>
      </c>
      <c r="BQ72" s="59">
        <f t="shared" si="183"/>
        <v>182.124999999999</v>
      </c>
      <c r="BR72" s="59">
        <f t="shared" si="183"/>
        <v>31</v>
      </c>
      <c r="BT72" s="59">
        <f t="shared" ref="BT72:CB72" si="184">BT71-BJ72</f>
        <v>109685.15625</v>
      </c>
      <c r="BU72" s="59">
        <f t="shared" si="184"/>
        <v>109685.15625</v>
      </c>
      <c r="BV72" s="59">
        <f t="shared" si="184"/>
        <v>109685.15625</v>
      </c>
      <c r="BW72" s="59">
        <f t="shared" si="184"/>
        <v>109685.15625</v>
      </c>
      <c r="BX72" s="59">
        <f t="shared" si="184"/>
        <v>109685.15625</v>
      </c>
      <c r="BY72" s="59">
        <f t="shared" si="184"/>
        <v>109685.15625</v>
      </c>
      <c r="BZ72" s="59">
        <f t="shared" si="184"/>
        <v>109685.15625</v>
      </c>
      <c r="CA72" s="59">
        <f t="shared" si="184"/>
        <v>109685.15625</v>
      </c>
      <c r="CB72" s="59">
        <f t="shared" si="184"/>
        <v>18621.75</v>
      </c>
      <c r="CD72" s="504" t="s">
        <v>499</v>
      </c>
      <c r="CH72" s="372">
        <f>CH94-I72</f>
        <v>8752</v>
      </c>
      <c r="CI72" s="372">
        <f>CI94-I72</f>
        <v>3752</v>
      </c>
    </row>
    <row r="73" s="372" customFormat="1" ht="27" hidden="1" customHeight="1" spans="1:87">
      <c r="A73" s="428">
        <v>45740</v>
      </c>
      <c r="B73" s="429" t="s">
        <v>500</v>
      </c>
      <c r="C73" s="430" t="s">
        <v>129</v>
      </c>
      <c r="D73" s="431">
        <v>4500161168</v>
      </c>
      <c r="E73" s="430">
        <v>10349100</v>
      </c>
      <c r="F73" s="429" t="s">
        <v>501</v>
      </c>
      <c r="G73" s="432" t="s">
        <v>78</v>
      </c>
      <c r="H73" s="429" t="s">
        <v>79</v>
      </c>
      <c r="I73" s="433">
        <v>2754</v>
      </c>
      <c r="J73" s="433">
        <v>0</v>
      </c>
      <c r="K73" s="433">
        <v>54</v>
      </c>
      <c r="L73" s="433">
        <f t="shared" si="24"/>
        <v>51</v>
      </c>
      <c r="M73" s="434">
        <v>45807</v>
      </c>
      <c r="N73" s="434">
        <v>45811</v>
      </c>
      <c r="O73" s="435"/>
      <c r="P73" s="417" t="s">
        <v>107</v>
      </c>
      <c r="Q73" s="435" t="s">
        <v>502</v>
      </c>
      <c r="R73" s="435">
        <v>45772</v>
      </c>
      <c r="S73" s="435" t="s">
        <v>80</v>
      </c>
      <c r="T73" s="435" t="s">
        <v>503</v>
      </c>
      <c r="U73" s="435" t="s">
        <v>156</v>
      </c>
      <c r="V73" s="438" t="s">
        <v>504</v>
      </c>
      <c r="W73" s="498" t="s">
        <v>505</v>
      </c>
      <c r="X73" s="421">
        <v>0.7913</v>
      </c>
      <c r="Y73" s="433">
        <f t="shared" si="179"/>
        <v>2179.2402</v>
      </c>
      <c r="Z73" s="434"/>
      <c r="AA73" s="438">
        <v>2754</v>
      </c>
      <c r="AB73" s="438">
        <f t="shared" si="182"/>
        <v>0</v>
      </c>
      <c r="AC73" s="435" t="s">
        <v>113</v>
      </c>
      <c r="AD73" s="435" t="s">
        <v>114</v>
      </c>
      <c r="AE73" s="434" t="s">
        <v>78</v>
      </c>
      <c r="AF73" s="434" t="s">
        <v>115</v>
      </c>
      <c r="AG73" s="441">
        <f t="shared" ref="AG73:AG93" si="185">I73</f>
        <v>2754</v>
      </c>
      <c r="AH73" s="441">
        <f t="shared" ref="AH73:AH93" si="186">I73</f>
        <v>2754</v>
      </c>
      <c r="AI73" s="441"/>
      <c r="AJ73" s="441"/>
      <c r="AL73" s="441">
        <f t="shared" ref="AL73:AL76" si="187">I73</f>
        <v>2754</v>
      </c>
      <c r="AM73" s="441"/>
      <c r="AN73" s="441"/>
      <c r="AO73" s="441">
        <f t="shared" ref="AO73:AO84" si="188">I73</f>
        <v>2754</v>
      </c>
      <c r="AP73" s="441"/>
      <c r="AQ73" s="441"/>
      <c r="AR73" s="441">
        <f t="shared" si="172"/>
        <v>102</v>
      </c>
      <c r="AS73" s="441"/>
      <c r="AT73" s="441"/>
      <c r="AU73" s="441"/>
      <c r="AV73" s="441"/>
      <c r="AW73" s="441"/>
      <c r="AX73" s="441"/>
      <c r="AY73" s="441"/>
      <c r="AZ73" s="441"/>
      <c r="BA73" s="441"/>
      <c r="BB73" s="441"/>
      <c r="BC73" s="441"/>
      <c r="BD73" s="441"/>
      <c r="BE73" s="441"/>
      <c r="BF73" s="441"/>
      <c r="BG73" s="441"/>
      <c r="BH73" s="441"/>
      <c r="BI73" s="441"/>
      <c r="BJ73" s="423">
        <f t="shared" ref="BJ73:BR73" si="189">$I73*BJ$2</f>
        <v>337.078124999999</v>
      </c>
      <c r="BK73" s="423">
        <f t="shared" si="189"/>
        <v>337.078124999999</v>
      </c>
      <c r="BL73" s="423">
        <f t="shared" si="189"/>
        <v>337.078124999999</v>
      </c>
      <c r="BM73" s="423">
        <f t="shared" si="189"/>
        <v>337.078124999999</v>
      </c>
      <c r="BN73" s="423">
        <f t="shared" si="189"/>
        <v>337.078124999999</v>
      </c>
      <c r="BO73" s="423">
        <f t="shared" si="189"/>
        <v>337.078124999999</v>
      </c>
      <c r="BP73" s="423">
        <f t="shared" si="189"/>
        <v>337.078124999999</v>
      </c>
      <c r="BQ73" s="423">
        <f t="shared" si="189"/>
        <v>337.078124999999</v>
      </c>
      <c r="BR73" s="423">
        <f t="shared" si="189"/>
        <v>57.3749999999999</v>
      </c>
      <c r="BT73" s="59">
        <f t="shared" ref="BT73:CB73" si="190">BT72-BJ73</f>
        <v>109348.078125</v>
      </c>
      <c r="BU73" s="59">
        <f t="shared" si="190"/>
        <v>109348.078125</v>
      </c>
      <c r="BV73" s="59">
        <f t="shared" si="190"/>
        <v>109348.078125</v>
      </c>
      <c r="BW73" s="59">
        <f t="shared" si="190"/>
        <v>109348.078125</v>
      </c>
      <c r="BX73" s="59">
        <f t="shared" si="190"/>
        <v>109348.078125</v>
      </c>
      <c r="BY73" s="59">
        <f t="shared" si="190"/>
        <v>109348.078125</v>
      </c>
      <c r="BZ73" s="59">
        <f t="shared" si="190"/>
        <v>109348.078125</v>
      </c>
      <c r="CA73" s="59">
        <f t="shared" si="190"/>
        <v>109348.078125</v>
      </c>
      <c r="CB73" s="59">
        <f t="shared" si="190"/>
        <v>18564.375</v>
      </c>
    </row>
    <row r="74" s="372" customFormat="1" ht="27" hidden="1" customHeight="1" spans="1:87">
      <c r="A74" s="428">
        <v>45776</v>
      </c>
      <c r="B74" s="429" t="s">
        <v>506</v>
      </c>
      <c r="C74" s="430" t="s">
        <v>389</v>
      </c>
      <c r="D74" s="431">
        <v>4500165393</v>
      </c>
      <c r="E74" s="430" t="s">
        <v>507</v>
      </c>
      <c r="F74" s="429" t="s">
        <v>508</v>
      </c>
      <c r="G74" s="432" t="s">
        <v>152</v>
      </c>
      <c r="H74" s="429" t="s">
        <v>153</v>
      </c>
      <c r="I74" s="433">
        <v>2314</v>
      </c>
      <c r="J74" s="433">
        <v>0</v>
      </c>
      <c r="K74" s="433">
        <v>13</v>
      </c>
      <c r="L74" s="433">
        <f t="shared" si="24"/>
        <v>178</v>
      </c>
      <c r="M74" s="434">
        <v>45807</v>
      </c>
      <c r="N74" s="434">
        <v>45811</v>
      </c>
      <c r="O74" s="435"/>
      <c r="P74" s="435" t="s">
        <v>107</v>
      </c>
      <c r="Q74" s="435" t="s">
        <v>509</v>
      </c>
      <c r="R74" s="435">
        <v>45777</v>
      </c>
      <c r="S74" s="435" t="s">
        <v>80</v>
      </c>
      <c r="T74" s="435" t="s">
        <v>510</v>
      </c>
      <c r="U74" s="435" t="s">
        <v>511</v>
      </c>
      <c r="V74" s="438" t="s">
        <v>512</v>
      </c>
      <c r="W74" s="434" t="s">
        <v>513</v>
      </c>
      <c r="X74" s="421">
        <v>0.7931</v>
      </c>
      <c r="Y74" s="433">
        <f t="shared" si="179"/>
        <v>1835.2334</v>
      </c>
      <c r="Z74" s="434"/>
      <c r="AA74" s="438">
        <v>2314</v>
      </c>
      <c r="AB74" s="438">
        <f t="shared" si="182"/>
        <v>0</v>
      </c>
      <c r="AC74" s="435" t="s">
        <v>113</v>
      </c>
      <c r="AD74" s="435" t="s">
        <v>114</v>
      </c>
      <c r="AE74" s="434" t="s">
        <v>319</v>
      </c>
      <c r="AF74" s="434" t="s">
        <v>115</v>
      </c>
      <c r="AG74" s="441">
        <f t="shared" si="185"/>
        <v>2314</v>
      </c>
      <c r="AH74" s="441">
        <f t="shared" si="186"/>
        <v>2314</v>
      </c>
      <c r="AJ74" s="441"/>
      <c r="AK74" s="441"/>
      <c r="AL74" s="441">
        <f t="shared" si="187"/>
        <v>2314</v>
      </c>
      <c r="AM74" s="441"/>
      <c r="AN74" s="441"/>
      <c r="AO74" s="441">
        <f t="shared" si="188"/>
        <v>2314</v>
      </c>
      <c r="AP74" s="441"/>
      <c r="AQ74" s="441"/>
      <c r="AR74" s="441"/>
      <c r="AS74" s="441"/>
      <c r="AT74" s="441"/>
      <c r="AU74" s="441">
        <f>I74/13</f>
        <v>178</v>
      </c>
      <c r="AV74" s="441"/>
      <c r="AW74" s="441"/>
      <c r="AX74" s="441"/>
      <c r="AY74" s="441"/>
      <c r="AZ74" s="441"/>
      <c r="BA74" s="441"/>
      <c r="BB74" s="441"/>
      <c r="BC74" s="441"/>
      <c r="BD74" s="441"/>
      <c r="BE74" s="441"/>
      <c r="BF74" s="441"/>
      <c r="BG74" s="441"/>
      <c r="BH74" s="441"/>
      <c r="BI74" s="441"/>
      <c r="BJ74" s="59">
        <f t="shared" ref="BJ74:BR74" si="191">$I74*BJ$2</f>
        <v>283.223958333333</v>
      </c>
      <c r="BK74" s="59">
        <f t="shared" si="191"/>
        <v>283.223958333333</v>
      </c>
      <c r="BL74" s="59">
        <f t="shared" si="191"/>
        <v>283.223958333333</v>
      </c>
      <c r="BM74" s="59">
        <f t="shared" si="191"/>
        <v>283.223958333333</v>
      </c>
      <c r="BN74" s="59">
        <f t="shared" si="191"/>
        <v>283.223958333333</v>
      </c>
      <c r="BO74" s="59">
        <f t="shared" si="191"/>
        <v>283.223958333333</v>
      </c>
      <c r="BP74" s="59">
        <f t="shared" si="191"/>
        <v>283.223958333333</v>
      </c>
      <c r="BQ74" s="59">
        <f t="shared" si="191"/>
        <v>283.223958333333</v>
      </c>
      <c r="BR74" s="59">
        <f t="shared" si="191"/>
        <v>48.2083333333333</v>
      </c>
      <c r="BT74" s="59">
        <f t="shared" ref="BT74:CB74" si="192">BT73-BJ74</f>
        <v>109064.854166667</v>
      </c>
      <c r="BU74" s="59">
        <f t="shared" si="192"/>
        <v>109064.854166667</v>
      </c>
      <c r="BV74" s="59">
        <f t="shared" si="192"/>
        <v>109064.854166667</v>
      </c>
      <c r="BW74" s="59">
        <f t="shared" si="192"/>
        <v>109064.854166667</v>
      </c>
      <c r="BX74" s="59">
        <f t="shared" si="192"/>
        <v>109064.854166667</v>
      </c>
      <c r="BY74" s="59">
        <f t="shared" si="192"/>
        <v>109064.854166667</v>
      </c>
      <c r="BZ74" s="59">
        <f t="shared" si="192"/>
        <v>109064.854166667</v>
      </c>
      <c r="CA74" s="59">
        <f t="shared" si="192"/>
        <v>109064.854166667</v>
      </c>
      <c r="CB74" s="59">
        <f t="shared" si="192"/>
        <v>18516.1666666667</v>
      </c>
    </row>
    <row r="75" s="372" customFormat="1" ht="27" hidden="1" customHeight="1" spans="1:87">
      <c r="A75" s="428">
        <v>45763</v>
      </c>
      <c r="B75" s="429" t="s">
        <v>514</v>
      </c>
      <c r="C75" s="430" t="s">
        <v>448</v>
      </c>
      <c r="D75" s="431">
        <v>4500163205</v>
      </c>
      <c r="E75" s="430">
        <v>14675</v>
      </c>
      <c r="F75" s="429" t="s">
        <v>515</v>
      </c>
      <c r="G75" s="432" t="s">
        <v>131</v>
      </c>
      <c r="H75" s="429" t="s">
        <v>132</v>
      </c>
      <c r="I75" s="433">
        <v>135</v>
      </c>
      <c r="J75" s="433">
        <v>0</v>
      </c>
      <c r="K75" s="433">
        <v>27</v>
      </c>
      <c r="L75" s="433">
        <f t="shared" si="24"/>
        <v>5</v>
      </c>
      <c r="M75" s="434">
        <v>45811</v>
      </c>
      <c r="N75" s="434">
        <v>45811</v>
      </c>
      <c r="O75" s="435"/>
      <c r="P75" s="435" t="s">
        <v>224</v>
      </c>
      <c r="Q75" s="435" t="s">
        <v>378</v>
      </c>
      <c r="R75" s="435">
        <v>45763</v>
      </c>
      <c r="S75" s="435" t="s">
        <v>80</v>
      </c>
      <c r="T75" s="435" t="s">
        <v>516</v>
      </c>
      <c r="U75" s="435"/>
      <c r="V75" s="438" t="s">
        <v>517</v>
      </c>
      <c r="W75" s="434" t="s">
        <v>454</v>
      </c>
      <c r="X75" s="421">
        <v>0.7792</v>
      </c>
      <c r="Y75" s="433">
        <f t="shared" si="179"/>
        <v>105.192</v>
      </c>
      <c r="Z75" s="434"/>
      <c r="AA75" s="438">
        <v>135</v>
      </c>
      <c r="AB75" s="438">
        <f t="shared" si="182"/>
        <v>0</v>
      </c>
      <c r="AC75" s="505" t="s">
        <v>113</v>
      </c>
      <c r="AD75" s="435" t="s">
        <v>114</v>
      </c>
      <c r="AE75" s="434" t="s">
        <v>434</v>
      </c>
      <c r="AF75" s="434" t="s">
        <v>115</v>
      </c>
      <c r="AG75" s="441">
        <f t="shared" si="185"/>
        <v>135</v>
      </c>
      <c r="AH75" s="441"/>
      <c r="AI75" s="372">
        <f>I75</f>
        <v>135</v>
      </c>
      <c r="AJ75" s="441"/>
      <c r="AK75" s="441"/>
      <c r="AL75" s="441">
        <f t="shared" si="187"/>
        <v>135</v>
      </c>
      <c r="AM75" s="441"/>
      <c r="AN75" s="441"/>
      <c r="AO75" s="441">
        <f t="shared" si="188"/>
        <v>135</v>
      </c>
      <c r="AP75" s="441"/>
      <c r="AQ75" s="441"/>
      <c r="AR75" s="441">
        <f>I75/27</f>
        <v>5</v>
      </c>
      <c r="AS75" s="441"/>
      <c r="AT75" s="441"/>
      <c r="AU75" s="441"/>
      <c r="AV75" s="441"/>
      <c r="AW75" s="441"/>
      <c r="AX75" s="441"/>
      <c r="AY75" s="441"/>
      <c r="AZ75" s="441"/>
      <c r="BA75" s="441"/>
      <c r="BB75" s="441"/>
      <c r="BC75" s="441"/>
      <c r="BD75" s="441"/>
      <c r="BE75" s="441"/>
      <c r="BF75" s="441"/>
      <c r="BG75" s="441"/>
      <c r="BH75" s="441"/>
      <c r="BI75" s="441"/>
      <c r="BJ75" s="59">
        <f t="shared" ref="BJ75:BR75" si="193">$I75*BJ$2</f>
        <v>16.5234375</v>
      </c>
      <c r="BK75" s="59">
        <f t="shared" si="193"/>
        <v>16.5234375</v>
      </c>
      <c r="BL75" s="59">
        <f t="shared" si="193"/>
        <v>16.5234375</v>
      </c>
      <c r="BM75" s="59">
        <f t="shared" si="193"/>
        <v>16.5234375</v>
      </c>
      <c r="BN75" s="59">
        <f t="shared" si="193"/>
        <v>16.5234375</v>
      </c>
      <c r="BO75" s="59">
        <f t="shared" si="193"/>
        <v>16.5234375</v>
      </c>
      <c r="BP75" s="59">
        <f t="shared" si="193"/>
        <v>16.5234375</v>
      </c>
      <c r="BQ75" s="59">
        <f t="shared" si="193"/>
        <v>16.5234375</v>
      </c>
      <c r="BR75" s="59">
        <f t="shared" si="193"/>
        <v>2.8125</v>
      </c>
      <c r="BT75" s="59">
        <f t="shared" ref="BT75:CB75" si="194">BT74-BJ75</f>
        <v>109048.330729167</v>
      </c>
      <c r="BU75" s="59">
        <f t="shared" si="194"/>
        <v>109048.330729167</v>
      </c>
      <c r="BV75" s="59">
        <f t="shared" si="194"/>
        <v>109048.330729167</v>
      </c>
      <c r="BW75" s="59">
        <f t="shared" si="194"/>
        <v>109048.330729167</v>
      </c>
      <c r="BX75" s="59">
        <f t="shared" si="194"/>
        <v>109048.330729167</v>
      </c>
      <c r="BY75" s="59">
        <f t="shared" si="194"/>
        <v>109048.330729167</v>
      </c>
      <c r="BZ75" s="59">
        <f t="shared" si="194"/>
        <v>109048.330729167</v>
      </c>
      <c r="CA75" s="59">
        <f t="shared" si="194"/>
        <v>109048.330729167</v>
      </c>
      <c r="CB75" s="59">
        <f t="shared" si="194"/>
        <v>18513.3541666667</v>
      </c>
    </row>
    <row r="76" s="372" customFormat="1" ht="27" hidden="1" customHeight="1" spans="1:87">
      <c r="A76" s="428">
        <v>45771</v>
      </c>
      <c r="B76" s="429" t="s">
        <v>514</v>
      </c>
      <c r="C76" s="430" t="s">
        <v>448</v>
      </c>
      <c r="D76" s="431">
        <v>4500163205</v>
      </c>
      <c r="E76" s="430">
        <v>14675</v>
      </c>
      <c r="F76" s="429" t="s">
        <v>518</v>
      </c>
      <c r="G76" s="432" t="s">
        <v>424</v>
      </c>
      <c r="H76" s="429" t="s">
        <v>174</v>
      </c>
      <c r="I76" s="433">
        <v>165</v>
      </c>
      <c r="J76" s="433">
        <v>0</v>
      </c>
      <c r="K76" s="433">
        <v>33</v>
      </c>
      <c r="L76" s="433">
        <f t="shared" si="24"/>
        <v>5</v>
      </c>
      <c r="M76" s="434">
        <v>45811</v>
      </c>
      <c r="N76" s="434">
        <v>45811</v>
      </c>
      <c r="O76" s="435"/>
      <c r="P76" s="435" t="s">
        <v>224</v>
      </c>
      <c r="Q76" s="435" t="s">
        <v>378</v>
      </c>
      <c r="R76" s="435">
        <v>45763</v>
      </c>
      <c r="S76" s="435" t="s">
        <v>80</v>
      </c>
      <c r="T76" s="435" t="s">
        <v>516</v>
      </c>
      <c r="U76" s="435"/>
      <c r="V76" s="438" t="s">
        <v>519</v>
      </c>
      <c r="W76" s="434" t="s">
        <v>454</v>
      </c>
      <c r="X76" s="421">
        <v>38.3485</v>
      </c>
      <c r="Y76" s="433">
        <f t="shared" ref="Y76:Y80" si="195">X76*L76</f>
        <v>191.7425</v>
      </c>
      <c r="Z76" s="434"/>
      <c r="AA76" s="438">
        <v>165</v>
      </c>
      <c r="AB76" s="438">
        <f t="shared" si="182"/>
        <v>0</v>
      </c>
      <c r="AC76" s="496"/>
      <c r="AD76" s="435" t="s">
        <v>114</v>
      </c>
      <c r="AE76" s="432" t="s">
        <v>484</v>
      </c>
      <c r="AF76" s="434" t="s">
        <v>115</v>
      </c>
      <c r="AG76" s="441">
        <f t="shared" si="185"/>
        <v>165</v>
      </c>
      <c r="AH76" s="441">
        <f t="shared" si="186"/>
        <v>165</v>
      </c>
      <c r="AJ76" s="441"/>
      <c r="AK76" s="441"/>
      <c r="AL76" s="441">
        <f t="shared" si="187"/>
        <v>165</v>
      </c>
      <c r="AM76" s="441"/>
      <c r="AN76" s="441"/>
      <c r="AO76" s="441">
        <f t="shared" si="188"/>
        <v>165</v>
      </c>
      <c r="AP76" s="441"/>
      <c r="AQ76" s="441"/>
      <c r="AR76" s="441"/>
      <c r="AS76" s="441"/>
      <c r="AT76" s="441"/>
      <c r="AU76" s="441"/>
      <c r="AV76" s="441"/>
      <c r="AW76" s="441"/>
      <c r="AX76" s="441"/>
      <c r="AY76" s="441"/>
      <c r="AZ76" s="441"/>
      <c r="BA76" s="441"/>
      <c r="BB76" s="441"/>
      <c r="BC76" s="441"/>
      <c r="BD76" s="441">
        <f>I76/33</f>
        <v>5</v>
      </c>
      <c r="BE76" s="441">
        <f>BD76</f>
        <v>5</v>
      </c>
      <c r="BF76" s="441"/>
      <c r="BG76" s="441"/>
      <c r="BH76" s="441"/>
      <c r="BI76" s="441"/>
      <c r="BJ76" s="59">
        <f t="shared" ref="BJ76:BR76" si="196">$I76*BJ$2</f>
        <v>20.1953124999999</v>
      </c>
      <c r="BK76" s="59">
        <f t="shared" si="196"/>
        <v>20.1953124999999</v>
      </c>
      <c r="BL76" s="59">
        <f t="shared" si="196"/>
        <v>20.1953124999999</v>
      </c>
      <c r="BM76" s="59">
        <f t="shared" si="196"/>
        <v>20.1953124999999</v>
      </c>
      <c r="BN76" s="59">
        <f t="shared" si="196"/>
        <v>20.1953124999999</v>
      </c>
      <c r="BO76" s="59">
        <f t="shared" si="196"/>
        <v>20.1953124999999</v>
      </c>
      <c r="BP76" s="59">
        <f t="shared" si="196"/>
        <v>20.1953124999999</v>
      </c>
      <c r="BQ76" s="59">
        <f t="shared" si="196"/>
        <v>20.1953124999999</v>
      </c>
      <c r="BR76" s="59">
        <f t="shared" si="196"/>
        <v>3.43749999999999</v>
      </c>
      <c r="BT76" s="59">
        <f t="shared" ref="BT76:CB76" si="197">BT75-BJ76</f>
        <v>109028.135416667</v>
      </c>
      <c r="BU76" s="59">
        <f t="shared" si="197"/>
        <v>109028.135416667</v>
      </c>
      <c r="BV76" s="59">
        <f t="shared" si="197"/>
        <v>109028.135416667</v>
      </c>
      <c r="BW76" s="59">
        <f t="shared" si="197"/>
        <v>109028.135416667</v>
      </c>
      <c r="BX76" s="59">
        <f t="shared" si="197"/>
        <v>109028.135416667</v>
      </c>
      <c r="BY76" s="59">
        <f t="shared" si="197"/>
        <v>109028.135416667</v>
      </c>
      <c r="BZ76" s="59">
        <f t="shared" si="197"/>
        <v>109028.135416667</v>
      </c>
      <c r="CA76" s="59">
        <f t="shared" si="197"/>
        <v>109028.135416667</v>
      </c>
      <c r="CB76" s="59">
        <f t="shared" si="197"/>
        <v>18509.9166666667</v>
      </c>
    </row>
    <row r="77" s="371" customFormat="1" ht="27" hidden="1" customHeight="1" spans="1:87">
      <c r="A77" s="410">
        <v>45775</v>
      </c>
      <c r="B77" s="411" t="s">
        <v>520</v>
      </c>
      <c r="C77" s="412" t="s">
        <v>521</v>
      </c>
      <c r="D77" s="413" t="s">
        <v>522</v>
      </c>
      <c r="E77" s="412" t="s">
        <v>523</v>
      </c>
      <c r="F77" s="411"/>
      <c r="G77" s="414" t="s">
        <v>524</v>
      </c>
      <c r="H77" s="411" t="s">
        <v>525</v>
      </c>
      <c r="I77" s="415">
        <v>4944</v>
      </c>
      <c r="J77" s="415">
        <v>0</v>
      </c>
      <c r="K77" s="415">
        <v>24</v>
      </c>
      <c r="L77" s="415">
        <f t="shared" si="24"/>
        <v>206</v>
      </c>
      <c r="M77" s="416">
        <v>45811</v>
      </c>
      <c r="N77" s="416">
        <v>45815</v>
      </c>
      <c r="O77" s="417" t="s">
        <v>526</v>
      </c>
      <c r="P77" s="417" t="s">
        <v>107</v>
      </c>
      <c r="Q77" s="417" t="s">
        <v>527</v>
      </c>
      <c r="R77" s="417" t="s">
        <v>528</v>
      </c>
      <c r="S77" s="417" t="s">
        <v>80</v>
      </c>
      <c r="T77" s="417" t="s">
        <v>529</v>
      </c>
      <c r="U77" s="417"/>
      <c r="V77" s="420" t="s">
        <v>530</v>
      </c>
      <c r="W77" s="416" t="s">
        <v>531</v>
      </c>
      <c r="X77" s="421">
        <v>0.8</v>
      </c>
      <c r="Y77" s="415">
        <f t="shared" ref="Y77:Y90" si="198">X77*I77</f>
        <v>3955.2</v>
      </c>
      <c r="Z77" s="416" t="s">
        <v>532</v>
      </c>
      <c r="AA77" s="420">
        <v>4944</v>
      </c>
      <c r="AB77" s="438">
        <f t="shared" si="182"/>
        <v>0</v>
      </c>
      <c r="AC77" s="506" t="s">
        <v>113</v>
      </c>
      <c r="AD77" s="417" t="s">
        <v>114</v>
      </c>
      <c r="AE77" s="416" t="s">
        <v>533</v>
      </c>
      <c r="AF77" s="416" t="s">
        <v>115</v>
      </c>
      <c r="AG77" s="422">
        <f t="shared" si="185"/>
        <v>4944</v>
      </c>
      <c r="AH77" s="422">
        <f t="shared" si="186"/>
        <v>4944</v>
      </c>
      <c r="AJ77" s="422"/>
      <c r="AK77" s="422">
        <f t="shared" ref="AK77:AK83" si="199">I77</f>
        <v>4944</v>
      </c>
      <c r="AL77" s="422"/>
      <c r="AM77" s="422"/>
      <c r="AO77" s="422">
        <f t="shared" si="188"/>
        <v>4944</v>
      </c>
      <c r="AP77" s="422"/>
      <c r="AQ77" s="422"/>
      <c r="AR77" s="422"/>
      <c r="AS77" s="422"/>
      <c r="AT77" s="422"/>
      <c r="AU77" s="422"/>
      <c r="AV77" s="422"/>
      <c r="AW77" s="422"/>
      <c r="AX77" s="422"/>
      <c r="AY77" s="422"/>
      <c r="AZ77" s="422"/>
      <c r="BA77" s="422"/>
      <c r="BB77" s="422"/>
      <c r="BC77" s="422"/>
      <c r="BD77" s="422"/>
      <c r="BE77" s="422"/>
      <c r="BF77" s="422"/>
      <c r="BG77" s="422"/>
      <c r="BH77" s="422"/>
      <c r="BI77" s="422"/>
      <c r="BJ77" s="423">
        <f t="shared" ref="BJ77:BR77" si="200">$I77*BJ$2</f>
        <v>605.124999999998</v>
      </c>
      <c r="BK77" s="423">
        <f t="shared" si="200"/>
        <v>605.124999999998</v>
      </c>
      <c r="BL77" s="423">
        <f t="shared" si="200"/>
        <v>605.124999999998</v>
      </c>
      <c r="BM77" s="423">
        <f t="shared" si="200"/>
        <v>605.124999999998</v>
      </c>
      <c r="BN77" s="423">
        <f t="shared" si="200"/>
        <v>605.124999999998</v>
      </c>
      <c r="BO77" s="423">
        <f t="shared" si="200"/>
        <v>605.124999999998</v>
      </c>
      <c r="BP77" s="423">
        <f t="shared" si="200"/>
        <v>605.124999999998</v>
      </c>
      <c r="BQ77" s="423">
        <f t="shared" si="200"/>
        <v>605.124999999998</v>
      </c>
      <c r="BR77" s="423">
        <f t="shared" si="200"/>
        <v>103</v>
      </c>
      <c r="BT77" s="59">
        <f t="shared" ref="BT77:CB77" si="201">BT76-BJ77</f>
        <v>108423.010416667</v>
      </c>
      <c r="BU77" s="59">
        <f t="shared" si="201"/>
        <v>108423.010416667</v>
      </c>
      <c r="BV77" s="59">
        <f t="shared" si="201"/>
        <v>108423.010416667</v>
      </c>
      <c r="BW77" s="59">
        <f t="shared" si="201"/>
        <v>108423.010416667</v>
      </c>
      <c r="BX77" s="59">
        <f t="shared" si="201"/>
        <v>108423.010416667</v>
      </c>
      <c r="BY77" s="59">
        <f t="shared" si="201"/>
        <v>108423.010416667</v>
      </c>
      <c r="BZ77" s="59">
        <f t="shared" si="201"/>
        <v>108423.010416667</v>
      </c>
      <c r="CA77" s="59">
        <f t="shared" si="201"/>
        <v>108423.010416667</v>
      </c>
      <c r="CB77" s="59">
        <f t="shared" si="201"/>
        <v>18406.9166666667</v>
      </c>
      <c r="CD77" s="495"/>
    </row>
    <row r="78" s="371" customFormat="1" ht="27" hidden="1" customHeight="1" spans="1:87">
      <c r="A78" s="410">
        <v>45775</v>
      </c>
      <c r="B78" s="411" t="s">
        <v>520</v>
      </c>
      <c r="C78" s="412" t="s">
        <v>521</v>
      </c>
      <c r="D78" s="413" t="s">
        <v>522</v>
      </c>
      <c r="E78" s="412" t="s">
        <v>523</v>
      </c>
      <c r="F78" s="411"/>
      <c r="G78" s="414" t="s">
        <v>524</v>
      </c>
      <c r="H78" s="411" t="s">
        <v>525</v>
      </c>
      <c r="I78" s="415">
        <v>7168</v>
      </c>
      <c r="J78" s="415">
        <v>0</v>
      </c>
      <c r="K78" s="415">
        <v>24</v>
      </c>
      <c r="L78" s="415">
        <f t="shared" ref="L78:L141" si="202">I78/K78</f>
        <v>298.666666666667</v>
      </c>
      <c r="M78" s="416">
        <v>45811</v>
      </c>
      <c r="N78" s="416">
        <v>45815</v>
      </c>
      <c r="O78" s="417" t="s">
        <v>526</v>
      </c>
      <c r="P78" s="417" t="s">
        <v>107</v>
      </c>
      <c r="Q78" s="417" t="s">
        <v>527</v>
      </c>
      <c r="R78" s="417" t="s">
        <v>528</v>
      </c>
      <c r="S78" s="417" t="s">
        <v>80</v>
      </c>
      <c r="T78" s="417" t="s">
        <v>529</v>
      </c>
      <c r="U78" s="417"/>
      <c r="V78" s="420" t="s">
        <v>530</v>
      </c>
      <c r="W78" s="416" t="s">
        <v>531</v>
      </c>
      <c r="X78" s="421">
        <v>0.8</v>
      </c>
      <c r="Y78" s="415">
        <f t="shared" si="198"/>
        <v>5734.4</v>
      </c>
      <c r="Z78" s="416" t="s">
        <v>532</v>
      </c>
      <c r="AA78" s="420">
        <v>7168</v>
      </c>
      <c r="AB78" s="438">
        <f t="shared" si="182"/>
        <v>0</v>
      </c>
      <c r="AC78" s="499"/>
      <c r="AD78" s="417" t="s">
        <v>114</v>
      </c>
      <c r="AE78" s="416" t="s">
        <v>533</v>
      </c>
      <c r="AF78" s="416" t="s">
        <v>115</v>
      </c>
      <c r="AG78" s="422">
        <f t="shared" si="185"/>
        <v>7168</v>
      </c>
      <c r="AH78" s="422">
        <f t="shared" si="186"/>
        <v>7168</v>
      </c>
      <c r="AJ78" s="422"/>
      <c r="AK78" s="422">
        <f t="shared" si="199"/>
        <v>7168</v>
      </c>
      <c r="AL78" s="422"/>
      <c r="AM78" s="422"/>
      <c r="AO78" s="422">
        <f t="shared" si="188"/>
        <v>7168</v>
      </c>
      <c r="AP78" s="422"/>
      <c r="AQ78" s="422"/>
      <c r="AR78" s="422"/>
      <c r="AS78" s="422"/>
      <c r="AT78" s="422"/>
      <c r="AU78" s="422"/>
      <c r="AV78" s="422"/>
      <c r="AW78" s="422"/>
      <c r="AX78" s="422"/>
      <c r="AY78" s="422"/>
      <c r="AZ78" s="422"/>
      <c r="BA78" s="422"/>
      <c r="BB78" s="422"/>
      <c r="BC78" s="422"/>
      <c r="BD78" s="422"/>
      <c r="BE78" s="422"/>
      <c r="BF78" s="422"/>
      <c r="BG78" s="422"/>
      <c r="BH78" s="422"/>
      <c r="BI78" s="422"/>
      <c r="BJ78" s="423">
        <f t="shared" ref="BJ78:BR78" si="203">$I78*BJ$2</f>
        <v>877.333333333331</v>
      </c>
      <c r="BK78" s="423">
        <f t="shared" si="203"/>
        <v>877.333333333331</v>
      </c>
      <c r="BL78" s="423">
        <f t="shared" si="203"/>
        <v>877.333333333331</v>
      </c>
      <c r="BM78" s="423">
        <f t="shared" si="203"/>
        <v>877.333333333331</v>
      </c>
      <c r="BN78" s="423">
        <f t="shared" si="203"/>
        <v>877.333333333331</v>
      </c>
      <c r="BO78" s="423">
        <f t="shared" si="203"/>
        <v>877.333333333331</v>
      </c>
      <c r="BP78" s="423">
        <f t="shared" si="203"/>
        <v>877.333333333331</v>
      </c>
      <c r="BQ78" s="423">
        <f t="shared" si="203"/>
        <v>877.333333333331</v>
      </c>
      <c r="BR78" s="423">
        <f t="shared" si="203"/>
        <v>149.333333333333</v>
      </c>
      <c r="BT78" s="59">
        <f t="shared" ref="BT78:CB78" si="204">BT77-BJ78</f>
        <v>107545.677083333</v>
      </c>
      <c r="BU78" s="59">
        <f t="shared" si="204"/>
        <v>107545.677083333</v>
      </c>
      <c r="BV78" s="59">
        <f t="shared" si="204"/>
        <v>107545.677083333</v>
      </c>
      <c r="BW78" s="59">
        <f t="shared" si="204"/>
        <v>107545.677083333</v>
      </c>
      <c r="BX78" s="59">
        <f t="shared" si="204"/>
        <v>107545.677083333</v>
      </c>
      <c r="BY78" s="59">
        <f t="shared" si="204"/>
        <v>107545.677083333</v>
      </c>
      <c r="BZ78" s="59">
        <f t="shared" si="204"/>
        <v>107545.677083333</v>
      </c>
      <c r="CA78" s="59">
        <f t="shared" si="204"/>
        <v>107545.677083333</v>
      </c>
      <c r="CB78" s="59">
        <f t="shared" si="204"/>
        <v>18257.5833333333</v>
      </c>
      <c r="CD78" s="495"/>
    </row>
    <row r="79" s="372" customFormat="1" ht="27" hidden="1" customHeight="1" spans="1:87">
      <c r="A79" s="428">
        <v>45775</v>
      </c>
      <c r="B79" s="429" t="s">
        <v>326</v>
      </c>
      <c r="C79" s="430" t="s">
        <v>117</v>
      </c>
      <c r="D79" s="431">
        <v>4500162784</v>
      </c>
      <c r="E79" s="430" t="s">
        <v>534</v>
      </c>
      <c r="F79" s="429" t="s">
        <v>535</v>
      </c>
      <c r="G79" s="432" t="s">
        <v>258</v>
      </c>
      <c r="H79" s="429" t="s">
        <v>259</v>
      </c>
      <c r="I79" s="433">
        <v>1152</v>
      </c>
      <c r="J79" s="433">
        <v>0</v>
      </c>
      <c r="K79" s="433">
        <v>1152</v>
      </c>
      <c r="L79" s="433">
        <f t="shared" si="202"/>
        <v>1</v>
      </c>
      <c r="M79" s="434">
        <v>45811</v>
      </c>
      <c r="N79" s="434">
        <v>45815</v>
      </c>
      <c r="O79" s="435" t="s">
        <v>536</v>
      </c>
      <c r="P79" s="435" t="s">
        <v>224</v>
      </c>
      <c r="Q79" s="435" t="s">
        <v>537</v>
      </c>
      <c r="R79" s="435" t="s">
        <v>331</v>
      </c>
      <c r="S79" s="435" t="s">
        <v>191</v>
      </c>
      <c r="T79" s="435" t="s">
        <v>538</v>
      </c>
      <c r="U79" s="435"/>
      <c r="V79" s="438" t="s">
        <v>539</v>
      </c>
      <c r="W79" s="434" t="s">
        <v>265</v>
      </c>
      <c r="X79" s="421">
        <v>555.88</v>
      </c>
      <c r="Y79" s="433">
        <f t="shared" si="195"/>
        <v>555.88</v>
      </c>
      <c r="Z79" s="434" t="s">
        <v>540</v>
      </c>
      <c r="AA79" s="438">
        <v>1152</v>
      </c>
      <c r="AB79" s="438">
        <f t="shared" si="182"/>
        <v>0</v>
      </c>
      <c r="AC79" s="435"/>
      <c r="AD79" s="435" t="s">
        <v>114</v>
      </c>
      <c r="AE79" s="434" t="s">
        <v>258</v>
      </c>
      <c r="AF79" s="434" t="s">
        <v>115</v>
      </c>
      <c r="AG79" s="441">
        <f t="shared" si="185"/>
        <v>1152</v>
      </c>
      <c r="AH79" s="441">
        <f t="shared" si="186"/>
        <v>1152</v>
      </c>
      <c r="AJ79" s="441"/>
      <c r="AK79" s="441">
        <f t="shared" si="199"/>
        <v>1152</v>
      </c>
      <c r="AL79" s="441"/>
      <c r="AM79" s="441"/>
      <c r="AO79" s="441">
        <f t="shared" si="188"/>
        <v>1152</v>
      </c>
      <c r="AP79" s="441"/>
      <c r="AQ79" s="441"/>
      <c r="AR79" s="441"/>
      <c r="AS79" s="441"/>
      <c r="AT79" s="441"/>
      <c r="AU79" s="441"/>
      <c r="AV79" s="441">
        <f>I79/12</f>
        <v>96</v>
      </c>
      <c r="AW79" s="441"/>
      <c r="AX79" s="441"/>
      <c r="AY79" s="441"/>
      <c r="AZ79" s="441"/>
      <c r="BA79" s="441"/>
      <c r="BB79" s="441"/>
      <c r="BC79" s="441"/>
      <c r="BD79" s="441"/>
      <c r="BE79" s="441"/>
      <c r="BF79" s="441"/>
      <c r="BG79" s="441"/>
      <c r="BH79" s="441"/>
      <c r="BI79" s="441"/>
      <c r="BJ79" s="59">
        <f t="shared" ref="BJ79:BR79" si="205">$I79*BJ$2</f>
        <v>141</v>
      </c>
      <c r="BK79" s="59">
        <f t="shared" si="205"/>
        <v>141</v>
      </c>
      <c r="BL79" s="59">
        <f t="shared" si="205"/>
        <v>141</v>
      </c>
      <c r="BM79" s="59">
        <f t="shared" si="205"/>
        <v>141</v>
      </c>
      <c r="BN79" s="59">
        <f t="shared" si="205"/>
        <v>141</v>
      </c>
      <c r="BO79" s="59">
        <f t="shared" si="205"/>
        <v>141</v>
      </c>
      <c r="BP79" s="59">
        <f t="shared" si="205"/>
        <v>141</v>
      </c>
      <c r="BQ79" s="59">
        <f t="shared" si="205"/>
        <v>141</v>
      </c>
      <c r="BR79" s="59">
        <f t="shared" si="205"/>
        <v>24</v>
      </c>
      <c r="BT79" s="59">
        <f t="shared" ref="BT79:CB79" si="206">BT78-BJ79</f>
        <v>107404.677083333</v>
      </c>
      <c r="BU79" s="59">
        <f t="shared" si="206"/>
        <v>107404.677083333</v>
      </c>
      <c r="BV79" s="59">
        <f t="shared" si="206"/>
        <v>107404.677083333</v>
      </c>
      <c r="BW79" s="59">
        <f t="shared" si="206"/>
        <v>107404.677083333</v>
      </c>
      <c r="BX79" s="59">
        <f t="shared" si="206"/>
        <v>107404.677083333</v>
      </c>
      <c r="BY79" s="59">
        <f t="shared" si="206"/>
        <v>107404.677083333</v>
      </c>
      <c r="BZ79" s="59">
        <f t="shared" si="206"/>
        <v>107404.677083333</v>
      </c>
      <c r="CA79" s="59">
        <f t="shared" si="206"/>
        <v>107404.677083333</v>
      </c>
      <c r="CB79" s="59">
        <f t="shared" si="206"/>
        <v>18233.5833333333</v>
      </c>
      <c r="CD79" s="504"/>
    </row>
    <row r="80" s="372" customFormat="1" ht="27" hidden="1" customHeight="1" spans="1:87">
      <c r="A80" s="428">
        <v>45775</v>
      </c>
      <c r="B80" s="429" t="s">
        <v>326</v>
      </c>
      <c r="C80" s="430" t="s">
        <v>117</v>
      </c>
      <c r="D80" s="431">
        <v>4500162784</v>
      </c>
      <c r="E80" s="430" t="s">
        <v>541</v>
      </c>
      <c r="F80" s="429" t="s">
        <v>542</v>
      </c>
      <c r="G80" s="432" t="s">
        <v>258</v>
      </c>
      <c r="H80" s="429" t="s">
        <v>259</v>
      </c>
      <c r="I80" s="433">
        <v>1152</v>
      </c>
      <c r="J80" s="433">
        <v>0</v>
      </c>
      <c r="K80" s="433">
        <v>1152</v>
      </c>
      <c r="L80" s="433">
        <f t="shared" si="202"/>
        <v>1</v>
      </c>
      <c r="M80" s="434">
        <v>45811</v>
      </c>
      <c r="N80" s="434">
        <v>45815</v>
      </c>
      <c r="O80" s="435" t="s">
        <v>536</v>
      </c>
      <c r="P80" s="435" t="s">
        <v>224</v>
      </c>
      <c r="Q80" s="435" t="s">
        <v>543</v>
      </c>
      <c r="R80" s="435" t="s">
        <v>331</v>
      </c>
      <c r="S80" s="435" t="s">
        <v>191</v>
      </c>
      <c r="T80" s="435" t="s">
        <v>538</v>
      </c>
      <c r="U80" s="435"/>
      <c r="V80" s="438" t="s">
        <v>539</v>
      </c>
      <c r="W80" s="434" t="s">
        <v>265</v>
      </c>
      <c r="X80" s="421">
        <v>555.88</v>
      </c>
      <c r="Y80" s="433">
        <f t="shared" si="195"/>
        <v>555.88</v>
      </c>
      <c r="Z80" s="434" t="s">
        <v>544</v>
      </c>
      <c r="AA80" s="438">
        <v>1152</v>
      </c>
      <c r="AB80" s="438">
        <f t="shared" si="182"/>
        <v>0</v>
      </c>
      <c r="AC80" s="435"/>
      <c r="AD80" s="435" t="s">
        <v>114</v>
      </c>
      <c r="AE80" s="434" t="s">
        <v>258</v>
      </c>
      <c r="AF80" s="434" t="s">
        <v>115</v>
      </c>
      <c r="AG80" s="441">
        <f t="shared" si="185"/>
        <v>1152</v>
      </c>
      <c r="AH80" s="441">
        <f t="shared" si="186"/>
        <v>1152</v>
      </c>
      <c r="AJ80" s="441"/>
      <c r="AK80" s="441">
        <f t="shared" si="199"/>
        <v>1152</v>
      </c>
      <c r="AL80" s="441"/>
      <c r="AM80" s="441"/>
      <c r="AO80" s="441">
        <f t="shared" si="188"/>
        <v>1152</v>
      </c>
      <c r="AP80" s="441"/>
      <c r="AQ80" s="441"/>
      <c r="AR80" s="441"/>
      <c r="AS80" s="441"/>
      <c r="AT80" s="441"/>
      <c r="AU80" s="441"/>
      <c r="AV80" s="441">
        <f>I80/12</f>
        <v>96</v>
      </c>
      <c r="AW80" s="441"/>
      <c r="AX80" s="441"/>
      <c r="AY80" s="441"/>
      <c r="AZ80" s="441"/>
      <c r="BA80" s="441"/>
      <c r="BB80" s="441"/>
      <c r="BC80" s="441"/>
      <c r="BD80" s="441"/>
      <c r="BE80" s="441"/>
      <c r="BF80" s="441"/>
      <c r="BG80" s="441"/>
      <c r="BH80" s="441"/>
      <c r="BI80" s="441"/>
      <c r="BJ80" s="59">
        <f t="shared" ref="BJ80:BR80" si="207">$I80*BJ$2</f>
        <v>141</v>
      </c>
      <c r="BK80" s="59">
        <f t="shared" si="207"/>
        <v>141</v>
      </c>
      <c r="BL80" s="59">
        <f t="shared" si="207"/>
        <v>141</v>
      </c>
      <c r="BM80" s="59">
        <f t="shared" si="207"/>
        <v>141</v>
      </c>
      <c r="BN80" s="59">
        <f t="shared" si="207"/>
        <v>141</v>
      </c>
      <c r="BO80" s="59">
        <f t="shared" si="207"/>
        <v>141</v>
      </c>
      <c r="BP80" s="59">
        <f t="shared" si="207"/>
        <v>141</v>
      </c>
      <c r="BQ80" s="59">
        <f t="shared" si="207"/>
        <v>141</v>
      </c>
      <c r="BR80" s="59">
        <f t="shared" si="207"/>
        <v>24</v>
      </c>
      <c r="BT80" s="59">
        <f t="shared" ref="BT80:CB80" si="208">BT79-BJ80</f>
        <v>107263.677083333</v>
      </c>
      <c r="BU80" s="59">
        <f t="shared" si="208"/>
        <v>107263.677083333</v>
      </c>
      <c r="BV80" s="59">
        <f t="shared" si="208"/>
        <v>107263.677083333</v>
      </c>
      <c r="BW80" s="59">
        <f t="shared" si="208"/>
        <v>107263.677083333</v>
      </c>
      <c r="BX80" s="59">
        <f t="shared" si="208"/>
        <v>107263.677083333</v>
      </c>
      <c r="BY80" s="59">
        <f t="shared" si="208"/>
        <v>107263.677083333</v>
      </c>
      <c r="BZ80" s="59">
        <f t="shared" si="208"/>
        <v>107263.677083333</v>
      </c>
      <c r="CA80" s="59">
        <f t="shared" si="208"/>
        <v>107263.677083333</v>
      </c>
      <c r="CB80" s="59">
        <f t="shared" si="208"/>
        <v>18209.5833333333</v>
      </c>
      <c r="CD80" s="504"/>
    </row>
    <row r="81" s="372" customFormat="1" ht="27" hidden="1" customHeight="1" spans="1:87">
      <c r="A81" s="428">
        <v>45774</v>
      </c>
      <c r="B81" s="429" t="s">
        <v>545</v>
      </c>
      <c r="C81" s="430" t="s">
        <v>117</v>
      </c>
      <c r="D81" s="431">
        <v>4500165209</v>
      </c>
      <c r="E81" s="430" t="s">
        <v>546</v>
      </c>
      <c r="F81" s="429" t="s">
        <v>547</v>
      </c>
      <c r="G81" s="432" t="s">
        <v>78</v>
      </c>
      <c r="H81" s="429" t="s">
        <v>79</v>
      </c>
      <c r="I81" s="433">
        <v>5130</v>
      </c>
      <c r="J81" s="433">
        <v>0</v>
      </c>
      <c r="K81" s="433">
        <v>54</v>
      </c>
      <c r="L81" s="433">
        <f t="shared" si="202"/>
        <v>95</v>
      </c>
      <c r="M81" s="434">
        <v>45817</v>
      </c>
      <c r="N81" s="434">
        <v>45815</v>
      </c>
      <c r="O81" s="435"/>
      <c r="P81" s="435" t="s">
        <v>107</v>
      </c>
      <c r="Q81" s="435" t="s">
        <v>548</v>
      </c>
      <c r="R81" s="435">
        <v>45784</v>
      </c>
      <c r="S81" s="435" t="s">
        <v>80</v>
      </c>
      <c r="T81" s="435" t="s">
        <v>80</v>
      </c>
      <c r="U81" s="435"/>
      <c r="V81" s="438" t="s">
        <v>549</v>
      </c>
      <c r="W81" s="434" t="s">
        <v>406</v>
      </c>
      <c r="X81" s="421">
        <v>0.4715</v>
      </c>
      <c r="Y81" s="433">
        <f t="shared" si="198"/>
        <v>2418.795</v>
      </c>
      <c r="Z81" s="434" t="s">
        <v>550</v>
      </c>
      <c r="AA81" s="438">
        <f>5076+54</f>
        <v>5130</v>
      </c>
      <c r="AB81" s="438">
        <f t="shared" si="182"/>
        <v>0</v>
      </c>
      <c r="AC81" s="435" t="s">
        <v>80</v>
      </c>
      <c r="AD81" s="435" t="s">
        <v>114</v>
      </c>
      <c r="AE81" s="434" t="s">
        <v>78</v>
      </c>
      <c r="AF81" s="434" t="s">
        <v>115</v>
      </c>
      <c r="AG81" s="441">
        <f t="shared" si="185"/>
        <v>5130</v>
      </c>
      <c r="AH81" s="441">
        <f t="shared" si="186"/>
        <v>5130</v>
      </c>
      <c r="AI81" s="441"/>
      <c r="AJ81" s="441"/>
      <c r="AK81" s="441">
        <f t="shared" si="199"/>
        <v>5130</v>
      </c>
      <c r="AL81" s="441"/>
      <c r="AM81" s="441"/>
      <c r="AN81" s="441"/>
      <c r="AO81" s="441">
        <f t="shared" si="188"/>
        <v>5130</v>
      </c>
      <c r="AP81" s="441"/>
      <c r="AQ81" s="441">
        <f t="shared" ref="AQ81:AQ83" si="209">I81/27</f>
        <v>190</v>
      </c>
      <c r="AR81" s="441"/>
      <c r="AS81" s="441"/>
      <c r="AT81" s="441"/>
      <c r="AU81" s="441"/>
      <c r="AV81" s="441"/>
      <c r="AW81" s="441"/>
      <c r="AX81" s="441"/>
      <c r="AY81" s="441"/>
      <c r="AZ81" s="441"/>
      <c r="BA81" s="441"/>
      <c r="BB81" s="441"/>
      <c r="BC81" s="441"/>
      <c r="BD81" s="441"/>
      <c r="BE81" s="441"/>
      <c r="BF81" s="441"/>
      <c r="BG81" s="441"/>
      <c r="BH81" s="441"/>
      <c r="BI81" s="441"/>
      <c r="BJ81" s="423">
        <f t="shared" ref="BJ81:BR81" si="210">$I81*BJ$2</f>
        <v>627.890624999998</v>
      </c>
      <c r="BK81" s="423">
        <f t="shared" si="210"/>
        <v>627.890624999998</v>
      </c>
      <c r="BL81" s="423">
        <f t="shared" si="210"/>
        <v>627.890624999998</v>
      </c>
      <c r="BM81" s="423">
        <f t="shared" si="210"/>
        <v>627.890624999998</v>
      </c>
      <c r="BN81" s="423">
        <f t="shared" si="210"/>
        <v>627.890624999998</v>
      </c>
      <c r="BO81" s="423">
        <f t="shared" si="210"/>
        <v>627.890624999998</v>
      </c>
      <c r="BP81" s="423">
        <f t="shared" si="210"/>
        <v>627.890624999998</v>
      </c>
      <c r="BQ81" s="423">
        <f t="shared" si="210"/>
        <v>627.890624999998</v>
      </c>
      <c r="BR81" s="423">
        <f t="shared" si="210"/>
        <v>106.875</v>
      </c>
      <c r="BT81" s="59">
        <f t="shared" ref="BT81:CB81" si="211">BT80-BJ81</f>
        <v>106635.786458333</v>
      </c>
      <c r="BU81" s="59">
        <f t="shared" si="211"/>
        <v>106635.786458333</v>
      </c>
      <c r="BV81" s="59">
        <f t="shared" si="211"/>
        <v>106635.786458333</v>
      </c>
      <c r="BW81" s="59">
        <f t="shared" si="211"/>
        <v>106635.786458333</v>
      </c>
      <c r="BX81" s="59">
        <f t="shared" si="211"/>
        <v>106635.786458333</v>
      </c>
      <c r="BY81" s="59">
        <f t="shared" si="211"/>
        <v>106635.786458333</v>
      </c>
      <c r="BZ81" s="59">
        <f t="shared" si="211"/>
        <v>106635.786458333</v>
      </c>
      <c r="CA81" s="59">
        <f t="shared" si="211"/>
        <v>106635.786458333</v>
      </c>
      <c r="CB81" s="59">
        <f t="shared" si="211"/>
        <v>18102.7083333333</v>
      </c>
    </row>
    <row r="82" s="372" customFormat="1" ht="27" hidden="1" customHeight="1" spans="1:87">
      <c r="A82" s="428">
        <v>45774</v>
      </c>
      <c r="B82" s="429" t="s">
        <v>545</v>
      </c>
      <c r="C82" s="430" t="s">
        <v>117</v>
      </c>
      <c r="D82" s="431">
        <v>4500165209</v>
      </c>
      <c r="E82" s="430" t="s">
        <v>551</v>
      </c>
      <c r="F82" s="429" t="s">
        <v>552</v>
      </c>
      <c r="G82" s="432" t="s">
        <v>78</v>
      </c>
      <c r="H82" s="429" t="s">
        <v>79</v>
      </c>
      <c r="I82" s="433">
        <v>270</v>
      </c>
      <c r="J82" s="433">
        <v>0</v>
      </c>
      <c r="K82" s="433">
        <v>54</v>
      </c>
      <c r="L82" s="433">
        <f t="shared" si="202"/>
        <v>5</v>
      </c>
      <c r="M82" s="434">
        <v>45817</v>
      </c>
      <c r="N82" s="434">
        <v>45815</v>
      </c>
      <c r="O82" s="435"/>
      <c r="P82" s="435" t="s">
        <v>107</v>
      </c>
      <c r="Q82" s="435" t="s">
        <v>548</v>
      </c>
      <c r="R82" s="435">
        <v>45784</v>
      </c>
      <c r="S82" s="435" t="s">
        <v>80</v>
      </c>
      <c r="T82" s="435" t="s">
        <v>80</v>
      </c>
      <c r="U82" s="435"/>
      <c r="V82" s="438" t="s">
        <v>549</v>
      </c>
      <c r="W82" s="434" t="s">
        <v>406</v>
      </c>
      <c r="X82" s="421">
        <v>0.478</v>
      </c>
      <c r="Y82" s="433">
        <f t="shared" si="198"/>
        <v>129.06</v>
      </c>
      <c r="Z82" s="434" t="s">
        <v>550</v>
      </c>
      <c r="AA82" s="438">
        <v>270</v>
      </c>
      <c r="AB82" s="438">
        <f t="shared" si="182"/>
        <v>0</v>
      </c>
      <c r="AC82" s="435" t="s">
        <v>80</v>
      </c>
      <c r="AD82" s="435" t="s">
        <v>114</v>
      </c>
      <c r="AE82" s="434" t="s">
        <v>78</v>
      </c>
      <c r="AF82" s="434" t="s">
        <v>115</v>
      </c>
      <c r="AG82" s="441">
        <f t="shared" si="185"/>
        <v>270</v>
      </c>
      <c r="AH82" s="441">
        <f t="shared" si="186"/>
        <v>270</v>
      </c>
      <c r="AI82" s="441"/>
      <c r="AJ82" s="441"/>
      <c r="AK82" s="441">
        <f t="shared" si="199"/>
        <v>270</v>
      </c>
      <c r="AL82" s="441"/>
      <c r="AM82" s="441"/>
      <c r="AN82" s="441"/>
      <c r="AO82" s="441">
        <f t="shared" si="188"/>
        <v>270</v>
      </c>
      <c r="AP82" s="441"/>
      <c r="AQ82" s="441">
        <f t="shared" si="209"/>
        <v>10</v>
      </c>
      <c r="AR82" s="441"/>
      <c r="AS82" s="441"/>
      <c r="AT82" s="441"/>
      <c r="AU82" s="441"/>
      <c r="AV82" s="441"/>
      <c r="AW82" s="441"/>
      <c r="AX82" s="441"/>
      <c r="AY82" s="441"/>
      <c r="AZ82" s="441"/>
      <c r="BA82" s="441"/>
      <c r="BB82" s="441"/>
      <c r="BC82" s="441"/>
      <c r="BD82" s="441"/>
      <c r="BE82" s="441"/>
      <c r="BF82" s="441"/>
      <c r="BG82" s="441"/>
      <c r="BH82" s="441"/>
      <c r="BI82" s="441"/>
      <c r="BJ82" s="423">
        <f t="shared" ref="BJ82:BR82" si="212">$I82*BJ$2</f>
        <v>33.0468749999999</v>
      </c>
      <c r="BK82" s="423">
        <f t="shared" si="212"/>
        <v>33.0468749999999</v>
      </c>
      <c r="BL82" s="423">
        <f t="shared" si="212"/>
        <v>33.0468749999999</v>
      </c>
      <c r="BM82" s="423">
        <f t="shared" si="212"/>
        <v>33.0468749999999</v>
      </c>
      <c r="BN82" s="423">
        <f t="shared" si="212"/>
        <v>33.0468749999999</v>
      </c>
      <c r="BO82" s="423">
        <f t="shared" si="212"/>
        <v>33.0468749999999</v>
      </c>
      <c r="BP82" s="423">
        <f t="shared" si="212"/>
        <v>33.0468749999999</v>
      </c>
      <c r="BQ82" s="423">
        <f t="shared" si="212"/>
        <v>33.0468749999999</v>
      </c>
      <c r="BR82" s="423">
        <f t="shared" si="212"/>
        <v>5.62499999999999</v>
      </c>
      <c r="BT82" s="59">
        <f t="shared" ref="BT82:CB82" si="213">BT81-BJ82</f>
        <v>106602.739583333</v>
      </c>
      <c r="BU82" s="59">
        <f t="shared" si="213"/>
        <v>106602.739583333</v>
      </c>
      <c r="BV82" s="59">
        <f t="shared" si="213"/>
        <v>106602.739583333</v>
      </c>
      <c r="BW82" s="59">
        <f t="shared" si="213"/>
        <v>106602.739583333</v>
      </c>
      <c r="BX82" s="59">
        <f t="shared" si="213"/>
        <v>106602.739583333</v>
      </c>
      <c r="BY82" s="59">
        <f t="shared" si="213"/>
        <v>106602.739583333</v>
      </c>
      <c r="BZ82" s="59">
        <f t="shared" si="213"/>
        <v>106602.739583333</v>
      </c>
      <c r="CA82" s="59">
        <f t="shared" si="213"/>
        <v>106602.739583333</v>
      </c>
      <c r="CB82" s="59">
        <f t="shared" si="213"/>
        <v>18097.0833333333</v>
      </c>
    </row>
    <row r="83" s="372" customFormat="1" ht="27" hidden="1" customHeight="1" spans="1:87">
      <c r="A83" s="428">
        <v>45774</v>
      </c>
      <c r="B83" s="429" t="s">
        <v>545</v>
      </c>
      <c r="C83" s="430" t="s">
        <v>117</v>
      </c>
      <c r="D83" s="431">
        <v>4500165209</v>
      </c>
      <c r="E83" s="430" t="s">
        <v>553</v>
      </c>
      <c r="F83" s="429" t="s">
        <v>554</v>
      </c>
      <c r="G83" s="432" t="s">
        <v>78</v>
      </c>
      <c r="H83" s="429" t="s">
        <v>79</v>
      </c>
      <c r="I83" s="433">
        <v>648</v>
      </c>
      <c r="J83" s="433">
        <v>0</v>
      </c>
      <c r="K83" s="433">
        <v>54</v>
      </c>
      <c r="L83" s="433">
        <f t="shared" si="202"/>
        <v>12</v>
      </c>
      <c r="M83" s="434">
        <v>45817</v>
      </c>
      <c r="N83" s="434">
        <v>45815</v>
      </c>
      <c r="O83" s="435"/>
      <c r="P83" s="435" t="s">
        <v>107</v>
      </c>
      <c r="Q83" s="435" t="s">
        <v>548</v>
      </c>
      <c r="R83" s="435">
        <v>45784</v>
      </c>
      <c r="S83" s="435" t="s">
        <v>80</v>
      </c>
      <c r="T83" s="435" t="s">
        <v>80</v>
      </c>
      <c r="U83" s="435"/>
      <c r="V83" s="438" t="s">
        <v>549</v>
      </c>
      <c r="W83" s="434" t="s">
        <v>406</v>
      </c>
      <c r="X83" s="421">
        <v>0.478</v>
      </c>
      <c r="Y83" s="433">
        <f t="shared" si="198"/>
        <v>309.744</v>
      </c>
      <c r="Z83" s="434" t="s">
        <v>550</v>
      </c>
      <c r="AA83" s="438">
        <v>648</v>
      </c>
      <c r="AB83" s="438">
        <f t="shared" si="182"/>
        <v>0</v>
      </c>
      <c r="AC83" s="435" t="s">
        <v>80</v>
      </c>
      <c r="AD83" s="435" t="s">
        <v>114</v>
      </c>
      <c r="AE83" s="434" t="s">
        <v>78</v>
      </c>
      <c r="AF83" s="434" t="s">
        <v>115</v>
      </c>
      <c r="AG83" s="441">
        <f t="shared" si="185"/>
        <v>648</v>
      </c>
      <c r="AH83" s="441">
        <f t="shared" si="186"/>
        <v>648</v>
      </c>
      <c r="AI83" s="441"/>
      <c r="AJ83" s="441"/>
      <c r="AK83" s="441">
        <f t="shared" si="199"/>
        <v>648</v>
      </c>
      <c r="AL83" s="441"/>
      <c r="AM83" s="441"/>
      <c r="AN83" s="441"/>
      <c r="AO83" s="441">
        <f t="shared" si="188"/>
        <v>648</v>
      </c>
      <c r="AP83" s="441"/>
      <c r="AQ83" s="441">
        <f t="shared" si="209"/>
        <v>24</v>
      </c>
      <c r="AR83" s="441"/>
      <c r="AS83" s="441"/>
      <c r="AT83" s="441"/>
      <c r="AU83" s="441"/>
      <c r="AV83" s="441"/>
      <c r="AW83" s="441"/>
      <c r="AX83" s="441"/>
      <c r="AY83" s="441"/>
      <c r="AZ83" s="441"/>
      <c r="BA83" s="441"/>
      <c r="BB83" s="441"/>
      <c r="BC83" s="441"/>
      <c r="BD83" s="441"/>
      <c r="BE83" s="441"/>
      <c r="BF83" s="441"/>
      <c r="BG83" s="441"/>
      <c r="BH83" s="441"/>
      <c r="BI83" s="441"/>
      <c r="BJ83" s="423">
        <f t="shared" ref="BJ83:BR83" si="214">$I83*BJ$2</f>
        <v>79.3124999999998</v>
      </c>
      <c r="BK83" s="423">
        <f t="shared" si="214"/>
        <v>79.3124999999998</v>
      </c>
      <c r="BL83" s="423">
        <f t="shared" si="214"/>
        <v>79.3124999999998</v>
      </c>
      <c r="BM83" s="423">
        <f t="shared" si="214"/>
        <v>79.3124999999998</v>
      </c>
      <c r="BN83" s="423">
        <f t="shared" si="214"/>
        <v>79.3124999999998</v>
      </c>
      <c r="BO83" s="423">
        <f t="shared" si="214"/>
        <v>79.3124999999998</v>
      </c>
      <c r="BP83" s="423">
        <f t="shared" si="214"/>
        <v>79.3124999999998</v>
      </c>
      <c r="BQ83" s="423">
        <f t="shared" si="214"/>
        <v>79.3124999999998</v>
      </c>
      <c r="BR83" s="423">
        <f t="shared" si="214"/>
        <v>13.5</v>
      </c>
      <c r="BT83" s="59">
        <f t="shared" ref="BT83:CB83" si="215">BT82-BJ83</f>
        <v>106523.427083333</v>
      </c>
      <c r="BU83" s="59">
        <f t="shared" si="215"/>
        <v>106523.427083333</v>
      </c>
      <c r="BV83" s="59">
        <f t="shared" si="215"/>
        <v>106523.427083333</v>
      </c>
      <c r="BW83" s="59">
        <f t="shared" si="215"/>
        <v>106523.427083333</v>
      </c>
      <c r="BX83" s="59">
        <f t="shared" si="215"/>
        <v>106523.427083333</v>
      </c>
      <c r="BY83" s="59">
        <f t="shared" si="215"/>
        <v>106523.427083333</v>
      </c>
      <c r="BZ83" s="59">
        <f t="shared" si="215"/>
        <v>106523.427083333</v>
      </c>
      <c r="CA83" s="59">
        <f t="shared" si="215"/>
        <v>106523.427083333</v>
      </c>
      <c r="CB83" s="59">
        <f t="shared" si="215"/>
        <v>18083.5833333333</v>
      </c>
    </row>
    <row r="84" s="372" customFormat="1" ht="27" hidden="1" customHeight="1" spans="1:87">
      <c r="A84" s="428">
        <v>45777</v>
      </c>
      <c r="B84" s="429" t="s">
        <v>555</v>
      </c>
      <c r="C84" s="430" t="s">
        <v>311</v>
      </c>
      <c r="D84" s="431" t="s">
        <v>556</v>
      </c>
      <c r="E84" s="430" t="s">
        <v>557</v>
      </c>
      <c r="F84" s="429"/>
      <c r="G84" s="432" t="s">
        <v>558</v>
      </c>
      <c r="H84" s="429" t="s">
        <v>559</v>
      </c>
      <c r="I84" s="433">
        <v>1530</v>
      </c>
      <c r="J84" s="433">
        <v>0</v>
      </c>
      <c r="K84" s="433">
        <v>30</v>
      </c>
      <c r="L84" s="433">
        <f t="shared" si="202"/>
        <v>51</v>
      </c>
      <c r="M84" s="434">
        <v>45818</v>
      </c>
      <c r="N84" s="434">
        <v>45817</v>
      </c>
      <c r="O84" s="435"/>
      <c r="P84" s="435" t="s">
        <v>224</v>
      </c>
      <c r="Q84" s="435" t="s">
        <v>560</v>
      </c>
      <c r="R84" s="435" t="s">
        <v>528</v>
      </c>
      <c r="S84" s="435" t="s">
        <v>80</v>
      </c>
      <c r="T84" s="435" t="s">
        <v>561</v>
      </c>
      <c r="U84" s="435" t="s">
        <v>156</v>
      </c>
      <c r="V84" s="438" t="s">
        <v>562</v>
      </c>
      <c r="W84" s="434" t="s">
        <v>563</v>
      </c>
      <c r="X84" s="421">
        <v>0.8</v>
      </c>
      <c r="Y84" s="433">
        <f t="shared" si="198"/>
        <v>1224</v>
      </c>
      <c r="Z84" s="434"/>
      <c r="AA84" s="438">
        <v>1530</v>
      </c>
      <c r="AB84" s="438">
        <f t="shared" si="182"/>
        <v>0</v>
      </c>
      <c r="AC84" s="435" t="s">
        <v>113</v>
      </c>
      <c r="AD84" s="435" t="s">
        <v>114</v>
      </c>
      <c r="AE84" s="434" t="s">
        <v>558</v>
      </c>
      <c r="AF84" s="434" t="s">
        <v>115</v>
      </c>
      <c r="AG84" s="441">
        <f t="shared" si="185"/>
        <v>1530</v>
      </c>
      <c r="AH84" s="441">
        <f t="shared" si="186"/>
        <v>1530</v>
      </c>
      <c r="AI84" s="441"/>
      <c r="AJ84" s="441"/>
      <c r="AK84" s="441"/>
      <c r="AL84" s="441">
        <f>I84</f>
        <v>1530</v>
      </c>
      <c r="AM84" s="441"/>
      <c r="AN84" s="441"/>
      <c r="AO84" s="441">
        <f t="shared" si="188"/>
        <v>1530</v>
      </c>
      <c r="AP84" s="441"/>
      <c r="AQ84" s="441"/>
      <c r="AR84" s="441"/>
      <c r="AS84" s="441"/>
      <c r="AT84" s="441"/>
      <c r="AU84" s="441"/>
      <c r="AV84" s="441"/>
      <c r="AW84" s="441"/>
      <c r="AX84" s="441"/>
      <c r="AY84" s="441"/>
      <c r="AZ84" s="441"/>
      <c r="BA84" s="441"/>
      <c r="BB84" s="441"/>
      <c r="BC84" s="441"/>
      <c r="BD84" s="441"/>
      <c r="BE84" s="441"/>
      <c r="BF84" s="441"/>
      <c r="BG84" s="441"/>
      <c r="BH84" s="441"/>
      <c r="BI84" s="441"/>
      <c r="BJ84" s="59">
        <f t="shared" ref="BJ84:BR84" si="216">$I84*BJ$2</f>
        <v>187.265624999999</v>
      </c>
      <c r="BK84" s="59">
        <f t="shared" si="216"/>
        <v>187.265624999999</v>
      </c>
      <c r="BL84" s="59">
        <f t="shared" si="216"/>
        <v>187.265624999999</v>
      </c>
      <c r="BM84" s="59">
        <f t="shared" si="216"/>
        <v>187.265624999999</v>
      </c>
      <c r="BN84" s="59">
        <f t="shared" si="216"/>
        <v>187.265624999999</v>
      </c>
      <c r="BO84" s="59">
        <f t="shared" si="216"/>
        <v>187.265624999999</v>
      </c>
      <c r="BP84" s="59">
        <f t="shared" si="216"/>
        <v>187.265624999999</v>
      </c>
      <c r="BQ84" s="59">
        <f t="shared" si="216"/>
        <v>187.265624999999</v>
      </c>
      <c r="BR84" s="59">
        <f t="shared" si="216"/>
        <v>31.875</v>
      </c>
      <c r="BT84" s="59">
        <f t="shared" ref="BT84:CB84" si="217">BT83-BJ84</f>
        <v>106336.161458333</v>
      </c>
      <c r="BU84" s="59">
        <f t="shared" si="217"/>
        <v>106336.161458333</v>
      </c>
      <c r="BV84" s="59">
        <f t="shared" si="217"/>
        <v>106336.161458333</v>
      </c>
      <c r="BW84" s="59">
        <f t="shared" si="217"/>
        <v>106336.161458333</v>
      </c>
      <c r="BX84" s="59">
        <f t="shared" si="217"/>
        <v>106336.161458333</v>
      </c>
      <c r="BY84" s="59">
        <f t="shared" si="217"/>
        <v>106336.161458333</v>
      </c>
      <c r="BZ84" s="59">
        <f t="shared" si="217"/>
        <v>106336.161458333</v>
      </c>
      <c r="CA84" s="59">
        <f t="shared" si="217"/>
        <v>106336.161458333</v>
      </c>
      <c r="CB84" s="59">
        <f t="shared" si="217"/>
        <v>18051.7083333333</v>
      </c>
    </row>
    <row r="85" s="372" customFormat="1" ht="27" hidden="1" customHeight="1" spans="1:87">
      <c r="A85" s="428">
        <v>45744</v>
      </c>
      <c r="B85" s="429" t="s">
        <v>564</v>
      </c>
      <c r="C85" s="430" t="s">
        <v>117</v>
      </c>
      <c r="D85" s="431">
        <v>4500161803</v>
      </c>
      <c r="E85" s="430" t="s">
        <v>565</v>
      </c>
      <c r="F85" s="429" t="s">
        <v>566</v>
      </c>
      <c r="G85" s="432" t="s">
        <v>152</v>
      </c>
      <c r="H85" s="429" t="s">
        <v>153</v>
      </c>
      <c r="I85" s="433">
        <v>2249</v>
      </c>
      <c r="J85" s="433">
        <v>0</v>
      </c>
      <c r="K85" s="433">
        <v>13</v>
      </c>
      <c r="L85" s="433">
        <f t="shared" si="202"/>
        <v>173</v>
      </c>
      <c r="M85" s="434">
        <v>45819</v>
      </c>
      <c r="N85" s="434">
        <v>45817</v>
      </c>
      <c r="O85" s="434"/>
      <c r="P85" s="496" t="s">
        <v>107</v>
      </c>
      <c r="Q85" s="435" t="s">
        <v>567</v>
      </c>
      <c r="R85" s="435">
        <v>45748</v>
      </c>
      <c r="S85" s="435" t="s">
        <v>80</v>
      </c>
      <c r="T85" s="435" t="s">
        <v>80</v>
      </c>
      <c r="U85" s="435"/>
      <c r="V85" s="438" t="s">
        <v>568</v>
      </c>
      <c r="W85" s="434" t="s">
        <v>569</v>
      </c>
      <c r="X85" s="421">
        <v>0.7931</v>
      </c>
      <c r="Y85" s="433">
        <f t="shared" si="198"/>
        <v>1783.6819</v>
      </c>
      <c r="Z85" s="434" t="s">
        <v>570</v>
      </c>
      <c r="AA85" s="438">
        <v>2249</v>
      </c>
      <c r="AB85" s="438">
        <f t="shared" si="182"/>
        <v>0</v>
      </c>
      <c r="AC85" s="435" t="s">
        <v>80</v>
      </c>
      <c r="AD85" s="435" t="s">
        <v>114</v>
      </c>
      <c r="AE85" s="434" t="s">
        <v>152</v>
      </c>
      <c r="AF85" s="434" t="s">
        <v>115</v>
      </c>
      <c r="AG85" s="441">
        <f t="shared" si="185"/>
        <v>2249</v>
      </c>
      <c r="AH85" s="441">
        <f t="shared" si="186"/>
        <v>2249</v>
      </c>
      <c r="AI85" s="441"/>
      <c r="AJ85" s="441"/>
      <c r="AK85" s="441">
        <f t="shared" ref="AK85:AK92" si="218">I85</f>
        <v>2249</v>
      </c>
      <c r="AL85" s="441"/>
      <c r="AM85" s="441"/>
      <c r="AN85" s="441">
        <f>I85</f>
        <v>2249</v>
      </c>
      <c r="AO85" s="441"/>
      <c r="AP85" s="441"/>
      <c r="AQ85" s="441"/>
      <c r="AR85" s="441"/>
      <c r="AS85" s="441"/>
      <c r="AT85" s="441">
        <f t="shared" ref="AT85:AT90" si="219">I85/13</f>
        <v>173</v>
      </c>
      <c r="AU85" s="441"/>
      <c r="AV85" s="441"/>
      <c r="AW85" s="441"/>
      <c r="AX85" s="441"/>
      <c r="AY85" s="441"/>
      <c r="AZ85" s="441"/>
      <c r="BA85" s="441"/>
      <c r="BB85" s="441"/>
      <c r="BC85" s="441"/>
      <c r="BD85" s="441"/>
      <c r="BE85" s="441"/>
      <c r="BF85" s="441"/>
      <c r="BG85" s="441"/>
      <c r="BH85" s="441"/>
      <c r="BI85" s="441"/>
      <c r="BJ85" s="59">
        <f t="shared" ref="BJ85:BR85" si="220">$I85*BJ$2</f>
        <v>275.268229166666</v>
      </c>
      <c r="BK85" s="59">
        <f t="shared" si="220"/>
        <v>275.268229166666</v>
      </c>
      <c r="BL85" s="59">
        <f t="shared" si="220"/>
        <v>275.268229166666</v>
      </c>
      <c r="BM85" s="59">
        <f t="shared" si="220"/>
        <v>275.268229166666</v>
      </c>
      <c r="BN85" s="59">
        <f t="shared" si="220"/>
        <v>275.268229166666</v>
      </c>
      <c r="BO85" s="59">
        <f t="shared" si="220"/>
        <v>275.268229166666</v>
      </c>
      <c r="BP85" s="59">
        <f t="shared" si="220"/>
        <v>275.268229166666</v>
      </c>
      <c r="BQ85" s="59">
        <f t="shared" si="220"/>
        <v>275.268229166666</v>
      </c>
      <c r="BR85" s="59">
        <f t="shared" si="220"/>
        <v>46.8541666666666</v>
      </c>
      <c r="BT85" s="59">
        <f t="shared" ref="BT85:CB85" si="221">BT84-BJ85</f>
        <v>106060.893229167</v>
      </c>
      <c r="BU85" s="59">
        <f t="shared" si="221"/>
        <v>106060.893229167</v>
      </c>
      <c r="BV85" s="59">
        <f t="shared" si="221"/>
        <v>106060.893229167</v>
      </c>
      <c r="BW85" s="59">
        <f t="shared" si="221"/>
        <v>106060.893229167</v>
      </c>
      <c r="BX85" s="59">
        <f t="shared" si="221"/>
        <v>106060.893229167</v>
      </c>
      <c r="BY85" s="59">
        <f t="shared" si="221"/>
        <v>106060.893229167</v>
      </c>
      <c r="BZ85" s="59">
        <f t="shared" si="221"/>
        <v>106060.893229167</v>
      </c>
      <c r="CA85" s="59">
        <f t="shared" si="221"/>
        <v>106060.893229167</v>
      </c>
      <c r="CB85" s="59">
        <f t="shared" si="221"/>
        <v>18004.8541666667</v>
      </c>
    </row>
    <row r="86" s="372" customFormat="1" ht="27" hidden="1" customHeight="1" spans="1:87">
      <c r="A86" s="428">
        <v>45744</v>
      </c>
      <c r="B86" s="429" t="s">
        <v>564</v>
      </c>
      <c r="C86" s="430" t="s">
        <v>117</v>
      </c>
      <c r="D86" s="431">
        <v>4500161694</v>
      </c>
      <c r="E86" s="430">
        <v>216888483</v>
      </c>
      <c r="F86" s="429" t="s">
        <v>571</v>
      </c>
      <c r="G86" s="432" t="s">
        <v>152</v>
      </c>
      <c r="H86" s="429" t="s">
        <v>153</v>
      </c>
      <c r="I86" s="433">
        <v>1209</v>
      </c>
      <c r="J86" s="433">
        <v>0</v>
      </c>
      <c r="K86" s="433">
        <v>13</v>
      </c>
      <c r="L86" s="433">
        <f t="shared" si="202"/>
        <v>93</v>
      </c>
      <c r="M86" s="434">
        <v>45819</v>
      </c>
      <c r="N86" s="434">
        <v>45815</v>
      </c>
      <c r="O86" s="435"/>
      <c r="P86" s="496" t="s">
        <v>107</v>
      </c>
      <c r="Q86" s="435" t="s">
        <v>567</v>
      </c>
      <c r="R86" s="435">
        <v>45748</v>
      </c>
      <c r="S86" s="435" t="s">
        <v>80</v>
      </c>
      <c r="T86" s="435" t="s">
        <v>80</v>
      </c>
      <c r="U86" s="435"/>
      <c r="V86" s="438" t="s">
        <v>568</v>
      </c>
      <c r="W86" s="434" t="s">
        <v>569</v>
      </c>
      <c r="X86" s="421">
        <v>0.83</v>
      </c>
      <c r="Y86" s="433">
        <f t="shared" si="198"/>
        <v>1003.47</v>
      </c>
      <c r="Z86" s="434" t="s">
        <v>572</v>
      </c>
      <c r="AA86" s="438">
        <v>1209</v>
      </c>
      <c r="AB86" s="438">
        <f t="shared" si="182"/>
        <v>0</v>
      </c>
      <c r="AC86" s="435" t="s">
        <v>80</v>
      </c>
      <c r="AD86" s="435" t="s">
        <v>114</v>
      </c>
      <c r="AE86" s="434" t="s">
        <v>152</v>
      </c>
      <c r="AF86" s="434" t="s">
        <v>115</v>
      </c>
      <c r="AG86" s="441">
        <f t="shared" si="185"/>
        <v>1209</v>
      </c>
      <c r="AH86" s="441">
        <f t="shared" si="186"/>
        <v>1209</v>
      </c>
      <c r="AI86" s="441"/>
      <c r="AJ86" s="441"/>
      <c r="AK86" s="441">
        <f t="shared" si="218"/>
        <v>1209</v>
      </c>
      <c r="AL86" s="441"/>
      <c r="AM86" s="441"/>
      <c r="AN86" s="441">
        <f>I86</f>
        <v>1209</v>
      </c>
      <c r="AO86" s="441"/>
      <c r="AP86" s="441"/>
      <c r="AQ86" s="441"/>
      <c r="AR86" s="441"/>
      <c r="AS86" s="441"/>
      <c r="AT86" s="441">
        <f t="shared" si="219"/>
        <v>93</v>
      </c>
      <c r="AU86" s="441"/>
      <c r="AV86" s="441"/>
      <c r="AW86" s="441"/>
      <c r="AX86" s="441"/>
      <c r="AY86" s="441"/>
      <c r="AZ86" s="441"/>
      <c r="BA86" s="441"/>
      <c r="BB86" s="441"/>
      <c r="BC86" s="441"/>
      <c r="BD86" s="441"/>
      <c r="BE86" s="441"/>
      <c r="BF86" s="441"/>
      <c r="BG86" s="441"/>
      <c r="BH86" s="441"/>
      <c r="BI86" s="441"/>
      <c r="BJ86" s="59">
        <f t="shared" ref="BJ86:BR86" si="222">$I86*BJ$2</f>
        <v>147.9765625</v>
      </c>
      <c r="BK86" s="59">
        <f t="shared" si="222"/>
        <v>147.9765625</v>
      </c>
      <c r="BL86" s="59">
        <f t="shared" si="222"/>
        <v>147.9765625</v>
      </c>
      <c r="BM86" s="59">
        <f t="shared" si="222"/>
        <v>147.9765625</v>
      </c>
      <c r="BN86" s="59">
        <f t="shared" si="222"/>
        <v>147.9765625</v>
      </c>
      <c r="BO86" s="59">
        <f t="shared" si="222"/>
        <v>147.9765625</v>
      </c>
      <c r="BP86" s="59">
        <f t="shared" si="222"/>
        <v>147.9765625</v>
      </c>
      <c r="BQ86" s="59">
        <f t="shared" si="222"/>
        <v>147.9765625</v>
      </c>
      <c r="BR86" s="59">
        <f t="shared" si="222"/>
        <v>25.1875</v>
      </c>
      <c r="BT86" s="59">
        <f t="shared" ref="BT86:CB86" si="223">BT85-BJ86</f>
        <v>105912.916666667</v>
      </c>
      <c r="BU86" s="59">
        <f t="shared" si="223"/>
        <v>105912.916666667</v>
      </c>
      <c r="BV86" s="59">
        <f t="shared" si="223"/>
        <v>105912.916666667</v>
      </c>
      <c r="BW86" s="59">
        <f t="shared" si="223"/>
        <v>105912.916666667</v>
      </c>
      <c r="BX86" s="59">
        <f t="shared" si="223"/>
        <v>105912.916666667</v>
      </c>
      <c r="BY86" s="59">
        <f t="shared" si="223"/>
        <v>105912.916666667</v>
      </c>
      <c r="BZ86" s="59">
        <f t="shared" si="223"/>
        <v>105912.916666667</v>
      </c>
      <c r="CA86" s="59">
        <f t="shared" si="223"/>
        <v>105912.916666667</v>
      </c>
      <c r="CB86" s="59">
        <f t="shared" si="223"/>
        <v>17979.6666666667</v>
      </c>
    </row>
    <row r="87" s="372" customFormat="1" ht="27" hidden="1" customHeight="1" spans="1:87">
      <c r="A87" s="428">
        <v>45757</v>
      </c>
      <c r="B87" s="429" t="s">
        <v>573</v>
      </c>
      <c r="C87" s="430" t="s">
        <v>574</v>
      </c>
      <c r="D87" s="431">
        <v>4500162850</v>
      </c>
      <c r="E87" s="430">
        <v>6000056637</v>
      </c>
      <c r="F87" s="429" t="s">
        <v>575</v>
      </c>
      <c r="G87" s="432" t="s">
        <v>78</v>
      </c>
      <c r="H87" s="429" t="s">
        <v>79</v>
      </c>
      <c r="I87" s="433">
        <v>486</v>
      </c>
      <c r="J87" s="433">
        <v>0</v>
      </c>
      <c r="K87" s="433">
        <v>54</v>
      </c>
      <c r="L87" s="433">
        <f t="shared" si="202"/>
        <v>9</v>
      </c>
      <c r="M87" s="434">
        <v>45821</v>
      </c>
      <c r="N87" s="434">
        <v>45819</v>
      </c>
      <c r="O87" s="435" t="s">
        <v>576</v>
      </c>
      <c r="P87" s="435" t="s">
        <v>224</v>
      </c>
      <c r="Q87" s="435" t="s">
        <v>577</v>
      </c>
      <c r="R87" s="435" t="s">
        <v>578</v>
      </c>
      <c r="S87" s="435" t="s">
        <v>191</v>
      </c>
      <c r="T87" s="435" t="s">
        <v>579</v>
      </c>
      <c r="U87" s="435"/>
      <c r="V87" s="438" t="s">
        <v>580</v>
      </c>
      <c r="W87" s="434" t="s">
        <v>581</v>
      </c>
      <c r="X87" s="421">
        <v>0.7967</v>
      </c>
      <c r="Y87" s="433">
        <f t="shared" si="198"/>
        <v>387.1962</v>
      </c>
      <c r="Z87" s="434"/>
      <c r="AA87" s="438">
        <v>486</v>
      </c>
      <c r="AB87" s="55">
        <f t="shared" si="182"/>
        <v>0</v>
      </c>
      <c r="AC87" s="435"/>
      <c r="AD87" s="435" t="s">
        <v>114</v>
      </c>
      <c r="AE87" s="434" t="s">
        <v>230</v>
      </c>
      <c r="AF87" s="434" t="s">
        <v>115</v>
      </c>
      <c r="AG87" s="441">
        <f t="shared" si="185"/>
        <v>486</v>
      </c>
      <c r="AH87" s="441">
        <f t="shared" si="186"/>
        <v>486</v>
      </c>
      <c r="AI87" s="441"/>
      <c r="AJ87" s="441"/>
      <c r="AK87" s="441"/>
      <c r="AL87" s="441">
        <f>I87</f>
        <v>486</v>
      </c>
      <c r="AM87" s="441"/>
      <c r="AN87" s="441"/>
      <c r="AO87" s="441">
        <f t="shared" ref="AO87:AO93" si="224">I87</f>
        <v>486</v>
      </c>
      <c r="AP87" s="441"/>
      <c r="AQ87" s="441"/>
      <c r="AR87" s="441">
        <f>I87/27</f>
        <v>18</v>
      </c>
      <c r="AS87" s="441"/>
      <c r="AT87" s="441"/>
      <c r="AU87" s="441"/>
      <c r="AV87" s="441"/>
      <c r="AW87" s="441"/>
      <c r="AX87" s="441"/>
      <c r="AY87" s="441"/>
      <c r="AZ87" s="441"/>
      <c r="BA87" s="441"/>
      <c r="BB87" s="441"/>
      <c r="BC87" s="441"/>
      <c r="BD87" s="441"/>
      <c r="BE87" s="441"/>
      <c r="BF87" s="441"/>
      <c r="BG87" s="441"/>
      <c r="BH87" s="441"/>
      <c r="BI87" s="441"/>
      <c r="BJ87" s="423">
        <f t="shared" ref="BJ87:BR87" si="225">$I87*BJ$2</f>
        <v>59.4843749999998</v>
      </c>
      <c r="BK87" s="423">
        <f t="shared" si="225"/>
        <v>59.4843749999998</v>
      </c>
      <c r="BL87" s="423">
        <f t="shared" si="225"/>
        <v>59.4843749999998</v>
      </c>
      <c r="BM87" s="423">
        <f t="shared" si="225"/>
        <v>59.4843749999998</v>
      </c>
      <c r="BN87" s="423">
        <f t="shared" si="225"/>
        <v>59.4843749999998</v>
      </c>
      <c r="BO87" s="423">
        <f t="shared" si="225"/>
        <v>59.4843749999998</v>
      </c>
      <c r="BP87" s="423">
        <f t="shared" si="225"/>
        <v>59.4843749999998</v>
      </c>
      <c r="BQ87" s="423">
        <f t="shared" si="225"/>
        <v>59.4843749999998</v>
      </c>
      <c r="BR87" s="423">
        <f t="shared" si="225"/>
        <v>10.125</v>
      </c>
      <c r="BT87" s="59">
        <f t="shared" ref="BT87:CB87" si="226">BT86-BJ87</f>
        <v>105853.432291667</v>
      </c>
      <c r="BU87" s="59">
        <f t="shared" si="226"/>
        <v>105853.432291667</v>
      </c>
      <c r="BV87" s="59">
        <f t="shared" si="226"/>
        <v>105853.432291667</v>
      </c>
      <c r="BW87" s="59">
        <f t="shared" si="226"/>
        <v>105853.432291667</v>
      </c>
      <c r="BX87" s="59">
        <f t="shared" si="226"/>
        <v>105853.432291667</v>
      </c>
      <c r="BY87" s="59">
        <f t="shared" si="226"/>
        <v>105853.432291667</v>
      </c>
      <c r="BZ87" s="59">
        <f t="shared" si="226"/>
        <v>105853.432291667</v>
      </c>
      <c r="CA87" s="59">
        <f t="shared" si="226"/>
        <v>105853.432291667</v>
      </c>
      <c r="CB87" s="59">
        <f t="shared" si="226"/>
        <v>17969.5416666667</v>
      </c>
    </row>
    <row r="88" s="372" customFormat="1" ht="27" hidden="1" customHeight="1" spans="1:87">
      <c r="A88" s="428">
        <v>45758</v>
      </c>
      <c r="B88" s="429" t="s">
        <v>582</v>
      </c>
      <c r="C88" s="430" t="s">
        <v>117</v>
      </c>
      <c r="D88" s="431">
        <v>4500163428</v>
      </c>
      <c r="E88" s="430" t="s">
        <v>583</v>
      </c>
      <c r="F88" s="429" t="s">
        <v>584</v>
      </c>
      <c r="G88" s="432" t="s">
        <v>152</v>
      </c>
      <c r="H88" s="429" t="s">
        <v>153</v>
      </c>
      <c r="I88" s="433">
        <v>2600</v>
      </c>
      <c r="J88" s="433">
        <v>0</v>
      </c>
      <c r="K88" s="433">
        <v>13</v>
      </c>
      <c r="L88" s="433">
        <f t="shared" si="202"/>
        <v>200</v>
      </c>
      <c r="M88" s="434">
        <v>45824</v>
      </c>
      <c r="N88" s="434">
        <v>45822</v>
      </c>
      <c r="O88" s="435"/>
      <c r="P88" s="435" t="s">
        <v>107</v>
      </c>
      <c r="Q88" s="435" t="s">
        <v>585</v>
      </c>
      <c r="R88" s="435">
        <v>45758</v>
      </c>
      <c r="S88" s="435" t="s">
        <v>80</v>
      </c>
      <c r="T88" s="435" t="s">
        <v>80</v>
      </c>
      <c r="U88" s="435"/>
      <c r="V88" s="438" t="s">
        <v>586</v>
      </c>
      <c r="W88" s="498" t="s">
        <v>587</v>
      </c>
      <c r="X88" s="421">
        <v>0.7931</v>
      </c>
      <c r="Y88" s="433">
        <f t="shared" si="198"/>
        <v>2062.06</v>
      </c>
      <c r="Z88" s="434" t="s">
        <v>588</v>
      </c>
      <c r="AA88" s="438">
        <f>2470+130</f>
        <v>2600</v>
      </c>
      <c r="AB88" s="55">
        <f t="shared" si="182"/>
        <v>0</v>
      </c>
      <c r="AC88" s="435" t="s">
        <v>80</v>
      </c>
      <c r="AD88" s="435" t="s">
        <v>114</v>
      </c>
      <c r="AE88" s="434" t="s">
        <v>152</v>
      </c>
      <c r="AF88" s="434" t="s">
        <v>115</v>
      </c>
      <c r="AG88" s="441">
        <f t="shared" si="185"/>
        <v>2600</v>
      </c>
      <c r="AH88" s="441">
        <f t="shared" si="186"/>
        <v>2600</v>
      </c>
      <c r="AI88" s="441"/>
      <c r="AJ88" s="441"/>
      <c r="AK88" s="441">
        <f t="shared" si="218"/>
        <v>2600</v>
      </c>
      <c r="AL88" s="441"/>
      <c r="AM88" s="441"/>
      <c r="AN88" s="441"/>
      <c r="AO88" s="441">
        <f t="shared" si="224"/>
        <v>2600</v>
      </c>
      <c r="AP88" s="441"/>
      <c r="AQ88" s="441"/>
      <c r="AR88" s="441"/>
      <c r="AS88" s="441"/>
      <c r="AT88" s="441">
        <f t="shared" si="219"/>
        <v>200</v>
      </c>
      <c r="AU88" s="441"/>
      <c r="AV88" s="441"/>
      <c r="AW88" s="441"/>
      <c r="AX88" s="441"/>
      <c r="AY88" s="441"/>
      <c r="AZ88" s="441"/>
      <c r="BA88" s="441"/>
      <c r="BB88" s="441"/>
      <c r="BC88" s="441"/>
      <c r="BD88" s="441"/>
      <c r="BE88" s="441"/>
      <c r="BF88" s="441"/>
      <c r="BG88" s="441"/>
      <c r="BH88" s="441"/>
      <c r="BI88" s="441"/>
      <c r="BJ88" s="59">
        <f t="shared" ref="BJ88:BR88" si="227">$I88*BJ$2</f>
        <v>318.229166666666</v>
      </c>
      <c r="BK88" s="59">
        <f t="shared" si="227"/>
        <v>318.229166666666</v>
      </c>
      <c r="BL88" s="59">
        <f t="shared" si="227"/>
        <v>318.229166666666</v>
      </c>
      <c r="BM88" s="59">
        <f t="shared" si="227"/>
        <v>318.229166666666</v>
      </c>
      <c r="BN88" s="59">
        <f t="shared" si="227"/>
        <v>318.229166666666</v>
      </c>
      <c r="BO88" s="59">
        <f t="shared" si="227"/>
        <v>318.229166666666</v>
      </c>
      <c r="BP88" s="59">
        <f t="shared" si="227"/>
        <v>318.229166666666</v>
      </c>
      <c r="BQ88" s="59">
        <f t="shared" si="227"/>
        <v>318.229166666666</v>
      </c>
      <c r="BR88" s="59">
        <f t="shared" si="227"/>
        <v>54.1666666666666</v>
      </c>
      <c r="BT88" s="59">
        <f t="shared" ref="BT88:CB88" si="228">BT87-BJ88</f>
        <v>105535.203125</v>
      </c>
      <c r="BU88" s="59">
        <f t="shared" si="228"/>
        <v>105535.203125</v>
      </c>
      <c r="BV88" s="59">
        <f t="shared" si="228"/>
        <v>105535.203125</v>
      </c>
      <c r="BW88" s="59">
        <f t="shared" si="228"/>
        <v>105535.203125</v>
      </c>
      <c r="BX88" s="59">
        <f t="shared" si="228"/>
        <v>105535.203125</v>
      </c>
      <c r="BY88" s="59">
        <f t="shared" si="228"/>
        <v>105535.203125</v>
      </c>
      <c r="BZ88" s="59">
        <f t="shared" si="228"/>
        <v>105535.203125</v>
      </c>
      <c r="CA88" s="59">
        <f t="shared" si="228"/>
        <v>105535.203125</v>
      </c>
      <c r="CB88" s="59">
        <f t="shared" si="228"/>
        <v>17915.375</v>
      </c>
    </row>
    <row r="89" s="372" customFormat="1" ht="27" hidden="1" customHeight="1" spans="1:87">
      <c r="A89" s="428">
        <v>45758</v>
      </c>
      <c r="B89" s="429" t="s">
        <v>582</v>
      </c>
      <c r="C89" s="430" t="s">
        <v>117</v>
      </c>
      <c r="D89" s="431">
        <v>4500163428</v>
      </c>
      <c r="E89" s="430" t="s">
        <v>589</v>
      </c>
      <c r="F89" s="429" t="s">
        <v>590</v>
      </c>
      <c r="G89" s="432" t="s">
        <v>152</v>
      </c>
      <c r="H89" s="429" t="s">
        <v>153</v>
      </c>
      <c r="I89" s="433">
        <v>4680</v>
      </c>
      <c r="J89" s="433">
        <v>0</v>
      </c>
      <c r="K89" s="433">
        <v>13</v>
      </c>
      <c r="L89" s="433">
        <f t="shared" si="202"/>
        <v>360</v>
      </c>
      <c r="M89" s="434">
        <v>45824</v>
      </c>
      <c r="N89" s="434">
        <v>45822</v>
      </c>
      <c r="O89" s="435"/>
      <c r="P89" s="435" t="s">
        <v>107</v>
      </c>
      <c r="Q89" s="435" t="s">
        <v>585</v>
      </c>
      <c r="R89" s="435">
        <v>45758</v>
      </c>
      <c r="S89" s="435" t="s">
        <v>80</v>
      </c>
      <c r="T89" s="435" t="s">
        <v>80</v>
      </c>
      <c r="U89" s="435"/>
      <c r="V89" s="438" t="s">
        <v>586</v>
      </c>
      <c r="W89" s="498" t="s">
        <v>587</v>
      </c>
      <c r="X89" s="421">
        <v>0.7931</v>
      </c>
      <c r="Y89" s="433">
        <f t="shared" si="198"/>
        <v>3711.708</v>
      </c>
      <c r="Z89" s="434" t="s">
        <v>591</v>
      </c>
      <c r="AA89" s="438">
        <f>4667+13</f>
        <v>4680</v>
      </c>
      <c r="AB89" s="55">
        <f t="shared" si="182"/>
        <v>0</v>
      </c>
      <c r="AC89" s="435" t="s">
        <v>80</v>
      </c>
      <c r="AD89" s="435" t="s">
        <v>114</v>
      </c>
      <c r="AE89" s="434" t="s">
        <v>152</v>
      </c>
      <c r="AF89" s="434" t="s">
        <v>115</v>
      </c>
      <c r="AG89" s="441">
        <f t="shared" si="185"/>
        <v>4680</v>
      </c>
      <c r="AH89" s="441">
        <f t="shared" si="186"/>
        <v>4680</v>
      </c>
      <c r="AI89" s="441"/>
      <c r="AJ89" s="441"/>
      <c r="AK89" s="441">
        <f t="shared" si="218"/>
        <v>4680</v>
      </c>
      <c r="AL89" s="441"/>
      <c r="AM89" s="441"/>
      <c r="AN89" s="441"/>
      <c r="AO89" s="441">
        <f t="shared" si="224"/>
        <v>4680</v>
      </c>
      <c r="AP89" s="441"/>
      <c r="AQ89" s="441"/>
      <c r="AR89" s="441"/>
      <c r="AS89" s="441"/>
      <c r="AT89" s="441">
        <f t="shared" si="219"/>
        <v>360</v>
      </c>
      <c r="AU89" s="441"/>
      <c r="AV89" s="441"/>
      <c r="AW89" s="441"/>
      <c r="AX89" s="441"/>
      <c r="AY89" s="441"/>
      <c r="AZ89" s="441"/>
      <c r="BA89" s="441"/>
      <c r="BB89" s="441"/>
      <c r="BC89" s="441"/>
      <c r="BD89" s="441"/>
      <c r="BE89" s="441"/>
      <c r="BF89" s="441"/>
      <c r="BG89" s="441"/>
      <c r="BH89" s="441"/>
      <c r="BI89" s="441"/>
      <c r="BJ89" s="59">
        <f t="shared" ref="BJ89:BR89" si="229">$I89*BJ$2</f>
        <v>572.812499999998</v>
      </c>
      <c r="BK89" s="59">
        <f t="shared" si="229"/>
        <v>572.812499999998</v>
      </c>
      <c r="BL89" s="59">
        <f t="shared" si="229"/>
        <v>572.812499999998</v>
      </c>
      <c r="BM89" s="59">
        <f t="shared" si="229"/>
        <v>572.812499999998</v>
      </c>
      <c r="BN89" s="59">
        <f t="shared" si="229"/>
        <v>572.812499999998</v>
      </c>
      <c r="BO89" s="59">
        <f t="shared" si="229"/>
        <v>572.812499999998</v>
      </c>
      <c r="BP89" s="59">
        <f t="shared" si="229"/>
        <v>572.812499999998</v>
      </c>
      <c r="BQ89" s="59">
        <f t="shared" si="229"/>
        <v>572.812499999998</v>
      </c>
      <c r="BR89" s="59">
        <f t="shared" si="229"/>
        <v>97.4999999999998</v>
      </c>
      <c r="BT89" s="59">
        <f t="shared" ref="BT89:CB89" si="230">BT88-BJ89</f>
        <v>104962.390625</v>
      </c>
      <c r="BU89" s="59">
        <f t="shared" si="230"/>
        <v>104962.390625</v>
      </c>
      <c r="BV89" s="59">
        <f t="shared" si="230"/>
        <v>104962.390625</v>
      </c>
      <c r="BW89" s="59">
        <f t="shared" si="230"/>
        <v>104962.390625</v>
      </c>
      <c r="BX89" s="59">
        <f t="shared" si="230"/>
        <v>104962.390625</v>
      </c>
      <c r="BY89" s="59">
        <f t="shared" si="230"/>
        <v>104962.390625</v>
      </c>
      <c r="BZ89" s="59">
        <f t="shared" si="230"/>
        <v>104962.390625</v>
      </c>
      <c r="CA89" s="59">
        <f t="shared" si="230"/>
        <v>104962.390625</v>
      </c>
      <c r="CB89" s="59">
        <f t="shared" si="230"/>
        <v>17817.875</v>
      </c>
    </row>
    <row r="90" s="371" customFormat="1" ht="27" hidden="1" customHeight="1" spans="1:87">
      <c r="A90" s="410">
        <v>45777</v>
      </c>
      <c r="B90" s="411" t="s">
        <v>592</v>
      </c>
      <c r="C90" s="412" t="s">
        <v>593</v>
      </c>
      <c r="D90" s="413">
        <v>4500165462</v>
      </c>
      <c r="E90" s="412" t="s">
        <v>594</v>
      </c>
      <c r="F90" s="411" t="s">
        <v>595</v>
      </c>
      <c r="G90" s="414" t="s">
        <v>94</v>
      </c>
      <c r="H90" s="411" t="s">
        <v>211</v>
      </c>
      <c r="I90" s="415">
        <v>1040</v>
      </c>
      <c r="J90" s="415">
        <v>0</v>
      </c>
      <c r="K90" s="415">
        <v>52</v>
      </c>
      <c r="L90" s="415">
        <f t="shared" si="202"/>
        <v>20</v>
      </c>
      <c r="M90" s="416">
        <v>45812</v>
      </c>
      <c r="N90" s="416">
        <v>45815</v>
      </c>
      <c r="O90" s="417"/>
      <c r="P90" s="417" t="s">
        <v>224</v>
      </c>
      <c r="Q90" s="417" t="s">
        <v>596</v>
      </c>
      <c r="R90" s="417">
        <v>45786</v>
      </c>
      <c r="S90" s="417" t="s">
        <v>80</v>
      </c>
      <c r="T90" s="417" t="s">
        <v>597</v>
      </c>
      <c r="U90" s="417"/>
      <c r="V90" s="420" t="s">
        <v>598</v>
      </c>
      <c r="W90" s="416" t="s">
        <v>599</v>
      </c>
      <c r="X90" s="421">
        <v>0.7855</v>
      </c>
      <c r="Y90" s="415">
        <f t="shared" si="198"/>
        <v>816.92</v>
      </c>
      <c r="Z90" s="416"/>
      <c r="AA90" s="420">
        <v>1040</v>
      </c>
      <c r="AB90" s="420">
        <f t="shared" si="182"/>
        <v>0</v>
      </c>
      <c r="AC90" s="417" t="s">
        <v>113</v>
      </c>
      <c r="AD90" s="417" t="s">
        <v>114</v>
      </c>
      <c r="AE90" s="416" t="s">
        <v>94</v>
      </c>
      <c r="AF90" s="416" t="s">
        <v>115</v>
      </c>
      <c r="AG90" s="422">
        <f t="shared" si="185"/>
        <v>1040</v>
      </c>
      <c r="AH90" s="422">
        <f t="shared" si="186"/>
        <v>1040</v>
      </c>
      <c r="AJ90" s="422"/>
      <c r="AK90" s="422">
        <f t="shared" si="218"/>
        <v>1040</v>
      </c>
      <c r="AL90" s="422"/>
      <c r="AM90" s="422"/>
      <c r="AO90" s="422">
        <f t="shared" si="224"/>
        <v>1040</v>
      </c>
      <c r="AP90" s="422"/>
      <c r="AQ90" s="422"/>
      <c r="AR90" s="422"/>
      <c r="AS90" s="422"/>
      <c r="AT90" s="422">
        <f t="shared" si="219"/>
        <v>80</v>
      </c>
      <c r="AU90" s="422"/>
      <c r="AV90" s="422"/>
      <c r="AW90" s="422"/>
      <c r="AX90" s="422"/>
      <c r="AY90" s="422"/>
      <c r="AZ90" s="422"/>
      <c r="BA90" s="422"/>
      <c r="BB90" s="422"/>
      <c r="BC90" s="422"/>
      <c r="BD90" s="422"/>
      <c r="BE90" s="422"/>
      <c r="BF90" s="422"/>
      <c r="BG90" s="422"/>
      <c r="BH90" s="422"/>
      <c r="BI90" s="422"/>
      <c r="BJ90" s="423">
        <f t="shared" ref="BJ90:BR90" si="231">$I90*BJ$2</f>
        <v>127.291666666666</v>
      </c>
      <c r="BK90" s="423">
        <f t="shared" si="231"/>
        <v>127.291666666666</v>
      </c>
      <c r="BL90" s="423">
        <f t="shared" si="231"/>
        <v>127.291666666666</v>
      </c>
      <c r="BM90" s="423">
        <f t="shared" si="231"/>
        <v>127.291666666666</v>
      </c>
      <c r="BN90" s="423">
        <f t="shared" si="231"/>
        <v>127.291666666666</v>
      </c>
      <c r="BO90" s="423">
        <f t="shared" si="231"/>
        <v>127.291666666666</v>
      </c>
      <c r="BP90" s="423">
        <f t="shared" si="231"/>
        <v>127.291666666666</v>
      </c>
      <c r="BQ90" s="423">
        <f t="shared" si="231"/>
        <v>127.291666666666</v>
      </c>
      <c r="BR90" s="423">
        <f t="shared" si="231"/>
        <v>21.6666666666666</v>
      </c>
      <c r="BT90" s="59">
        <f t="shared" ref="BT90:CB90" si="232">BT89-BJ90</f>
        <v>104835.098958333</v>
      </c>
      <c r="BU90" s="59">
        <f t="shared" si="232"/>
        <v>104835.098958333</v>
      </c>
      <c r="BV90" s="59">
        <f t="shared" si="232"/>
        <v>104835.098958333</v>
      </c>
      <c r="BW90" s="59">
        <f t="shared" si="232"/>
        <v>104835.098958333</v>
      </c>
      <c r="BX90" s="59">
        <f t="shared" si="232"/>
        <v>104835.098958333</v>
      </c>
      <c r="BY90" s="59">
        <f t="shared" si="232"/>
        <v>104835.098958333</v>
      </c>
      <c r="BZ90" s="59">
        <f t="shared" si="232"/>
        <v>104835.098958333</v>
      </c>
      <c r="CA90" s="59">
        <f t="shared" si="232"/>
        <v>104835.098958333</v>
      </c>
      <c r="CB90" s="59">
        <f t="shared" si="232"/>
        <v>17796.2083333333</v>
      </c>
      <c r="CD90" s="495"/>
    </row>
    <row r="91" s="372" customFormat="1" ht="27" hidden="1" customHeight="1" spans="1:87">
      <c r="A91" s="428">
        <v>45792</v>
      </c>
      <c r="B91" s="429" t="s">
        <v>600</v>
      </c>
      <c r="C91" s="430" t="s">
        <v>117</v>
      </c>
      <c r="D91" s="431">
        <v>4500166538</v>
      </c>
      <c r="E91" s="532" t="s">
        <v>601</v>
      </c>
      <c r="F91" s="429" t="s">
        <v>602</v>
      </c>
      <c r="G91" s="432" t="s">
        <v>258</v>
      </c>
      <c r="H91" s="429" t="s">
        <v>259</v>
      </c>
      <c r="I91" s="433">
        <v>1152</v>
      </c>
      <c r="J91" s="433">
        <v>0</v>
      </c>
      <c r="K91" s="433">
        <v>1152</v>
      </c>
      <c r="L91" s="433">
        <f t="shared" si="202"/>
        <v>1</v>
      </c>
      <c r="M91" s="434">
        <v>45817</v>
      </c>
      <c r="N91" s="434">
        <v>45815</v>
      </c>
      <c r="O91" s="435" t="s">
        <v>603</v>
      </c>
      <c r="P91" s="435" t="s">
        <v>107</v>
      </c>
      <c r="Q91" s="435" t="s">
        <v>604</v>
      </c>
      <c r="R91" s="435" t="s">
        <v>331</v>
      </c>
      <c r="S91" s="435" t="s">
        <v>191</v>
      </c>
      <c r="T91" s="435" t="s">
        <v>605</v>
      </c>
      <c r="U91" s="435"/>
      <c r="V91" s="438" t="s">
        <v>606</v>
      </c>
      <c r="W91" s="434" t="s">
        <v>607</v>
      </c>
      <c r="X91" s="421">
        <v>555.88</v>
      </c>
      <c r="Y91" s="433">
        <f>X91*L91</f>
        <v>555.88</v>
      </c>
      <c r="Z91" s="434" t="s">
        <v>608</v>
      </c>
      <c r="AA91" s="438">
        <f>1092+60</f>
        <v>1152</v>
      </c>
      <c r="AB91" s="55">
        <f t="shared" si="182"/>
        <v>0</v>
      </c>
      <c r="AC91" s="435"/>
      <c r="AD91" s="435" t="s">
        <v>114</v>
      </c>
      <c r="AE91" s="434" t="s">
        <v>258</v>
      </c>
      <c r="AF91" s="434" t="s">
        <v>115</v>
      </c>
      <c r="AG91" s="441">
        <f t="shared" si="185"/>
        <v>1152</v>
      </c>
      <c r="AH91" s="441">
        <f t="shared" si="186"/>
        <v>1152</v>
      </c>
      <c r="AI91" s="441"/>
      <c r="AJ91" s="441"/>
      <c r="AK91" s="441">
        <f t="shared" si="218"/>
        <v>1152</v>
      </c>
      <c r="AL91" s="441"/>
      <c r="AM91" s="441"/>
      <c r="AN91" s="441"/>
      <c r="AO91" s="441">
        <f t="shared" si="224"/>
        <v>1152</v>
      </c>
      <c r="AP91" s="441"/>
      <c r="AQ91" s="441"/>
      <c r="AR91" s="441"/>
      <c r="AS91" s="441"/>
      <c r="AT91" s="441"/>
      <c r="AU91" s="441"/>
      <c r="AV91" s="441">
        <f>I91/12</f>
        <v>96</v>
      </c>
      <c r="AW91" s="441"/>
      <c r="AX91" s="441"/>
      <c r="AY91" s="441"/>
      <c r="AZ91" s="441"/>
      <c r="BA91" s="441"/>
      <c r="BB91" s="441"/>
      <c r="BC91" s="441"/>
      <c r="BD91" s="441"/>
      <c r="BE91" s="441"/>
      <c r="BF91" s="441"/>
      <c r="BG91" s="441"/>
      <c r="BH91" s="441"/>
      <c r="BI91" s="441"/>
      <c r="BJ91" s="59">
        <f t="shared" ref="BJ91:BR91" si="233">$I91*BJ$2</f>
        <v>141</v>
      </c>
      <c r="BK91" s="59">
        <f t="shared" si="233"/>
        <v>141</v>
      </c>
      <c r="BL91" s="59">
        <f t="shared" si="233"/>
        <v>141</v>
      </c>
      <c r="BM91" s="59">
        <f t="shared" si="233"/>
        <v>141</v>
      </c>
      <c r="BN91" s="59">
        <f t="shared" si="233"/>
        <v>141</v>
      </c>
      <c r="BO91" s="59">
        <f t="shared" si="233"/>
        <v>141</v>
      </c>
      <c r="BP91" s="59">
        <f t="shared" si="233"/>
        <v>141</v>
      </c>
      <c r="BQ91" s="59">
        <f t="shared" si="233"/>
        <v>141</v>
      </c>
      <c r="BR91" s="59">
        <f t="shared" si="233"/>
        <v>24</v>
      </c>
      <c r="BT91" s="59">
        <f t="shared" ref="BT91:CB91" si="234">BT90-BJ91</f>
        <v>104694.098958333</v>
      </c>
      <c r="BU91" s="59">
        <f t="shared" si="234"/>
        <v>104694.098958333</v>
      </c>
      <c r="BV91" s="59">
        <f t="shared" si="234"/>
        <v>104694.098958333</v>
      </c>
      <c r="BW91" s="59">
        <f t="shared" si="234"/>
        <v>104694.098958333</v>
      </c>
      <c r="BX91" s="59">
        <f t="shared" si="234"/>
        <v>104694.098958333</v>
      </c>
      <c r="BY91" s="59">
        <f t="shared" si="234"/>
        <v>104694.098958333</v>
      </c>
      <c r="BZ91" s="59">
        <f t="shared" si="234"/>
        <v>104694.098958333</v>
      </c>
      <c r="CA91" s="59">
        <f t="shared" si="234"/>
        <v>104694.098958333</v>
      </c>
      <c r="CB91" s="59">
        <f t="shared" si="234"/>
        <v>17772.2083333333</v>
      </c>
    </row>
    <row r="92" s="372" customFormat="1" ht="27" hidden="1" customHeight="1" spans="1:87">
      <c r="A92" s="428">
        <v>45775</v>
      </c>
      <c r="B92" s="429" t="s">
        <v>326</v>
      </c>
      <c r="C92" s="430" t="s">
        <v>117</v>
      </c>
      <c r="D92" s="431">
        <v>4500162798</v>
      </c>
      <c r="E92" s="430" t="s">
        <v>609</v>
      </c>
      <c r="F92" s="429" t="s">
        <v>610</v>
      </c>
      <c r="G92" s="432" t="s">
        <v>258</v>
      </c>
      <c r="H92" s="429" t="s">
        <v>259</v>
      </c>
      <c r="I92" s="433">
        <v>1152</v>
      </c>
      <c r="J92" s="433">
        <v>0</v>
      </c>
      <c r="K92" s="433">
        <v>1152</v>
      </c>
      <c r="L92" s="433">
        <f t="shared" si="202"/>
        <v>1</v>
      </c>
      <c r="M92" s="434">
        <v>45819</v>
      </c>
      <c r="N92" s="434">
        <v>45817</v>
      </c>
      <c r="O92" s="435" t="s">
        <v>611</v>
      </c>
      <c r="P92" s="435" t="s">
        <v>107</v>
      </c>
      <c r="Q92" s="435" t="s">
        <v>604</v>
      </c>
      <c r="R92" s="435" t="s">
        <v>331</v>
      </c>
      <c r="S92" s="435" t="s">
        <v>191</v>
      </c>
      <c r="T92" s="435" t="s">
        <v>538</v>
      </c>
      <c r="U92" s="435"/>
      <c r="V92" s="438" t="s">
        <v>539</v>
      </c>
      <c r="W92" s="434" t="s">
        <v>265</v>
      </c>
      <c r="X92" s="421">
        <v>555.88</v>
      </c>
      <c r="Y92" s="433">
        <f>X92*L92</f>
        <v>555.88</v>
      </c>
      <c r="Z92" s="434" t="s">
        <v>612</v>
      </c>
      <c r="AA92" s="438">
        <v>1152</v>
      </c>
      <c r="AB92" s="55">
        <f t="shared" si="182"/>
        <v>0</v>
      </c>
      <c r="AC92" s="435"/>
      <c r="AD92" s="435" t="s">
        <v>114</v>
      </c>
      <c r="AE92" s="434" t="s">
        <v>258</v>
      </c>
      <c r="AF92" s="434" t="s">
        <v>115</v>
      </c>
      <c r="AG92" s="441">
        <f t="shared" si="185"/>
        <v>1152</v>
      </c>
      <c r="AH92" s="441">
        <f t="shared" si="186"/>
        <v>1152</v>
      </c>
      <c r="AI92" s="441"/>
      <c r="AJ92" s="441"/>
      <c r="AK92" s="441">
        <f t="shared" si="218"/>
        <v>1152</v>
      </c>
      <c r="AL92" s="441"/>
      <c r="AM92" s="441"/>
      <c r="AN92" s="441"/>
      <c r="AO92" s="441">
        <f t="shared" si="224"/>
        <v>1152</v>
      </c>
      <c r="AP92" s="441"/>
      <c r="AQ92" s="441"/>
      <c r="AR92" s="441"/>
      <c r="AS92" s="441"/>
      <c r="AT92" s="441"/>
      <c r="AU92" s="441"/>
      <c r="AV92" s="441">
        <f>I92/12</f>
        <v>96</v>
      </c>
      <c r="AW92" s="441"/>
      <c r="AX92" s="441"/>
      <c r="AY92" s="441"/>
      <c r="AZ92" s="441"/>
      <c r="BA92" s="441"/>
      <c r="BB92" s="441"/>
      <c r="BC92" s="441"/>
      <c r="BD92" s="441"/>
      <c r="BE92" s="441"/>
      <c r="BF92" s="441"/>
      <c r="BG92" s="441"/>
      <c r="BH92" s="441"/>
      <c r="BI92" s="441"/>
      <c r="BJ92" s="59">
        <f t="shared" ref="BJ92:BR92" si="235">$I92*BJ$2</f>
        <v>141</v>
      </c>
      <c r="BK92" s="59">
        <f t="shared" si="235"/>
        <v>141</v>
      </c>
      <c r="BL92" s="59">
        <f t="shared" si="235"/>
        <v>141</v>
      </c>
      <c r="BM92" s="59">
        <f t="shared" si="235"/>
        <v>141</v>
      </c>
      <c r="BN92" s="59">
        <f t="shared" si="235"/>
        <v>141</v>
      </c>
      <c r="BO92" s="59">
        <f t="shared" si="235"/>
        <v>141</v>
      </c>
      <c r="BP92" s="59">
        <f t="shared" si="235"/>
        <v>141</v>
      </c>
      <c r="BQ92" s="59">
        <f t="shared" si="235"/>
        <v>141</v>
      </c>
      <c r="BR92" s="59">
        <f t="shared" si="235"/>
        <v>24</v>
      </c>
      <c r="BT92" s="59">
        <f t="shared" ref="BT92:CB92" si="236">BT91-BJ92</f>
        <v>104553.098958333</v>
      </c>
      <c r="BU92" s="59">
        <f t="shared" si="236"/>
        <v>104553.098958333</v>
      </c>
      <c r="BV92" s="59">
        <f t="shared" si="236"/>
        <v>104553.098958333</v>
      </c>
      <c r="BW92" s="59">
        <f t="shared" si="236"/>
        <v>104553.098958333</v>
      </c>
      <c r="BX92" s="59">
        <f t="shared" si="236"/>
        <v>104553.098958333</v>
      </c>
      <c r="BY92" s="59">
        <f t="shared" si="236"/>
        <v>104553.098958333</v>
      </c>
      <c r="BZ92" s="59">
        <f t="shared" si="236"/>
        <v>104553.098958333</v>
      </c>
      <c r="CA92" s="59">
        <f t="shared" si="236"/>
        <v>104553.098958333</v>
      </c>
      <c r="CB92" s="59">
        <f t="shared" si="236"/>
        <v>17748.2083333333</v>
      </c>
    </row>
    <row r="93" s="371" customFormat="1" ht="27" hidden="1" customHeight="1" spans="1:87">
      <c r="A93" s="410">
        <v>45785</v>
      </c>
      <c r="B93" s="411" t="s">
        <v>613</v>
      </c>
      <c r="C93" s="412" t="s">
        <v>614</v>
      </c>
      <c r="D93" s="413">
        <v>4500165739</v>
      </c>
      <c r="E93" s="412" t="s">
        <v>615</v>
      </c>
      <c r="F93" s="411" t="s">
        <v>616</v>
      </c>
      <c r="G93" s="414" t="s">
        <v>94</v>
      </c>
      <c r="H93" s="411" t="s">
        <v>211</v>
      </c>
      <c r="I93" s="415">
        <v>2444</v>
      </c>
      <c r="J93" s="415">
        <v>0</v>
      </c>
      <c r="K93" s="415">
        <v>52</v>
      </c>
      <c r="L93" s="415">
        <f t="shared" si="202"/>
        <v>47</v>
      </c>
      <c r="M93" s="416">
        <v>45821</v>
      </c>
      <c r="N93" s="507">
        <v>45817</v>
      </c>
      <c r="O93" s="417"/>
      <c r="P93" s="417" t="s">
        <v>224</v>
      </c>
      <c r="Q93" s="417" t="s">
        <v>617</v>
      </c>
      <c r="R93" s="417">
        <v>45786</v>
      </c>
      <c r="S93" s="417" t="s">
        <v>80</v>
      </c>
      <c r="T93" s="417" t="s">
        <v>618</v>
      </c>
      <c r="U93" s="417"/>
      <c r="V93" s="420" t="s">
        <v>619</v>
      </c>
      <c r="W93" s="416" t="s">
        <v>620</v>
      </c>
      <c r="X93" s="421">
        <v>0.8186</v>
      </c>
      <c r="Y93" s="415">
        <f t="shared" ref="Y93:Y96" si="237">X93*I93</f>
        <v>2000.6584</v>
      </c>
      <c r="Z93" s="416"/>
      <c r="AA93" s="420">
        <v>2444</v>
      </c>
      <c r="AB93" s="420">
        <f t="shared" si="182"/>
        <v>0</v>
      </c>
      <c r="AC93" s="417" t="s">
        <v>113</v>
      </c>
      <c r="AD93" s="417" t="s">
        <v>114</v>
      </c>
      <c r="AE93" s="416" t="s">
        <v>414</v>
      </c>
      <c r="AF93" s="416" t="s">
        <v>115</v>
      </c>
      <c r="AG93" s="422">
        <f t="shared" si="185"/>
        <v>2444</v>
      </c>
      <c r="AH93" s="422">
        <f t="shared" si="186"/>
        <v>2444</v>
      </c>
      <c r="AI93" s="422"/>
      <c r="AJ93" s="422"/>
      <c r="AK93" s="422"/>
      <c r="AL93" s="422">
        <f t="shared" ref="AL93:AL96" si="238">I93</f>
        <v>2444</v>
      </c>
      <c r="AM93" s="422"/>
      <c r="AN93" s="422"/>
      <c r="AO93" s="422">
        <f t="shared" si="224"/>
        <v>2444</v>
      </c>
      <c r="AP93" s="422"/>
      <c r="AQ93" s="422"/>
      <c r="AR93" s="422"/>
      <c r="AS93" s="422"/>
      <c r="AT93" s="422"/>
      <c r="AU93" s="422">
        <f>I93/13</f>
        <v>188</v>
      </c>
      <c r="AV93" s="422"/>
      <c r="AW93" s="422"/>
      <c r="AX93" s="422"/>
      <c r="AY93" s="422"/>
      <c r="AZ93" s="422"/>
      <c r="BA93" s="422"/>
      <c r="BB93" s="422"/>
      <c r="BC93" s="422"/>
      <c r="BD93" s="422"/>
      <c r="BE93" s="422"/>
      <c r="BF93" s="422"/>
      <c r="BG93" s="422"/>
      <c r="BH93" s="422"/>
      <c r="BI93" s="422"/>
      <c r="BJ93" s="423">
        <f t="shared" ref="BJ93:BR93" si="239">$I93*BJ$2</f>
        <v>299.135416666666</v>
      </c>
      <c r="BK93" s="423">
        <f t="shared" si="239"/>
        <v>299.135416666666</v>
      </c>
      <c r="BL93" s="423">
        <f t="shared" si="239"/>
        <v>299.135416666666</v>
      </c>
      <c r="BM93" s="423">
        <f t="shared" si="239"/>
        <v>299.135416666666</v>
      </c>
      <c r="BN93" s="423">
        <f t="shared" si="239"/>
        <v>299.135416666666</v>
      </c>
      <c r="BO93" s="423">
        <f t="shared" si="239"/>
        <v>299.135416666666</v>
      </c>
      <c r="BP93" s="423">
        <f t="shared" si="239"/>
        <v>299.135416666666</v>
      </c>
      <c r="BQ93" s="423">
        <f t="shared" si="239"/>
        <v>299.135416666666</v>
      </c>
      <c r="BR93" s="423">
        <f t="shared" si="239"/>
        <v>50.9166666666666</v>
      </c>
      <c r="BT93" s="59">
        <f t="shared" ref="BT93:CB93" si="240">BT92-BJ93</f>
        <v>104253.963541667</v>
      </c>
      <c r="BU93" s="59">
        <f t="shared" si="240"/>
        <v>104253.963541667</v>
      </c>
      <c r="BV93" s="59">
        <f t="shared" si="240"/>
        <v>104253.963541667</v>
      </c>
      <c r="BW93" s="59">
        <f t="shared" si="240"/>
        <v>104253.963541667</v>
      </c>
      <c r="BX93" s="59">
        <f t="shared" si="240"/>
        <v>104253.963541667</v>
      </c>
      <c r="BY93" s="59">
        <f t="shared" si="240"/>
        <v>104253.963541667</v>
      </c>
      <c r="BZ93" s="59">
        <f t="shared" si="240"/>
        <v>104253.963541667</v>
      </c>
      <c r="CA93" s="59">
        <f t="shared" si="240"/>
        <v>104253.963541667</v>
      </c>
      <c r="CB93" s="59">
        <f t="shared" si="240"/>
        <v>17697.2916666667</v>
      </c>
    </row>
    <row r="94" s="371" customFormat="1" ht="27" hidden="1" customHeight="1" spans="1:87">
      <c r="A94" s="410">
        <v>45765</v>
      </c>
      <c r="B94" s="411" t="s">
        <v>621</v>
      </c>
      <c r="C94" s="412" t="s">
        <v>396</v>
      </c>
      <c r="D94" s="413">
        <v>4500164250</v>
      </c>
      <c r="E94" s="412" t="s">
        <v>622</v>
      </c>
      <c r="F94" s="411" t="s">
        <v>623</v>
      </c>
      <c r="G94" s="414" t="s">
        <v>188</v>
      </c>
      <c r="H94" s="411" t="s">
        <v>120</v>
      </c>
      <c r="I94" s="415">
        <v>504</v>
      </c>
      <c r="J94" s="415">
        <v>0</v>
      </c>
      <c r="K94" s="415">
        <v>12</v>
      </c>
      <c r="L94" s="415">
        <f t="shared" si="202"/>
        <v>42</v>
      </c>
      <c r="M94" s="416">
        <v>45814</v>
      </c>
      <c r="N94" s="416">
        <v>45815</v>
      </c>
      <c r="O94" s="417"/>
      <c r="P94" s="417" t="s">
        <v>224</v>
      </c>
      <c r="Q94" s="417" t="s">
        <v>624</v>
      </c>
      <c r="R94" s="417" t="s">
        <v>190</v>
      </c>
      <c r="S94" s="417" t="s">
        <v>191</v>
      </c>
      <c r="T94" s="417" t="s">
        <v>625</v>
      </c>
      <c r="U94" s="417"/>
      <c r="V94" s="420" t="s">
        <v>626</v>
      </c>
      <c r="W94" s="416" t="s">
        <v>194</v>
      </c>
      <c r="X94" s="421">
        <v>1.8626</v>
      </c>
      <c r="Y94" s="415">
        <f t="shared" si="237"/>
        <v>938.7504</v>
      </c>
      <c r="Z94" s="416"/>
      <c r="AA94" s="420">
        <v>504</v>
      </c>
      <c r="AB94" s="420">
        <f t="shared" si="182"/>
        <v>0</v>
      </c>
      <c r="AC94" s="417"/>
      <c r="AD94" s="417" t="s">
        <v>114</v>
      </c>
      <c r="AE94" s="416" t="s">
        <v>188</v>
      </c>
      <c r="AF94" s="416" t="s">
        <v>115</v>
      </c>
      <c r="AG94" s="422">
        <f>I94*2</f>
        <v>1008</v>
      </c>
      <c r="AH94" s="422">
        <f>I94*2</f>
        <v>1008</v>
      </c>
      <c r="AJ94" s="422"/>
      <c r="AK94" s="422"/>
      <c r="AL94" s="422">
        <f>I94*2</f>
        <v>1008</v>
      </c>
      <c r="AM94" s="422"/>
      <c r="AO94" s="422">
        <f>I94*2</f>
        <v>1008</v>
      </c>
      <c r="AP94" s="422"/>
      <c r="AQ94" s="422"/>
      <c r="AR94" s="422"/>
      <c r="AS94" s="422"/>
      <c r="AT94" s="422"/>
      <c r="AU94" s="422"/>
      <c r="AV94" s="422"/>
      <c r="AW94" s="422"/>
      <c r="AX94" s="422"/>
      <c r="AY94" s="422"/>
      <c r="AZ94" s="422"/>
      <c r="BA94" s="422"/>
      <c r="BB94" s="422"/>
      <c r="BC94" s="422"/>
      <c r="BD94" s="422"/>
      <c r="BE94" s="422"/>
      <c r="BF94" s="422">
        <f>I94</f>
        <v>504</v>
      </c>
      <c r="BG94" s="422">
        <f>I94</f>
        <v>504</v>
      </c>
      <c r="BH94" s="422"/>
      <c r="BI94" s="422"/>
      <c r="BJ94" s="423">
        <f t="shared" ref="BJ94:BR94" si="241">$I94*BJ$2*2</f>
        <v>123.375</v>
      </c>
      <c r="BK94" s="423">
        <f t="shared" si="241"/>
        <v>123.375</v>
      </c>
      <c r="BL94" s="423">
        <f t="shared" si="241"/>
        <v>123.375</v>
      </c>
      <c r="BM94" s="423">
        <f t="shared" si="241"/>
        <v>123.375</v>
      </c>
      <c r="BN94" s="423">
        <f t="shared" si="241"/>
        <v>123.375</v>
      </c>
      <c r="BO94" s="423">
        <f t="shared" si="241"/>
        <v>123.375</v>
      </c>
      <c r="BP94" s="423">
        <f t="shared" si="241"/>
        <v>123.375</v>
      </c>
      <c r="BQ94" s="423">
        <f t="shared" si="241"/>
        <v>123.375</v>
      </c>
      <c r="BR94" s="423">
        <f t="shared" si="241"/>
        <v>21</v>
      </c>
      <c r="BT94" s="59">
        <f t="shared" ref="BT94:CB94" si="242">BT93-BJ94</f>
        <v>104130.588541667</v>
      </c>
      <c r="BU94" s="59">
        <f t="shared" si="242"/>
        <v>104130.588541667</v>
      </c>
      <c r="BV94" s="59">
        <f t="shared" si="242"/>
        <v>104130.588541667</v>
      </c>
      <c r="BW94" s="59">
        <f t="shared" si="242"/>
        <v>104130.588541667</v>
      </c>
      <c r="BX94" s="59">
        <f t="shared" si="242"/>
        <v>104130.588541667</v>
      </c>
      <c r="BY94" s="59">
        <f t="shared" si="242"/>
        <v>104130.588541667</v>
      </c>
      <c r="BZ94" s="59">
        <f t="shared" si="242"/>
        <v>104130.588541667</v>
      </c>
      <c r="CA94" s="59">
        <f t="shared" si="242"/>
        <v>104130.588541667</v>
      </c>
      <c r="CB94" s="59">
        <f t="shared" si="242"/>
        <v>17676.2916666667</v>
      </c>
      <c r="CD94" s="495" t="s">
        <v>499</v>
      </c>
      <c r="CE94" s="371">
        <v>10000</v>
      </c>
      <c r="CF94" s="371">
        <v>5000</v>
      </c>
      <c r="CH94" s="371">
        <f>CE94-I94</f>
        <v>9496</v>
      </c>
      <c r="CI94" s="371">
        <f>CF94-I94</f>
        <v>4496</v>
      </c>
    </row>
    <row r="95" s="371" customFormat="1" ht="27" hidden="1" customHeight="1" spans="1:87">
      <c r="A95" s="410">
        <v>45786</v>
      </c>
      <c r="B95" s="411" t="s">
        <v>627</v>
      </c>
      <c r="C95" s="412" t="s">
        <v>574</v>
      </c>
      <c r="D95" s="413">
        <v>4500165810</v>
      </c>
      <c r="E95" s="412"/>
      <c r="F95" s="411" t="s">
        <v>628</v>
      </c>
      <c r="G95" s="414" t="s">
        <v>78</v>
      </c>
      <c r="H95" s="411" t="s">
        <v>79</v>
      </c>
      <c r="I95" s="415">
        <v>7236</v>
      </c>
      <c r="J95" s="415">
        <v>0</v>
      </c>
      <c r="K95" s="415">
        <v>54</v>
      </c>
      <c r="L95" s="415">
        <f t="shared" si="202"/>
        <v>134</v>
      </c>
      <c r="M95" s="416">
        <v>45820</v>
      </c>
      <c r="N95" s="507">
        <v>45817</v>
      </c>
      <c r="O95" s="417"/>
      <c r="P95" s="417" t="s">
        <v>107</v>
      </c>
      <c r="Q95" s="417" t="s">
        <v>629</v>
      </c>
      <c r="R95" s="417">
        <v>45790</v>
      </c>
      <c r="S95" s="417" t="s">
        <v>80</v>
      </c>
      <c r="T95" s="417" t="s">
        <v>630</v>
      </c>
      <c r="U95" s="417"/>
      <c r="V95" s="420" t="s">
        <v>631</v>
      </c>
      <c r="W95" s="416" t="s">
        <v>632</v>
      </c>
      <c r="X95" s="421">
        <v>0.7687</v>
      </c>
      <c r="Y95" s="415">
        <f t="shared" si="237"/>
        <v>5562.3132</v>
      </c>
      <c r="Z95" s="508" t="s">
        <v>633</v>
      </c>
      <c r="AA95" s="420">
        <v>7236</v>
      </c>
      <c r="AB95" s="420">
        <f t="shared" si="182"/>
        <v>0</v>
      </c>
      <c r="AC95" s="417" t="s">
        <v>113</v>
      </c>
      <c r="AD95" s="417" t="s">
        <v>114</v>
      </c>
      <c r="AE95" s="416" t="s">
        <v>230</v>
      </c>
      <c r="AF95" s="416" t="s">
        <v>115</v>
      </c>
      <c r="AG95" s="422">
        <f t="shared" ref="AG95:AG114" si="243">I95</f>
        <v>7236</v>
      </c>
      <c r="AH95" s="422">
        <f t="shared" ref="AH95:AH103" si="244">I95</f>
        <v>7236</v>
      </c>
      <c r="AI95" s="422"/>
      <c r="AJ95" s="422"/>
      <c r="AK95" s="422"/>
      <c r="AL95" s="422">
        <f t="shared" si="238"/>
        <v>7236</v>
      </c>
      <c r="AM95" s="422"/>
      <c r="AO95" s="422">
        <f t="shared" ref="AO95:AO105" si="245">I95</f>
        <v>7236</v>
      </c>
      <c r="AP95" s="422"/>
      <c r="AQ95" s="422"/>
      <c r="AR95" s="422">
        <f>I95/27</f>
        <v>268</v>
      </c>
      <c r="AS95" s="422"/>
      <c r="AT95" s="422"/>
      <c r="AU95" s="422"/>
      <c r="AV95" s="422"/>
      <c r="AW95" s="422"/>
      <c r="AX95" s="422"/>
      <c r="AY95" s="422"/>
      <c r="AZ95" s="422"/>
      <c r="BA95" s="422"/>
      <c r="BB95" s="422"/>
      <c r="BC95" s="422"/>
      <c r="BD95" s="422"/>
      <c r="BE95" s="422"/>
      <c r="BF95" s="422"/>
      <c r="BG95" s="422"/>
      <c r="BH95" s="422"/>
      <c r="BI95" s="422"/>
      <c r="BJ95" s="423">
        <f t="shared" ref="BJ95:BR95" si="246">$I95*BJ$2</f>
        <v>885.656249999998</v>
      </c>
      <c r="BK95" s="423">
        <f t="shared" si="246"/>
        <v>885.656249999998</v>
      </c>
      <c r="BL95" s="423">
        <f t="shared" si="246"/>
        <v>885.656249999998</v>
      </c>
      <c r="BM95" s="423">
        <f t="shared" si="246"/>
        <v>885.656249999998</v>
      </c>
      <c r="BN95" s="423">
        <f t="shared" si="246"/>
        <v>885.656249999998</v>
      </c>
      <c r="BO95" s="423">
        <f t="shared" si="246"/>
        <v>885.656249999998</v>
      </c>
      <c r="BP95" s="423">
        <f t="shared" si="246"/>
        <v>885.656249999998</v>
      </c>
      <c r="BQ95" s="423">
        <f t="shared" si="246"/>
        <v>885.656249999998</v>
      </c>
      <c r="BR95" s="423">
        <f t="shared" si="246"/>
        <v>150.75</v>
      </c>
      <c r="BT95" s="59">
        <f t="shared" ref="BT95:CB95" si="247">BT94-BJ95</f>
        <v>103244.932291667</v>
      </c>
      <c r="BU95" s="59">
        <f t="shared" si="247"/>
        <v>103244.932291667</v>
      </c>
      <c r="BV95" s="59">
        <f t="shared" si="247"/>
        <v>103244.932291667</v>
      </c>
      <c r="BW95" s="59">
        <f t="shared" si="247"/>
        <v>103244.932291667</v>
      </c>
      <c r="BX95" s="59">
        <f t="shared" si="247"/>
        <v>103244.932291667</v>
      </c>
      <c r="BY95" s="59">
        <f t="shared" si="247"/>
        <v>103244.932291667</v>
      </c>
      <c r="BZ95" s="59">
        <f t="shared" si="247"/>
        <v>103244.932291667</v>
      </c>
      <c r="CA95" s="59">
        <f t="shared" si="247"/>
        <v>103244.932291667</v>
      </c>
      <c r="CB95" s="59">
        <f t="shared" si="247"/>
        <v>17525.5416666667</v>
      </c>
    </row>
    <row r="96" s="371" customFormat="1" ht="27" hidden="1" customHeight="1" spans="1:87">
      <c r="A96" s="410">
        <v>45758</v>
      </c>
      <c r="B96" s="411" t="s">
        <v>634</v>
      </c>
      <c r="C96" s="412" t="s">
        <v>574</v>
      </c>
      <c r="D96" s="413">
        <v>4500163238</v>
      </c>
      <c r="E96" s="412"/>
      <c r="F96" s="411" t="s">
        <v>635</v>
      </c>
      <c r="G96" s="414" t="s">
        <v>78</v>
      </c>
      <c r="H96" s="411" t="s">
        <v>79</v>
      </c>
      <c r="I96" s="415">
        <v>540</v>
      </c>
      <c r="J96" s="415">
        <v>0</v>
      </c>
      <c r="K96" s="415">
        <v>54</v>
      </c>
      <c r="L96" s="415">
        <f t="shared" si="202"/>
        <v>10</v>
      </c>
      <c r="M96" s="416">
        <v>45821</v>
      </c>
      <c r="N96" s="507">
        <v>45817</v>
      </c>
      <c r="O96" s="417"/>
      <c r="P96" s="417" t="s">
        <v>224</v>
      </c>
      <c r="Q96" s="417" t="s">
        <v>636</v>
      </c>
      <c r="R96" s="417">
        <v>45786</v>
      </c>
      <c r="S96" s="417" t="s">
        <v>80</v>
      </c>
      <c r="T96" s="417" t="s">
        <v>637</v>
      </c>
      <c r="U96" s="417"/>
      <c r="V96" s="420" t="s">
        <v>638</v>
      </c>
      <c r="W96" s="416" t="s">
        <v>581</v>
      </c>
      <c r="X96" s="421">
        <v>0.7967</v>
      </c>
      <c r="Y96" s="415">
        <f t="shared" si="237"/>
        <v>430.218</v>
      </c>
      <c r="Z96" s="416"/>
      <c r="AA96" s="420">
        <v>540</v>
      </c>
      <c r="AB96" s="420">
        <f t="shared" si="182"/>
        <v>0</v>
      </c>
      <c r="AC96" s="417" t="s">
        <v>113</v>
      </c>
      <c r="AD96" s="417" t="s">
        <v>114</v>
      </c>
      <c r="AE96" s="416" t="s">
        <v>230</v>
      </c>
      <c r="AF96" s="416" t="s">
        <v>115</v>
      </c>
      <c r="AG96" s="422">
        <f t="shared" si="243"/>
        <v>540</v>
      </c>
      <c r="AH96" s="422">
        <f t="shared" si="244"/>
        <v>540</v>
      </c>
      <c r="AI96" s="422"/>
      <c r="AJ96" s="422"/>
      <c r="AK96" s="422"/>
      <c r="AL96" s="422">
        <f t="shared" si="238"/>
        <v>540</v>
      </c>
      <c r="AM96" s="422"/>
      <c r="AN96" s="422"/>
      <c r="AO96" s="422">
        <f t="shared" si="245"/>
        <v>540</v>
      </c>
      <c r="AP96" s="422"/>
      <c r="AQ96" s="422"/>
      <c r="AR96" s="422">
        <f>I96/27</f>
        <v>20</v>
      </c>
      <c r="AS96" s="422"/>
      <c r="AT96" s="422"/>
      <c r="AU96" s="422"/>
      <c r="AV96" s="422"/>
      <c r="AW96" s="422"/>
      <c r="AX96" s="422"/>
      <c r="AY96" s="422"/>
      <c r="AZ96" s="422"/>
      <c r="BA96" s="422"/>
      <c r="BB96" s="422"/>
      <c r="BC96" s="422"/>
      <c r="BD96" s="422"/>
      <c r="BE96" s="422"/>
      <c r="BF96" s="422"/>
      <c r="BG96" s="422"/>
      <c r="BH96" s="422"/>
      <c r="BI96" s="422"/>
      <c r="BJ96" s="423">
        <f t="shared" ref="BJ96:BR96" si="248">$I96*BJ$2</f>
        <v>66.0937499999998</v>
      </c>
      <c r="BK96" s="423">
        <f t="shared" si="248"/>
        <v>66.0937499999998</v>
      </c>
      <c r="BL96" s="423">
        <f t="shared" si="248"/>
        <v>66.0937499999998</v>
      </c>
      <c r="BM96" s="423">
        <f t="shared" si="248"/>
        <v>66.0937499999998</v>
      </c>
      <c r="BN96" s="423">
        <f t="shared" si="248"/>
        <v>66.0937499999998</v>
      </c>
      <c r="BO96" s="423">
        <f t="shared" si="248"/>
        <v>66.0937499999998</v>
      </c>
      <c r="BP96" s="423">
        <f t="shared" si="248"/>
        <v>66.0937499999998</v>
      </c>
      <c r="BQ96" s="423">
        <f t="shared" si="248"/>
        <v>66.0937499999998</v>
      </c>
      <c r="BR96" s="423">
        <f t="shared" si="248"/>
        <v>11.25</v>
      </c>
      <c r="BT96" s="59">
        <f t="shared" ref="BT96:CB96" si="249">BT95-BJ96</f>
        <v>103178.838541667</v>
      </c>
      <c r="BU96" s="59">
        <f t="shared" si="249"/>
        <v>103178.838541667</v>
      </c>
      <c r="BV96" s="59">
        <f t="shared" si="249"/>
        <v>103178.838541667</v>
      </c>
      <c r="BW96" s="59">
        <f t="shared" si="249"/>
        <v>103178.838541667</v>
      </c>
      <c r="BX96" s="59">
        <f t="shared" si="249"/>
        <v>103178.838541667</v>
      </c>
      <c r="BY96" s="59">
        <f t="shared" si="249"/>
        <v>103178.838541667</v>
      </c>
      <c r="BZ96" s="59">
        <f t="shared" si="249"/>
        <v>103178.838541667</v>
      </c>
      <c r="CA96" s="59">
        <f t="shared" si="249"/>
        <v>103178.838541667</v>
      </c>
      <c r="CB96" s="59">
        <f t="shared" si="249"/>
        <v>17514.2916666667</v>
      </c>
    </row>
    <row r="97" s="371" customFormat="1" ht="27" hidden="1" customHeight="1" spans="1:80">
      <c r="A97" s="410">
        <v>45775</v>
      </c>
      <c r="B97" s="411" t="s">
        <v>326</v>
      </c>
      <c r="C97" s="412" t="s">
        <v>117</v>
      </c>
      <c r="D97" s="413">
        <v>4500162823</v>
      </c>
      <c r="E97" s="412" t="s">
        <v>639</v>
      </c>
      <c r="F97" s="411" t="s">
        <v>640</v>
      </c>
      <c r="G97" s="414" t="s">
        <v>258</v>
      </c>
      <c r="H97" s="411" t="s">
        <v>259</v>
      </c>
      <c r="I97" s="415">
        <v>1152</v>
      </c>
      <c r="J97" s="415">
        <v>0</v>
      </c>
      <c r="K97" s="415">
        <v>1152</v>
      </c>
      <c r="L97" s="415">
        <f t="shared" si="202"/>
        <v>1</v>
      </c>
      <c r="M97" s="416">
        <v>45825</v>
      </c>
      <c r="N97" s="416">
        <v>45821</v>
      </c>
      <c r="O97" s="417" t="s">
        <v>641</v>
      </c>
      <c r="P97" s="417" t="s">
        <v>107</v>
      </c>
      <c r="Q97" s="417" t="s">
        <v>642</v>
      </c>
      <c r="R97" s="417" t="s">
        <v>331</v>
      </c>
      <c r="S97" s="417" t="s">
        <v>191</v>
      </c>
      <c r="T97" s="417" t="s">
        <v>538</v>
      </c>
      <c r="U97" s="417"/>
      <c r="V97" s="420" t="s">
        <v>539</v>
      </c>
      <c r="W97" s="416" t="s">
        <v>265</v>
      </c>
      <c r="X97" s="421">
        <v>555.88</v>
      </c>
      <c r="Y97" s="415">
        <f t="shared" ref="Y97:Y99" si="250">X97*L97</f>
        <v>555.88</v>
      </c>
      <c r="Z97" s="416" t="s">
        <v>643</v>
      </c>
      <c r="AA97" s="420">
        <f>1152</f>
        <v>1152</v>
      </c>
      <c r="AB97" s="420">
        <f t="shared" si="182"/>
        <v>0</v>
      </c>
      <c r="AC97" s="417"/>
      <c r="AD97" s="417" t="s">
        <v>114</v>
      </c>
      <c r="AE97" s="416" t="s">
        <v>258</v>
      </c>
      <c r="AF97" s="416" t="s">
        <v>115</v>
      </c>
      <c r="AG97" s="422">
        <f t="shared" si="243"/>
        <v>1152</v>
      </c>
      <c r="AH97" s="422">
        <f t="shared" si="244"/>
        <v>1152</v>
      </c>
      <c r="AI97" s="422"/>
      <c r="AJ97" s="422"/>
      <c r="AK97" s="422">
        <f t="shared" ref="AK97:AK102" si="251">I97</f>
        <v>1152</v>
      </c>
      <c r="AL97" s="422"/>
      <c r="AM97" s="422"/>
      <c r="AN97" s="422"/>
      <c r="AO97" s="422">
        <f t="shared" si="245"/>
        <v>1152</v>
      </c>
      <c r="AP97" s="422"/>
      <c r="AQ97" s="422"/>
      <c r="AR97" s="422"/>
      <c r="AS97" s="422"/>
      <c r="AT97" s="422"/>
      <c r="AU97" s="422"/>
      <c r="AV97" s="422">
        <f t="shared" ref="AV97:AV99" si="252">I97/12</f>
        <v>96</v>
      </c>
      <c r="AW97" s="422"/>
      <c r="AX97" s="422"/>
      <c r="AY97" s="422"/>
      <c r="AZ97" s="422"/>
      <c r="BA97" s="422"/>
      <c r="BB97" s="422"/>
      <c r="BC97" s="422"/>
      <c r="BD97" s="422"/>
      <c r="BE97" s="422"/>
      <c r="BF97" s="422"/>
      <c r="BG97" s="422"/>
      <c r="BH97" s="422"/>
      <c r="BI97" s="422"/>
      <c r="BJ97" s="423">
        <f t="shared" ref="BJ97:BR97" si="253">$I97*BJ$2</f>
        <v>141</v>
      </c>
      <c r="BK97" s="423">
        <f t="shared" si="253"/>
        <v>141</v>
      </c>
      <c r="BL97" s="423">
        <f t="shared" si="253"/>
        <v>141</v>
      </c>
      <c r="BM97" s="423">
        <f t="shared" si="253"/>
        <v>141</v>
      </c>
      <c r="BN97" s="423">
        <f t="shared" si="253"/>
        <v>141</v>
      </c>
      <c r="BO97" s="423">
        <f t="shared" si="253"/>
        <v>141</v>
      </c>
      <c r="BP97" s="423">
        <f t="shared" si="253"/>
        <v>141</v>
      </c>
      <c r="BQ97" s="423">
        <f t="shared" si="253"/>
        <v>141</v>
      </c>
      <c r="BR97" s="423">
        <f t="shared" si="253"/>
        <v>24</v>
      </c>
      <c r="BT97" s="59">
        <f t="shared" ref="BT97:CB97" si="254">BT96-BJ97</f>
        <v>103037.838541667</v>
      </c>
      <c r="BU97" s="59">
        <f t="shared" si="254"/>
        <v>103037.838541667</v>
      </c>
      <c r="BV97" s="59">
        <f t="shared" si="254"/>
        <v>103037.838541667</v>
      </c>
      <c r="BW97" s="59">
        <f t="shared" si="254"/>
        <v>103037.838541667</v>
      </c>
      <c r="BX97" s="59">
        <f t="shared" si="254"/>
        <v>103037.838541667</v>
      </c>
      <c r="BY97" s="59">
        <f t="shared" si="254"/>
        <v>103037.838541667</v>
      </c>
      <c r="BZ97" s="59">
        <f t="shared" si="254"/>
        <v>103037.838541667</v>
      </c>
      <c r="CA97" s="59">
        <f t="shared" si="254"/>
        <v>103037.838541667</v>
      </c>
      <c r="CB97" s="59">
        <f t="shared" si="254"/>
        <v>17490.2916666667</v>
      </c>
    </row>
    <row r="98" s="371" customFormat="1" ht="27" hidden="1" customHeight="1" spans="1:80">
      <c r="A98" s="410">
        <v>45775</v>
      </c>
      <c r="B98" s="411" t="s">
        <v>326</v>
      </c>
      <c r="C98" s="412" t="s">
        <v>117</v>
      </c>
      <c r="D98" s="413">
        <v>4500162823</v>
      </c>
      <c r="E98" s="412" t="s">
        <v>644</v>
      </c>
      <c r="F98" s="411" t="s">
        <v>645</v>
      </c>
      <c r="G98" s="414" t="s">
        <v>258</v>
      </c>
      <c r="H98" s="411" t="s">
        <v>259</v>
      </c>
      <c r="I98" s="415">
        <v>1152</v>
      </c>
      <c r="J98" s="415">
        <v>0</v>
      </c>
      <c r="K98" s="415">
        <v>1152</v>
      </c>
      <c r="L98" s="415">
        <f t="shared" si="202"/>
        <v>1</v>
      </c>
      <c r="M98" s="416">
        <v>45825</v>
      </c>
      <c r="N98" s="416">
        <v>45821</v>
      </c>
      <c r="O98" s="417" t="s">
        <v>646</v>
      </c>
      <c r="P98" s="417" t="s">
        <v>107</v>
      </c>
      <c r="Q98" s="417" t="s">
        <v>647</v>
      </c>
      <c r="R98" s="417" t="s">
        <v>331</v>
      </c>
      <c r="S98" s="417" t="s">
        <v>191</v>
      </c>
      <c r="T98" s="417" t="s">
        <v>538</v>
      </c>
      <c r="U98" s="417"/>
      <c r="V98" s="420" t="s">
        <v>539</v>
      </c>
      <c r="W98" s="416" t="s">
        <v>265</v>
      </c>
      <c r="X98" s="421">
        <v>555.88</v>
      </c>
      <c r="Y98" s="415">
        <f t="shared" si="250"/>
        <v>555.88</v>
      </c>
      <c r="Z98" s="416" t="s">
        <v>648</v>
      </c>
      <c r="AA98" s="420">
        <f>1116+36</f>
        <v>1152</v>
      </c>
      <c r="AB98" s="420">
        <f t="shared" si="182"/>
        <v>0</v>
      </c>
      <c r="AC98" s="417"/>
      <c r="AD98" s="417" t="s">
        <v>114</v>
      </c>
      <c r="AE98" s="416" t="s">
        <v>258</v>
      </c>
      <c r="AF98" s="416" t="s">
        <v>115</v>
      </c>
      <c r="AG98" s="422">
        <f t="shared" si="243"/>
        <v>1152</v>
      </c>
      <c r="AH98" s="422">
        <f t="shared" si="244"/>
        <v>1152</v>
      </c>
      <c r="AI98" s="422"/>
      <c r="AJ98" s="422"/>
      <c r="AK98" s="422">
        <f t="shared" si="251"/>
        <v>1152</v>
      </c>
      <c r="AL98" s="422"/>
      <c r="AM98" s="422"/>
      <c r="AN98" s="422"/>
      <c r="AO98" s="422">
        <f t="shared" si="245"/>
        <v>1152</v>
      </c>
      <c r="AP98" s="422"/>
      <c r="AQ98" s="422"/>
      <c r="AR98" s="422"/>
      <c r="AS98" s="422"/>
      <c r="AT98" s="422"/>
      <c r="AU98" s="422"/>
      <c r="AV98" s="422">
        <f t="shared" si="252"/>
        <v>96</v>
      </c>
      <c r="AW98" s="422"/>
      <c r="AX98" s="422"/>
      <c r="AY98" s="422"/>
      <c r="AZ98" s="422"/>
      <c r="BA98" s="422"/>
      <c r="BB98" s="422"/>
      <c r="BC98" s="422"/>
      <c r="BD98" s="422"/>
      <c r="BE98" s="422"/>
      <c r="BF98" s="422"/>
      <c r="BG98" s="422"/>
      <c r="BH98" s="422"/>
      <c r="BI98" s="422"/>
      <c r="BJ98" s="423">
        <f t="shared" ref="BJ98:BR98" si="255">$I98*BJ$2</f>
        <v>141</v>
      </c>
      <c r="BK98" s="423">
        <f t="shared" si="255"/>
        <v>141</v>
      </c>
      <c r="BL98" s="423">
        <f t="shared" si="255"/>
        <v>141</v>
      </c>
      <c r="BM98" s="423">
        <f t="shared" si="255"/>
        <v>141</v>
      </c>
      <c r="BN98" s="423">
        <f t="shared" si="255"/>
        <v>141</v>
      </c>
      <c r="BO98" s="423">
        <f t="shared" si="255"/>
        <v>141</v>
      </c>
      <c r="BP98" s="423">
        <f t="shared" si="255"/>
        <v>141</v>
      </c>
      <c r="BQ98" s="423">
        <f t="shared" si="255"/>
        <v>141</v>
      </c>
      <c r="BR98" s="423">
        <f t="shared" si="255"/>
        <v>24</v>
      </c>
      <c r="BT98" s="59">
        <f t="shared" ref="BT98:CB98" si="256">BT97-BJ98</f>
        <v>102896.838541667</v>
      </c>
      <c r="BU98" s="59">
        <f t="shared" si="256"/>
        <v>102896.838541667</v>
      </c>
      <c r="BV98" s="59">
        <f t="shared" si="256"/>
        <v>102896.838541667</v>
      </c>
      <c r="BW98" s="59">
        <f t="shared" si="256"/>
        <v>102896.838541667</v>
      </c>
      <c r="BX98" s="59">
        <f t="shared" si="256"/>
        <v>102896.838541667</v>
      </c>
      <c r="BY98" s="59">
        <f t="shared" si="256"/>
        <v>102896.838541667</v>
      </c>
      <c r="BZ98" s="59">
        <f t="shared" si="256"/>
        <v>102896.838541667</v>
      </c>
      <c r="CA98" s="59">
        <f t="shared" si="256"/>
        <v>102896.838541667</v>
      </c>
      <c r="CB98" s="59">
        <f t="shared" si="256"/>
        <v>17466.2916666667</v>
      </c>
    </row>
    <row r="99" s="371" customFormat="1" ht="27" hidden="1" customHeight="1" spans="1:80">
      <c r="A99" s="410">
        <v>45775</v>
      </c>
      <c r="B99" s="411" t="s">
        <v>326</v>
      </c>
      <c r="C99" s="412" t="s">
        <v>117</v>
      </c>
      <c r="D99" s="413">
        <v>4500162823</v>
      </c>
      <c r="E99" s="412" t="s">
        <v>649</v>
      </c>
      <c r="F99" s="411" t="s">
        <v>650</v>
      </c>
      <c r="G99" s="414" t="s">
        <v>258</v>
      </c>
      <c r="H99" s="411" t="s">
        <v>259</v>
      </c>
      <c r="I99" s="415">
        <v>1152</v>
      </c>
      <c r="J99" s="415">
        <v>0</v>
      </c>
      <c r="K99" s="415">
        <v>1152</v>
      </c>
      <c r="L99" s="415">
        <f t="shared" si="202"/>
        <v>1</v>
      </c>
      <c r="M99" s="416">
        <v>45825</v>
      </c>
      <c r="N99" s="416">
        <v>45821</v>
      </c>
      <c r="O99" s="417" t="s">
        <v>646</v>
      </c>
      <c r="P99" s="417" t="s">
        <v>107</v>
      </c>
      <c r="Q99" s="417" t="s">
        <v>642</v>
      </c>
      <c r="R99" s="417" t="s">
        <v>331</v>
      </c>
      <c r="S99" s="417" t="s">
        <v>191</v>
      </c>
      <c r="T99" s="417" t="s">
        <v>538</v>
      </c>
      <c r="U99" s="417"/>
      <c r="V99" s="420" t="s">
        <v>539</v>
      </c>
      <c r="W99" s="416" t="s">
        <v>265</v>
      </c>
      <c r="X99" s="421">
        <v>555.88</v>
      </c>
      <c r="Y99" s="415">
        <f t="shared" si="250"/>
        <v>555.88</v>
      </c>
      <c r="Z99" s="416" t="s">
        <v>651</v>
      </c>
      <c r="AA99" s="420">
        <f>1140+12</f>
        <v>1152</v>
      </c>
      <c r="AB99" s="420">
        <f t="shared" si="182"/>
        <v>0</v>
      </c>
      <c r="AC99" s="417"/>
      <c r="AD99" s="417" t="s">
        <v>114</v>
      </c>
      <c r="AE99" s="416" t="s">
        <v>258</v>
      </c>
      <c r="AF99" s="416" t="s">
        <v>115</v>
      </c>
      <c r="AG99" s="422">
        <f t="shared" si="243"/>
        <v>1152</v>
      </c>
      <c r="AH99" s="422">
        <f t="shared" si="244"/>
        <v>1152</v>
      </c>
      <c r="AI99" s="422"/>
      <c r="AJ99" s="422"/>
      <c r="AK99" s="422">
        <f t="shared" si="251"/>
        <v>1152</v>
      </c>
      <c r="AL99" s="422"/>
      <c r="AM99" s="422"/>
      <c r="AN99" s="422"/>
      <c r="AO99" s="422">
        <f t="shared" si="245"/>
        <v>1152</v>
      </c>
      <c r="AP99" s="422"/>
      <c r="AQ99" s="422"/>
      <c r="AR99" s="422"/>
      <c r="AS99" s="422"/>
      <c r="AT99" s="422"/>
      <c r="AU99" s="422"/>
      <c r="AV99" s="422">
        <f t="shared" si="252"/>
        <v>96</v>
      </c>
      <c r="AW99" s="422"/>
      <c r="AX99" s="422"/>
      <c r="AY99" s="422"/>
      <c r="AZ99" s="422"/>
      <c r="BA99" s="422"/>
      <c r="BB99" s="422"/>
      <c r="BC99" s="422"/>
      <c r="BD99" s="422"/>
      <c r="BE99" s="422"/>
      <c r="BF99" s="422"/>
      <c r="BG99" s="422"/>
      <c r="BH99" s="422"/>
      <c r="BI99" s="422"/>
      <c r="BJ99" s="423">
        <f t="shared" ref="BJ99:BR99" si="257">$I99*BJ$2</f>
        <v>141</v>
      </c>
      <c r="BK99" s="423">
        <f t="shared" si="257"/>
        <v>141</v>
      </c>
      <c r="BL99" s="423">
        <f t="shared" si="257"/>
        <v>141</v>
      </c>
      <c r="BM99" s="423">
        <f t="shared" si="257"/>
        <v>141</v>
      </c>
      <c r="BN99" s="423">
        <f t="shared" si="257"/>
        <v>141</v>
      </c>
      <c r="BO99" s="423">
        <f t="shared" si="257"/>
        <v>141</v>
      </c>
      <c r="BP99" s="423">
        <f t="shared" si="257"/>
        <v>141</v>
      </c>
      <c r="BQ99" s="423">
        <f t="shared" si="257"/>
        <v>141</v>
      </c>
      <c r="BR99" s="423">
        <f t="shared" si="257"/>
        <v>24</v>
      </c>
      <c r="BT99" s="59">
        <f t="shared" ref="BT99:CB99" si="258">BT98-BJ99</f>
        <v>102755.838541667</v>
      </c>
      <c r="BU99" s="59">
        <f t="shared" si="258"/>
        <v>102755.838541667</v>
      </c>
      <c r="BV99" s="59">
        <f t="shared" si="258"/>
        <v>102755.838541667</v>
      </c>
      <c r="BW99" s="59">
        <f t="shared" si="258"/>
        <v>102755.838541667</v>
      </c>
      <c r="BX99" s="59">
        <f t="shared" si="258"/>
        <v>102755.838541667</v>
      </c>
      <c r="BY99" s="59">
        <f t="shared" si="258"/>
        <v>102755.838541667</v>
      </c>
      <c r="BZ99" s="59">
        <f t="shared" si="258"/>
        <v>102755.838541667</v>
      </c>
      <c r="CA99" s="59">
        <f t="shared" si="258"/>
        <v>102755.838541667</v>
      </c>
      <c r="CB99" s="59">
        <f t="shared" si="258"/>
        <v>17442.2916666667</v>
      </c>
    </row>
    <row r="100" s="371" customFormat="1" ht="27" hidden="1" customHeight="1" spans="1:80">
      <c r="A100" s="410">
        <v>45772</v>
      </c>
      <c r="B100" s="411" t="s">
        <v>652</v>
      </c>
      <c r="C100" s="412" t="s">
        <v>521</v>
      </c>
      <c r="D100" s="413">
        <v>4500164723</v>
      </c>
      <c r="E100" s="412"/>
      <c r="F100" s="411" t="s">
        <v>653</v>
      </c>
      <c r="G100" s="414" t="s">
        <v>94</v>
      </c>
      <c r="H100" s="411" t="s">
        <v>211</v>
      </c>
      <c r="I100" s="415">
        <v>624</v>
      </c>
      <c r="J100" s="415">
        <v>0</v>
      </c>
      <c r="K100" s="415">
        <v>52</v>
      </c>
      <c r="L100" s="415">
        <f t="shared" si="202"/>
        <v>12</v>
      </c>
      <c r="M100" s="416">
        <v>45828</v>
      </c>
      <c r="N100" s="416">
        <v>45824</v>
      </c>
      <c r="O100" s="417"/>
      <c r="P100" s="417" t="s">
        <v>224</v>
      </c>
      <c r="Q100" s="417" t="s">
        <v>654</v>
      </c>
      <c r="R100" s="417">
        <v>45772</v>
      </c>
      <c r="S100" s="417" t="s">
        <v>80</v>
      </c>
      <c r="T100" s="417" t="s">
        <v>655</v>
      </c>
      <c r="U100" s="417"/>
      <c r="V100" s="420" t="s">
        <v>656</v>
      </c>
      <c r="W100" s="416" t="s">
        <v>657</v>
      </c>
      <c r="X100" s="421">
        <v>0.8094</v>
      </c>
      <c r="Y100" s="415">
        <f t="shared" ref="Y100:Y109" si="259">X100*I100</f>
        <v>505.0656</v>
      </c>
      <c r="Z100" s="416"/>
      <c r="AA100" s="420">
        <v>624</v>
      </c>
      <c r="AB100" s="420">
        <f t="shared" si="182"/>
        <v>0</v>
      </c>
      <c r="AC100" s="417" t="s">
        <v>113</v>
      </c>
      <c r="AD100" s="417" t="s">
        <v>114</v>
      </c>
      <c r="AE100" s="416" t="s">
        <v>94</v>
      </c>
      <c r="AF100" s="416" t="s">
        <v>115</v>
      </c>
      <c r="AG100" s="422">
        <f t="shared" si="243"/>
        <v>624</v>
      </c>
      <c r="AH100" s="422">
        <f t="shared" si="244"/>
        <v>624</v>
      </c>
      <c r="AI100" s="422"/>
      <c r="AJ100" s="422"/>
      <c r="AK100" s="422">
        <f t="shared" si="251"/>
        <v>624</v>
      </c>
      <c r="AL100" s="422"/>
      <c r="AM100" s="422"/>
      <c r="AN100" s="422"/>
      <c r="AO100" s="422">
        <f t="shared" si="245"/>
        <v>624</v>
      </c>
      <c r="AP100" s="422"/>
      <c r="AQ100" s="422"/>
      <c r="AR100" s="422"/>
      <c r="AS100" s="422"/>
      <c r="AT100" s="422">
        <f t="shared" ref="AT100:AT102" si="260">I100/13</f>
        <v>48</v>
      </c>
      <c r="AU100" s="422"/>
      <c r="AV100" s="422"/>
      <c r="AW100" s="422"/>
      <c r="AX100" s="422"/>
      <c r="AY100" s="422"/>
      <c r="AZ100" s="422"/>
      <c r="BA100" s="422"/>
      <c r="BB100" s="422"/>
      <c r="BC100" s="422"/>
      <c r="BD100" s="422"/>
      <c r="BE100" s="422"/>
      <c r="BF100" s="422"/>
      <c r="BG100" s="422"/>
      <c r="BH100" s="422"/>
      <c r="BI100" s="422"/>
      <c r="BJ100" s="423">
        <f t="shared" ref="BJ100:BR100" si="261">$I100*BJ$2</f>
        <v>76.3749999999998</v>
      </c>
      <c r="BK100" s="423">
        <f t="shared" si="261"/>
        <v>76.3749999999998</v>
      </c>
      <c r="BL100" s="423">
        <f t="shared" si="261"/>
        <v>76.3749999999998</v>
      </c>
      <c r="BM100" s="423">
        <f t="shared" si="261"/>
        <v>76.3749999999998</v>
      </c>
      <c r="BN100" s="423">
        <f t="shared" si="261"/>
        <v>76.3749999999998</v>
      </c>
      <c r="BO100" s="423">
        <f t="shared" si="261"/>
        <v>76.3749999999998</v>
      </c>
      <c r="BP100" s="423">
        <f t="shared" si="261"/>
        <v>76.3749999999998</v>
      </c>
      <c r="BQ100" s="423">
        <f t="shared" si="261"/>
        <v>76.3749999999998</v>
      </c>
      <c r="BR100" s="423">
        <f t="shared" si="261"/>
        <v>13</v>
      </c>
      <c r="BT100" s="59">
        <f t="shared" ref="BT100:CB100" si="262">BT99-BJ100</f>
        <v>102679.463541667</v>
      </c>
      <c r="BU100" s="59">
        <f t="shared" si="262"/>
        <v>102679.463541667</v>
      </c>
      <c r="BV100" s="59">
        <f t="shared" si="262"/>
        <v>102679.463541667</v>
      </c>
      <c r="BW100" s="59">
        <f t="shared" si="262"/>
        <v>102679.463541667</v>
      </c>
      <c r="BX100" s="59">
        <f t="shared" si="262"/>
        <v>102679.463541667</v>
      </c>
      <c r="BY100" s="59">
        <f t="shared" si="262"/>
        <v>102679.463541667</v>
      </c>
      <c r="BZ100" s="59">
        <f t="shared" si="262"/>
        <v>102679.463541667</v>
      </c>
      <c r="CA100" s="59">
        <f t="shared" si="262"/>
        <v>102679.463541667</v>
      </c>
      <c r="CB100" s="59">
        <f t="shared" si="262"/>
        <v>17429.2916666667</v>
      </c>
    </row>
    <row r="101" s="371" customFormat="1" ht="27" hidden="1" customHeight="1" spans="1:80">
      <c r="A101" s="410">
        <v>45790</v>
      </c>
      <c r="B101" s="411" t="s">
        <v>658</v>
      </c>
      <c r="C101" s="412" t="s">
        <v>396</v>
      </c>
      <c r="D101" s="413">
        <v>4500159668</v>
      </c>
      <c r="E101" s="412" t="s">
        <v>659</v>
      </c>
      <c r="F101" s="411" t="s">
        <v>660</v>
      </c>
      <c r="G101" s="414" t="s">
        <v>94</v>
      </c>
      <c r="H101" s="411" t="s">
        <v>211</v>
      </c>
      <c r="I101" s="415">
        <v>5980</v>
      </c>
      <c r="J101" s="415">
        <v>0</v>
      </c>
      <c r="K101" s="415">
        <v>52</v>
      </c>
      <c r="L101" s="415">
        <f t="shared" si="202"/>
        <v>115</v>
      </c>
      <c r="M101" s="416">
        <v>45828</v>
      </c>
      <c r="N101" s="416">
        <v>45824</v>
      </c>
      <c r="O101" s="417"/>
      <c r="P101" s="417" t="s">
        <v>107</v>
      </c>
      <c r="Q101" s="417" t="s">
        <v>661</v>
      </c>
      <c r="R101" s="417">
        <v>45790</v>
      </c>
      <c r="S101" s="417" t="s">
        <v>80</v>
      </c>
      <c r="T101" s="417" t="s">
        <v>80</v>
      </c>
      <c r="U101" s="417"/>
      <c r="V101" s="420" t="s">
        <v>662</v>
      </c>
      <c r="W101" s="416" t="s">
        <v>663</v>
      </c>
      <c r="X101" s="421">
        <v>0.7986</v>
      </c>
      <c r="Y101" s="415">
        <f t="shared" si="259"/>
        <v>4775.628</v>
      </c>
      <c r="Z101" s="416"/>
      <c r="AA101" s="420">
        <f>5980</f>
        <v>5980</v>
      </c>
      <c r="AB101" s="420">
        <f t="shared" si="182"/>
        <v>0</v>
      </c>
      <c r="AC101" s="417" t="s">
        <v>80</v>
      </c>
      <c r="AD101" s="417" t="s">
        <v>114</v>
      </c>
      <c r="AE101" s="416" t="s">
        <v>94</v>
      </c>
      <c r="AF101" s="416" t="s">
        <v>115</v>
      </c>
      <c r="AG101" s="422">
        <f t="shared" si="243"/>
        <v>5980</v>
      </c>
      <c r="AH101" s="422">
        <f t="shared" si="244"/>
        <v>5980</v>
      </c>
      <c r="AI101" s="422"/>
      <c r="AJ101" s="422"/>
      <c r="AK101" s="422">
        <f t="shared" si="251"/>
        <v>5980</v>
      </c>
      <c r="AL101" s="422"/>
      <c r="AM101" s="422"/>
      <c r="AN101" s="422"/>
      <c r="AO101" s="422">
        <f t="shared" si="245"/>
        <v>5980</v>
      </c>
      <c r="AP101" s="422"/>
      <c r="AQ101" s="422"/>
      <c r="AR101" s="422"/>
      <c r="AS101" s="422"/>
      <c r="AT101" s="422">
        <f t="shared" si="260"/>
        <v>460</v>
      </c>
      <c r="AU101" s="422"/>
      <c r="AV101" s="422"/>
      <c r="AW101" s="422"/>
      <c r="AX101" s="422"/>
      <c r="AY101" s="422"/>
      <c r="AZ101" s="422"/>
      <c r="BA101" s="422"/>
      <c r="BB101" s="422"/>
      <c r="BC101" s="422"/>
      <c r="BD101" s="422"/>
      <c r="BE101" s="422"/>
      <c r="BF101" s="422"/>
      <c r="BG101" s="422"/>
      <c r="BH101" s="422"/>
      <c r="BI101" s="422"/>
      <c r="BJ101" s="423">
        <f t="shared" ref="BJ101:BR101" si="263">$I101*BJ$2</f>
        <v>731.927083333331</v>
      </c>
      <c r="BK101" s="423">
        <f t="shared" si="263"/>
        <v>731.927083333331</v>
      </c>
      <c r="BL101" s="423">
        <f t="shared" si="263"/>
        <v>731.927083333331</v>
      </c>
      <c r="BM101" s="423">
        <f t="shared" si="263"/>
        <v>731.927083333331</v>
      </c>
      <c r="BN101" s="423">
        <f t="shared" si="263"/>
        <v>731.927083333331</v>
      </c>
      <c r="BO101" s="423">
        <f t="shared" si="263"/>
        <v>731.927083333331</v>
      </c>
      <c r="BP101" s="423">
        <f t="shared" si="263"/>
        <v>731.927083333331</v>
      </c>
      <c r="BQ101" s="423">
        <f t="shared" si="263"/>
        <v>731.927083333331</v>
      </c>
      <c r="BR101" s="423">
        <f t="shared" si="263"/>
        <v>124.583333333333</v>
      </c>
      <c r="BT101" s="59">
        <f t="shared" ref="BT101:CB101" si="264">BT100-BJ101</f>
        <v>101947.536458333</v>
      </c>
      <c r="BU101" s="59">
        <f t="shared" si="264"/>
        <v>101947.536458333</v>
      </c>
      <c r="BV101" s="59">
        <f t="shared" si="264"/>
        <v>101947.536458333</v>
      </c>
      <c r="BW101" s="59">
        <f t="shared" si="264"/>
        <v>101947.536458333</v>
      </c>
      <c r="BX101" s="59">
        <f t="shared" si="264"/>
        <v>101947.536458333</v>
      </c>
      <c r="BY101" s="59">
        <f t="shared" si="264"/>
        <v>101947.536458333</v>
      </c>
      <c r="BZ101" s="59">
        <f t="shared" si="264"/>
        <v>101947.536458333</v>
      </c>
      <c r="CA101" s="59">
        <f t="shared" si="264"/>
        <v>101947.536458333</v>
      </c>
      <c r="CB101" s="59">
        <f t="shared" si="264"/>
        <v>17304.7083333333</v>
      </c>
    </row>
    <row r="102" s="371" customFormat="1" ht="27" hidden="1" customHeight="1" spans="1:80">
      <c r="A102" s="410">
        <v>45790</v>
      </c>
      <c r="B102" s="411" t="s">
        <v>658</v>
      </c>
      <c r="C102" s="412" t="s">
        <v>396</v>
      </c>
      <c r="D102" s="413">
        <v>4500161780</v>
      </c>
      <c r="E102" s="412" t="s">
        <v>664</v>
      </c>
      <c r="F102" s="411" t="s">
        <v>665</v>
      </c>
      <c r="G102" s="414" t="s">
        <v>94</v>
      </c>
      <c r="H102" s="411" t="s">
        <v>211</v>
      </c>
      <c r="I102" s="415">
        <v>7956</v>
      </c>
      <c r="J102" s="415">
        <v>0</v>
      </c>
      <c r="K102" s="415">
        <v>52</v>
      </c>
      <c r="L102" s="415">
        <f t="shared" si="202"/>
        <v>153</v>
      </c>
      <c r="M102" s="416">
        <v>45828</v>
      </c>
      <c r="N102" s="416">
        <v>45824</v>
      </c>
      <c r="O102" s="417"/>
      <c r="P102" s="417" t="s">
        <v>107</v>
      </c>
      <c r="Q102" s="417" t="s">
        <v>647</v>
      </c>
      <c r="R102" s="417">
        <v>45790</v>
      </c>
      <c r="S102" s="417" t="s">
        <v>80</v>
      </c>
      <c r="T102" s="417" t="s">
        <v>80</v>
      </c>
      <c r="U102" s="417"/>
      <c r="V102" s="420" t="s">
        <v>666</v>
      </c>
      <c r="W102" s="416" t="s">
        <v>663</v>
      </c>
      <c r="X102" s="421">
        <v>0.7986</v>
      </c>
      <c r="Y102" s="415">
        <f t="shared" si="259"/>
        <v>6353.6616</v>
      </c>
      <c r="Z102" s="416"/>
      <c r="AA102" s="420">
        <f>3744+2444+1768</f>
        <v>7956</v>
      </c>
      <c r="AB102" s="420">
        <f t="shared" si="182"/>
        <v>0</v>
      </c>
      <c r="AC102" s="417" t="s">
        <v>80</v>
      </c>
      <c r="AD102" s="417" t="s">
        <v>114</v>
      </c>
      <c r="AE102" s="416" t="s">
        <v>94</v>
      </c>
      <c r="AF102" s="416" t="s">
        <v>115</v>
      </c>
      <c r="AG102" s="422">
        <f t="shared" si="243"/>
        <v>7956</v>
      </c>
      <c r="AH102" s="422">
        <f t="shared" si="244"/>
        <v>7956</v>
      </c>
      <c r="AI102" s="422"/>
      <c r="AJ102" s="422"/>
      <c r="AK102" s="422">
        <f t="shared" si="251"/>
        <v>7956</v>
      </c>
      <c r="AL102" s="422"/>
      <c r="AM102" s="422"/>
      <c r="AN102" s="422"/>
      <c r="AO102" s="422">
        <f t="shared" si="245"/>
        <v>7956</v>
      </c>
      <c r="AP102" s="422"/>
      <c r="AQ102" s="422"/>
      <c r="AR102" s="422"/>
      <c r="AS102" s="422"/>
      <c r="AT102" s="422">
        <f t="shared" si="260"/>
        <v>612</v>
      </c>
      <c r="AU102" s="422"/>
      <c r="AV102" s="422"/>
      <c r="AW102" s="422"/>
      <c r="AX102" s="422"/>
      <c r="AY102" s="422"/>
      <c r="AZ102" s="422"/>
      <c r="BA102" s="422"/>
      <c r="BB102" s="422"/>
      <c r="BC102" s="422"/>
      <c r="BD102" s="422"/>
      <c r="BE102" s="422"/>
      <c r="BF102" s="422"/>
      <c r="BG102" s="422"/>
      <c r="BH102" s="422"/>
      <c r="BI102" s="422"/>
      <c r="BJ102" s="423">
        <f t="shared" ref="BJ102:BR102" si="265">$I102*BJ$2</f>
        <v>973.781249999997</v>
      </c>
      <c r="BK102" s="423">
        <f t="shared" si="265"/>
        <v>973.781249999997</v>
      </c>
      <c r="BL102" s="423">
        <f t="shared" si="265"/>
        <v>973.781249999997</v>
      </c>
      <c r="BM102" s="423">
        <f t="shared" si="265"/>
        <v>973.781249999997</v>
      </c>
      <c r="BN102" s="423">
        <f t="shared" si="265"/>
        <v>973.781249999997</v>
      </c>
      <c r="BO102" s="423">
        <f t="shared" si="265"/>
        <v>973.781249999997</v>
      </c>
      <c r="BP102" s="423">
        <f t="shared" si="265"/>
        <v>973.781249999997</v>
      </c>
      <c r="BQ102" s="423">
        <f t="shared" si="265"/>
        <v>973.781249999997</v>
      </c>
      <c r="BR102" s="423">
        <f t="shared" si="265"/>
        <v>165.75</v>
      </c>
      <c r="BT102" s="59">
        <f t="shared" ref="BT102:CB102" si="266">BT101-BJ102</f>
        <v>100973.755208333</v>
      </c>
      <c r="BU102" s="59">
        <f t="shared" si="266"/>
        <v>100973.755208333</v>
      </c>
      <c r="BV102" s="59">
        <f t="shared" si="266"/>
        <v>100973.755208333</v>
      </c>
      <c r="BW102" s="59">
        <f t="shared" si="266"/>
        <v>100973.755208333</v>
      </c>
      <c r="BX102" s="59">
        <f t="shared" si="266"/>
        <v>100973.755208333</v>
      </c>
      <c r="BY102" s="59">
        <f t="shared" si="266"/>
        <v>100973.755208333</v>
      </c>
      <c r="BZ102" s="59">
        <f t="shared" si="266"/>
        <v>100973.755208333</v>
      </c>
      <c r="CA102" s="59">
        <f t="shared" si="266"/>
        <v>100973.755208333</v>
      </c>
      <c r="CB102" s="59">
        <f t="shared" si="266"/>
        <v>17138.9583333333</v>
      </c>
    </row>
    <row r="103" s="371" customFormat="1" ht="27" hidden="1" customHeight="1" spans="1:80">
      <c r="A103" s="410">
        <v>45791</v>
      </c>
      <c r="B103" s="411" t="s">
        <v>667</v>
      </c>
      <c r="C103" s="412" t="s">
        <v>129</v>
      </c>
      <c r="D103" s="413">
        <v>4500166352</v>
      </c>
      <c r="E103" s="412">
        <v>247116</v>
      </c>
      <c r="F103" s="411" t="s">
        <v>668</v>
      </c>
      <c r="G103" s="414" t="s">
        <v>86</v>
      </c>
      <c r="H103" s="411" t="s">
        <v>87</v>
      </c>
      <c r="I103" s="415">
        <v>1440</v>
      </c>
      <c r="J103" s="415">
        <v>0</v>
      </c>
      <c r="K103" s="415">
        <v>24</v>
      </c>
      <c r="L103" s="415">
        <f t="shared" si="202"/>
        <v>60</v>
      </c>
      <c r="M103" s="416">
        <v>45826</v>
      </c>
      <c r="N103" s="416">
        <v>45826</v>
      </c>
      <c r="O103" s="417"/>
      <c r="P103" s="417" t="s">
        <v>224</v>
      </c>
      <c r="Q103" s="417" t="s">
        <v>661</v>
      </c>
      <c r="R103" s="417">
        <v>45798</v>
      </c>
      <c r="S103" s="417" t="s">
        <v>80</v>
      </c>
      <c r="T103" s="417" t="s">
        <v>669</v>
      </c>
      <c r="U103" s="417"/>
      <c r="V103" s="420" t="s">
        <v>670</v>
      </c>
      <c r="W103" s="416" t="s">
        <v>671</v>
      </c>
      <c r="X103" s="421">
        <v>0.7509</v>
      </c>
      <c r="Y103" s="415">
        <f t="shared" si="259"/>
        <v>1081.296</v>
      </c>
      <c r="Z103" s="416"/>
      <c r="AA103" s="420">
        <v>1440</v>
      </c>
      <c r="AB103" s="420">
        <f t="shared" si="182"/>
        <v>0</v>
      </c>
      <c r="AC103" s="417"/>
      <c r="AD103" s="417" t="s">
        <v>114</v>
      </c>
      <c r="AE103" s="416" t="s">
        <v>672</v>
      </c>
      <c r="AF103" s="416" t="s">
        <v>115</v>
      </c>
      <c r="AG103" s="422">
        <f t="shared" si="243"/>
        <v>1440</v>
      </c>
      <c r="AH103" s="422">
        <f t="shared" si="244"/>
        <v>1440</v>
      </c>
      <c r="AI103" s="422"/>
      <c r="AJ103" s="422"/>
      <c r="AK103" s="422"/>
      <c r="AL103" s="422">
        <f t="shared" ref="AL103:AL105" si="267">I103</f>
        <v>1440</v>
      </c>
      <c r="AM103" s="422"/>
      <c r="AN103" s="422"/>
      <c r="AO103" s="422">
        <f t="shared" si="245"/>
        <v>1440</v>
      </c>
      <c r="AP103" s="422"/>
      <c r="AQ103" s="422"/>
      <c r="AR103" s="422"/>
      <c r="AS103" s="422"/>
      <c r="AT103" s="422"/>
      <c r="AU103" s="422"/>
      <c r="AV103" s="422"/>
      <c r="AW103" s="422"/>
      <c r="AX103" s="422"/>
      <c r="AY103" s="422"/>
      <c r="AZ103" s="422"/>
      <c r="BA103" s="422"/>
      <c r="BB103" s="422"/>
      <c r="BC103" s="422"/>
      <c r="BD103" s="422"/>
      <c r="BE103" s="422"/>
      <c r="BF103" s="422"/>
      <c r="BG103" s="422"/>
      <c r="BH103" s="422"/>
      <c r="BI103" s="422"/>
      <c r="BJ103" s="423">
        <f t="shared" ref="BJ103:BR103" si="268">$I103*BJ$2</f>
        <v>176.25</v>
      </c>
      <c r="BK103" s="423">
        <f t="shared" si="268"/>
        <v>176.25</v>
      </c>
      <c r="BL103" s="423">
        <f t="shared" si="268"/>
        <v>176.25</v>
      </c>
      <c r="BM103" s="423">
        <f t="shared" si="268"/>
        <v>176.25</v>
      </c>
      <c r="BN103" s="423">
        <f t="shared" si="268"/>
        <v>176.25</v>
      </c>
      <c r="BO103" s="423">
        <f t="shared" si="268"/>
        <v>176.25</v>
      </c>
      <c r="BP103" s="423">
        <f t="shared" si="268"/>
        <v>176.25</v>
      </c>
      <c r="BQ103" s="423">
        <f t="shared" si="268"/>
        <v>176.25</v>
      </c>
      <c r="BR103" s="423">
        <f t="shared" si="268"/>
        <v>30</v>
      </c>
      <c r="BT103" s="59">
        <f t="shared" ref="BT103:CB103" si="269">BT102-BJ103</f>
        <v>100797.505208333</v>
      </c>
      <c r="BU103" s="59">
        <f t="shared" si="269"/>
        <v>100797.505208333</v>
      </c>
      <c r="BV103" s="59">
        <f t="shared" si="269"/>
        <v>100797.505208333</v>
      </c>
      <c r="BW103" s="59">
        <f t="shared" si="269"/>
        <v>100797.505208333</v>
      </c>
      <c r="BX103" s="59">
        <f t="shared" si="269"/>
        <v>100797.505208333</v>
      </c>
      <c r="BY103" s="59">
        <f t="shared" si="269"/>
        <v>100797.505208333</v>
      </c>
      <c r="BZ103" s="59">
        <f t="shared" si="269"/>
        <v>100797.505208333</v>
      </c>
      <c r="CA103" s="59">
        <f t="shared" si="269"/>
        <v>100797.505208333</v>
      </c>
      <c r="CB103" s="59">
        <f t="shared" si="269"/>
        <v>17108.9583333333</v>
      </c>
    </row>
    <row r="104" s="371" customFormat="1" ht="27" hidden="1" customHeight="1" spans="1:80">
      <c r="A104" s="410">
        <v>45793</v>
      </c>
      <c r="B104" s="411" t="s">
        <v>673</v>
      </c>
      <c r="C104" s="412" t="s">
        <v>389</v>
      </c>
      <c r="D104" s="413">
        <v>4500166007</v>
      </c>
      <c r="E104" s="412">
        <v>3501527806</v>
      </c>
      <c r="F104" s="411" t="s">
        <v>674</v>
      </c>
      <c r="G104" s="414" t="s">
        <v>152</v>
      </c>
      <c r="H104" s="411" t="s">
        <v>153</v>
      </c>
      <c r="I104" s="415">
        <v>1287</v>
      </c>
      <c r="J104" s="415">
        <v>0</v>
      </c>
      <c r="K104" s="415">
        <v>13</v>
      </c>
      <c r="L104" s="415">
        <f t="shared" si="202"/>
        <v>99</v>
      </c>
      <c r="M104" s="416">
        <v>45831</v>
      </c>
      <c r="N104" s="416">
        <v>45827</v>
      </c>
      <c r="O104" s="417" t="s">
        <v>675</v>
      </c>
      <c r="P104" s="417" t="s">
        <v>224</v>
      </c>
      <c r="Q104" s="417" t="s">
        <v>676</v>
      </c>
      <c r="R104" s="417">
        <v>45798</v>
      </c>
      <c r="S104" s="417" t="s">
        <v>80</v>
      </c>
      <c r="T104" s="417" t="s">
        <v>677</v>
      </c>
      <c r="U104" s="417"/>
      <c r="V104" s="420" t="s">
        <v>678</v>
      </c>
      <c r="W104" s="416" t="s">
        <v>679</v>
      </c>
      <c r="X104" s="421">
        <v>0.7758</v>
      </c>
      <c r="Y104" s="415">
        <f t="shared" si="259"/>
        <v>998.4546</v>
      </c>
      <c r="Z104" s="416" t="s">
        <v>680</v>
      </c>
      <c r="AA104" s="420">
        <v>1287</v>
      </c>
      <c r="AB104" s="420">
        <f t="shared" si="182"/>
        <v>0</v>
      </c>
      <c r="AC104" s="417" t="s">
        <v>681</v>
      </c>
      <c r="AD104" s="417" t="s">
        <v>114</v>
      </c>
      <c r="AE104" s="416" t="s">
        <v>319</v>
      </c>
      <c r="AF104" s="416" t="s">
        <v>115</v>
      </c>
      <c r="AG104" s="422">
        <f t="shared" si="243"/>
        <v>1287</v>
      </c>
      <c r="AH104" s="422"/>
      <c r="AI104" s="422">
        <f>I104</f>
        <v>1287</v>
      </c>
      <c r="AJ104" s="422"/>
      <c r="AK104" s="422"/>
      <c r="AL104" s="422">
        <f t="shared" si="267"/>
        <v>1287</v>
      </c>
      <c r="AM104" s="422"/>
      <c r="AN104" s="422"/>
      <c r="AO104" s="422">
        <f t="shared" si="245"/>
        <v>1287</v>
      </c>
      <c r="AP104" s="422"/>
      <c r="AQ104" s="422"/>
      <c r="AR104" s="422"/>
      <c r="AS104" s="422"/>
      <c r="AT104" s="422"/>
      <c r="AU104" s="422">
        <f>I104/13</f>
        <v>99</v>
      </c>
      <c r="AV104" s="422"/>
      <c r="AW104" s="422"/>
      <c r="AX104" s="422"/>
      <c r="AY104" s="422"/>
      <c r="AZ104" s="422"/>
      <c r="BA104" s="422"/>
      <c r="BB104" s="422"/>
      <c r="BC104" s="422"/>
      <c r="BD104" s="422"/>
      <c r="BE104" s="422"/>
      <c r="BF104" s="422"/>
      <c r="BG104" s="422"/>
      <c r="BH104" s="422"/>
      <c r="BI104" s="422"/>
      <c r="BJ104" s="423">
        <f t="shared" ref="BJ104:BR104" si="270">$I104*BJ$2</f>
        <v>157.5234375</v>
      </c>
      <c r="BK104" s="423">
        <f t="shared" si="270"/>
        <v>157.5234375</v>
      </c>
      <c r="BL104" s="423">
        <f t="shared" si="270"/>
        <v>157.5234375</v>
      </c>
      <c r="BM104" s="423">
        <f t="shared" si="270"/>
        <v>157.5234375</v>
      </c>
      <c r="BN104" s="423">
        <f t="shared" si="270"/>
        <v>157.5234375</v>
      </c>
      <c r="BO104" s="423">
        <f t="shared" si="270"/>
        <v>157.5234375</v>
      </c>
      <c r="BP104" s="423">
        <f t="shared" si="270"/>
        <v>157.5234375</v>
      </c>
      <c r="BQ104" s="423">
        <f t="shared" si="270"/>
        <v>157.5234375</v>
      </c>
      <c r="BR104" s="423">
        <f t="shared" si="270"/>
        <v>26.8125</v>
      </c>
      <c r="BT104" s="59">
        <f t="shared" ref="BT104:CB104" si="271">BT103-BJ104</f>
        <v>100639.981770833</v>
      </c>
      <c r="BU104" s="59">
        <f t="shared" si="271"/>
        <v>100639.981770833</v>
      </c>
      <c r="BV104" s="59">
        <f t="shared" si="271"/>
        <v>100639.981770833</v>
      </c>
      <c r="BW104" s="59">
        <f t="shared" si="271"/>
        <v>100639.981770833</v>
      </c>
      <c r="BX104" s="59">
        <f t="shared" si="271"/>
        <v>100639.981770833</v>
      </c>
      <c r="BY104" s="59">
        <f t="shared" si="271"/>
        <v>100639.981770833</v>
      </c>
      <c r="BZ104" s="59">
        <f t="shared" si="271"/>
        <v>100639.981770833</v>
      </c>
      <c r="CA104" s="59">
        <f t="shared" si="271"/>
        <v>100639.981770833</v>
      </c>
      <c r="CB104" s="59">
        <f t="shared" si="271"/>
        <v>17082.1458333333</v>
      </c>
    </row>
    <row r="105" s="371" customFormat="1" ht="27" hidden="1" customHeight="1" spans="1:80">
      <c r="A105" s="410">
        <v>45786</v>
      </c>
      <c r="B105" s="411" t="s">
        <v>682</v>
      </c>
      <c r="C105" s="412" t="s">
        <v>574</v>
      </c>
      <c r="D105" s="413">
        <v>4500165792</v>
      </c>
      <c r="E105" s="412"/>
      <c r="F105" s="411" t="s">
        <v>683</v>
      </c>
      <c r="G105" s="414" t="s">
        <v>78</v>
      </c>
      <c r="H105" s="411" t="s">
        <v>79</v>
      </c>
      <c r="I105" s="415">
        <v>648</v>
      </c>
      <c r="J105" s="415">
        <v>0</v>
      </c>
      <c r="K105" s="415">
        <v>54</v>
      </c>
      <c r="L105" s="415">
        <f t="shared" si="202"/>
        <v>12</v>
      </c>
      <c r="M105" s="416">
        <v>45818</v>
      </c>
      <c r="N105" s="416">
        <v>45828</v>
      </c>
      <c r="O105" s="417"/>
      <c r="P105" s="417" t="s">
        <v>224</v>
      </c>
      <c r="Q105" s="417" t="s">
        <v>684</v>
      </c>
      <c r="R105" s="417">
        <v>45790</v>
      </c>
      <c r="S105" s="417" t="s">
        <v>80</v>
      </c>
      <c r="T105" s="417" t="s">
        <v>685</v>
      </c>
      <c r="U105" s="417"/>
      <c r="V105" s="420" t="s">
        <v>686</v>
      </c>
      <c r="W105" s="416" t="s">
        <v>687</v>
      </c>
      <c r="X105" s="421">
        <v>0.7967</v>
      </c>
      <c r="Y105" s="415">
        <f t="shared" si="259"/>
        <v>516.2616</v>
      </c>
      <c r="Z105" s="416"/>
      <c r="AA105" s="420">
        <v>648</v>
      </c>
      <c r="AB105" s="417"/>
      <c r="AC105" s="417" t="s">
        <v>113</v>
      </c>
      <c r="AD105" s="417" t="s">
        <v>114</v>
      </c>
      <c r="AE105" s="416" t="s">
        <v>230</v>
      </c>
      <c r="AF105" s="416" t="s">
        <v>115</v>
      </c>
      <c r="AG105" s="422">
        <f t="shared" si="243"/>
        <v>648</v>
      </c>
      <c r="AH105" s="422">
        <f t="shared" ref="AH105:AH114" si="272">I105</f>
        <v>648</v>
      </c>
      <c r="AI105" s="422"/>
      <c r="AJ105" s="422"/>
      <c r="AK105" s="422"/>
      <c r="AL105" s="422">
        <f t="shared" si="267"/>
        <v>648</v>
      </c>
      <c r="AM105" s="422"/>
      <c r="AN105" s="422"/>
      <c r="AO105" s="422">
        <f t="shared" si="245"/>
        <v>648</v>
      </c>
      <c r="AP105" s="422"/>
      <c r="AQ105" s="422"/>
      <c r="AR105" s="422">
        <f>I105/27</f>
        <v>24</v>
      </c>
      <c r="AS105" s="422"/>
      <c r="AT105" s="422"/>
      <c r="AU105" s="422"/>
      <c r="AV105" s="422"/>
      <c r="AW105" s="422"/>
      <c r="AX105" s="422"/>
      <c r="AY105" s="422"/>
      <c r="AZ105" s="422"/>
      <c r="BA105" s="422"/>
      <c r="BB105" s="422"/>
      <c r="BC105" s="422"/>
      <c r="BD105" s="422"/>
      <c r="BE105" s="422"/>
      <c r="BF105" s="422"/>
      <c r="BG105" s="422"/>
      <c r="BH105" s="422"/>
      <c r="BI105" s="422"/>
      <c r="BJ105" s="423">
        <f t="shared" ref="BJ105:BR105" si="273">$I105*BJ$2</f>
        <v>79.3124999999998</v>
      </c>
      <c r="BK105" s="423">
        <f t="shared" si="273"/>
        <v>79.3124999999998</v>
      </c>
      <c r="BL105" s="423">
        <f t="shared" si="273"/>
        <v>79.3124999999998</v>
      </c>
      <c r="BM105" s="423">
        <f t="shared" si="273"/>
        <v>79.3124999999998</v>
      </c>
      <c r="BN105" s="423">
        <f t="shared" si="273"/>
        <v>79.3124999999998</v>
      </c>
      <c r="BO105" s="423">
        <f t="shared" si="273"/>
        <v>79.3124999999998</v>
      </c>
      <c r="BP105" s="423">
        <f t="shared" si="273"/>
        <v>79.3124999999998</v>
      </c>
      <c r="BQ105" s="423">
        <f t="shared" si="273"/>
        <v>79.3124999999998</v>
      </c>
      <c r="BR105" s="423">
        <f t="shared" si="273"/>
        <v>13.5</v>
      </c>
      <c r="BT105" s="59">
        <f t="shared" ref="BT105:CB105" si="274">BT104-BJ105</f>
        <v>100560.669270833</v>
      </c>
      <c r="BU105" s="59">
        <f t="shared" si="274"/>
        <v>100560.669270833</v>
      </c>
      <c r="BV105" s="59">
        <f t="shared" si="274"/>
        <v>100560.669270833</v>
      </c>
      <c r="BW105" s="59">
        <f t="shared" si="274"/>
        <v>100560.669270833</v>
      </c>
      <c r="BX105" s="59">
        <f t="shared" si="274"/>
        <v>100560.669270833</v>
      </c>
      <c r="BY105" s="59">
        <f t="shared" si="274"/>
        <v>100560.669270833</v>
      </c>
      <c r="BZ105" s="59">
        <f t="shared" si="274"/>
        <v>100560.669270833</v>
      </c>
      <c r="CA105" s="59">
        <f t="shared" si="274"/>
        <v>100560.669270833</v>
      </c>
      <c r="CB105" s="59">
        <f t="shared" si="274"/>
        <v>17068.6458333333</v>
      </c>
    </row>
    <row r="106" s="371" customFormat="1" ht="27" hidden="1" customHeight="1" spans="1:80">
      <c r="A106" s="410">
        <v>45785</v>
      </c>
      <c r="B106" s="411" t="s">
        <v>688</v>
      </c>
      <c r="C106" s="412" t="s">
        <v>689</v>
      </c>
      <c r="D106" s="413">
        <v>4500165636</v>
      </c>
      <c r="E106" s="412">
        <v>5000001870</v>
      </c>
      <c r="F106" s="411" t="s">
        <v>690</v>
      </c>
      <c r="G106" s="414" t="s">
        <v>152</v>
      </c>
      <c r="H106" s="411" t="s">
        <v>153</v>
      </c>
      <c r="I106" s="415">
        <v>2509</v>
      </c>
      <c r="J106" s="415">
        <v>0</v>
      </c>
      <c r="K106" s="415">
        <v>13</v>
      </c>
      <c r="L106" s="415">
        <f t="shared" si="202"/>
        <v>193</v>
      </c>
      <c r="M106" s="416">
        <v>45828</v>
      </c>
      <c r="N106" s="416">
        <v>45829</v>
      </c>
      <c r="O106" s="417"/>
      <c r="P106" s="417" t="s">
        <v>107</v>
      </c>
      <c r="Q106" s="417" t="s">
        <v>691</v>
      </c>
      <c r="R106" s="417" t="s">
        <v>692</v>
      </c>
      <c r="S106" s="417" t="s">
        <v>80</v>
      </c>
      <c r="T106" s="417" t="s">
        <v>693</v>
      </c>
      <c r="U106" s="417" t="s">
        <v>156</v>
      </c>
      <c r="V106" s="420" t="s">
        <v>694</v>
      </c>
      <c r="W106" s="416" t="s">
        <v>695</v>
      </c>
      <c r="X106" s="421">
        <v>0.7704</v>
      </c>
      <c r="Y106" s="415">
        <f t="shared" si="259"/>
        <v>1932.9336</v>
      </c>
      <c r="Z106" s="416"/>
      <c r="AA106" s="420">
        <v>2509</v>
      </c>
      <c r="AB106" s="420">
        <f t="shared" ref="AB106:AB169" si="275">AA106-I106</f>
        <v>0</v>
      </c>
      <c r="AC106" s="417" t="s">
        <v>113</v>
      </c>
      <c r="AD106" s="417" t="s">
        <v>114</v>
      </c>
      <c r="AE106" s="416" t="s">
        <v>696</v>
      </c>
      <c r="AF106" s="416" t="s">
        <v>115</v>
      </c>
      <c r="AG106" s="422">
        <f t="shared" si="243"/>
        <v>2509</v>
      </c>
      <c r="AH106" s="422">
        <f t="shared" si="272"/>
        <v>2509</v>
      </c>
      <c r="AI106" s="422"/>
      <c r="AJ106" s="422"/>
      <c r="AK106" s="422">
        <f t="shared" ref="AK106:AK113" si="276">I106</f>
        <v>2509</v>
      </c>
      <c r="AL106" s="422"/>
      <c r="AM106" s="422"/>
      <c r="AN106" s="422"/>
      <c r="AO106" s="422"/>
      <c r="AP106" s="422">
        <f t="shared" ref="AP106:AP109" si="277">I106</f>
        <v>2509</v>
      </c>
      <c r="AQ106" s="422"/>
      <c r="AR106" s="422"/>
      <c r="AS106" s="422"/>
      <c r="AT106" s="422">
        <f t="shared" ref="AT106:AT113" si="278">I106/13</f>
        <v>193</v>
      </c>
      <c r="AU106" s="422"/>
      <c r="AV106" s="422"/>
      <c r="AW106" s="422"/>
      <c r="AX106" s="422"/>
      <c r="AY106" s="422"/>
      <c r="AZ106" s="422"/>
      <c r="BA106" s="422"/>
      <c r="BB106" s="422"/>
      <c r="BC106" s="422"/>
      <c r="BD106" s="422"/>
      <c r="BE106" s="422"/>
      <c r="BF106" s="422"/>
      <c r="BG106" s="422"/>
      <c r="BH106" s="422"/>
      <c r="BI106" s="422"/>
      <c r="BJ106" s="423">
        <f t="shared" ref="BJ106:BR106" si="279">$I106*BJ$2</f>
        <v>307.091145833332</v>
      </c>
      <c r="BK106" s="423">
        <f t="shared" si="279"/>
        <v>307.091145833332</v>
      </c>
      <c r="BL106" s="423">
        <f t="shared" si="279"/>
        <v>307.091145833332</v>
      </c>
      <c r="BM106" s="423">
        <f t="shared" si="279"/>
        <v>307.091145833332</v>
      </c>
      <c r="BN106" s="423">
        <f t="shared" si="279"/>
        <v>307.091145833332</v>
      </c>
      <c r="BO106" s="423">
        <f t="shared" si="279"/>
        <v>307.091145833332</v>
      </c>
      <c r="BP106" s="423">
        <f t="shared" si="279"/>
        <v>307.091145833332</v>
      </c>
      <c r="BQ106" s="423">
        <f t="shared" si="279"/>
        <v>307.091145833332</v>
      </c>
      <c r="BR106" s="423">
        <f t="shared" si="279"/>
        <v>52.2708333333333</v>
      </c>
      <c r="BT106" s="59">
        <f t="shared" ref="BT106:CB106" si="280">BT105-BJ106</f>
        <v>100253.578125</v>
      </c>
      <c r="BU106" s="59">
        <f t="shared" si="280"/>
        <v>100253.578125</v>
      </c>
      <c r="BV106" s="59">
        <f t="shared" si="280"/>
        <v>100253.578125</v>
      </c>
      <c r="BW106" s="59">
        <f t="shared" si="280"/>
        <v>100253.578125</v>
      </c>
      <c r="BX106" s="59">
        <f t="shared" si="280"/>
        <v>100253.578125</v>
      </c>
      <c r="BY106" s="59">
        <f t="shared" si="280"/>
        <v>100253.578125</v>
      </c>
      <c r="BZ106" s="59">
        <f t="shared" si="280"/>
        <v>100253.578125</v>
      </c>
      <c r="CA106" s="59">
        <f t="shared" si="280"/>
        <v>100253.578125</v>
      </c>
      <c r="CB106" s="59">
        <f t="shared" si="280"/>
        <v>17016.375</v>
      </c>
    </row>
    <row r="107" s="371" customFormat="1" ht="27" hidden="1" customHeight="1" spans="1:80">
      <c r="A107" s="410">
        <v>45785</v>
      </c>
      <c r="B107" s="411" t="s">
        <v>688</v>
      </c>
      <c r="C107" s="412" t="s">
        <v>689</v>
      </c>
      <c r="D107" s="413">
        <v>4500165636</v>
      </c>
      <c r="E107" s="412">
        <v>5000001870</v>
      </c>
      <c r="F107" s="411" t="s">
        <v>697</v>
      </c>
      <c r="G107" s="414" t="s">
        <v>152</v>
      </c>
      <c r="H107" s="411" t="s">
        <v>153</v>
      </c>
      <c r="I107" s="415">
        <v>130</v>
      </c>
      <c r="J107" s="415">
        <v>0</v>
      </c>
      <c r="K107" s="415">
        <v>13</v>
      </c>
      <c r="L107" s="415">
        <f t="shared" si="202"/>
        <v>10</v>
      </c>
      <c r="M107" s="416">
        <v>45828</v>
      </c>
      <c r="N107" s="416">
        <v>45829</v>
      </c>
      <c r="O107" s="417"/>
      <c r="P107" s="417" t="s">
        <v>107</v>
      </c>
      <c r="Q107" s="417" t="s">
        <v>691</v>
      </c>
      <c r="R107" s="417" t="s">
        <v>692</v>
      </c>
      <c r="S107" s="417" t="s">
        <v>80</v>
      </c>
      <c r="T107" s="417" t="s">
        <v>693</v>
      </c>
      <c r="U107" s="417"/>
      <c r="V107" s="420" t="s">
        <v>694</v>
      </c>
      <c r="W107" s="416" t="s">
        <v>695</v>
      </c>
      <c r="X107" s="421">
        <v>0.7704</v>
      </c>
      <c r="Y107" s="415">
        <f t="shared" si="259"/>
        <v>100.152</v>
      </c>
      <c r="Z107" s="416"/>
      <c r="AA107" s="420">
        <v>130</v>
      </c>
      <c r="AB107" s="420">
        <f t="shared" si="275"/>
        <v>0</v>
      </c>
      <c r="AC107" s="417" t="s">
        <v>113</v>
      </c>
      <c r="AD107" s="417" t="s">
        <v>114</v>
      </c>
      <c r="AE107" s="416" t="s">
        <v>696</v>
      </c>
      <c r="AF107" s="416" t="s">
        <v>115</v>
      </c>
      <c r="AG107" s="422">
        <f t="shared" si="243"/>
        <v>130</v>
      </c>
      <c r="AH107" s="422">
        <f t="shared" si="272"/>
        <v>130</v>
      </c>
      <c r="AI107" s="422"/>
      <c r="AJ107" s="422"/>
      <c r="AK107" s="422">
        <f t="shared" si="276"/>
        <v>130</v>
      </c>
      <c r="AL107" s="422"/>
      <c r="AM107" s="422"/>
      <c r="AN107" s="422"/>
      <c r="AO107" s="422"/>
      <c r="AP107" s="422">
        <f t="shared" si="277"/>
        <v>130</v>
      </c>
      <c r="AQ107" s="422"/>
      <c r="AR107" s="422"/>
      <c r="AS107" s="422"/>
      <c r="AT107" s="422">
        <f t="shared" si="278"/>
        <v>10</v>
      </c>
      <c r="AU107" s="422"/>
      <c r="AV107" s="422"/>
      <c r="AW107" s="422"/>
      <c r="AX107" s="422"/>
      <c r="AY107" s="422"/>
      <c r="AZ107" s="422"/>
      <c r="BA107" s="422"/>
      <c r="BB107" s="422"/>
      <c r="BC107" s="422"/>
      <c r="BD107" s="422"/>
      <c r="BE107" s="422"/>
      <c r="BF107" s="422"/>
      <c r="BG107" s="422"/>
      <c r="BH107" s="422"/>
      <c r="BI107" s="422"/>
      <c r="BJ107" s="423">
        <f t="shared" ref="BJ107:BR107" si="281">$I107*BJ$2</f>
        <v>15.9114583333333</v>
      </c>
      <c r="BK107" s="423">
        <f t="shared" si="281"/>
        <v>15.9114583333333</v>
      </c>
      <c r="BL107" s="423">
        <f t="shared" si="281"/>
        <v>15.9114583333333</v>
      </c>
      <c r="BM107" s="423">
        <f t="shared" si="281"/>
        <v>15.9114583333333</v>
      </c>
      <c r="BN107" s="423">
        <f t="shared" si="281"/>
        <v>15.9114583333333</v>
      </c>
      <c r="BO107" s="423">
        <f t="shared" si="281"/>
        <v>15.9114583333333</v>
      </c>
      <c r="BP107" s="423">
        <f t="shared" si="281"/>
        <v>15.9114583333333</v>
      </c>
      <c r="BQ107" s="423">
        <f t="shared" si="281"/>
        <v>15.9114583333333</v>
      </c>
      <c r="BR107" s="423">
        <f t="shared" si="281"/>
        <v>2.70833333333333</v>
      </c>
      <c r="BT107" s="59">
        <f t="shared" ref="BT107:CB107" si="282">BT106-BJ107</f>
        <v>100237.666666667</v>
      </c>
      <c r="BU107" s="59">
        <f t="shared" si="282"/>
        <v>100237.666666667</v>
      </c>
      <c r="BV107" s="59">
        <f t="shared" si="282"/>
        <v>100237.666666667</v>
      </c>
      <c r="BW107" s="59">
        <f t="shared" si="282"/>
        <v>100237.666666667</v>
      </c>
      <c r="BX107" s="59">
        <f t="shared" si="282"/>
        <v>100237.666666667</v>
      </c>
      <c r="BY107" s="59">
        <f t="shared" si="282"/>
        <v>100237.666666667</v>
      </c>
      <c r="BZ107" s="59">
        <f t="shared" si="282"/>
        <v>100237.666666667</v>
      </c>
      <c r="CA107" s="59">
        <f t="shared" si="282"/>
        <v>100237.666666667</v>
      </c>
      <c r="CB107" s="59">
        <f t="shared" si="282"/>
        <v>17013.6666666667</v>
      </c>
    </row>
    <row r="108" s="371" customFormat="1" ht="27" hidden="1" customHeight="1" spans="1:80">
      <c r="A108" s="410">
        <v>45785</v>
      </c>
      <c r="B108" s="411" t="s">
        <v>688</v>
      </c>
      <c r="C108" s="412" t="s">
        <v>689</v>
      </c>
      <c r="D108" s="413">
        <v>4500165636</v>
      </c>
      <c r="E108" s="412">
        <v>5000001870</v>
      </c>
      <c r="F108" s="411" t="s">
        <v>698</v>
      </c>
      <c r="G108" s="414" t="s">
        <v>152</v>
      </c>
      <c r="H108" s="411" t="s">
        <v>153</v>
      </c>
      <c r="I108" s="415">
        <v>2600</v>
      </c>
      <c r="J108" s="415">
        <v>0</v>
      </c>
      <c r="K108" s="415">
        <v>13</v>
      </c>
      <c r="L108" s="415">
        <f t="shared" si="202"/>
        <v>200</v>
      </c>
      <c r="M108" s="416">
        <v>45828</v>
      </c>
      <c r="N108" s="416">
        <v>45829</v>
      </c>
      <c r="O108" s="417"/>
      <c r="P108" s="417" t="s">
        <v>107</v>
      </c>
      <c r="Q108" s="417" t="s">
        <v>691</v>
      </c>
      <c r="R108" s="417" t="s">
        <v>692</v>
      </c>
      <c r="S108" s="417" t="s">
        <v>80</v>
      </c>
      <c r="T108" s="417" t="s">
        <v>693</v>
      </c>
      <c r="U108" s="417"/>
      <c r="V108" s="420" t="s">
        <v>694</v>
      </c>
      <c r="W108" s="416" t="s">
        <v>695</v>
      </c>
      <c r="X108" s="421">
        <v>0.7704</v>
      </c>
      <c r="Y108" s="415">
        <f t="shared" si="259"/>
        <v>2003.04</v>
      </c>
      <c r="Z108" s="416"/>
      <c r="AA108" s="420">
        <f>2535+65</f>
        <v>2600</v>
      </c>
      <c r="AB108" s="420">
        <f t="shared" si="275"/>
        <v>0</v>
      </c>
      <c r="AC108" s="417" t="s">
        <v>113</v>
      </c>
      <c r="AD108" s="417" t="s">
        <v>114</v>
      </c>
      <c r="AE108" s="416" t="s">
        <v>696</v>
      </c>
      <c r="AF108" s="416" t="s">
        <v>115</v>
      </c>
      <c r="AG108" s="422">
        <f t="shared" si="243"/>
        <v>2600</v>
      </c>
      <c r="AH108" s="422">
        <f t="shared" si="272"/>
        <v>2600</v>
      </c>
      <c r="AI108" s="422"/>
      <c r="AJ108" s="422"/>
      <c r="AK108" s="422">
        <f t="shared" si="276"/>
        <v>2600</v>
      </c>
      <c r="AL108" s="422"/>
      <c r="AM108" s="422"/>
      <c r="AN108" s="422"/>
      <c r="AO108" s="422"/>
      <c r="AP108" s="422">
        <f t="shared" si="277"/>
        <v>2600</v>
      </c>
      <c r="AQ108" s="422"/>
      <c r="AR108" s="422"/>
      <c r="AS108" s="422"/>
      <c r="AT108" s="422">
        <f t="shared" si="278"/>
        <v>200</v>
      </c>
      <c r="AU108" s="422"/>
      <c r="AV108" s="422"/>
      <c r="AW108" s="422"/>
      <c r="AX108" s="422"/>
      <c r="AY108" s="422"/>
      <c r="AZ108" s="422"/>
      <c r="BA108" s="422"/>
      <c r="BB108" s="422"/>
      <c r="BC108" s="422"/>
      <c r="BD108" s="422"/>
      <c r="BE108" s="422"/>
      <c r="BF108" s="422"/>
      <c r="BG108" s="422"/>
      <c r="BH108" s="422"/>
      <c r="BI108" s="422"/>
      <c r="BJ108" s="423">
        <f t="shared" ref="BJ108:BR108" si="283">$I108*BJ$2</f>
        <v>318.229166666666</v>
      </c>
      <c r="BK108" s="423">
        <f t="shared" si="283"/>
        <v>318.229166666666</v>
      </c>
      <c r="BL108" s="423">
        <f t="shared" si="283"/>
        <v>318.229166666666</v>
      </c>
      <c r="BM108" s="423">
        <f t="shared" si="283"/>
        <v>318.229166666666</v>
      </c>
      <c r="BN108" s="423">
        <f t="shared" si="283"/>
        <v>318.229166666666</v>
      </c>
      <c r="BO108" s="423">
        <f t="shared" si="283"/>
        <v>318.229166666666</v>
      </c>
      <c r="BP108" s="423">
        <f t="shared" si="283"/>
        <v>318.229166666666</v>
      </c>
      <c r="BQ108" s="423">
        <f t="shared" si="283"/>
        <v>318.229166666666</v>
      </c>
      <c r="BR108" s="423">
        <f t="shared" si="283"/>
        <v>54.1666666666666</v>
      </c>
      <c r="BT108" s="59">
        <f t="shared" ref="BT108:CB108" si="284">BT107-BJ108</f>
        <v>99919.4375</v>
      </c>
      <c r="BU108" s="59">
        <f t="shared" si="284"/>
        <v>99919.4375</v>
      </c>
      <c r="BV108" s="59">
        <f t="shared" si="284"/>
        <v>99919.4375</v>
      </c>
      <c r="BW108" s="59">
        <f t="shared" si="284"/>
        <v>99919.4375</v>
      </c>
      <c r="BX108" s="59">
        <f t="shared" si="284"/>
        <v>99919.4375</v>
      </c>
      <c r="BY108" s="59">
        <f t="shared" si="284"/>
        <v>99919.4375</v>
      </c>
      <c r="BZ108" s="59">
        <f t="shared" si="284"/>
        <v>99919.4375</v>
      </c>
      <c r="CA108" s="59">
        <f t="shared" si="284"/>
        <v>99919.4375</v>
      </c>
      <c r="CB108" s="59">
        <f t="shared" si="284"/>
        <v>16959.5</v>
      </c>
    </row>
    <row r="109" s="371" customFormat="1" ht="27" hidden="1" customHeight="1" spans="1:80">
      <c r="A109" s="410">
        <v>45792</v>
      </c>
      <c r="B109" s="411" t="s">
        <v>699</v>
      </c>
      <c r="C109" s="412" t="s">
        <v>689</v>
      </c>
      <c r="D109" s="413">
        <v>4500165636</v>
      </c>
      <c r="E109" s="412">
        <v>5000001870</v>
      </c>
      <c r="F109" s="411" t="s">
        <v>700</v>
      </c>
      <c r="G109" s="414" t="s">
        <v>152</v>
      </c>
      <c r="H109" s="411" t="s">
        <v>153</v>
      </c>
      <c r="I109" s="415">
        <v>1300</v>
      </c>
      <c r="J109" s="415">
        <v>0</v>
      </c>
      <c r="K109" s="415">
        <v>13</v>
      </c>
      <c r="L109" s="415">
        <f t="shared" si="202"/>
        <v>100</v>
      </c>
      <c r="M109" s="416">
        <v>45828</v>
      </c>
      <c r="N109" s="416">
        <v>45829</v>
      </c>
      <c r="O109" s="417"/>
      <c r="P109" s="417" t="s">
        <v>107</v>
      </c>
      <c r="Q109" s="417" t="s">
        <v>691</v>
      </c>
      <c r="R109" s="417" t="s">
        <v>692</v>
      </c>
      <c r="S109" s="417" t="s">
        <v>80</v>
      </c>
      <c r="T109" s="417" t="s">
        <v>693</v>
      </c>
      <c r="U109" s="417"/>
      <c r="V109" s="420" t="s">
        <v>694</v>
      </c>
      <c r="W109" s="416" t="s">
        <v>695</v>
      </c>
      <c r="X109" s="421">
        <v>0.7704</v>
      </c>
      <c r="Y109" s="415">
        <f t="shared" si="259"/>
        <v>1001.52</v>
      </c>
      <c r="Z109" s="416"/>
      <c r="AA109" s="420">
        <v>1300</v>
      </c>
      <c r="AB109" s="420">
        <f t="shared" si="275"/>
        <v>0</v>
      </c>
      <c r="AC109" s="417" t="s">
        <v>113</v>
      </c>
      <c r="AD109" s="417" t="s">
        <v>114</v>
      </c>
      <c r="AE109" s="416" t="s">
        <v>696</v>
      </c>
      <c r="AF109" s="416" t="s">
        <v>115</v>
      </c>
      <c r="AG109" s="422">
        <f t="shared" si="243"/>
        <v>1300</v>
      </c>
      <c r="AH109" s="422">
        <f t="shared" si="272"/>
        <v>1300</v>
      </c>
      <c r="AI109" s="422"/>
      <c r="AJ109" s="422"/>
      <c r="AK109" s="422">
        <f t="shared" si="276"/>
        <v>1300</v>
      </c>
      <c r="AL109" s="422"/>
      <c r="AM109" s="422"/>
      <c r="AN109" s="422"/>
      <c r="AO109" s="422"/>
      <c r="AP109" s="422">
        <f t="shared" si="277"/>
        <v>1300</v>
      </c>
      <c r="AQ109" s="422"/>
      <c r="AR109" s="422"/>
      <c r="AS109" s="422"/>
      <c r="AT109" s="422">
        <f t="shared" si="278"/>
        <v>100</v>
      </c>
      <c r="AU109" s="422"/>
      <c r="AV109" s="422"/>
      <c r="AW109" s="422"/>
      <c r="AX109" s="422"/>
      <c r="AY109" s="422"/>
      <c r="AZ109" s="422"/>
      <c r="BA109" s="422"/>
      <c r="BB109" s="422"/>
      <c r="BC109" s="422"/>
      <c r="BD109" s="422"/>
      <c r="BE109" s="422"/>
      <c r="BF109" s="422"/>
      <c r="BG109" s="422"/>
      <c r="BH109" s="422"/>
      <c r="BI109" s="422"/>
      <c r="BJ109" s="423">
        <f t="shared" ref="BJ109:BR109" si="285">$I109*BJ$2</f>
        <v>159.114583333333</v>
      </c>
      <c r="BK109" s="423">
        <f t="shared" si="285"/>
        <v>159.114583333333</v>
      </c>
      <c r="BL109" s="423">
        <f t="shared" si="285"/>
        <v>159.114583333333</v>
      </c>
      <c r="BM109" s="423">
        <f t="shared" si="285"/>
        <v>159.114583333333</v>
      </c>
      <c r="BN109" s="423">
        <f t="shared" si="285"/>
        <v>159.114583333333</v>
      </c>
      <c r="BO109" s="423">
        <f t="shared" si="285"/>
        <v>159.114583333333</v>
      </c>
      <c r="BP109" s="423">
        <f t="shared" si="285"/>
        <v>159.114583333333</v>
      </c>
      <c r="BQ109" s="423">
        <f t="shared" si="285"/>
        <v>159.114583333333</v>
      </c>
      <c r="BR109" s="423">
        <f t="shared" si="285"/>
        <v>27.0833333333333</v>
      </c>
      <c r="BT109" s="59">
        <f t="shared" ref="BT109:CB109" si="286">BT108-BJ109</f>
        <v>99760.3229166667</v>
      </c>
      <c r="BU109" s="59">
        <f t="shared" si="286"/>
        <v>99760.3229166667</v>
      </c>
      <c r="BV109" s="59">
        <f t="shared" si="286"/>
        <v>99760.3229166667</v>
      </c>
      <c r="BW109" s="59">
        <f t="shared" si="286"/>
        <v>99760.3229166667</v>
      </c>
      <c r="BX109" s="59">
        <f t="shared" si="286"/>
        <v>99760.3229166667</v>
      </c>
      <c r="BY109" s="59">
        <f t="shared" si="286"/>
        <v>99760.3229166667</v>
      </c>
      <c r="BZ109" s="59">
        <f t="shared" si="286"/>
        <v>99760.3229166667</v>
      </c>
      <c r="CA109" s="59">
        <f t="shared" si="286"/>
        <v>99760.3229166667</v>
      </c>
      <c r="CB109" s="59">
        <f t="shared" si="286"/>
        <v>16932.4166666667</v>
      </c>
    </row>
    <row r="110" s="371" customFormat="1" ht="27" hidden="1" customHeight="1" spans="1:80">
      <c r="A110" s="410">
        <v>45754</v>
      </c>
      <c r="B110" s="411" t="s">
        <v>701</v>
      </c>
      <c r="C110" s="412" t="s">
        <v>396</v>
      </c>
      <c r="D110" s="413">
        <v>4500162761</v>
      </c>
      <c r="E110" s="412">
        <v>2950866847</v>
      </c>
      <c r="F110" s="411" t="s">
        <v>702</v>
      </c>
      <c r="G110" s="414" t="s">
        <v>703</v>
      </c>
      <c r="H110" s="411" t="s">
        <v>704</v>
      </c>
      <c r="I110" s="415">
        <v>4160</v>
      </c>
      <c r="J110" s="415">
        <v>0</v>
      </c>
      <c r="K110" s="415">
        <v>1040</v>
      </c>
      <c r="L110" s="415">
        <f t="shared" si="202"/>
        <v>4</v>
      </c>
      <c r="M110" s="416">
        <v>45831</v>
      </c>
      <c r="N110" s="416">
        <v>45827</v>
      </c>
      <c r="O110" s="417"/>
      <c r="P110" s="417" t="s">
        <v>107</v>
      </c>
      <c r="Q110" s="417" t="s">
        <v>705</v>
      </c>
      <c r="R110" s="417">
        <v>45802</v>
      </c>
      <c r="S110" s="417" t="s">
        <v>80</v>
      </c>
      <c r="T110" s="417" t="s">
        <v>706</v>
      </c>
      <c r="U110" s="54"/>
      <c r="V110" s="420" t="s">
        <v>707</v>
      </c>
      <c r="W110" s="416" t="s">
        <v>467</v>
      </c>
      <c r="X110" s="56">
        <v>830.6645</v>
      </c>
      <c r="Y110" s="415">
        <f>X110*L110</f>
        <v>3322.658</v>
      </c>
      <c r="Z110" s="416"/>
      <c r="AA110" s="420">
        <v>4160</v>
      </c>
      <c r="AB110" s="420">
        <f t="shared" si="275"/>
        <v>0</v>
      </c>
      <c r="AC110" s="417"/>
      <c r="AD110" s="417" t="s">
        <v>114</v>
      </c>
      <c r="AE110" s="416" t="s">
        <v>703</v>
      </c>
      <c r="AF110" s="416" t="s">
        <v>115</v>
      </c>
      <c r="AG110" s="422">
        <f t="shared" si="243"/>
        <v>4160</v>
      </c>
      <c r="AH110" s="422">
        <f t="shared" si="272"/>
        <v>4160</v>
      </c>
      <c r="AI110" s="422"/>
      <c r="AJ110" s="422"/>
      <c r="AK110" s="422">
        <f t="shared" si="276"/>
        <v>4160</v>
      </c>
      <c r="AL110" s="422"/>
      <c r="AM110" s="422"/>
      <c r="AN110" s="422"/>
      <c r="AO110" s="422">
        <f t="shared" ref="AO110:AO114" si="287">I110</f>
        <v>4160</v>
      </c>
      <c r="AP110" s="422"/>
      <c r="AQ110" s="422"/>
      <c r="AR110" s="422"/>
      <c r="AS110" s="422"/>
      <c r="AT110" s="422">
        <f t="shared" si="278"/>
        <v>320</v>
      </c>
      <c r="AU110" s="422"/>
      <c r="AV110" s="422"/>
      <c r="AW110" s="422"/>
      <c r="AX110" s="422"/>
      <c r="AY110" s="422"/>
      <c r="AZ110" s="422"/>
      <c r="BA110" s="422"/>
      <c r="BB110" s="422"/>
      <c r="BC110" s="422"/>
      <c r="BD110" s="422"/>
      <c r="BE110" s="422"/>
      <c r="BF110" s="422"/>
      <c r="BG110" s="422"/>
      <c r="BH110" s="422"/>
      <c r="BI110" s="422"/>
      <c r="BJ110" s="423">
        <f t="shared" ref="BJ110:BR110" si="288">$I110*BJ$2</f>
        <v>509.166666666665</v>
      </c>
      <c r="BK110" s="423">
        <f t="shared" si="288"/>
        <v>509.166666666665</v>
      </c>
      <c r="BL110" s="423">
        <f t="shared" si="288"/>
        <v>509.166666666665</v>
      </c>
      <c r="BM110" s="423">
        <f t="shared" si="288"/>
        <v>509.166666666665</v>
      </c>
      <c r="BN110" s="423">
        <f t="shared" si="288"/>
        <v>509.166666666665</v>
      </c>
      <c r="BO110" s="423">
        <f t="shared" si="288"/>
        <v>509.166666666665</v>
      </c>
      <c r="BP110" s="423">
        <f t="shared" si="288"/>
        <v>509.166666666665</v>
      </c>
      <c r="BQ110" s="423">
        <f t="shared" si="288"/>
        <v>509.166666666665</v>
      </c>
      <c r="BR110" s="423">
        <f t="shared" si="288"/>
        <v>86.6666666666665</v>
      </c>
      <c r="BT110" s="59">
        <f t="shared" ref="BT110:CB110" si="289">BT109-BJ110</f>
        <v>99251.15625</v>
      </c>
      <c r="BU110" s="59">
        <f t="shared" si="289"/>
        <v>99251.15625</v>
      </c>
      <c r="BV110" s="59">
        <f t="shared" si="289"/>
        <v>99251.15625</v>
      </c>
      <c r="BW110" s="59">
        <f t="shared" si="289"/>
        <v>99251.15625</v>
      </c>
      <c r="BX110" s="59">
        <f t="shared" si="289"/>
        <v>99251.15625</v>
      </c>
      <c r="BY110" s="59">
        <f t="shared" si="289"/>
        <v>99251.15625</v>
      </c>
      <c r="BZ110" s="59">
        <f t="shared" si="289"/>
        <v>99251.15625</v>
      </c>
      <c r="CA110" s="59">
        <f t="shared" si="289"/>
        <v>99251.15625</v>
      </c>
      <c r="CB110" s="59">
        <f t="shared" si="289"/>
        <v>16845.75</v>
      </c>
    </row>
    <row r="111" s="371" customFormat="1" ht="27" hidden="1" customHeight="1" spans="1:80">
      <c r="A111" s="410">
        <v>45762</v>
      </c>
      <c r="B111" s="411" t="s">
        <v>701</v>
      </c>
      <c r="C111" s="412" t="s">
        <v>396</v>
      </c>
      <c r="D111" s="413">
        <v>4500163740</v>
      </c>
      <c r="E111" s="412">
        <v>2950866847</v>
      </c>
      <c r="F111" s="411" t="s">
        <v>708</v>
      </c>
      <c r="G111" s="414" t="s">
        <v>703</v>
      </c>
      <c r="H111" s="411" t="s">
        <v>704</v>
      </c>
      <c r="I111" s="415">
        <v>1040</v>
      </c>
      <c r="J111" s="415">
        <v>0</v>
      </c>
      <c r="K111" s="415">
        <v>1040</v>
      </c>
      <c r="L111" s="415">
        <f t="shared" si="202"/>
        <v>1</v>
      </c>
      <c r="M111" s="416">
        <v>45831</v>
      </c>
      <c r="N111" s="416">
        <v>45827</v>
      </c>
      <c r="O111" s="417"/>
      <c r="P111" s="417" t="s">
        <v>107</v>
      </c>
      <c r="Q111" s="417" t="s">
        <v>705</v>
      </c>
      <c r="R111" s="417">
        <v>45802</v>
      </c>
      <c r="S111" s="417" t="s">
        <v>80</v>
      </c>
      <c r="T111" s="417" t="s">
        <v>706</v>
      </c>
      <c r="U111" s="417"/>
      <c r="V111" s="420" t="s">
        <v>709</v>
      </c>
      <c r="W111" s="416" t="s">
        <v>467</v>
      </c>
      <c r="X111" s="56">
        <v>830.6645</v>
      </c>
      <c r="Y111" s="415">
        <f>X111*L111</f>
        <v>830.6645</v>
      </c>
      <c r="Z111" s="416"/>
      <c r="AA111" s="420">
        <v>1040</v>
      </c>
      <c r="AB111" s="420">
        <f t="shared" si="275"/>
        <v>0</v>
      </c>
      <c r="AC111" s="417"/>
      <c r="AD111" s="417" t="s">
        <v>114</v>
      </c>
      <c r="AE111" s="416" t="s">
        <v>703</v>
      </c>
      <c r="AF111" s="416" t="s">
        <v>115</v>
      </c>
      <c r="AG111" s="422">
        <f t="shared" si="243"/>
        <v>1040</v>
      </c>
      <c r="AH111" s="422">
        <f t="shared" si="272"/>
        <v>1040</v>
      </c>
      <c r="AJ111" s="422"/>
      <c r="AK111" s="422">
        <f t="shared" si="276"/>
        <v>1040</v>
      </c>
      <c r="AL111" s="422"/>
      <c r="AM111" s="422"/>
      <c r="AN111" s="422"/>
      <c r="AO111" s="422">
        <f t="shared" si="287"/>
        <v>1040</v>
      </c>
      <c r="AP111" s="422"/>
      <c r="AQ111" s="422"/>
      <c r="AR111" s="422"/>
      <c r="AS111" s="422"/>
      <c r="AT111" s="422">
        <f t="shared" si="278"/>
        <v>80</v>
      </c>
      <c r="AU111" s="422"/>
      <c r="AV111" s="422"/>
      <c r="AW111" s="422"/>
      <c r="AX111" s="422"/>
      <c r="AY111" s="422"/>
      <c r="AZ111" s="422"/>
      <c r="BA111" s="422"/>
      <c r="BB111" s="422"/>
      <c r="BC111" s="422"/>
      <c r="BD111" s="422"/>
      <c r="BE111" s="422"/>
      <c r="BF111" s="422"/>
      <c r="BG111" s="422"/>
      <c r="BH111" s="422"/>
      <c r="BI111" s="422"/>
      <c r="BJ111" s="423">
        <f t="shared" ref="BJ111:BR111" si="290">$I111*BJ$2</f>
        <v>127.291666666666</v>
      </c>
      <c r="BK111" s="423">
        <f t="shared" si="290"/>
        <v>127.291666666666</v>
      </c>
      <c r="BL111" s="423">
        <f t="shared" si="290"/>
        <v>127.291666666666</v>
      </c>
      <c r="BM111" s="423">
        <f t="shared" si="290"/>
        <v>127.291666666666</v>
      </c>
      <c r="BN111" s="423">
        <f t="shared" si="290"/>
        <v>127.291666666666</v>
      </c>
      <c r="BO111" s="423">
        <f t="shared" si="290"/>
        <v>127.291666666666</v>
      </c>
      <c r="BP111" s="423">
        <f t="shared" si="290"/>
        <v>127.291666666666</v>
      </c>
      <c r="BQ111" s="423">
        <f t="shared" si="290"/>
        <v>127.291666666666</v>
      </c>
      <c r="BR111" s="423">
        <f t="shared" si="290"/>
        <v>21.6666666666666</v>
      </c>
      <c r="BT111" s="59">
        <f t="shared" ref="BT111:CB111" si="291">BT110-BJ111</f>
        <v>99123.8645833334</v>
      </c>
      <c r="BU111" s="59">
        <f t="shared" si="291"/>
        <v>99123.8645833334</v>
      </c>
      <c r="BV111" s="59">
        <f t="shared" si="291"/>
        <v>99123.8645833334</v>
      </c>
      <c r="BW111" s="59">
        <f t="shared" si="291"/>
        <v>99123.8645833334</v>
      </c>
      <c r="BX111" s="59">
        <f t="shared" si="291"/>
        <v>99123.8645833334</v>
      </c>
      <c r="BY111" s="59">
        <f t="shared" si="291"/>
        <v>99123.8645833334</v>
      </c>
      <c r="BZ111" s="59">
        <f t="shared" si="291"/>
        <v>99123.8645833334</v>
      </c>
      <c r="CA111" s="59">
        <f t="shared" si="291"/>
        <v>99123.8645833334</v>
      </c>
      <c r="CB111" s="59">
        <f t="shared" si="291"/>
        <v>16824.0833333333</v>
      </c>
    </row>
    <row r="112" s="371" customFormat="1" ht="27" hidden="1" customHeight="1" spans="1:80">
      <c r="A112" s="410">
        <v>45790</v>
      </c>
      <c r="B112" s="411" t="s">
        <v>710</v>
      </c>
      <c r="C112" s="412" t="s">
        <v>117</v>
      </c>
      <c r="D112" s="413">
        <v>4500166237</v>
      </c>
      <c r="E112" s="412" t="s">
        <v>711</v>
      </c>
      <c r="F112" s="411" t="s">
        <v>712</v>
      </c>
      <c r="G112" s="414" t="s">
        <v>152</v>
      </c>
      <c r="H112" s="411" t="s">
        <v>153</v>
      </c>
      <c r="I112" s="415">
        <v>611</v>
      </c>
      <c r="J112" s="415">
        <v>0</v>
      </c>
      <c r="K112" s="415">
        <v>13</v>
      </c>
      <c r="L112" s="415">
        <f t="shared" si="202"/>
        <v>47</v>
      </c>
      <c r="M112" s="416">
        <v>45831</v>
      </c>
      <c r="N112" s="416">
        <v>45829</v>
      </c>
      <c r="O112" s="417"/>
      <c r="P112" s="417" t="s">
        <v>224</v>
      </c>
      <c r="Q112" s="417" t="s">
        <v>647</v>
      </c>
      <c r="R112" s="417">
        <v>45799</v>
      </c>
      <c r="S112" s="417" t="s">
        <v>80</v>
      </c>
      <c r="T112" s="417" t="s">
        <v>80</v>
      </c>
      <c r="U112" s="417"/>
      <c r="V112" s="420" t="s">
        <v>713</v>
      </c>
      <c r="W112" s="416" t="s">
        <v>714</v>
      </c>
      <c r="X112" s="56">
        <v>0.4687</v>
      </c>
      <c r="Y112" s="415">
        <f t="shared" ref="Y112:Y132" si="292">X112*I112</f>
        <v>286.3757</v>
      </c>
      <c r="Z112" s="416" t="s">
        <v>715</v>
      </c>
      <c r="AA112" s="420">
        <v>611</v>
      </c>
      <c r="AB112" s="420">
        <f t="shared" si="275"/>
        <v>0</v>
      </c>
      <c r="AC112" s="417" t="s">
        <v>80</v>
      </c>
      <c r="AD112" s="417" t="s">
        <v>114</v>
      </c>
      <c r="AE112" s="416" t="s">
        <v>152</v>
      </c>
      <c r="AF112" s="416" t="s">
        <v>115</v>
      </c>
      <c r="AG112" s="422">
        <f t="shared" si="243"/>
        <v>611</v>
      </c>
      <c r="AH112" s="422">
        <f t="shared" si="272"/>
        <v>611</v>
      </c>
      <c r="AI112" s="422"/>
      <c r="AJ112" s="422"/>
      <c r="AK112" s="422">
        <f t="shared" si="276"/>
        <v>611</v>
      </c>
      <c r="AL112" s="422"/>
      <c r="AM112" s="422"/>
      <c r="AN112" s="422"/>
      <c r="AO112" s="422">
        <f t="shared" si="287"/>
        <v>611</v>
      </c>
      <c r="AP112" s="422"/>
      <c r="AQ112" s="422"/>
      <c r="AR112" s="422"/>
      <c r="AS112" s="422"/>
      <c r="AT112" s="422">
        <f t="shared" si="278"/>
        <v>47</v>
      </c>
      <c r="AU112" s="422"/>
      <c r="AV112" s="422"/>
      <c r="AW112" s="422"/>
      <c r="AX112" s="422"/>
      <c r="AY112" s="422"/>
      <c r="AZ112" s="422"/>
      <c r="BA112" s="422"/>
      <c r="BB112" s="422"/>
      <c r="BC112" s="422"/>
      <c r="BD112" s="422"/>
      <c r="BE112" s="422"/>
      <c r="BF112" s="422"/>
      <c r="BG112" s="422"/>
      <c r="BH112" s="422"/>
      <c r="BI112" s="422"/>
      <c r="BJ112" s="423">
        <f t="shared" ref="BJ112:BR112" si="293">$I112*BJ$2</f>
        <v>74.7838541666665</v>
      </c>
      <c r="BK112" s="423">
        <f t="shared" si="293"/>
        <v>74.7838541666665</v>
      </c>
      <c r="BL112" s="423">
        <f t="shared" si="293"/>
        <v>74.7838541666665</v>
      </c>
      <c r="BM112" s="423">
        <f t="shared" si="293"/>
        <v>74.7838541666665</v>
      </c>
      <c r="BN112" s="423">
        <f t="shared" si="293"/>
        <v>74.7838541666665</v>
      </c>
      <c r="BO112" s="423">
        <f t="shared" si="293"/>
        <v>74.7838541666665</v>
      </c>
      <c r="BP112" s="423">
        <f t="shared" si="293"/>
        <v>74.7838541666665</v>
      </c>
      <c r="BQ112" s="423">
        <f t="shared" si="293"/>
        <v>74.7838541666665</v>
      </c>
      <c r="BR112" s="423">
        <f t="shared" si="293"/>
        <v>12.7291666666666</v>
      </c>
      <c r="BT112" s="59">
        <f t="shared" ref="BT112:CB112" si="294">BT111-BJ112</f>
        <v>99049.0807291667</v>
      </c>
      <c r="BU112" s="59">
        <f t="shared" si="294"/>
        <v>99049.0807291667</v>
      </c>
      <c r="BV112" s="59">
        <f t="shared" si="294"/>
        <v>99049.0807291667</v>
      </c>
      <c r="BW112" s="59">
        <f t="shared" si="294"/>
        <v>99049.0807291667</v>
      </c>
      <c r="BX112" s="59">
        <f t="shared" si="294"/>
        <v>99049.0807291667</v>
      </c>
      <c r="BY112" s="59">
        <f t="shared" si="294"/>
        <v>99049.0807291667</v>
      </c>
      <c r="BZ112" s="59">
        <f t="shared" si="294"/>
        <v>99049.0807291667</v>
      </c>
      <c r="CA112" s="59">
        <f t="shared" si="294"/>
        <v>99049.0807291667</v>
      </c>
      <c r="CB112" s="59">
        <f t="shared" si="294"/>
        <v>16811.3541666667</v>
      </c>
    </row>
    <row r="113" s="371" customFormat="1" ht="27" hidden="1" customHeight="1" spans="1:87">
      <c r="A113" s="410">
        <v>45790</v>
      </c>
      <c r="B113" s="411" t="s">
        <v>710</v>
      </c>
      <c r="C113" s="412" t="s">
        <v>117</v>
      </c>
      <c r="D113" s="413">
        <v>4500166238</v>
      </c>
      <c r="E113" s="412">
        <v>217181377</v>
      </c>
      <c r="F113" s="411" t="s">
        <v>716</v>
      </c>
      <c r="G113" s="414" t="s">
        <v>152</v>
      </c>
      <c r="H113" s="411" t="s">
        <v>153</v>
      </c>
      <c r="I113" s="415">
        <v>403</v>
      </c>
      <c r="J113" s="415">
        <v>0</v>
      </c>
      <c r="K113" s="415">
        <v>13</v>
      </c>
      <c r="L113" s="415">
        <f t="shared" si="202"/>
        <v>31</v>
      </c>
      <c r="M113" s="416">
        <v>45831</v>
      </c>
      <c r="N113" s="416">
        <v>45829</v>
      </c>
      <c r="O113" s="417"/>
      <c r="P113" s="417" t="s">
        <v>224</v>
      </c>
      <c r="Q113" s="453" t="s">
        <v>629</v>
      </c>
      <c r="R113" s="417">
        <v>45799</v>
      </c>
      <c r="S113" s="417" t="s">
        <v>80</v>
      </c>
      <c r="T113" s="417" t="s">
        <v>80</v>
      </c>
      <c r="U113" s="417"/>
      <c r="V113" s="420" t="s">
        <v>713</v>
      </c>
      <c r="W113" s="416" t="s">
        <v>569</v>
      </c>
      <c r="X113" s="56">
        <v>0.4687</v>
      </c>
      <c r="Y113" s="415">
        <f t="shared" si="292"/>
        <v>188.8861</v>
      </c>
      <c r="Z113" s="416" t="s">
        <v>717</v>
      </c>
      <c r="AA113" s="420">
        <v>403</v>
      </c>
      <c r="AB113" s="420">
        <f t="shared" si="275"/>
        <v>0</v>
      </c>
      <c r="AC113" s="417" t="s">
        <v>80</v>
      </c>
      <c r="AD113" s="417" t="s">
        <v>114</v>
      </c>
      <c r="AE113" s="416" t="s">
        <v>152</v>
      </c>
      <c r="AF113" s="416" t="s">
        <v>115</v>
      </c>
      <c r="AG113" s="422">
        <f t="shared" si="243"/>
        <v>403</v>
      </c>
      <c r="AH113" s="422">
        <f t="shared" si="272"/>
        <v>403</v>
      </c>
      <c r="AI113" s="422"/>
      <c r="AJ113" s="422"/>
      <c r="AK113" s="422">
        <f t="shared" si="276"/>
        <v>403</v>
      </c>
      <c r="AL113" s="422"/>
      <c r="AM113" s="422"/>
      <c r="AN113" s="422"/>
      <c r="AO113" s="422">
        <f t="shared" si="287"/>
        <v>403</v>
      </c>
      <c r="AP113" s="422"/>
      <c r="AQ113" s="422"/>
      <c r="AR113" s="422"/>
      <c r="AS113" s="422"/>
      <c r="AT113" s="422">
        <f t="shared" si="278"/>
        <v>31</v>
      </c>
      <c r="AU113" s="422"/>
      <c r="AV113" s="422"/>
      <c r="AW113" s="422"/>
      <c r="AX113" s="422"/>
      <c r="AY113" s="422"/>
      <c r="AZ113" s="422"/>
      <c r="BA113" s="422"/>
      <c r="BB113" s="422"/>
      <c r="BC113" s="422"/>
      <c r="BD113" s="422"/>
      <c r="BE113" s="422"/>
      <c r="BF113" s="422"/>
      <c r="BG113" s="422"/>
      <c r="BH113" s="422"/>
      <c r="BI113" s="422"/>
      <c r="BJ113" s="423">
        <f t="shared" ref="BJ113:BR113" si="295">$I113*BJ$2</f>
        <v>49.3255208333332</v>
      </c>
      <c r="BK113" s="423">
        <f t="shared" si="295"/>
        <v>49.3255208333332</v>
      </c>
      <c r="BL113" s="423">
        <f t="shared" si="295"/>
        <v>49.3255208333332</v>
      </c>
      <c r="BM113" s="423">
        <f t="shared" si="295"/>
        <v>49.3255208333332</v>
      </c>
      <c r="BN113" s="423">
        <f t="shared" si="295"/>
        <v>49.3255208333332</v>
      </c>
      <c r="BO113" s="423">
        <f t="shared" si="295"/>
        <v>49.3255208333332</v>
      </c>
      <c r="BP113" s="423">
        <f t="shared" si="295"/>
        <v>49.3255208333332</v>
      </c>
      <c r="BQ113" s="423">
        <f t="shared" si="295"/>
        <v>49.3255208333332</v>
      </c>
      <c r="BR113" s="423">
        <f t="shared" si="295"/>
        <v>8.39583333333332</v>
      </c>
      <c r="BT113" s="59">
        <f t="shared" ref="BT113:CB113" si="296">BT112-BJ113</f>
        <v>98999.7552083334</v>
      </c>
      <c r="BU113" s="59">
        <f t="shared" si="296"/>
        <v>98999.7552083334</v>
      </c>
      <c r="BV113" s="59">
        <f t="shared" si="296"/>
        <v>98999.7552083334</v>
      </c>
      <c r="BW113" s="59">
        <f t="shared" si="296"/>
        <v>98999.7552083334</v>
      </c>
      <c r="BX113" s="59">
        <f t="shared" si="296"/>
        <v>98999.7552083334</v>
      </c>
      <c r="BY113" s="59">
        <f t="shared" si="296"/>
        <v>98999.7552083334</v>
      </c>
      <c r="BZ113" s="59">
        <f t="shared" si="296"/>
        <v>98999.7552083334</v>
      </c>
      <c r="CA113" s="59">
        <f t="shared" si="296"/>
        <v>98999.7552083334</v>
      </c>
      <c r="CB113" s="59">
        <f t="shared" si="296"/>
        <v>16802.9583333333</v>
      </c>
    </row>
    <row r="114" s="371" customFormat="1" ht="27" hidden="1" customHeight="1" spans="1:87">
      <c r="A114" s="410">
        <v>45799</v>
      </c>
      <c r="B114" s="411" t="s">
        <v>221</v>
      </c>
      <c r="C114" s="412" t="s">
        <v>222</v>
      </c>
      <c r="D114" s="413">
        <v>4500167533</v>
      </c>
      <c r="E114" s="412"/>
      <c r="F114" s="411" t="s">
        <v>718</v>
      </c>
      <c r="G114" s="414" t="s">
        <v>131</v>
      </c>
      <c r="H114" s="411" t="s">
        <v>132</v>
      </c>
      <c r="I114" s="415">
        <v>540</v>
      </c>
      <c r="J114" s="415">
        <v>0</v>
      </c>
      <c r="K114" s="415">
        <v>27</v>
      </c>
      <c r="L114" s="415">
        <f t="shared" si="202"/>
        <v>20</v>
      </c>
      <c r="M114" s="416">
        <v>45831</v>
      </c>
      <c r="N114" s="416">
        <v>45829</v>
      </c>
      <c r="O114" s="417"/>
      <c r="P114" s="417" t="s">
        <v>224</v>
      </c>
      <c r="Q114" s="417" t="s">
        <v>719</v>
      </c>
      <c r="R114" s="509">
        <v>45799</v>
      </c>
      <c r="S114" s="453" t="s">
        <v>80</v>
      </c>
      <c r="T114" s="453" t="s">
        <v>720</v>
      </c>
      <c r="U114" s="453"/>
      <c r="V114" s="420" t="s">
        <v>721</v>
      </c>
      <c r="W114" s="416" t="s">
        <v>228</v>
      </c>
      <c r="X114" s="421">
        <v>0.7792</v>
      </c>
      <c r="Y114" s="415">
        <f t="shared" si="292"/>
        <v>420.768</v>
      </c>
      <c r="Z114" s="416"/>
      <c r="AA114" s="420">
        <f>540</f>
        <v>540</v>
      </c>
      <c r="AB114" s="420">
        <f t="shared" si="275"/>
        <v>0</v>
      </c>
      <c r="AC114" s="417" t="s">
        <v>113</v>
      </c>
      <c r="AD114" s="417" t="s">
        <v>114</v>
      </c>
      <c r="AE114" s="416" t="s">
        <v>434</v>
      </c>
      <c r="AF114" s="416" t="s">
        <v>115</v>
      </c>
      <c r="AG114" s="422">
        <f t="shared" si="243"/>
        <v>540</v>
      </c>
      <c r="AH114" s="422">
        <f t="shared" si="272"/>
        <v>540</v>
      </c>
      <c r="AI114" s="422"/>
      <c r="AJ114" s="422"/>
      <c r="AK114" s="422"/>
      <c r="AL114" s="422">
        <f>I114</f>
        <v>540</v>
      </c>
      <c r="AM114" s="422"/>
      <c r="AN114" s="422"/>
      <c r="AO114" s="422">
        <f t="shared" si="287"/>
        <v>540</v>
      </c>
      <c r="AP114" s="422"/>
      <c r="AQ114" s="422"/>
      <c r="AR114" s="422">
        <f>I114/27</f>
        <v>20</v>
      </c>
      <c r="AS114" s="422"/>
      <c r="AT114" s="422"/>
      <c r="AU114" s="422"/>
      <c r="AV114" s="422"/>
      <c r="AW114" s="422"/>
      <c r="AX114" s="422"/>
      <c r="AY114" s="422"/>
      <c r="AZ114" s="422"/>
      <c r="BA114" s="422"/>
      <c r="BB114" s="422"/>
      <c r="BC114" s="422"/>
      <c r="BD114" s="422"/>
      <c r="BE114" s="422"/>
      <c r="BF114" s="422"/>
      <c r="BG114" s="422"/>
      <c r="BH114" s="422"/>
      <c r="BI114" s="422"/>
      <c r="BJ114" s="423">
        <f t="shared" ref="BJ114:BR114" si="297">$I114*BJ$2</f>
        <v>66.0937499999998</v>
      </c>
      <c r="BK114" s="423">
        <f t="shared" si="297"/>
        <v>66.0937499999998</v>
      </c>
      <c r="BL114" s="423">
        <f t="shared" si="297"/>
        <v>66.0937499999998</v>
      </c>
      <c r="BM114" s="423">
        <f t="shared" si="297"/>
        <v>66.0937499999998</v>
      </c>
      <c r="BN114" s="423">
        <f t="shared" si="297"/>
        <v>66.0937499999998</v>
      </c>
      <c r="BO114" s="423">
        <f t="shared" si="297"/>
        <v>66.0937499999998</v>
      </c>
      <c r="BP114" s="423">
        <f t="shared" si="297"/>
        <v>66.0937499999998</v>
      </c>
      <c r="BQ114" s="423">
        <f t="shared" si="297"/>
        <v>66.0937499999998</v>
      </c>
      <c r="BR114" s="423">
        <f t="shared" si="297"/>
        <v>11.25</v>
      </c>
      <c r="BT114" s="59">
        <f t="shared" ref="BT114:CB114" si="298">BT113-BJ114</f>
        <v>98933.6614583334</v>
      </c>
      <c r="BU114" s="59">
        <f t="shared" si="298"/>
        <v>98933.6614583334</v>
      </c>
      <c r="BV114" s="59">
        <f t="shared" si="298"/>
        <v>98933.6614583334</v>
      </c>
      <c r="BW114" s="59">
        <f t="shared" si="298"/>
        <v>98933.6614583334</v>
      </c>
      <c r="BX114" s="59">
        <f t="shared" si="298"/>
        <v>98933.6614583334</v>
      </c>
      <c r="BY114" s="59">
        <f t="shared" si="298"/>
        <v>98933.6614583334</v>
      </c>
      <c r="BZ114" s="59">
        <f t="shared" si="298"/>
        <v>98933.6614583334</v>
      </c>
      <c r="CA114" s="59">
        <f t="shared" si="298"/>
        <v>98933.6614583334</v>
      </c>
      <c r="CB114" s="59">
        <f t="shared" si="298"/>
        <v>16791.7083333333</v>
      </c>
    </row>
    <row r="115" s="371" customFormat="1" ht="27" hidden="1" customHeight="1" spans="1:87">
      <c r="A115" s="410">
        <v>45798</v>
      </c>
      <c r="B115" s="411" t="s">
        <v>722</v>
      </c>
      <c r="C115" s="412" t="s">
        <v>117</v>
      </c>
      <c r="D115" s="413">
        <v>4500167243</v>
      </c>
      <c r="E115" s="412" t="s">
        <v>723</v>
      </c>
      <c r="F115" s="411" t="s">
        <v>724</v>
      </c>
      <c r="G115" s="414" t="s">
        <v>188</v>
      </c>
      <c r="H115" s="411" t="s">
        <v>120</v>
      </c>
      <c r="I115" s="415">
        <v>1800</v>
      </c>
      <c r="J115" s="415">
        <v>0</v>
      </c>
      <c r="K115" s="415">
        <v>12</v>
      </c>
      <c r="L115" s="415">
        <f t="shared" si="202"/>
        <v>150</v>
      </c>
      <c r="M115" s="416">
        <v>45832</v>
      </c>
      <c r="N115" s="416">
        <v>45829</v>
      </c>
      <c r="O115" s="417"/>
      <c r="P115" s="417" t="s">
        <v>224</v>
      </c>
      <c r="Q115" s="417" t="s">
        <v>725</v>
      </c>
      <c r="R115" s="417">
        <v>45798</v>
      </c>
      <c r="S115" s="417" t="s">
        <v>80</v>
      </c>
      <c r="T115" s="417" t="s">
        <v>80</v>
      </c>
      <c r="U115" s="417"/>
      <c r="V115" s="420" t="s">
        <v>726</v>
      </c>
      <c r="W115" s="416" t="s">
        <v>727</v>
      </c>
      <c r="X115" s="421">
        <v>1.1176</v>
      </c>
      <c r="Y115" s="415">
        <f t="shared" si="292"/>
        <v>2011.68</v>
      </c>
      <c r="Z115" s="416" t="s">
        <v>728</v>
      </c>
      <c r="AA115" s="420">
        <v>1800</v>
      </c>
      <c r="AB115" s="420">
        <f t="shared" si="275"/>
        <v>0</v>
      </c>
      <c r="AC115" s="417" t="s">
        <v>80</v>
      </c>
      <c r="AD115" s="417" t="s">
        <v>114</v>
      </c>
      <c r="AE115" s="416" t="s">
        <v>188</v>
      </c>
      <c r="AF115" s="416" t="s">
        <v>115</v>
      </c>
      <c r="AG115" s="422">
        <f>I115*2</f>
        <v>3600</v>
      </c>
      <c r="AH115" s="422">
        <f>I115*2</f>
        <v>3600</v>
      </c>
      <c r="AI115" s="422"/>
      <c r="AJ115" s="422"/>
      <c r="AK115" s="422"/>
      <c r="AL115" s="422">
        <f>I115*2</f>
        <v>3600</v>
      </c>
      <c r="AM115" s="422"/>
      <c r="AN115" s="422"/>
      <c r="AO115" s="422">
        <f>I115*2</f>
        <v>3600</v>
      </c>
      <c r="AP115" s="422"/>
      <c r="AQ115" s="422"/>
      <c r="AR115" s="422"/>
      <c r="AS115" s="422"/>
      <c r="AT115" s="422"/>
      <c r="AU115" s="422"/>
      <c r="AV115" s="422"/>
      <c r="AW115" s="422"/>
      <c r="AX115" s="422"/>
      <c r="AY115" s="422"/>
      <c r="AZ115" s="422"/>
      <c r="BA115" s="422"/>
      <c r="BB115" s="422"/>
      <c r="BC115" s="422"/>
      <c r="BD115" s="422"/>
      <c r="BE115" s="422"/>
      <c r="BF115" s="422">
        <f>I115</f>
        <v>1800</v>
      </c>
      <c r="BG115" s="422">
        <f>I115</f>
        <v>1800</v>
      </c>
      <c r="BH115" s="422"/>
      <c r="BI115" s="422"/>
      <c r="BJ115" s="423">
        <f t="shared" ref="BJ115:BR115" si="299">$I115*BJ$2*2</f>
        <v>440.624999999999</v>
      </c>
      <c r="BK115" s="423">
        <f t="shared" si="299"/>
        <v>440.624999999999</v>
      </c>
      <c r="BL115" s="423">
        <f t="shared" si="299"/>
        <v>440.624999999999</v>
      </c>
      <c r="BM115" s="423">
        <f t="shared" si="299"/>
        <v>440.624999999999</v>
      </c>
      <c r="BN115" s="423">
        <f t="shared" si="299"/>
        <v>440.624999999999</v>
      </c>
      <c r="BO115" s="423">
        <f t="shared" si="299"/>
        <v>440.624999999999</v>
      </c>
      <c r="BP115" s="423">
        <f t="shared" si="299"/>
        <v>440.624999999999</v>
      </c>
      <c r="BQ115" s="423">
        <f t="shared" si="299"/>
        <v>440.624999999999</v>
      </c>
      <c r="BR115" s="423">
        <f t="shared" si="299"/>
        <v>74.9999999999999</v>
      </c>
      <c r="BT115" s="59">
        <f t="shared" ref="BT115:CB115" si="300">BT114-BJ115</f>
        <v>98493.0364583334</v>
      </c>
      <c r="BU115" s="59">
        <f t="shared" si="300"/>
        <v>98493.0364583334</v>
      </c>
      <c r="BV115" s="59">
        <f t="shared" si="300"/>
        <v>98493.0364583334</v>
      </c>
      <c r="BW115" s="59">
        <f t="shared" si="300"/>
        <v>98493.0364583334</v>
      </c>
      <c r="BX115" s="59">
        <f t="shared" si="300"/>
        <v>98493.0364583334</v>
      </c>
      <c r="BY115" s="59">
        <f t="shared" si="300"/>
        <v>98493.0364583334</v>
      </c>
      <c r="BZ115" s="59">
        <f t="shared" si="300"/>
        <v>98493.0364583334</v>
      </c>
      <c r="CA115" s="59">
        <f t="shared" si="300"/>
        <v>98493.0364583334</v>
      </c>
      <c r="CB115" s="59">
        <f t="shared" si="300"/>
        <v>16716.7083333333</v>
      </c>
      <c r="CD115" s="495" t="s">
        <v>499</v>
      </c>
      <c r="CH115" s="371">
        <f>CH94-I115</f>
        <v>7696</v>
      </c>
      <c r="CI115" s="371">
        <f>CI94-I115</f>
        <v>2696</v>
      </c>
    </row>
    <row r="116" s="371" customFormat="1" ht="27" hidden="1" customHeight="1" spans="1:87">
      <c r="A116" s="410">
        <v>45798</v>
      </c>
      <c r="B116" s="411" t="s">
        <v>729</v>
      </c>
      <c r="C116" s="412" t="s">
        <v>117</v>
      </c>
      <c r="D116" s="413">
        <v>4500167106</v>
      </c>
      <c r="E116" s="412" t="s">
        <v>730</v>
      </c>
      <c r="F116" s="411" t="s">
        <v>731</v>
      </c>
      <c r="G116" s="414" t="s">
        <v>152</v>
      </c>
      <c r="H116" s="411" t="s">
        <v>153</v>
      </c>
      <c r="I116" s="415">
        <v>10309</v>
      </c>
      <c r="J116" s="415">
        <v>0</v>
      </c>
      <c r="K116" s="415">
        <v>13</v>
      </c>
      <c r="L116" s="415">
        <f t="shared" si="202"/>
        <v>793</v>
      </c>
      <c r="M116" s="416">
        <v>45832</v>
      </c>
      <c r="N116" s="416">
        <v>45829</v>
      </c>
      <c r="O116" s="417" t="s">
        <v>732</v>
      </c>
      <c r="P116" s="417" t="s">
        <v>107</v>
      </c>
      <c r="Q116" s="417" t="s">
        <v>733</v>
      </c>
      <c r="R116" s="417">
        <v>45803</v>
      </c>
      <c r="S116" s="417" t="s">
        <v>80</v>
      </c>
      <c r="T116" s="417" t="s">
        <v>80</v>
      </c>
      <c r="U116" s="417" t="s">
        <v>156</v>
      </c>
      <c r="V116" s="420" t="s">
        <v>734</v>
      </c>
      <c r="W116" s="416" t="s">
        <v>735</v>
      </c>
      <c r="X116" s="421">
        <v>0.4694</v>
      </c>
      <c r="Y116" s="415">
        <f t="shared" si="292"/>
        <v>4839.0446</v>
      </c>
      <c r="Z116" s="416" t="s">
        <v>736</v>
      </c>
      <c r="AA116" s="420">
        <v>10309</v>
      </c>
      <c r="AB116" s="420">
        <f t="shared" si="275"/>
        <v>0</v>
      </c>
      <c r="AC116" s="417" t="s">
        <v>80</v>
      </c>
      <c r="AD116" s="417" t="s">
        <v>114</v>
      </c>
      <c r="AE116" s="416" t="s">
        <v>152</v>
      </c>
      <c r="AF116" s="416" t="s">
        <v>115</v>
      </c>
      <c r="AG116" s="422">
        <f t="shared" ref="AG116:AG136" si="301">I116</f>
        <v>10309</v>
      </c>
      <c r="AH116" s="422">
        <f t="shared" ref="AH116:AH122" si="302">I116</f>
        <v>10309</v>
      </c>
      <c r="AI116" s="422"/>
      <c r="AJ116" s="422"/>
      <c r="AK116" s="422">
        <f t="shared" ref="AK116:AK121" si="303">I116</f>
        <v>10309</v>
      </c>
      <c r="AL116" s="422"/>
      <c r="AM116" s="422"/>
      <c r="AN116" s="422"/>
      <c r="AO116" s="422">
        <f t="shared" ref="AO116:AO136" si="304">I116</f>
        <v>10309</v>
      </c>
      <c r="AP116" s="422"/>
      <c r="AQ116" s="422"/>
      <c r="AR116" s="422"/>
      <c r="AS116" s="422"/>
      <c r="AT116" s="422">
        <f t="shared" ref="AT116:AT121" si="305">I116/13</f>
        <v>793</v>
      </c>
      <c r="AU116" s="422"/>
      <c r="AV116" s="422"/>
      <c r="AW116" s="422"/>
      <c r="AX116" s="422"/>
      <c r="AY116" s="422"/>
      <c r="AZ116" s="422"/>
      <c r="BA116" s="422"/>
      <c r="BB116" s="422"/>
      <c r="BC116" s="422"/>
      <c r="BD116" s="422"/>
      <c r="BE116" s="422"/>
      <c r="BF116" s="422"/>
      <c r="BG116" s="422"/>
      <c r="BH116" s="422"/>
      <c r="BI116" s="422"/>
      <c r="BJ116" s="423">
        <f t="shared" ref="BJ116:BR116" si="306">$I116*BJ$2</f>
        <v>1261.77864583333</v>
      </c>
      <c r="BK116" s="423">
        <f t="shared" si="306"/>
        <v>1261.77864583333</v>
      </c>
      <c r="BL116" s="423">
        <f t="shared" si="306"/>
        <v>1261.77864583333</v>
      </c>
      <c r="BM116" s="423">
        <f t="shared" si="306"/>
        <v>1261.77864583333</v>
      </c>
      <c r="BN116" s="423">
        <f t="shared" si="306"/>
        <v>1261.77864583333</v>
      </c>
      <c r="BO116" s="423">
        <f t="shared" si="306"/>
        <v>1261.77864583333</v>
      </c>
      <c r="BP116" s="423">
        <f t="shared" si="306"/>
        <v>1261.77864583333</v>
      </c>
      <c r="BQ116" s="423">
        <f t="shared" si="306"/>
        <v>1261.77864583333</v>
      </c>
      <c r="BR116" s="423">
        <f t="shared" si="306"/>
        <v>214.770833333333</v>
      </c>
      <c r="BT116" s="59">
        <f t="shared" ref="BT116:CB116" si="307">BT115-BJ116</f>
        <v>97231.2578125</v>
      </c>
      <c r="BU116" s="59">
        <f t="shared" si="307"/>
        <v>97231.2578125</v>
      </c>
      <c r="BV116" s="59">
        <f t="shared" si="307"/>
        <v>97231.2578125</v>
      </c>
      <c r="BW116" s="59">
        <f t="shared" si="307"/>
        <v>97231.2578125</v>
      </c>
      <c r="BX116" s="59">
        <f t="shared" si="307"/>
        <v>97231.2578125</v>
      </c>
      <c r="BY116" s="59">
        <f t="shared" si="307"/>
        <v>97231.2578125</v>
      </c>
      <c r="BZ116" s="59">
        <f t="shared" si="307"/>
        <v>97231.2578125</v>
      </c>
      <c r="CA116" s="59">
        <f t="shared" si="307"/>
        <v>97231.2578125</v>
      </c>
      <c r="CB116" s="59">
        <f t="shared" si="307"/>
        <v>16501.9375</v>
      </c>
    </row>
    <row r="117" s="371" customFormat="1" ht="27" hidden="1" customHeight="1" spans="1:87">
      <c r="A117" s="410">
        <v>45777</v>
      </c>
      <c r="B117" s="411" t="s">
        <v>737</v>
      </c>
      <c r="C117" s="412" t="s">
        <v>738</v>
      </c>
      <c r="D117" s="413">
        <v>4500165516</v>
      </c>
      <c r="E117" s="533" t="s">
        <v>739</v>
      </c>
      <c r="F117" s="411" t="s">
        <v>740</v>
      </c>
      <c r="G117" s="414" t="s">
        <v>78</v>
      </c>
      <c r="H117" s="411" t="s">
        <v>79</v>
      </c>
      <c r="I117" s="415">
        <v>6642</v>
      </c>
      <c r="J117" s="415">
        <v>0</v>
      </c>
      <c r="K117" s="415">
        <v>54</v>
      </c>
      <c r="L117" s="415">
        <f t="shared" si="202"/>
        <v>123</v>
      </c>
      <c r="M117" s="416">
        <v>45833</v>
      </c>
      <c r="N117" s="416">
        <v>45829</v>
      </c>
      <c r="O117" s="453" t="s">
        <v>741</v>
      </c>
      <c r="P117" s="453" t="s">
        <v>107</v>
      </c>
      <c r="Q117" s="453" t="s">
        <v>742</v>
      </c>
      <c r="R117" s="453">
        <v>45803</v>
      </c>
      <c r="S117" s="419" t="s">
        <v>80</v>
      </c>
      <c r="T117" s="510" t="s">
        <v>743</v>
      </c>
      <c r="U117" s="453" t="s">
        <v>156</v>
      </c>
      <c r="V117" s="420" t="s">
        <v>744</v>
      </c>
      <c r="W117" s="416" t="s">
        <v>745</v>
      </c>
      <c r="X117" s="421">
        <v>0.7859</v>
      </c>
      <c r="Y117" s="415">
        <f t="shared" si="292"/>
        <v>5219.9478</v>
      </c>
      <c r="Z117" s="416" t="s">
        <v>746</v>
      </c>
      <c r="AA117" s="420">
        <v>6642</v>
      </c>
      <c r="AB117" s="420">
        <f t="shared" si="275"/>
        <v>0</v>
      </c>
      <c r="AC117" s="417" t="s">
        <v>113</v>
      </c>
      <c r="AD117" s="417" t="s">
        <v>114</v>
      </c>
      <c r="AE117" s="416" t="s">
        <v>78</v>
      </c>
      <c r="AF117" s="416" t="s">
        <v>115</v>
      </c>
      <c r="AG117" s="422">
        <f t="shared" si="301"/>
        <v>6642</v>
      </c>
      <c r="AH117" s="422">
        <f t="shared" si="302"/>
        <v>6642</v>
      </c>
      <c r="AI117" s="422"/>
      <c r="AJ117" s="422"/>
      <c r="AK117" s="422">
        <f t="shared" si="303"/>
        <v>6642</v>
      </c>
      <c r="AL117" s="422"/>
      <c r="AM117" s="422"/>
      <c r="AO117" s="422">
        <f t="shared" si="304"/>
        <v>6642</v>
      </c>
      <c r="AP117" s="422"/>
      <c r="AQ117" s="422">
        <f>I117/27</f>
        <v>246</v>
      </c>
      <c r="AR117" s="422"/>
      <c r="AS117" s="422"/>
      <c r="AT117" s="422"/>
      <c r="AU117" s="422"/>
      <c r="AV117" s="422"/>
      <c r="AW117" s="422"/>
      <c r="AX117" s="422"/>
      <c r="AY117" s="422"/>
      <c r="AZ117" s="422"/>
      <c r="BA117" s="422"/>
      <c r="BB117" s="422"/>
      <c r="BC117" s="422"/>
      <c r="BD117" s="422"/>
      <c r="BE117" s="422"/>
      <c r="BF117" s="422"/>
      <c r="BG117" s="422"/>
      <c r="BH117" s="422"/>
      <c r="BI117" s="422"/>
      <c r="BJ117" s="423">
        <f t="shared" ref="BJ117:BR117" si="308">$I117*BJ$2</f>
        <v>812.953124999998</v>
      </c>
      <c r="BK117" s="423">
        <f t="shared" si="308"/>
        <v>812.953124999998</v>
      </c>
      <c r="BL117" s="423">
        <f t="shared" si="308"/>
        <v>812.953124999998</v>
      </c>
      <c r="BM117" s="423">
        <f t="shared" si="308"/>
        <v>812.953124999998</v>
      </c>
      <c r="BN117" s="423">
        <f t="shared" si="308"/>
        <v>812.953124999998</v>
      </c>
      <c r="BO117" s="423">
        <f t="shared" si="308"/>
        <v>812.953124999998</v>
      </c>
      <c r="BP117" s="423">
        <f t="shared" si="308"/>
        <v>812.953124999998</v>
      </c>
      <c r="BQ117" s="423">
        <f t="shared" si="308"/>
        <v>812.953124999998</v>
      </c>
      <c r="BR117" s="423">
        <f t="shared" si="308"/>
        <v>138.375</v>
      </c>
      <c r="BT117" s="59">
        <f t="shared" ref="BT117:CB117" si="309">BT116-BJ117</f>
        <v>96418.3046875</v>
      </c>
      <c r="BU117" s="59">
        <f t="shared" si="309"/>
        <v>96418.3046875</v>
      </c>
      <c r="BV117" s="59">
        <f t="shared" si="309"/>
        <v>96418.3046875</v>
      </c>
      <c r="BW117" s="59">
        <f t="shared" si="309"/>
        <v>96418.3046875</v>
      </c>
      <c r="BX117" s="59">
        <f t="shared" si="309"/>
        <v>96418.3046875</v>
      </c>
      <c r="BY117" s="59">
        <f t="shared" si="309"/>
        <v>96418.3046875</v>
      </c>
      <c r="BZ117" s="59">
        <f t="shared" si="309"/>
        <v>96418.3046875</v>
      </c>
      <c r="CA117" s="59">
        <f t="shared" si="309"/>
        <v>96418.3046875</v>
      </c>
      <c r="CB117" s="59">
        <f t="shared" si="309"/>
        <v>16363.5625</v>
      </c>
    </row>
    <row r="118" s="371" customFormat="1" ht="27" hidden="1" customHeight="1" spans="1:87">
      <c r="A118" s="410">
        <v>45747</v>
      </c>
      <c r="B118" s="411" t="s">
        <v>747</v>
      </c>
      <c r="C118" s="412" t="s">
        <v>117</v>
      </c>
      <c r="D118" s="413">
        <v>4500161570</v>
      </c>
      <c r="E118" s="412" t="s">
        <v>748</v>
      </c>
      <c r="F118" s="411" t="s">
        <v>749</v>
      </c>
      <c r="G118" s="414" t="s">
        <v>152</v>
      </c>
      <c r="H118" s="411" t="s">
        <v>153</v>
      </c>
      <c r="I118" s="415">
        <v>52</v>
      </c>
      <c r="J118" s="415">
        <v>0</v>
      </c>
      <c r="K118" s="415">
        <v>13</v>
      </c>
      <c r="L118" s="415">
        <f t="shared" si="202"/>
        <v>4</v>
      </c>
      <c r="M118" s="416">
        <v>45833</v>
      </c>
      <c r="N118" s="416">
        <v>45831</v>
      </c>
      <c r="O118" s="417"/>
      <c r="P118" s="417" t="s">
        <v>224</v>
      </c>
      <c r="Q118" s="417" t="s">
        <v>750</v>
      </c>
      <c r="R118" s="417">
        <v>45800</v>
      </c>
      <c r="S118" s="417" t="s">
        <v>80</v>
      </c>
      <c r="T118" s="417" t="s">
        <v>80</v>
      </c>
      <c r="U118" s="417"/>
      <c r="V118" s="420" t="s">
        <v>751</v>
      </c>
      <c r="W118" s="416" t="s">
        <v>752</v>
      </c>
      <c r="X118" s="56">
        <v>0.8354</v>
      </c>
      <c r="Y118" s="415">
        <f t="shared" si="292"/>
        <v>43.4408</v>
      </c>
      <c r="Z118" s="416" t="s">
        <v>753</v>
      </c>
      <c r="AA118" s="420">
        <v>52</v>
      </c>
      <c r="AB118" s="420">
        <f t="shared" si="275"/>
        <v>0</v>
      </c>
      <c r="AC118" s="417" t="s">
        <v>80</v>
      </c>
      <c r="AD118" s="417" t="s">
        <v>114</v>
      </c>
      <c r="AE118" s="416" t="s">
        <v>152</v>
      </c>
      <c r="AF118" s="416" t="s">
        <v>115</v>
      </c>
      <c r="AG118" s="422">
        <f t="shared" si="301"/>
        <v>52</v>
      </c>
      <c r="AH118" s="422">
        <f t="shared" si="302"/>
        <v>52</v>
      </c>
      <c r="AI118" s="422"/>
      <c r="AJ118" s="422"/>
      <c r="AK118" s="422">
        <f t="shared" si="303"/>
        <v>52</v>
      </c>
      <c r="AL118" s="422"/>
      <c r="AM118" s="422"/>
      <c r="AN118" s="422"/>
      <c r="AO118" s="422">
        <f t="shared" si="304"/>
        <v>52</v>
      </c>
      <c r="AP118" s="422"/>
      <c r="AQ118" s="422"/>
      <c r="AR118" s="422"/>
      <c r="AS118" s="422"/>
      <c r="AT118" s="422">
        <f t="shared" si="305"/>
        <v>4</v>
      </c>
      <c r="AU118" s="422"/>
      <c r="AV118" s="422"/>
      <c r="AW118" s="422"/>
      <c r="AX118" s="422"/>
      <c r="AY118" s="422"/>
      <c r="AZ118" s="422"/>
      <c r="BA118" s="422"/>
      <c r="BB118" s="422"/>
      <c r="BC118" s="422"/>
      <c r="BD118" s="422"/>
      <c r="BE118" s="422"/>
      <c r="BF118" s="422"/>
      <c r="BG118" s="422"/>
      <c r="BH118" s="422"/>
      <c r="BI118" s="422"/>
      <c r="BJ118" s="423">
        <f t="shared" ref="BJ118:BR118" si="310">$I118*BJ$2</f>
        <v>6.36458333333332</v>
      </c>
      <c r="BK118" s="423">
        <f t="shared" si="310"/>
        <v>6.36458333333332</v>
      </c>
      <c r="BL118" s="423">
        <f t="shared" si="310"/>
        <v>6.36458333333332</v>
      </c>
      <c r="BM118" s="423">
        <f t="shared" si="310"/>
        <v>6.36458333333332</v>
      </c>
      <c r="BN118" s="423">
        <f t="shared" si="310"/>
        <v>6.36458333333332</v>
      </c>
      <c r="BO118" s="423">
        <f t="shared" si="310"/>
        <v>6.36458333333332</v>
      </c>
      <c r="BP118" s="423">
        <f t="shared" si="310"/>
        <v>6.36458333333332</v>
      </c>
      <c r="BQ118" s="423">
        <f t="shared" si="310"/>
        <v>6.36458333333332</v>
      </c>
      <c r="BR118" s="423">
        <f t="shared" si="310"/>
        <v>1.08333333333333</v>
      </c>
      <c r="BT118" s="59">
        <f t="shared" ref="BT118:CB118" si="311">BT117-BJ118</f>
        <v>96411.9401041667</v>
      </c>
      <c r="BU118" s="59">
        <f t="shared" si="311"/>
        <v>96411.9401041667</v>
      </c>
      <c r="BV118" s="59">
        <f t="shared" si="311"/>
        <v>96411.9401041667</v>
      </c>
      <c r="BW118" s="59">
        <f t="shared" si="311"/>
        <v>96411.9401041667</v>
      </c>
      <c r="BX118" s="59">
        <f t="shared" si="311"/>
        <v>96411.9401041667</v>
      </c>
      <c r="BY118" s="59">
        <f t="shared" si="311"/>
        <v>96411.9401041667</v>
      </c>
      <c r="BZ118" s="59">
        <f t="shared" si="311"/>
        <v>96411.9401041667</v>
      </c>
      <c r="CA118" s="59">
        <f t="shared" si="311"/>
        <v>96411.9401041667</v>
      </c>
      <c r="CB118" s="59">
        <f t="shared" si="311"/>
        <v>16362.4791666667</v>
      </c>
    </row>
    <row r="119" s="371" customFormat="1" ht="27" hidden="1" customHeight="1" spans="1:87">
      <c r="A119" s="410">
        <v>45747</v>
      </c>
      <c r="B119" s="411" t="s">
        <v>747</v>
      </c>
      <c r="C119" s="412" t="s">
        <v>117</v>
      </c>
      <c r="D119" s="413">
        <v>4500161570</v>
      </c>
      <c r="E119" s="412" t="s">
        <v>754</v>
      </c>
      <c r="F119" s="411" t="s">
        <v>755</v>
      </c>
      <c r="G119" s="414" t="s">
        <v>152</v>
      </c>
      <c r="H119" s="411" t="s">
        <v>153</v>
      </c>
      <c r="I119" s="415">
        <v>325</v>
      </c>
      <c r="J119" s="415">
        <v>0</v>
      </c>
      <c r="K119" s="415">
        <v>13</v>
      </c>
      <c r="L119" s="415">
        <f t="shared" si="202"/>
        <v>25</v>
      </c>
      <c r="M119" s="416">
        <v>45833</v>
      </c>
      <c r="N119" s="416">
        <v>45831</v>
      </c>
      <c r="O119" s="417"/>
      <c r="P119" s="417" t="s">
        <v>224</v>
      </c>
      <c r="Q119" s="417" t="s">
        <v>750</v>
      </c>
      <c r="R119" s="417">
        <v>45800</v>
      </c>
      <c r="S119" s="417" t="s">
        <v>80</v>
      </c>
      <c r="T119" s="417" t="s">
        <v>80</v>
      </c>
      <c r="U119" s="417"/>
      <c r="V119" s="420" t="s">
        <v>751</v>
      </c>
      <c r="W119" s="416" t="s">
        <v>752</v>
      </c>
      <c r="X119" s="56">
        <v>0.8354</v>
      </c>
      <c r="Y119" s="415">
        <f t="shared" si="292"/>
        <v>271.505</v>
      </c>
      <c r="Z119" s="416" t="s">
        <v>756</v>
      </c>
      <c r="AA119" s="420">
        <v>325</v>
      </c>
      <c r="AB119" s="420">
        <f t="shared" si="275"/>
        <v>0</v>
      </c>
      <c r="AC119" s="417" t="s">
        <v>80</v>
      </c>
      <c r="AD119" s="417" t="s">
        <v>114</v>
      </c>
      <c r="AE119" s="416" t="s">
        <v>152</v>
      </c>
      <c r="AF119" s="416" t="s">
        <v>115</v>
      </c>
      <c r="AG119" s="422">
        <f t="shared" si="301"/>
        <v>325</v>
      </c>
      <c r="AH119" s="422">
        <f t="shared" si="302"/>
        <v>325</v>
      </c>
      <c r="AI119" s="422"/>
      <c r="AJ119" s="422"/>
      <c r="AK119" s="422">
        <f t="shared" si="303"/>
        <v>325</v>
      </c>
      <c r="AL119" s="422"/>
      <c r="AM119" s="422"/>
      <c r="AN119" s="422"/>
      <c r="AO119" s="422">
        <f t="shared" si="304"/>
        <v>325</v>
      </c>
      <c r="AP119" s="422"/>
      <c r="AQ119" s="422"/>
      <c r="AR119" s="422"/>
      <c r="AS119" s="422"/>
      <c r="AT119" s="422">
        <f t="shared" si="305"/>
        <v>25</v>
      </c>
      <c r="AU119" s="422"/>
      <c r="AV119" s="422"/>
      <c r="AW119" s="422"/>
      <c r="AX119" s="422"/>
      <c r="AY119" s="422"/>
      <c r="AZ119" s="422"/>
      <c r="BA119" s="422"/>
      <c r="BB119" s="422"/>
      <c r="BC119" s="422"/>
      <c r="BD119" s="422"/>
      <c r="BE119" s="422"/>
      <c r="BF119" s="422"/>
      <c r="BG119" s="422"/>
      <c r="BH119" s="422"/>
      <c r="BI119" s="422"/>
      <c r="BJ119" s="423">
        <f t="shared" ref="BJ119:BR119" si="312">$I119*BJ$2</f>
        <v>39.7786458333332</v>
      </c>
      <c r="BK119" s="423">
        <f t="shared" si="312"/>
        <v>39.7786458333332</v>
      </c>
      <c r="BL119" s="423">
        <f t="shared" si="312"/>
        <v>39.7786458333332</v>
      </c>
      <c r="BM119" s="423">
        <f t="shared" si="312"/>
        <v>39.7786458333332</v>
      </c>
      <c r="BN119" s="423">
        <f t="shared" si="312"/>
        <v>39.7786458333332</v>
      </c>
      <c r="BO119" s="423">
        <f t="shared" si="312"/>
        <v>39.7786458333332</v>
      </c>
      <c r="BP119" s="423">
        <f t="shared" si="312"/>
        <v>39.7786458333332</v>
      </c>
      <c r="BQ119" s="423">
        <f t="shared" si="312"/>
        <v>39.7786458333332</v>
      </c>
      <c r="BR119" s="423">
        <f t="shared" si="312"/>
        <v>6.77083333333332</v>
      </c>
      <c r="BT119" s="59">
        <f t="shared" ref="BT119:CB119" si="313">BT118-BJ119</f>
        <v>96372.1614583334</v>
      </c>
      <c r="BU119" s="59">
        <f t="shared" si="313"/>
        <v>96372.1614583334</v>
      </c>
      <c r="BV119" s="59">
        <f t="shared" si="313"/>
        <v>96372.1614583334</v>
      </c>
      <c r="BW119" s="59">
        <f t="shared" si="313"/>
        <v>96372.1614583334</v>
      </c>
      <c r="BX119" s="59">
        <f t="shared" si="313"/>
        <v>96372.1614583334</v>
      </c>
      <c r="BY119" s="59">
        <f t="shared" si="313"/>
        <v>96372.1614583334</v>
      </c>
      <c r="BZ119" s="59">
        <f t="shared" si="313"/>
        <v>96372.1614583334</v>
      </c>
      <c r="CA119" s="59">
        <f t="shared" si="313"/>
        <v>96372.1614583334</v>
      </c>
      <c r="CB119" s="59">
        <f t="shared" si="313"/>
        <v>16355.7083333333</v>
      </c>
    </row>
    <row r="120" s="371" customFormat="1" ht="27" hidden="1" customHeight="1" spans="1:87">
      <c r="A120" s="410">
        <v>45747</v>
      </c>
      <c r="B120" s="411" t="s">
        <v>747</v>
      </c>
      <c r="C120" s="412" t="s">
        <v>117</v>
      </c>
      <c r="D120" s="413">
        <v>4500161570</v>
      </c>
      <c r="E120" s="412" t="s">
        <v>757</v>
      </c>
      <c r="F120" s="411" t="s">
        <v>758</v>
      </c>
      <c r="G120" s="414" t="s">
        <v>152</v>
      </c>
      <c r="H120" s="411" t="s">
        <v>153</v>
      </c>
      <c r="I120" s="415">
        <v>273</v>
      </c>
      <c r="J120" s="415">
        <v>0</v>
      </c>
      <c r="K120" s="415">
        <v>13</v>
      </c>
      <c r="L120" s="415">
        <f t="shared" si="202"/>
        <v>21</v>
      </c>
      <c r="M120" s="416">
        <v>45833</v>
      </c>
      <c r="N120" s="416">
        <v>45831</v>
      </c>
      <c r="O120" s="417"/>
      <c r="P120" s="417" t="s">
        <v>224</v>
      </c>
      <c r="Q120" s="417" t="s">
        <v>750</v>
      </c>
      <c r="R120" s="417">
        <v>45800</v>
      </c>
      <c r="S120" s="417" t="s">
        <v>80</v>
      </c>
      <c r="T120" s="417" t="s">
        <v>80</v>
      </c>
      <c r="U120" s="417"/>
      <c r="V120" s="420" t="s">
        <v>751</v>
      </c>
      <c r="W120" s="416" t="s">
        <v>752</v>
      </c>
      <c r="X120" s="56">
        <v>0.8354</v>
      </c>
      <c r="Y120" s="415">
        <f t="shared" si="292"/>
        <v>228.0642</v>
      </c>
      <c r="Z120" s="416" t="s">
        <v>753</v>
      </c>
      <c r="AA120" s="420">
        <v>273</v>
      </c>
      <c r="AB120" s="420">
        <f t="shared" si="275"/>
        <v>0</v>
      </c>
      <c r="AC120" s="417" t="s">
        <v>80</v>
      </c>
      <c r="AD120" s="417" t="s">
        <v>114</v>
      </c>
      <c r="AE120" s="416" t="s">
        <v>152</v>
      </c>
      <c r="AF120" s="416" t="s">
        <v>115</v>
      </c>
      <c r="AG120" s="422">
        <f t="shared" si="301"/>
        <v>273</v>
      </c>
      <c r="AH120" s="422">
        <f t="shared" si="302"/>
        <v>273</v>
      </c>
      <c r="AI120" s="422"/>
      <c r="AJ120" s="422"/>
      <c r="AK120" s="422">
        <f t="shared" si="303"/>
        <v>273</v>
      </c>
      <c r="AL120" s="422"/>
      <c r="AM120" s="422"/>
      <c r="AN120" s="422"/>
      <c r="AO120" s="422">
        <f t="shared" si="304"/>
        <v>273</v>
      </c>
      <c r="AP120" s="422"/>
      <c r="AQ120" s="422"/>
      <c r="AR120" s="422"/>
      <c r="AS120" s="422"/>
      <c r="AT120" s="422">
        <f t="shared" si="305"/>
        <v>21</v>
      </c>
      <c r="AU120" s="422"/>
      <c r="AV120" s="422"/>
      <c r="AW120" s="422"/>
      <c r="AX120" s="422"/>
      <c r="AY120" s="422"/>
      <c r="AZ120" s="422"/>
      <c r="BA120" s="422"/>
      <c r="BB120" s="422"/>
      <c r="BC120" s="422"/>
      <c r="BD120" s="422"/>
      <c r="BE120" s="422"/>
      <c r="BF120" s="422"/>
      <c r="BG120" s="422"/>
      <c r="BH120" s="422"/>
      <c r="BI120" s="422"/>
      <c r="BJ120" s="423">
        <f t="shared" ref="BJ120:BR120" si="314">$I120*BJ$2</f>
        <v>33.4140624999999</v>
      </c>
      <c r="BK120" s="423">
        <f t="shared" si="314"/>
        <v>33.4140624999999</v>
      </c>
      <c r="BL120" s="423">
        <f t="shared" si="314"/>
        <v>33.4140624999999</v>
      </c>
      <c r="BM120" s="423">
        <f t="shared" si="314"/>
        <v>33.4140624999999</v>
      </c>
      <c r="BN120" s="423">
        <f t="shared" si="314"/>
        <v>33.4140624999999</v>
      </c>
      <c r="BO120" s="423">
        <f t="shared" si="314"/>
        <v>33.4140624999999</v>
      </c>
      <c r="BP120" s="423">
        <f t="shared" si="314"/>
        <v>33.4140624999999</v>
      </c>
      <c r="BQ120" s="423">
        <f t="shared" si="314"/>
        <v>33.4140624999999</v>
      </c>
      <c r="BR120" s="423">
        <f t="shared" si="314"/>
        <v>5.68749999999999</v>
      </c>
      <c r="BT120" s="59">
        <f t="shared" ref="BT120:CB120" si="315">BT119-BJ120</f>
        <v>96338.7473958334</v>
      </c>
      <c r="BU120" s="59">
        <f t="shared" si="315"/>
        <v>96338.7473958334</v>
      </c>
      <c r="BV120" s="59">
        <f t="shared" si="315"/>
        <v>96338.7473958334</v>
      </c>
      <c r="BW120" s="59">
        <f t="shared" si="315"/>
        <v>96338.7473958334</v>
      </c>
      <c r="BX120" s="59">
        <f t="shared" si="315"/>
        <v>96338.7473958334</v>
      </c>
      <c r="BY120" s="59">
        <f t="shared" si="315"/>
        <v>96338.7473958334</v>
      </c>
      <c r="BZ120" s="59">
        <f t="shared" si="315"/>
        <v>96338.7473958334</v>
      </c>
      <c r="CA120" s="59">
        <f t="shared" si="315"/>
        <v>96338.7473958334</v>
      </c>
      <c r="CB120" s="59">
        <f t="shared" si="315"/>
        <v>16350.0208333333</v>
      </c>
    </row>
    <row r="121" s="371" customFormat="1" ht="27" hidden="1" customHeight="1" spans="1:87">
      <c r="A121" s="410">
        <v>45747</v>
      </c>
      <c r="B121" s="411" t="s">
        <v>747</v>
      </c>
      <c r="C121" s="412" t="s">
        <v>117</v>
      </c>
      <c r="D121" s="413">
        <v>4500161570</v>
      </c>
      <c r="E121" s="412" t="s">
        <v>759</v>
      </c>
      <c r="F121" s="411" t="s">
        <v>760</v>
      </c>
      <c r="G121" s="414" t="s">
        <v>152</v>
      </c>
      <c r="H121" s="411" t="s">
        <v>153</v>
      </c>
      <c r="I121" s="415">
        <v>182</v>
      </c>
      <c r="J121" s="415">
        <v>0</v>
      </c>
      <c r="K121" s="415">
        <v>13</v>
      </c>
      <c r="L121" s="415">
        <f t="shared" si="202"/>
        <v>14</v>
      </c>
      <c r="M121" s="416">
        <v>45833</v>
      </c>
      <c r="N121" s="416">
        <v>45831</v>
      </c>
      <c r="O121" s="417"/>
      <c r="P121" s="417" t="s">
        <v>224</v>
      </c>
      <c r="Q121" s="417" t="s">
        <v>750</v>
      </c>
      <c r="R121" s="417">
        <v>45800</v>
      </c>
      <c r="S121" s="417" t="s">
        <v>80</v>
      </c>
      <c r="T121" s="417" t="s">
        <v>80</v>
      </c>
      <c r="U121" s="417"/>
      <c r="V121" s="420" t="s">
        <v>751</v>
      </c>
      <c r="W121" s="416" t="s">
        <v>752</v>
      </c>
      <c r="X121" s="56">
        <v>0.8354</v>
      </c>
      <c r="Y121" s="415">
        <f t="shared" si="292"/>
        <v>152.0428</v>
      </c>
      <c r="Z121" s="416" t="s">
        <v>753</v>
      </c>
      <c r="AA121" s="420">
        <v>182</v>
      </c>
      <c r="AB121" s="420">
        <f t="shared" si="275"/>
        <v>0</v>
      </c>
      <c r="AC121" s="417" t="s">
        <v>80</v>
      </c>
      <c r="AD121" s="417" t="s">
        <v>114</v>
      </c>
      <c r="AE121" s="416" t="s">
        <v>152</v>
      </c>
      <c r="AF121" s="416" t="s">
        <v>115</v>
      </c>
      <c r="AG121" s="422">
        <f t="shared" si="301"/>
        <v>182</v>
      </c>
      <c r="AH121" s="422">
        <f t="shared" si="302"/>
        <v>182</v>
      </c>
      <c r="AI121" s="422"/>
      <c r="AJ121" s="422"/>
      <c r="AK121" s="422">
        <f t="shared" si="303"/>
        <v>182</v>
      </c>
      <c r="AL121" s="422"/>
      <c r="AM121" s="422"/>
      <c r="AN121" s="422"/>
      <c r="AO121" s="422">
        <f t="shared" si="304"/>
        <v>182</v>
      </c>
      <c r="AP121" s="422"/>
      <c r="AQ121" s="422"/>
      <c r="AR121" s="422"/>
      <c r="AS121" s="422"/>
      <c r="AT121" s="422">
        <f t="shared" si="305"/>
        <v>14</v>
      </c>
      <c r="AU121" s="422"/>
      <c r="AV121" s="422"/>
      <c r="AW121" s="422"/>
      <c r="AX121" s="422"/>
      <c r="AY121" s="422"/>
      <c r="AZ121" s="422"/>
      <c r="BA121" s="422"/>
      <c r="BB121" s="422"/>
      <c r="BC121" s="422"/>
      <c r="BD121" s="422"/>
      <c r="BE121" s="422"/>
      <c r="BF121" s="422"/>
      <c r="BG121" s="422"/>
      <c r="BH121" s="422"/>
      <c r="BI121" s="422"/>
      <c r="BJ121" s="423">
        <f t="shared" ref="BJ121:BR121" si="316">$I121*BJ$2</f>
        <v>22.2760416666666</v>
      </c>
      <c r="BK121" s="423">
        <f t="shared" si="316"/>
        <v>22.2760416666666</v>
      </c>
      <c r="BL121" s="423">
        <f t="shared" si="316"/>
        <v>22.2760416666666</v>
      </c>
      <c r="BM121" s="423">
        <f t="shared" si="316"/>
        <v>22.2760416666666</v>
      </c>
      <c r="BN121" s="423">
        <f t="shared" si="316"/>
        <v>22.2760416666666</v>
      </c>
      <c r="BO121" s="423">
        <f t="shared" si="316"/>
        <v>22.2760416666666</v>
      </c>
      <c r="BP121" s="423">
        <f t="shared" si="316"/>
        <v>22.2760416666666</v>
      </c>
      <c r="BQ121" s="423">
        <f t="shared" si="316"/>
        <v>22.2760416666666</v>
      </c>
      <c r="BR121" s="423">
        <f t="shared" si="316"/>
        <v>3.79166666666666</v>
      </c>
      <c r="BT121" s="59">
        <f t="shared" ref="BT121:CB121" si="317">BT120-BJ121</f>
        <v>96316.4713541667</v>
      </c>
      <c r="BU121" s="59">
        <f t="shared" si="317"/>
        <v>96316.4713541667</v>
      </c>
      <c r="BV121" s="59">
        <f t="shared" si="317"/>
        <v>96316.4713541667</v>
      </c>
      <c r="BW121" s="59">
        <f t="shared" si="317"/>
        <v>96316.4713541667</v>
      </c>
      <c r="BX121" s="59">
        <f t="shared" si="317"/>
        <v>96316.4713541667</v>
      </c>
      <c r="BY121" s="59">
        <f t="shared" si="317"/>
        <v>96316.4713541667</v>
      </c>
      <c r="BZ121" s="59">
        <f t="shared" si="317"/>
        <v>96316.4713541667</v>
      </c>
      <c r="CA121" s="59">
        <f t="shared" si="317"/>
        <v>96316.4713541667</v>
      </c>
      <c r="CB121" s="59">
        <f t="shared" si="317"/>
        <v>16346.2291666667</v>
      </c>
    </row>
    <row r="122" s="371" customFormat="1" ht="27" hidden="1" customHeight="1" spans="1:87">
      <c r="A122" s="410">
        <v>45792</v>
      </c>
      <c r="B122" s="411" t="s">
        <v>761</v>
      </c>
      <c r="C122" s="412" t="s">
        <v>129</v>
      </c>
      <c r="D122" s="413">
        <v>4500166480</v>
      </c>
      <c r="E122" s="412">
        <v>4400483986</v>
      </c>
      <c r="F122" s="411" t="s">
        <v>762</v>
      </c>
      <c r="G122" s="414" t="s">
        <v>131</v>
      </c>
      <c r="H122" s="411" t="s">
        <v>132</v>
      </c>
      <c r="I122" s="415">
        <v>4023</v>
      </c>
      <c r="J122" s="415">
        <v>0</v>
      </c>
      <c r="K122" s="415">
        <v>27</v>
      </c>
      <c r="L122" s="415">
        <f t="shared" si="202"/>
        <v>149</v>
      </c>
      <c r="M122" s="416">
        <v>45834</v>
      </c>
      <c r="N122" s="416">
        <v>45831</v>
      </c>
      <c r="O122" s="417"/>
      <c r="P122" s="417" t="s">
        <v>107</v>
      </c>
      <c r="Q122" s="417" t="s">
        <v>763</v>
      </c>
      <c r="R122" s="417">
        <v>45792</v>
      </c>
      <c r="S122" s="417" t="s">
        <v>80</v>
      </c>
      <c r="T122" s="417" t="s">
        <v>764</v>
      </c>
      <c r="U122" s="417"/>
      <c r="V122" s="420" t="s">
        <v>765</v>
      </c>
      <c r="W122" s="416" t="s">
        <v>766</v>
      </c>
      <c r="X122" s="421">
        <v>0.7581</v>
      </c>
      <c r="Y122" s="415">
        <f t="shared" si="292"/>
        <v>3049.8363</v>
      </c>
      <c r="Z122" s="416" t="s">
        <v>767</v>
      </c>
      <c r="AA122" s="420">
        <f>4023</f>
        <v>4023</v>
      </c>
      <c r="AB122" s="420">
        <f t="shared" si="275"/>
        <v>0</v>
      </c>
      <c r="AC122" s="417" t="s">
        <v>113</v>
      </c>
      <c r="AD122" s="417" t="s">
        <v>114</v>
      </c>
      <c r="AE122" s="416" t="s">
        <v>434</v>
      </c>
      <c r="AF122" s="416" t="s">
        <v>115</v>
      </c>
      <c r="AG122" s="422">
        <f t="shared" si="301"/>
        <v>4023</v>
      </c>
      <c r="AH122" s="422">
        <f t="shared" si="302"/>
        <v>4023</v>
      </c>
      <c r="AI122" s="422"/>
      <c r="AK122" s="422"/>
      <c r="AL122" s="422">
        <f t="shared" ref="AL122:AL124" si="318">I122</f>
        <v>4023</v>
      </c>
      <c r="AN122" s="422"/>
      <c r="AO122" s="422">
        <f t="shared" si="304"/>
        <v>4023</v>
      </c>
      <c r="AP122" s="422"/>
      <c r="AQ122" s="422"/>
      <c r="AS122" s="422">
        <f t="shared" ref="AS122:AS128" si="319">I122/27</f>
        <v>149</v>
      </c>
      <c r="AT122" s="422"/>
      <c r="AU122" s="422"/>
      <c r="AV122" s="422"/>
      <c r="AW122" s="422"/>
      <c r="AX122" s="422"/>
      <c r="AY122" s="422"/>
      <c r="AZ122" s="422"/>
      <c r="BA122" s="422"/>
      <c r="BB122" s="422"/>
      <c r="BC122" s="422"/>
      <c r="BD122" s="422"/>
      <c r="BE122" s="422"/>
      <c r="BF122" s="422"/>
      <c r="BG122" s="422"/>
      <c r="BH122" s="422"/>
      <c r="BI122" s="422"/>
      <c r="BJ122" s="423">
        <f t="shared" ref="BJ122:BR122" si="320">$I122*BJ$2</f>
        <v>492.398437499999</v>
      </c>
      <c r="BK122" s="423">
        <f t="shared" si="320"/>
        <v>492.398437499999</v>
      </c>
      <c r="BL122" s="423">
        <f t="shared" si="320"/>
        <v>492.398437499999</v>
      </c>
      <c r="BM122" s="423">
        <f t="shared" si="320"/>
        <v>492.398437499999</v>
      </c>
      <c r="BN122" s="423">
        <f t="shared" si="320"/>
        <v>492.398437499999</v>
      </c>
      <c r="BO122" s="423">
        <f t="shared" si="320"/>
        <v>492.398437499999</v>
      </c>
      <c r="BP122" s="423">
        <f t="shared" si="320"/>
        <v>492.398437499999</v>
      </c>
      <c r="BQ122" s="423">
        <f t="shared" si="320"/>
        <v>492.398437499999</v>
      </c>
      <c r="BR122" s="423">
        <f t="shared" si="320"/>
        <v>83.8124999999999</v>
      </c>
      <c r="BT122" s="59">
        <f t="shared" ref="BT122:CB122" si="321">BT121-BJ122</f>
        <v>95824.0729166667</v>
      </c>
      <c r="BU122" s="59">
        <f t="shared" si="321"/>
        <v>95824.0729166667</v>
      </c>
      <c r="BV122" s="59">
        <f t="shared" si="321"/>
        <v>95824.0729166667</v>
      </c>
      <c r="BW122" s="59">
        <f t="shared" si="321"/>
        <v>95824.0729166667</v>
      </c>
      <c r="BX122" s="59">
        <f t="shared" si="321"/>
        <v>95824.0729166667</v>
      </c>
      <c r="BY122" s="59">
        <f t="shared" si="321"/>
        <v>95824.0729166667</v>
      </c>
      <c r="BZ122" s="59">
        <f t="shared" si="321"/>
        <v>95824.0729166667</v>
      </c>
      <c r="CA122" s="59">
        <f t="shared" si="321"/>
        <v>95824.0729166667</v>
      </c>
      <c r="CB122" s="59">
        <f t="shared" si="321"/>
        <v>16262.4166666667</v>
      </c>
    </row>
    <row r="123" s="371" customFormat="1" ht="27" hidden="1" customHeight="1" spans="1:87">
      <c r="A123" s="410">
        <v>45798</v>
      </c>
      <c r="B123" s="411" t="s">
        <v>768</v>
      </c>
      <c r="C123" s="412" t="s">
        <v>769</v>
      </c>
      <c r="D123" s="413">
        <v>4500166269</v>
      </c>
      <c r="E123" s="412"/>
      <c r="F123" s="411" t="s">
        <v>770</v>
      </c>
      <c r="G123" s="414" t="s">
        <v>131</v>
      </c>
      <c r="H123" s="411" t="s">
        <v>132</v>
      </c>
      <c r="I123" s="415">
        <v>324</v>
      </c>
      <c r="J123" s="415">
        <v>0</v>
      </c>
      <c r="K123" s="415">
        <v>27</v>
      </c>
      <c r="L123" s="415">
        <f t="shared" si="202"/>
        <v>12</v>
      </c>
      <c r="M123" s="416">
        <v>45834</v>
      </c>
      <c r="N123" s="416">
        <v>45831</v>
      </c>
      <c r="O123" s="417"/>
      <c r="P123" s="417" t="s">
        <v>224</v>
      </c>
      <c r="Q123" s="511" t="s">
        <v>771</v>
      </c>
      <c r="R123" s="509">
        <v>45798</v>
      </c>
      <c r="S123" s="453" t="s">
        <v>80</v>
      </c>
      <c r="T123" s="512" t="s">
        <v>80</v>
      </c>
      <c r="U123" s="512"/>
      <c r="V123" s="420" t="s">
        <v>772</v>
      </c>
      <c r="W123" s="416" t="s">
        <v>454</v>
      </c>
      <c r="X123" s="421">
        <v>0.7792</v>
      </c>
      <c r="Y123" s="415">
        <f t="shared" si="292"/>
        <v>252.4608</v>
      </c>
      <c r="Z123" s="416" t="s">
        <v>773</v>
      </c>
      <c r="AA123" s="420">
        <v>324</v>
      </c>
      <c r="AB123" s="420">
        <f t="shared" si="275"/>
        <v>0</v>
      </c>
      <c r="AC123" s="417" t="s">
        <v>80</v>
      </c>
      <c r="AD123" s="417" t="s">
        <v>114</v>
      </c>
      <c r="AE123" s="416" t="s">
        <v>434</v>
      </c>
      <c r="AF123" s="416" t="s">
        <v>115</v>
      </c>
      <c r="AG123" s="422">
        <f t="shared" si="301"/>
        <v>324</v>
      </c>
      <c r="AH123" s="422"/>
      <c r="AI123" s="371">
        <f>I123</f>
        <v>324</v>
      </c>
      <c r="AJ123" s="422"/>
      <c r="AK123" s="422"/>
      <c r="AL123" s="422">
        <f t="shared" si="318"/>
        <v>324</v>
      </c>
      <c r="AN123" s="422"/>
      <c r="AO123" s="422">
        <f t="shared" si="304"/>
        <v>324</v>
      </c>
      <c r="AP123" s="422"/>
      <c r="AQ123" s="422"/>
      <c r="AS123" s="422">
        <f t="shared" si="319"/>
        <v>12</v>
      </c>
      <c r="AT123" s="422"/>
      <c r="AU123" s="422"/>
      <c r="AV123" s="422"/>
      <c r="AW123" s="422"/>
      <c r="AX123" s="422"/>
      <c r="AY123" s="422"/>
      <c r="AZ123" s="422"/>
      <c r="BA123" s="422"/>
      <c r="BB123" s="422"/>
      <c r="BC123" s="422"/>
      <c r="BD123" s="422"/>
      <c r="BE123" s="422"/>
      <c r="BF123" s="422"/>
      <c r="BG123" s="422"/>
      <c r="BH123" s="422"/>
      <c r="BI123" s="422"/>
      <c r="BJ123" s="423">
        <f t="shared" ref="BJ123:BR123" si="322">$I123*BJ$2</f>
        <v>39.6562499999999</v>
      </c>
      <c r="BK123" s="423">
        <f t="shared" si="322"/>
        <v>39.6562499999999</v>
      </c>
      <c r="BL123" s="423">
        <f t="shared" si="322"/>
        <v>39.6562499999999</v>
      </c>
      <c r="BM123" s="423">
        <f t="shared" si="322"/>
        <v>39.6562499999999</v>
      </c>
      <c r="BN123" s="423">
        <f t="shared" si="322"/>
        <v>39.6562499999999</v>
      </c>
      <c r="BO123" s="423">
        <f t="shared" si="322"/>
        <v>39.6562499999999</v>
      </c>
      <c r="BP123" s="423">
        <f t="shared" si="322"/>
        <v>39.6562499999999</v>
      </c>
      <c r="BQ123" s="423">
        <f t="shared" si="322"/>
        <v>39.6562499999999</v>
      </c>
      <c r="BR123" s="423">
        <f t="shared" si="322"/>
        <v>6.74999999999999</v>
      </c>
      <c r="BT123" s="59">
        <f t="shared" ref="BT123:CB123" si="323">BT122-BJ123</f>
        <v>95784.4166666667</v>
      </c>
      <c r="BU123" s="59">
        <f t="shared" si="323"/>
        <v>95784.4166666667</v>
      </c>
      <c r="BV123" s="59">
        <f t="shared" si="323"/>
        <v>95784.4166666667</v>
      </c>
      <c r="BW123" s="59">
        <f t="shared" si="323"/>
        <v>95784.4166666667</v>
      </c>
      <c r="BX123" s="59">
        <f t="shared" si="323"/>
        <v>95784.4166666667</v>
      </c>
      <c r="BY123" s="59">
        <f t="shared" si="323"/>
        <v>95784.4166666667</v>
      </c>
      <c r="BZ123" s="59">
        <f t="shared" si="323"/>
        <v>95784.4166666667</v>
      </c>
      <c r="CA123" s="59">
        <f t="shared" si="323"/>
        <v>95784.4166666667</v>
      </c>
      <c r="CB123" s="59">
        <f t="shared" si="323"/>
        <v>16255.6666666667</v>
      </c>
    </row>
    <row r="124" s="371" customFormat="1" ht="27" hidden="1" customHeight="1" spans="1:87">
      <c r="A124" s="410">
        <v>45789</v>
      </c>
      <c r="B124" s="411" t="s">
        <v>774</v>
      </c>
      <c r="C124" s="412" t="s">
        <v>389</v>
      </c>
      <c r="D124" s="413">
        <v>4500165973</v>
      </c>
      <c r="E124" s="412" t="s">
        <v>775</v>
      </c>
      <c r="F124" s="411" t="s">
        <v>776</v>
      </c>
      <c r="G124" s="414" t="s">
        <v>152</v>
      </c>
      <c r="H124" s="411" t="s">
        <v>153</v>
      </c>
      <c r="I124" s="415">
        <v>1326</v>
      </c>
      <c r="J124" s="415">
        <v>0</v>
      </c>
      <c r="K124" s="415">
        <v>13</v>
      </c>
      <c r="L124" s="415">
        <f t="shared" si="202"/>
        <v>102</v>
      </c>
      <c r="M124" s="416">
        <v>45835</v>
      </c>
      <c r="N124" s="416">
        <v>45831</v>
      </c>
      <c r="O124" s="417"/>
      <c r="P124" s="417" t="s">
        <v>224</v>
      </c>
      <c r="Q124" s="417" t="s">
        <v>719</v>
      </c>
      <c r="R124" s="417">
        <v>45796</v>
      </c>
      <c r="S124" s="417" t="s">
        <v>80</v>
      </c>
      <c r="T124" s="417" t="s">
        <v>777</v>
      </c>
      <c r="U124" s="417"/>
      <c r="V124" s="420" t="s">
        <v>778</v>
      </c>
      <c r="W124" s="416" t="s">
        <v>779</v>
      </c>
      <c r="X124" s="421">
        <v>0.7758</v>
      </c>
      <c r="Y124" s="415">
        <f t="shared" si="292"/>
        <v>1028.7108</v>
      </c>
      <c r="Z124" s="416"/>
      <c r="AA124" s="420">
        <v>1326</v>
      </c>
      <c r="AB124" s="420">
        <f t="shared" si="275"/>
        <v>0</v>
      </c>
      <c r="AC124" s="417" t="s">
        <v>113</v>
      </c>
      <c r="AD124" s="417" t="s">
        <v>114</v>
      </c>
      <c r="AE124" s="416" t="s">
        <v>319</v>
      </c>
      <c r="AF124" s="416" t="s">
        <v>115</v>
      </c>
      <c r="AG124" s="422">
        <f t="shared" si="301"/>
        <v>1326</v>
      </c>
      <c r="AH124" s="422"/>
      <c r="AI124" s="422">
        <f>I124</f>
        <v>1326</v>
      </c>
      <c r="AJ124" s="422"/>
      <c r="AK124" s="422"/>
      <c r="AL124" s="422">
        <f t="shared" si="318"/>
        <v>1326</v>
      </c>
      <c r="AM124" s="422"/>
      <c r="AN124" s="422"/>
      <c r="AO124" s="422">
        <f t="shared" si="304"/>
        <v>1326</v>
      </c>
      <c r="AP124" s="422"/>
      <c r="AQ124" s="422"/>
      <c r="AR124" s="422"/>
      <c r="AS124" s="422"/>
      <c r="AT124" s="422"/>
      <c r="AU124" s="422">
        <f>I124/13</f>
        <v>102</v>
      </c>
      <c r="AV124" s="422"/>
      <c r="AW124" s="422"/>
      <c r="AX124" s="422"/>
      <c r="AY124" s="422"/>
      <c r="AZ124" s="422"/>
      <c r="BA124" s="422"/>
      <c r="BB124" s="422"/>
      <c r="BC124" s="422"/>
      <c r="BD124" s="422"/>
      <c r="BE124" s="422"/>
      <c r="BF124" s="422"/>
      <c r="BG124" s="422"/>
      <c r="BH124" s="422"/>
      <c r="BI124" s="422"/>
      <c r="BJ124" s="423">
        <f t="shared" ref="BJ124:BR124" si="324">$I124*BJ$2</f>
        <v>162.296875</v>
      </c>
      <c r="BK124" s="423">
        <f t="shared" si="324"/>
        <v>162.296875</v>
      </c>
      <c r="BL124" s="423">
        <f t="shared" si="324"/>
        <v>162.296875</v>
      </c>
      <c r="BM124" s="423">
        <f t="shared" si="324"/>
        <v>162.296875</v>
      </c>
      <c r="BN124" s="423">
        <f t="shared" si="324"/>
        <v>162.296875</v>
      </c>
      <c r="BO124" s="423">
        <f t="shared" si="324"/>
        <v>162.296875</v>
      </c>
      <c r="BP124" s="423">
        <f t="shared" si="324"/>
        <v>162.296875</v>
      </c>
      <c r="BQ124" s="423">
        <f t="shared" si="324"/>
        <v>162.296875</v>
      </c>
      <c r="BR124" s="423">
        <f t="shared" si="324"/>
        <v>27.625</v>
      </c>
      <c r="BT124" s="59">
        <f t="shared" ref="BT124:CB124" si="325">BT123-BJ124</f>
        <v>95622.1197916667</v>
      </c>
      <c r="BU124" s="59">
        <f t="shared" si="325"/>
        <v>95622.1197916667</v>
      </c>
      <c r="BV124" s="59">
        <f t="shared" si="325"/>
        <v>95622.1197916667</v>
      </c>
      <c r="BW124" s="59">
        <f t="shared" si="325"/>
        <v>95622.1197916667</v>
      </c>
      <c r="BX124" s="59">
        <f t="shared" si="325"/>
        <v>95622.1197916667</v>
      </c>
      <c r="BY124" s="59">
        <f t="shared" si="325"/>
        <v>95622.1197916667</v>
      </c>
      <c r="BZ124" s="59">
        <f t="shared" si="325"/>
        <v>95622.1197916667</v>
      </c>
      <c r="CA124" s="59">
        <f t="shared" si="325"/>
        <v>95622.1197916667</v>
      </c>
      <c r="CB124" s="59">
        <f t="shared" si="325"/>
        <v>16228.0416666667</v>
      </c>
    </row>
    <row r="125" s="371" customFormat="1" ht="27" hidden="1" customHeight="1" spans="1:87">
      <c r="A125" s="410">
        <v>45798</v>
      </c>
      <c r="B125" s="411" t="s">
        <v>780</v>
      </c>
      <c r="C125" s="412" t="s">
        <v>781</v>
      </c>
      <c r="D125" s="413">
        <v>4500167451</v>
      </c>
      <c r="E125" s="412" t="s">
        <v>782</v>
      </c>
      <c r="F125" s="411" t="s">
        <v>783</v>
      </c>
      <c r="G125" s="414" t="s">
        <v>94</v>
      </c>
      <c r="H125" s="411" t="s">
        <v>211</v>
      </c>
      <c r="I125" s="415">
        <v>520</v>
      </c>
      <c r="J125" s="415">
        <v>0</v>
      </c>
      <c r="K125" s="415">
        <v>52</v>
      </c>
      <c r="L125" s="415">
        <f t="shared" si="202"/>
        <v>10</v>
      </c>
      <c r="M125" s="416">
        <v>45829</v>
      </c>
      <c r="N125" s="416">
        <v>45833</v>
      </c>
      <c r="O125" s="417" t="s">
        <v>784</v>
      </c>
      <c r="P125" s="417" t="s">
        <v>224</v>
      </c>
      <c r="Q125" s="417" t="s">
        <v>785</v>
      </c>
      <c r="R125" s="417">
        <v>45804</v>
      </c>
      <c r="S125" s="417" t="s">
        <v>80</v>
      </c>
      <c r="T125" s="417" t="s">
        <v>786</v>
      </c>
      <c r="U125" s="417"/>
      <c r="V125" s="420" t="s">
        <v>787</v>
      </c>
      <c r="W125" s="416" t="s">
        <v>167</v>
      </c>
      <c r="X125" s="421">
        <v>0.8094</v>
      </c>
      <c r="Y125" s="415">
        <f t="shared" si="292"/>
        <v>420.888</v>
      </c>
      <c r="Z125" s="416" t="s">
        <v>788</v>
      </c>
      <c r="AA125" s="420">
        <v>520</v>
      </c>
      <c r="AB125" s="420">
        <f t="shared" si="275"/>
        <v>0</v>
      </c>
      <c r="AC125" s="417" t="s">
        <v>113</v>
      </c>
      <c r="AD125" s="417" t="s">
        <v>114</v>
      </c>
      <c r="AE125" s="416" t="s">
        <v>94</v>
      </c>
      <c r="AF125" s="416" t="s">
        <v>115</v>
      </c>
      <c r="AG125" s="422">
        <f t="shared" si="301"/>
        <v>520</v>
      </c>
      <c r="AH125" s="422">
        <f t="shared" ref="AH125:AH136" si="326">I125</f>
        <v>520</v>
      </c>
      <c r="AI125" s="422"/>
      <c r="AJ125" s="422"/>
      <c r="AK125" s="422">
        <f t="shared" ref="AK125:AK136" si="327">I125</f>
        <v>520</v>
      </c>
      <c r="AL125" s="422"/>
      <c r="AM125" s="422"/>
      <c r="AN125" s="422"/>
      <c r="AO125" s="422">
        <f t="shared" si="304"/>
        <v>520</v>
      </c>
      <c r="AP125" s="422"/>
      <c r="AQ125" s="422"/>
      <c r="AR125" s="422"/>
      <c r="AS125" s="422"/>
      <c r="AT125" s="422">
        <f t="shared" ref="AT125:AT132" si="328">I125/13</f>
        <v>40</v>
      </c>
      <c r="AU125" s="422"/>
      <c r="AV125" s="422"/>
      <c r="AW125" s="422"/>
      <c r="AX125" s="422"/>
      <c r="AY125" s="422"/>
      <c r="AZ125" s="422"/>
      <c r="BA125" s="422"/>
      <c r="BB125" s="422"/>
      <c r="BC125" s="422"/>
      <c r="BD125" s="422"/>
      <c r="BE125" s="422"/>
      <c r="BF125" s="422"/>
      <c r="BG125" s="422"/>
      <c r="BH125" s="422"/>
      <c r="BI125" s="422"/>
      <c r="BJ125" s="423">
        <f t="shared" ref="BJ125:BR125" si="329">$I125*BJ$2</f>
        <v>63.6458333333332</v>
      </c>
      <c r="BK125" s="423">
        <f t="shared" si="329"/>
        <v>63.6458333333332</v>
      </c>
      <c r="BL125" s="423">
        <f t="shared" si="329"/>
        <v>63.6458333333332</v>
      </c>
      <c r="BM125" s="423">
        <f t="shared" si="329"/>
        <v>63.6458333333332</v>
      </c>
      <c r="BN125" s="423">
        <f t="shared" si="329"/>
        <v>63.6458333333332</v>
      </c>
      <c r="BO125" s="423">
        <f t="shared" si="329"/>
        <v>63.6458333333332</v>
      </c>
      <c r="BP125" s="423">
        <f t="shared" si="329"/>
        <v>63.6458333333332</v>
      </c>
      <c r="BQ125" s="423">
        <f t="shared" si="329"/>
        <v>63.6458333333332</v>
      </c>
      <c r="BR125" s="423">
        <f t="shared" si="329"/>
        <v>10.8333333333333</v>
      </c>
      <c r="BT125" s="59">
        <f t="shared" ref="BT125:CB125" si="330">BT124-BJ125</f>
        <v>95558.4739583334</v>
      </c>
      <c r="BU125" s="59">
        <f t="shared" si="330"/>
        <v>95558.4739583334</v>
      </c>
      <c r="BV125" s="59">
        <f t="shared" si="330"/>
        <v>95558.4739583334</v>
      </c>
      <c r="BW125" s="59">
        <f t="shared" si="330"/>
        <v>95558.4739583334</v>
      </c>
      <c r="BX125" s="59">
        <f t="shared" si="330"/>
        <v>95558.4739583334</v>
      </c>
      <c r="BY125" s="59">
        <f t="shared" si="330"/>
        <v>95558.4739583334</v>
      </c>
      <c r="BZ125" s="59">
        <f t="shared" si="330"/>
        <v>95558.4739583334</v>
      </c>
      <c r="CA125" s="59">
        <f t="shared" si="330"/>
        <v>95558.4739583334</v>
      </c>
      <c r="CB125" s="59">
        <f t="shared" si="330"/>
        <v>16217.2083333333</v>
      </c>
    </row>
    <row r="126" s="371" customFormat="1" ht="27" hidden="1" customHeight="1" spans="1:87">
      <c r="A126" s="410">
        <v>45792</v>
      </c>
      <c r="B126" s="411" t="s">
        <v>789</v>
      </c>
      <c r="C126" s="412" t="s">
        <v>421</v>
      </c>
      <c r="D126" s="413">
        <v>4500166516</v>
      </c>
      <c r="E126" s="412"/>
      <c r="F126" s="411" t="s">
        <v>790</v>
      </c>
      <c r="G126" s="414" t="s">
        <v>78</v>
      </c>
      <c r="H126" s="411" t="s">
        <v>79</v>
      </c>
      <c r="I126" s="415">
        <v>2700</v>
      </c>
      <c r="J126" s="415">
        <v>0</v>
      </c>
      <c r="K126" s="415">
        <v>54</v>
      </c>
      <c r="L126" s="415">
        <f t="shared" si="202"/>
        <v>50</v>
      </c>
      <c r="M126" s="416">
        <v>45838</v>
      </c>
      <c r="N126" s="416">
        <v>45834</v>
      </c>
      <c r="O126" s="417"/>
      <c r="P126" s="417" t="s">
        <v>224</v>
      </c>
      <c r="Q126" s="417" t="s">
        <v>791</v>
      </c>
      <c r="R126" s="417">
        <v>45796</v>
      </c>
      <c r="S126" s="417" t="s">
        <v>80</v>
      </c>
      <c r="T126" s="417" t="s">
        <v>80</v>
      </c>
      <c r="U126" s="417"/>
      <c r="V126" s="420" t="s">
        <v>792</v>
      </c>
      <c r="W126" s="416" t="s">
        <v>793</v>
      </c>
      <c r="X126" s="421">
        <v>0.7913</v>
      </c>
      <c r="Y126" s="415">
        <f t="shared" si="292"/>
        <v>2136.51</v>
      </c>
      <c r="Z126" s="416" t="s">
        <v>794</v>
      </c>
      <c r="AA126" s="420">
        <v>2700</v>
      </c>
      <c r="AB126" s="420">
        <f t="shared" si="275"/>
        <v>0</v>
      </c>
      <c r="AC126" s="417" t="s">
        <v>80</v>
      </c>
      <c r="AD126" s="417" t="s">
        <v>114</v>
      </c>
      <c r="AE126" s="416" t="s">
        <v>78</v>
      </c>
      <c r="AF126" s="416" t="s">
        <v>115</v>
      </c>
      <c r="AG126" s="422">
        <f t="shared" si="301"/>
        <v>2700</v>
      </c>
      <c r="AH126" s="422">
        <f t="shared" si="326"/>
        <v>2700</v>
      </c>
      <c r="AI126" s="422"/>
      <c r="AJ126" s="422"/>
      <c r="AK126" s="422">
        <f t="shared" si="327"/>
        <v>2700</v>
      </c>
      <c r="AL126" s="422"/>
      <c r="AM126" s="422"/>
      <c r="AN126" s="422"/>
      <c r="AO126" s="422">
        <f t="shared" si="304"/>
        <v>2700</v>
      </c>
      <c r="AP126" s="422"/>
      <c r="AQ126" s="422">
        <f>I126/27</f>
        <v>100</v>
      </c>
      <c r="AR126" s="422"/>
      <c r="AS126" s="422"/>
      <c r="AT126" s="422"/>
      <c r="AU126" s="422"/>
      <c r="AV126" s="422"/>
      <c r="AW126" s="422"/>
      <c r="AX126" s="422"/>
      <c r="AY126" s="422"/>
      <c r="AZ126" s="422"/>
      <c r="BA126" s="422"/>
      <c r="BB126" s="422"/>
      <c r="BC126" s="422"/>
      <c r="BD126" s="422"/>
      <c r="BE126" s="422"/>
      <c r="BF126" s="422"/>
      <c r="BG126" s="422"/>
      <c r="BH126" s="422"/>
      <c r="BI126" s="422"/>
      <c r="BJ126" s="423">
        <f t="shared" ref="BJ126:BR126" si="331">$I126*BJ$2</f>
        <v>330.468749999999</v>
      </c>
      <c r="BK126" s="423">
        <f t="shared" si="331"/>
        <v>330.468749999999</v>
      </c>
      <c r="BL126" s="423">
        <f t="shared" si="331"/>
        <v>330.468749999999</v>
      </c>
      <c r="BM126" s="423">
        <f t="shared" si="331"/>
        <v>330.468749999999</v>
      </c>
      <c r="BN126" s="423">
        <f t="shared" si="331"/>
        <v>330.468749999999</v>
      </c>
      <c r="BO126" s="423">
        <f t="shared" si="331"/>
        <v>330.468749999999</v>
      </c>
      <c r="BP126" s="423">
        <f t="shared" si="331"/>
        <v>330.468749999999</v>
      </c>
      <c r="BQ126" s="423">
        <f t="shared" si="331"/>
        <v>330.468749999999</v>
      </c>
      <c r="BR126" s="423">
        <f t="shared" si="331"/>
        <v>56.2499999999999</v>
      </c>
      <c r="BT126" s="59">
        <f t="shared" ref="BT126:CB126" si="332">BT125-BJ126</f>
        <v>95228.0052083334</v>
      </c>
      <c r="BU126" s="59">
        <f t="shared" si="332"/>
        <v>95228.0052083334</v>
      </c>
      <c r="BV126" s="59">
        <f t="shared" si="332"/>
        <v>95228.0052083334</v>
      </c>
      <c r="BW126" s="59">
        <f t="shared" si="332"/>
        <v>95228.0052083334</v>
      </c>
      <c r="BX126" s="59">
        <f t="shared" si="332"/>
        <v>95228.0052083334</v>
      </c>
      <c r="BY126" s="59">
        <f t="shared" si="332"/>
        <v>95228.0052083334</v>
      </c>
      <c r="BZ126" s="59">
        <f t="shared" si="332"/>
        <v>95228.0052083334</v>
      </c>
      <c r="CA126" s="59">
        <f t="shared" si="332"/>
        <v>95228.0052083334</v>
      </c>
      <c r="CB126" s="59">
        <f t="shared" si="332"/>
        <v>16160.9583333333</v>
      </c>
    </row>
    <row r="127" s="371" customFormat="1" ht="27" hidden="1" customHeight="1" spans="1:87">
      <c r="A127" s="410">
        <v>45798</v>
      </c>
      <c r="B127" s="411" t="s">
        <v>795</v>
      </c>
      <c r="C127" s="412" t="s">
        <v>574</v>
      </c>
      <c r="D127" s="413">
        <v>4500167348</v>
      </c>
      <c r="E127" s="412">
        <v>5251216905</v>
      </c>
      <c r="F127" s="411" t="s">
        <v>796</v>
      </c>
      <c r="G127" s="414" t="s">
        <v>131</v>
      </c>
      <c r="H127" s="411" t="s">
        <v>797</v>
      </c>
      <c r="I127" s="415">
        <v>21195</v>
      </c>
      <c r="J127" s="415">
        <v>0</v>
      </c>
      <c r="K127" s="415">
        <v>27</v>
      </c>
      <c r="L127" s="415">
        <f t="shared" si="202"/>
        <v>785</v>
      </c>
      <c r="M127" s="416">
        <v>45834</v>
      </c>
      <c r="N127" s="416">
        <v>45836</v>
      </c>
      <c r="O127" s="417" t="s">
        <v>798</v>
      </c>
      <c r="P127" s="417" t="s">
        <v>224</v>
      </c>
      <c r="Q127" s="417" t="s">
        <v>799</v>
      </c>
      <c r="R127" s="417">
        <v>45800</v>
      </c>
      <c r="S127" s="453" t="s">
        <v>80</v>
      </c>
      <c r="T127" s="417" t="s">
        <v>800</v>
      </c>
      <c r="U127" s="417"/>
      <c r="V127" s="420" t="s">
        <v>801</v>
      </c>
      <c r="W127" s="416" t="s">
        <v>581</v>
      </c>
      <c r="X127" s="421">
        <v>0.7576</v>
      </c>
      <c r="Y127" s="415">
        <f t="shared" si="292"/>
        <v>16057.332</v>
      </c>
      <c r="Z127" s="416"/>
      <c r="AA127" s="420">
        <f>9720+11475</f>
        <v>21195</v>
      </c>
      <c r="AB127" s="420">
        <f t="shared" si="275"/>
        <v>0</v>
      </c>
      <c r="AC127" s="506" t="s">
        <v>113</v>
      </c>
      <c r="AD127" s="417" t="s">
        <v>114</v>
      </c>
      <c r="AE127" s="416" t="s">
        <v>434</v>
      </c>
      <c r="AF127" s="416" t="s">
        <v>115</v>
      </c>
      <c r="AG127" s="422">
        <f t="shared" si="301"/>
        <v>21195</v>
      </c>
      <c r="AH127" s="422">
        <f t="shared" si="326"/>
        <v>21195</v>
      </c>
      <c r="AI127" s="422"/>
      <c r="AJ127" s="422"/>
      <c r="AK127" s="422"/>
      <c r="AL127" s="422">
        <f>I127</f>
        <v>21195</v>
      </c>
      <c r="AM127" s="422"/>
      <c r="AN127" s="422"/>
      <c r="AO127" s="422">
        <f t="shared" si="304"/>
        <v>21195</v>
      </c>
      <c r="AP127" s="422"/>
      <c r="AQ127" s="422"/>
      <c r="AR127" s="422"/>
      <c r="AS127" s="422">
        <f t="shared" si="319"/>
        <v>785</v>
      </c>
      <c r="AT127" s="422"/>
      <c r="AU127" s="422"/>
      <c r="AV127" s="422"/>
      <c r="AW127" s="422"/>
      <c r="AX127" s="422"/>
      <c r="AY127" s="422"/>
      <c r="AZ127" s="422"/>
      <c r="BA127" s="422"/>
      <c r="BB127" s="422"/>
      <c r="BC127" s="422"/>
      <c r="BD127" s="422"/>
      <c r="BE127" s="422"/>
      <c r="BF127" s="422"/>
      <c r="BG127" s="422"/>
      <c r="BH127" s="422"/>
      <c r="BI127" s="422"/>
      <c r="BJ127" s="423">
        <f t="shared" ref="BJ127:BR127" si="333">$I127*BJ$2</f>
        <v>2594.17968749999</v>
      </c>
      <c r="BK127" s="423">
        <f t="shared" si="333"/>
        <v>2594.17968749999</v>
      </c>
      <c r="BL127" s="423">
        <f t="shared" si="333"/>
        <v>2594.17968749999</v>
      </c>
      <c r="BM127" s="423">
        <f t="shared" si="333"/>
        <v>2594.17968749999</v>
      </c>
      <c r="BN127" s="423">
        <f t="shared" si="333"/>
        <v>2594.17968749999</v>
      </c>
      <c r="BO127" s="423">
        <f t="shared" si="333"/>
        <v>2594.17968749999</v>
      </c>
      <c r="BP127" s="423">
        <f t="shared" si="333"/>
        <v>2594.17968749999</v>
      </c>
      <c r="BQ127" s="423">
        <f t="shared" si="333"/>
        <v>2594.17968749999</v>
      </c>
      <c r="BR127" s="423">
        <f t="shared" si="333"/>
        <v>441.562499999999</v>
      </c>
      <c r="BT127" s="59">
        <f t="shared" ref="BT127:CB127" si="334">BT126-BJ127</f>
        <v>92633.8255208334</v>
      </c>
      <c r="BU127" s="59">
        <f t="shared" si="334"/>
        <v>92633.8255208334</v>
      </c>
      <c r="BV127" s="59">
        <f t="shared" si="334"/>
        <v>92633.8255208334</v>
      </c>
      <c r="BW127" s="59">
        <f t="shared" si="334"/>
        <v>92633.8255208334</v>
      </c>
      <c r="BX127" s="59">
        <f t="shared" si="334"/>
        <v>92633.8255208334</v>
      </c>
      <c r="BY127" s="59">
        <f t="shared" si="334"/>
        <v>92633.8255208334</v>
      </c>
      <c r="BZ127" s="59">
        <f t="shared" si="334"/>
        <v>92633.8255208334</v>
      </c>
      <c r="CA127" s="59">
        <f t="shared" si="334"/>
        <v>92633.8255208334</v>
      </c>
      <c r="CB127" s="59">
        <f t="shared" si="334"/>
        <v>15719.3958333333</v>
      </c>
    </row>
    <row r="128" s="371" customFormat="1" ht="27" hidden="1" customHeight="1" spans="1:87">
      <c r="A128" s="410">
        <v>45798</v>
      </c>
      <c r="B128" s="411" t="s">
        <v>795</v>
      </c>
      <c r="C128" s="412" t="s">
        <v>574</v>
      </c>
      <c r="D128" s="413">
        <v>4500167348</v>
      </c>
      <c r="E128" s="412">
        <v>5251216906</v>
      </c>
      <c r="F128" s="411" t="s">
        <v>802</v>
      </c>
      <c r="G128" s="414" t="s">
        <v>131</v>
      </c>
      <c r="H128" s="411" t="s">
        <v>797</v>
      </c>
      <c r="I128" s="415">
        <v>18225</v>
      </c>
      <c r="J128" s="415">
        <v>0</v>
      </c>
      <c r="K128" s="415">
        <v>27</v>
      </c>
      <c r="L128" s="415">
        <f t="shared" si="202"/>
        <v>675</v>
      </c>
      <c r="M128" s="416">
        <v>45834</v>
      </c>
      <c r="N128" s="416">
        <v>45836</v>
      </c>
      <c r="O128" s="417" t="s">
        <v>798</v>
      </c>
      <c r="P128" s="417" t="s">
        <v>224</v>
      </c>
      <c r="Q128" s="417" t="s">
        <v>799</v>
      </c>
      <c r="R128" s="417">
        <v>45800</v>
      </c>
      <c r="S128" s="453" t="s">
        <v>80</v>
      </c>
      <c r="T128" s="417" t="s">
        <v>800</v>
      </c>
      <c r="U128" s="417"/>
      <c r="V128" s="420" t="s">
        <v>801</v>
      </c>
      <c r="W128" s="416" t="s">
        <v>581</v>
      </c>
      <c r="X128" s="421">
        <v>0.7576</v>
      </c>
      <c r="Y128" s="415">
        <f t="shared" si="292"/>
        <v>13807.26</v>
      </c>
      <c r="Z128" s="416"/>
      <c r="AA128" s="420">
        <v>18225</v>
      </c>
      <c r="AB128" s="420">
        <f t="shared" si="275"/>
        <v>0</v>
      </c>
      <c r="AC128" s="499"/>
      <c r="AD128" s="417" t="s">
        <v>114</v>
      </c>
      <c r="AE128" s="416" t="s">
        <v>434</v>
      </c>
      <c r="AF128" s="416" t="s">
        <v>115</v>
      </c>
      <c r="AG128" s="422">
        <f t="shared" si="301"/>
        <v>18225</v>
      </c>
      <c r="AH128" s="422">
        <f t="shared" si="326"/>
        <v>18225</v>
      </c>
      <c r="AI128" s="422"/>
      <c r="AJ128" s="422"/>
      <c r="AK128" s="422"/>
      <c r="AL128" s="422">
        <f>I128</f>
        <v>18225</v>
      </c>
      <c r="AM128" s="422"/>
      <c r="AN128" s="422"/>
      <c r="AO128" s="422">
        <f t="shared" si="304"/>
        <v>18225</v>
      </c>
      <c r="AP128" s="422"/>
      <c r="AQ128" s="422"/>
      <c r="AR128" s="422"/>
      <c r="AS128" s="422">
        <f t="shared" si="319"/>
        <v>675</v>
      </c>
      <c r="AT128" s="422"/>
      <c r="AU128" s="422"/>
      <c r="AV128" s="422"/>
      <c r="AW128" s="422"/>
      <c r="AX128" s="422"/>
      <c r="AY128" s="422"/>
      <c r="AZ128" s="422"/>
      <c r="BA128" s="422"/>
      <c r="BB128" s="422"/>
      <c r="BC128" s="422"/>
      <c r="BD128" s="422"/>
      <c r="BE128" s="422"/>
      <c r="BF128" s="422"/>
      <c r="BG128" s="422"/>
      <c r="BH128" s="422"/>
      <c r="BI128" s="422"/>
      <c r="BJ128" s="423">
        <f t="shared" ref="BJ128:BR128" si="335">$I128*BJ$2</f>
        <v>2230.66406249999</v>
      </c>
      <c r="BK128" s="423">
        <f t="shared" si="335"/>
        <v>2230.66406249999</v>
      </c>
      <c r="BL128" s="423">
        <f t="shared" si="335"/>
        <v>2230.66406249999</v>
      </c>
      <c r="BM128" s="423">
        <f t="shared" si="335"/>
        <v>2230.66406249999</v>
      </c>
      <c r="BN128" s="423">
        <f t="shared" si="335"/>
        <v>2230.66406249999</v>
      </c>
      <c r="BO128" s="423">
        <f t="shared" si="335"/>
        <v>2230.66406249999</v>
      </c>
      <c r="BP128" s="423">
        <f t="shared" si="335"/>
        <v>2230.66406249999</v>
      </c>
      <c r="BQ128" s="423">
        <f t="shared" si="335"/>
        <v>2230.66406249999</v>
      </c>
      <c r="BR128" s="423">
        <f t="shared" si="335"/>
        <v>379.687499999999</v>
      </c>
      <c r="BT128" s="59">
        <f t="shared" ref="BT128:CB128" si="336">BT127-BJ128</f>
        <v>90403.1614583334</v>
      </c>
      <c r="BU128" s="59">
        <f t="shared" si="336"/>
        <v>90403.1614583334</v>
      </c>
      <c r="BV128" s="59">
        <f t="shared" si="336"/>
        <v>90403.1614583334</v>
      </c>
      <c r="BW128" s="59">
        <f t="shared" si="336"/>
        <v>90403.1614583334</v>
      </c>
      <c r="BX128" s="59">
        <f t="shared" si="336"/>
        <v>90403.1614583334</v>
      </c>
      <c r="BY128" s="59">
        <f t="shared" si="336"/>
        <v>90403.1614583334</v>
      </c>
      <c r="BZ128" s="59">
        <f t="shared" si="336"/>
        <v>90403.1614583334</v>
      </c>
      <c r="CA128" s="59">
        <f t="shared" si="336"/>
        <v>90403.1614583334</v>
      </c>
      <c r="CB128" s="59">
        <f t="shared" si="336"/>
        <v>15339.7083333333</v>
      </c>
    </row>
    <row r="129" s="371" customFormat="1" ht="27" hidden="1" customHeight="1" spans="1:86">
      <c r="A129" s="410">
        <v>45800</v>
      </c>
      <c r="B129" s="411" t="s">
        <v>803</v>
      </c>
      <c r="C129" s="412" t="s">
        <v>104</v>
      </c>
      <c r="D129" s="413">
        <v>4500167734</v>
      </c>
      <c r="E129" s="412" t="s">
        <v>804</v>
      </c>
      <c r="F129" s="411" t="s">
        <v>805</v>
      </c>
      <c r="G129" s="414" t="s">
        <v>94</v>
      </c>
      <c r="H129" s="411" t="s">
        <v>211</v>
      </c>
      <c r="I129" s="415">
        <v>520</v>
      </c>
      <c r="J129" s="415">
        <v>0</v>
      </c>
      <c r="K129" s="415">
        <v>52</v>
      </c>
      <c r="L129" s="415">
        <f t="shared" si="202"/>
        <v>10</v>
      </c>
      <c r="M129" s="416">
        <v>45839</v>
      </c>
      <c r="N129" s="416">
        <v>45836</v>
      </c>
      <c r="O129" s="417"/>
      <c r="P129" s="417" t="s">
        <v>224</v>
      </c>
      <c r="Q129" s="417" t="s">
        <v>806</v>
      </c>
      <c r="R129" s="417">
        <v>45800</v>
      </c>
      <c r="S129" s="417" t="s">
        <v>80</v>
      </c>
      <c r="T129" s="417" t="s">
        <v>807</v>
      </c>
      <c r="U129" s="417"/>
      <c r="V129" s="420" t="s">
        <v>808</v>
      </c>
      <c r="W129" s="416" t="s">
        <v>809</v>
      </c>
      <c r="X129" s="421">
        <v>0.8434</v>
      </c>
      <c r="Y129" s="415">
        <f t="shared" si="292"/>
        <v>438.568</v>
      </c>
      <c r="Z129" s="416" t="s">
        <v>810</v>
      </c>
      <c r="AA129" s="420">
        <v>520</v>
      </c>
      <c r="AB129" s="420">
        <f t="shared" si="275"/>
        <v>0</v>
      </c>
      <c r="AC129" s="506" t="s">
        <v>113</v>
      </c>
      <c r="AD129" s="417" t="s">
        <v>114</v>
      </c>
      <c r="AE129" s="416" t="s">
        <v>94</v>
      </c>
      <c r="AF129" s="416" t="s">
        <v>115</v>
      </c>
      <c r="AG129" s="422">
        <f t="shared" si="301"/>
        <v>520</v>
      </c>
      <c r="AH129" s="422">
        <f t="shared" si="326"/>
        <v>520</v>
      </c>
      <c r="AI129" s="422"/>
      <c r="AJ129" s="422"/>
      <c r="AK129" s="422">
        <f t="shared" si="327"/>
        <v>520</v>
      </c>
      <c r="AL129" s="422"/>
      <c r="AM129" s="422"/>
      <c r="AN129" s="422"/>
      <c r="AO129" s="422">
        <f t="shared" si="304"/>
        <v>520</v>
      </c>
      <c r="AP129" s="422"/>
      <c r="AQ129" s="422"/>
      <c r="AR129" s="422"/>
      <c r="AS129" s="422"/>
      <c r="AT129" s="422">
        <f t="shared" si="328"/>
        <v>40</v>
      </c>
      <c r="AU129" s="422"/>
      <c r="AV129" s="422"/>
      <c r="AW129" s="422"/>
      <c r="AX129" s="422"/>
      <c r="AY129" s="422"/>
      <c r="AZ129" s="422"/>
      <c r="BA129" s="422"/>
      <c r="BB129" s="422"/>
      <c r="BC129" s="422"/>
      <c r="BD129" s="422"/>
      <c r="BE129" s="422"/>
      <c r="BF129" s="422"/>
      <c r="BG129" s="422"/>
      <c r="BH129" s="422"/>
      <c r="BI129" s="422"/>
      <c r="BJ129" s="423">
        <f t="shared" ref="BJ129:BR129" si="337">$I129*BJ$2</f>
        <v>63.6458333333332</v>
      </c>
      <c r="BK129" s="423">
        <f t="shared" si="337"/>
        <v>63.6458333333332</v>
      </c>
      <c r="BL129" s="423">
        <f t="shared" si="337"/>
        <v>63.6458333333332</v>
      </c>
      <c r="BM129" s="423">
        <f t="shared" si="337"/>
        <v>63.6458333333332</v>
      </c>
      <c r="BN129" s="423">
        <f t="shared" si="337"/>
        <v>63.6458333333332</v>
      </c>
      <c r="BO129" s="423">
        <f t="shared" si="337"/>
        <v>63.6458333333332</v>
      </c>
      <c r="BP129" s="423">
        <f t="shared" si="337"/>
        <v>63.6458333333332</v>
      </c>
      <c r="BQ129" s="423">
        <f t="shared" si="337"/>
        <v>63.6458333333332</v>
      </c>
      <c r="BR129" s="423">
        <f t="shared" si="337"/>
        <v>10.8333333333333</v>
      </c>
      <c r="BT129" s="59">
        <f t="shared" ref="BT129:CB129" si="338">BT128-BJ129</f>
        <v>90339.5156250001</v>
      </c>
      <c r="BU129" s="59">
        <f t="shared" si="338"/>
        <v>90339.5156250001</v>
      </c>
      <c r="BV129" s="59">
        <f t="shared" si="338"/>
        <v>90339.5156250001</v>
      </c>
      <c r="BW129" s="59">
        <f t="shared" si="338"/>
        <v>90339.5156250001</v>
      </c>
      <c r="BX129" s="59">
        <f t="shared" si="338"/>
        <v>90339.5156250001</v>
      </c>
      <c r="BY129" s="59">
        <f t="shared" si="338"/>
        <v>90339.5156250001</v>
      </c>
      <c r="BZ129" s="59">
        <f t="shared" si="338"/>
        <v>90339.5156250001</v>
      </c>
      <c r="CA129" s="59">
        <f t="shared" si="338"/>
        <v>90339.5156250001</v>
      </c>
      <c r="CB129" s="59">
        <f t="shared" si="338"/>
        <v>15328.875</v>
      </c>
    </row>
    <row r="130" s="371" customFormat="1" ht="27" hidden="1" customHeight="1" spans="1:86">
      <c r="A130" s="410">
        <v>45800</v>
      </c>
      <c r="B130" s="411" t="s">
        <v>803</v>
      </c>
      <c r="C130" s="412" t="s">
        <v>104</v>
      </c>
      <c r="D130" s="413">
        <v>4500167734</v>
      </c>
      <c r="E130" s="412" t="s">
        <v>811</v>
      </c>
      <c r="F130" s="411" t="s">
        <v>812</v>
      </c>
      <c r="G130" s="414" t="s">
        <v>94</v>
      </c>
      <c r="H130" s="411" t="s">
        <v>211</v>
      </c>
      <c r="I130" s="415">
        <v>468</v>
      </c>
      <c r="J130" s="415">
        <v>0</v>
      </c>
      <c r="K130" s="415">
        <v>52</v>
      </c>
      <c r="L130" s="415">
        <f t="shared" si="202"/>
        <v>9</v>
      </c>
      <c r="M130" s="416">
        <v>45839</v>
      </c>
      <c r="N130" s="416">
        <v>45836</v>
      </c>
      <c r="O130" s="417"/>
      <c r="P130" s="417" t="s">
        <v>224</v>
      </c>
      <c r="Q130" s="417" t="s">
        <v>806</v>
      </c>
      <c r="R130" s="417">
        <v>45800</v>
      </c>
      <c r="S130" s="417" t="s">
        <v>80</v>
      </c>
      <c r="T130" s="417" t="s">
        <v>807</v>
      </c>
      <c r="U130" s="417"/>
      <c r="V130" s="420" t="s">
        <v>808</v>
      </c>
      <c r="W130" s="416" t="s">
        <v>809</v>
      </c>
      <c r="X130" s="421">
        <v>0.8434</v>
      </c>
      <c r="Y130" s="415">
        <f t="shared" si="292"/>
        <v>394.7112</v>
      </c>
      <c r="Z130" s="416" t="s">
        <v>813</v>
      </c>
      <c r="AA130" s="420">
        <v>468</v>
      </c>
      <c r="AB130" s="420">
        <f t="shared" si="275"/>
        <v>0</v>
      </c>
      <c r="AC130" s="513"/>
      <c r="AD130" s="417" t="s">
        <v>114</v>
      </c>
      <c r="AE130" s="416" t="s">
        <v>94</v>
      </c>
      <c r="AF130" s="416" t="s">
        <v>115</v>
      </c>
      <c r="AG130" s="422">
        <f t="shared" si="301"/>
        <v>468</v>
      </c>
      <c r="AH130" s="422">
        <f t="shared" si="326"/>
        <v>468</v>
      </c>
      <c r="AI130" s="422"/>
      <c r="AJ130" s="422"/>
      <c r="AK130" s="422">
        <f t="shared" si="327"/>
        <v>468</v>
      </c>
      <c r="AL130" s="422"/>
      <c r="AM130" s="422"/>
      <c r="AN130" s="422"/>
      <c r="AO130" s="422">
        <f t="shared" si="304"/>
        <v>468</v>
      </c>
      <c r="AP130" s="422"/>
      <c r="AQ130" s="422"/>
      <c r="AR130" s="422"/>
      <c r="AS130" s="422"/>
      <c r="AT130" s="422">
        <f t="shared" si="328"/>
        <v>36</v>
      </c>
      <c r="AU130" s="422"/>
      <c r="AV130" s="422"/>
      <c r="AW130" s="422"/>
      <c r="AX130" s="422"/>
      <c r="AY130" s="422"/>
      <c r="AZ130" s="422"/>
      <c r="BA130" s="422"/>
      <c r="BB130" s="422"/>
      <c r="BC130" s="422"/>
      <c r="BD130" s="422"/>
      <c r="BE130" s="422"/>
      <c r="BF130" s="422"/>
      <c r="BG130" s="422"/>
      <c r="BH130" s="422"/>
      <c r="BI130" s="422"/>
      <c r="BJ130" s="423">
        <f t="shared" ref="BJ130:BR130" si="339">$I130*BJ$2</f>
        <v>57.2812499999998</v>
      </c>
      <c r="BK130" s="423">
        <f t="shared" si="339"/>
        <v>57.2812499999998</v>
      </c>
      <c r="BL130" s="423">
        <f t="shared" si="339"/>
        <v>57.2812499999998</v>
      </c>
      <c r="BM130" s="423">
        <f t="shared" si="339"/>
        <v>57.2812499999998</v>
      </c>
      <c r="BN130" s="423">
        <f t="shared" si="339"/>
        <v>57.2812499999998</v>
      </c>
      <c r="BO130" s="423">
        <f t="shared" si="339"/>
        <v>57.2812499999998</v>
      </c>
      <c r="BP130" s="423">
        <f t="shared" si="339"/>
        <v>57.2812499999998</v>
      </c>
      <c r="BQ130" s="423">
        <f t="shared" si="339"/>
        <v>57.2812499999998</v>
      </c>
      <c r="BR130" s="423">
        <f t="shared" si="339"/>
        <v>9.74999999999998</v>
      </c>
      <c r="BT130" s="59">
        <f t="shared" ref="BT130:CB130" si="340">BT129-BJ130</f>
        <v>90282.2343750001</v>
      </c>
      <c r="BU130" s="59">
        <f t="shared" si="340"/>
        <v>90282.2343750001</v>
      </c>
      <c r="BV130" s="59">
        <f t="shared" si="340"/>
        <v>90282.2343750001</v>
      </c>
      <c r="BW130" s="59">
        <f t="shared" si="340"/>
        <v>90282.2343750001</v>
      </c>
      <c r="BX130" s="59">
        <f t="shared" si="340"/>
        <v>90282.2343750001</v>
      </c>
      <c r="BY130" s="59">
        <f t="shared" si="340"/>
        <v>90282.2343750001</v>
      </c>
      <c r="BZ130" s="59">
        <f t="shared" si="340"/>
        <v>90282.2343750001</v>
      </c>
      <c r="CA130" s="59">
        <f t="shared" si="340"/>
        <v>90282.2343750001</v>
      </c>
      <c r="CB130" s="59">
        <f t="shared" si="340"/>
        <v>15319.125</v>
      </c>
    </row>
    <row r="131" s="371" customFormat="1" ht="27" hidden="1" customHeight="1" spans="1:86">
      <c r="A131" s="410">
        <v>45800</v>
      </c>
      <c r="B131" s="411" t="s">
        <v>803</v>
      </c>
      <c r="C131" s="412" t="s">
        <v>104</v>
      </c>
      <c r="D131" s="413">
        <v>4500167734</v>
      </c>
      <c r="E131" s="412" t="s">
        <v>814</v>
      </c>
      <c r="F131" s="411" t="s">
        <v>815</v>
      </c>
      <c r="G131" s="414" t="s">
        <v>94</v>
      </c>
      <c r="H131" s="411" t="s">
        <v>211</v>
      </c>
      <c r="I131" s="415">
        <v>364</v>
      </c>
      <c r="J131" s="415">
        <v>0</v>
      </c>
      <c r="K131" s="415">
        <v>52</v>
      </c>
      <c r="L131" s="415">
        <f t="shared" si="202"/>
        <v>7</v>
      </c>
      <c r="M131" s="416">
        <v>45839</v>
      </c>
      <c r="N131" s="416">
        <v>45836</v>
      </c>
      <c r="O131" s="417"/>
      <c r="P131" s="417" t="s">
        <v>224</v>
      </c>
      <c r="Q131" s="417" t="s">
        <v>806</v>
      </c>
      <c r="R131" s="417">
        <v>45800</v>
      </c>
      <c r="S131" s="417" t="s">
        <v>80</v>
      </c>
      <c r="T131" s="417" t="s">
        <v>807</v>
      </c>
      <c r="U131" s="417"/>
      <c r="V131" s="420" t="s">
        <v>808</v>
      </c>
      <c r="W131" s="416" t="s">
        <v>809</v>
      </c>
      <c r="X131" s="421">
        <v>0.8434</v>
      </c>
      <c r="Y131" s="415">
        <f t="shared" si="292"/>
        <v>306.9976</v>
      </c>
      <c r="Z131" s="416" t="s">
        <v>816</v>
      </c>
      <c r="AA131" s="420">
        <v>364</v>
      </c>
      <c r="AB131" s="420">
        <f t="shared" si="275"/>
        <v>0</v>
      </c>
      <c r="AC131" s="513"/>
      <c r="AD131" s="417" t="s">
        <v>114</v>
      </c>
      <c r="AE131" s="416" t="s">
        <v>94</v>
      </c>
      <c r="AF131" s="416" t="s">
        <v>115</v>
      </c>
      <c r="AG131" s="422">
        <f t="shared" si="301"/>
        <v>364</v>
      </c>
      <c r="AH131" s="422">
        <f t="shared" si="326"/>
        <v>364</v>
      </c>
      <c r="AI131" s="422"/>
      <c r="AJ131" s="422"/>
      <c r="AK131" s="422">
        <f t="shared" si="327"/>
        <v>364</v>
      </c>
      <c r="AL131" s="422"/>
      <c r="AM131" s="422"/>
      <c r="AN131" s="422"/>
      <c r="AO131" s="422">
        <f t="shared" si="304"/>
        <v>364</v>
      </c>
      <c r="AP131" s="422"/>
      <c r="AQ131" s="422"/>
      <c r="AR131" s="422"/>
      <c r="AS131" s="422"/>
      <c r="AT131" s="422">
        <f t="shared" si="328"/>
        <v>28</v>
      </c>
      <c r="AU131" s="422"/>
      <c r="AV131" s="422"/>
      <c r="AW131" s="422"/>
      <c r="AX131" s="422"/>
      <c r="AY131" s="422"/>
      <c r="AZ131" s="422"/>
      <c r="BA131" s="422"/>
      <c r="BB131" s="422"/>
      <c r="BC131" s="422"/>
      <c r="BD131" s="422"/>
      <c r="BE131" s="422"/>
      <c r="BF131" s="422"/>
      <c r="BG131" s="422"/>
      <c r="BH131" s="422"/>
      <c r="BI131" s="422"/>
      <c r="BJ131" s="423">
        <f t="shared" ref="BJ131:BR131" si="341">$I131*BJ$2</f>
        <v>44.5520833333332</v>
      </c>
      <c r="BK131" s="423">
        <f t="shared" si="341"/>
        <v>44.5520833333332</v>
      </c>
      <c r="BL131" s="423">
        <f t="shared" si="341"/>
        <v>44.5520833333332</v>
      </c>
      <c r="BM131" s="423">
        <f t="shared" si="341"/>
        <v>44.5520833333332</v>
      </c>
      <c r="BN131" s="423">
        <f t="shared" si="341"/>
        <v>44.5520833333332</v>
      </c>
      <c r="BO131" s="423">
        <f t="shared" si="341"/>
        <v>44.5520833333332</v>
      </c>
      <c r="BP131" s="423">
        <f t="shared" si="341"/>
        <v>44.5520833333332</v>
      </c>
      <c r="BQ131" s="423">
        <f t="shared" si="341"/>
        <v>44.5520833333332</v>
      </c>
      <c r="BR131" s="423">
        <f t="shared" si="341"/>
        <v>7.58333333333332</v>
      </c>
      <c r="BT131" s="59">
        <f t="shared" ref="BT131:CB131" si="342">BT130-BJ131</f>
        <v>90237.6822916667</v>
      </c>
      <c r="BU131" s="59">
        <f t="shared" si="342"/>
        <v>90237.6822916667</v>
      </c>
      <c r="BV131" s="59">
        <f t="shared" si="342"/>
        <v>90237.6822916667</v>
      </c>
      <c r="BW131" s="59">
        <f t="shared" si="342"/>
        <v>90237.6822916667</v>
      </c>
      <c r="BX131" s="59">
        <f t="shared" si="342"/>
        <v>90237.6822916667</v>
      </c>
      <c r="BY131" s="59">
        <f t="shared" si="342"/>
        <v>90237.6822916667</v>
      </c>
      <c r="BZ131" s="59">
        <f t="shared" si="342"/>
        <v>90237.6822916667</v>
      </c>
      <c r="CA131" s="59">
        <f t="shared" si="342"/>
        <v>90237.6822916667</v>
      </c>
      <c r="CB131" s="59">
        <f t="shared" si="342"/>
        <v>15311.5416666667</v>
      </c>
    </row>
    <row r="132" s="371" customFormat="1" ht="27" hidden="1" customHeight="1" spans="1:86">
      <c r="A132" s="410">
        <v>45800</v>
      </c>
      <c r="B132" s="411" t="s">
        <v>803</v>
      </c>
      <c r="C132" s="412" t="s">
        <v>104</v>
      </c>
      <c r="D132" s="413">
        <v>4500167734</v>
      </c>
      <c r="E132" s="412" t="s">
        <v>817</v>
      </c>
      <c r="F132" s="411" t="s">
        <v>818</v>
      </c>
      <c r="G132" s="414" t="s">
        <v>94</v>
      </c>
      <c r="H132" s="411" t="s">
        <v>211</v>
      </c>
      <c r="I132" s="415">
        <v>156</v>
      </c>
      <c r="J132" s="415">
        <v>0</v>
      </c>
      <c r="K132" s="415">
        <v>52</v>
      </c>
      <c r="L132" s="415">
        <f t="shared" si="202"/>
        <v>3</v>
      </c>
      <c r="M132" s="416">
        <v>45839</v>
      </c>
      <c r="N132" s="416">
        <v>45836</v>
      </c>
      <c r="O132" s="417"/>
      <c r="P132" s="417" t="s">
        <v>224</v>
      </c>
      <c r="Q132" s="417" t="s">
        <v>806</v>
      </c>
      <c r="R132" s="417">
        <v>45800</v>
      </c>
      <c r="S132" s="417" t="s">
        <v>80</v>
      </c>
      <c r="T132" s="417" t="s">
        <v>807</v>
      </c>
      <c r="U132" s="417"/>
      <c r="V132" s="420" t="s">
        <v>808</v>
      </c>
      <c r="W132" s="416" t="s">
        <v>809</v>
      </c>
      <c r="X132" s="421">
        <v>0.8434</v>
      </c>
      <c r="Y132" s="415">
        <f t="shared" si="292"/>
        <v>131.5704</v>
      </c>
      <c r="Z132" s="416" t="s">
        <v>819</v>
      </c>
      <c r="AA132" s="420">
        <v>156</v>
      </c>
      <c r="AB132" s="420">
        <f t="shared" si="275"/>
        <v>0</v>
      </c>
      <c r="AC132" s="499"/>
      <c r="AD132" s="417" t="s">
        <v>114</v>
      </c>
      <c r="AE132" s="416" t="s">
        <v>94</v>
      </c>
      <c r="AF132" s="416" t="s">
        <v>115</v>
      </c>
      <c r="AG132" s="422">
        <f t="shared" si="301"/>
        <v>156</v>
      </c>
      <c r="AH132" s="422">
        <f t="shared" si="326"/>
        <v>156</v>
      </c>
      <c r="AI132" s="422"/>
      <c r="AJ132" s="422"/>
      <c r="AK132" s="422">
        <f t="shared" si="327"/>
        <v>156</v>
      </c>
      <c r="AL132" s="422"/>
      <c r="AM132" s="422"/>
      <c r="AN132" s="422"/>
      <c r="AO132" s="422">
        <f t="shared" si="304"/>
        <v>156</v>
      </c>
      <c r="AP132" s="422"/>
      <c r="AQ132" s="422"/>
      <c r="AR132" s="422"/>
      <c r="AS132" s="422"/>
      <c r="AT132" s="422">
        <f t="shared" si="328"/>
        <v>12</v>
      </c>
      <c r="AU132" s="422"/>
      <c r="AV132" s="422"/>
      <c r="AW132" s="422"/>
      <c r="AX132" s="422"/>
      <c r="AY132" s="422"/>
      <c r="AZ132" s="422"/>
      <c r="BA132" s="422"/>
      <c r="BB132" s="422"/>
      <c r="BC132" s="422"/>
      <c r="BD132" s="422"/>
      <c r="BE132" s="422"/>
      <c r="BF132" s="422"/>
      <c r="BG132" s="422"/>
      <c r="BH132" s="422"/>
      <c r="BI132" s="422"/>
      <c r="BJ132" s="423">
        <f t="shared" ref="BJ132:BR132" si="343">$I132*BJ$2</f>
        <v>19.0937499999999</v>
      </c>
      <c r="BK132" s="423">
        <f t="shared" si="343"/>
        <v>19.0937499999999</v>
      </c>
      <c r="BL132" s="423">
        <f t="shared" si="343"/>
        <v>19.0937499999999</v>
      </c>
      <c r="BM132" s="423">
        <f t="shared" si="343"/>
        <v>19.0937499999999</v>
      </c>
      <c r="BN132" s="423">
        <f t="shared" si="343"/>
        <v>19.0937499999999</v>
      </c>
      <c r="BO132" s="423">
        <f t="shared" si="343"/>
        <v>19.0937499999999</v>
      </c>
      <c r="BP132" s="423">
        <f t="shared" si="343"/>
        <v>19.0937499999999</v>
      </c>
      <c r="BQ132" s="423">
        <f t="shared" si="343"/>
        <v>19.0937499999999</v>
      </c>
      <c r="BR132" s="423">
        <f t="shared" si="343"/>
        <v>3.24999999999999</v>
      </c>
      <c r="BT132" s="59">
        <f t="shared" ref="BT132:CB132" si="344">BT131-BJ132</f>
        <v>90218.5885416667</v>
      </c>
      <c r="BU132" s="59">
        <f t="shared" si="344"/>
        <v>90218.5885416667</v>
      </c>
      <c r="BV132" s="59">
        <f t="shared" si="344"/>
        <v>90218.5885416667</v>
      </c>
      <c r="BW132" s="59">
        <f t="shared" si="344"/>
        <v>90218.5885416667</v>
      </c>
      <c r="BX132" s="59">
        <f t="shared" si="344"/>
        <v>90218.5885416667</v>
      </c>
      <c r="BY132" s="59">
        <f t="shared" si="344"/>
        <v>90218.5885416667</v>
      </c>
      <c r="BZ132" s="59">
        <f t="shared" si="344"/>
        <v>90218.5885416667</v>
      </c>
      <c r="CA132" s="59">
        <f t="shared" si="344"/>
        <v>90218.5885416667</v>
      </c>
      <c r="CB132" s="59">
        <f t="shared" si="344"/>
        <v>15308.2916666667</v>
      </c>
    </row>
    <row r="133" s="371" customFormat="1" ht="27" hidden="1" customHeight="1" spans="1:86">
      <c r="A133" s="410">
        <v>45792</v>
      </c>
      <c r="B133" s="411" t="s">
        <v>600</v>
      </c>
      <c r="C133" s="412" t="s">
        <v>117</v>
      </c>
      <c r="D133" s="413">
        <v>4500166540</v>
      </c>
      <c r="E133" s="533" t="s">
        <v>820</v>
      </c>
      <c r="F133" s="411" t="s">
        <v>821</v>
      </c>
      <c r="G133" s="414" t="s">
        <v>258</v>
      </c>
      <c r="H133" s="411" t="s">
        <v>259</v>
      </c>
      <c r="I133" s="415">
        <v>1152</v>
      </c>
      <c r="J133" s="415">
        <v>0</v>
      </c>
      <c r="K133" s="415">
        <v>1152</v>
      </c>
      <c r="L133" s="415">
        <f t="shared" si="202"/>
        <v>1</v>
      </c>
      <c r="M133" s="416">
        <v>45840</v>
      </c>
      <c r="N133" s="416">
        <v>45836</v>
      </c>
      <c r="O133" s="417" t="s">
        <v>822</v>
      </c>
      <c r="P133" s="417" t="s">
        <v>107</v>
      </c>
      <c r="Q133" s="417" t="s">
        <v>823</v>
      </c>
      <c r="R133" s="417" t="s">
        <v>331</v>
      </c>
      <c r="S133" s="417" t="s">
        <v>191</v>
      </c>
      <c r="T133" s="417" t="s">
        <v>605</v>
      </c>
      <c r="U133" s="417"/>
      <c r="V133" s="420" t="s">
        <v>606</v>
      </c>
      <c r="W133" s="416" t="s">
        <v>607</v>
      </c>
      <c r="X133" s="421">
        <v>555.88</v>
      </c>
      <c r="Y133" s="415">
        <f>X133*L133</f>
        <v>555.88</v>
      </c>
      <c r="Z133" s="416" t="s">
        <v>824</v>
      </c>
      <c r="AA133" s="420">
        <v>1152</v>
      </c>
      <c r="AB133" s="420">
        <f t="shared" si="275"/>
        <v>0</v>
      </c>
      <c r="AC133" s="417"/>
      <c r="AD133" s="417" t="s">
        <v>114</v>
      </c>
      <c r="AE133" s="416" t="s">
        <v>258</v>
      </c>
      <c r="AF133" s="416" t="s">
        <v>115</v>
      </c>
      <c r="AG133" s="422">
        <f t="shared" si="301"/>
        <v>1152</v>
      </c>
      <c r="AH133" s="422">
        <f t="shared" si="326"/>
        <v>1152</v>
      </c>
      <c r="AI133" s="422"/>
      <c r="AJ133" s="422"/>
      <c r="AK133" s="422">
        <f t="shared" si="327"/>
        <v>1152</v>
      </c>
      <c r="AL133" s="422"/>
      <c r="AM133" s="422"/>
      <c r="AN133" s="422"/>
      <c r="AO133" s="422">
        <f t="shared" si="304"/>
        <v>1152</v>
      </c>
      <c r="AP133" s="422"/>
      <c r="AQ133" s="422"/>
      <c r="AR133" s="422"/>
      <c r="AS133" s="422"/>
      <c r="AT133" s="422"/>
      <c r="AU133" s="422"/>
      <c r="AV133" s="422">
        <f>I133/12</f>
        <v>96</v>
      </c>
      <c r="AW133" s="422"/>
      <c r="AX133" s="422"/>
      <c r="AY133" s="422"/>
      <c r="AZ133" s="422"/>
      <c r="BA133" s="422"/>
      <c r="BB133" s="422"/>
      <c r="BC133" s="422"/>
      <c r="BD133" s="422"/>
      <c r="BE133" s="422"/>
      <c r="BF133" s="422"/>
      <c r="BG133" s="422"/>
      <c r="BH133" s="422"/>
      <c r="BI133" s="422"/>
      <c r="BJ133" s="423">
        <f t="shared" ref="BJ133:BR133" si="345">$I133*BJ$2</f>
        <v>141</v>
      </c>
      <c r="BK133" s="423">
        <f t="shared" si="345"/>
        <v>141</v>
      </c>
      <c r="BL133" s="423">
        <f t="shared" si="345"/>
        <v>141</v>
      </c>
      <c r="BM133" s="423">
        <f t="shared" si="345"/>
        <v>141</v>
      </c>
      <c r="BN133" s="423">
        <f t="shared" si="345"/>
        <v>141</v>
      </c>
      <c r="BO133" s="423">
        <f t="shared" si="345"/>
        <v>141</v>
      </c>
      <c r="BP133" s="423">
        <f t="shared" si="345"/>
        <v>141</v>
      </c>
      <c r="BQ133" s="423">
        <f t="shared" si="345"/>
        <v>141</v>
      </c>
      <c r="BR133" s="423">
        <f t="shared" si="345"/>
        <v>24</v>
      </c>
      <c r="BT133" s="59">
        <f t="shared" ref="BT133:CB133" si="346">BT132-BJ133</f>
        <v>90077.5885416667</v>
      </c>
      <c r="BU133" s="59">
        <f t="shared" si="346"/>
        <v>90077.5885416667</v>
      </c>
      <c r="BV133" s="59">
        <f t="shared" si="346"/>
        <v>90077.5885416667</v>
      </c>
      <c r="BW133" s="59">
        <f t="shared" si="346"/>
        <v>90077.5885416667</v>
      </c>
      <c r="BX133" s="59">
        <f t="shared" si="346"/>
        <v>90077.5885416667</v>
      </c>
      <c r="BY133" s="59">
        <f t="shared" si="346"/>
        <v>90077.5885416667</v>
      </c>
      <c r="BZ133" s="59">
        <f t="shared" si="346"/>
        <v>90077.5885416667</v>
      </c>
      <c r="CA133" s="59">
        <f t="shared" si="346"/>
        <v>90077.5885416667</v>
      </c>
      <c r="CB133" s="59">
        <f t="shared" si="346"/>
        <v>15284.2916666667</v>
      </c>
    </row>
    <row r="134" s="371" customFormat="1" ht="27" hidden="1" customHeight="1" spans="1:86">
      <c r="A134" s="410">
        <v>45792</v>
      </c>
      <c r="B134" s="411" t="s">
        <v>600</v>
      </c>
      <c r="C134" s="412" t="s">
        <v>117</v>
      </c>
      <c r="D134" s="413">
        <v>4500166540</v>
      </c>
      <c r="E134" s="533" t="s">
        <v>825</v>
      </c>
      <c r="F134" s="411" t="s">
        <v>826</v>
      </c>
      <c r="G134" s="414" t="s">
        <v>258</v>
      </c>
      <c r="H134" s="411" t="s">
        <v>259</v>
      </c>
      <c r="I134" s="415">
        <v>1152</v>
      </c>
      <c r="J134" s="415">
        <v>0</v>
      </c>
      <c r="K134" s="415">
        <v>1152</v>
      </c>
      <c r="L134" s="415">
        <f t="shared" si="202"/>
        <v>1</v>
      </c>
      <c r="M134" s="416">
        <v>45840</v>
      </c>
      <c r="N134" s="416">
        <v>45836</v>
      </c>
      <c r="O134" s="417" t="s">
        <v>822</v>
      </c>
      <c r="P134" s="417" t="s">
        <v>107</v>
      </c>
      <c r="Q134" s="417" t="s">
        <v>827</v>
      </c>
      <c r="R134" s="417" t="s">
        <v>331</v>
      </c>
      <c r="S134" s="417" t="s">
        <v>191</v>
      </c>
      <c r="T134" s="417" t="s">
        <v>605</v>
      </c>
      <c r="U134" s="417"/>
      <c r="V134" s="420" t="s">
        <v>606</v>
      </c>
      <c r="W134" s="416" t="s">
        <v>607</v>
      </c>
      <c r="X134" s="421">
        <v>555.88</v>
      </c>
      <c r="Y134" s="415">
        <f>X134*L134</f>
        <v>555.88</v>
      </c>
      <c r="Z134" s="416" t="s">
        <v>828</v>
      </c>
      <c r="AA134" s="420">
        <v>1152</v>
      </c>
      <c r="AB134" s="420">
        <f t="shared" si="275"/>
        <v>0</v>
      </c>
      <c r="AC134" s="417"/>
      <c r="AD134" s="417" t="s">
        <v>114</v>
      </c>
      <c r="AE134" s="416" t="s">
        <v>258</v>
      </c>
      <c r="AF134" s="416" t="s">
        <v>115</v>
      </c>
      <c r="AG134" s="422">
        <f t="shared" si="301"/>
        <v>1152</v>
      </c>
      <c r="AH134" s="422">
        <f t="shared" si="326"/>
        <v>1152</v>
      </c>
      <c r="AI134" s="422"/>
      <c r="AJ134" s="422"/>
      <c r="AK134" s="422">
        <f t="shared" si="327"/>
        <v>1152</v>
      </c>
      <c r="AL134" s="422"/>
      <c r="AM134" s="422"/>
      <c r="AN134" s="422"/>
      <c r="AO134" s="422">
        <f t="shared" si="304"/>
        <v>1152</v>
      </c>
      <c r="AP134" s="422"/>
      <c r="AQ134" s="422"/>
      <c r="AR134" s="422"/>
      <c r="AS134" s="422"/>
      <c r="AT134" s="422"/>
      <c r="AU134" s="422"/>
      <c r="AV134" s="422">
        <f>I134/12</f>
        <v>96</v>
      </c>
      <c r="AW134" s="422"/>
      <c r="AX134" s="422"/>
      <c r="AY134" s="422"/>
      <c r="AZ134" s="422"/>
      <c r="BA134" s="422"/>
      <c r="BB134" s="422"/>
      <c r="BC134" s="422"/>
      <c r="BD134" s="422"/>
      <c r="BE134" s="422"/>
      <c r="BF134" s="422"/>
      <c r="BG134" s="422"/>
      <c r="BH134" s="422"/>
      <c r="BI134" s="422"/>
      <c r="BJ134" s="423">
        <f t="shared" ref="BJ134:BR134" si="347">$I134*BJ$2</f>
        <v>141</v>
      </c>
      <c r="BK134" s="423">
        <f t="shared" si="347"/>
        <v>141</v>
      </c>
      <c r="BL134" s="423">
        <f t="shared" si="347"/>
        <v>141</v>
      </c>
      <c r="BM134" s="423">
        <f t="shared" si="347"/>
        <v>141</v>
      </c>
      <c r="BN134" s="423">
        <f t="shared" si="347"/>
        <v>141</v>
      </c>
      <c r="BO134" s="423">
        <f t="shared" si="347"/>
        <v>141</v>
      </c>
      <c r="BP134" s="423">
        <f t="shared" si="347"/>
        <v>141</v>
      </c>
      <c r="BQ134" s="423">
        <f t="shared" si="347"/>
        <v>141</v>
      </c>
      <c r="BR134" s="423">
        <f t="shared" si="347"/>
        <v>24</v>
      </c>
      <c r="BT134" s="59">
        <f t="shared" ref="BT134:CB134" si="348">BT133-BJ134</f>
        <v>89936.5885416667</v>
      </c>
      <c r="BU134" s="59">
        <f t="shared" si="348"/>
        <v>89936.5885416667</v>
      </c>
      <c r="BV134" s="59">
        <f t="shared" si="348"/>
        <v>89936.5885416667</v>
      </c>
      <c r="BW134" s="59">
        <f t="shared" si="348"/>
        <v>89936.5885416667</v>
      </c>
      <c r="BX134" s="59">
        <f t="shared" si="348"/>
        <v>89936.5885416667</v>
      </c>
      <c r="BY134" s="59">
        <f t="shared" si="348"/>
        <v>89936.5885416667</v>
      </c>
      <c r="BZ134" s="59">
        <f t="shared" si="348"/>
        <v>89936.5885416667</v>
      </c>
      <c r="CA134" s="59">
        <f t="shared" si="348"/>
        <v>89936.5885416667</v>
      </c>
      <c r="CB134" s="59">
        <f t="shared" si="348"/>
        <v>15260.2916666667</v>
      </c>
    </row>
    <row r="135" s="371" customFormat="1" ht="27" hidden="1" customHeight="1" spans="1:86">
      <c r="A135" s="410">
        <v>45805</v>
      </c>
      <c r="B135" s="411" t="s">
        <v>564</v>
      </c>
      <c r="C135" s="412" t="s">
        <v>117</v>
      </c>
      <c r="D135" s="413">
        <v>4500167653</v>
      </c>
      <c r="E135" s="412">
        <v>217181405</v>
      </c>
      <c r="F135" s="411" t="s">
        <v>829</v>
      </c>
      <c r="G135" s="414" t="s">
        <v>152</v>
      </c>
      <c r="H135" s="411" t="s">
        <v>153</v>
      </c>
      <c r="I135" s="415">
        <v>572</v>
      </c>
      <c r="J135" s="415">
        <v>0</v>
      </c>
      <c r="K135" s="415">
        <v>13</v>
      </c>
      <c r="L135" s="415">
        <f t="shared" si="202"/>
        <v>44</v>
      </c>
      <c r="M135" s="416">
        <v>45840</v>
      </c>
      <c r="N135" s="416">
        <v>45836</v>
      </c>
      <c r="O135" s="417"/>
      <c r="P135" s="417" t="s">
        <v>224</v>
      </c>
      <c r="Q135" s="417" t="s">
        <v>830</v>
      </c>
      <c r="R135" s="417">
        <v>45811</v>
      </c>
      <c r="S135" s="417" t="s">
        <v>80</v>
      </c>
      <c r="T135" s="417" t="s">
        <v>80</v>
      </c>
      <c r="U135" s="417"/>
      <c r="V135" s="420" t="s">
        <v>568</v>
      </c>
      <c r="W135" s="416" t="s">
        <v>569</v>
      </c>
      <c r="X135" s="421">
        <v>0.5012</v>
      </c>
      <c r="Y135" s="415">
        <f t="shared" ref="Y135:Y145" si="349">X135*I135</f>
        <v>286.6864</v>
      </c>
      <c r="Z135" s="416" t="s">
        <v>831</v>
      </c>
      <c r="AA135" s="420">
        <v>572</v>
      </c>
      <c r="AB135" s="420">
        <f t="shared" si="275"/>
        <v>0</v>
      </c>
      <c r="AC135" s="417" t="s">
        <v>80</v>
      </c>
      <c r="AD135" s="417" t="s">
        <v>114</v>
      </c>
      <c r="AE135" s="416" t="s">
        <v>152</v>
      </c>
      <c r="AF135" s="416" t="s">
        <v>115</v>
      </c>
      <c r="AG135" s="422">
        <f t="shared" si="301"/>
        <v>572</v>
      </c>
      <c r="AH135" s="422">
        <f t="shared" si="326"/>
        <v>572</v>
      </c>
      <c r="AI135" s="422"/>
      <c r="AJ135" s="422"/>
      <c r="AK135" s="422">
        <f t="shared" si="327"/>
        <v>572</v>
      </c>
      <c r="AL135" s="422"/>
      <c r="AM135" s="422"/>
      <c r="AN135" s="422"/>
      <c r="AO135" s="422">
        <f t="shared" si="304"/>
        <v>572</v>
      </c>
      <c r="AP135" s="422"/>
      <c r="AQ135" s="422"/>
      <c r="AR135" s="422"/>
      <c r="AS135" s="422"/>
      <c r="AT135" s="422">
        <f>I135/13</f>
        <v>44</v>
      </c>
      <c r="AU135" s="422"/>
      <c r="AV135" s="422"/>
      <c r="AW135" s="422"/>
      <c r="AX135" s="422"/>
      <c r="AY135" s="422"/>
      <c r="AZ135" s="422"/>
      <c r="BA135" s="422"/>
      <c r="BB135" s="422"/>
      <c r="BC135" s="422"/>
      <c r="BD135" s="422"/>
      <c r="BE135" s="422"/>
      <c r="BF135" s="422"/>
      <c r="BG135" s="422"/>
      <c r="BH135" s="422"/>
      <c r="BI135" s="422"/>
      <c r="BJ135" s="423">
        <f t="shared" ref="BJ135:BR135" si="350">$I135*BJ$2</f>
        <v>70.0104166666665</v>
      </c>
      <c r="BK135" s="423">
        <f t="shared" si="350"/>
        <v>70.0104166666665</v>
      </c>
      <c r="BL135" s="423">
        <f t="shared" si="350"/>
        <v>70.0104166666665</v>
      </c>
      <c r="BM135" s="423">
        <f t="shared" si="350"/>
        <v>70.0104166666665</v>
      </c>
      <c r="BN135" s="423">
        <f t="shared" si="350"/>
        <v>70.0104166666665</v>
      </c>
      <c r="BO135" s="423">
        <f t="shared" si="350"/>
        <v>70.0104166666665</v>
      </c>
      <c r="BP135" s="423">
        <f t="shared" si="350"/>
        <v>70.0104166666665</v>
      </c>
      <c r="BQ135" s="423">
        <f t="shared" si="350"/>
        <v>70.0104166666665</v>
      </c>
      <c r="BR135" s="423">
        <f t="shared" si="350"/>
        <v>11.9166666666666</v>
      </c>
      <c r="BT135" s="59">
        <f t="shared" ref="BT135:CB135" si="351">BT134-BJ135</f>
        <v>89866.5781250001</v>
      </c>
      <c r="BU135" s="59">
        <f t="shared" si="351"/>
        <v>89866.5781250001</v>
      </c>
      <c r="BV135" s="59">
        <f t="shared" si="351"/>
        <v>89866.5781250001</v>
      </c>
      <c r="BW135" s="59">
        <f t="shared" si="351"/>
        <v>89866.5781250001</v>
      </c>
      <c r="BX135" s="59">
        <f t="shared" si="351"/>
        <v>89866.5781250001</v>
      </c>
      <c r="BY135" s="59">
        <f t="shared" si="351"/>
        <v>89866.5781250001</v>
      </c>
      <c r="BZ135" s="59">
        <f t="shared" si="351"/>
        <v>89866.5781250001</v>
      </c>
      <c r="CA135" s="59">
        <f t="shared" si="351"/>
        <v>89866.5781250001</v>
      </c>
      <c r="CB135" s="59">
        <f t="shared" si="351"/>
        <v>15248.375</v>
      </c>
    </row>
    <row r="136" s="371" customFormat="1" ht="27" hidden="1" customHeight="1" spans="1:86">
      <c r="A136" s="410">
        <v>45805</v>
      </c>
      <c r="B136" s="411" t="s">
        <v>564</v>
      </c>
      <c r="C136" s="412" t="s">
        <v>117</v>
      </c>
      <c r="D136" s="413">
        <v>4500167651</v>
      </c>
      <c r="E136" s="412">
        <v>217181393</v>
      </c>
      <c r="F136" s="411" t="s">
        <v>832</v>
      </c>
      <c r="G136" s="414" t="s">
        <v>152</v>
      </c>
      <c r="H136" s="411" t="s">
        <v>153</v>
      </c>
      <c r="I136" s="415">
        <v>936</v>
      </c>
      <c r="J136" s="415">
        <v>0</v>
      </c>
      <c r="K136" s="415">
        <v>13</v>
      </c>
      <c r="L136" s="415">
        <f t="shared" si="202"/>
        <v>72</v>
      </c>
      <c r="M136" s="416">
        <v>45840</v>
      </c>
      <c r="N136" s="416">
        <v>45836</v>
      </c>
      <c r="O136" s="417"/>
      <c r="P136" s="417" t="s">
        <v>224</v>
      </c>
      <c r="Q136" s="514" t="s">
        <v>830</v>
      </c>
      <c r="R136" s="417">
        <v>45811</v>
      </c>
      <c r="S136" s="417" t="s">
        <v>80</v>
      </c>
      <c r="T136" s="417" t="s">
        <v>80</v>
      </c>
      <c r="U136" s="417"/>
      <c r="V136" s="420" t="s">
        <v>568</v>
      </c>
      <c r="W136" s="416" t="s">
        <v>569</v>
      </c>
      <c r="X136" s="421">
        <v>0.5012</v>
      </c>
      <c r="Y136" s="415">
        <f t="shared" si="349"/>
        <v>469.1232</v>
      </c>
      <c r="Z136" s="416" t="s">
        <v>833</v>
      </c>
      <c r="AA136" s="420">
        <v>936</v>
      </c>
      <c r="AB136" s="420">
        <f t="shared" si="275"/>
        <v>0</v>
      </c>
      <c r="AC136" s="417" t="s">
        <v>80</v>
      </c>
      <c r="AD136" s="417" t="s">
        <v>114</v>
      </c>
      <c r="AE136" s="416" t="s">
        <v>152</v>
      </c>
      <c r="AF136" s="416" t="s">
        <v>115</v>
      </c>
      <c r="AG136" s="422">
        <f t="shared" si="301"/>
        <v>936</v>
      </c>
      <c r="AH136" s="422">
        <f t="shared" si="326"/>
        <v>936</v>
      </c>
      <c r="AI136" s="422"/>
      <c r="AJ136" s="422"/>
      <c r="AK136" s="422">
        <f t="shared" si="327"/>
        <v>936</v>
      </c>
      <c r="AL136" s="422"/>
      <c r="AM136" s="422"/>
      <c r="AN136" s="422"/>
      <c r="AO136" s="422">
        <f t="shared" si="304"/>
        <v>936</v>
      </c>
      <c r="AP136" s="422"/>
      <c r="AQ136" s="422"/>
      <c r="AR136" s="422"/>
      <c r="AS136" s="422"/>
      <c r="AT136" s="422">
        <f>I136/13</f>
        <v>72</v>
      </c>
      <c r="AU136" s="422"/>
      <c r="AV136" s="422"/>
      <c r="AW136" s="422"/>
      <c r="AX136" s="422"/>
      <c r="AY136" s="422"/>
      <c r="AZ136" s="422"/>
      <c r="BA136" s="422"/>
      <c r="BB136" s="422"/>
      <c r="BC136" s="422"/>
      <c r="BD136" s="422"/>
      <c r="BE136" s="422"/>
      <c r="BF136" s="422"/>
      <c r="BG136" s="422"/>
      <c r="BH136" s="422"/>
      <c r="BI136" s="422"/>
      <c r="BJ136" s="423">
        <f t="shared" ref="BJ136:BR136" si="352">$I136*BJ$2</f>
        <v>114.5625</v>
      </c>
      <c r="BK136" s="423">
        <f t="shared" si="352"/>
        <v>114.5625</v>
      </c>
      <c r="BL136" s="423">
        <f t="shared" si="352"/>
        <v>114.5625</v>
      </c>
      <c r="BM136" s="423">
        <f t="shared" si="352"/>
        <v>114.5625</v>
      </c>
      <c r="BN136" s="423">
        <f t="shared" si="352"/>
        <v>114.5625</v>
      </c>
      <c r="BO136" s="423">
        <f t="shared" si="352"/>
        <v>114.5625</v>
      </c>
      <c r="BP136" s="423">
        <f t="shared" si="352"/>
        <v>114.5625</v>
      </c>
      <c r="BQ136" s="423">
        <f t="shared" si="352"/>
        <v>114.5625</v>
      </c>
      <c r="BR136" s="423">
        <f t="shared" si="352"/>
        <v>19.5</v>
      </c>
      <c r="BT136" s="59">
        <f t="shared" ref="BT136:CB136" si="353">BT135-BJ136</f>
        <v>89752.0156250001</v>
      </c>
      <c r="BU136" s="59">
        <f t="shared" si="353"/>
        <v>89752.0156250001</v>
      </c>
      <c r="BV136" s="59">
        <f t="shared" si="353"/>
        <v>89752.0156250001</v>
      </c>
      <c r="BW136" s="59">
        <f t="shared" si="353"/>
        <v>89752.0156250001</v>
      </c>
      <c r="BX136" s="59">
        <f t="shared" si="353"/>
        <v>89752.0156250001</v>
      </c>
      <c r="BY136" s="59">
        <f t="shared" si="353"/>
        <v>89752.0156250001</v>
      </c>
      <c r="BZ136" s="59">
        <f t="shared" si="353"/>
        <v>89752.0156250001</v>
      </c>
      <c r="CA136" s="59">
        <f t="shared" si="353"/>
        <v>89752.0156250001</v>
      </c>
      <c r="CB136" s="59">
        <f t="shared" si="353"/>
        <v>15228.875</v>
      </c>
    </row>
    <row r="137" s="371" customFormat="1" ht="27" hidden="1" customHeight="1" spans="1:86">
      <c r="A137" s="410">
        <v>45798</v>
      </c>
      <c r="B137" s="411" t="s">
        <v>184</v>
      </c>
      <c r="C137" s="412" t="s">
        <v>185</v>
      </c>
      <c r="D137" s="413">
        <v>4500167394</v>
      </c>
      <c r="E137" s="412" t="s">
        <v>834</v>
      </c>
      <c r="F137" s="411" t="s">
        <v>835</v>
      </c>
      <c r="G137" s="414" t="s">
        <v>188</v>
      </c>
      <c r="H137" s="411" t="s">
        <v>120</v>
      </c>
      <c r="I137" s="415">
        <v>504</v>
      </c>
      <c r="J137" s="415">
        <v>0</v>
      </c>
      <c r="K137" s="415">
        <v>12</v>
      </c>
      <c r="L137" s="415">
        <f t="shared" si="202"/>
        <v>42</v>
      </c>
      <c r="M137" s="416">
        <v>45835</v>
      </c>
      <c r="N137" s="416">
        <v>45836</v>
      </c>
      <c r="O137" s="417"/>
      <c r="P137" s="417" t="s">
        <v>224</v>
      </c>
      <c r="Q137" s="417"/>
      <c r="R137" s="417" t="s">
        <v>836</v>
      </c>
      <c r="S137" s="417" t="s">
        <v>191</v>
      </c>
      <c r="T137" s="417" t="s">
        <v>837</v>
      </c>
      <c r="U137" s="417"/>
      <c r="V137" s="420" t="s">
        <v>838</v>
      </c>
      <c r="W137" s="416" t="s">
        <v>839</v>
      </c>
      <c r="X137" s="421">
        <v>1.9471</v>
      </c>
      <c r="Y137" s="415">
        <f t="shared" si="349"/>
        <v>981.3384</v>
      </c>
      <c r="Z137" s="416" t="s">
        <v>840</v>
      </c>
      <c r="AA137" s="420">
        <v>504</v>
      </c>
      <c r="AB137" s="420">
        <f t="shared" si="275"/>
        <v>0</v>
      </c>
      <c r="AC137" s="417" t="s">
        <v>113</v>
      </c>
      <c r="AD137" s="417" t="s">
        <v>114</v>
      </c>
      <c r="AE137" s="416" t="s">
        <v>188</v>
      </c>
      <c r="AF137" s="416" t="s">
        <v>115</v>
      </c>
      <c r="AG137" s="422">
        <f t="shared" ref="AG137:AG139" si="354">I137*2</f>
        <v>1008</v>
      </c>
      <c r="AH137" s="422">
        <f t="shared" ref="AH137:AH139" si="355">I137*2</f>
        <v>1008</v>
      </c>
      <c r="AI137" s="422"/>
      <c r="AJ137" s="422"/>
      <c r="AK137" s="422"/>
      <c r="AL137" s="422">
        <f t="shared" ref="AL137:AL139" si="356">I137*2</f>
        <v>1008</v>
      </c>
      <c r="AM137" s="422"/>
      <c r="AN137" s="422"/>
      <c r="AO137" s="422">
        <f t="shared" ref="AO137:AO139" si="357">I137*2</f>
        <v>1008</v>
      </c>
      <c r="AP137" s="422"/>
      <c r="AQ137" s="422"/>
      <c r="AR137" s="422"/>
      <c r="AS137" s="422"/>
      <c r="AT137" s="422"/>
      <c r="AU137" s="422"/>
      <c r="AV137" s="422"/>
      <c r="AW137" s="422"/>
      <c r="AX137" s="422"/>
      <c r="AY137" s="422"/>
      <c r="AZ137" s="422"/>
      <c r="BA137" s="422"/>
      <c r="BB137" s="422"/>
      <c r="BC137" s="422"/>
      <c r="BD137" s="422"/>
      <c r="BE137" s="422"/>
      <c r="BF137" s="422">
        <f t="shared" ref="BF137:BF139" si="358">I137</f>
        <v>504</v>
      </c>
      <c r="BG137" s="422">
        <f t="shared" ref="BG137:BG139" si="359">I137</f>
        <v>504</v>
      </c>
      <c r="BH137" s="422"/>
      <c r="BI137" s="422"/>
      <c r="BJ137" s="423">
        <f t="shared" ref="BJ137:BR137" si="360">$I137*BJ$2*2</f>
        <v>123.375</v>
      </c>
      <c r="BK137" s="423">
        <f t="shared" si="360"/>
        <v>123.375</v>
      </c>
      <c r="BL137" s="423">
        <f t="shared" si="360"/>
        <v>123.375</v>
      </c>
      <c r="BM137" s="423">
        <f t="shared" si="360"/>
        <v>123.375</v>
      </c>
      <c r="BN137" s="423">
        <f t="shared" si="360"/>
        <v>123.375</v>
      </c>
      <c r="BO137" s="423">
        <f t="shared" si="360"/>
        <v>123.375</v>
      </c>
      <c r="BP137" s="423">
        <f t="shared" si="360"/>
        <v>123.375</v>
      </c>
      <c r="BQ137" s="423">
        <f t="shared" si="360"/>
        <v>123.375</v>
      </c>
      <c r="BR137" s="423">
        <f t="shared" si="360"/>
        <v>21</v>
      </c>
      <c r="BT137" s="59">
        <f t="shared" ref="BT137:CB137" si="361">BT136-BJ137</f>
        <v>89628.6406250001</v>
      </c>
      <c r="BU137" s="59">
        <f t="shared" si="361"/>
        <v>89628.6406250001</v>
      </c>
      <c r="BV137" s="59">
        <f t="shared" si="361"/>
        <v>89628.6406250001</v>
      </c>
      <c r="BW137" s="59">
        <f t="shared" si="361"/>
        <v>89628.6406250001</v>
      </c>
      <c r="BX137" s="59">
        <f t="shared" si="361"/>
        <v>89628.6406250001</v>
      </c>
      <c r="BY137" s="59">
        <f t="shared" si="361"/>
        <v>89628.6406250001</v>
      </c>
      <c r="BZ137" s="59">
        <f t="shared" si="361"/>
        <v>89628.6406250001</v>
      </c>
      <c r="CA137" s="59">
        <f t="shared" si="361"/>
        <v>89628.6406250001</v>
      </c>
      <c r="CB137" s="59">
        <f t="shared" si="361"/>
        <v>15207.875</v>
      </c>
      <c r="CD137" s="495" t="s">
        <v>841</v>
      </c>
      <c r="CE137" s="371">
        <v>1512</v>
      </c>
      <c r="CF137" s="371">
        <v>1512</v>
      </c>
      <c r="CH137" s="371">
        <f>CE137-I137</f>
        <v>1008</v>
      </c>
    </row>
    <row r="138" s="371" customFormat="1" ht="27" hidden="1" customHeight="1" spans="1:86">
      <c r="A138" s="410">
        <v>45798</v>
      </c>
      <c r="B138" s="411" t="s">
        <v>184</v>
      </c>
      <c r="C138" s="412" t="s">
        <v>842</v>
      </c>
      <c r="D138" s="413">
        <v>4500167394</v>
      </c>
      <c r="E138" s="412" t="s">
        <v>843</v>
      </c>
      <c r="F138" s="411" t="s">
        <v>844</v>
      </c>
      <c r="G138" s="414" t="s">
        <v>188</v>
      </c>
      <c r="H138" s="411" t="s">
        <v>120</v>
      </c>
      <c r="I138" s="415">
        <v>504</v>
      </c>
      <c r="J138" s="415">
        <v>0</v>
      </c>
      <c r="K138" s="415">
        <v>12</v>
      </c>
      <c r="L138" s="415">
        <f t="shared" si="202"/>
        <v>42</v>
      </c>
      <c r="M138" s="416">
        <v>45835</v>
      </c>
      <c r="N138" s="416">
        <v>45836</v>
      </c>
      <c r="O138" s="417"/>
      <c r="P138" s="417" t="s">
        <v>224</v>
      </c>
      <c r="Q138" s="417" t="s">
        <v>845</v>
      </c>
      <c r="R138" s="417" t="s">
        <v>836</v>
      </c>
      <c r="S138" s="417" t="s">
        <v>191</v>
      </c>
      <c r="T138" s="417" t="s">
        <v>837</v>
      </c>
      <c r="U138" s="417"/>
      <c r="V138" s="420" t="s">
        <v>838</v>
      </c>
      <c r="W138" s="416" t="s">
        <v>839</v>
      </c>
      <c r="X138" s="421">
        <v>1.9471</v>
      </c>
      <c r="Y138" s="415">
        <f t="shared" si="349"/>
        <v>981.3384</v>
      </c>
      <c r="Z138" s="416" t="s">
        <v>846</v>
      </c>
      <c r="AA138" s="420">
        <v>504</v>
      </c>
      <c r="AB138" s="420">
        <f t="shared" si="275"/>
        <v>0</v>
      </c>
      <c r="AC138" s="417" t="s">
        <v>113</v>
      </c>
      <c r="AD138" s="417" t="s">
        <v>114</v>
      </c>
      <c r="AE138" s="416" t="s">
        <v>188</v>
      </c>
      <c r="AF138" s="416" t="s">
        <v>115</v>
      </c>
      <c r="AG138" s="422">
        <f t="shared" si="354"/>
        <v>1008</v>
      </c>
      <c r="AH138" s="422">
        <f t="shared" si="355"/>
        <v>1008</v>
      </c>
      <c r="AI138" s="422"/>
      <c r="AJ138" s="422"/>
      <c r="AK138" s="422"/>
      <c r="AL138" s="422">
        <f t="shared" si="356"/>
        <v>1008</v>
      </c>
      <c r="AM138" s="422"/>
      <c r="AN138" s="422"/>
      <c r="AO138" s="422">
        <f t="shared" si="357"/>
        <v>1008</v>
      </c>
      <c r="AP138" s="422"/>
      <c r="AQ138" s="422"/>
      <c r="AR138" s="422"/>
      <c r="AS138" s="422"/>
      <c r="AT138" s="422"/>
      <c r="AU138" s="422"/>
      <c r="AV138" s="422"/>
      <c r="AW138" s="422"/>
      <c r="AX138" s="422"/>
      <c r="AY138" s="422"/>
      <c r="AZ138" s="422"/>
      <c r="BA138" s="422"/>
      <c r="BB138" s="422"/>
      <c r="BC138" s="422"/>
      <c r="BD138" s="422"/>
      <c r="BE138" s="422"/>
      <c r="BF138" s="422">
        <f t="shared" si="358"/>
        <v>504</v>
      </c>
      <c r="BG138" s="422">
        <f t="shared" si="359"/>
        <v>504</v>
      </c>
      <c r="BH138" s="422"/>
      <c r="BI138" s="422"/>
      <c r="BJ138" s="423">
        <f t="shared" ref="BJ138:BR138" si="362">$I138*BJ$2*2</f>
        <v>123.375</v>
      </c>
      <c r="BK138" s="423">
        <f t="shared" si="362"/>
        <v>123.375</v>
      </c>
      <c r="BL138" s="423">
        <f t="shared" si="362"/>
        <v>123.375</v>
      </c>
      <c r="BM138" s="423">
        <f t="shared" si="362"/>
        <v>123.375</v>
      </c>
      <c r="BN138" s="423">
        <f t="shared" si="362"/>
        <v>123.375</v>
      </c>
      <c r="BO138" s="423">
        <f t="shared" si="362"/>
        <v>123.375</v>
      </c>
      <c r="BP138" s="423">
        <f t="shared" si="362"/>
        <v>123.375</v>
      </c>
      <c r="BQ138" s="423">
        <f t="shared" si="362"/>
        <v>123.375</v>
      </c>
      <c r="BR138" s="423">
        <f t="shared" si="362"/>
        <v>21</v>
      </c>
      <c r="BT138" s="59">
        <f t="shared" ref="BT138:CB138" si="363">BT137-BJ138</f>
        <v>89505.2656250001</v>
      </c>
      <c r="BU138" s="59">
        <f t="shared" si="363"/>
        <v>89505.2656250001</v>
      </c>
      <c r="BV138" s="59">
        <f t="shared" si="363"/>
        <v>89505.2656250001</v>
      </c>
      <c r="BW138" s="59">
        <f t="shared" si="363"/>
        <v>89505.2656250001</v>
      </c>
      <c r="BX138" s="59">
        <f t="shared" si="363"/>
        <v>89505.2656250001</v>
      </c>
      <c r="BY138" s="59">
        <f t="shared" si="363"/>
        <v>89505.2656250001</v>
      </c>
      <c r="BZ138" s="59">
        <f t="shared" si="363"/>
        <v>89505.2656250001</v>
      </c>
      <c r="CA138" s="59">
        <f t="shared" si="363"/>
        <v>89505.2656250001</v>
      </c>
      <c r="CB138" s="59">
        <f t="shared" si="363"/>
        <v>15186.875</v>
      </c>
      <c r="CD138" s="495" t="s">
        <v>841</v>
      </c>
      <c r="CH138" s="371">
        <f>CH137-I138</f>
        <v>504</v>
      </c>
    </row>
    <row r="139" s="371" customFormat="1" ht="27" hidden="1" customHeight="1" spans="1:86">
      <c r="A139" s="410">
        <v>45799</v>
      </c>
      <c r="B139" s="411" t="s">
        <v>196</v>
      </c>
      <c r="C139" s="412" t="s">
        <v>396</v>
      </c>
      <c r="D139" s="413">
        <v>4500167501</v>
      </c>
      <c r="E139" s="412" t="s">
        <v>847</v>
      </c>
      <c r="F139" s="411" t="s">
        <v>848</v>
      </c>
      <c r="G139" s="414" t="s">
        <v>188</v>
      </c>
      <c r="H139" s="411" t="s">
        <v>120</v>
      </c>
      <c r="I139" s="415">
        <v>504</v>
      </c>
      <c r="J139" s="415">
        <v>0</v>
      </c>
      <c r="K139" s="415">
        <v>12</v>
      </c>
      <c r="L139" s="415">
        <f t="shared" si="202"/>
        <v>42</v>
      </c>
      <c r="M139" s="416">
        <v>45838</v>
      </c>
      <c r="N139" s="416">
        <v>45836</v>
      </c>
      <c r="O139" s="417"/>
      <c r="P139" s="417" t="s">
        <v>224</v>
      </c>
      <c r="Q139" s="417" t="s">
        <v>849</v>
      </c>
      <c r="R139" s="417" t="s">
        <v>836</v>
      </c>
      <c r="S139" s="417" t="s">
        <v>191</v>
      </c>
      <c r="T139" s="417" t="s">
        <v>850</v>
      </c>
      <c r="U139" s="417"/>
      <c r="V139" s="420" t="s">
        <v>851</v>
      </c>
      <c r="W139" s="416" t="s">
        <v>194</v>
      </c>
      <c r="X139" s="421">
        <v>1.8626</v>
      </c>
      <c r="Y139" s="415">
        <f t="shared" si="349"/>
        <v>938.7504</v>
      </c>
      <c r="Z139" s="416" t="s">
        <v>852</v>
      </c>
      <c r="AA139" s="420">
        <v>504</v>
      </c>
      <c r="AB139" s="420">
        <f t="shared" si="275"/>
        <v>0</v>
      </c>
      <c r="AC139" s="417" t="s">
        <v>113</v>
      </c>
      <c r="AD139" s="417" t="s">
        <v>114</v>
      </c>
      <c r="AE139" s="416" t="s">
        <v>188</v>
      </c>
      <c r="AF139" s="416" t="s">
        <v>115</v>
      </c>
      <c r="AG139" s="422">
        <f t="shared" si="354"/>
        <v>1008</v>
      </c>
      <c r="AH139" s="422">
        <f t="shared" si="355"/>
        <v>1008</v>
      </c>
      <c r="AI139" s="422"/>
      <c r="AJ139" s="422"/>
      <c r="AK139" s="422"/>
      <c r="AL139" s="422">
        <f t="shared" si="356"/>
        <v>1008</v>
      </c>
      <c r="AM139" s="422"/>
      <c r="AN139" s="422"/>
      <c r="AO139" s="422">
        <f t="shared" si="357"/>
        <v>1008</v>
      </c>
      <c r="AP139" s="422"/>
      <c r="AQ139" s="422"/>
      <c r="AR139" s="422"/>
      <c r="AS139" s="422"/>
      <c r="AT139" s="422"/>
      <c r="AU139" s="422"/>
      <c r="AV139" s="422"/>
      <c r="AW139" s="422"/>
      <c r="AX139" s="422"/>
      <c r="AY139" s="422"/>
      <c r="AZ139" s="422"/>
      <c r="BA139" s="422"/>
      <c r="BB139" s="422"/>
      <c r="BC139" s="422"/>
      <c r="BD139" s="422"/>
      <c r="BE139" s="422"/>
      <c r="BF139" s="422">
        <f t="shared" si="358"/>
        <v>504</v>
      </c>
      <c r="BG139" s="422">
        <f t="shared" si="359"/>
        <v>504</v>
      </c>
      <c r="BH139" s="422"/>
      <c r="BI139" s="422"/>
      <c r="BJ139" s="423">
        <f t="shared" ref="BJ139:BR139" si="364">$I139*BJ$2*2</f>
        <v>123.375</v>
      </c>
      <c r="BK139" s="423">
        <f t="shared" si="364"/>
        <v>123.375</v>
      </c>
      <c r="BL139" s="423">
        <f t="shared" si="364"/>
        <v>123.375</v>
      </c>
      <c r="BM139" s="423">
        <f t="shared" si="364"/>
        <v>123.375</v>
      </c>
      <c r="BN139" s="423">
        <f t="shared" si="364"/>
        <v>123.375</v>
      </c>
      <c r="BO139" s="423">
        <f t="shared" si="364"/>
        <v>123.375</v>
      </c>
      <c r="BP139" s="423">
        <f t="shared" si="364"/>
        <v>123.375</v>
      </c>
      <c r="BQ139" s="423">
        <f t="shared" si="364"/>
        <v>123.375</v>
      </c>
      <c r="BR139" s="423">
        <f t="shared" si="364"/>
        <v>21</v>
      </c>
      <c r="BT139" s="59">
        <f t="shared" ref="BT139:CB139" si="365">BT138-BJ139</f>
        <v>89381.8906250001</v>
      </c>
      <c r="BU139" s="59">
        <f t="shared" si="365"/>
        <v>89381.8906250001</v>
      </c>
      <c r="BV139" s="59">
        <f t="shared" si="365"/>
        <v>89381.8906250001</v>
      </c>
      <c r="BW139" s="59">
        <f t="shared" si="365"/>
        <v>89381.8906250001</v>
      </c>
      <c r="BX139" s="59">
        <f t="shared" si="365"/>
        <v>89381.8906250001</v>
      </c>
      <c r="BY139" s="59">
        <f t="shared" si="365"/>
        <v>89381.8906250001</v>
      </c>
      <c r="BZ139" s="59">
        <f t="shared" si="365"/>
        <v>89381.8906250001</v>
      </c>
      <c r="CA139" s="59">
        <f t="shared" si="365"/>
        <v>89381.8906250001</v>
      </c>
      <c r="CB139" s="59">
        <f t="shared" si="365"/>
        <v>15165.875</v>
      </c>
      <c r="CD139" s="495" t="s">
        <v>841</v>
      </c>
      <c r="CH139" s="371">
        <f>CH138-I139</f>
        <v>0</v>
      </c>
    </row>
    <row r="140" s="371" customFormat="1" ht="27" hidden="1" customHeight="1" spans="1:86">
      <c r="A140" s="410">
        <v>45812</v>
      </c>
      <c r="B140" s="411" t="s">
        <v>326</v>
      </c>
      <c r="C140" s="412" t="s">
        <v>117</v>
      </c>
      <c r="D140" s="413">
        <v>4500168942</v>
      </c>
      <c r="E140" s="533" t="s">
        <v>853</v>
      </c>
      <c r="F140" s="411" t="s">
        <v>854</v>
      </c>
      <c r="G140" s="414" t="s">
        <v>855</v>
      </c>
      <c r="H140" s="411" t="s">
        <v>856</v>
      </c>
      <c r="I140" s="415">
        <v>96</v>
      </c>
      <c r="J140" s="415">
        <v>0</v>
      </c>
      <c r="K140" s="415">
        <v>12</v>
      </c>
      <c r="L140" s="415">
        <f t="shared" si="202"/>
        <v>8</v>
      </c>
      <c r="M140" s="416">
        <v>45838</v>
      </c>
      <c r="N140" s="416">
        <v>45838</v>
      </c>
      <c r="O140" s="417" t="s">
        <v>857</v>
      </c>
      <c r="P140" s="417" t="s">
        <v>224</v>
      </c>
      <c r="Q140" s="417" t="s">
        <v>858</v>
      </c>
      <c r="R140" s="417" t="s">
        <v>859</v>
      </c>
      <c r="S140" s="417" t="s">
        <v>191</v>
      </c>
      <c r="T140" s="417" t="s">
        <v>860</v>
      </c>
      <c r="U140" s="417"/>
      <c r="V140" s="420" t="s">
        <v>861</v>
      </c>
      <c r="W140" s="416" t="s">
        <v>265</v>
      </c>
      <c r="X140" s="421">
        <v>0.4538</v>
      </c>
      <c r="Y140" s="415">
        <f t="shared" si="349"/>
        <v>43.5648</v>
      </c>
      <c r="Z140" s="416" t="s">
        <v>862</v>
      </c>
      <c r="AA140" s="420">
        <v>96</v>
      </c>
      <c r="AB140" s="420">
        <f t="shared" si="275"/>
        <v>0</v>
      </c>
      <c r="AC140" s="417"/>
      <c r="AD140" s="417" t="s">
        <v>114</v>
      </c>
      <c r="AE140" s="416" t="s">
        <v>855</v>
      </c>
      <c r="AF140" s="416" t="s">
        <v>115</v>
      </c>
      <c r="AG140" s="422">
        <f t="shared" ref="AG140:AG172" si="366">I140</f>
        <v>96</v>
      </c>
      <c r="AH140" s="422">
        <f t="shared" ref="AH140:AH159" si="367">I140</f>
        <v>96</v>
      </c>
      <c r="AI140" s="422"/>
      <c r="AJ140" s="422"/>
      <c r="AK140" s="422">
        <f t="shared" ref="AK140:AK143" si="368">I140</f>
        <v>96</v>
      </c>
      <c r="AL140" s="422"/>
      <c r="AM140" s="422"/>
      <c r="AN140" s="422"/>
      <c r="AO140" s="422">
        <f t="shared" ref="AO140:AO172" si="369">I140</f>
        <v>96</v>
      </c>
      <c r="AP140" s="422"/>
      <c r="AQ140" s="422"/>
      <c r="AR140" s="422"/>
      <c r="AS140" s="422"/>
      <c r="AT140" s="422"/>
      <c r="AU140" s="422"/>
      <c r="AV140" s="422"/>
      <c r="AW140" s="422"/>
      <c r="AX140" s="422"/>
      <c r="AY140" s="422"/>
      <c r="AZ140" s="422"/>
      <c r="BA140" s="422"/>
      <c r="BB140" s="422"/>
      <c r="BC140" s="422"/>
      <c r="BD140" s="422"/>
      <c r="BE140" s="422"/>
      <c r="BF140" s="422"/>
      <c r="BG140" s="422"/>
      <c r="BH140" s="422"/>
      <c r="BI140" s="422"/>
      <c r="BJ140" s="423">
        <f t="shared" ref="BJ140:BR140" si="370">$I140*BJ$2</f>
        <v>11.75</v>
      </c>
      <c r="BK140" s="423">
        <f t="shared" si="370"/>
        <v>11.75</v>
      </c>
      <c r="BL140" s="423">
        <f t="shared" si="370"/>
        <v>11.75</v>
      </c>
      <c r="BM140" s="423">
        <f t="shared" si="370"/>
        <v>11.75</v>
      </c>
      <c r="BN140" s="423">
        <f t="shared" si="370"/>
        <v>11.75</v>
      </c>
      <c r="BO140" s="423">
        <f t="shared" si="370"/>
        <v>11.75</v>
      </c>
      <c r="BP140" s="423">
        <f t="shared" si="370"/>
        <v>11.75</v>
      </c>
      <c r="BQ140" s="423">
        <f t="shared" si="370"/>
        <v>11.75</v>
      </c>
      <c r="BR140" s="423">
        <f t="shared" si="370"/>
        <v>2</v>
      </c>
      <c r="BT140" s="59">
        <f t="shared" ref="BT140:CB140" si="371">BT139-BJ140</f>
        <v>89370.1406250001</v>
      </c>
      <c r="BU140" s="59">
        <f t="shared" si="371"/>
        <v>89370.1406250001</v>
      </c>
      <c r="BV140" s="59">
        <f t="shared" si="371"/>
        <v>89370.1406250001</v>
      </c>
      <c r="BW140" s="59">
        <f t="shared" si="371"/>
        <v>89370.1406250001</v>
      </c>
      <c r="BX140" s="59">
        <f t="shared" si="371"/>
        <v>89370.1406250001</v>
      </c>
      <c r="BY140" s="59">
        <f t="shared" si="371"/>
        <v>89370.1406250001</v>
      </c>
      <c r="BZ140" s="59">
        <f t="shared" si="371"/>
        <v>89370.1406250001</v>
      </c>
      <c r="CA140" s="59">
        <f t="shared" si="371"/>
        <v>89370.1406250001</v>
      </c>
      <c r="CB140" s="59">
        <f t="shared" si="371"/>
        <v>15163.875</v>
      </c>
      <c r="CD140" s="495"/>
    </row>
    <row r="141" s="371" customFormat="1" ht="27" hidden="1" customHeight="1" spans="1:86">
      <c r="A141" s="410">
        <v>45812</v>
      </c>
      <c r="B141" s="411" t="s">
        <v>326</v>
      </c>
      <c r="C141" s="412" t="s">
        <v>117</v>
      </c>
      <c r="D141" s="413">
        <v>4500168942</v>
      </c>
      <c r="E141" s="533" t="s">
        <v>863</v>
      </c>
      <c r="F141" s="411" t="s">
        <v>864</v>
      </c>
      <c r="G141" s="414" t="s">
        <v>855</v>
      </c>
      <c r="H141" s="411" t="s">
        <v>856</v>
      </c>
      <c r="I141" s="415">
        <v>264</v>
      </c>
      <c r="J141" s="415">
        <v>0</v>
      </c>
      <c r="K141" s="415">
        <v>12</v>
      </c>
      <c r="L141" s="415">
        <f t="shared" si="202"/>
        <v>22</v>
      </c>
      <c r="M141" s="416">
        <v>45838</v>
      </c>
      <c r="N141" s="416">
        <v>45838</v>
      </c>
      <c r="O141" s="417" t="s">
        <v>857</v>
      </c>
      <c r="P141" s="417" t="s">
        <v>224</v>
      </c>
      <c r="Q141" s="417" t="s">
        <v>858</v>
      </c>
      <c r="R141" s="417" t="s">
        <v>859</v>
      </c>
      <c r="S141" s="417" t="s">
        <v>191</v>
      </c>
      <c r="T141" s="417" t="s">
        <v>860</v>
      </c>
      <c r="U141" s="417"/>
      <c r="V141" s="420" t="s">
        <v>861</v>
      </c>
      <c r="W141" s="416" t="s">
        <v>265</v>
      </c>
      <c r="X141" s="421">
        <v>0.4538</v>
      </c>
      <c r="Y141" s="415">
        <f t="shared" si="349"/>
        <v>119.8032</v>
      </c>
      <c r="Z141" s="416" t="s">
        <v>865</v>
      </c>
      <c r="AA141" s="420">
        <v>264</v>
      </c>
      <c r="AB141" s="420">
        <f t="shared" si="275"/>
        <v>0</v>
      </c>
      <c r="AC141" s="417"/>
      <c r="AD141" s="417" t="s">
        <v>114</v>
      </c>
      <c r="AE141" s="416" t="s">
        <v>855</v>
      </c>
      <c r="AF141" s="416" t="s">
        <v>115</v>
      </c>
      <c r="AG141" s="422">
        <f t="shared" si="366"/>
        <v>264</v>
      </c>
      <c r="AH141" s="422">
        <f t="shared" si="367"/>
        <v>264</v>
      </c>
      <c r="AI141" s="422"/>
      <c r="AJ141" s="422"/>
      <c r="AK141" s="422">
        <f t="shared" si="368"/>
        <v>264</v>
      </c>
      <c r="AL141" s="422"/>
      <c r="AM141" s="422"/>
      <c r="AN141" s="422"/>
      <c r="AO141" s="422">
        <f t="shared" si="369"/>
        <v>264</v>
      </c>
      <c r="AP141" s="422"/>
      <c r="AQ141" s="422"/>
      <c r="AR141" s="422"/>
      <c r="AS141" s="422"/>
      <c r="AT141" s="422"/>
      <c r="AU141" s="422"/>
      <c r="AV141" s="422"/>
      <c r="AW141" s="422"/>
      <c r="AX141" s="422"/>
      <c r="AY141" s="422"/>
      <c r="AZ141" s="422"/>
      <c r="BA141" s="422"/>
      <c r="BB141" s="422"/>
      <c r="BC141" s="422"/>
      <c r="BD141" s="422"/>
      <c r="BE141" s="422"/>
      <c r="BF141" s="422"/>
      <c r="BG141" s="422"/>
      <c r="BH141" s="422"/>
      <c r="BI141" s="422"/>
      <c r="BJ141" s="423">
        <f t="shared" ref="BJ141:BR141" si="372">$I141*BJ$2</f>
        <v>32.3124999999999</v>
      </c>
      <c r="BK141" s="423">
        <f t="shared" si="372"/>
        <v>32.3124999999999</v>
      </c>
      <c r="BL141" s="423">
        <f t="shared" si="372"/>
        <v>32.3124999999999</v>
      </c>
      <c r="BM141" s="423">
        <f t="shared" si="372"/>
        <v>32.3124999999999</v>
      </c>
      <c r="BN141" s="423">
        <f t="shared" si="372"/>
        <v>32.3124999999999</v>
      </c>
      <c r="BO141" s="423">
        <f t="shared" si="372"/>
        <v>32.3124999999999</v>
      </c>
      <c r="BP141" s="423">
        <f t="shared" si="372"/>
        <v>32.3124999999999</v>
      </c>
      <c r="BQ141" s="423">
        <f t="shared" si="372"/>
        <v>32.3124999999999</v>
      </c>
      <c r="BR141" s="423">
        <f t="shared" si="372"/>
        <v>5.49999999999999</v>
      </c>
      <c r="BT141" s="59">
        <f t="shared" ref="BT141:CB141" si="373">BT140-BJ141</f>
        <v>89337.8281250001</v>
      </c>
      <c r="BU141" s="59">
        <f t="shared" si="373"/>
        <v>89337.8281250001</v>
      </c>
      <c r="BV141" s="59">
        <f t="shared" si="373"/>
        <v>89337.8281250001</v>
      </c>
      <c r="BW141" s="59">
        <f t="shared" si="373"/>
        <v>89337.8281250001</v>
      </c>
      <c r="BX141" s="59">
        <f t="shared" si="373"/>
        <v>89337.8281250001</v>
      </c>
      <c r="BY141" s="59">
        <f t="shared" si="373"/>
        <v>89337.8281250001</v>
      </c>
      <c r="BZ141" s="59">
        <f t="shared" si="373"/>
        <v>89337.8281250001</v>
      </c>
      <c r="CA141" s="59">
        <f t="shared" si="373"/>
        <v>89337.8281250001</v>
      </c>
      <c r="CB141" s="59">
        <f t="shared" si="373"/>
        <v>15158.375</v>
      </c>
      <c r="CD141" s="495"/>
    </row>
    <row r="142" s="371" customFormat="1" ht="27" hidden="1" customHeight="1" spans="1:86">
      <c r="A142" s="410">
        <v>45812</v>
      </c>
      <c r="B142" s="411" t="s">
        <v>326</v>
      </c>
      <c r="C142" s="412" t="s">
        <v>117</v>
      </c>
      <c r="D142" s="413">
        <v>4500168943</v>
      </c>
      <c r="E142" s="533" t="s">
        <v>866</v>
      </c>
      <c r="F142" s="411" t="s">
        <v>867</v>
      </c>
      <c r="G142" s="414" t="s">
        <v>855</v>
      </c>
      <c r="H142" s="411" t="s">
        <v>856</v>
      </c>
      <c r="I142" s="415">
        <v>84</v>
      </c>
      <c r="J142" s="415">
        <v>0</v>
      </c>
      <c r="K142" s="415">
        <v>12</v>
      </c>
      <c r="L142" s="415">
        <f t="shared" ref="L142:L205" si="374">I142/K142</f>
        <v>7</v>
      </c>
      <c r="M142" s="416">
        <v>45839</v>
      </c>
      <c r="N142" s="416">
        <v>45838</v>
      </c>
      <c r="O142" s="417" t="s">
        <v>822</v>
      </c>
      <c r="P142" s="417" t="s">
        <v>224</v>
      </c>
      <c r="Q142" s="417" t="s">
        <v>868</v>
      </c>
      <c r="R142" s="417" t="s">
        <v>859</v>
      </c>
      <c r="S142" s="417" t="s">
        <v>191</v>
      </c>
      <c r="T142" s="417" t="s">
        <v>860</v>
      </c>
      <c r="U142" s="417"/>
      <c r="V142" s="420" t="s">
        <v>861</v>
      </c>
      <c r="W142" s="416" t="s">
        <v>265</v>
      </c>
      <c r="X142" s="421">
        <v>0.4538</v>
      </c>
      <c r="Y142" s="415">
        <f t="shared" si="349"/>
        <v>38.1192</v>
      </c>
      <c r="Z142" s="416" t="s">
        <v>869</v>
      </c>
      <c r="AA142" s="420">
        <v>84</v>
      </c>
      <c r="AB142" s="420">
        <f t="shared" si="275"/>
        <v>0</v>
      </c>
      <c r="AC142" s="417"/>
      <c r="AD142" s="417" t="s">
        <v>114</v>
      </c>
      <c r="AE142" s="416" t="s">
        <v>855</v>
      </c>
      <c r="AF142" s="416" t="s">
        <v>115</v>
      </c>
      <c r="AG142" s="422">
        <f t="shared" si="366"/>
        <v>84</v>
      </c>
      <c r="AH142" s="422">
        <f t="shared" si="367"/>
        <v>84</v>
      </c>
      <c r="AI142" s="422"/>
      <c r="AJ142" s="422"/>
      <c r="AK142" s="422">
        <f t="shared" si="368"/>
        <v>84</v>
      </c>
      <c r="AL142" s="422"/>
      <c r="AM142" s="422"/>
      <c r="AN142" s="422"/>
      <c r="AO142" s="422">
        <f t="shared" si="369"/>
        <v>84</v>
      </c>
      <c r="AP142" s="422"/>
      <c r="AQ142" s="422"/>
      <c r="AR142" s="422"/>
      <c r="AS142" s="422"/>
      <c r="AT142" s="422"/>
      <c r="AU142" s="422"/>
      <c r="AV142" s="422"/>
      <c r="AW142" s="422"/>
      <c r="AX142" s="422"/>
      <c r="AY142" s="422"/>
      <c r="AZ142" s="422"/>
      <c r="BA142" s="422"/>
      <c r="BB142" s="422"/>
      <c r="BC142" s="422"/>
      <c r="BD142" s="422"/>
      <c r="BE142" s="422"/>
      <c r="BF142" s="422"/>
      <c r="BG142" s="422"/>
      <c r="BH142" s="422"/>
      <c r="BI142" s="422"/>
      <c r="BJ142" s="423">
        <f t="shared" ref="BJ142:BR142" si="375">$I142*BJ$2</f>
        <v>10.28125</v>
      </c>
      <c r="BK142" s="423">
        <f t="shared" si="375"/>
        <v>10.28125</v>
      </c>
      <c r="BL142" s="423">
        <f t="shared" si="375"/>
        <v>10.28125</v>
      </c>
      <c r="BM142" s="423">
        <f t="shared" si="375"/>
        <v>10.28125</v>
      </c>
      <c r="BN142" s="423">
        <f t="shared" si="375"/>
        <v>10.28125</v>
      </c>
      <c r="BO142" s="423">
        <f t="shared" si="375"/>
        <v>10.28125</v>
      </c>
      <c r="BP142" s="423">
        <f t="shared" si="375"/>
        <v>10.28125</v>
      </c>
      <c r="BQ142" s="423">
        <f t="shared" si="375"/>
        <v>10.28125</v>
      </c>
      <c r="BR142" s="423">
        <f t="shared" si="375"/>
        <v>1.75</v>
      </c>
      <c r="BT142" s="59">
        <f t="shared" ref="BT142:CB142" si="376">BT141-BJ142</f>
        <v>89327.5468750001</v>
      </c>
      <c r="BU142" s="59">
        <f t="shared" si="376"/>
        <v>89327.5468750001</v>
      </c>
      <c r="BV142" s="59">
        <f t="shared" si="376"/>
        <v>89327.5468750001</v>
      </c>
      <c r="BW142" s="59">
        <f t="shared" si="376"/>
        <v>89327.5468750001</v>
      </c>
      <c r="BX142" s="59">
        <f t="shared" si="376"/>
        <v>89327.5468750001</v>
      </c>
      <c r="BY142" s="59">
        <f t="shared" si="376"/>
        <v>89327.5468750001</v>
      </c>
      <c r="BZ142" s="59">
        <f t="shared" si="376"/>
        <v>89327.5468750001</v>
      </c>
      <c r="CA142" s="59">
        <f t="shared" si="376"/>
        <v>89327.5468750001</v>
      </c>
      <c r="CB142" s="59">
        <f t="shared" si="376"/>
        <v>15156.625</v>
      </c>
    </row>
    <row r="143" s="371" customFormat="1" ht="27" hidden="1" customHeight="1" spans="1:86">
      <c r="A143" s="410">
        <v>45812</v>
      </c>
      <c r="B143" s="411" t="s">
        <v>326</v>
      </c>
      <c r="C143" s="412" t="s">
        <v>117</v>
      </c>
      <c r="D143" s="413">
        <v>4500168944</v>
      </c>
      <c r="E143" s="533" t="s">
        <v>870</v>
      </c>
      <c r="F143" s="411" t="s">
        <v>871</v>
      </c>
      <c r="G143" s="414" t="s">
        <v>855</v>
      </c>
      <c r="H143" s="411" t="s">
        <v>856</v>
      </c>
      <c r="I143" s="415">
        <v>180</v>
      </c>
      <c r="J143" s="415">
        <v>0</v>
      </c>
      <c r="K143" s="415">
        <v>12</v>
      </c>
      <c r="L143" s="415">
        <f t="shared" si="374"/>
        <v>15</v>
      </c>
      <c r="M143" s="416">
        <v>45842</v>
      </c>
      <c r="N143" s="416">
        <f>M143-4</f>
        <v>45838</v>
      </c>
      <c r="O143" s="417" t="s">
        <v>872</v>
      </c>
      <c r="P143" s="417" t="s">
        <v>224</v>
      </c>
      <c r="Q143" s="417" t="s">
        <v>873</v>
      </c>
      <c r="R143" s="417" t="s">
        <v>859</v>
      </c>
      <c r="S143" s="417" t="s">
        <v>191</v>
      </c>
      <c r="T143" s="417" t="s">
        <v>860</v>
      </c>
      <c r="U143" s="417"/>
      <c r="V143" s="420" t="s">
        <v>861</v>
      </c>
      <c r="W143" s="416" t="s">
        <v>265</v>
      </c>
      <c r="X143" s="421">
        <v>0.4538</v>
      </c>
      <c r="Y143" s="415">
        <f t="shared" si="349"/>
        <v>81.684</v>
      </c>
      <c r="Z143" s="416" t="s">
        <v>874</v>
      </c>
      <c r="AA143" s="420">
        <v>180</v>
      </c>
      <c r="AB143" s="420">
        <f t="shared" si="275"/>
        <v>0</v>
      </c>
      <c r="AC143" s="417"/>
      <c r="AD143" s="417" t="s">
        <v>114</v>
      </c>
      <c r="AE143" s="416" t="s">
        <v>855</v>
      </c>
      <c r="AF143" s="416" t="s">
        <v>115</v>
      </c>
      <c r="AG143" s="422">
        <f t="shared" si="366"/>
        <v>180</v>
      </c>
      <c r="AH143" s="422">
        <f t="shared" si="367"/>
        <v>180</v>
      </c>
      <c r="AI143" s="422"/>
      <c r="AJ143" s="422"/>
      <c r="AK143" s="422">
        <f t="shared" si="368"/>
        <v>180</v>
      </c>
      <c r="AL143" s="422"/>
      <c r="AM143" s="422"/>
      <c r="AN143" s="422"/>
      <c r="AO143" s="422">
        <f t="shared" si="369"/>
        <v>180</v>
      </c>
      <c r="AP143" s="422"/>
      <c r="AQ143" s="422"/>
      <c r="AR143" s="422"/>
      <c r="AS143" s="422"/>
      <c r="AT143" s="422"/>
      <c r="AU143" s="422"/>
      <c r="AV143" s="422"/>
      <c r="AW143" s="422"/>
      <c r="AX143" s="422"/>
      <c r="AY143" s="422"/>
      <c r="AZ143" s="422"/>
      <c r="BA143" s="422"/>
      <c r="BB143" s="422"/>
      <c r="BC143" s="422"/>
      <c r="BD143" s="422"/>
      <c r="BE143" s="422"/>
      <c r="BF143" s="422"/>
      <c r="BG143" s="422"/>
      <c r="BH143" s="422"/>
      <c r="BI143" s="422"/>
      <c r="BJ143" s="423">
        <f t="shared" ref="BJ143:BR143" si="377">$I143*BJ$2</f>
        <v>22.0312499999999</v>
      </c>
      <c r="BK143" s="423">
        <f t="shared" si="377"/>
        <v>22.0312499999999</v>
      </c>
      <c r="BL143" s="423">
        <f t="shared" si="377"/>
        <v>22.0312499999999</v>
      </c>
      <c r="BM143" s="423">
        <f t="shared" si="377"/>
        <v>22.0312499999999</v>
      </c>
      <c r="BN143" s="423">
        <f t="shared" si="377"/>
        <v>22.0312499999999</v>
      </c>
      <c r="BO143" s="423">
        <f t="shared" si="377"/>
        <v>22.0312499999999</v>
      </c>
      <c r="BP143" s="423">
        <f t="shared" si="377"/>
        <v>22.0312499999999</v>
      </c>
      <c r="BQ143" s="423">
        <f t="shared" si="377"/>
        <v>22.0312499999999</v>
      </c>
      <c r="BR143" s="423">
        <f t="shared" si="377"/>
        <v>3.74999999999999</v>
      </c>
      <c r="BT143" s="59">
        <f t="shared" ref="BT143:CB143" si="378">BT142-BJ143</f>
        <v>89305.5156250001</v>
      </c>
      <c r="BU143" s="59">
        <f t="shared" si="378"/>
        <v>89305.5156250001</v>
      </c>
      <c r="BV143" s="59">
        <f t="shared" si="378"/>
        <v>89305.5156250001</v>
      </c>
      <c r="BW143" s="59">
        <f t="shared" si="378"/>
        <v>89305.5156250001</v>
      </c>
      <c r="BX143" s="59">
        <f t="shared" si="378"/>
        <v>89305.5156250001</v>
      </c>
      <c r="BY143" s="59">
        <f t="shared" si="378"/>
        <v>89305.5156250001</v>
      </c>
      <c r="BZ143" s="59">
        <f t="shared" si="378"/>
        <v>89305.5156250001</v>
      </c>
      <c r="CA143" s="59">
        <f t="shared" si="378"/>
        <v>89305.5156250001</v>
      </c>
      <c r="CB143" s="59">
        <f t="shared" si="378"/>
        <v>15152.875</v>
      </c>
    </row>
    <row r="144" s="371" customFormat="1" ht="27" hidden="1" customHeight="1" spans="1:86">
      <c r="A144" s="410">
        <v>45807</v>
      </c>
      <c r="B144" s="411" t="s">
        <v>875</v>
      </c>
      <c r="C144" s="412" t="s">
        <v>876</v>
      </c>
      <c r="D144" s="413">
        <v>4500168505</v>
      </c>
      <c r="E144" s="412"/>
      <c r="F144" s="411" t="s">
        <v>877</v>
      </c>
      <c r="G144" s="414" t="s">
        <v>78</v>
      </c>
      <c r="H144" s="411" t="s">
        <v>79</v>
      </c>
      <c r="I144" s="415">
        <v>540</v>
      </c>
      <c r="J144" s="415">
        <v>0</v>
      </c>
      <c r="K144" s="415">
        <v>54</v>
      </c>
      <c r="L144" s="415">
        <f t="shared" si="374"/>
        <v>10</v>
      </c>
      <c r="M144" s="416">
        <v>45840</v>
      </c>
      <c r="N144" s="416">
        <v>45840</v>
      </c>
      <c r="O144" s="417"/>
      <c r="P144" s="417" t="s">
        <v>224</v>
      </c>
      <c r="Q144" s="417" t="s">
        <v>878</v>
      </c>
      <c r="R144" s="453">
        <v>45815</v>
      </c>
      <c r="S144" s="417" t="s">
        <v>80</v>
      </c>
      <c r="T144" s="417" t="s">
        <v>879</v>
      </c>
      <c r="U144" s="417"/>
      <c r="V144" s="420" t="s">
        <v>880</v>
      </c>
      <c r="W144" s="416" t="s">
        <v>881</v>
      </c>
      <c r="X144" s="421">
        <v>0.7967</v>
      </c>
      <c r="Y144" s="415">
        <f t="shared" si="349"/>
        <v>430.218</v>
      </c>
      <c r="Z144" s="416"/>
      <c r="AA144" s="420">
        <v>540</v>
      </c>
      <c r="AB144" s="420">
        <f t="shared" si="275"/>
        <v>0</v>
      </c>
      <c r="AC144" s="417" t="s">
        <v>113</v>
      </c>
      <c r="AD144" s="417" t="s">
        <v>114</v>
      </c>
      <c r="AE144" s="416" t="s">
        <v>230</v>
      </c>
      <c r="AF144" s="416" t="s">
        <v>115</v>
      </c>
      <c r="AG144" s="422">
        <f t="shared" si="366"/>
        <v>540</v>
      </c>
      <c r="AH144" s="422">
        <f t="shared" si="367"/>
        <v>540</v>
      </c>
      <c r="AI144" s="422"/>
      <c r="AJ144" s="422"/>
      <c r="AK144" s="422"/>
      <c r="AL144" s="422">
        <f>I144</f>
        <v>540</v>
      </c>
      <c r="AM144" s="422"/>
      <c r="AN144" s="422"/>
      <c r="AO144" s="422">
        <f t="shared" si="369"/>
        <v>540</v>
      </c>
      <c r="AP144" s="422"/>
      <c r="AQ144" s="422"/>
      <c r="AR144" s="422">
        <f>I144/27</f>
        <v>20</v>
      </c>
      <c r="AS144" s="422"/>
      <c r="AT144" s="422"/>
      <c r="AU144" s="422"/>
      <c r="AV144" s="422"/>
      <c r="AW144" s="422"/>
      <c r="AX144" s="422"/>
      <c r="AY144" s="422"/>
      <c r="AZ144" s="422"/>
      <c r="BA144" s="422"/>
      <c r="BB144" s="422"/>
      <c r="BC144" s="422"/>
      <c r="BD144" s="422"/>
      <c r="BE144" s="422"/>
      <c r="BF144" s="422"/>
      <c r="BG144" s="422"/>
      <c r="BH144" s="422"/>
      <c r="BI144" s="422"/>
      <c r="BJ144" s="423">
        <f t="shared" ref="BJ144:BR144" si="379">$I144*BJ$2</f>
        <v>66.0937499999998</v>
      </c>
      <c r="BK144" s="423">
        <f t="shared" si="379"/>
        <v>66.0937499999998</v>
      </c>
      <c r="BL144" s="423">
        <f t="shared" si="379"/>
        <v>66.0937499999998</v>
      </c>
      <c r="BM144" s="423">
        <f t="shared" si="379"/>
        <v>66.0937499999998</v>
      </c>
      <c r="BN144" s="423">
        <f t="shared" si="379"/>
        <v>66.0937499999998</v>
      </c>
      <c r="BO144" s="423">
        <f t="shared" si="379"/>
        <v>66.0937499999998</v>
      </c>
      <c r="BP144" s="423">
        <f t="shared" si="379"/>
        <v>66.0937499999998</v>
      </c>
      <c r="BQ144" s="423">
        <f t="shared" si="379"/>
        <v>66.0937499999998</v>
      </c>
      <c r="BR144" s="423">
        <f t="shared" si="379"/>
        <v>11.25</v>
      </c>
      <c r="BT144" s="59">
        <f t="shared" ref="BT144:CB144" si="380">BT143-BJ144</f>
        <v>89239.4218750001</v>
      </c>
      <c r="BU144" s="59">
        <f t="shared" si="380"/>
        <v>89239.4218750001</v>
      </c>
      <c r="BV144" s="59">
        <f t="shared" si="380"/>
        <v>89239.4218750001</v>
      </c>
      <c r="BW144" s="59">
        <f t="shared" si="380"/>
        <v>89239.4218750001</v>
      </c>
      <c r="BX144" s="59">
        <f t="shared" si="380"/>
        <v>89239.4218750001</v>
      </c>
      <c r="BY144" s="59">
        <f t="shared" si="380"/>
        <v>89239.4218750001</v>
      </c>
      <c r="BZ144" s="59">
        <f t="shared" si="380"/>
        <v>89239.4218750001</v>
      </c>
      <c r="CA144" s="59">
        <f t="shared" si="380"/>
        <v>89239.4218750001</v>
      </c>
      <c r="CB144" s="59">
        <f t="shared" si="380"/>
        <v>15141.625</v>
      </c>
    </row>
    <row r="145" s="371" customFormat="1" ht="27" hidden="1" customHeight="1" spans="1:82">
      <c r="A145" s="410">
        <v>45770</v>
      </c>
      <c r="B145" s="411" t="s">
        <v>882</v>
      </c>
      <c r="C145" s="412" t="s">
        <v>883</v>
      </c>
      <c r="D145" s="413">
        <v>4500163833</v>
      </c>
      <c r="E145" s="412" t="s">
        <v>884</v>
      </c>
      <c r="F145" s="411" t="s">
        <v>885</v>
      </c>
      <c r="G145" s="414" t="s">
        <v>78</v>
      </c>
      <c r="H145" s="411" t="s">
        <v>79</v>
      </c>
      <c r="I145" s="415">
        <v>1080</v>
      </c>
      <c r="J145" s="415">
        <v>0</v>
      </c>
      <c r="K145" s="415">
        <v>54</v>
      </c>
      <c r="L145" s="415">
        <f t="shared" si="374"/>
        <v>20</v>
      </c>
      <c r="M145" s="416">
        <v>45838</v>
      </c>
      <c r="N145" s="416">
        <v>45842</v>
      </c>
      <c r="O145" s="417"/>
      <c r="P145" s="417" t="s">
        <v>224</v>
      </c>
      <c r="Q145" s="417"/>
      <c r="R145" s="417">
        <v>45812</v>
      </c>
      <c r="S145" s="417" t="s">
        <v>80</v>
      </c>
      <c r="T145" s="417" t="s">
        <v>886</v>
      </c>
      <c r="U145" s="417"/>
      <c r="V145" s="420" t="s">
        <v>887</v>
      </c>
      <c r="W145" s="416" t="s">
        <v>228</v>
      </c>
      <c r="X145" s="421">
        <v>0.7913</v>
      </c>
      <c r="Y145" s="415">
        <f t="shared" si="349"/>
        <v>854.604</v>
      </c>
      <c r="Z145" s="416" t="s">
        <v>888</v>
      </c>
      <c r="AA145" s="420">
        <f>1080</f>
        <v>1080</v>
      </c>
      <c r="AB145" s="420">
        <f t="shared" si="275"/>
        <v>0</v>
      </c>
      <c r="AC145" s="417" t="s">
        <v>113</v>
      </c>
      <c r="AD145" s="417" t="s">
        <v>114</v>
      </c>
      <c r="AE145" s="416" t="s">
        <v>230</v>
      </c>
      <c r="AF145" s="416" t="s">
        <v>115</v>
      </c>
      <c r="AG145" s="422">
        <f t="shared" si="366"/>
        <v>1080</v>
      </c>
      <c r="AH145" s="422">
        <f t="shared" si="367"/>
        <v>1080</v>
      </c>
      <c r="AI145" s="422"/>
      <c r="AJ145" s="422"/>
      <c r="AK145" s="422"/>
      <c r="AL145" s="422">
        <f>I145</f>
        <v>1080</v>
      </c>
      <c r="AM145" s="422"/>
      <c r="AN145" s="422"/>
      <c r="AO145" s="422">
        <f t="shared" si="369"/>
        <v>1080</v>
      </c>
      <c r="AP145" s="422"/>
      <c r="AQ145" s="422"/>
      <c r="AR145" s="422">
        <f>I145/27</f>
        <v>40</v>
      </c>
      <c r="AS145" s="422"/>
      <c r="AT145" s="422"/>
      <c r="AU145" s="422"/>
      <c r="AV145" s="422"/>
      <c r="AW145" s="422"/>
      <c r="AX145" s="422"/>
      <c r="AY145" s="422"/>
      <c r="AZ145" s="422"/>
      <c r="BA145" s="422"/>
      <c r="BB145" s="422"/>
      <c r="BC145" s="422"/>
      <c r="BD145" s="422"/>
      <c r="BE145" s="422"/>
      <c r="BF145" s="422"/>
      <c r="BG145" s="422"/>
      <c r="BH145" s="422"/>
      <c r="BI145" s="422"/>
      <c r="BJ145" s="423">
        <f t="shared" ref="BJ145:BR145" si="381">$I145*BJ$2</f>
        <v>132.1875</v>
      </c>
      <c r="BK145" s="423">
        <f t="shared" si="381"/>
        <v>132.1875</v>
      </c>
      <c r="BL145" s="423">
        <f t="shared" si="381"/>
        <v>132.1875</v>
      </c>
      <c r="BM145" s="423">
        <f t="shared" si="381"/>
        <v>132.1875</v>
      </c>
      <c r="BN145" s="423">
        <f t="shared" si="381"/>
        <v>132.1875</v>
      </c>
      <c r="BO145" s="423">
        <f t="shared" si="381"/>
        <v>132.1875</v>
      </c>
      <c r="BP145" s="423">
        <f t="shared" si="381"/>
        <v>132.1875</v>
      </c>
      <c r="BQ145" s="423">
        <f t="shared" si="381"/>
        <v>132.1875</v>
      </c>
      <c r="BR145" s="423">
        <f t="shared" si="381"/>
        <v>22.5</v>
      </c>
      <c r="BT145" s="59">
        <f t="shared" ref="BT145:CB145" si="382">BT144-BJ145</f>
        <v>89107.2343750001</v>
      </c>
      <c r="BU145" s="59">
        <f t="shared" si="382"/>
        <v>89107.2343750001</v>
      </c>
      <c r="BV145" s="59">
        <f t="shared" si="382"/>
        <v>89107.2343750001</v>
      </c>
      <c r="BW145" s="59">
        <f t="shared" si="382"/>
        <v>89107.2343750001</v>
      </c>
      <c r="BX145" s="59">
        <f t="shared" si="382"/>
        <v>89107.2343750001</v>
      </c>
      <c r="BY145" s="59">
        <f t="shared" si="382"/>
        <v>89107.2343750001</v>
      </c>
      <c r="BZ145" s="59">
        <f t="shared" si="382"/>
        <v>89107.2343750001</v>
      </c>
      <c r="CA145" s="59">
        <f t="shared" si="382"/>
        <v>89107.2343750001</v>
      </c>
      <c r="CB145" s="59">
        <f t="shared" si="382"/>
        <v>15119.125</v>
      </c>
    </row>
    <row r="146" s="371" customFormat="1" ht="27" hidden="1" customHeight="1" spans="1:82">
      <c r="A146" s="410">
        <v>45792</v>
      </c>
      <c r="B146" s="411" t="s">
        <v>600</v>
      </c>
      <c r="C146" s="412" t="s">
        <v>117</v>
      </c>
      <c r="D146" s="413">
        <v>4500166541</v>
      </c>
      <c r="E146" s="533" t="s">
        <v>889</v>
      </c>
      <c r="F146" s="411" t="s">
        <v>890</v>
      </c>
      <c r="G146" s="414" t="s">
        <v>258</v>
      </c>
      <c r="H146" s="411" t="s">
        <v>259</v>
      </c>
      <c r="I146" s="415">
        <v>1152</v>
      </c>
      <c r="J146" s="415">
        <v>0</v>
      </c>
      <c r="K146" s="415">
        <v>1152</v>
      </c>
      <c r="L146" s="415">
        <f t="shared" si="374"/>
        <v>1</v>
      </c>
      <c r="M146" s="416">
        <v>45847</v>
      </c>
      <c r="N146" s="416">
        <v>45843</v>
      </c>
      <c r="O146" s="417" t="s">
        <v>891</v>
      </c>
      <c r="P146" s="417" t="s">
        <v>224</v>
      </c>
      <c r="Q146" s="417" t="s">
        <v>892</v>
      </c>
      <c r="R146" s="417" t="s">
        <v>331</v>
      </c>
      <c r="S146" s="417" t="s">
        <v>191</v>
      </c>
      <c r="T146" s="417" t="s">
        <v>605</v>
      </c>
      <c r="U146" s="417"/>
      <c r="V146" s="420" t="s">
        <v>606</v>
      </c>
      <c r="W146" s="416" t="s">
        <v>607</v>
      </c>
      <c r="X146" s="421">
        <v>555.88</v>
      </c>
      <c r="Y146" s="415">
        <f>X146*L146</f>
        <v>555.88</v>
      </c>
      <c r="Z146" s="416" t="s">
        <v>893</v>
      </c>
      <c r="AA146" s="420">
        <v>1152</v>
      </c>
      <c r="AB146" s="420">
        <f t="shared" si="275"/>
        <v>0</v>
      </c>
      <c r="AC146" s="417"/>
      <c r="AD146" s="417" t="s">
        <v>114</v>
      </c>
      <c r="AE146" s="416" t="s">
        <v>258</v>
      </c>
      <c r="AF146" s="416" t="s">
        <v>115</v>
      </c>
      <c r="AG146" s="422">
        <f t="shared" si="366"/>
        <v>1152</v>
      </c>
      <c r="AH146" s="422">
        <f t="shared" si="367"/>
        <v>1152</v>
      </c>
      <c r="AI146" s="422"/>
      <c r="AJ146" s="422"/>
      <c r="AK146" s="422">
        <f t="shared" ref="AK146:AK157" si="383">I146</f>
        <v>1152</v>
      </c>
      <c r="AL146" s="422"/>
      <c r="AM146" s="422"/>
      <c r="AN146" s="422"/>
      <c r="AO146" s="422">
        <f t="shared" si="369"/>
        <v>1152</v>
      </c>
      <c r="AP146" s="422"/>
      <c r="AQ146" s="422"/>
      <c r="AR146" s="422"/>
      <c r="AS146" s="422"/>
      <c r="AT146" s="422"/>
      <c r="AU146" s="422"/>
      <c r="AV146" s="422">
        <f>I146/12</f>
        <v>96</v>
      </c>
      <c r="AW146" s="422"/>
      <c r="AX146" s="422"/>
      <c r="AY146" s="422"/>
      <c r="AZ146" s="422"/>
      <c r="BA146" s="422"/>
      <c r="BB146" s="422"/>
      <c r="BC146" s="422"/>
      <c r="BD146" s="422"/>
      <c r="BE146" s="422"/>
      <c r="BF146" s="422"/>
      <c r="BG146" s="422"/>
      <c r="BH146" s="422"/>
      <c r="BI146" s="422"/>
      <c r="BJ146" s="423">
        <f t="shared" ref="BJ146:BR146" si="384">$I146*BJ$2</f>
        <v>141</v>
      </c>
      <c r="BK146" s="423">
        <f t="shared" si="384"/>
        <v>141</v>
      </c>
      <c r="BL146" s="423">
        <f t="shared" si="384"/>
        <v>141</v>
      </c>
      <c r="BM146" s="423">
        <f t="shared" si="384"/>
        <v>141</v>
      </c>
      <c r="BN146" s="423">
        <f t="shared" si="384"/>
        <v>141</v>
      </c>
      <c r="BO146" s="423">
        <f t="shared" si="384"/>
        <v>141</v>
      </c>
      <c r="BP146" s="423">
        <f t="shared" si="384"/>
        <v>141</v>
      </c>
      <c r="BQ146" s="423">
        <f t="shared" si="384"/>
        <v>141</v>
      </c>
      <c r="BR146" s="423">
        <f t="shared" si="384"/>
        <v>24</v>
      </c>
      <c r="BT146" s="59">
        <f t="shared" ref="BT146:CB146" si="385">BT145-BJ146</f>
        <v>88966.2343750001</v>
      </c>
      <c r="BU146" s="59">
        <f t="shared" si="385"/>
        <v>88966.2343750001</v>
      </c>
      <c r="BV146" s="59">
        <f t="shared" si="385"/>
        <v>88966.2343750001</v>
      </c>
      <c r="BW146" s="59">
        <f t="shared" si="385"/>
        <v>88966.2343750001</v>
      </c>
      <c r="BX146" s="59">
        <f t="shared" si="385"/>
        <v>88966.2343750001</v>
      </c>
      <c r="BY146" s="59">
        <f t="shared" si="385"/>
        <v>88966.2343750001</v>
      </c>
      <c r="BZ146" s="59">
        <f t="shared" si="385"/>
        <v>88966.2343750001</v>
      </c>
      <c r="CA146" s="59">
        <f t="shared" si="385"/>
        <v>88966.2343750001</v>
      </c>
      <c r="CB146" s="59">
        <f t="shared" si="385"/>
        <v>15095.125</v>
      </c>
    </row>
    <row r="147" s="371" customFormat="1" ht="27" hidden="1" customHeight="1" spans="1:82">
      <c r="A147" s="410">
        <v>45792</v>
      </c>
      <c r="B147" s="411" t="s">
        <v>600</v>
      </c>
      <c r="C147" s="412" t="s">
        <v>117</v>
      </c>
      <c r="D147" s="413">
        <v>4500166541</v>
      </c>
      <c r="E147" s="533" t="s">
        <v>894</v>
      </c>
      <c r="F147" s="411" t="s">
        <v>895</v>
      </c>
      <c r="G147" s="414" t="s">
        <v>258</v>
      </c>
      <c r="H147" s="411" t="s">
        <v>259</v>
      </c>
      <c r="I147" s="415">
        <v>1152</v>
      </c>
      <c r="J147" s="415">
        <v>0</v>
      </c>
      <c r="K147" s="415">
        <v>1152</v>
      </c>
      <c r="L147" s="415">
        <f t="shared" si="374"/>
        <v>1</v>
      </c>
      <c r="M147" s="416">
        <v>45847</v>
      </c>
      <c r="N147" s="416">
        <v>45843</v>
      </c>
      <c r="O147" s="417" t="s">
        <v>896</v>
      </c>
      <c r="P147" s="417" t="s">
        <v>224</v>
      </c>
      <c r="Q147" s="417" t="s">
        <v>892</v>
      </c>
      <c r="R147" s="417" t="s">
        <v>331</v>
      </c>
      <c r="S147" s="417" t="s">
        <v>191</v>
      </c>
      <c r="T147" s="417" t="s">
        <v>605</v>
      </c>
      <c r="U147" s="417"/>
      <c r="V147" s="420" t="s">
        <v>606</v>
      </c>
      <c r="W147" s="416" t="s">
        <v>607</v>
      </c>
      <c r="X147" s="421">
        <v>555.88</v>
      </c>
      <c r="Y147" s="415">
        <f>X147*L147</f>
        <v>555.88</v>
      </c>
      <c r="Z147" s="416" t="s">
        <v>897</v>
      </c>
      <c r="AA147" s="420">
        <v>1152</v>
      </c>
      <c r="AB147" s="420">
        <f t="shared" si="275"/>
        <v>0</v>
      </c>
      <c r="AC147" s="417"/>
      <c r="AD147" s="417" t="s">
        <v>114</v>
      </c>
      <c r="AE147" s="416" t="s">
        <v>258</v>
      </c>
      <c r="AF147" s="416" t="s">
        <v>115</v>
      </c>
      <c r="AG147" s="422">
        <f t="shared" si="366"/>
        <v>1152</v>
      </c>
      <c r="AH147" s="422">
        <f t="shared" si="367"/>
        <v>1152</v>
      </c>
      <c r="AI147" s="422"/>
      <c r="AJ147" s="422"/>
      <c r="AK147" s="422">
        <f t="shared" si="383"/>
        <v>1152</v>
      </c>
      <c r="AL147" s="422"/>
      <c r="AM147" s="422"/>
      <c r="AN147" s="422"/>
      <c r="AO147" s="422">
        <f t="shared" si="369"/>
        <v>1152</v>
      </c>
      <c r="AP147" s="422"/>
      <c r="AQ147" s="422"/>
      <c r="AR147" s="422"/>
      <c r="AS147" s="422"/>
      <c r="AT147" s="422"/>
      <c r="AU147" s="422"/>
      <c r="AV147" s="422">
        <f>I147/12</f>
        <v>96</v>
      </c>
      <c r="AW147" s="422"/>
      <c r="AX147" s="422"/>
      <c r="AY147" s="422"/>
      <c r="AZ147" s="422"/>
      <c r="BA147" s="422"/>
      <c r="BB147" s="422"/>
      <c r="BC147" s="422"/>
      <c r="BD147" s="422"/>
      <c r="BE147" s="422"/>
      <c r="BF147" s="422"/>
      <c r="BG147" s="422"/>
      <c r="BH147" s="422"/>
      <c r="BI147" s="422"/>
      <c r="BJ147" s="423">
        <f t="shared" ref="BJ147:BR147" si="386">$I147*BJ$2</f>
        <v>141</v>
      </c>
      <c r="BK147" s="423">
        <f t="shared" si="386"/>
        <v>141</v>
      </c>
      <c r="BL147" s="423">
        <f t="shared" si="386"/>
        <v>141</v>
      </c>
      <c r="BM147" s="423">
        <f t="shared" si="386"/>
        <v>141</v>
      </c>
      <c r="BN147" s="423">
        <f t="shared" si="386"/>
        <v>141</v>
      </c>
      <c r="BO147" s="423">
        <f t="shared" si="386"/>
        <v>141</v>
      </c>
      <c r="BP147" s="423">
        <f t="shared" si="386"/>
        <v>141</v>
      </c>
      <c r="BQ147" s="423">
        <f t="shared" si="386"/>
        <v>141</v>
      </c>
      <c r="BR147" s="423">
        <f t="shared" si="386"/>
        <v>24</v>
      </c>
      <c r="BT147" s="59">
        <f t="shared" ref="BT147:CB147" si="387">BT146-BJ147</f>
        <v>88825.2343750001</v>
      </c>
      <c r="BU147" s="59">
        <f t="shared" si="387"/>
        <v>88825.2343750001</v>
      </c>
      <c r="BV147" s="59">
        <f t="shared" si="387"/>
        <v>88825.2343750001</v>
      </c>
      <c r="BW147" s="59">
        <f t="shared" si="387"/>
        <v>88825.2343750001</v>
      </c>
      <c r="BX147" s="59">
        <f t="shared" si="387"/>
        <v>88825.2343750001</v>
      </c>
      <c r="BY147" s="59">
        <f t="shared" si="387"/>
        <v>88825.2343750001</v>
      </c>
      <c r="BZ147" s="59">
        <f t="shared" si="387"/>
        <v>88825.2343750001</v>
      </c>
      <c r="CA147" s="59">
        <f t="shared" si="387"/>
        <v>88825.2343750001</v>
      </c>
      <c r="CB147" s="59">
        <f t="shared" si="387"/>
        <v>15071.125</v>
      </c>
    </row>
    <row r="148" s="371" customFormat="1" ht="27" hidden="1" customHeight="1" spans="1:82">
      <c r="A148" s="410">
        <v>45803</v>
      </c>
      <c r="B148" s="411" t="s">
        <v>803</v>
      </c>
      <c r="C148" s="412" t="s">
        <v>104</v>
      </c>
      <c r="D148" s="413">
        <v>4500168029</v>
      </c>
      <c r="E148" s="412" t="s">
        <v>898</v>
      </c>
      <c r="F148" s="411" t="s">
        <v>899</v>
      </c>
      <c r="G148" s="414" t="s">
        <v>94</v>
      </c>
      <c r="H148" s="411" t="s">
        <v>211</v>
      </c>
      <c r="I148" s="415">
        <v>1040</v>
      </c>
      <c r="J148" s="415">
        <v>0</v>
      </c>
      <c r="K148" s="415">
        <v>52</v>
      </c>
      <c r="L148" s="415">
        <f t="shared" si="374"/>
        <v>20</v>
      </c>
      <c r="M148" s="416">
        <v>45842</v>
      </c>
      <c r="N148" s="416">
        <f t="shared" ref="N148:N151" si="388">M148-4</f>
        <v>45838</v>
      </c>
      <c r="O148" s="417"/>
      <c r="P148" s="417" t="s">
        <v>107</v>
      </c>
      <c r="Q148" s="417" t="s">
        <v>763</v>
      </c>
      <c r="R148" s="509">
        <v>45803</v>
      </c>
      <c r="S148" s="417" t="s">
        <v>80</v>
      </c>
      <c r="T148" s="417" t="s">
        <v>900</v>
      </c>
      <c r="U148" s="417"/>
      <c r="V148" s="420" t="s">
        <v>901</v>
      </c>
      <c r="W148" s="416" t="s">
        <v>809</v>
      </c>
      <c r="X148" s="421">
        <v>0.8434</v>
      </c>
      <c r="Y148" s="415">
        <f t="shared" ref="Y148:Y156" si="389">X148*I148</f>
        <v>877.136</v>
      </c>
      <c r="Z148" s="416" t="s">
        <v>902</v>
      </c>
      <c r="AA148" s="420">
        <v>1040</v>
      </c>
      <c r="AB148" s="420">
        <f t="shared" si="275"/>
        <v>0</v>
      </c>
      <c r="AC148" s="506" t="s">
        <v>113</v>
      </c>
      <c r="AD148" s="417" t="s">
        <v>114</v>
      </c>
      <c r="AE148" s="416" t="s">
        <v>94</v>
      </c>
      <c r="AF148" s="416" t="s">
        <v>115</v>
      </c>
      <c r="AG148" s="422">
        <f t="shared" si="366"/>
        <v>1040</v>
      </c>
      <c r="AH148" s="422">
        <f t="shared" si="367"/>
        <v>1040</v>
      </c>
      <c r="AI148" s="422"/>
      <c r="AJ148" s="422"/>
      <c r="AK148" s="422">
        <f t="shared" si="383"/>
        <v>1040</v>
      </c>
      <c r="AL148" s="422"/>
      <c r="AM148" s="422"/>
      <c r="AN148" s="422"/>
      <c r="AO148" s="422">
        <f t="shared" si="369"/>
        <v>1040</v>
      </c>
      <c r="AP148" s="422"/>
      <c r="AQ148" s="422"/>
      <c r="AR148" s="422"/>
      <c r="AS148" s="422"/>
      <c r="AT148" s="422">
        <f t="shared" ref="AT148:AT152" si="390">I148/13</f>
        <v>80</v>
      </c>
      <c r="AU148" s="422"/>
      <c r="AV148" s="422"/>
      <c r="AW148" s="422"/>
      <c r="AX148" s="422"/>
      <c r="AY148" s="422"/>
      <c r="AZ148" s="422"/>
      <c r="BA148" s="422"/>
      <c r="BB148" s="422"/>
      <c r="BC148" s="422"/>
      <c r="BD148" s="422"/>
      <c r="BE148" s="422"/>
      <c r="BF148" s="422"/>
      <c r="BG148" s="422"/>
      <c r="BH148" s="422"/>
      <c r="BI148" s="422"/>
      <c r="BJ148" s="423">
        <f t="shared" ref="BJ148:BR148" si="391">$I148*BJ$2</f>
        <v>127.291666666666</v>
      </c>
      <c r="BK148" s="423">
        <f t="shared" si="391"/>
        <v>127.291666666666</v>
      </c>
      <c r="BL148" s="423">
        <f t="shared" si="391"/>
        <v>127.291666666666</v>
      </c>
      <c r="BM148" s="423">
        <f t="shared" si="391"/>
        <v>127.291666666666</v>
      </c>
      <c r="BN148" s="423">
        <f t="shared" si="391"/>
        <v>127.291666666666</v>
      </c>
      <c r="BO148" s="423">
        <f t="shared" si="391"/>
        <v>127.291666666666</v>
      </c>
      <c r="BP148" s="423">
        <f t="shared" si="391"/>
        <v>127.291666666666</v>
      </c>
      <c r="BQ148" s="423">
        <f t="shared" si="391"/>
        <v>127.291666666666</v>
      </c>
      <c r="BR148" s="423">
        <f t="shared" si="391"/>
        <v>21.6666666666666</v>
      </c>
      <c r="BT148" s="59">
        <f t="shared" ref="BT148:CB148" si="392">BT147-BJ148</f>
        <v>88697.9427083334</v>
      </c>
      <c r="BU148" s="59">
        <f t="shared" si="392"/>
        <v>88697.9427083334</v>
      </c>
      <c r="BV148" s="59">
        <f t="shared" si="392"/>
        <v>88697.9427083334</v>
      </c>
      <c r="BW148" s="59">
        <f t="shared" si="392"/>
        <v>88697.9427083334</v>
      </c>
      <c r="BX148" s="59">
        <f t="shared" si="392"/>
        <v>88697.9427083334</v>
      </c>
      <c r="BY148" s="59">
        <f t="shared" si="392"/>
        <v>88697.9427083334</v>
      </c>
      <c r="BZ148" s="59">
        <f t="shared" si="392"/>
        <v>88697.9427083334</v>
      </c>
      <c r="CA148" s="59">
        <f t="shared" si="392"/>
        <v>88697.9427083334</v>
      </c>
      <c r="CB148" s="59">
        <f t="shared" si="392"/>
        <v>15049.4583333333</v>
      </c>
    </row>
    <row r="149" s="371" customFormat="1" ht="27" hidden="1" customHeight="1" spans="1:82">
      <c r="A149" s="410">
        <v>45803</v>
      </c>
      <c r="B149" s="411" t="s">
        <v>803</v>
      </c>
      <c r="C149" s="412" t="s">
        <v>104</v>
      </c>
      <c r="D149" s="413">
        <v>4500168029</v>
      </c>
      <c r="E149" s="412" t="s">
        <v>903</v>
      </c>
      <c r="F149" s="411" t="s">
        <v>904</v>
      </c>
      <c r="G149" s="414" t="s">
        <v>94</v>
      </c>
      <c r="H149" s="411" t="s">
        <v>211</v>
      </c>
      <c r="I149" s="415">
        <v>936</v>
      </c>
      <c r="J149" s="415">
        <v>0</v>
      </c>
      <c r="K149" s="415">
        <v>52</v>
      </c>
      <c r="L149" s="415">
        <f t="shared" si="374"/>
        <v>18</v>
      </c>
      <c r="M149" s="416">
        <v>45842</v>
      </c>
      <c r="N149" s="416">
        <f t="shared" si="388"/>
        <v>45838</v>
      </c>
      <c r="O149" s="417"/>
      <c r="P149" s="417" t="s">
        <v>107</v>
      </c>
      <c r="Q149" s="417" t="s">
        <v>763</v>
      </c>
      <c r="R149" s="509">
        <v>45803</v>
      </c>
      <c r="S149" s="417" t="s">
        <v>80</v>
      </c>
      <c r="T149" s="417" t="s">
        <v>900</v>
      </c>
      <c r="U149" s="417"/>
      <c r="V149" s="420" t="s">
        <v>901</v>
      </c>
      <c r="W149" s="416" t="s">
        <v>809</v>
      </c>
      <c r="X149" s="421">
        <v>0.8434</v>
      </c>
      <c r="Y149" s="415">
        <f t="shared" si="389"/>
        <v>789.4224</v>
      </c>
      <c r="Z149" s="416" t="s">
        <v>905</v>
      </c>
      <c r="AA149" s="420">
        <v>936</v>
      </c>
      <c r="AB149" s="420">
        <f t="shared" si="275"/>
        <v>0</v>
      </c>
      <c r="AC149" s="513"/>
      <c r="AD149" s="417" t="s">
        <v>114</v>
      </c>
      <c r="AE149" s="416" t="s">
        <v>94</v>
      </c>
      <c r="AF149" s="416" t="s">
        <v>115</v>
      </c>
      <c r="AG149" s="422">
        <f t="shared" si="366"/>
        <v>936</v>
      </c>
      <c r="AH149" s="422">
        <f t="shared" si="367"/>
        <v>936</v>
      </c>
      <c r="AI149" s="422"/>
      <c r="AJ149" s="422"/>
      <c r="AK149" s="422">
        <f t="shared" si="383"/>
        <v>936</v>
      </c>
      <c r="AL149" s="422"/>
      <c r="AM149" s="422"/>
      <c r="AN149" s="422"/>
      <c r="AO149" s="422">
        <f t="shared" si="369"/>
        <v>936</v>
      </c>
      <c r="AP149" s="422"/>
      <c r="AQ149" s="422"/>
      <c r="AR149" s="422"/>
      <c r="AS149" s="422"/>
      <c r="AT149" s="422">
        <f t="shared" si="390"/>
        <v>72</v>
      </c>
      <c r="AU149" s="422"/>
      <c r="AV149" s="422"/>
      <c r="AW149" s="422"/>
      <c r="AX149" s="422"/>
      <c r="AY149" s="422"/>
      <c r="AZ149" s="422"/>
      <c r="BA149" s="422"/>
      <c r="BB149" s="422"/>
      <c r="BC149" s="422"/>
      <c r="BD149" s="422"/>
      <c r="BE149" s="422"/>
      <c r="BF149" s="422"/>
      <c r="BG149" s="422"/>
      <c r="BH149" s="422"/>
      <c r="BI149" s="422"/>
      <c r="BJ149" s="423">
        <f t="shared" ref="BJ149:BR149" si="393">$I149*BJ$2</f>
        <v>114.5625</v>
      </c>
      <c r="BK149" s="423">
        <f t="shared" si="393"/>
        <v>114.5625</v>
      </c>
      <c r="BL149" s="423">
        <f t="shared" si="393"/>
        <v>114.5625</v>
      </c>
      <c r="BM149" s="423">
        <f t="shared" si="393"/>
        <v>114.5625</v>
      </c>
      <c r="BN149" s="423">
        <f t="shared" si="393"/>
        <v>114.5625</v>
      </c>
      <c r="BO149" s="423">
        <f t="shared" si="393"/>
        <v>114.5625</v>
      </c>
      <c r="BP149" s="423">
        <f t="shared" si="393"/>
        <v>114.5625</v>
      </c>
      <c r="BQ149" s="423">
        <f t="shared" si="393"/>
        <v>114.5625</v>
      </c>
      <c r="BR149" s="423">
        <f t="shared" si="393"/>
        <v>19.5</v>
      </c>
      <c r="BT149" s="59">
        <f t="shared" ref="BT149:CB149" si="394">BT148-BJ149</f>
        <v>88583.3802083334</v>
      </c>
      <c r="BU149" s="59">
        <f t="shared" si="394"/>
        <v>88583.3802083334</v>
      </c>
      <c r="BV149" s="59">
        <f t="shared" si="394"/>
        <v>88583.3802083334</v>
      </c>
      <c r="BW149" s="59">
        <f t="shared" si="394"/>
        <v>88583.3802083334</v>
      </c>
      <c r="BX149" s="59">
        <f t="shared" si="394"/>
        <v>88583.3802083334</v>
      </c>
      <c r="BY149" s="59">
        <f t="shared" si="394"/>
        <v>88583.3802083334</v>
      </c>
      <c r="BZ149" s="59">
        <f t="shared" si="394"/>
        <v>88583.3802083334</v>
      </c>
      <c r="CA149" s="59">
        <f t="shared" si="394"/>
        <v>88583.3802083334</v>
      </c>
      <c r="CB149" s="59">
        <f t="shared" si="394"/>
        <v>15029.9583333333</v>
      </c>
    </row>
    <row r="150" s="371" customFormat="1" ht="27" hidden="1" customHeight="1" spans="1:82">
      <c r="A150" s="410">
        <v>45803</v>
      </c>
      <c r="B150" s="411" t="s">
        <v>803</v>
      </c>
      <c r="C150" s="412" t="s">
        <v>104</v>
      </c>
      <c r="D150" s="413">
        <v>4500168029</v>
      </c>
      <c r="E150" s="412" t="s">
        <v>906</v>
      </c>
      <c r="F150" s="411" t="s">
        <v>907</v>
      </c>
      <c r="G150" s="414" t="s">
        <v>94</v>
      </c>
      <c r="H150" s="411" t="s">
        <v>211</v>
      </c>
      <c r="I150" s="415">
        <v>728</v>
      </c>
      <c r="J150" s="415">
        <v>0</v>
      </c>
      <c r="K150" s="415">
        <v>52</v>
      </c>
      <c r="L150" s="415">
        <f t="shared" si="374"/>
        <v>14</v>
      </c>
      <c r="M150" s="416">
        <v>45842</v>
      </c>
      <c r="N150" s="416">
        <f t="shared" si="388"/>
        <v>45838</v>
      </c>
      <c r="O150" s="417"/>
      <c r="P150" s="417" t="s">
        <v>107</v>
      </c>
      <c r="Q150" s="417" t="s">
        <v>763</v>
      </c>
      <c r="R150" s="509">
        <v>45803</v>
      </c>
      <c r="S150" s="417" t="s">
        <v>80</v>
      </c>
      <c r="T150" s="417" t="s">
        <v>900</v>
      </c>
      <c r="U150" s="417"/>
      <c r="V150" s="420" t="s">
        <v>901</v>
      </c>
      <c r="W150" s="416" t="s">
        <v>809</v>
      </c>
      <c r="X150" s="421">
        <v>0.8434</v>
      </c>
      <c r="Y150" s="415">
        <f t="shared" si="389"/>
        <v>613.9952</v>
      </c>
      <c r="Z150" s="416" t="s">
        <v>908</v>
      </c>
      <c r="AA150" s="420">
        <v>728</v>
      </c>
      <c r="AB150" s="420">
        <f t="shared" si="275"/>
        <v>0</v>
      </c>
      <c r="AC150" s="513"/>
      <c r="AD150" s="417" t="s">
        <v>114</v>
      </c>
      <c r="AE150" s="416" t="s">
        <v>94</v>
      </c>
      <c r="AF150" s="416" t="s">
        <v>115</v>
      </c>
      <c r="AG150" s="422">
        <f t="shared" si="366"/>
        <v>728</v>
      </c>
      <c r="AH150" s="422">
        <f t="shared" si="367"/>
        <v>728</v>
      </c>
      <c r="AI150" s="422"/>
      <c r="AJ150" s="422"/>
      <c r="AK150" s="422">
        <f t="shared" si="383"/>
        <v>728</v>
      </c>
      <c r="AL150" s="422"/>
      <c r="AM150" s="422"/>
      <c r="AN150" s="422"/>
      <c r="AO150" s="422">
        <f t="shared" si="369"/>
        <v>728</v>
      </c>
      <c r="AP150" s="422"/>
      <c r="AQ150" s="422"/>
      <c r="AR150" s="422"/>
      <c r="AS150" s="422"/>
      <c r="AT150" s="422">
        <f t="shared" si="390"/>
        <v>56</v>
      </c>
      <c r="AU150" s="422"/>
      <c r="AV150" s="422"/>
      <c r="AW150" s="422"/>
      <c r="AX150" s="422"/>
      <c r="AY150" s="422"/>
      <c r="AZ150" s="422"/>
      <c r="BA150" s="422"/>
      <c r="BB150" s="422"/>
      <c r="BC150" s="422"/>
      <c r="BD150" s="422"/>
      <c r="BE150" s="422"/>
      <c r="BF150" s="422"/>
      <c r="BG150" s="422"/>
      <c r="BH150" s="422"/>
      <c r="BI150" s="422"/>
      <c r="BJ150" s="423">
        <f t="shared" ref="BJ150:BR150" si="395">$I150*BJ$2</f>
        <v>89.1041666666664</v>
      </c>
      <c r="BK150" s="423">
        <f t="shared" si="395"/>
        <v>89.1041666666664</v>
      </c>
      <c r="BL150" s="423">
        <f t="shared" si="395"/>
        <v>89.1041666666664</v>
      </c>
      <c r="BM150" s="423">
        <f t="shared" si="395"/>
        <v>89.1041666666664</v>
      </c>
      <c r="BN150" s="423">
        <f t="shared" si="395"/>
        <v>89.1041666666664</v>
      </c>
      <c r="BO150" s="423">
        <f t="shared" si="395"/>
        <v>89.1041666666664</v>
      </c>
      <c r="BP150" s="423">
        <f t="shared" si="395"/>
        <v>89.1041666666664</v>
      </c>
      <c r="BQ150" s="423">
        <f t="shared" si="395"/>
        <v>89.1041666666664</v>
      </c>
      <c r="BR150" s="423">
        <f t="shared" si="395"/>
        <v>15.1666666666666</v>
      </c>
      <c r="BT150" s="59">
        <f t="shared" ref="BT150:CB150" si="396">BT149-BJ150</f>
        <v>88494.2760416667</v>
      </c>
      <c r="BU150" s="59">
        <f t="shared" si="396"/>
        <v>88494.2760416667</v>
      </c>
      <c r="BV150" s="59">
        <f t="shared" si="396"/>
        <v>88494.2760416667</v>
      </c>
      <c r="BW150" s="59">
        <f t="shared" si="396"/>
        <v>88494.2760416667</v>
      </c>
      <c r="BX150" s="59">
        <f t="shared" si="396"/>
        <v>88494.2760416667</v>
      </c>
      <c r="BY150" s="59">
        <f t="shared" si="396"/>
        <v>88494.2760416667</v>
      </c>
      <c r="BZ150" s="59">
        <f t="shared" si="396"/>
        <v>88494.2760416667</v>
      </c>
      <c r="CA150" s="59">
        <f t="shared" si="396"/>
        <v>88494.2760416667</v>
      </c>
      <c r="CB150" s="59">
        <f t="shared" si="396"/>
        <v>15014.7916666667</v>
      </c>
    </row>
    <row r="151" s="371" customFormat="1" ht="27" hidden="1" customHeight="1" spans="1:82">
      <c r="A151" s="410">
        <v>45803</v>
      </c>
      <c r="B151" s="411" t="s">
        <v>803</v>
      </c>
      <c r="C151" s="412" t="s">
        <v>104</v>
      </c>
      <c r="D151" s="413">
        <v>4500168029</v>
      </c>
      <c r="E151" s="412" t="s">
        <v>909</v>
      </c>
      <c r="F151" s="411" t="s">
        <v>910</v>
      </c>
      <c r="G151" s="414" t="s">
        <v>94</v>
      </c>
      <c r="H151" s="411" t="s">
        <v>211</v>
      </c>
      <c r="I151" s="415">
        <v>312</v>
      </c>
      <c r="J151" s="415">
        <v>0</v>
      </c>
      <c r="K151" s="415">
        <v>52</v>
      </c>
      <c r="L151" s="415">
        <f t="shared" si="374"/>
        <v>6</v>
      </c>
      <c r="M151" s="416">
        <v>45842</v>
      </c>
      <c r="N151" s="416">
        <f t="shared" si="388"/>
        <v>45838</v>
      </c>
      <c r="O151" s="417"/>
      <c r="P151" s="417" t="s">
        <v>107</v>
      </c>
      <c r="Q151" s="417" t="s">
        <v>763</v>
      </c>
      <c r="R151" s="509">
        <v>45803</v>
      </c>
      <c r="S151" s="417" t="s">
        <v>80</v>
      </c>
      <c r="T151" s="417" t="s">
        <v>900</v>
      </c>
      <c r="U151" s="417"/>
      <c r="V151" s="420" t="s">
        <v>901</v>
      </c>
      <c r="W151" s="416" t="s">
        <v>809</v>
      </c>
      <c r="X151" s="421">
        <v>0.8434</v>
      </c>
      <c r="Y151" s="415">
        <f t="shared" si="389"/>
        <v>263.1408</v>
      </c>
      <c r="Z151" s="416" t="s">
        <v>911</v>
      </c>
      <c r="AA151" s="420">
        <v>312</v>
      </c>
      <c r="AB151" s="420">
        <f t="shared" si="275"/>
        <v>0</v>
      </c>
      <c r="AC151" s="499"/>
      <c r="AD151" s="417" t="s">
        <v>114</v>
      </c>
      <c r="AE151" s="416" t="s">
        <v>94</v>
      </c>
      <c r="AF151" s="416" t="s">
        <v>115</v>
      </c>
      <c r="AG151" s="422">
        <f t="shared" si="366"/>
        <v>312</v>
      </c>
      <c r="AH151" s="422">
        <f t="shared" si="367"/>
        <v>312</v>
      </c>
      <c r="AI151" s="422"/>
      <c r="AJ151" s="422"/>
      <c r="AK151" s="422">
        <f t="shared" si="383"/>
        <v>312</v>
      </c>
      <c r="AL151" s="422"/>
      <c r="AM151" s="422"/>
      <c r="AN151" s="422"/>
      <c r="AO151" s="422">
        <f t="shared" si="369"/>
        <v>312</v>
      </c>
      <c r="AP151" s="422"/>
      <c r="AQ151" s="422"/>
      <c r="AR151" s="422"/>
      <c r="AS151" s="422"/>
      <c r="AT151" s="422">
        <f t="shared" si="390"/>
        <v>24</v>
      </c>
      <c r="AU151" s="422"/>
      <c r="AV151" s="422"/>
      <c r="AW151" s="422"/>
      <c r="AX151" s="422"/>
      <c r="AY151" s="422"/>
      <c r="AZ151" s="422"/>
      <c r="BA151" s="422"/>
      <c r="BB151" s="422"/>
      <c r="BC151" s="422"/>
      <c r="BD151" s="422"/>
      <c r="BE151" s="422"/>
      <c r="BF151" s="422"/>
      <c r="BG151" s="422"/>
      <c r="BH151" s="422"/>
      <c r="BI151" s="422"/>
      <c r="BJ151" s="423">
        <f t="shared" ref="BJ151:BR151" si="397">$I151*BJ$2</f>
        <v>38.1874999999999</v>
      </c>
      <c r="BK151" s="423">
        <f t="shared" si="397"/>
        <v>38.1874999999999</v>
      </c>
      <c r="BL151" s="423">
        <f t="shared" si="397"/>
        <v>38.1874999999999</v>
      </c>
      <c r="BM151" s="423">
        <f t="shared" si="397"/>
        <v>38.1874999999999</v>
      </c>
      <c r="BN151" s="423">
        <f t="shared" si="397"/>
        <v>38.1874999999999</v>
      </c>
      <c r="BO151" s="423">
        <f t="shared" si="397"/>
        <v>38.1874999999999</v>
      </c>
      <c r="BP151" s="423">
        <f t="shared" si="397"/>
        <v>38.1874999999999</v>
      </c>
      <c r="BQ151" s="423">
        <f t="shared" si="397"/>
        <v>38.1874999999999</v>
      </c>
      <c r="BR151" s="423">
        <f t="shared" si="397"/>
        <v>6.49999999999999</v>
      </c>
      <c r="BT151" s="59">
        <f t="shared" ref="BT151:CB151" si="398">BT150-BJ151</f>
        <v>88456.0885416667</v>
      </c>
      <c r="BU151" s="59">
        <f t="shared" si="398"/>
        <v>88456.0885416667</v>
      </c>
      <c r="BV151" s="59">
        <f t="shared" si="398"/>
        <v>88456.0885416667</v>
      </c>
      <c r="BW151" s="59">
        <f t="shared" si="398"/>
        <v>88456.0885416667</v>
      </c>
      <c r="BX151" s="59">
        <f t="shared" si="398"/>
        <v>88456.0885416667</v>
      </c>
      <c r="BY151" s="59">
        <f t="shared" si="398"/>
        <v>88456.0885416667</v>
      </c>
      <c r="BZ151" s="59">
        <f t="shared" si="398"/>
        <v>88456.0885416667</v>
      </c>
      <c r="CA151" s="59">
        <f t="shared" si="398"/>
        <v>88456.0885416667</v>
      </c>
      <c r="CB151" s="59">
        <f t="shared" si="398"/>
        <v>15008.2916666667</v>
      </c>
    </row>
    <row r="152" s="371" customFormat="1" ht="27" hidden="1" customHeight="1" spans="1:82">
      <c r="A152" s="410">
        <v>45797</v>
      </c>
      <c r="B152" s="411" t="s">
        <v>912</v>
      </c>
      <c r="C152" s="412" t="s">
        <v>521</v>
      </c>
      <c r="D152" s="413">
        <v>4500166910</v>
      </c>
      <c r="E152" s="412" t="s">
        <v>913</v>
      </c>
      <c r="F152" s="411" t="s">
        <v>914</v>
      </c>
      <c r="G152" s="414" t="s">
        <v>152</v>
      </c>
      <c r="H152" s="411" t="s">
        <v>153</v>
      </c>
      <c r="I152" s="415">
        <v>442</v>
      </c>
      <c r="J152" s="415">
        <v>0</v>
      </c>
      <c r="K152" s="415">
        <v>13</v>
      </c>
      <c r="L152" s="415">
        <f t="shared" si="374"/>
        <v>34</v>
      </c>
      <c r="M152" s="416">
        <v>45842</v>
      </c>
      <c r="N152" s="416">
        <v>45845</v>
      </c>
      <c r="O152" s="417" t="s">
        <v>915</v>
      </c>
      <c r="P152" s="417" t="s">
        <v>224</v>
      </c>
      <c r="Q152" s="417" t="s">
        <v>916</v>
      </c>
      <c r="R152" s="509">
        <v>45797</v>
      </c>
      <c r="S152" s="417" t="s">
        <v>191</v>
      </c>
      <c r="T152" s="417" t="s">
        <v>917</v>
      </c>
      <c r="U152" s="417"/>
      <c r="V152" s="420" t="s">
        <v>918</v>
      </c>
      <c r="W152" s="416" t="s">
        <v>273</v>
      </c>
      <c r="X152" s="421">
        <v>0.7985</v>
      </c>
      <c r="Y152" s="415">
        <f t="shared" si="389"/>
        <v>352.937</v>
      </c>
      <c r="Z152" s="416" t="s">
        <v>919</v>
      </c>
      <c r="AA152" s="420">
        <v>442</v>
      </c>
      <c r="AB152" s="420">
        <f t="shared" si="275"/>
        <v>0</v>
      </c>
      <c r="AC152" s="417" t="s">
        <v>113</v>
      </c>
      <c r="AD152" s="417" t="s">
        <v>114</v>
      </c>
      <c r="AE152" s="416" t="s">
        <v>152</v>
      </c>
      <c r="AF152" s="416" t="s">
        <v>115</v>
      </c>
      <c r="AG152" s="422">
        <f t="shared" si="366"/>
        <v>442</v>
      </c>
      <c r="AH152" s="422">
        <f t="shared" si="367"/>
        <v>442</v>
      </c>
      <c r="AI152" s="422"/>
      <c r="AJ152" s="422"/>
      <c r="AK152" s="422">
        <f t="shared" si="383"/>
        <v>442</v>
      </c>
      <c r="AL152" s="422"/>
      <c r="AM152" s="422"/>
      <c r="AN152" s="422"/>
      <c r="AO152" s="422">
        <f t="shared" si="369"/>
        <v>442</v>
      </c>
      <c r="AP152" s="422"/>
      <c r="AQ152" s="422"/>
      <c r="AR152" s="422"/>
      <c r="AS152" s="422"/>
      <c r="AT152" s="422">
        <f t="shared" si="390"/>
        <v>34</v>
      </c>
      <c r="AU152" s="422"/>
      <c r="AV152" s="422"/>
      <c r="AW152" s="422"/>
      <c r="AX152" s="422"/>
      <c r="AY152" s="422"/>
      <c r="AZ152" s="422"/>
      <c r="BA152" s="422"/>
      <c r="BB152" s="422"/>
      <c r="BC152" s="422"/>
      <c r="BD152" s="422"/>
      <c r="BE152" s="422"/>
      <c r="BF152" s="422"/>
      <c r="BG152" s="422"/>
      <c r="BH152" s="422"/>
      <c r="BI152" s="422"/>
      <c r="BJ152" s="423">
        <f t="shared" ref="BJ152:BR152" si="399">$I152*BJ$2</f>
        <v>54.0989583333332</v>
      </c>
      <c r="BK152" s="423">
        <f t="shared" si="399"/>
        <v>54.0989583333332</v>
      </c>
      <c r="BL152" s="423">
        <f t="shared" si="399"/>
        <v>54.0989583333332</v>
      </c>
      <c r="BM152" s="423">
        <f t="shared" si="399"/>
        <v>54.0989583333332</v>
      </c>
      <c r="BN152" s="423">
        <f t="shared" si="399"/>
        <v>54.0989583333332</v>
      </c>
      <c r="BO152" s="423">
        <f t="shared" si="399"/>
        <v>54.0989583333332</v>
      </c>
      <c r="BP152" s="423">
        <f t="shared" si="399"/>
        <v>54.0989583333332</v>
      </c>
      <c r="BQ152" s="423">
        <f t="shared" si="399"/>
        <v>54.0989583333332</v>
      </c>
      <c r="BR152" s="423">
        <f t="shared" si="399"/>
        <v>9.20833333333332</v>
      </c>
      <c r="BT152" s="59">
        <f t="shared" ref="BT152:CB152" si="400">BT151-BJ152</f>
        <v>88401.9895833334</v>
      </c>
      <c r="BU152" s="59">
        <f t="shared" si="400"/>
        <v>88401.9895833334</v>
      </c>
      <c r="BV152" s="59">
        <f t="shared" si="400"/>
        <v>88401.9895833334</v>
      </c>
      <c r="BW152" s="59">
        <f t="shared" si="400"/>
        <v>88401.9895833334</v>
      </c>
      <c r="BX152" s="59">
        <f t="shared" si="400"/>
        <v>88401.9895833334</v>
      </c>
      <c r="BY152" s="59">
        <f t="shared" si="400"/>
        <v>88401.9895833334</v>
      </c>
      <c r="BZ152" s="59">
        <f t="shared" si="400"/>
        <v>88401.9895833334</v>
      </c>
      <c r="CA152" s="59">
        <f t="shared" si="400"/>
        <v>88401.9895833334</v>
      </c>
      <c r="CB152" s="59">
        <f t="shared" si="400"/>
        <v>14999.0833333333</v>
      </c>
    </row>
    <row r="153" s="371" customFormat="1" ht="27" hidden="1" customHeight="1" spans="1:82">
      <c r="A153" s="410">
        <v>45799</v>
      </c>
      <c r="B153" s="411" t="s">
        <v>920</v>
      </c>
      <c r="C153" s="412" t="s">
        <v>117</v>
      </c>
      <c r="D153" s="413">
        <v>4500167544</v>
      </c>
      <c r="E153" s="412">
        <v>4648</v>
      </c>
      <c r="F153" s="411" t="s">
        <v>921</v>
      </c>
      <c r="G153" s="414" t="s">
        <v>131</v>
      </c>
      <c r="H153" s="411" t="s">
        <v>132</v>
      </c>
      <c r="I153" s="415">
        <v>2025</v>
      </c>
      <c r="J153" s="415">
        <v>0</v>
      </c>
      <c r="K153" s="415">
        <v>27</v>
      </c>
      <c r="L153" s="415">
        <f t="shared" si="374"/>
        <v>75</v>
      </c>
      <c r="M153" s="416">
        <v>45846</v>
      </c>
      <c r="N153" s="416">
        <v>45845</v>
      </c>
      <c r="O153" s="417"/>
      <c r="P153" s="417" t="s">
        <v>107</v>
      </c>
      <c r="Q153" s="417" t="s">
        <v>922</v>
      </c>
      <c r="R153" s="509">
        <v>45805</v>
      </c>
      <c r="S153" s="453" t="s">
        <v>80</v>
      </c>
      <c r="T153" s="453" t="s">
        <v>80</v>
      </c>
      <c r="U153" s="453"/>
      <c r="V153" s="420" t="s">
        <v>923</v>
      </c>
      <c r="W153" s="416" t="s">
        <v>395</v>
      </c>
      <c r="X153" s="421">
        <v>0.4549</v>
      </c>
      <c r="Y153" s="415">
        <f t="shared" si="389"/>
        <v>921.1725</v>
      </c>
      <c r="Z153" s="416" t="s">
        <v>924</v>
      </c>
      <c r="AA153" s="420">
        <v>2025</v>
      </c>
      <c r="AB153" s="420">
        <f t="shared" si="275"/>
        <v>0</v>
      </c>
      <c r="AC153" s="417" t="s">
        <v>80</v>
      </c>
      <c r="AD153" s="417" t="s">
        <v>114</v>
      </c>
      <c r="AE153" s="416" t="s">
        <v>131</v>
      </c>
      <c r="AF153" s="416" t="s">
        <v>115</v>
      </c>
      <c r="AG153" s="422">
        <f t="shared" si="366"/>
        <v>2025</v>
      </c>
      <c r="AH153" s="422">
        <f t="shared" si="367"/>
        <v>2025</v>
      </c>
      <c r="AI153" s="422"/>
      <c r="AJ153" s="422"/>
      <c r="AK153" s="422">
        <f t="shared" si="383"/>
        <v>2025</v>
      </c>
      <c r="AL153" s="422"/>
      <c r="AM153" s="422"/>
      <c r="AO153" s="422">
        <f t="shared" si="369"/>
        <v>2025</v>
      </c>
      <c r="AP153" s="422"/>
      <c r="AQ153" s="422">
        <f>I153/27</f>
        <v>75</v>
      </c>
      <c r="AR153" s="422"/>
      <c r="AS153" s="422"/>
      <c r="AT153" s="422"/>
      <c r="AU153" s="422"/>
      <c r="AV153" s="422"/>
      <c r="AW153" s="422"/>
      <c r="AX153" s="422"/>
      <c r="AY153" s="422"/>
      <c r="AZ153" s="422"/>
      <c r="BA153" s="422"/>
      <c r="BB153" s="422"/>
      <c r="BC153" s="422"/>
      <c r="BD153" s="422"/>
      <c r="BE153" s="422"/>
      <c r="BF153" s="422"/>
      <c r="BG153" s="422"/>
      <c r="BH153" s="422"/>
      <c r="BI153" s="422"/>
      <c r="BJ153" s="423">
        <f t="shared" ref="BJ153:BR153" si="401">$I153*BJ$2</f>
        <v>247.851562499999</v>
      </c>
      <c r="BK153" s="423">
        <f t="shared" si="401"/>
        <v>247.851562499999</v>
      </c>
      <c r="BL153" s="423">
        <f t="shared" si="401"/>
        <v>247.851562499999</v>
      </c>
      <c r="BM153" s="423">
        <f t="shared" si="401"/>
        <v>247.851562499999</v>
      </c>
      <c r="BN153" s="423">
        <f t="shared" si="401"/>
        <v>247.851562499999</v>
      </c>
      <c r="BO153" s="423">
        <f t="shared" si="401"/>
        <v>247.851562499999</v>
      </c>
      <c r="BP153" s="423">
        <f t="shared" si="401"/>
        <v>247.851562499999</v>
      </c>
      <c r="BQ153" s="423">
        <f t="shared" si="401"/>
        <v>247.851562499999</v>
      </c>
      <c r="BR153" s="423">
        <f t="shared" si="401"/>
        <v>42.1874999999999</v>
      </c>
      <c r="BT153" s="59">
        <f t="shared" ref="BT153:CB153" si="402">BT152-BJ153</f>
        <v>88154.1380208334</v>
      </c>
      <c r="BU153" s="59">
        <f t="shared" si="402"/>
        <v>88154.1380208334</v>
      </c>
      <c r="BV153" s="59">
        <f t="shared" si="402"/>
        <v>88154.1380208334</v>
      </c>
      <c r="BW153" s="59">
        <f t="shared" si="402"/>
        <v>88154.1380208334</v>
      </c>
      <c r="BX153" s="59">
        <f t="shared" si="402"/>
        <v>88154.1380208334</v>
      </c>
      <c r="BY153" s="59">
        <f t="shared" si="402"/>
        <v>88154.1380208334</v>
      </c>
      <c r="BZ153" s="59">
        <f t="shared" si="402"/>
        <v>88154.1380208334</v>
      </c>
      <c r="CA153" s="59">
        <f t="shared" si="402"/>
        <v>88154.1380208334</v>
      </c>
      <c r="CB153" s="59">
        <f t="shared" si="402"/>
        <v>14956.8958333333</v>
      </c>
    </row>
    <row r="154" s="371" customFormat="1" ht="27" hidden="1" customHeight="1" spans="1:82">
      <c r="A154" s="410">
        <v>45804</v>
      </c>
      <c r="B154" s="411" t="s">
        <v>460</v>
      </c>
      <c r="C154" s="412" t="s">
        <v>396</v>
      </c>
      <c r="D154" s="413">
        <v>4500167998</v>
      </c>
      <c r="E154" s="412" t="s">
        <v>925</v>
      </c>
      <c r="F154" s="411" t="s">
        <v>926</v>
      </c>
      <c r="G154" s="414" t="s">
        <v>463</v>
      </c>
      <c r="H154" s="411" t="s">
        <v>464</v>
      </c>
      <c r="I154" s="415">
        <v>540</v>
      </c>
      <c r="J154" s="415">
        <v>27</v>
      </c>
      <c r="K154" s="415">
        <v>54</v>
      </c>
      <c r="L154" s="415">
        <f t="shared" si="374"/>
        <v>10</v>
      </c>
      <c r="M154" s="416">
        <v>45847</v>
      </c>
      <c r="N154" s="416">
        <v>45845</v>
      </c>
      <c r="O154" s="417"/>
      <c r="P154" s="417" t="s">
        <v>224</v>
      </c>
      <c r="Q154" s="417" t="s">
        <v>849</v>
      </c>
      <c r="R154" s="509">
        <v>45814</v>
      </c>
      <c r="S154" s="417" t="s">
        <v>80</v>
      </c>
      <c r="T154" s="417" t="s">
        <v>80</v>
      </c>
      <c r="U154" s="417"/>
      <c r="V154" s="420" t="s">
        <v>927</v>
      </c>
      <c r="W154" s="416" t="s">
        <v>467</v>
      </c>
      <c r="X154" s="421">
        <v>0.8032</v>
      </c>
      <c r="Y154" s="415">
        <f t="shared" si="389"/>
        <v>433.728</v>
      </c>
      <c r="Z154" s="416" t="s">
        <v>928</v>
      </c>
      <c r="AA154" s="420">
        <f>540</f>
        <v>540</v>
      </c>
      <c r="AB154" s="420">
        <f t="shared" si="275"/>
        <v>0</v>
      </c>
      <c r="AC154" s="417" t="s">
        <v>80</v>
      </c>
      <c r="AD154" s="417" t="s">
        <v>114</v>
      </c>
      <c r="AE154" s="416" t="s">
        <v>463</v>
      </c>
      <c r="AF154" s="416" t="s">
        <v>115</v>
      </c>
      <c r="AG154" s="422">
        <f t="shared" si="366"/>
        <v>540</v>
      </c>
      <c r="AH154" s="422">
        <f t="shared" si="367"/>
        <v>540</v>
      </c>
      <c r="AI154" s="422"/>
      <c r="AJ154" s="422"/>
      <c r="AK154" s="422">
        <f t="shared" si="383"/>
        <v>540</v>
      </c>
      <c r="AL154" s="422"/>
      <c r="AM154" s="422"/>
      <c r="AN154" s="422"/>
      <c r="AO154" s="422">
        <f t="shared" si="369"/>
        <v>540</v>
      </c>
      <c r="AP154" s="422"/>
      <c r="AQ154" s="422">
        <f>I154/27</f>
        <v>20</v>
      </c>
      <c r="AR154" s="422"/>
      <c r="AS154" s="422"/>
      <c r="AT154" s="422"/>
      <c r="AU154" s="422"/>
      <c r="AV154" s="422"/>
      <c r="AW154" s="422"/>
      <c r="AX154" s="422"/>
      <c r="AY154" s="422"/>
      <c r="AZ154" s="422"/>
      <c r="BA154" s="422"/>
      <c r="BB154" s="422"/>
      <c r="BC154" s="422"/>
      <c r="BD154" s="422"/>
      <c r="BE154" s="422"/>
      <c r="BF154" s="422"/>
      <c r="BG154" s="422"/>
      <c r="BH154" s="422"/>
      <c r="BI154" s="422"/>
      <c r="BJ154" s="423">
        <f t="shared" ref="BJ154:BR154" si="403">$I154*BJ$2</f>
        <v>66.0937499999998</v>
      </c>
      <c r="BK154" s="423">
        <f t="shared" si="403"/>
        <v>66.0937499999998</v>
      </c>
      <c r="BL154" s="423">
        <f t="shared" si="403"/>
        <v>66.0937499999998</v>
      </c>
      <c r="BM154" s="423">
        <f t="shared" si="403"/>
        <v>66.0937499999998</v>
      </c>
      <c r="BN154" s="423">
        <f t="shared" si="403"/>
        <v>66.0937499999998</v>
      </c>
      <c r="BO154" s="423">
        <f t="shared" si="403"/>
        <v>66.0937499999998</v>
      </c>
      <c r="BP154" s="423">
        <f t="shared" si="403"/>
        <v>66.0937499999998</v>
      </c>
      <c r="BQ154" s="423">
        <f t="shared" si="403"/>
        <v>66.0937499999998</v>
      </c>
      <c r="BR154" s="423">
        <f t="shared" si="403"/>
        <v>11.25</v>
      </c>
      <c r="BT154" s="59">
        <f t="shared" ref="BT154:CB154" si="404">BT153-BJ154</f>
        <v>88088.0442708334</v>
      </c>
      <c r="BU154" s="59">
        <f t="shared" si="404"/>
        <v>88088.0442708334</v>
      </c>
      <c r="BV154" s="59">
        <f t="shared" si="404"/>
        <v>88088.0442708334</v>
      </c>
      <c r="BW154" s="59">
        <f t="shared" si="404"/>
        <v>88088.0442708334</v>
      </c>
      <c r="BX154" s="59">
        <f t="shared" si="404"/>
        <v>88088.0442708334</v>
      </c>
      <c r="BY154" s="59">
        <f t="shared" si="404"/>
        <v>88088.0442708334</v>
      </c>
      <c r="BZ154" s="59">
        <f t="shared" si="404"/>
        <v>88088.0442708334</v>
      </c>
      <c r="CA154" s="59">
        <f t="shared" si="404"/>
        <v>88088.0442708334</v>
      </c>
      <c r="CB154" s="59">
        <f t="shared" si="404"/>
        <v>14945.6458333333</v>
      </c>
    </row>
    <row r="155" s="371" customFormat="1" ht="27" hidden="1" customHeight="1" spans="1:82">
      <c r="A155" s="410">
        <v>45800</v>
      </c>
      <c r="B155" s="411" t="s">
        <v>415</v>
      </c>
      <c r="C155" s="412" t="s">
        <v>396</v>
      </c>
      <c r="D155" s="413">
        <v>4500159670</v>
      </c>
      <c r="E155" s="412" t="s">
        <v>929</v>
      </c>
      <c r="F155" s="411" t="s">
        <v>930</v>
      </c>
      <c r="G155" s="414" t="s">
        <v>94</v>
      </c>
      <c r="H155" s="411" t="s">
        <v>211</v>
      </c>
      <c r="I155" s="415">
        <v>5512</v>
      </c>
      <c r="J155" s="415">
        <v>0</v>
      </c>
      <c r="K155" s="415">
        <v>52</v>
      </c>
      <c r="L155" s="415">
        <f t="shared" si="374"/>
        <v>106</v>
      </c>
      <c r="M155" s="416">
        <v>45849</v>
      </c>
      <c r="N155" s="416">
        <v>45845</v>
      </c>
      <c r="O155" s="417"/>
      <c r="P155" s="417" t="s">
        <v>107</v>
      </c>
      <c r="Q155" s="417" t="s">
        <v>916</v>
      </c>
      <c r="R155" s="417">
        <v>45800</v>
      </c>
      <c r="S155" s="417" t="s">
        <v>80</v>
      </c>
      <c r="T155" s="417" t="s">
        <v>80</v>
      </c>
      <c r="U155" s="417"/>
      <c r="V155" s="420" t="s">
        <v>931</v>
      </c>
      <c r="W155" s="416" t="s">
        <v>419</v>
      </c>
      <c r="X155" s="421">
        <v>0.7986</v>
      </c>
      <c r="Y155" s="415">
        <f t="shared" si="389"/>
        <v>4401.8832</v>
      </c>
      <c r="Z155" s="416" t="s">
        <v>932</v>
      </c>
      <c r="AA155" s="420">
        <v>5512</v>
      </c>
      <c r="AB155" s="420">
        <f t="shared" si="275"/>
        <v>0</v>
      </c>
      <c r="AC155" s="417" t="s">
        <v>80</v>
      </c>
      <c r="AD155" s="417" t="s">
        <v>114</v>
      </c>
      <c r="AE155" s="416" t="s">
        <v>94</v>
      </c>
      <c r="AF155" s="416" t="s">
        <v>115</v>
      </c>
      <c r="AG155" s="422">
        <f t="shared" si="366"/>
        <v>5512</v>
      </c>
      <c r="AH155" s="422">
        <f t="shared" si="367"/>
        <v>5512</v>
      </c>
      <c r="AI155" s="422"/>
      <c r="AJ155" s="422"/>
      <c r="AK155" s="422">
        <f t="shared" si="383"/>
        <v>5512</v>
      </c>
      <c r="AL155" s="422"/>
      <c r="AM155" s="422"/>
      <c r="AN155" s="422"/>
      <c r="AO155" s="422">
        <f t="shared" si="369"/>
        <v>5512</v>
      </c>
      <c r="AP155" s="422"/>
      <c r="AQ155" s="422"/>
      <c r="AR155" s="422"/>
      <c r="AS155" s="422"/>
      <c r="AT155" s="422">
        <f t="shared" ref="AT155:AT157" si="405">I155/13</f>
        <v>424</v>
      </c>
      <c r="AU155" s="422"/>
      <c r="AV155" s="422"/>
      <c r="AW155" s="422"/>
      <c r="AX155" s="422"/>
      <c r="AY155" s="422"/>
      <c r="AZ155" s="422"/>
      <c r="BA155" s="422"/>
      <c r="BB155" s="422"/>
      <c r="BC155" s="422"/>
      <c r="BD155" s="422"/>
      <c r="BE155" s="422"/>
      <c r="BF155" s="422"/>
      <c r="BG155" s="422"/>
      <c r="BH155" s="422"/>
      <c r="BI155" s="422"/>
      <c r="BJ155" s="423">
        <f t="shared" ref="BJ155:BR155" si="406">$I155*BJ$2</f>
        <v>674.645833333331</v>
      </c>
      <c r="BK155" s="423">
        <f t="shared" si="406"/>
        <v>674.645833333331</v>
      </c>
      <c r="BL155" s="423">
        <f t="shared" si="406"/>
        <v>674.645833333331</v>
      </c>
      <c r="BM155" s="423">
        <f t="shared" si="406"/>
        <v>674.645833333331</v>
      </c>
      <c r="BN155" s="423">
        <f t="shared" si="406"/>
        <v>674.645833333331</v>
      </c>
      <c r="BO155" s="423">
        <f t="shared" si="406"/>
        <v>674.645833333331</v>
      </c>
      <c r="BP155" s="423">
        <f t="shared" si="406"/>
        <v>674.645833333331</v>
      </c>
      <c r="BQ155" s="423">
        <f t="shared" si="406"/>
        <v>674.645833333331</v>
      </c>
      <c r="BR155" s="423">
        <f t="shared" si="406"/>
        <v>114.833333333333</v>
      </c>
      <c r="BT155" s="59">
        <f t="shared" ref="BT155:CB155" si="407">BT154-BJ155</f>
        <v>87413.3984375001</v>
      </c>
      <c r="BU155" s="59">
        <f t="shared" si="407"/>
        <v>87413.3984375001</v>
      </c>
      <c r="BV155" s="59">
        <f t="shared" si="407"/>
        <v>87413.3984375001</v>
      </c>
      <c r="BW155" s="59">
        <f t="shared" si="407"/>
        <v>87413.3984375001</v>
      </c>
      <c r="BX155" s="59">
        <f t="shared" si="407"/>
        <v>87413.3984375001</v>
      </c>
      <c r="BY155" s="59">
        <f t="shared" si="407"/>
        <v>87413.3984375001</v>
      </c>
      <c r="BZ155" s="59">
        <f t="shared" si="407"/>
        <v>87413.3984375001</v>
      </c>
      <c r="CA155" s="59">
        <f t="shared" si="407"/>
        <v>87413.3984375001</v>
      </c>
      <c r="CB155" s="59">
        <f t="shared" si="407"/>
        <v>14830.8125</v>
      </c>
    </row>
    <row r="156" s="371" customFormat="1" ht="27" hidden="1" customHeight="1" spans="1:82">
      <c r="A156" s="410">
        <v>45800</v>
      </c>
      <c r="B156" s="411" t="s">
        <v>415</v>
      </c>
      <c r="C156" s="412" t="s">
        <v>396</v>
      </c>
      <c r="D156" s="413">
        <v>4500167693</v>
      </c>
      <c r="E156" s="412" t="s">
        <v>933</v>
      </c>
      <c r="F156" s="411" t="s">
        <v>934</v>
      </c>
      <c r="G156" s="414" t="s">
        <v>94</v>
      </c>
      <c r="H156" s="411" t="s">
        <v>211</v>
      </c>
      <c r="I156" s="415">
        <v>2600</v>
      </c>
      <c r="J156" s="415">
        <v>0</v>
      </c>
      <c r="K156" s="415">
        <v>52</v>
      </c>
      <c r="L156" s="415">
        <f t="shared" si="374"/>
        <v>50</v>
      </c>
      <c r="M156" s="416">
        <v>45849</v>
      </c>
      <c r="N156" s="416">
        <v>45845</v>
      </c>
      <c r="O156" s="417"/>
      <c r="P156" s="417" t="s">
        <v>107</v>
      </c>
      <c r="Q156" s="417" t="s">
        <v>916</v>
      </c>
      <c r="R156" s="417">
        <v>45800</v>
      </c>
      <c r="S156" s="417" t="s">
        <v>80</v>
      </c>
      <c r="T156" s="417" t="s">
        <v>80</v>
      </c>
      <c r="U156" s="417"/>
      <c r="V156" s="420" t="s">
        <v>935</v>
      </c>
      <c r="W156" s="416" t="s">
        <v>419</v>
      </c>
      <c r="X156" s="421">
        <v>0.804</v>
      </c>
      <c r="Y156" s="415">
        <f t="shared" si="389"/>
        <v>2090.4</v>
      </c>
      <c r="Z156" s="416" t="s">
        <v>936</v>
      </c>
      <c r="AA156" s="420">
        <v>2600</v>
      </c>
      <c r="AB156" s="420">
        <f t="shared" si="275"/>
        <v>0</v>
      </c>
      <c r="AC156" s="417" t="s">
        <v>80</v>
      </c>
      <c r="AD156" s="417" t="s">
        <v>114</v>
      </c>
      <c r="AE156" s="416" t="s">
        <v>94</v>
      </c>
      <c r="AF156" s="416" t="s">
        <v>115</v>
      </c>
      <c r="AG156" s="422">
        <f t="shared" si="366"/>
        <v>2600</v>
      </c>
      <c r="AH156" s="422">
        <f t="shared" si="367"/>
        <v>2600</v>
      </c>
      <c r="AI156" s="422"/>
      <c r="AJ156" s="422"/>
      <c r="AK156" s="422">
        <f t="shared" si="383"/>
        <v>2600</v>
      </c>
      <c r="AL156" s="422"/>
      <c r="AM156" s="422"/>
      <c r="AN156" s="422"/>
      <c r="AO156" s="422">
        <f t="shared" si="369"/>
        <v>2600</v>
      </c>
      <c r="AP156" s="422"/>
      <c r="AQ156" s="422"/>
      <c r="AR156" s="422"/>
      <c r="AS156" s="422"/>
      <c r="AT156" s="422">
        <f t="shared" si="405"/>
        <v>200</v>
      </c>
      <c r="AU156" s="422"/>
      <c r="AV156" s="422"/>
      <c r="AW156" s="422"/>
      <c r="AX156" s="422"/>
      <c r="AY156" s="422"/>
      <c r="AZ156" s="422"/>
      <c r="BA156" s="422"/>
      <c r="BB156" s="422"/>
      <c r="BC156" s="422"/>
      <c r="BD156" s="422"/>
      <c r="BE156" s="422"/>
      <c r="BF156" s="422"/>
      <c r="BG156" s="422"/>
      <c r="BH156" s="422"/>
      <c r="BI156" s="422"/>
      <c r="BJ156" s="423">
        <f t="shared" ref="BJ156:BR156" si="408">$I156*BJ$2</f>
        <v>318.229166666666</v>
      </c>
      <c r="BK156" s="423">
        <f t="shared" si="408"/>
        <v>318.229166666666</v>
      </c>
      <c r="BL156" s="423">
        <f t="shared" si="408"/>
        <v>318.229166666666</v>
      </c>
      <c r="BM156" s="423">
        <f t="shared" si="408"/>
        <v>318.229166666666</v>
      </c>
      <c r="BN156" s="423">
        <f t="shared" si="408"/>
        <v>318.229166666666</v>
      </c>
      <c r="BO156" s="423">
        <f t="shared" si="408"/>
        <v>318.229166666666</v>
      </c>
      <c r="BP156" s="423">
        <f t="shared" si="408"/>
        <v>318.229166666666</v>
      </c>
      <c r="BQ156" s="423">
        <f t="shared" si="408"/>
        <v>318.229166666666</v>
      </c>
      <c r="BR156" s="423">
        <f t="shared" si="408"/>
        <v>54.1666666666666</v>
      </c>
      <c r="BT156" s="59">
        <f t="shared" ref="BT156:CB156" si="409">BT155-BJ156</f>
        <v>87095.1692708334</v>
      </c>
      <c r="BU156" s="59">
        <f t="shared" si="409"/>
        <v>87095.1692708334</v>
      </c>
      <c r="BV156" s="59">
        <f t="shared" si="409"/>
        <v>87095.1692708334</v>
      </c>
      <c r="BW156" s="59">
        <f t="shared" si="409"/>
        <v>87095.1692708334</v>
      </c>
      <c r="BX156" s="59">
        <f t="shared" si="409"/>
        <v>87095.1692708334</v>
      </c>
      <c r="BY156" s="59">
        <f t="shared" si="409"/>
        <v>87095.1692708334</v>
      </c>
      <c r="BZ156" s="59">
        <f t="shared" si="409"/>
        <v>87095.1692708334</v>
      </c>
      <c r="CA156" s="59">
        <f t="shared" si="409"/>
        <v>87095.1692708334</v>
      </c>
      <c r="CB156" s="59">
        <f t="shared" si="409"/>
        <v>14776.6458333333</v>
      </c>
    </row>
    <row r="157" s="371" customFormat="1" ht="27" hidden="1" customHeight="1" spans="1:82">
      <c r="A157" s="410">
        <v>45802</v>
      </c>
      <c r="B157" s="411" t="s">
        <v>701</v>
      </c>
      <c r="C157" s="412" t="s">
        <v>396</v>
      </c>
      <c r="D157" s="413">
        <v>4500167858</v>
      </c>
      <c r="E157" s="412"/>
      <c r="F157" s="411" t="s">
        <v>937</v>
      </c>
      <c r="G157" s="414" t="s">
        <v>703</v>
      </c>
      <c r="H157" s="411" t="s">
        <v>704</v>
      </c>
      <c r="I157" s="415">
        <v>1040</v>
      </c>
      <c r="J157" s="415">
        <v>0</v>
      </c>
      <c r="K157" s="415">
        <v>1040</v>
      </c>
      <c r="L157" s="415">
        <f t="shared" si="374"/>
        <v>1</v>
      </c>
      <c r="M157" s="416">
        <v>45852</v>
      </c>
      <c r="N157" s="416">
        <v>45849</v>
      </c>
      <c r="O157" s="417"/>
      <c r="P157" s="417" t="s">
        <v>224</v>
      </c>
      <c r="Q157" s="417" t="s">
        <v>938</v>
      </c>
      <c r="R157" s="417">
        <v>45831</v>
      </c>
      <c r="S157" s="417" t="s">
        <v>80</v>
      </c>
      <c r="T157" s="417" t="s">
        <v>706</v>
      </c>
      <c r="U157" s="417"/>
      <c r="V157" s="420" t="s">
        <v>939</v>
      </c>
      <c r="W157" s="416" t="s">
        <v>467</v>
      </c>
      <c r="X157" s="421">
        <v>824.6621</v>
      </c>
      <c r="Y157" s="415">
        <f t="shared" ref="Y157:Y162" si="410">X157*L157</f>
        <v>824.6621</v>
      </c>
      <c r="Z157" s="416" t="s">
        <v>940</v>
      </c>
      <c r="AA157" s="420">
        <v>1040</v>
      </c>
      <c r="AB157" s="420">
        <f t="shared" si="275"/>
        <v>0</v>
      </c>
      <c r="AC157" s="417"/>
      <c r="AD157" s="417" t="s">
        <v>114</v>
      </c>
      <c r="AE157" s="416" t="s">
        <v>703</v>
      </c>
      <c r="AF157" s="416" t="s">
        <v>115</v>
      </c>
      <c r="AG157" s="422">
        <f t="shared" si="366"/>
        <v>1040</v>
      </c>
      <c r="AH157" s="422">
        <f t="shared" si="367"/>
        <v>1040</v>
      </c>
      <c r="AI157" s="422"/>
      <c r="AJ157" s="422"/>
      <c r="AK157" s="422">
        <f t="shared" si="383"/>
        <v>1040</v>
      </c>
      <c r="AL157" s="422"/>
      <c r="AM157" s="422"/>
      <c r="AN157" s="422"/>
      <c r="AO157" s="422">
        <f t="shared" si="369"/>
        <v>1040</v>
      </c>
      <c r="AP157" s="422"/>
      <c r="AQ157" s="422"/>
      <c r="AR157" s="422"/>
      <c r="AS157" s="422"/>
      <c r="AT157" s="422">
        <f t="shared" si="405"/>
        <v>80</v>
      </c>
      <c r="AU157" s="422"/>
      <c r="AV157" s="422"/>
      <c r="AW157" s="422"/>
      <c r="AX157" s="422"/>
      <c r="AY157" s="422"/>
      <c r="AZ157" s="422"/>
      <c r="BA157" s="422"/>
      <c r="BB157" s="422"/>
      <c r="BC157" s="422"/>
      <c r="BD157" s="422"/>
      <c r="BE157" s="422"/>
      <c r="BF157" s="422"/>
      <c r="BG157" s="422"/>
      <c r="BH157" s="422"/>
      <c r="BI157" s="422"/>
      <c r="BJ157" s="423">
        <f t="shared" ref="BJ157:BR157" si="411">$I157*BJ$2</f>
        <v>127.291666666666</v>
      </c>
      <c r="BK157" s="423">
        <f t="shared" si="411"/>
        <v>127.291666666666</v>
      </c>
      <c r="BL157" s="423">
        <f t="shared" si="411"/>
        <v>127.291666666666</v>
      </c>
      <c r="BM157" s="423">
        <f t="shared" si="411"/>
        <v>127.291666666666</v>
      </c>
      <c r="BN157" s="423">
        <f t="shared" si="411"/>
        <v>127.291666666666</v>
      </c>
      <c r="BO157" s="423">
        <f t="shared" si="411"/>
        <v>127.291666666666</v>
      </c>
      <c r="BP157" s="423">
        <f t="shared" si="411"/>
        <v>127.291666666666</v>
      </c>
      <c r="BQ157" s="423">
        <f t="shared" si="411"/>
        <v>127.291666666666</v>
      </c>
      <c r="BR157" s="423">
        <f t="shared" si="411"/>
        <v>21.6666666666666</v>
      </c>
      <c r="BT157" s="59">
        <f t="shared" ref="BT157:CB157" si="412">BT156-BJ157</f>
        <v>86967.8776041667</v>
      </c>
      <c r="BU157" s="59">
        <f t="shared" si="412"/>
        <v>86967.8776041667</v>
      </c>
      <c r="BV157" s="59">
        <f t="shared" si="412"/>
        <v>86967.8776041667</v>
      </c>
      <c r="BW157" s="59">
        <f t="shared" si="412"/>
        <v>86967.8776041667</v>
      </c>
      <c r="BX157" s="59">
        <f t="shared" si="412"/>
        <v>86967.8776041667</v>
      </c>
      <c r="BY157" s="59">
        <f t="shared" si="412"/>
        <v>86967.8776041667</v>
      </c>
      <c r="BZ157" s="59">
        <f t="shared" si="412"/>
        <v>86967.8776041667</v>
      </c>
      <c r="CA157" s="59">
        <f t="shared" si="412"/>
        <v>86967.8776041667</v>
      </c>
      <c r="CB157" s="59">
        <f t="shared" si="412"/>
        <v>14754.9791666667</v>
      </c>
      <c r="CD157" s="495"/>
    </row>
    <row r="158" s="371" customFormat="1" ht="27" hidden="1" customHeight="1" spans="1:82">
      <c r="A158" s="410">
        <v>45811</v>
      </c>
      <c r="B158" s="411" t="s">
        <v>941</v>
      </c>
      <c r="C158" s="412" t="s">
        <v>474</v>
      </c>
      <c r="D158" s="413">
        <v>4500168801</v>
      </c>
      <c r="E158" s="412"/>
      <c r="F158" s="411" t="s">
        <v>942</v>
      </c>
      <c r="G158" s="414" t="s">
        <v>131</v>
      </c>
      <c r="H158" s="411" t="s">
        <v>132</v>
      </c>
      <c r="I158" s="415">
        <v>4023</v>
      </c>
      <c r="J158" s="415">
        <v>0</v>
      </c>
      <c r="K158" s="415">
        <v>27</v>
      </c>
      <c r="L158" s="415">
        <f t="shared" si="374"/>
        <v>149</v>
      </c>
      <c r="M158" s="416">
        <v>45853</v>
      </c>
      <c r="N158" s="416">
        <v>45849</v>
      </c>
      <c r="O158" s="417"/>
      <c r="P158" s="417" t="s">
        <v>107</v>
      </c>
      <c r="Q158" s="417" t="s">
        <v>943</v>
      </c>
      <c r="R158" s="509">
        <v>45811</v>
      </c>
      <c r="S158" s="453" t="s">
        <v>80</v>
      </c>
      <c r="T158" s="417" t="s">
        <v>944</v>
      </c>
      <c r="U158" s="417"/>
      <c r="V158" s="420" t="s">
        <v>945</v>
      </c>
      <c r="W158" s="416" t="s">
        <v>454</v>
      </c>
      <c r="X158" s="421">
        <v>0.7738</v>
      </c>
      <c r="Y158" s="415">
        <f t="shared" ref="Y158:Y160" si="413">X158*I158</f>
        <v>3112.9974</v>
      </c>
      <c r="Z158" s="416" t="s">
        <v>946</v>
      </c>
      <c r="AA158" s="420">
        <v>4023</v>
      </c>
      <c r="AB158" s="420">
        <f t="shared" si="275"/>
        <v>0</v>
      </c>
      <c r="AC158" s="417" t="s">
        <v>113</v>
      </c>
      <c r="AD158" s="417" t="s">
        <v>114</v>
      </c>
      <c r="AE158" s="416" t="s">
        <v>434</v>
      </c>
      <c r="AF158" s="416" t="s">
        <v>115</v>
      </c>
      <c r="AG158" s="422">
        <f t="shared" si="366"/>
        <v>4023</v>
      </c>
      <c r="AH158" s="422">
        <f t="shared" si="367"/>
        <v>4023</v>
      </c>
      <c r="AI158" s="422"/>
      <c r="AJ158" s="422"/>
      <c r="AK158" s="422"/>
      <c r="AL158" s="422">
        <f t="shared" ref="AL158:AL160" si="414">I158</f>
        <v>4023</v>
      </c>
      <c r="AM158" s="422"/>
      <c r="AN158" s="422"/>
      <c r="AO158" s="422">
        <f t="shared" si="369"/>
        <v>4023</v>
      </c>
      <c r="AP158" s="422"/>
      <c r="AQ158" s="422"/>
      <c r="AR158" s="422"/>
      <c r="AS158" s="422">
        <f>I158/27</f>
        <v>149</v>
      </c>
      <c r="AT158" s="422"/>
      <c r="AU158" s="422"/>
      <c r="AV158" s="422"/>
      <c r="AW158" s="422"/>
      <c r="AX158" s="422"/>
      <c r="AY158" s="422"/>
      <c r="AZ158" s="422"/>
      <c r="BA158" s="422"/>
      <c r="BB158" s="422"/>
      <c r="BC158" s="422"/>
      <c r="BD158" s="422"/>
      <c r="BE158" s="422"/>
      <c r="BF158" s="422"/>
      <c r="BG158" s="422"/>
      <c r="BH158" s="422"/>
      <c r="BI158" s="422"/>
      <c r="BJ158" s="423">
        <f t="shared" ref="BJ158:BR158" si="415">$I158*BJ$2</f>
        <v>492.398437499999</v>
      </c>
      <c r="BK158" s="423">
        <f t="shared" si="415"/>
        <v>492.398437499999</v>
      </c>
      <c r="BL158" s="423">
        <f t="shared" si="415"/>
        <v>492.398437499999</v>
      </c>
      <c r="BM158" s="423">
        <f t="shared" si="415"/>
        <v>492.398437499999</v>
      </c>
      <c r="BN158" s="423">
        <f t="shared" si="415"/>
        <v>492.398437499999</v>
      </c>
      <c r="BO158" s="423">
        <f t="shared" si="415"/>
        <v>492.398437499999</v>
      </c>
      <c r="BP158" s="423">
        <f t="shared" si="415"/>
        <v>492.398437499999</v>
      </c>
      <c r="BQ158" s="423">
        <f t="shared" si="415"/>
        <v>492.398437499999</v>
      </c>
      <c r="BR158" s="423">
        <f t="shared" si="415"/>
        <v>83.8124999999999</v>
      </c>
      <c r="BT158" s="59">
        <f t="shared" ref="BT158:CB158" si="416">BT157-BJ158</f>
        <v>86475.4791666667</v>
      </c>
      <c r="BU158" s="59">
        <f t="shared" si="416"/>
        <v>86475.4791666667</v>
      </c>
      <c r="BV158" s="59">
        <f t="shared" si="416"/>
        <v>86475.4791666667</v>
      </c>
      <c r="BW158" s="59">
        <f t="shared" si="416"/>
        <v>86475.4791666667</v>
      </c>
      <c r="BX158" s="59">
        <f t="shared" si="416"/>
        <v>86475.4791666667</v>
      </c>
      <c r="BY158" s="59">
        <f t="shared" si="416"/>
        <v>86475.4791666667</v>
      </c>
      <c r="BZ158" s="59">
        <f t="shared" si="416"/>
        <v>86475.4791666667</v>
      </c>
      <c r="CA158" s="59">
        <f t="shared" si="416"/>
        <v>86475.4791666667</v>
      </c>
      <c r="CB158" s="59">
        <f t="shared" si="416"/>
        <v>14671.1666666667</v>
      </c>
    </row>
    <row r="159" s="371" customFormat="1" ht="27" hidden="1" customHeight="1" spans="1:82">
      <c r="A159" s="410">
        <v>45797</v>
      </c>
      <c r="B159" s="411" t="s">
        <v>947</v>
      </c>
      <c r="C159" s="412" t="s">
        <v>948</v>
      </c>
      <c r="D159" s="413">
        <v>4500167181</v>
      </c>
      <c r="E159" s="412" t="s">
        <v>949</v>
      </c>
      <c r="F159" s="411" t="s">
        <v>950</v>
      </c>
      <c r="G159" s="414" t="s">
        <v>152</v>
      </c>
      <c r="H159" s="411" t="s">
        <v>153</v>
      </c>
      <c r="I159" s="415">
        <v>1300</v>
      </c>
      <c r="J159" s="415">
        <v>0</v>
      </c>
      <c r="K159" s="415">
        <v>13</v>
      </c>
      <c r="L159" s="415">
        <f t="shared" si="374"/>
        <v>100</v>
      </c>
      <c r="M159" s="416">
        <v>45854</v>
      </c>
      <c r="N159" s="416">
        <v>45850</v>
      </c>
      <c r="O159" s="417"/>
      <c r="P159" s="417" t="s">
        <v>224</v>
      </c>
      <c r="Q159" s="417" t="s">
        <v>938</v>
      </c>
      <c r="R159" s="509">
        <v>45797</v>
      </c>
      <c r="S159" s="453" t="s">
        <v>191</v>
      </c>
      <c r="T159" s="453" t="s">
        <v>951</v>
      </c>
      <c r="U159" s="453"/>
      <c r="V159" s="420" t="s">
        <v>952</v>
      </c>
      <c r="W159" s="416" t="s">
        <v>513</v>
      </c>
      <c r="X159" s="421">
        <v>0.7931</v>
      </c>
      <c r="Y159" s="415">
        <f t="shared" si="413"/>
        <v>1031.03</v>
      </c>
      <c r="Z159" s="416" t="s">
        <v>953</v>
      </c>
      <c r="AA159" s="420">
        <v>1300</v>
      </c>
      <c r="AB159" s="420">
        <f t="shared" si="275"/>
        <v>0</v>
      </c>
      <c r="AC159" s="417" t="s">
        <v>113</v>
      </c>
      <c r="AD159" s="417" t="s">
        <v>114</v>
      </c>
      <c r="AE159" s="416" t="s">
        <v>319</v>
      </c>
      <c r="AF159" s="416" t="s">
        <v>115</v>
      </c>
      <c r="AG159" s="422">
        <f t="shared" si="366"/>
        <v>1300</v>
      </c>
      <c r="AH159" s="422">
        <f t="shared" si="367"/>
        <v>1300</v>
      </c>
      <c r="AI159" s="422"/>
      <c r="AJ159" s="422"/>
      <c r="AK159" s="422"/>
      <c r="AL159" s="422">
        <f t="shared" si="414"/>
        <v>1300</v>
      </c>
      <c r="AM159" s="422"/>
      <c r="AN159" s="422"/>
      <c r="AO159" s="422">
        <f t="shared" si="369"/>
        <v>1300</v>
      </c>
      <c r="AP159" s="422"/>
      <c r="AQ159" s="422"/>
      <c r="AR159" s="422"/>
      <c r="AS159" s="422"/>
      <c r="AT159" s="422"/>
      <c r="AU159" s="422">
        <f t="shared" ref="AU159:AU163" si="417">I159/13</f>
        <v>100</v>
      </c>
      <c r="AV159" s="422"/>
      <c r="AW159" s="422"/>
      <c r="AX159" s="422"/>
      <c r="AY159" s="422"/>
      <c r="AZ159" s="422"/>
      <c r="BA159" s="422"/>
      <c r="BB159" s="422"/>
      <c r="BC159" s="422"/>
      <c r="BD159" s="422"/>
      <c r="BE159" s="422"/>
      <c r="BF159" s="422"/>
      <c r="BG159" s="422"/>
      <c r="BH159" s="422"/>
      <c r="BI159" s="422"/>
      <c r="BJ159" s="423">
        <f t="shared" ref="BJ159:BR159" si="418">$I159*BJ$2</f>
        <v>159.114583333333</v>
      </c>
      <c r="BK159" s="423">
        <f t="shared" si="418"/>
        <v>159.114583333333</v>
      </c>
      <c r="BL159" s="423">
        <f t="shared" si="418"/>
        <v>159.114583333333</v>
      </c>
      <c r="BM159" s="423">
        <f t="shared" si="418"/>
        <v>159.114583333333</v>
      </c>
      <c r="BN159" s="423">
        <f t="shared" si="418"/>
        <v>159.114583333333</v>
      </c>
      <c r="BO159" s="423">
        <f t="shared" si="418"/>
        <v>159.114583333333</v>
      </c>
      <c r="BP159" s="423">
        <f t="shared" si="418"/>
        <v>159.114583333333</v>
      </c>
      <c r="BQ159" s="423">
        <f t="shared" si="418"/>
        <v>159.114583333333</v>
      </c>
      <c r="BR159" s="423">
        <f t="shared" si="418"/>
        <v>27.0833333333333</v>
      </c>
      <c r="BT159" s="59">
        <f t="shared" ref="BT159:CB159" si="419">BT158-BJ159</f>
        <v>86316.3645833334</v>
      </c>
      <c r="BU159" s="59">
        <f t="shared" si="419"/>
        <v>86316.3645833334</v>
      </c>
      <c r="BV159" s="59">
        <f t="shared" si="419"/>
        <v>86316.3645833334</v>
      </c>
      <c r="BW159" s="59">
        <f t="shared" si="419"/>
        <v>86316.3645833334</v>
      </c>
      <c r="BX159" s="59">
        <f t="shared" si="419"/>
        <v>86316.3645833334</v>
      </c>
      <c r="BY159" s="59">
        <f t="shared" si="419"/>
        <v>86316.3645833334</v>
      </c>
      <c r="BZ159" s="59">
        <f t="shared" si="419"/>
        <v>86316.3645833334</v>
      </c>
      <c r="CA159" s="59">
        <f t="shared" si="419"/>
        <v>86316.3645833334</v>
      </c>
      <c r="CB159" s="59">
        <f t="shared" si="419"/>
        <v>14644.0833333333</v>
      </c>
    </row>
    <row r="160" s="371" customFormat="1" ht="27" hidden="1" customHeight="1" spans="1:82">
      <c r="A160" s="410">
        <v>45814</v>
      </c>
      <c r="B160" s="411" t="s">
        <v>954</v>
      </c>
      <c r="C160" s="412" t="s">
        <v>948</v>
      </c>
      <c r="D160" s="413">
        <v>4500169209</v>
      </c>
      <c r="E160" s="412" t="s">
        <v>955</v>
      </c>
      <c r="F160" s="411" t="s">
        <v>956</v>
      </c>
      <c r="G160" s="414" t="s">
        <v>152</v>
      </c>
      <c r="H160" s="411" t="s">
        <v>153</v>
      </c>
      <c r="I160" s="415">
        <v>2925</v>
      </c>
      <c r="J160" s="415">
        <v>0</v>
      </c>
      <c r="K160" s="415">
        <v>13</v>
      </c>
      <c r="L160" s="415">
        <f t="shared" si="374"/>
        <v>225</v>
      </c>
      <c r="M160" s="416">
        <v>45854</v>
      </c>
      <c r="N160" s="416">
        <v>45850</v>
      </c>
      <c r="O160" s="417" t="s">
        <v>957</v>
      </c>
      <c r="P160" s="417" t="s">
        <v>107</v>
      </c>
      <c r="Q160" s="417"/>
      <c r="R160" s="509">
        <v>45825</v>
      </c>
      <c r="S160" s="417" t="s">
        <v>80</v>
      </c>
      <c r="T160" s="417" t="s">
        <v>958</v>
      </c>
      <c r="U160" s="417"/>
      <c r="V160" s="420" t="s">
        <v>959</v>
      </c>
      <c r="W160" s="416" t="s">
        <v>513</v>
      </c>
      <c r="X160" s="421">
        <v>0.7931</v>
      </c>
      <c r="Y160" s="415">
        <f t="shared" si="413"/>
        <v>2319.8175</v>
      </c>
      <c r="Z160" s="416" t="s">
        <v>960</v>
      </c>
      <c r="AA160" s="420">
        <v>2925</v>
      </c>
      <c r="AB160" s="420">
        <f t="shared" si="275"/>
        <v>0</v>
      </c>
      <c r="AC160" s="417" t="s">
        <v>113</v>
      </c>
      <c r="AD160" s="417" t="s">
        <v>114</v>
      </c>
      <c r="AE160" s="416" t="s">
        <v>319</v>
      </c>
      <c r="AF160" s="416" t="s">
        <v>115</v>
      </c>
      <c r="AG160" s="422">
        <f t="shared" si="366"/>
        <v>2925</v>
      </c>
      <c r="AI160" s="422">
        <f>I160</f>
        <v>2925</v>
      </c>
      <c r="AJ160" s="422"/>
      <c r="AK160" s="422"/>
      <c r="AL160" s="422">
        <f t="shared" si="414"/>
        <v>2925</v>
      </c>
      <c r="AM160" s="422"/>
      <c r="AN160" s="422"/>
      <c r="AO160" s="422">
        <f t="shared" si="369"/>
        <v>2925</v>
      </c>
      <c r="AP160" s="422"/>
      <c r="AQ160" s="422"/>
      <c r="AR160" s="422"/>
      <c r="AS160" s="422"/>
      <c r="AT160" s="422"/>
      <c r="AU160" s="422">
        <f t="shared" si="417"/>
        <v>225</v>
      </c>
      <c r="AV160" s="422"/>
      <c r="AW160" s="422"/>
      <c r="AX160" s="422"/>
      <c r="AY160" s="422"/>
      <c r="AZ160" s="422"/>
      <c r="BA160" s="422"/>
      <c r="BB160" s="422"/>
      <c r="BC160" s="422"/>
      <c r="BD160" s="422"/>
      <c r="BE160" s="422"/>
      <c r="BF160" s="422"/>
      <c r="BG160" s="422"/>
      <c r="BH160" s="422"/>
      <c r="BI160" s="422"/>
      <c r="BJ160" s="423">
        <f t="shared" ref="BJ160:BR160" si="420">$I160*BJ$2</f>
        <v>358.007812499999</v>
      </c>
      <c r="BK160" s="423">
        <f t="shared" si="420"/>
        <v>358.007812499999</v>
      </c>
      <c r="BL160" s="423">
        <f t="shared" si="420"/>
        <v>358.007812499999</v>
      </c>
      <c r="BM160" s="423">
        <f t="shared" si="420"/>
        <v>358.007812499999</v>
      </c>
      <c r="BN160" s="423">
        <f t="shared" si="420"/>
        <v>358.007812499999</v>
      </c>
      <c r="BO160" s="423">
        <f t="shared" si="420"/>
        <v>358.007812499999</v>
      </c>
      <c r="BP160" s="423">
        <f t="shared" si="420"/>
        <v>358.007812499999</v>
      </c>
      <c r="BQ160" s="423">
        <f t="shared" si="420"/>
        <v>358.007812499999</v>
      </c>
      <c r="BR160" s="423">
        <f t="shared" si="420"/>
        <v>60.9374999999999</v>
      </c>
      <c r="BT160" s="59">
        <f t="shared" ref="BT160:CB160" si="421">BT159-BJ160</f>
        <v>85958.3567708334</v>
      </c>
      <c r="BU160" s="59">
        <f t="shared" si="421"/>
        <v>85958.3567708334</v>
      </c>
      <c r="BV160" s="59">
        <f t="shared" si="421"/>
        <v>85958.3567708334</v>
      </c>
      <c r="BW160" s="59">
        <f t="shared" si="421"/>
        <v>85958.3567708334</v>
      </c>
      <c r="BX160" s="59">
        <f t="shared" si="421"/>
        <v>85958.3567708334</v>
      </c>
      <c r="BY160" s="59">
        <f t="shared" si="421"/>
        <v>85958.3567708334</v>
      </c>
      <c r="BZ160" s="59">
        <f t="shared" si="421"/>
        <v>85958.3567708334</v>
      </c>
      <c r="CA160" s="59">
        <f t="shared" si="421"/>
        <v>85958.3567708334</v>
      </c>
      <c r="CB160" s="59">
        <f t="shared" si="421"/>
        <v>14583.1458333333</v>
      </c>
    </row>
    <row r="161" s="371" customFormat="1" ht="27" hidden="1" customHeight="1" spans="1:80">
      <c r="A161" s="410">
        <v>45792</v>
      </c>
      <c r="B161" s="411" t="s">
        <v>600</v>
      </c>
      <c r="C161" s="412" t="s">
        <v>117</v>
      </c>
      <c r="D161" s="413">
        <v>4500166543</v>
      </c>
      <c r="E161" s="533" t="s">
        <v>961</v>
      </c>
      <c r="F161" s="411" t="s">
        <v>962</v>
      </c>
      <c r="G161" s="414" t="s">
        <v>258</v>
      </c>
      <c r="H161" s="411" t="s">
        <v>259</v>
      </c>
      <c r="I161" s="415">
        <v>1152</v>
      </c>
      <c r="J161" s="415">
        <v>0</v>
      </c>
      <c r="K161" s="415">
        <v>1152</v>
      </c>
      <c r="L161" s="415">
        <f t="shared" si="374"/>
        <v>1</v>
      </c>
      <c r="M161" s="416">
        <v>45853</v>
      </c>
      <c r="N161" s="416">
        <v>45852</v>
      </c>
      <c r="O161" s="417" t="s">
        <v>963</v>
      </c>
      <c r="P161" s="417" t="s">
        <v>107</v>
      </c>
      <c r="Q161" s="417" t="s">
        <v>725</v>
      </c>
      <c r="R161" s="417" t="s">
        <v>331</v>
      </c>
      <c r="S161" s="417" t="s">
        <v>191</v>
      </c>
      <c r="T161" s="417" t="s">
        <v>605</v>
      </c>
      <c r="U161" s="417"/>
      <c r="V161" s="420" t="s">
        <v>606</v>
      </c>
      <c r="W161" s="416" t="s">
        <v>607</v>
      </c>
      <c r="X161" s="421">
        <v>555.88</v>
      </c>
      <c r="Y161" s="415">
        <f t="shared" si="410"/>
        <v>555.88</v>
      </c>
      <c r="Z161" s="416" t="s">
        <v>964</v>
      </c>
      <c r="AA161" s="420">
        <f>1116+36</f>
        <v>1152</v>
      </c>
      <c r="AB161" s="420">
        <f t="shared" si="275"/>
        <v>0</v>
      </c>
      <c r="AC161" s="417"/>
      <c r="AD161" s="417" t="s">
        <v>114</v>
      </c>
      <c r="AE161" s="416" t="s">
        <v>258</v>
      </c>
      <c r="AF161" s="416" t="s">
        <v>115</v>
      </c>
      <c r="AG161" s="422">
        <f t="shared" si="366"/>
        <v>1152</v>
      </c>
      <c r="AH161" s="422">
        <f t="shared" ref="AH161:AH170" si="422">I161</f>
        <v>1152</v>
      </c>
      <c r="AI161" s="422"/>
      <c r="AJ161" s="422"/>
      <c r="AK161" s="422">
        <f t="shared" ref="AK161:AK164" si="423">I161</f>
        <v>1152</v>
      </c>
      <c r="AL161" s="422"/>
      <c r="AM161" s="422"/>
      <c r="AN161" s="422"/>
      <c r="AO161" s="422">
        <f t="shared" si="369"/>
        <v>1152</v>
      </c>
      <c r="AP161" s="422"/>
      <c r="AQ161" s="422"/>
      <c r="AR161" s="422"/>
      <c r="AS161" s="422"/>
      <c r="AT161" s="422"/>
      <c r="AU161" s="422"/>
      <c r="AV161" s="422">
        <f t="shared" ref="AV161:AV166" si="424">I161/12</f>
        <v>96</v>
      </c>
      <c r="AW161" s="422"/>
      <c r="AX161" s="422"/>
      <c r="AY161" s="422"/>
      <c r="AZ161" s="422"/>
      <c r="BA161" s="422"/>
      <c r="BB161" s="422"/>
      <c r="BC161" s="422"/>
      <c r="BD161" s="422"/>
      <c r="BE161" s="422"/>
      <c r="BF161" s="422"/>
      <c r="BG161" s="422"/>
      <c r="BH161" s="422"/>
      <c r="BI161" s="422"/>
      <c r="BJ161" s="423">
        <f t="shared" ref="BJ161:BR161" si="425">$I161*BJ$2</f>
        <v>141</v>
      </c>
      <c r="BK161" s="423">
        <f t="shared" si="425"/>
        <v>141</v>
      </c>
      <c r="BL161" s="423">
        <f t="shared" si="425"/>
        <v>141</v>
      </c>
      <c r="BM161" s="423">
        <f t="shared" si="425"/>
        <v>141</v>
      </c>
      <c r="BN161" s="423">
        <f t="shared" si="425"/>
        <v>141</v>
      </c>
      <c r="BO161" s="423">
        <f t="shared" si="425"/>
        <v>141</v>
      </c>
      <c r="BP161" s="423">
        <f t="shared" si="425"/>
        <v>141</v>
      </c>
      <c r="BQ161" s="423">
        <f t="shared" si="425"/>
        <v>141</v>
      </c>
      <c r="BR161" s="423">
        <f t="shared" si="425"/>
        <v>24</v>
      </c>
      <c r="BT161" s="59">
        <f t="shared" ref="BT161:CB161" si="426">BT160-BJ161</f>
        <v>85817.3567708334</v>
      </c>
      <c r="BU161" s="59">
        <f t="shared" si="426"/>
        <v>85817.3567708334</v>
      </c>
      <c r="BV161" s="59">
        <f t="shared" si="426"/>
        <v>85817.3567708334</v>
      </c>
      <c r="BW161" s="59">
        <f t="shared" si="426"/>
        <v>85817.3567708334</v>
      </c>
      <c r="BX161" s="59">
        <f t="shared" si="426"/>
        <v>85817.3567708334</v>
      </c>
      <c r="BY161" s="59">
        <f t="shared" si="426"/>
        <v>85817.3567708334</v>
      </c>
      <c r="BZ161" s="59">
        <f t="shared" si="426"/>
        <v>85817.3567708334</v>
      </c>
      <c r="CA161" s="59">
        <f t="shared" si="426"/>
        <v>85817.3567708334</v>
      </c>
      <c r="CB161" s="59">
        <f t="shared" si="426"/>
        <v>14559.1458333333</v>
      </c>
    </row>
    <row r="162" s="371" customFormat="1" ht="27" hidden="1" customHeight="1" spans="1:80">
      <c r="A162" s="410">
        <v>45792</v>
      </c>
      <c r="B162" s="411" t="s">
        <v>600</v>
      </c>
      <c r="C162" s="412" t="s">
        <v>117</v>
      </c>
      <c r="D162" s="413">
        <v>4500166543</v>
      </c>
      <c r="E162" s="533" t="s">
        <v>965</v>
      </c>
      <c r="F162" s="411" t="s">
        <v>966</v>
      </c>
      <c r="G162" s="414" t="s">
        <v>258</v>
      </c>
      <c r="H162" s="411" t="s">
        <v>259</v>
      </c>
      <c r="I162" s="415">
        <v>1152</v>
      </c>
      <c r="J162" s="415">
        <v>0</v>
      </c>
      <c r="K162" s="415">
        <v>1152</v>
      </c>
      <c r="L162" s="415">
        <f t="shared" si="374"/>
        <v>1</v>
      </c>
      <c r="M162" s="416">
        <v>45853</v>
      </c>
      <c r="N162" s="416">
        <v>45852</v>
      </c>
      <c r="O162" s="417" t="s">
        <v>967</v>
      </c>
      <c r="P162" s="417" t="s">
        <v>107</v>
      </c>
      <c r="Q162" s="417" t="s">
        <v>943</v>
      </c>
      <c r="R162" s="417" t="s">
        <v>331</v>
      </c>
      <c r="S162" s="417" t="s">
        <v>191</v>
      </c>
      <c r="T162" s="417" t="s">
        <v>605</v>
      </c>
      <c r="U162" s="417"/>
      <c r="V162" s="420" t="s">
        <v>606</v>
      </c>
      <c r="W162" s="416" t="s">
        <v>607</v>
      </c>
      <c r="X162" s="421">
        <v>555.88</v>
      </c>
      <c r="Y162" s="415">
        <f t="shared" si="410"/>
        <v>555.88</v>
      </c>
      <c r="Z162" s="416" t="s">
        <v>968</v>
      </c>
      <c r="AA162" s="420">
        <f>1140+12</f>
        <v>1152</v>
      </c>
      <c r="AB162" s="420">
        <f t="shared" si="275"/>
        <v>0</v>
      </c>
      <c r="AC162" s="417"/>
      <c r="AD162" s="417" t="s">
        <v>114</v>
      </c>
      <c r="AE162" s="416" t="s">
        <v>258</v>
      </c>
      <c r="AF162" s="416" t="s">
        <v>115</v>
      </c>
      <c r="AG162" s="422">
        <f t="shared" si="366"/>
        <v>1152</v>
      </c>
      <c r="AH162" s="422">
        <f t="shared" si="422"/>
        <v>1152</v>
      </c>
      <c r="AI162" s="422"/>
      <c r="AJ162" s="422"/>
      <c r="AK162" s="422">
        <f t="shared" si="423"/>
        <v>1152</v>
      </c>
      <c r="AL162" s="422"/>
      <c r="AM162" s="422"/>
      <c r="AN162" s="422"/>
      <c r="AO162" s="422">
        <f t="shared" si="369"/>
        <v>1152</v>
      </c>
      <c r="AP162" s="422"/>
      <c r="AQ162" s="422"/>
      <c r="AR162" s="422"/>
      <c r="AS162" s="422"/>
      <c r="AT162" s="422"/>
      <c r="AU162" s="422"/>
      <c r="AV162" s="422">
        <f t="shared" si="424"/>
        <v>96</v>
      </c>
      <c r="AW162" s="422"/>
      <c r="AX162" s="422"/>
      <c r="AY162" s="422"/>
      <c r="AZ162" s="422"/>
      <c r="BA162" s="422"/>
      <c r="BB162" s="422"/>
      <c r="BC162" s="422"/>
      <c r="BD162" s="422"/>
      <c r="BE162" s="422"/>
      <c r="BF162" s="422"/>
      <c r="BG162" s="422"/>
      <c r="BH162" s="422"/>
      <c r="BI162" s="422"/>
      <c r="BJ162" s="423">
        <f t="shared" ref="BJ162:BR162" si="427">$I162*BJ$2</f>
        <v>141</v>
      </c>
      <c r="BK162" s="423">
        <f t="shared" si="427"/>
        <v>141</v>
      </c>
      <c r="BL162" s="423">
        <f t="shared" si="427"/>
        <v>141</v>
      </c>
      <c r="BM162" s="423">
        <f t="shared" si="427"/>
        <v>141</v>
      </c>
      <c r="BN162" s="423">
        <f t="shared" si="427"/>
        <v>141</v>
      </c>
      <c r="BO162" s="423">
        <f t="shared" si="427"/>
        <v>141</v>
      </c>
      <c r="BP162" s="423">
        <f t="shared" si="427"/>
        <v>141</v>
      </c>
      <c r="BQ162" s="423">
        <f t="shared" si="427"/>
        <v>141</v>
      </c>
      <c r="BR162" s="423">
        <f t="shared" si="427"/>
        <v>24</v>
      </c>
      <c r="BT162" s="59">
        <f t="shared" ref="BT162:CB162" si="428">BT161-BJ162</f>
        <v>85676.3567708334</v>
      </c>
      <c r="BU162" s="59">
        <f t="shared" si="428"/>
        <v>85676.3567708334</v>
      </c>
      <c r="BV162" s="59">
        <f t="shared" si="428"/>
        <v>85676.3567708334</v>
      </c>
      <c r="BW162" s="59">
        <f t="shared" si="428"/>
        <v>85676.3567708334</v>
      </c>
      <c r="BX162" s="59">
        <f t="shared" si="428"/>
        <v>85676.3567708334</v>
      </c>
      <c r="BY162" s="59">
        <f t="shared" si="428"/>
        <v>85676.3567708334</v>
      </c>
      <c r="BZ162" s="59">
        <f t="shared" si="428"/>
        <v>85676.3567708334</v>
      </c>
      <c r="CA162" s="59">
        <f t="shared" si="428"/>
        <v>85676.3567708334</v>
      </c>
      <c r="CB162" s="59">
        <f t="shared" si="428"/>
        <v>14535.1458333333</v>
      </c>
    </row>
    <row r="163" s="371" customFormat="1" ht="27" hidden="1" customHeight="1" spans="1:80">
      <c r="A163" s="410">
        <v>45814</v>
      </c>
      <c r="B163" s="411" t="s">
        <v>969</v>
      </c>
      <c r="C163" s="412" t="s">
        <v>948</v>
      </c>
      <c r="D163" s="413">
        <v>4500169319</v>
      </c>
      <c r="E163" s="412" t="s">
        <v>970</v>
      </c>
      <c r="F163" s="411" t="s">
        <v>971</v>
      </c>
      <c r="G163" s="414" t="s">
        <v>152</v>
      </c>
      <c r="H163" s="411" t="s">
        <v>153</v>
      </c>
      <c r="I163" s="415">
        <v>520</v>
      </c>
      <c r="J163" s="415">
        <v>0</v>
      </c>
      <c r="K163" s="415">
        <v>13</v>
      </c>
      <c r="L163" s="415">
        <f t="shared" si="374"/>
        <v>40</v>
      </c>
      <c r="M163" s="416">
        <v>45856</v>
      </c>
      <c r="N163" s="416">
        <v>45852</v>
      </c>
      <c r="O163" s="417"/>
      <c r="P163" s="417" t="s">
        <v>224</v>
      </c>
      <c r="Q163" s="417" t="s">
        <v>972</v>
      </c>
      <c r="R163" s="509">
        <v>45824</v>
      </c>
      <c r="S163" s="417" t="s">
        <v>80</v>
      </c>
      <c r="T163" s="417" t="s">
        <v>973</v>
      </c>
      <c r="U163" s="417"/>
      <c r="V163" s="420" t="s">
        <v>974</v>
      </c>
      <c r="W163" s="416" t="s">
        <v>975</v>
      </c>
      <c r="X163" s="421">
        <v>0.7812</v>
      </c>
      <c r="Y163" s="415">
        <f t="shared" ref="Y163:Y165" si="429">X163*I163</f>
        <v>406.224</v>
      </c>
      <c r="Z163" s="416" t="s">
        <v>976</v>
      </c>
      <c r="AA163" s="420">
        <f>507+13</f>
        <v>520</v>
      </c>
      <c r="AB163" s="420">
        <f t="shared" si="275"/>
        <v>0</v>
      </c>
      <c r="AC163" s="417" t="s">
        <v>113</v>
      </c>
      <c r="AD163" s="417" t="s">
        <v>114</v>
      </c>
      <c r="AE163" s="416" t="s">
        <v>319</v>
      </c>
      <c r="AF163" s="416" t="s">
        <v>115</v>
      </c>
      <c r="AG163" s="422">
        <f t="shared" si="366"/>
        <v>520</v>
      </c>
      <c r="AH163" s="422"/>
      <c r="AI163" s="422">
        <f>I163</f>
        <v>520</v>
      </c>
      <c r="AJ163" s="422"/>
      <c r="AK163" s="422"/>
      <c r="AL163" s="422">
        <f t="shared" ref="AL163:AL167" si="430">I163</f>
        <v>520</v>
      </c>
      <c r="AM163" s="422"/>
      <c r="AN163" s="422"/>
      <c r="AO163" s="422">
        <f t="shared" si="369"/>
        <v>520</v>
      </c>
      <c r="AP163" s="422"/>
      <c r="AQ163" s="422"/>
      <c r="AR163" s="422"/>
      <c r="AS163" s="422"/>
      <c r="AT163" s="422"/>
      <c r="AU163" s="422">
        <f t="shared" si="417"/>
        <v>40</v>
      </c>
      <c r="AV163" s="422"/>
      <c r="AW163" s="422"/>
      <c r="AX163" s="422"/>
      <c r="AY163" s="422"/>
      <c r="AZ163" s="422"/>
      <c r="BA163" s="422"/>
      <c r="BB163" s="422"/>
      <c r="BC163" s="422"/>
      <c r="BD163" s="422"/>
      <c r="BE163" s="422"/>
      <c r="BF163" s="422"/>
      <c r="BG163" s="422"/>
      <c r="BH163" s="422"/>
      <c r="BI163" s="422"/>
      <c r="BJ163" s="423">
        <f t="shared" ref="BJ163:BR163" si="431">$I163*BJ$2</f>
        <v>63.6458333333332</v>
      </c>
      <c r="BK163" s="423">
        <f t="shared" si="431"/>
        <v>63.6458333333332</v>
      </c>
      <c r="BL163" s="423">
        <f t="shared" si="431"/>
        <v>63.6458333333332</v>
      </c>
      <c r="BM163" s="423">
        <f t="shared" si="431"/>
        <v>63.6458333333332</v>
      </c>
      <c r="BN163" s="423">
        <f t="shared" si="431"/>
        <v>63.6458333333332</v>
      </c>
      <c r="BO163" s="423">
        <f t="shared" si="431"/>
        <v>63.6458333333332</v>
      </c>
      <c r="BP163" s="423">
        <f t="shared" si="431"/>
        <v>63.6458333333332</v>
      </c>
      <c r="BQ163" s="423">
        <f t="shared" si="431"/>
        <v>63.6458333333332</v>
      </c>
      <c r="BR163" s="423">
        <f t="shared" si="431"/>
        <v>10.8333333333333</v>
      </c>
      <c r="BT163" s="59">
        <f t="shared" ref="BT163:CB163" si="432">BT162-BJ163</f>
        <v>85612.7109375001</v>
      </c>
      <c r="BU163" s="59">
        <f t="shared" si="432"/>
        <v>85612.7109375001</v>
      </c>
      <c r="BV163" s="59">
        <f t="shared" si="432"/>
        <v>85612.7109375001</v>
      </c>
      <c r="BW163" s="59">
        <f t="shared" si="432"/>
        <v>85612.7109375001</v>
      </c>
      <c r="BX163" s="59">
        <f t="shared" si="432"/>
        <v>85612.7109375001</v>
      </c>
      <c r="BY163" s="59">
        <f t="shared" si="432"/>
        <v>85612.7109375001</v>
      </c>
      <c r="BZ163" s="59">
        <f t="shared" si="432"/>
        <v>85612.7109375001</v>
      </c>
      <c r="CA163" s="59">
        <f t="shared" si="432"/>
        <v>85612.7109375001</v>
      </c>
      <c r="CB163" s="59">
        <f t="shared" si="432"/>
        <v>14524.3125</v>
      </c>
    </row>
    <row r="164" s="371" customFormat="1" ht="27" hidden="1" customHeight="1" spans="1:80">
      <c r="A164" s="410">
        <v>45824</v>
      </c>
      <c r="B164" s="411" t="s">
        <v>977</v>
      </c>
      <c r="C164" s="412" t="s">
        <v>117</v>
      </c>
      <c r="D164" s="413">
        <v>4500170074</v>
      </c>
      <c r="E164" s="412" t="s">
        <v>978</v>
      </c>
      <c r="F164" s="411" t="s">
        <v>979</v>
      </c>
      <c r="G164" s="414" t="s">
        <v>152</v>
      </c>
      <c r="H164" s="411" t="s">
        <v>153</v>
      </c>
      <c r="I164" s="415">
        <v>26</v>
      </c>
      <c r="J164" s="415">
        <v>0</v>
      </c>
      <c r="K164" s="415">
        <v>13</v>
      </c>
      <c r="L164" s="415">
        <f t="shared" si="374"/>
        <v>2</v>
      </c>
      <c r="M164" s="416">
        <v>45856</v>
      </c>
      <c r="N164" s="416">
        <v>45852</v>
      </c>
      <c r="O164" s="417"/>
      <c r="P164" s="417" t="s">
        <v>224</v>
      </c>
      <c r="Q164" s="417" t="s">
        <v>980</v>
      </c>
      <c r="R164" s="417">
        <v>45825</v>
      </c>
      <c r="S164" s="417" t="s">
        <v>80</v>
      </c>
      <c r="T164" s="417" t="s">
        <v>80</v>
      </c>
      <c r="U164" s="417"/>
      <c r="V164" s="420" t="s">
        <v>981</v>
      </c>
      <c r="W164" s="416" t="s">
        <v>982</v>
      </c>
      <c r="X164" s="421">
        <v>0.5012</v>
      </c>
      <c r="Y164" s="415">
        <f t="shared" si="429"/>
        <v>13.0312</v>
      </c>
      <c r="Z164" s="415" t="s">
        <v>983</v>
      </c>
      <c r="AA164" s="420">
        <v>26</v>
      </c>
      <c r="AB164" s="420">
        <f t="shared" si="275"/>
        <v>0</v>
      </c>
      <c r="AC164" s="417" t="s">
        <v>80</v>
      </c>
      <c r="AD164" s="417" t="s">
        <v>114</v>
      </c>
      <c r="AE164" s="416" t="s">
        <v>152</v>
      </c>
      <c r="AF164" s="416" t="s">
        <v>115</v>
      </c>
      <c r="AG164" s="422">
        <f t="shared" si="366"/>
        <v>26</v>
      </c>
      <c r="AH164" s="422">
        <f t="shared" si="422"/>
        <v>26</v>
      </c>
      <c r="AI164" s="422"/>
      <c r="AJ164" s="422"/>
      <c r="AK164" s="422">
        <f t="shared" si="423"/>
        <v>26</v>
      </c>
      <c r="AL164" s="422"/>
      <c r="AM164" s="422"/>
      <c r="AN164" s="422"/>
      <c r="AO164" s="422">
        <f t="shared" si="369"/>
        <v>26</v>
      </c>
      <c r="AP164" s="422"/>
      <c r="AQ164" s="422"/>
      <c r="AR164" s="422"/>
      <c r="AS164" s="422"/>
      <c r="AT164" s="422">
        <f>I164/13</f>
        <v>2</v>
      </c>
      <c r="AU164" s="422"/>
      <c r="AV164" s="422"/>
      <c r="AW164" s="422"/>
      <c r="AX164" s="422"/>
      <c r="AY164" s="422"/>
      <c r="AZ164" s="422"/>
      <c r="BA164" s="422"/>
      <c r="BB164" s="422"/>
      <c r="BC164" s="422"/>
      <c r="BD164" s="422"/>
      <c r="BE164" s="422"/>
      <c r="BF164" s="422"/>
      <c r="BG164" s="422"/>
      <c r="BH164" s="422"/>
      <c r="BI164" s="422"/>
      <c r="BJ164" s="423">
        <f t="shared" ref="BJ164:BR164" si="433">$I164*BJ$2</f>
        <v>3.18229166666666</v>
      </c>
      <c r="BK164" s="423">
        <f t="shared" si="433"/>
        <v>3.18229166666666</v>
      </c>
      <c r="BL164" s="423">
        <f t="shared" si="433"/>
        <v>3.18229166666666</v>
      </c>
      <c r="BM164" s="423">
        <f t="shared" si="433"/>
        <v>3.18229166666666</v>
      </c>
      <c r="BN164" s="423">
        <f t="shared" si="433"/>
        <v>3.18229166666666</v>
      </c>
      <c r="BO164" s="423">
        <f t="shared" si="433"/>
        <v>3.18229166666666</v>
      </c>
      <c r="BP164" s="423">
        <f t="shared" si="433"/>
        <v>3.18229166666666</v>
      </c>
      <c r="BQ164" s="423">
        <f t="shared" si="433"/>
        <v>3.18229166666666</v>
      </c>
      <c r="BR164" s="423">
        <f t="shared" si="433"/>
        <v>0.541666666666666</v>
      </c>
      <c r="BT164" s="59">
        <f t="shared" ref="BT164:CB164" si="434">BT163-BJ164</f>
        <v>85609.5286458334</v>
      </c>
      <c r="BU164" s="59">
        <f t="shared" si="434"/>
        <v>85609.5286458334</v>
      </c>
      <c r="BV164" s="59">
        <f t="shared" si="434"/>
        <v>85609.5286458334</v>
      </c>
      <c r="BW164" s="59">
        <f t="shared" si="434"/>
        <v>85609.5286458334</v>
      </c>
      <c r="BX164" s="59">
        <f t="shared" si="434"/>
        <v>85609.5286458334</v>
      </c>
      <c r="BY164" s="59">
        <f t="shared" si="434"/>
        <v>85609.5286458334</v>
      </c>
      <c r="BZ164" s="59">
        <f t="shared" si="434"/>
        <v>85609.5286458334</v>
      </c>
      <c r="CA164" s="59">
        <f t="shared" si="434"/>
        <v>85609.5286458334</v>
      </c>
      <c r="CB164" s="59">
        <f t="shared" si="434"/>
        <v>14523.7708333333</v>
      </c>
    </row>
    <row r="165" s="371" customFormat="1" ht="27" hidden="1" customHeight="1" spans="1:80">
      <c r="A165" s="410">
        <v>45771</v>
      </c>
      <c r="B165" s="411" t="s">
        <v>984</v>
      </c>
      <c r="C165" s="412" t="s">
        <v>985</v>
      </c>
      <c r="D165" s="413">
        <v>4500159848</v>
      </c>
      <c r="E165" s="412" t="s">
        <v>986</v>
      </c>
      <c r="F165" s="411" t="s">
        <v>987</v>
      </c>
      <c r="G165" s="414" t="s">
        <v>78</v>
      </c>
      <c r="H165" s="411" t="s">
        <v>79</v>
      </c>
      <c r="I165" s="415">
        <v>270</v>
      </c>
      <c r="J165" s="415">
        <v>0</v>
      </c>
      <c r="K165" s="415">
        <v>54</v>
      </c>
      <c r="L165" s="415">
        <f t="shared" si="374"/>
        <v>5</v>
      </c>
      <c r="M165" s="416">
        <v>45859</v>
      </c>
      <c r="N165" s="416">
        <f t="shared" ref="N165:N167" si="435">M165-4</f>
        <v>45855</v>
      </c>
      <c r="O165" s="417" t="s">
        <v>988</v>
      </c>
      <c r="P165" s="417" t="s">
        <v>224</v>
      </c>
      <c r="Q165" s="417" t="s">
        <v>989</v>
      </c>
      <c r="R165" s="417">
        <v>45821</v>
      </c>
      <c r="S165" s="417" t="s">
        <v>80</v>
      </c>
      <c r="T165" s="417" t="s">
        <v>990</v>
      </c>
      <c r="U165" s="417"/>
      <c r="V165" s="420" t="s">
        <v>991</v>
      </c>
      <c r="W165" s="416" t="s">
        <v>228</v>
      </c>
      <c r="X165" s="421">
        <v>0.7967</v>
      </c>
      <c r="Y165" s="415">
        <f t="shared" si="429"/>
        <v>215.109</v>
      </c>
      <c r="Z165" s="416" t="s">
        <v>992</v>
      </c>
      <c r="AA165" s="420">
        <v>270</v>
      </c>
      <c r="AB165" s="420">
        <f t="shared" si="275"/>
        <v>0</v>
      </c>
      <c r="AC165" s="417" t="s">
        <v>113</v>
      </c>
      <c r="AD165" s="417" t="s">
        <v>114</v>
      </c>
      <c r="AE165" s="416" t="s">
        <v>230</v>
      </c>
      <c r="AF165" s="416" t="s">
        <v>115</v>
      </c>
      <c r="AG165" s="422">
        <f t="shared" si="366"/>
        <v>270</v>
      </c>
      <c r="AH165" s="422">
        <f t="shared" si="422"/>
        <v>270</v>
      </c>
      <c r="AI165" s="422"/>
      <c r="AJ165" s="422"/>
      <c r="AK165" s="422"/>
      <c r="AL165" s="422">
        <f t="shared" si="430"/>
        <v>270</v>
      </c>
      <c r="AM165" s="422"/>
      <c r="AN165" s="422"/>
      <c r="AO165" s="422">
        <f t="shared" si="369"/>
        <v>270</v>
      </c>
      <c r="AP165" s="422"/>
      <c r="AQ165" s="422"/>
      <c r="AR165" s="422">
        <f>I165/27</f>
        <v>10</v>
      </c>
      <c r="AS165" s="422"/>
      <c r="AT165" s="422"/>
      <c r="AU165" s="422"/>
      <c r="AV165" s="422"/>
      <c r="AW165" s="422"/>
      <c r="AX165" s="422"/>
      <c r="AY165" s="422"/>
      <c r="AZ165" s="422"/>
      <c r="BA165" s="422"/>
      <c r="BB165" s="422"/>
      <c r="BC165" s="422"/>
      <c r="BD165" s="422"/>
      <c r="BE165" s="422"/>
      <c r="BF165" s="422"/>
      <c r="BG165" s="422"/>
      <c r="BH165" s="422"/>
      <c r="BI165" s="422"/>
      <c r="BJ165" s="423">
        <f t="shared" ref="BJ165:BR165" si="436">$I165*BJ$2</f>
        <v>33.0468749999999</v>
      </c>
      <c r="BK165" s="423">
        <f t="shared" si="436"/>
        <v>33.0468749999999</v>
      </c>
      <c r="BL165" s="423">
        <f t="shared" si="436"/>
        <v>33.0468749999999</v>
      </c>
      <c r="BM165" s="423">
        <f t="shared" si="436"/>
        <v>33.0468749999999</v>
      </c>
      <c r="BN165" s="423">
        <f t="shared" si="436"/>
        <v>33.0468749999999</v>
      </c>
      <c r="BO165" s="423">
        <f t="shared" si="436"/>
        <v>33.0468749999999</v>
      </c>
      <c r="BP165" s="423">
        <f t="shared" si="436"/>
        <v>33.0468749999999</v>
      </c>
      <c r="BQ165" s="423">
        <f t="shared" si="436"/>
        <v>33.0468749999999</v>
      </c>
      <c r="BR165" s="423">
        <f t="shared" si="436"/>
        <v>5.62499999999999</v>
      </c>
      <c r="BT165" s="59">
        <f t="shared" ref="BT165:CB165" si="437">BT164-BJ165</f>
        <v>85576.4817708334</v>
      </c>
      <c r="BU165" s="59">
        <f t="shared" si="437"/>
        <v>85576.4817708334</v>
      </c>
      <c r="BV165" s="59">
        <f t="shared" si="437"/>
        <v>85576.4817708334</v>
      </c>
      <c r="BW165" s="59">
        <f t="shared" si="437"/>
        <v>85576.4817708334</v>
      </c>
      <c r="BX165" s="59">
        <f t="shared" si="437"/>
        <v>85576.4817708334</v>
      </c>
      <c r="BY165" s="59">
        <f t="shared" si="437"/>
        <v>85576.4817708334</v>
      </c>
      <c r="BZ165" s="59">
        <f t="shared" si="437"/>
        <v>85576.4817708334</v>
      </c>
      <c r="CA165" s="59">
        <f t="shared" si="437"/>
        <v>85576.4817708334</v>
      </c>
      <c r="CB165" s="59">
        <f t="shared" si="437"/>
        <v>14518.1458333333</v>
      </c>
    </row>
    <row r="166" s="371" customFormat="1" ht="27" hidden="1" customHeight="1" spans="1:80">
      <c r="A166" s="410">
        <v>45792</v>
      </c>
      <c r="B166" s="411" t="s">
        <v>600</v>
      </c>
      <c r="C166" s="412" t="s">
        <v>117</v>
      </c>
      <c r="D166" s="413">
        <v>4500166545</v>
      </c>
      <c r="E166" s="533" t="s">
        <v>993</v>
      </c>
      <c r="F166" s="411" t="s">
        <v>994</v>
      </c>
      <c r="G166" s="414" t="s">
        <v>258</v>
      </c>
      <c r="H166" s="411" t="s">
        <v>259</v>
      </c>
      <c r="I166" s="415">
        <v>1152</v>
      </c>
      <c r="J166" s="415">
        <v>0</v>
      </c>
      <c r="K166" s="415">
        <v>1152</v>
      </c>
      <c r="L166" s="415">
        <f t="shared" si="374"/>
        <v>1</v>
      </c>
      <c r="M166" s="416">
        <v>45859</v>
      </c>
      <c r="N166" s="416">
        <f t="shared" si="435"/>
        <v>45855</v>
      </c>
      <c r="O166" s="417" t="s">
        <v>995</v>
      </c>
      <c r="P166" s="417" t="s">
        <v>107</v>
      </c>
      <c r="Q166" s="417" t="s">
        <v>878</v>
      </c>
      <c r="R166" s="417" t="s">
        <v>331</v>
      </c>
      <c r="S166" s="417" t="s">
        <v>191</v>
      </c>
      <c r="T166" s="417" t="s">
        <v>605</v>
      </c>
      <c r="U166" s="417"/>
      <c r="V166" s="420" t="s">
        <v>606</v>
      </c>
      <c r="W166" s="416" t="s">
        <v>607</v>
      </c>
      <c r="X166" s="421">
        <v>555.88</v>
      </c>
      <c r="Y166" s="415">
        <f t="shared" ref="Y166:Y169" si="438">X166*L166</f>
        <v>555.88</v>
      </c>
      <c r="Z166" s="416" t="s">
        <v>996</v>
      </c>
      <c r="AA166" s="420">
        <v>1152</v>
      </c>
      <c r="AB166" s="420">
        <f t="shared" si="275"/>
        <v>0</v>
      </c>
      <c r="AC166" s="417"/>
      <c r="AD166" s="417" t="s">
        <v>114</v>
      </c>
      <c r="AE166" s="416" t="s">
        <v>258</v>
      </c>
      <c r="AF166" s="416" t="s">
        <v>115</v>
      </c>
      <c r="AG166" s="422">
        <f t="shared" si="366"/>
        <v>1152</v>
      </c>
      <c r="AH166" s="422">
        <f t="shared" si="422"/>
        <v>1152</v>
      </c>
      <c r="AI166" s="422"/>
      <c r="AJ166" s="422"/>
      <c r="AK166" s="422">
        <f t="shared" ref="AK166:AK170" si="439">I166</f>
        <v>1152</v>
      </c>
      <c r="AL166" s="422"/>
      <c r="AM166" s="422"/>
      <c r="AN166" s="422"/>
      <c r="AO166" s="422">
        <f t="shared" si="369"/>
        <v>1152</v>
      </c>
      <c r="AP166" s="422"/>
      <c r="AQ166" s="422"/>
      <c r="AR166" s="422"/>
      <c r="AS166" s="422"/>
      <c r="AT166" s="422"/>
      <c r="AU166" s="422"/>
      <c r="AV166" s="422">
        <f t="shared" si="424"/>
        <v>96</v>
      </c>
      <c r="AW166" s="422"/>
      <c r="AX166" s="422"/>
      <c r="AY166" s="422"/>
      <c r="AZ166" s="422"/>
      <c r="BA166" s="422"/>
      <c r="BB166" s="422"/>
      <c r="BC166" s="422"/>
      <c r="BD166" s="422"/>
      <c r="BE166" s="422"/>
      <c r="BF166" s="422"/>
      <c r="BG166" s="422"/>
      <c r="BH166" s="422"/>
      <c r="BI166" s="422"/>
      <c r="BJ166" s="423">
        <f t="shared" ref="BJ166:BR166" si="440">$I166*BJ$2</f>
        <v>141</v>
      </c>
      <c r="BK166" s="423">
        <f t="shared" si="440"/>
        <v>141</v>
      </c>
      <c r="BL166" s="423">
        <f t="shared" si="440"/>
        <v>141</v>
      </c>
      <c r="BM166" s="423">
        <f t="shared" si="440"/>
        <v>141</v>
      </c>
      <c r="BN166" s="423">
        <f t="shared" si="440"/>
        <v>141</v>
      </c>
      <c r="BO166" s="423">
        <f t="shared" si="440"/>
        <v>141</v>
      </c>
      <c r="BP166" s="423">
        <f t="shared" si="440"/>
        <v>141</v>
      </c>
      <c r="BQ166" s="423">
        <f t="shared" si="440"/>
        <v>141</v>
      </c>
      <c r="BR166" s="423">
        <f t="shared" si="440"/>
        <v>24</v>
      </c>
      <c r="BT166" s="59">
        <f t="shared" ref="BT166:CB166" si="441">BT165-BJ166</f>
        <v>85435.4817708334</v>
      </c>
      <c r="BU166" s="59">
        <f t="shared" si="441"/>
        <v>85435.4817708334</v>
      </c>
      <c r="BV166" s="59">
        <f t="shared" si="441"/>
        <v>85435.4817708334</v>
      </c>
      <c r="BW166" s="59">
        <f t="shared" si="441"/>
        <v>85435.4817708334</v>
      </c>
      <c r="BX166" s="59">
        <f t="shared" si="441"/>
        <v>85435.4817708334</v>
      </c>
      <c r="BY166" s="59">
        <f t="shared" si="441"/>
        <v>85435.4817708334</v>
      </c>
      <c r="BZ166" s="59">
        <f t="shared" si="441"/>
        <v>85435.4817708334</v>
      </c>
      <c r="CA166" s="59">
        <f t="shared" si="441"/>
        <v>85435.4817708334</v>
      </c>
      <c r="CB166" s="59">
        <f t="shared" si="441"/>
        <v>14494.1458333333</v>
      </c>
    </row>
    <row r="167" s="371" customFormat="1" ht="27" hidden="1" customHeight="1" spans="1:80">
      <c r="A167" s="410">
        <v>45799</v>
      </c>
      <c r="B167" s="411" t="s">
        <v>997</v>
      </c>
      <c r="C167" s="412" t="s">
        <v>574</v>
      </c>
      <c r="D167" s="413">
        <v>4500167249</v>
      </c>
      <c r="E167" s="412">
        <v>5040017</v>
      </c>
      <c r="F167" s="411" t="s">
        <v>998</v>
      </c>
      <c r="G167" s="414" t="s">
        <v>78</v>
      </c>
      <c r="H167" s="411" t="s">
        <v>79</v>
      </c>
      <c r="I167" s="415">
        <v>4266</v>
      </c>
      <c r="J167" s="415">
        <v>0</v>
      </c>
      <c r="K167" s="415">
        <v>54</v>
      </c>
      <c r="L167" s="415">
        <f t="shared" si="374"/>
        <v>79</v>
      </c>
      <c r="M167" s="416">
        <v>45859</v>
      </c>
      <c r="N167" s="416">
        <f t="shared" si="435"/>
        <v>45855</v>
      </c>
      <c r="O167" s="417"/>
      <c r="P167" s="417" t="s">
        <v>107</v>
      </c>
      <c r="Q167" s="511" t="s">
        <v>999</v>
      </c>
      <c r="R167" s="417">
        <v>45831</v>
      </c>
      <c r="S167" s="417" t="s">
        <v>80</v>
      </c>
      <c r="T167" s="417" t="s">
        <v>1000</v>
      </c>
      <c r="U167" s="417"/>
      <c r="V167" s="420" t="s">
        <v>1001</v>
      </c>
      <c r="W167" s="416" t="s">
        <v>581</v>
      </c>
      <c r="X167" s="421">
        <v>0.7913</v>
      </c>
      <c r="Y167" s="415">
        <f t="shared" ref="Y167:Y179" si="442">X167*I167</f>
        <v>3375.6858</v>
      </c>
      <c r="Z167" s="416" t="s">
        <v>1002</v>
      </c>
      <c r="AA167" s="420">
        <v>4266</v>
      </c>
      <c r="AB167" s="420">
        <f t="shared" si="275"/>
        <v>0</v>
      </c>
      <c r="AC167" s="417" t="s">
        <v>113</v>
      </c>
      <c r="AD167" s="417" t="s">
        <v>114</v>
      </c>
      <c r="AE167" s="416" t="s">
        <v>230</v>
      </c>
      <c r="AF167" s="416" t="s">
        <v>115</v>
      </c>
      <c r="AG167" s="422">
        <f t="shared" si="366"/>
        <v>4266</v>
      </c>
      <c r="AH167" s="422">
        <f t="shared" si="422"/>
        <v>4266</v>
      </c>
      <c r="AI167" s="422"/>
      <c r="AJ167" s="422"/>
      <c r="AK167" s="422"/>
      <c r="AL167" s="422">
        <f t="shared" si="430"/>
        <v>4266</v>
      </c>
      <c r="AM167" s="422"/>
      <c r="AN167" s="422"/>
      <c r="AO167" s="422">
        <f t="shared" si="369"/>
        <v>4266</v>
      </c>
      <c r="AP167" s="422"/>
      <c r="AQ167" s="422"/>
      <c r="AR167" s="422">
        <f>I167/27</f>
        <v>158</v>
      </c>
      <c r="AS167" s="422"/>
      <c r="AT167" s="422"/>
      <c r="AU167" s="422"/>
      <c r="AV167" s="422"/>
      <c r="AW167" s="422"/>
      <c r="AX167" s="422"/>
      <c r="AY167" s="422"/>
      <c r="AZ167" s="422"/>
      <c r="BA167" s="422"/>
      <c r="BB167" s="422"/>
      <c r="BC167" s="422"/>
      <c r="BD167" s="422"/>
      <c r="BE167" s="422"/>
      <c r="BF167" s="422"/>
      <c r="BG167" s="422"/>
      <c r="BH167" s="422"/>
      <c r="BI167" s="422"/>
      <c r="BJ167" s="423">
        <f t="shared" ref="BJ167:BR167" si="443">$I167*BJ$2</f>
        <v>522.140624999999</v>
      </c>
      <c r="BK167" s="423">
        <f t="shared" si="443"/>
        <v>522.140624999999</v>
      </c>
      <c r="BL167" s="423">
        <f t="shared" si="443"/>
        <v>522.140624999999</v>
      </c>
      <c r="BM167" s="423">
        <f t="shared" si="443"/>
        <v>522.140624999999</v>
      </c>
      <c r="BN167" s="423">
        <f t="shared" si="443"/>
        <v>522.140624999999</v>
      </c>
      <c r="BO167" s="423">
        <f t="shared" si="443"/>
        <v>522.140624999999</v>
      </c>
      <c r="BP167" s="423">
        <f t="shared" si="443"/>
        <v>522.140624999999</v>
      </c>
      <c r="BQ167" s="423">
        <f t="shared" si="443"/>
        <v>522.140624999999</v>
      </c>
      <c r="BR167" s="423">
        <f t="shared" si="443"/>
        <v>88.8749999999999</v>
      </c>
      <c r="BT167" s="59">
        <f t="shared" ref="BT167:CB167" si="444">BT166-BJ167</f>
        <v>84913.3411458334</v>
      </c>
      <c r="BU167" s="59">
        <f t="shared" si="444"/>
        <v>84913.3411458334</v>
      </c>
      <c r="BV167" s="59">
        <f t="shared" si="444"/>
        <v>84913.3411458334</v>
      </c>
      <c r="BW167" s="59">
        <f t="shared" si="444"/>
        <v>84913.3411458334</v>
      </c>
      <c r="BX167" s="59">
        <f t="shared" si="444"/>
        <v>84913.3411458334</v>
      </c>
      <c r="BY167" s="59">
        <f t="shared" si="444"/>
        <v>84913.3411458334</v>
      </c>
      <c r="BZ167" s="59">
        <f t="shared" si="444"/>
        <v>84913.3411458334</v>
      </c>
      <c r="CA167" s="59">
        <f t="shared" si="444"/>
        <v>84913.3411458334</v>
      </c>
      <c r="CB167" s="59">
        <f t="shared" si="444"/>
        <v>14405.2708333333</v>
      </c>
    </row>
    <row r="168" s="371" customFormat="1" ht="27" hidden="1" customHeight="1" spans="1:80">
      <c r="A168" s="410">
        <v>45792</v>
      </c>
      <c r="B168" s="411" t="s">
        <v>600</v>
      </c>
      <c r="C168" s="412" t="s">
        <v>117</v>
      </c>
      <c r="D168" s="413">
        <v>4500166547</v>
      </c>
      <c r="E168" s="533" t="s">
        <v>1003</v>
      </c>
      <c r="F168" s="411" t="s">
        <v>1004</v>
      </c>
      <c r="G168" s="414" t="s">
        <v>258</v>
      </c>
      <c r="H168" s="411" t="s">
        <v>259</v>
      </c>
      <c r="I168" s="415">
        <v>1152</v>
      </c>
      <c r="J168" s="415">
        <v>0</v>
      </c>
      <c r="K168" s="415">
        <v>1152</v>
      </c>
      <c r="L168" s="415">
        <f t="shared" si="374"/>
        <v>1</v>
      </c>
      <c r="M168" s="416">
        <v>45867</v>
      </c>
      <c r="N168" s="416">
        <v>45856</v>
      </c>
      <c r="O168" s="417" t="s">
        <v>1005</v>
      </c>
      <c r="P168" s="417" t="s">
        <v>107</v>
      </c>
      <c r="Q168" s="417" t="s">
        <v>1006</v>
      </c>
      <c r="R168" s="417" t="s">
        <v>331</v>
      </c>
      <c r="S168" s="417" t="s">
        <v>191</v>
      </c>
      <c r="T168" s="417" t="s">
        <v>605</v>
      </c>
      <c r="U168" s="417"/>
      <c r="V168" s="420" t="s">
        <v>606</v>
      </c>
      <c r="W168" s="416" t="s">
        <v>607</v>
      </c>
      <c r="X168" s="421">
        <v>926.4718</v>
      </c>
      <c r="Y168" s="415">
        <f t="shared" si="438"/>
        <v>926.4718</v>
      </c>
      <c r="Z168" s="416" t="s">
        <v>1007</v>
      </c>
      <c r="AA168" s="420">
        <v>1152</v>
      </c>
      <c r="AB168" s="420">
        <f t="shared" si="275"/>
        <v>0</v>
      </c>
      <c r="AC168" s="417"/>
      <c r="AD168" s="417" t="s">
        <v>114</v>
      </c>
      <c r="AE168" s="416" t="s">
        <v>258</v>
      </c>
      <c r="AF168" s="416" t="s">
        <v>115</v>
      </c>
      <c r="AG168" s="422">
        <f t="shared" si="366"/>
        <v>1152</v>
      </c>
      <c r="AH168" s="422">
        <f t="shared" si="422"/>
        <v>1152</v>
      </c>
      <c r="AI168" s="422"/>
      <c r="AJ168" s="422"/>
      <c r="AK168" s="422">
        <f t="shared" si="439"/>
        <v>1152</v>
      </c>
      <c r="AL168" s="422"/>
      <c r="AM168" s="422"/>
      <c r="AN168" s="422"/>
      <c r="AO168" s="422">
        <f t="shared" si="369"/>
        <v>1152</v>
      </c>
      <c r="AP168" s="422"/>
      <c r="AQ168" s="422"/>
      <c r="AR168" s="422"/>
      <c r="AS168" s="422"/>
      <c r="AT168" s="422"/>
      <c r="AU168" s="422"/>
      <c r="AV168" s="422">
        <f>I168/12</f>
        <v>96</v>
      </c>
      <c r="AW168" s="422"/>
      <c r="AX168" s="422"/>
      <c r="AY168" s="422"/>
      <c r="AZ168" s="422"/>
      <c r="BA168" s="422"/>
      <c r="BB168" s="422"/>
      <c r="BC168" s="422"/>
      <c r="BD168" s="422"/>
      <c r="BE168" s="422"/>
      <c r="BF168" s="422"/>
      <c r="BG168" s="422"/>
      <c r="BH168" s="422"/>
      <c r="BI168" s="422"/>
      <c r="BJ168" s="423">
        <f t="shared" ref="BJ168:BR168" si="445">$I168*BJ$2</f>
        <v>141</v>
      </c>
      <c r="BK168" s="423">
        <f t="shared" si="445"/>
        <v>141</v>
      </c>
      <c r="BL168" s="423">
        <f t="shared" si="445"/>
        <v>141</v>
      </c>
      <c r="BM168" s="423">
        <f t="shared" si="445"/>
        <v>141</v>
      </c>
      <c r="BN168" s="423">
        <f t="shared" si="445"/>
        <v>141</v>
      </c>
      <c r="BO168" s="423">
        <f t="shared" si="445"/>
        <v>141</v>
      </c>
      <c r="BP168" s="423">
        <f t="shared" si="445"/>
        <v>141</v>
      </c>
      <c r="BQ168" s="423">
        <f t="shared" si="445"/>
        <v>141</v>
      </c>
      <c r="BR168" s="423">
        <f t="shared" si="445"/>
        <v>24</v>
      </c>
      <c r="BT168" s="59">
        <f t="shared" ref="BT168:CB168" si="446">BT167-BJ168</f>
        <v>84772.3411458334</v>
      </c>
      <c r="BU168" s="59">
        <f t="shared" si="446"/>
        <v>84772.3411458334</v>
      </c>
      <c r="BV168" s="59">
        <f t="shared" si="446"/>
        <v>84772.3411458334</v>
      </c>
      <c r="BW168" s="59">
        <f t="shared" si="446"/>
        <v>84772.3411458334</v>
      </c>
      <c r="BX168" s="59">
        <f t="shared" si="446"/>
        <v>84772.3411458334</v>
      </c>
      <c r="BY168" s="59">
        <f t="shared" si="446"/>
        <v>84772.3411458334</v>
      </c>
      <c r="BZ168" s="59">
        <f t="shared" si="446"/>
        <v>84772.3411458334</v>
      </c>
      <c r="CA168" s="59">
        <f t="shared" si="446"/>
        <v>84772.3411458334</v>
      </c>
      <c r="CB168" s="59">
        <f t="shared" si="446"/>
        <v>14381.2708333333</v>
      </c>
    </row>
    <row r="169" s="371" customFormat="1" ht="27" hidden="1" customHeight="1" spans="1:80">
      <c r="A169" s="410">
        <v>45792</v>
      </c>
      <c r="B169" s="411" t="s">
        <v>600</v>
      </c>
      <c r="C169" s="412" t="s">
        <v>117</v>
      </c>
      <c r="D169" s="413">
        <v>4500166547</v>
      </c>
      <c r="E169" s="533" t="s">
        <v>1008</v>
      </c>
      <c r="F169" s="411" t="s">
        <v>1009</v>
      </c>
      <c r="G169" s="414" t="s">
        <v>258</v>
      </c>
      <c r="H169" s="411" t="s">
        <v>259</v>
      </c>
      <c r="I169" s="415">
        <v>1152</v>
      </c>
      <c r="J169" s="415">
        <v>0</v>
      </c>
      <c r="K169" s="415">
        <v>1152</v>
      </c>
      <c r="L169" s="415">
        <f t="shared" si="374"/>
        <v>1</v>
      </c>
      <c r="M169" s="416">
        <v>45867</v>
      </c>
      <c r="N169" s="416">
        <v>45856</v>
      </c>
      <c r="O169" s="417" t="s">
        <v>1005</v>
      </c>
      <c r="P169" s="417" t="s">
        <v>107</v>
      </c>
      <c r="Q169" s="417" t="s">
        <v>1010</v>
      </c>
      <c r="R169" s="417" t="s">
        <v>331</v>
      </c>
      <c r="S169" s="417" t="s">
        <v>191</v>
      </c>
      <c r="T169" s="417" t="s">
        <v>605</v>
      </c>
      <c r="U169" s="417"/>
      <c r="V169" s="420" t="s">
        <v>606</v>
      </c>
      <c r="W169" s="416" t="s">
        <v>607</v>
      </c>
      <c r="X169" s="421">
        <v>926.4718</v>
      </c>
      <c r="Y169" s="415">
        <f t="shared" si="438"/>
        <v>926.4718</v>
      </c>
      <c r="Z169" s="416" t="s">
        <v>1011</v>
      </c>
      <c r="AA169" s="420">
        <v>1152</v>
      </c>
      <c r="AB169" s="420">
        <f t="shared" si="275"/>
        <v>0</v>
      </c>
      <c r="AC169" s="417"/>
      <c r="AD169" s="417" t="s">
        <v>114</v>
      </c>
      <c r="AE169" s="416" t="s">
        <v>258</v>
      </c>
      <c r="AF169" s="416" t="s">
        <v>115</v>
      </c>
      <c r="AG169" s="422">
        <f t="shared" si="366"/>
        <v>1152</v>
      </c>
      <c r="AH169" s="422">
        <f t="shared" si="422"/>
        <v>1152</v>
      </c>
      <c r="AI169" s="422"/>
      <c r="AJ169" s="422"/>
      <c r="AK169" s="422">
        <f t="shared" si="439"/>
        <v>1152</v>
      </c>
      <c r="AL169" s="422"/>
      <c r="AM169" s="422"/>
      <c r="AN169" s="422"/>
      <c r="AO169" s="422">
        <f t="shared" si="369"/>
        <v>1152</v>
      </c>
      <c r="AP169" s="422"/>
      <c r="AQ169" s="422"/>
      <c r="AR169" s="422"/>
      <c r="AS169" s="422"/>
      <c r="AT169" s="422"/>
      <c r="AU169" s="422"/>
      <c r="AV169" s="422">
        <f>I169/12</f>
        <v>96</v>
      </c>
      <c r="AW169" s="422"/>
      <c r="AX169" s="422"/>
      <c r="AY169" s="422"/>
      <c r="AZ169" s="422"/>
      <c r="BA169" s="422"/>
      <c r="BB169" s="422"/>
      <c r="BC169" s="422"/>
      <c r="BD169" s="422"/>
      <c r="BE169" s="422"/>
      <c r="BF169" s="422"/>
      <c r="BG169" s="422"/>
      <c r="BH169" s="422"/>
      <c r="BI169" s="422"/>
      <c r="BJ169" s="423">
        <f t="shared" ref="BJ169:BR169" si="447">$I169*BJ$2</f>
        <v>141</v>
      </c>
      <c r="BK169" s="423">
        <f t="shared" si="447"/>
        <v>141</v>
      </c>
      <c r="BL169" s="423">
        <f t="shared" si="447"/>
        <v>141</v>
      </c>
      <c r="BM169" s="423">
        <f t="shared" si="447"/>
        <v>141</v>
      </c>
      <c r="BN169" s="423">
        <f t="shared" si="447"/>
        <v>141</v>
      </c>
      <c r="BO169" s="423">
        <f t="shared" si="447"/>
        <v>141</v>
      </c>
      <c r="BP169" s="423">
        <f t="shared" si="447"/>
        <v>141</v>
      </c>
      <c r="BQ169" s="423">
        <f t="shared" si="447"/>
        <v>141</v>
      </c>
      <c r="BR169" s="423">
        <f t="shared" si="447"/>
        <v>24</v>
      </c>
      <c r="BT169" s="59">
        <f t="shared" ref="BT169:CB169" si="448">BT168-BJ169</f>
        <v>84631.3411458334</v>
      </c>
      <c r="BU169" s="59">
        <f t="shared" si="448"/>
        <v>84631.3411458334</v>
      </c>
      <c r="BV169" s="59">
        <f t="shared" si="448"/>
        <v>84631.3411458334</v>
      </c>
      <c r="BW169" s="59">
        <f t="shared" si="448"/>
        <v>84631.3411458334</v>
      </c>
      <c r="BX169" s="59">
        <f t="shared" si="448"/>
        <v>84631.3411458334</v>
      </c>
      <c r="BY169" s="59">
        <f t="shared" si="448"/>
        <v>84631.3411458334</v>
      </c>
      <c r="BZ169" s="59">
        <f t="shared" si="448"/>
        <v>84631.3411458334</v>
      </c>
      <c r="CA169" s="59">
        <f t="shared" si="448"/>
        <v>84631.3411458334</v>
      </c>
      <c r="CB169" s="59">
        <f t="shared" si="448"/>
        <v>14357.2708333333</v>
      </c>
    </row>
    <row r="170" s="371" customFormat="1" ht="27" hidden="1" customHeight="1" spans="1:80">
      <c r="A170" s="410">
        <v>45821</v>
      </c>
      <c r="B170" s="411" t="s">
        <v>1012</v>
      </c>
      <c r="C170" s="412" t="s">
        <v>396</v>
      </c>
      <c r="D170" s="413">
        <v>4500170043</v>
      </c>
      <c r="E170" s="412" t="s">
        <v>1013</v>
      </c>
      <c r="F170" s="411" t="s">
        <v>1014</v>
      </c>
      <c r="G170" s="414" t="s">
        <v>463</v>
      </c>
      <c r="H170" s="411" t="s">
        <v>464</v>
      </c>
      <c r="I170" s="415">
        <v>540</v>
      </c>
      <c r="J170" s="415">
        <v>27</v>
      </c>
      <c r="K170" s="415">
        <v>54</v>
      </c>
      <c r="L170" s="415">
        <f t="shared" si="374"/>
        <v>10</v>
      </c>
      <c r="M170" s="416">
        <v>45863</v>
      </c>
      <c r="N170" s="416">
        <v>45857</v>
      </c>
      <c r="O170" s="417"/>
      <c r="P170" s="417" t="s">
        <v>224</v>
      </c>
      <c r="Q170" s="417" t="s">
        <v>725</v>
      </c>
      <c r="R170" s="509">
        <v>45834</v>
      </c>
      <c r="S170" s="417" t="s">
        <v>80</v>
      </c>
      <c r="T170" s="417" t="s">
        <v>80</v>
      </c>
      <c r="U170" s="417"/>
      <c r="V170" s="420" t="s">
        <v>1015</v>
      </c>
      <c r="W170" s="416" t="s">
        <v>467</v>
      </c>
      <c r="X170" s="421">
        <v>0.8032</v>
      </c>
      <c r="Y170" s="415">
        <f t="shared" si="442"/>
        <v>433.728</v>
      </c>
      <c r="Z170" s="416" t="s">
        <v>1016</v>
      </c>
      <c r="AA170" s="420">
        <v>540</v>
      </c>
      <c r="AB170" s="420">
        <f t="shared" ref="AB170:AB233" si="449">AA170-I170</f>
        <v>0</v>
      </c>
      <c r="AC170" s="417" t="s">
        <v>80</v>
      </c>
      <c r="AD170" s="417" t="s">
        <v>114</v>
      </c>
      <c r="AE170" s="416" t="s">
        <v>463</v>
      </c>
      <c r="AF170" s="416" t="s">
        <v>115</v>
      </c>
      <c r="AG170" s="422">
        <f t="shared" si="366"/>
        <v>540</v>
      </c>
      <c r="AH170" s="422">
        <f t="shared" si="422"/>
        <v>540</v>
      </c>
      <c r="AI170" s="422"/>
      <c r="AJ170" s="422"/>
      <c r="AK170" s="422">
        <f t="shared" si="439"/>
        <v>540</v>
      </c>
      <c r="AL170" s="422"/>
      <c r="AM170" s="422"/>
      <c r="AN170" s="422"/>
      <c r="AO170" s="422">
        <f t="shared" si="369"/>
        <v>540</v>
      </c>
      <c r="AP170" s="422"/>
      <c r="AQ170" s="422">
        <f>I170/27</f>
        <v>20</v>
      </c>
      <c r="AR170" s="422"/>
      <c r="AS170" s="422"/>
      <c r="AT170" s="422"/>
      <c r="AU170" s="422"/>
      <c r="AV170" s="422"/>
      <c r="AW170" s="422"/>
      <c r="AX170" s="422"/>
      <c r="AY170" s="422"/>
      <c r="AZ170" s="422"/>
      <c r="BA170" s="422"/>
      <c r="BB170" s="422"/>
      <c r="BC170" s="422"/>
      <c r="BD170" s="422"/>
      <c r="BE170" s="422"/>
      <c r="BF170" s="422"/>
      <c r="BG170" s="422"/>
      <c r="BH170" s="422"/>
      <c r="BI170" s="422"/>
      <c r="BJ170" s="423">
        <f t="shared" ref="BJ170:BR170" si="450">$I170*BJ$2</f>
        <v>66.0937499999998</v>
      </c>
      <c r="BK170" s="423">
        <f t="shared" si="450"/>
        <v>66.0937499999998</v>
      </c>
      <c r="BL170" s="423">
        <f t="shared" si="450"/>
        <v>66.0937499999998</v>
      </c>
      <c r="BM170" s="423">
        <f t="shared" si="450"/>
        <v>66.0937499999998</v>
      </c>
      <c r="BN170" s="423">
        <f t="shared" si="450"/>
        <v>66.0937499999998</v>
      </c>
      <c r="BO170" s="423">
        <f t="shared" si="450"/>
        <v>66.0937499999998</v>
      </c>
      <c r="BP170" s="423">
        <f t="shared" si="450"/>
        <v>66.0937499999998</v>
      </c>
      <c r="BQ170" s="423">
        <f t="shared" si="450"/>
        <v>66.0937499999998</v>
      </c>
      <c r="BR170" s="423">
        <f t="shared" si="450"/>
        <v>11.25</v>
      </c>
      <c r="BT170" s="59">
        <f t="shared" ref="BT170:CB170" si="451">BT169-BJ170</f>
        <v>84565.2473958334</v>
      </c>
      <c r="BU170" s="59">
        <f t="shared" si="451"/>
        <v>84565.2473958334</v>
      </c>
      <c r="BV170" s="59">
        <f t="shared" si="451"/>
        <v>84565.2473958334</v>
      </c>
      <c r="BW170" s="59">
        <f t="shared" si="451"/>
        <v>84565.2473958334</v>
      </c>
      <c r="BX170" s="59">
        <f t="shared" si="451"/>
        <v>84565.2473958334</v>
      </c>
      <c r="BY170" s="59">
        <f t="shared" si="451"/>
        <v>84565.2473958334</v>
      </c>
      <c r="BZ170" s="59">
        <f t="shared" si="451"/>
        <v>84565.2473958334</v>
      </c>
      <c r="CA170" s="59">
        <f t="shared" si="451"/>
        <v>84565.2473958334</v>
      </c>
      <c r="CB170" s="59">
        <f t="shared" si="451"/>
        <v>14346.0208333333</v>
      </c>
    </row>
    <row r="171" s="371" customFormat="1" ht="27" hidden="1" customHeight="1" spans="1:80">
      <c r="A171" s="410">
        <v>45826</v>
      </c>
      <c r="B171" s="411" t="s">
        <v>388</v>
      </c>
      <c r="C171" s="412" t="s">
        <v>389</v>
      </c>
      <c r="D171" s="413">
        <v>4500168979</v>
      </c>
      <c r="E171" s="412">
        <v>3501527807</v>
      </c>
      <c r="F171" s="411" t="s">
        <v>1017</v>
      </c>
      <c r="G171" s="414" t="s">
        <v>152</v>
      </c>
      <c r="H171" s="411" t="s">
        <v>153</v>
      </c>
      <c r="I171" s="415">
        <v>1287</v>
      </c>
      <c r="J171" s="415">
        <v>0</v>
      </c>
      <c r="K171" s="415">
        <v>13</v>
      </c>
      <c r="L171" s="415">
        <f t="shared" si="374"/>
        <v>99</v>
      </c>
      <c r="M171" s="416">
        <v>45860</v>
      </c>
      <c r="N171" s="416">
        <v>45857</v>
      </c>
      <c r="O171" s="417" t="s">
        <v>1018</v>
      </c>
      <c r="P171" s="417" t="s">
        <v>107</v>
      </c>
      <c r="Q171" s="417" t="s">
        <v>1019</v>
      </c>
      <c r="R171" s="417">
        <v>45826</v>
      </c>
      <c r="S171" s="417" t="s">
        <v>80</v>
      </c>
      <c r="T171" s="417" t="s">
        <v>1020</v>
      </c>
      <c r="U171" s="417"/>
      <c r="V171" s="420" t="s">
        <v>1021</v>
      </c>
      <c r="W171" s="416" t="s">
        <v>395</v>
      </c>
      <c r="X171" s="421">
        <v>0.7758</v>
      </c>
      <c r="Y171" s="415">
        <f t="shared" si="442"/>
        <v>998.4546</v>
      </c>
      <c r="Z171" s="416"/>
      <c r="AA171" s="420">
        <f>1248+39</f>
        <v>1287</v>
      </c>
      <c r="AB171" s="420">
        <f t="shared" si="449"/>
        <v>0</v>
      </c>
      <c r="AC171" s="417" t="s">
        <v>113</v>
      </c>
      <c r="AD171" s="417" t="s">
        <v>114</v>
      </c>
      <c r="AE171" s="416" t="s">
        <v>319</v>
      </c>
      <c r="AF171" s="416" t="s">
        <v>115</v>
      </c>
      <c r="AG171" s="422">
        <f t="shared" si="366"/>
        <v>1287</v>
      </c>
      <c r="AH171" s="422"/>
      <c r="AI171" s="422">
        <f>I171</f>
        <v>1287</v>
      </c>
      <c r="AJ171" s="422"/>
      <c r="AK171" s="422"/>
      <c r="AL171" s="422">
        <f t="shared" ref="AL171:AL174" si="452">I171</f>
        <v>1287</v>
      </c>
      <c r="AM171" s="422"/>
      <c r="AN171" s="422"/>
      <c r="AO171" s="422">
        <f t="shared" si="369"/>
        <v>1287</v>
      </c>
      <c r="AP171" s="422"/>
      <c r="AQ171" s="422"/>
      <c r="AR171" s="422"/>
      <c r="AS171" s="422"/>
      <c r="AT171" s="422"/>
      <c r="AU171" s="422">
        <f>I171/13</f>
        <v>99</v>
      </c>
      <c r="AV171" s="422"/>
      <c r="AW171" s="422"/>
      <c r="AX171" s="422"/>
      <c r="AY171" s="422"/>
      <c r="AZ171" s="422"/>
      <c r="BA171" s="422"/>
      <c r="BB171" s="422"/>
      <c r="BC171" s="422"/>
      <c r="BD171" s="422"/>
      <c r="BE171" s="422"/>
      <c r="BF171" s="422"/>
      <c r="BG171" s="422"/>
      <c r="BH171" s="422"/>
      <c r="BI171" s="422"/>
      <c r="BJ171" s="423">
        <f t="shared" ref="BJ171:BR171" si="453">$I171*BJ$2</f>
        <v>157.5234375</v>
      </c>
      <c r="BK171" s="423">
        <f t="shared" si="453"/>
        <v>157.5234375</v>
      </c>
      <c r="BL171" s="423">
        <f t="shared" si="453"/>
        <v>157.5234375</v>
      </c>
      <c r="BM171" s="423">
        <f t="shared" si="453"/>
        <v>157.5234375</v>
      </c>
      <c r="BN171" s="423">
        <f t="shared" si="453"/>
        <v>157.5234375</v>
      </c>
      <c r="BO171" s="423">
        <f t="shared" si="453"/>
        <v>157.5234375</v>
      </c>
      <c r="BP171" s="423">
        <f t="shared" si="453"/>
        <v>157.5234375</v>
      </c>
      <c r="BQ171" s="423">
        <f t="shared" si="453"/>
        <v>157.5234375</v>
      </c>
      <c r="BR171" s="423">
        <f t="shared" si="453"/>
        <v>26.8125</v>
      </c>
      <c r="BT171" s="59">
        <f t="shared" ref="BT171:CB171" si="454">BT170-BJ171</f>
        <v>84407.7239583334</v>
      </c>
      <c r="BU171" s="59">
        <f t="shared" si="454"/>
        <v>84407.7239583334</v>
      </c>
      <c r="BV171" s="59">
        <f t="shared" si="454"/>
        <v>84407.7239583334</v>
      </c>
      <c r="BW171" s="59">
        <f t="shared" si="454"/>
        <v>84407.7239583334</v>
      </c>
      <c r="BX171" s="59">
        <f t="shared" si="454"/>
        <v>84407.7239583334</v>
      </c>
      <c r="BY171" s="59">
        <f t="shared" si="454"/>
        <v>84407.7239583334</v>
      </c>
      <c r="BZ171" s="59">
        <f t="shared" si="454"/>
        <v>84407.7239583334</v>
      </c>
      <c r="CA171" s="59">
        <f t="shared" si="454"/>
        <v>84407.7239583334</v>
      </c>
      <c r="CB171" s="59">
        <f t="shared" si="454"/>
        <v>14319.2083333333</v>
      </c>
    </row>
    <row r="172" s="371" customFormat="1" ht="27" hidden="1" customHeight="1" spans="1:80">
      <c r="A172" s="410">
        <v>45771</v>
      </c>
      <c r="B172" s="411" t="s">
        <v>1022</v>
      </c>
      <c r="C172" s="412" t="s">
        <v>281</v>
      </c>
      <c r="D172" s="413">
        <v>4500164774</v>
      </c>
      <c r="E172" s="412" t="s">
        <v>1023</v>
      </c>
      <c r="F172" s="411" t="s">
        <v>1024</v>
      </c>
      <c r="G172" s="414" t="s">
        <v>78</v>
      </c>
      <c r="H172" s="411" t="s">
        <v>79</v>
      </c>
      <c r="I172" s="415">
        <v>486</v>
      </c>
      <c r="J172" s="415">
        <v>0</v>
      </c>
      <c r="K172" s="415">
        <v>54</v>
      </c>
      <c r="L172" s="415">
        <f t="shared" si="374"/>
        <v>9</v>
      </c>
      <c r="M172" s="416">
        <v>45859</v>
      </c>
      <c r="N172" s="416">
        <v>45857</v>
      </c>
      <c r="O172" s="417" t="s">
        <v>988</v>
      </c>
      <c r="P172" s="417" t="s">
        <v>224</v>
      </c>
      <c r="Q172" s="417" t="s">
        <v>1025</v>
      </c>
      <c r="R172" s="417">
        <v>45821</v>
      </c>
      <c r="S172" s="417" t="s">
        <v>80</v>
      </c>
      <c r="T172" s="417" t="s">
        <v>1026</v>
      </c>
      <c r="U172" s="417"/>
      <c r="V172" s="420" t="s">
        <v>1027</v>
      </c>
      <c r="W172" s="416" t="s">
        <v>228</v>
      </c>
      <c r="X172" s="421">
        <v>0.7967</v>
      </c>
      <c r="Y172" s="415">
        <f t="shared" si="442"/>
        <v>387.1962</v>
      </c>
      <c r="Z172" s="416" t="s">
        <v>1028</v>
      </c>
      <c r="AA172" s="420">
        <v>486</v>
      </c>
      <c r="AB172" s="420">
        <f t="shared" si="449"/>
        <v>0</v>
      </c>
      <c r="AC172" s="417" t="s">
        <v>113</v>
      </c>
      <c r="AD172" s="417" t="s">
        <v>114</v>
      </c>
      <c r="AE172" s="416" t="s">
        <v>230</v>
      </c>
      <c r="AF172" s="416" t="s">
        <v>115</v>
      </c>
      <c r="AG172" s="422">
        <f t="shared" si="366"/>
        <v>486</v>
      </c>
      <c r="AH172" s="422">
        <f>I172</f>
        <v>486</v>
      </c>
      <c r="AI172" s="422"/>
      <c r="AJ172" s="422"/>
      <c r="AK172" s="422"/>
      <c r="AL172" s="422">
        <f t="shared" si="452"/>
        <v>486</v>
      </c>
      <c r="AM172" s="422"/>
      <c r="AN172" s="422"/>
      <c r="AO172" s="422">
        <f t="shared" si="369"/>
        <v>486</v>
      </c>
      <c r="AP172" s="422"/>
      <c r="AQ172" s="422"/>
      <c r="AR172" s="422">
        <f>I172/27</f>
        <v>18</v>
      </c>
      <c r="AS172" s="422"/>
      <c r="AT172" s="422"/>
      <c r="AU172" s="422"/>
      <c r="AV172" s="422"/>
      <c r="AW172" s="422"/>
      <c r="AX172" s="422"/>
      <c r="AY172" s="422"/>
      <c r="AZ172" s="422"/>
      <c r="BA172" s="422"/>
      <c r="BB172" s="422"/>
      <c r="BC172" s="422"/>
      <c r="BD172" s="422"/>
      <c r="BE172" s="422"/>
      <c r="BF172" s="422"/>
      <c r="BG172" s="422"/>
      <c r="BH172" s="422"/>
      <c r="BI172" s="422"/>
      <c r="BJ172" s="423">
        <f t="shared" ref="BJ172:BR172" si="455">$I172*BJ$2</f>
        <v>59.4843749999998</v>
      </c>
      <c r="BK172" s="423">
        <f t="shared" si="455"/>
        <v>59.4843749999998</v>
      </c>
      <c r="BL172" s="423">
        <f t="shared" si="455"/>
        <v>59.4843749999998</v>
      </c>
      <c r="BM172" s="423">
        <f t="shared" si="455"/>
        <v>59.4843749999998</v>
      </c>
      <c r="BN172" s="423">
        <f t="shared" si="455"/>
        <v>59.4843749999998</v>
      </c>
      <c r="BO172" s="423">
        <f t="shared" si="455"/>
        <v>59.4843749999998</v>
      </c>
      <c r="BP172" s="423">
        <f t="shared" si="455"/>
        <v>59.4843749999998</v>
      </c>
      <c r="BQ172" s="423">
        <f t="shared" si="455"/>
        <v>59.4843749999998</v>
      </c>
      <c r="BR172" s="423">
        <f t="shared" si="455"/>
        <v>10.125</v>
      </c>
      <c r="BT172" s="59">
        <f t="shared" ref="BT172:CB172" si="456">BT171-BJ172</f>
        <v>84348.2395833334</v>
      </c>
      <c r="BU172" s="59">
        <f t="shared" si="456"/>
        <v>84348.2395833334</v>
      </c>
      <c r="BV172" s="59">
        <f t="shared" si="456"/>
        <v>84348.2395833334</v>
      </c>
      <c r="BW172" s="59">
        <f t="shared" si="456"/>
        <v>84348.2395833334</v>
      </c>
      <c r="BX172" s="59">
        <f t="shared" si="456"/>
        <v>84348.2395833334</v>
      </c>
      <c r="BY172" s="59">
        <f t="shared" si="456"/>
        <v>84348.2395833334</v>
      </c>
      <c r="BZ172" s="59">
        <f t="shared" si="456"/>
        <v>84348.2395833334</v>
      </c>
      <c r="CA172" s="59">
        <f t="shared" si="456"/>
        <v>84348.2395833334</v>
      </c>
      <c r="CB172" s="59">
        <f t="shared" si="456"/>
        <v>14309.0833333333</v>
      </c>
    </row>
    <row r="173" s="371" customFormat="1" ht="27" hidden="1" customHeight="1" spans="1:80">
      <c r="A173" s="410">
        <v>45807</v>
      </c>
      <c r="B173" s="411" t="s">
        <v>1029</v>
      </c>
      <c r="C173" s="412" t="s">
        <v>117</v>
      </c>
      <c r="D173" s="413">
        <v>4500168600</v>
      </c>
      <c r="E173" s="412" t="s">
        <v>1030</v>
      </c>
      <c r="F173" s="411" t="s">
        <v>1031</v>
      </c>
      <c r="G173" s="414" t="s">
        <v>188</v>
      </c>
      <c r="H173" s="411" t="s">
        <v>120</v>
      </c>
      <c r="I173" s="415">
        <v>108</v>
      </c>
      <c r="J173" s="415">
        <v>0</v>
      </c>
      <c r="K173" s="415">
        <v>12</v>
      </c>
      <c r="L173" s="415">
        <f t="shared" si="374"/>
        <v>9</v>
      </c>
      <c r="M173" s="416">
        <v>45860</v>
      </c>
      <c r="N173" s="416">
        <v>45857</v>
      </c>
      <c r="O173" s="417"/>
      <c r="P173" s="417" t="s">
        <v>224</v>
      </c>
      <c r="Q173" s="417" t="s">
        <v>943</v>
      </c>
      <c r="R173" s="509">
        <v>45807</v>
      </c>
      <c r="S173" s="417" t="s">
        <v>191</v>
      </c>
      <c r="T173" s="417" t="s">
        <v>1032</v>
      </c>
      <c r="U173" s="417" t="s">
        <v>1033</v>
      </c>
      <c r="V173" s="420" t="s">
        <v>1034</v>
      </c>
      <c r="W173" s="416" t="s">
        <v>291</v>
      </c>
      <c r="X173" s="421">
        <v>1.8626</v>
      </c>
      <c r="Y173" s="415">
        <f t="shared" si="442"/>
        <v>201.1608</v>
      </c>
      <c r="Z173" s="416" t="s">
        <v>1035</v>
      </c>
      <c r="AA173" s="420">
        <v>108</v>
      </c>
      <c r="AB173" s="420">
        <f t="shared" si="449"/>
        <v>0</v>
      </c>
      <c r="AC173" s="417" t="s">
        <v>113</v>
      </c>
      <c r="AD173" s="417" t="s">
        <v>114</v>
      </c>
      <c r="AE173" s="416" t="s">
        <v>119</v>
      </c>
      <c r="AF173" s="416" t="s">
        <v>115</v>
      </c>
      <c r="AG173" s="422">
        <f t="shared" ref="AG173:AG178" si="457">I173*2</f>
        <v>216</v>
      </c>
      <c r="AH173" s="422">
        <f t="shared" ref="AH173:AH178" si="458">I173*2</f>
        <v>216</v>
      </c>
      <c r="AI173" s="422"/>
      <c r="AJ173" s="422"/>
      <c r="AK173" s="422">
        <f t="shared" ref="AK173:AK178" si="459">I173*2</f>
        <v>216</v>
      </c>
      <c r="AL173" s="422"/>
      <c r="AM173" s="422"/>
      <c r="AN173" s="422"/>
      <c r="AO173" s="422">
        <f t="shared" ref="AO173:AO178" si="460">I173*2</f>
        <v>216</v>
      </c>
      <c r="AP173" s="422"/>
      <c r="AQ173" s="422"/>
      <c r="AR173" s="422"/>
      <c r="AS173" s="422"/>
      <c r="AT173" s="422"/>
      <c r="AU173" s="422"/>
      <c r="AV173" s="422"/>
      <c r="AW173" s="422"/>
      <c r="AX173" s="422"/>
      <c r="AY173" s="422"/>
      <c r="AZ173" s="422"/>
      <c r="BA173" s="422"/>
      <c r="BB173" s="422"/>
      <c r="BC173" s="422"/>
      <c r="BD173" s="422"/>
      <c r="BE173" s="422"/>
      <c r="BF173" s="422">
        <f t="shared" ref="BF173:BF178" si="461">I173</f>
        <v>108</v>
      </c>
      <c r="BG173" s="422">
        <f t="shared" ref="BG173:BG178" si="462">I173</f>
        <v>108</v>
      </c>
      <c r="BH173" s="422"/>
      <c r="BI173" s="422"/>
      <c r="BJ173" s="423">
        <f t="shared" ref="BJ173:BR173" si="463">$I173*BJ$2*2</f>
        <v>26.4374999999999</v>
      </c>
      <c r="BK173" s="423">
        <f t="shared" si="463"/>
        <v>26.4374999999999</v>
      </c>
      <c r="BL173" s="423">
        <f t="shared" si="463"/>
        <v>26.4374999999999</v>
      </c>
      <c r="BM173" s="423">
        <f t="shared" si="463"/>
        <v>26.4374999999999</v>
      </c>
      <c r="BN173" s="423">
        <f t="shared" si="463"/>
        <v>26.4374999999999</v>
      </c>
      <c r="BO173" s="423">
        <f t="shared" si="463"/>
        <v>26.4374999999999</v>
      </c>
      <c r="BP173" s="423">
        <f t="shared" si="463"/>
        <v>26.4374999999999</v>
      </c>
      <c r="BQ173" s="423">
        <f t="shared" si="463"/>
        <v>26.4374999999999</v>
      </c>
      <c r="BR173" s="423">
        <f t="shared" si="463"/>
        <v>4.49999999999999</v>
      </c>
      <c r="BT173" s="59">
        <f t="shared" ref="BT173:CB173" si="464">BT172-BJ173</f>
        <v>84321.8020833334</v>
      </c>
      <c r="BU173" s="59">
        <f t="shared" si="464"/>
        <v>84321.8020833334</v>
      </c>
      <c r="BV173" s="59">
        <f t="shared" si="464"/>
        <v>84321.8020833334</v>
      </c>
      <c r="BW173" s="59">
        <f t="shared" si="464"/>
        <v>84321.8020833334</v>
      </c>
      <c r="BX173" s="59">
        <f t="shared" si="464"/>
        <v>84321.8020833334</v>
      </c>
      <c r="BY173" s="59">
        <f t="shared" si="464"/>
        <v>84321.8020833334</v>
      </c>
      <c r="BZ173" s="59">
        <f t="shared" si="464"/>
        <v>84321.8020833334</v>
      </c>
      <c r="CA173" s="59">
        <f t="shared" si="464"/>
        <v>84321.8020833334</v>
      </c>
      <c r="CB173" s="59">
        <f t="shared" si="464"/>
        <v>14304.5833333333</v>
      </c>
    </row>
    <row r="174" s="371" customFormat="1" ht="27" hidden="1" customHeight="1" spans="1:80">
      <c r="A174" s="410">
        <v>45791</v>
      </c>
      <c r="B174" s="411" t="s">
        <v>1036</v>
      </c>
      <c r="C174" s="412" t="s">
        <v>129</v>
      </c>
      <c r="D174" s="413">
        <v>4500166172</v>
      </c>
      <c r="E174" s="412">
        <v>4503547613</v>
      </c>
      <c r="F174" s="411" t="s">
        <v>1037</v>
      </c>
      <c r="G174" s="414" t="s">
        <v>152</v>
      </c>
      <c r="H174" s="411" t="s">
        <v>153</v>
      </c>
      <c r="I174" s="415">
        <v>2860</v>
      </c>
      <c r="J174" s="415">
        <v>0</v>
      </c>
      <c r="K174" s="415">
        <v>13</v>
      </c>
      <c r="L174" s="415">
        <f t="shared" si="374"/>
        <v>220</v>
      </c>
      <c r="M174" s="416">
        <v>45866</v>
      </c>
      <c r="N174" s="416">
        <v>45857</v>
      </c>
      <c r="O174" s="417"/>
      <c r="P174" s="417" t="s">
        <v>107</v>
      </c>
      <c r="Q174" s="417" t="s">
        <v>1025</v>
      </c>
      <c r="R174" s="417">
        <v>45791</v>
      </c>
      <c r="S174" s="417" t="s">
        <v>80</v>
      </c>
      <c r="T174" s="417" t="s">
        <v>1038</v>
      </c>
      <c r="U174" s="417" t="s">
        <v>156</v>
      </c>
      <c r="V174" s="420" t="s">
        <v>1039</v>
      </c>
      <c r="W174" s="416" t="s">
        <v>1040</v>
      </c>
      <c r="X174" s="421">
        <v>0.7931</v>
      </c>
      <c r="Y174" s="415">
        <f t="shared" si="442"/>
        <v>2268.266</v>
      </c>
      <c r="Z174" s="416" t="s">
        <v>1041</v>
      </c>
      <c r="AA174" s="420">
        <v>2860</v>
      </c>
      <c r="AB174" s="420">
        <f t="shared" si="449"/>
        <v>0</v>
      </c>
      <c r="AC174" s="417"/>
      <c r="AD174" s="417" t="s">
        <v>114</v>
      </c>
      <c r="AE174" s="416" t="s">
        <v>319</v>
      </c>
      <c r="AF174" s="416" t="s">
        <v>115</v>
      </c>
      <c r="AG174" s="422">
        <f>I174</f>
        <v>2860</v>
      </c>
      <c r="AH174" s="422">
        <f>I174</f>
        <v>2860</v>
      </c>
      <c r="AI174" s="422"/>
      <c r="AJ174" s="422"/>
      <c r="AK174" s="422"/>
      <c r="AL174" s="422">
        <f t="shared" si="452"/>
        <v>2860</v>
      </c>
      <c r="AM174" s="422"/>
      <c r="AN174" s="422"/>
      <c r="AO174" s="422">
        <f>I174</f>
        <v>2860</v>
      </c>
      <c r="AP174" s="422"/>
      <c r="AQ174" s="422"/>
      <c r="AR174" s="422"/>
      <c r="AS174" s="422"/>
      <c r="AT174" s="422"/>
      <c r="AU174" s="422">
        <f>I174/13</f>
        <v>220</v>
      </c>
      <c r="AV174" s="422"/>
      <c r="AW174" s="422"/>
      <c r="AX174" s="422"/>
      <c r="AY174" s="422"/>
      <c r="AZ174" s="422"/>
      <c r="BA174" s="422"/>
      <c r="BB174" s="422"/>
      <c r="BC174" s="422"/>
      <c r="BD174" s="422"/>
      <c r="BE174" s="422"/>
      <c r="BF174" s="422"/>
      <c r="BG174" s="422"/>
      <c r="BH174" s="422"/>
      <c r="BI174" s="422"/>
      <c r="BJ174" s="423">
        <f t="shared" ref="BJ174:BR174" si="465">$I174*BJ$2</f>
        <v>350.052083333332</v>
      </c>
      <c r="BK174" s="423">
        <f t="shared" si="465"/>
        <v>350.052083333332</v>
      </c>
      <c r="BL174" s="423">
        <f t="shared" si="465"/>
        <v>350.052083333332</v>
      </c>
      <c r="BM174" s="423">
        <f t="shared" si="465"/>
        <v>350.052083333332</v>
      </c>
      <c r="BN174" s="423">
        <f t="shared" si="465"/>
        <v>350.052083333332</v>
      </c>
      <c r="BO174" s="423">
        <f t="shared" si="465"/>
        <v>350.052083333332</v>
      </c>
      <c r="BP174" s="423">
        <f t="shared" si="465"/>
        <v>350.052083333332</v>
      </c>
      <c r="BQ174" s="423">
        <f t="shared" si="465"/>
        <v>350.052083333332</v>
      </c>
      <c r="BR174" s="423">
        <f t="shared" si="465"/>
        <v>59.5833333333332</v>
      </c>
      <c r="BT174" s="59">
        <f t="shared" ref="BT174:CB174" si="466">BT173-BJ174</f>
        <v>83971.7500000001</v>
      </c>
      <c r="BU174" s="59">
        <f t="shared" si="466"/>
        <v>83971.7500000001</v>
      </c>
      <c r="BV174" s="59">
        <f t="shared" si="466"/>
        <v>83971.7500000001</v>
      </c>
      <c r="BW174" s="59">
        <f t="shared" si="466"/>
        <v>83971.7500000001</v>
      </c>
      <c r="BX174" s="59">
        <f t="shared" si="466"/>
        <v>83971.7500000001</v>
      </c>
      <c r="BY174" s="59">
        <f t="shared" si="466"/>
        <v>83971.7500000001</v>
      </c>
      <c r="BZ174" s="59">
        <f t="shared" si="466"/>
        <v>83971.7500000001</v>
      </c>
      <c r="CA174" s="59">
        <f t="shared" si="466"/>
        <v>83971.7500000001</v>
      </c>
      <c r="CB174" s="59">
        <f t="shared" si="466"/>
        <v>14245</v>
      </c>
    </row>
    <row r="175" s="371" customFormat="1" ht="27" hidden="1" customHeight="1" spans="1:80">
      <c r="A175" s="410">
        <v>45813</v>
      </c>
      <c r="B175" s="411" t="s">
        <v>1029</v>
      </c>
      <c r="C175" s="412" t="s">
        <v>117</v>
      </c>
      <c r="D175" s="413">
        <v>4500169031</v>
      </c>
      <c r="E175" s="412" t="s">
        <v>1042</v>
      </c>
      <c r="F175" s="411" t="s">
        <v>1043</v>
      </c>
      <c r="G175" s="414" t="s">
        <v>188</v>
      </c>
      <c r="H175" s="411" t="s">
        <v>120</v>
      </c>
      <c r="I175" s="415">
        <v>60</v>
      </c>
      <c r="J175" s="415">
        <v>0</v>
      </c>
      <c r="K175" s="415">
        <v>12</v>
      </c>
      <c r="L175" s="415">
        <f t="shared" si="374"/>
        <v>5</v>
      </c>
      <c r="M175" s="416">
        <v>45866</v>
      </c>
      <c r="N175" s="416">
        <v>45857</v>
      </c>
      <c r="O175" s="417"/>
      <c r="P175" s="417" t="s">
        <v>224</v>
      </c>
      <c r="Q175" s="417" t="s">
        <v>1044</v>
      </c>
      <c r="R175" s="417">
        <v>45813</v>
      </c>
      <c r="S175" s="417" t="s">
        <v>191</v>
      </c>
      <c r="T175" s="417" t="s">
        <v>1032</v>
      </c>
      <c r="U175" s="417" t="s">
        <v>1033</v>
      </c>
      <c r="V175" s="420" t="s">
        <v>1034</v>
      </c>
      <c r="W175" s="416" t="s">
        <v>291</v>
      </c>
      <c r="X175" s="421">
        <v>1.8626</v>
      </c>
      <c r="Y175" s="415">
        <f t="shared" si="442"/>
        <v>111.756</v>
      </c>
      <c r="Z175" s="416" t="s">
        <v>1045</v>
      </c>
      <c r="AA175" s="420">
        <v>60</v>
      </c>
      <c r="AB175" s="420">
        <f t="shared" si="449"/>
        <v>0</v>
      </c>
      <c r="AC175" s="417" t="s">
        <v>113</v>
      </c>
      <c r="AD175" s="417" t="s">
        <v>114</v>
      </c>
      <c r="AE175" s="416" t="s">
        <v>119</v>
      </c>
      <c r="AF175" s="416" t="s">
        <v>115</v>
      </c>
      <c r="AG175" s="422">
        <f t="shared" si="457"/>
        <v>120</v>
      </c>
      <c r="AH175" s="422">
        <f t="shared" si="458"/>
        <v>120</v>
      </c>
      <c r="AI175" s="422"/>
      <c r="AJ175" s="422"/>
      <c r="AK175" s="422">
        <f t="shared" si="459"/>
        <v>120</v>
      </c>
      <c r="AL175" s="422"/>
      <c r="AM175" s="422"/>
      <c r="AN175" s="422"/>
      <c r="AO175" s="422">
        <f t="shared" si="460"/>
        <v>120</v>
      </c>
      <c r="AP175" s="422"/>
      <c r="AQ175" s="422"/>
      <c r="AR175" s="422"/>
      <c r="AS175" s="422"/>
      <c r="AT175" s="422"/>
      <c r="AU175" s="422"/>
      <c r="AV175" s="422"/>
      <c r="AW175" s="422"/>
      <c r="AX175" s="422"/>
      <c r="AY175" s="422"/>
      <c r="AZ175" s="422"/>
      <c r="BA175" s="422"/>
      <c r="BB175" s="422"/>
      <c r="BC175" s="422"/>
      <c r="BD175" s="422"/>
      <c r="BE175" s="422"/>
      <c r="BF175" s="422">
        <f t="shared" si="461"/>
        <v>60</v>
      </c>
      <c r="BG175" s="422">
        <f t="shared" si="462"/>
        <v>60</v>
      </c>
      <c r="BH175" s="422"/>
      <c r="BI175" s="422"/>
      <c r="BJ175" s="423">
        <f t="shared" ref="BJ175:BR175" si="467">$I175*BJ$2*2</f>
        <v>14.6875</v>
      </c>
      <c r="BK175" s="423">
        <f t="shared" si="467"/>
        <v>14.6875</v>
      </c>
      <c r="BL175" s="423">
        <f t="shared" si="467"/>
        <v>14.6875</v>
      </c>
      <c r="BM175" s="423">
        <f t="shared" si="467"/>
        <v>14.6875</v>
      </c>
      <c r="BN175" s="423">
        <f t="shared" si="467"/>
        <v>14.6875</v>
      </c>
      <c r="BO175" s="423">
        <f t="shared" si="467"/>
        <v>14.6875</v>
      </c>
      <c r="BP175" s="423">
        <f t="shared" si="467"/>
        <v>14.6875</v>
      </c>
      <c r="BQ175" s="423">
        <f t="shared" si="467"/>
        <v>14.6875</v>
      </c>
      <c r="BR175" s="423">
        <f t="shared" si="467"/>
        <v>2.5</v>
      </c>
      <c r="BT175" s="59">
        <f t="shared" ref="BT175:CB175" si="468">BT174-BJ175</f>
        <v>83957.0625000001</v>
      </c>
      <c r="BU175" s="59">
        <f t="shared" si="468"/>
        <v>83957.0625000001</v>
      </c>
      <c r="BV175" s="59">
        <f t="shared" si="468"/>
        <v>83957.0625000001</v>
      </c>
      <c r="BW175" s="59">
        <f t="shared" si="468"/>
        <v>83957.0625000001</v>
      </c>
      <c r="BX175" s="59">
        <f t="shared" si="468"/>
        <v>83957.0625000001</v>
      </c>
      <c r="BY175" s="59">
        <f t="shared" si="468"/>
        <v>83957.0625000001</v>
      </c>
      <c r="BZ175" s="59">
        <f t="shared" si="468"/>
        <v>83957.0625000001</v>
      </c>
      <c r="CA175" s="59">
        <f t="shared" si="468"/>
        <v>83957.0625000001</v>
      </c>
      <c r="CB175" s="59">
        <f t="shared" si="468"/>
        <v>14242.5</v>
      </c>
    </row>
    <row r="176" s="371" customFormat="1" ht="27" hidden="1" customHeight="1" spans="1:80">
      <c r="A176" s="410">
        <v>45813</v>
      </c>
      <c r="B176" s="411" t="s">
        <v>1029</v>
      </c>
      <c r="C176" s="412" t="s">
        <v>117</v>
      </c>
      <c r="D176" s="413">
        <v>4500168994</v>
      </c>
      <c r="E176" s="412" t="s">
        <v>1046</v>
      </c>
      <c r="F176" s="411" t="s">
        <v>1047</v>
      </c>
      <c r="G176" s="414" t="s">
        <v>188</v>
      </c>
      <c r="H176" s="411" t="s">
        <v>120</v>
      </c>
      <c r="I176" s="415">
        <v>12</v>
      </c>
      <c r="J176" s="415">
        <v>0</v>
      </c>
      <c r="K176" s="415">
        <v>12</v>
      </c>
      <c r="L176" s="415">
        <f t="shared" si="374"/>
        <v>1</v>
      </c>
      <c r="M176" s="416">
        <v>45866</v>
      </c>
      <c r="N176" s="416">
        <v>45857</v>
      </c>
      <c r="O176" s="417"/>
      <c r="P176" s="417" t="s">
        <v>224</v>
      </c>
      <c r="Q176" s="417" t="s">
        <v>1044</v>
      </c>
      <c r="R176" s="417">
        <v>45813</v>
      </c>
      <c r="S176" s="417" t="s">
        <v>191</v>
      </c>
      <c r="T176" s="417" t="s">
        <v>1048</v>
      </c>
      <c r="U176" s="417" t="s">
        <v>1033</v>
      </c>
      <c r="V176" s="420" t="s">
        <v>1049</v>
      </c>
      <c r="W176" s="416" t="s">
        <v>291</v>
      </c>
      <c r="X176" s="421">
        <v>1.8626</v>
      </c>
      <c r="Y176" s="415">
        <f t="shared" si="442"/>
        <v>22.3512</v>
      </c>
      <c r="Z176" s="416" t="s">
        <v>1050</v>
      </c>
      <c r="AA176" s="420">
        <v>12</v>
      </c>
      <c r="AB176" s="420">
        <f t="shared" si="449"/>
        <v>0</v>
      </c>
      <c r="AC176" s="417" t="s">
        <v>113</v>
      </c>
      <c r="AD176" s="417" t="s">
        <v>114</v>
      </c>
      <c r="AE176" s="416" t="s">
        <v>119</v>
      </c>
      <c r="AF176" s="416" t="s">
        <v>115</v>
      </c>
      <c r="AG176" s="422">
        <f t="shared" si="457"/>
        <v>24</v>
      </c>
      <c r="AH176" s="422">
        <f t="shared" si="458"/>
        <v>24</v>
      </c>
      <c r="AI176" s="422"/>
      <c r="AJ176" s="422"/>
      <c r="AK176" s="422">
        <f t="shared" si="459"/>
        <v>24</v>
      </c>
      <c r="AL176" s="422"/>
      <c r="AM176" s="422"/>
      <c r="AN176" s="422"/>
      <c r="AO176" s="422">
        <f t="shared" si="460"/>
        <v>24</v>
      </c>
      <c r="AP176" s="422"/>
      <c r="AQ176" s="422"/>
      <c r="AR176" s="422"/>
      <c r="AS176" s="422"/>
      <c r="AT176" s="422"/>
      <c r="AU176" s="422"/>
      <c r="AV176" s="422"/>
      <c r="AW176" s="422"/>
      <c r="AX176" s="422"/>
      <c r="AY176" s="422"/>
      <c r="AZ176" s="422"/>
      <c r="BA176" s="422"/>
      <c r="BB176" s="422"/>
      <c r="BC176" s="422"/>
      <c r="BD176" s="422"/>
      <c r="BE176" s="422"/>
      <c r="BF176" s="422">
        <f t="shared" si="461"/>
        <v>12</v>
      </c>
      <c r="BG176" s="422">
        <f t="shared" si="462"/>
        <v>12</v>
      </c>
      <c r="BH176" s="422"/>
      <c r="BI176" s="422"/>
      <c r="BJ176" s="423">
        <f t="shared" ref="BJ176:BR176" si="469">$I176*BJ$2*2</f>
        <v>2.93749999999999</v>
      </c>
      <c r="BK176" s="423">
        <f t="shared" si="469"/>
        <v>2.93749999999999</v>
      </c>
      <c r="BL176" s="423">
        <f t="shared" si="469"/>
        <v>2.93749999999999</v>
      </c>
      <c r="BM176" s="423">
        <f t="shared" si="469"/>
        <v>2.93749999999999</v>
      </c>
      <c r="BN176" s="423">
        <f t="shared" si="469"/>
        <v>2.93749999999999</v>
      </c>
      <c r="BO176" s="423">
        <f t="shared" si="469"/>
        <v>2.93749999999999</v>
      </c>
      <c r="BP176" s="423">
        <f t="shared" si="469"/>
        <v>2.93749999999999</v>
      </c>
      <c r="BQ176" s="423">
        <f t="shared" si="469"/>
        <v>2.93749999999999</v>
      </c>
      <c r="BR176" s="423">
        <f t="shared" si="469"/>
        <v>0.499999999999999</v>
      </c>
      <c r="BT176" s="59">
        <f t="shared" ref="BT176:CB176" si="470">BT175-BJ176</f>
        <v>83954.1250000001</v>
      </c>
      <c r="BU176" s="59">
        <f t="shared" si="470"/>
        <v>83954.1250000001</v>
      </c>
      <c r="BV176" s="59">
        <f t="shared" si="470"/>
        <v>83954.1250000001</v>
      </c>
      <c r="BW176" s="59">
        <f t="shared" si="470"/>
        <v>83954.1250000001</v>
      </c>
      <c r="BX176" s="59">
        <f t="shared" si="470"/>
        <v>83954.1250000001</v>
      </c>
      <c r="BY176" s="59">
        <f t="shared" si="470"/>
        <v>83954.1250000001</v>
      </c>
      <c r="BZ176" s="59">
        <f t="shared" si="470"/>
        <v>83954.1250000001</v>
      </c>
      <c r="CA176" s="59">
        <f t="shared" si="470"/>
        <v>83954.1250000001</v>
      </c>
      <c r="CB176" s="59">
        <f t="shared" si="470"/>
        <v>14242</v>
      </c>
    </row>
    <row r="177" s="371" customFormat="1" ht="27" hidden="1" customHeight="1" spans="1:80">
      <c r="A177" s="410">
        <v>45813</v>
      </c>
      <c r="B177" s="411" t="s">
        <v>1029</v>
      </c>
      <c r="C177" s="412" t="s">
        <v>117</v>
      </c>
      <c r="D177" s="413">
        <v>4500168994</v>
      </c>
      <c r="E177" s="412" t="s">
        <v>1051</v>
      </c>
      <c r="F177" s="411" t="s">
        <v>1052</v>
      </c>
      <c r="G177" s="414" t="s">
        <v>188</v>
      </c>
      <c r="H177" s="411" t="s">
        <v>120</v>
      </c>
      <c r="I177" s="415">
        <v>168</v>
      </c>
      <c r="J177" s="415">
        <v>0</v>
      </c>
      <c r="K177" s="415">
        <v>12</v>
      </c>
      <c r="L177" s="415">
        <f t="shared" si="374"/>
        <v>14</v>
      </c>
      <c r="M177" s="416">
        <v>45866</v>
      </c>
      <c r="N177" s="416">
        <v>45857</v>
      </c>
      <c r="O177" s="417"/>
      <c r="P177" s="417" t="s">
        <v>224</v>
      </c>
      <c r="Q177" s="417" t="s">
        <v>1044</v>
      </c>
      <c r="R177" s="417">
        <v>45813</v>
      </c>
      <c r="S177" s="417" t="s">
        <v>191</v>
      </c>
      <c r="T177" s="417" t="s">
        <v>1048</v>
      </c>
      <c r="U177" s="417" t="s">
        <v>1033</v>
      </c>
      <c r="V177" s="420" t="s">
        <v>1049</v>
      </c>
      <c r="W177" s="416" t="s">
        <v>291</v>
      </c>
      <c r="X177" s="421">
        <v>1.8626</v>
      </c>
      <c r="Y177" s="415">
        <f t="shared" si="442"/>
        <v>312.9168</v>
      </c>
      <c r="Z177" s="416"/>
      <c r="AA177" s="420">
        <v>168</v>
      </c>
      <c r="AB177" s="420">
        <f t="shared" si="449"/>
        <v>0</v>
      </c>
      <c r="AC177" s="417" t="s">
        <v>113</v>
      </c>
      <c r="AD177" s="417" t="s">
        <v>114</v>
      </c>
      <c r="AE177" s="416" t="s">
        <v>119</v>
      </c>
      <c r="AF177" s="416" t="s">
        <v>115</v>
      </c>
      <c r="AG177" s="422">
        <f t="shared" si="457"/>
        <v>336</v>
      </c>
      <c r="AH177" s="422">
        <f t="shared" si="458"/>
        <v>336</v>
      </c>
      <c r="AI177" s="422"/>
      <c r="AJ177" s="422"/>
      <c r="AK177" s="422">
        <f t="shared" si="459"/>
        <v>336</v>
      </c>
      <c r="AL177" s="422"/>
      <c r="AM177" s="422"/>
      <c r="AN177" s="422"/>
      <c r="AO177" s="422">
        <f t="shared" si="460"/>
        <v>336</v>
      </c>
      <c r="AP177" s="422"/>
      <c r="AQ177" s="422"/>
      <c r="AR177" s="422"/>
      <c r="AS177" s="422"/>
      <c r="AT177" s="422"/>
      <c r="AU177" s="422"/>
      <c r="AV177" s="422"/>
      <c r="AW177" s="422"/>
      <c r="AX177" s="422"/>
      <c r="AY177" s="422"/>
      <c r="AZ177" s="422"/>
      <c r="BA177" s="422"/>
      <c r="BB177" s="422"/>
      <c r="BC177" s="422"/>
      <c r="BD177" s="422"/>
      <c r="BE177" s="422"/>
      <c r="BF177" s="422">
        <f t="shared" si="461"/>
        <v>168</v>
      </c>
      <c r="BG177" s="422">
        <f t="shared" si="462"/>
        <v>168</v>
      </c>
      <c r="BH177" s="422"/>
      <c r="BI177" s="422"/>
      <c r="BJ177" s="423">
        <f t="shared" ref="BJ177:BR177" si="471">$I177*BJ$2*2</f>
        <v>41.1249999999999</v>
      </c>
      <c r="BK177" s="423">
        <f t="shared" si="471"/>
        <v>41.1249999999999</v>
      </c>
      <c r="BL177" s="423">
        <f t="shared" si="471"/>
        <v>41.1249999999999</v>
      </c>
      <c r="BM177" s="423">
        <f t="shared" si="471"/>
        <v>41.1249999999999</v>
      </c>
      <c r="BN177" s="423">
        <f t="shared" si="471"/>
        <v>41.1249999999999</v>
      </c>
      <c r="BO177" s="423">
        <f t="shared" si="471"/>
        <v>41.1249999999999</v>
      </c>
      <c r="BP177" s="423">
        <f t="shared" si="471"/>
        <v>41.1249999999999</v>
      </c>
      <c r="BQ177" s="423">
        <f t="shared" si="471"/>
        <v>41.1249999999999</v>
      </c>
      <c r="BR177" s="423">
        <f t="shared" si="471"/>
        <v>6.99999999999999</v>
      </c>
      <c r="BT177" s="59">
        <f t="shared" ref="BT177:CB177" si="472">BT176-BJ177</f>
        <v>83913.0000000001</v>
      </c>
      <c r="BU177" s="59">
        <f t="shared" si="472"/>
        <v>83913.0000000001</v>
      </c>
      <c r="BV177" s="59">
        <f t="shared" si="472"/>
        <v>83913.0000000001</v>
      </c>
      <c r="BW177" s="59">
        <f t="shared" si="472"/>
        <v>83913.0000000001</v>
      </c>
      <c r="BX177" s="59">
        <f t="shared" si="472"/>
        <v>83913.0000000001</v>
      </c>
      <c r="BY177" s="59">
        <f t="shared" si="472"/>
        <v>83913.0000000001</v>
      </c>
      <c r="BZ177" s="59">
        <f t="shared" si="472"/>
        <v>83913.0000000001</v>
      </c>
      <c r="CA177" s="59">
        <f t="shared" si="472"/>
        <v>83913.0000000001</v>
      </c>
      <c r="CB177" s="59">
        <f t="shared" si="472"/>
        <v>14235</v>
      </c>
    </row>
    <row r="178" s="371" customFormat="1" ht="27" hidden="1" customHeight="1" spans="1:80">
      <c r="A178" s="410">
        <v>45818</v>
      </c>
      <c r="B178" s="411" t="s">
        <v>116</v>
      </c>
      <c r="C178" s="412" t="s">
        <v>117</v>
      </c>
      <c r="D178" s="413">
        <v>4500169495</v>
      </c>
      <c r="E178" s="412" t="s">
        <v>286</v>
      </c>
      <c r="F178" s="411" t="s">
        <v>1053</v>
      </c>
      <c r="G178" s="414" t="s">
        <v>119</v>
      </c>
      <c r="H178" s="411" t="s">
        <v>120</v>
      </c>
      <c r="I178" s="415">
        <v>1992</v>
      </c>
      <c r="J178" s="415">
        <v>0</v>
      </c>
      <c r="K178" s="415">
        <v>12</v>
      </c>
      <c r="L178" s="415">
        <f t="shared" si="374"/>
        <v>166</v>
      </c>
      <c r="M178" s="416">
        <v>45855</v>
      </c>
      <c r="N178" s="416">
        <v>45859</v>
      </c>
      <c r="O178" s="417"/>
      <c r="P178" s="417" t="s">
        <v>107</v>
      </c>
      <c r="Q178" s="417" t="s">
        <v>989</v>
      </c>
      <c r="R178" s="509">
        <v>45818</v>
      </c>
      <c r="S178" s="417" t="s">
        <v>80</v>
      </c>
      <c r="T178" s="417" t="s">
        <v>1054</v>
      </c>
      <c r="U178" s="417"/>
      <c r="V178" s="420" t="s">
        <v>1055</v>
      </c>
      <c r="W178" s="416" t="s">
        <v>291</v>
      </c>
      <c r="X178" s="421">
        <v>1.1176</v>
      </c>
      <c r="Y178" s="415">
        <f t="shared" si="442"/>
        <v>2226.2592</v>
      </c>
      <c r="Z178" s="416" t="s">
        <v>1056</v>
      </c>
      <c r="AA178" s="420">
        <f>1968+24</f>
        <v>1992</v>
      </c>
      <c r="AB178" s="420">
        <f t="shared" si="449"/>
        <v>0</v>
      </c>
      <c r="AC178" s="417" t="s">
        <v>113</v>
      </c>
      <c r="AD178" s="417" t="s">
        <v>114</v>
      </c>
      <c r="AE178" s="416" t="s">
        <v>119</v>
      </c>
      <c r="AF178" s="416" t="s">
        <v>115</v>
      </c>
      <c r="AG178" s="422">
        <f t="shared" si="457"/>
        <v>3984</v>
      </c>
      <c r="AH178" s="422">
        <f t="shared" si="458"/>
        <v>3984</v>
      </c>
      <c r="AI178" s="422"/>
      <c r="AJ178" s="422"/>
      <c r="AK178" s="422">
        <f t="shared" si="459"/>
        <v>3984</v>
      </c>
      <c r="AL178" s="422"/>
      <c r="AM178" s="422"/>
      <c r="AO178" s="422">
        <f t="shared" si="460"/>
        <v>3984</v>
      </c>
      <c r="AP178" s="422"/>
      <c r="AQ178" s="422"/>
      <c r="AR178" s="422"/>
      <c r="AS178" s="422"/>
      <c r="AT178" s="422"/>
      <c r="AU178" s="422"/>
      <c r="AV178" s="422"/>
      <c r="AW178" s="422"/>
      <c r="AX178" s="422"/>
      <c r="AY178" s="422"/>
      <c r="AZ178" s="422"/>
      <c r="BA178" s="422"/>
      <c r="BB178" s="422"/>
      <c r="BC178" s="422"/>
      <c r="BD178" s="422"/>
      <c r="BE178" s="422"/>
      <c r="BF178" s="422">
        <f t="shared" si="461"/>
        <v>1992</v>
      </c>
      <c r="BG178" s="422">
        <f t="shared" si="462"/>
        <v>1992</v>
      </c>
      <c r="BH178" s="422"/>
      <c r="BI178" s="422"/>
      <c r="BJ178" s="423">
        <f t="shared" ref="BJ178:BR178" si="473">$I178*BJ$2*2</f>
        <v>487.624999999999</v>
      </c>
      <c r="BK178" s="423">
        <f t="shared" si="473"/>
        <v>487.624999999999</v>
      </c>
      <c r="BL178" s="423">
        <f t="shared" si="473"/>
        <v>487.624999999999</v>
      </c>
      <c r="BM178" s="423">
        <f t="shared" si="473"/>
        <v>487.624999999999</v>
      </c>
      <c r="BN178" s="423">
        <f t="shared" si="473"/>
        <v>487.624999999999</v>
      </c>
      <c r="BO178" s="423">
        <f t="shared" si="473"/>
        <v>487.624999999999</v>
      </c>
      <c r="BP178" s="423">
        <f t="shared" si="473"/>
        <v>487.624999999999</v>
      </c>
      <c r="BQ178" s="423">
        <f t="shared" si="473"/>
        <v>487.624999999999</v>
      </c>
      <c r="BR178" s="423">
        <f t="shared" si="473"/>
        <v>82.9999999999999</v>
      </c>
      <c r="BT178" s="59">
        <f t="shared" ref="BT178:CB178" si="474">BT177-BJ178</f>
        <v>83425.3750000001</v>
      </c>
      <c r="BU178" s="59">
        <f t="shared" si="474"/>
        <v>83425.3750000001</v>
      </c>
      <c r="BV178" s="59">
        <f t="shared" si="474"/>
        <v>83425.3750000001</v>
      </c>
      <c r="BW178" s="59">
        <f t="shared" si="474"/>
        <v>83425.3750000001</v>
      </c>
      <c r="BX178" s="59">
        <f t="shared" si="474"/>
        <v>83425.3750000001</v>
      </c>
      <c r="BY178" s="59">
        <f t="shared" si="474"/>
        <v>83425.3750000001</v>
      </c>
      <c r="BZ178" s="59">
        <f t="shared" si="474"/>
        <v>83425.3750000001</v>
      </c>
      <c r="CA178" s="59">
        <f t="shared" si="474"/>
        <v>83425.3750000001</v>
      </c>
      <c r="CB178" s="59">
        <f t="shared" si="474"/>
        <v>14152</v>
      </c>
    </row>
    <row r="179" s="371" customFormat="1" ht="27" hidden="1" customHeight="1" spans="1:80">
      <c r="A179" s="410">
        <v>45826</v>
      </c>
      <c r="B179" s="411" t="s">
        <v>103</v>
      </c>
      <c r="C179" s="412" t="s">
        <v>104</v>
      </c>
      <c r="D179" s="413">
        <v>4500170480</v>
      </c>
      <c r="E179" s="412">
        <v>84438</v>
      </c>
      <c r="F179" s="411" t="s">
        <v>1057</v>
      </c>
      <c r="G179" s="414" t="s">
        <v>131</v>
      </c>
      <c r="H179" s="411" t="s">
        <v>132</v>
      </c>
      <c r="I179" s="415">
        <v>1350</v>
      </c>
      <c r="J179" s="415">
        <v>0</v>
      </c>
      <c r="K179" s="415">
        <v>27</v>
      </c>
      <c r="L179" s="415">
        <f t="shared" si="374"/>
        <v>50</v>
      </c>
      <c r="M179" s="416">
        <v>45862</v>
      </c>
      <c r="N179" s="416">
        <v>45859</v>
      </c>
      <c r="O179" s="417"/>
      <c r="P179" s="417" t="s">
        <v>224</v>
      </c>
      <c r="Q179" s="417" t="s">
        <v>742</v>
      </c>
      <c r="R179" s="509">
        <v>45826</v>
      </c>
      <c r="S179" s="453" t="s">
        <v>80</v>
      </c>
      <c r="T179" s="417" t="s">
        <v>1058</v>
      </c>
      <c r="U179" s="417"/>
      <c r="V179" s="420" t="s">
        <v>1059</v>
      </c>
      <c r="W179" s="416" t="s">
        <v>214</v>
      </c>
      <c r="X179" s="421">
        <v>0.7738</v>
      </c>
      <c r="Y179" s="415">
        <f t="shared" si="442"/>
        <v>1044.63</v>
      </c>
      <c r="Z179" s="416" t="s">
        <v>1060</v>
      </c>
      <c r="AA179" s="420">
        <f>1350</f>
        <v>1350</v>
      </c>
      <c r="AB179" s="420">
        <f t="shared" si="449"/>
        <v>0</v>
      </c>
      <c r="AC179" s="417" t="s">
        <v>113</v>
      </c>
      <c r="AD179" s="417" t="s">
        <v>114</v>
      </c>
      <c r="AE179" s="416" t="s">
        <v>131</v>
      </c>
      <c r="AF179" s="416" t="s">
        <v>115</v>
      </c>
      <c r="AG179" s="422">
        <f t="shared" ref="AG179:AG181" si="475">I179</f>
        <v>1350</v>
      </c>
      <c r="AH179" s="422">
        <f t="shared" ref="AH179:AH181" si="476">I179</f>
        <v>1350</v>
      </c>
      <c r="AI179" s="422"/>
      <c r="AJ179" s="422"/>
      <c r="AK179" s="422">
        <f t="shared" ref="AK179:AK181" si="477">I179</f>
        <v>1350</v>
      </c>
      <c r="AL179" s="422"/>
      <c r="AM179" s="422"/>
      <c r="AN179" s="422"/>
      <c r="AO179" s="422">
        <f>I179</f>
        <v>1350</v>
      </c>
      <c r="AP179" s="422"/>
      <c r="AQ179" s="422">
        <f>I179/27</f>
        <v>50</v>
      </c>
      <c r="AR179" s="422"/>
      <c r="AS179" s="422"/>
      <c r="AT179" s="422"/>
      <c r="AU179" s="422"/>
      <c r="AV179" s="422"/>
      <c r="AW179" s="422"/>
      <c r="AX179" s="422"/>
      <c r="AY179" s="422"/>
      <c r="AZ179" s="422"/>
      <c r="BA179" s="422"/>
      <c r="BB179" s="422"/>
      <c r="BC179" s="422"/>
      <c r="BD179" s="422"/>
      <c r="BE179" s="422"/>
      <c r="BF179" s="422"/>
      <c r="BG179" s="422"/>
      <c r="BH179" s="422"/>
      <c r="BI179" s="422"/>
      <c r="BJ179" s="423">
        <f t="shared" ref="BJ179:BR179" si="478">$I179*BJ$2</f>
        <v>165.234375</v>
      </c>
      <c r="BK179" s="423">
        <f t="shared" si="478"/>
        <v>165.234375</v>
      </c>
      <c r="BL179" s="423">
        <f t="shared" si="478"/>
        <v>165.234375</v>
      </c>
      <c r="BM179" s="423">
        <f t="shared" si="478"/>
        <v>165.234375</v>
      </c>
      <c r="BN179" s="423">
        <f t="shared" si="478"/>
        <v>165.234375</v>
      </c>
      <c r="BO179" s="423">
        <f t="shared" si="478"/>
        <v>165.234375</v>
      </c>
      <c r="BP179" s="423">
        <f t="shared" si="478"/>
        <v>165.234375</v>
      </c>
      <c r="BQ179" s="423">
        <f t="shared" si="478"/>
        <v>165.234375</v>
      </c>
      <c r="BR179" s="423">
        <f t="shared" si="478"/>
        <v>28.125</v>
      </c>
      <c r="BT179" s="59">
        <f t="shared" ref="BT179:CB179" si="479">BT178-BJ179</f>
        <v>83260.1406250001</v>
      </c>
      <c r="BU179" s="59">
        <f t="shared" si="479"/>
        <v>83260.1406250001</v>
      </c>
      <c r="BV179" s="59">
        <f t="shared" si="479"/>
        <v>83260.1406250001</v>
      </c>
      <c r="BW179" s="59">
        <f t="shared" si="479"/>
        <v>83260.1406250001</v>
      </c>
      <c r="BX179" s="59">
        <f t="shared" si="479"/>
        <v>83260.1406250001</v>
      </c>
      <c r="BY179" s="59">
        <f t="shared" si="479"/>
        <v>83260.1406250001</v>
      </c>
      <c r="BZ179" s="59">
        <f t="shared" si="479"/>
        <v>83260.1406250001</v>
      </c>
      <c r="CA179" s="59">
        <f t="shared" si="479"/>
        <v>83260.1406250001</v>
      </c>
      <c r="CB179" s="59">
        <f t="shared" si="479"/>
        <v>14123.875</v>
      </c>
    </row>
    <row r="180" s="371" customFormat="1" ht="27" hidden="1" customHeight="1" spans="1:80">
      <c r="A180" s="410">
        <v>45828</v>
      </c>
      <c r="B180" s="411" t="s">
        <v>701</v>
      </c>
      <c r="C180" s="412" t="s">
        <v>396</v>
      </c>
      <c r="D180" s="413">
        <v>4500170362</v>
      </c>
      <c r="E180" s="412">
        <v>2950866849</v>
      </c>
      <c r="F180" s="411" t="s">
        <v>1061</v>
      </c>
      <c r="G180" s="414" t="s">
        <v>703</v>
      </c>
      <c r="H180" s="411" t="s">
        <v>704</v>
      </c>
      <c r="I180" s="415">
        <v>1040</v>
      </c>
      <c r="J180" s="415">
        <v>0</v>
      </c>
      <c r="K180" s="415">
        <v>1040</v>
      </c>
      <c r="L180" s="415">
        <f t="shared" si="374"/>
        <v>1</v>
      </c>
      <c r="M180" s="416">
        <v>45866</v>
      </c>
      <c r="N180" s="416">
        <v>45862</v>
      </c>
      <c r="O180" s="417"/>
      <c r="P180" s="417" t="s">
        <v>224</v>
      </c>
      <c r="Q180" s="417" t="s">
        <v>1062</v>
      </c>
      <c r="R180" s="417">
        <v>45831</v>
      </c>
      <c r="S180" s="417" t="s">
        <v>80</v>
      </c>
      <c r="T180" s="417" t="s">
        <v>706</v>
      </c>
      <c r="U180" s="417"/>
      <c r="V180" s="420" t="s">
        <v>1063</v>
      </c>
      <c r="W180" s="416" t="s">
        <v>467</v>
      </c>
      <c r="X180" s="421">
        <v>824.6621</v>
      </c>
      <c r="Y180" s="415">
        <f>X180*L180</f>
        <v>824.6621</v>
      </c>
      <c r="Z180" s="502"/>
      <c r="AA180" s="420">
        <v>1040</v>
      </c>
      <c r="AB180" s="420">
        <f t="shared" si="449"/>
        <v>0</v>
      </c>
      <c r="AC180" s="417"/>
      <c r="AD180" s="417" t="s">
        <v>114</v>
      </c>
      <c r="AE180" s="416" t="s">
        <v>703</v>
      </c>
      <c r="AF180" s="416" t="s">
        <v>115</v>
      </c>
      <c r="AG180" s="422">
        <f t="shared" si="475"/>
        <v>1040</v>
      </c>
      <c r="AH180" s="422">
        <f t="shared" si="476"/>
        <v>1040</v>
      </c>
      <c r="AI180" s="422"/>
      <c r="AJ180" s="422"/>
      <c r="AK180" s="422">
        <f t="shared" si="477"/>
        <v>1040</v>
      </c>
      <c r="AL180" s="422"/>
      <c r="AM180" s="422"/>
      <c r="AN180" s="422"/>
      <c r="AO180" s="422">
        <f>I180</f>
        <v>1040</v>
      </c>
      <c r="AP180" s="422"/>
      <c r="AQ180" s="422"/>
      <c r="AR180" s="422"/>
      <c r="AS180" s="422"/>
      <c r="AT180" s="422">
        <f>I180/13</f>
        <v>80</v>
      </c>
      <c r="AU180" s="422"/>
      <c r="AV180" s="422"/>
      <c r="AW180" s="422"/>
      <c r="AX180" s="422"/>
      <c r="AY180" s="422"/>
      <c r="AZ180" s="422"/>
      <c r="BA180" s="422"/>
      <c r="BB180" s="422"/>
      <c r="BC180" s="422"/>
      <c r="BD180" s="422"/>
      <c r="BE180" s="422"/>
      <c r="BF180" s="422"/>
      <c r="BG180" s="422"/>
      <c r="BH180" s="422"/>
      <c r="BI180" s="422"/>
      <c r="BJ180" s="423">
        <f t="shared" ref="BJ180:BR180" si="480">$I180*BJ$2</f>
        <v>127.291666666666</v>
      </c>
      <c r="BK180" s="423">
        <f t="shared" si="480"/>
        <v>127.291666666666</v>
      </c>
      <c r="BL180" s="423">
        <f t="shared" si="480"/>
        <v>127.291666666666</v>
      </c>
      <c r="BM180" s="423">
        <f t="shared" si="480"/>
        <v>127.291666666666</v>
      </c>
      <c r="BN180" s="423">
        <f t="shared" si="480"/>
        <v>127.291666666666</v>
      </c>
      <c r="BO180" s="423">
        <f t="shared" si="480"/>
        <v>127.291666666666</v>
      </c>
      <c r="BP180" s="423">
        <f t="shared" si="480"/>
        <v>127.291666666666</v>
      </c>
      <c r="BQ180" s="423">
        <f t="shared" si="480"/>
        <v>127.291666666666</v>
      </c>
      <c r="BR180" s="423">
        <f t="shared" si="480"/>
        <v>21.6666666666666</v>
      </c>
      <c r="BT180" s="59">
        <f t="shared" ref="BT180:CB180" si="481">BT179-BJ180</f>
        <v>83132.8489583334</v>
      </c>
      <c r="BU180" s="59">
        <f t="shared" si="481"/>
        <v>83132.8489583334</v>
      </c>
      <c r="BV180" s="59">
        <f t="shared" si="481"/>
        <v>83132.8489583334</v>
      </c>
      <c r="BW180" s="59">
        <f t="shared" si="481"/>
        <v>83132.8489583334</v>
      </c>
      <c r="BX180" s="59">
        <f t="shared" si="481"/>
        <v>83132.8489583334</v>
      </c>
      <c r="BY180" s="59">
        <f t="shared" si="481"/>
        <v>83132.8489583334</v>
      </c>
      <c r="BZ180" s="59">
        <f t="shared" si="481"/>
        <v>83132.8489583334</v>
      </c>
      <c r="CA180" s="59">
        <f t="shared" si="481"/>
        <v>83132.8489583334</v>
      </c>
      <c r="CB180" s="59">
        <f t="shared" si="481"/>
        <v>14102.2083333333</v>
      </c>
    </row>
    <row r="181" s="371" customFormat="1" ht="27" hidden="1" customHeight="1" spans="1:80">
      <c r="A181" s="410">
        <v>45835</v>
      </c>
      <c r="B181" s="411" t="s">
        <v>699</v>
      </c>
      <c r="C181" s="412" t="s">
        <v>689</v>
      </c>
      <c r="D181" s="413">
        <v>4500171640</v>
      </c>
      <c r="E181" s="412">
        <v>5000001933</v>
      </c>
      <c r="F181" s="411" t="s">
        <v>1064</v>
      </c>
      <c r="G181" s="414" t="s">
        <v>152</v>
      </c>
      <c r="H181" s="411" t="s">
        <v>153</v>
      </c>
      <c r="I181" s="415">
        <v>650</v>
      </c>
      <c r="J181" s="415">
        <v>0</v>
      </c>
      <c r="K181" s="415">
        <v>13</v>
      </c>
      <c r="L181" s="415">
        <f t="shared" si="374"/>
        <v>50</v>
      </c>
      <c r="M181" s="416">
        <v>45866</v>
      </c>
      <c r="N181" s="416">
        <v>45864</v>
      </c>
      <c r="O181" s="417"/>
      <c r="P181" s="417" t="s">
        <v>224</v>
      </c>
      <c r="Q181" s="417" t="s">
        <v>1065</v>
      </c>
      <c r="R181" s="509" t="s">
        <v>1066</v>
      </c>
      <c r="S181" s="417" t="s">
        <v>80</v>
      </c>
      <c r="T181" s="417" t="s">
        <v>693</v>
      </c>
      <c r="U181" s="417"/>
      <c r="V181" s="420" t="s">
        <v>1067</v>
      </c>
      <c r="W181" s="416" t="s">
        <v>1068</v>
      </c>
      <c r="X181" s="421">
        <v>0.7812</v>
      </c>
      <c r="Y181" s="415">
        <f t="shared" ref="Y181:Y236" si="482">X181*I181</f>
        <v>507.78</v>
      </c>
      <c r="Z181" s="502"/>
      <c r="AA181" s="420">
        <v>650</v>
      </c>
      <c r="AB181" s="420">
        <f t="shared" si="449"/>
        <v>0</v>
      </c>
      <c r="AC181" s="417" t="s">
        <v>113</v>
      </c>
      <c r="AD181" s="417" t="s">
        <v>114</v>
      </c>
      <c r="AE181" s="416" t="s">
        <v>696</v>
      </c>
      <c r="AF181" s="416" t="s">
        <v>115</v>
      </c>
      <c r="AG181" s="422">
        <f t="shared" si="475"/>
        <v>650</v>
      </c>
      <c r="AH181" s="422">
        <f t="shared" si="476"/>
        <v>650</v>
      </c>
      <c r="AI181" s="422"/>
      <c r="AJ181" s="422"/>
      <c r="AK181" s="422">
        <f t="shared" si="477"/>
        <v>650</v>
      </c>
      <c r="AL181" s="422"/>
      <c r="AM181" s="422"/>
      <c r="AN181" s="422"/>
      <c r="AO181" s="422"/>
      <c r="AP181" s="422">
        <f>I181</f>
        <v>650</v>
      </c>
      <c r="AQ181" s="422"/>
      <c r="AR181" s="422"/>
      <c r="AS181" s="422"/>
      <c r="AT181" s="422">
        <f>I181/13</f>
        <v>50</v>
      </c>
      <c r="AU181" s="422"/>
      <c r="AV181" s="422"/>
      <c r="AW181" s="422"/>
      <c r="AX181" s="422"/>
      <c r="AY181" s="422"/>
      <c r="AZ181" s="422"/>
      <c r="BA181" s="422"/>
      <c r="BB181" s="422"/>
      <c r="BC181" s="422"/>
      <c r="BD181" s="422"/>
      <c r="BE181" s="422"/>
      <c r="BF181" s="422"/>
      <c r="BG181" s="422"/>
      <c r="BH181" s="422"/>
      <c r="BI181" s="422"/>
      <c r="BJ181" s="423">
        <f t="shared" ref="BJ181:BR181" si="483">$I181*BJ$2</f>
        <v>79.5572916666664</v>
      </c>
      <c r="BK181" s="423">
        <f t="shared" si="483"/>
        <v>79.5572916666664</v>
      </c>
      <c r="BL181" s="423">
        <f t="shared" si="483"/>
        <v>79.5572916666664</v>
      </c>
      <c r="BM181" s="423">
        <f t="shared" si="483"/>
        <v>79.5572916666664</v>
      </c>
      <c r="BN181" s="423">
        <f t="shared" si="483"/>
        <v>79.5572916666664</v>
      </c>
      <c r="BO181" s="423">
        <f t="shared" si="483"/>
        <v>79.5572916666664</v>
      </c>
      <c r="BP181" s="423">
        <f t="shared" si="483"/>
        <v>79.5572916666664</v>
      </c>
      <c r="BQ181" s="423">
        <f t="shared" si="483"/>
        <v>79.5572916666664</v>
      </c>
      <c r="BR181" s="423">
        <f t="shared" si="483"/>
        <v>13.5416666666666</v>
      </c>
      <c r="BT181" s="59">
        <f t="shared" ref="BT181:CB181" si="484">BT180-BJ181</f>
        <v>83053.2916666667</v>
      </c>
      <c r="BU181" s="59">
        <f t="shared" si="484"/>
        <v>83053.2916666667</v>
      </c>
      <c r="BV181" s="59">
        <f t="shared" si="484"/>
        <v>83053.2916666667</v>
      </c>
      <c r="BW181" s="59">
        <f t="shared" si="484"/>
        <v>83053.2916666667</v>
      </c>
      <c r="BX181" s="59">
        <f t="shared" si="484"/>
        <v>83053.2916666667</v>
      </c>
      <c r="BY181" s="59">
        <f t="shared" si="484"/>
        <v>83053.2916666667</v>
      </c>
      <c r="BZ181" s="59">
        <f t="shared" si="484"/>
        <v>83053.2916666667</v>
      </c>
      <c r="CA181" s="59">
        <f t="shared" si="484"/>
        <v>83053.2916666667</v>
      </c>
      <c r="CB181" s="59">
        <f t="shared" si="484"/>
        <v>14088.6666666667</v>
      </c>
    </row>
    <row r="182" s="371" customFormat="1" ht="27" hidden="1" customHeight="1" spans="1:80">
      <c r="A182" s="410">
        <v>45827</v>
      </c>
      <c r="B182" s="411" t="s">
        <v>196</v>
      </c>
      <c r="C182" s="412" t="s">
        <v>129</v>
      </c>
      <c r="D182" s="413">
        <v>4500170600</v>
      </c>
      <c r="E182" s="412" t="s">
        <v>1069</v>
      </c>
      <c r="F182" s="411" t="s">
        <v>1070</v>
      </c>
      <c r="G182" s="414" t="s">
        <v>188</v>
      </c>
      <c r="H182" s="411" t="s">
        <v>120</v>
      </c>
      <c r="I182" s="415">
        <v>492</v>
      </c>
      <c r="J182" s="415">
        <v>0</v>
      </c>
      <c r="K182" s="415">
        <v>12</v>
      </c>
      <c r="L182" s="415">
        <f t="shared" si="374"/>
        <v>41</v>
      </c>
      <c r="M182" s="416">
        <v>45868</v>
      </c>
      <c r="N182" s="416">
        <v>45864</v>
      </c>
      <c r="O182" s="417"/>
      <c r="P182" s="417" t="s">
        <v>224</v>
      </c>
      <c r="Q182" s="417" t="s">
        <v>1071</v>
      </c>
      <c r="R182" s="417" t="s">
        <v>836</v>
      </c>
      <c r="S182" s="417" t="s">
        <v>191</v>
      </c>
      <c r="T182" s="417" t="s">
        <v>1072</v>
      </c>
      <c r="U182" s="417"/>
      <c r="V182" s="420" t="s">
        <v>1073</v>
      </c>
      <c r="W182" s="416" t="s">
        <v>194</v>
      </c>
      <c r="X182" s="421">
        <v>1.8626</v>
      </c>
      <c r="Y182" s="415">
        <f t="shared" si="482"/>
        <v>916.3992</v>
      </c>
      <c r="Z182" s="502"/>
      <c r="AA182" s="420">
        <v>492</v>
      </c>
      <c r="AB182" s="420">
        <f t="shared" si="449"/>
        <v>0</v>
      </c>
      <c r="AC182" s="417"/>
      <c r="AD182" s="417" t="s">
        <v>114</v>
      </c>
      <c r="AE182" s="416" t="s">
        <v>188</v>
      </c>
      <c r="AF182" s="416" t="s">
        <v>115</v>
      </c>
      <c r="AG182" s="422">
        <f t="shared" ref="AG182:AG192" si="485">I182*2</f>
        <v>984</v>
      </c>
      <c r="AH182" s="422">
        <f t="shared" ref="AH182:AH184" si="486">I182*2</f>
        <v>984</v>
      </c>
      <c r="AI182" s="422"/>
      <c r="AJ182" s="422"/>
      <c r="AK182" s="422"/>
      <c r="AL182" s="422">
        <f>I182*2</f>
        <v>984</v>
      </c>
      <c r="AM182" s="422"/>
      <c r="AN182" s="422"/>
      <c r="AO182" s="422">
        <f t="shared" ref="AO182:AO192" si="487">I182*2</f>
        <v>984</v>
      </c>
      <c r="AP182" s="422"/>
      <c r="AQ182" s="422"/>
      <c r="AR182" s="422"/>
      <c r="AS182" s="422"/>
      <c r="AT182" s="422"/>
      <c r="AU182" s="422"/>
      <c r="AV182" s="422"/>
      <c r="AW182" s="422"/>
      <c r="AX182" s="422"/>
      <c r="AY182" s="422"/>
      <c r="AZ182" s="422"/>
      <c r="BA182" s="422"/>
      <c r="BB182" s="422"/>
      <c r="BC182" s="422"/>
      <c r="BD182" s="422"/>
      <c r="BE182" s="422"/>
      <c r="BF182" s="422">
        <f t="shared" ref="BF182:BF192" si="488">I182</f>
        <v>492</v>
      </c>
      <c r="BG182" s="422">
        <f t="shared" ref="BG182:BG192" si="489">I182</f>
        <v>492</v>
      </c>
      <c r="BH182" s="422"/>
      <c r="BI182" s="422"/>
      <c r="BJ182" s="423">
        <f t="shared" ref="BJ182:BR182" si="490">$I182*BJ$2*2</f>
        <v>120.4375</v>
      </c>
      <c r="BK182" s="423">
        <f t="shared" si="490"/>
        <v>120.4375</v>
      </c>
      <c r="BL182" s="423">
        <f t="shared" si="490"/>
        <v>120.4375</v>
      </c>
      <c r="BM182" s="423">
        <f t="shared" si="490"/>
        <v>120.4375</v>
      </c>
      <c r="BN182" s="423">
        <f t="shared" si="490"/>
        <v>120.4375</v>
      </c>
      <c r="BO182" s="423">
        <f t="shared" si="490"/>
        <v>120.4375</v>
      </c>
      <c r="BP182" s="423">
        <f t="shared" si="490"/>
        <v>120.4375</v>
      </c>
      <c r="BQ182" s="423">
        <f t="shared" si="490"/>
        <v>120.4375</v>
      </c>
      <c r="BR182" s="423">
        <f t="shared" si="490"/>
        <v>20.5</v>
      </c>
      <c r="BT182" s="59">
        <f t="shared" ref="BT182:CB182" si="491">BT181-BJ182</f>
        <v>82932.8541666667</v>
      </c>
      <c r="BU182" s="59">
        <f t="shared" si="491"/>
        <v>82932.8541666667</v>
      </c>
      <c r="BV182" s="59">
        <f t="shared" si="491"/>
        <v>82932.8541666667</v>
      </c>
      <c r="BW182" s="59">
        <f t="shared" si="491"/>
        <v>82932.8541666667</v>
      </c>
      <c r="BX182" s="59">
        <f t="shared" si="491"/>
        <v>82932.8541666667</v>
      </c>
      <c r="BY182" s="59">
        <f t="shared" si="491"/>
        <v>82932.8541666667</v>
      </c>
      <c r="BZ182" s="59">
        <f t="shared" si="491"/>
        <v>82932.8541666667</v>
      </c>
      <c r="CA182" s="59">
        <f t="shared" si="491"/>
        <v>82932.8541666667</v>
      </c>
      <c r="CB182" s="59">
        <f t="shared" si="491"/>
        <v>14068.1666666667</v>
      </c>
    </row>
    <row r="183" s="371" customFormat="1" ht="27" hidden="1" customHeight="1" spans="1:80">
      <c r="A183" s="410">
        <v>45838</v>
      </c>
      <c r="B183" s="411" t="s">
        <v>1074</v>
      </c>
      <c r="C183" s="412" t="s">
        <v>117</v>
      </c>
      <c r="D183" s="413">
        <v>4500171922</v>
      </c>
      <c r="E183" s="412" t="s">
        <v>1075</v>
      </c>
      <c r="F183" s="411" t="s">
        <v>1076</v>
      </c>
      <c r="G183" s="414" t="s">
        <v>188</v>
      </c>
      <c r="H183" s="411" t="s">
        <v>120</v>
      </c>
      <c r="I183" s="415">
        <v>900</v>
      </c>
      <c r="J183" s="415">
        <v>0</v>
      </c>
      <c r="K183" s="415">
        <v>12</v>
      </c>
      <c r="L183" s="415">
        <f t="shared" si="374"/>
        <v>75</v>
      </c>
      <c r="M183" s="416">
        <v>45870</v>
      </c>
      <c r="N183" s="416">
        <f t="shared" ref="N183:N192" si="492">M183-4</f>
        <v>45866</v>
      </c>
      <c r="O183" s="417"/>
      <c r="P183" s="417" t="s">
        <v>107</v>
      </c>
      <c r="Q183" s="515" t="s">
        <v>1019</v>
      </c>
      <c r="R183" s="509">
        <v>45840</v>
      </c>
      <c r="S183" s="417" t="s">
        <v>80</v>
      </c>
      <c r="T183" s="417" t="s">
        <v>1077</v>
      </c>
      <c r="U183" s="417"/>
      <c r="V183" s="420" t="s">
        <v>1078</v>
      </c>
      <c r="W183" s="416" t="s">
        <v>1079</v>
      </c>
      <c r="X183" s="421">
        <v>1.1176</v>
      </c>
      <c r="Y183" s="415">
        <f t="shared" si="482"/>
        <v>1005.84</v>
      </c>
      <c r="Z183" s="416" t="s">
        <v>1080</v>
      </c>
      <c r="AA183" s="420">
        <v>900</v>
      </c>
      <c r="AB183" s="420">
        <f t="shared" si="449"/>
        <v>0</v>
      </c>
      <c r="AC183" s="417" t="s">
        <v>113</v>
      </c>
      <c r="AD183" s="417" t="s">
        <v>114</v>
      </c>
      <c r="AE183" s="416" t="s">
        <v>119</v>
      </c>
      <c r="AF183" s="416" t="s">
        <v>115</v>
      </c>
      <c r="AG183" s="422">
        <f t="shared" si="485"/>
        <v>1800</v>
      </c>
      <c r="AH183" s="422">
        <f t="shared" si="486"/>
        <v>1800</v>
      </c>
      <c r="AI183" s="422"/>
      <c r="AJ183" s="422"/>
      <c r="AK183" s="422">
        <f t="shared" ref="AK183:AK192" si="493">I183*2</f>
        <v>1800</v>
      </c>
      <c r="AL183" s="422"/>
      <c r="AM183" s="422"/>
      <c r="AN183" s="422"/>
      <c r="AO183" s="422">
        <f t="shared" si="487"/>
        <v>1800</v>
      </c>
      <c r="AP183" s="422"/>
      <c r="AQ183" s="422"/>
      <c r="AR183" s="422"/>
      <c r="AS183" s="422"/>
      <c r="AT183" s="422"/>
      <c r="AU183" s="422"/>
      <c r="AV183" s="422"/>
      <c r="AW183" s="422"/>
      <c r="AX183" s="422"/>
      <c r="AY183" s="422"/>
      <c r="AZ183" s="422"/>
      <c r="BA183" s="422"/>
      <c r="BB183" s="422"/>
      <c r="BC183" s="422"/>
      <c r="BD183" s="422"/>
      <c r="BE183" s="422"/>
      <c r="BF183" s="422">
        <f t="shared" si="488"/>
        <v>900</v>
      </c>
      <c r="BG183" s="422">
        <f t="shared" si="489"/>
        <v>900</v>
      </c>
      <c r="BH183" s="422"/>
      <c r="BI183" s="422"/>
      <c r="BJ183" s="423">
        <f t="shared" ref="BJ183:BR183" si="494">$I183*BJ$2*2</f>
        <v>220.312499999999</v>
      </c>
      <c r="BK183" s="423">
        <f t="shared" si="494"/>
        <v>220.312499999999</v>
      </c>
      <c r="BL183" s="423">
        <f t="shared" si="494"/>
        <v>220.312499999999</v>
      </c>
      <c r="BM183" s="423">
        <f t="shared" si="494"/>
        <v>220.312499999999</v>
      </c>
      <c r="BN183" s="423">
        <f t="shared" si="494"/>
        <v>220.312499999999</v>
      </c>
      <c r="BO183" s="423">
        <f t="shared" si="494"/>
        <v>220.312499999999</v>
      </c>
      <c r="BP183" s="423">
        <f t="shared" si="494"/>
        <v>220.312499999999</v>
      </c>
      <c r="BQ183" s="423">
        <f t="shared" si="494"/>
        <v>220.312499999999</v>
      </c>
      <c r="BR183" s="423">
        <f t="shared" si="494"/>
        <v>37.4999999999999</v>
      </c>
      <c r="BT183" s="59">
        <f t="shared" ref="BT183:CB183" si="495">BT182-BJ183</f>
        <v>82712.5416666667</v>
      </c>
      <c r="BU183" s="59">
        <f t="shared" si="495"/>
        <v>82712.5416666667</v>
      </c>
      <c r="BV183" s="59">
        <f t="shared" si="495"/>
        <v>82712.5416666667</v>
      </c>
      <c r="BW183" s="59">
        <f t="shared" si="495"/>
        <v>82712.5416666667</v>
      </c>
      <c r="BX183" s="59">
        <f t="shared" si="495"/>
        <v>82712.5416666667</v>
      </c>
      <c r="BY183" s="59">
        <f t="shared" si="495"/>
        <v>82712.5416666667</v>
      </c>
      <c r="BZ183" s="59">
        <f t="shared" si="495"/>
        <v>82712.5416666667</v>
      </c>
      <c r="CA183" s="59">
        <f t="shared" si="495"/>
        <v>82712.5416666667</v>
      </c>
      <c r="CB183" s="59">
        <f t="shared" si="495"/>
        <v>14030.6666666667</v>
      </c>
    </row>
    <row r="184" s="371" customFormat="1" ht="27" hidden="1" customHeight="1" spans="1:80">
      <c r="A184" s="410">
        <v>45838</v>
      </c>
      <c r="B184" s="411" t="s">
        <v>1074</v>
      </c>
      <c r="C184" s="412" t="s">
        <v>117</v>
      </c>
      <c r="D184" s="413">
        <v>4500171921</v>
      </c>
      <c r="E184" s="412" t="s">
        <v>1081</v>
      </c>
      <c r="F184" s="411" t="s">
        <v>1082</v>
      </c>
      <c r="G184" s="414" t="s">
        <v>188</v>
      </c>
      <c r="H184" s="411" t="s">
        <v>120</v>
      </c>
      <c r="I184" s="415">
        <v>1200</v>
      </c>
      <c r="J184" s="415">
        <v>0</v>
      </c>
      <c r="K184" s="415">
        <v>12</v>
      </c>
      <c r="L184" s="415">
        <f t="shared" si="374"/>
        <v>100</v>
      </c>
      <c r="M184" s="416">
        <v>45870</v>
      </c>
      <c r="N184" s="416">
        <f t="shared" si="492"/>
        <v>45866</v>
      </c>
      <c r="O184" s="417"/>
      <c r="P184" s="417" t="s">
        <v>107</v>
      </c>
      <c r="Q184" s="417" t="s">
        <v>1083</v>
      </c>
      <c r="R184" s="509">
        <v>45840</v>
      </c>
      <c r="S184" s="417" t="s">
        <v>80</v>
      </c>
      <c r="T184" s="417" t="s">
        <v>1077</v>
      </c>
      <c r="U184" s="417"/>
      <c r="V184" s="420" t="s">
        <v>1078</v>
      </c>
      <c r="W184" s="416" t="s">
        <v>1079</v>
      </c>
      <c r="X184" s="421">
        <v>1.0937</v>
      </c>
      <c r="Y184" s="415">
        <f t="shared" si="482"/>
        <v>1312.44</v>
      </c>
      <c r="Z184" s="516" t="s">
        <v>1084</v>
      </c>
      <c r="AA184" s="420">
        <v>1200</v>
      </c>
      <c r="AB184" s="420">
        <f t="shared" si="449"/>
        <v>0</v>
      </c>
      <c r="AC184" s="417" t="s">
        <v>113</v>
      </c>
      <c r="AD184" s="417" t="s">
        <v>114</v>
      </c>
      <c r="AE184" s="416" t="s">
        <v>119</v>
      </c>
      <c r="AF184" s="416" t="s">
        <v>115</v>
      </c>
      <c r="AG184" s="422">
        <f t="shared" si="485"/>
        <v>2400</v>
      </c>
      <c r="AH184" s="422">
        <f t="shared" si="486"/>
        <v>2400</v>
      </c>
      <c r="AI184" s="422"/>
      <c r="AJ184" s="422"/>
      <c r="AK184" s="422">
        <f t="shared" si="493"/>
        <v>2400</v>
      </c>
      <c r="AL184" s="422"/>
      <c r="AM184" s="422"/>
      <c r="AN184" s="422"/>
      <c r="AO184" s="422">
        <f t="shared" si="487"/>
        <v>2400</v>
      </c>
      <c r="AP184" s="422"/>
      <c r="AQ184" s="422"/>
      <c r="AR184" s="422"/>
      <c r="AS184" s="422"/>
      <c r="AT184" s="422"/>
      <c r="AU184" s="422"/>
      <c r="AV184" s="422"/>
      <c r="AW184" s="422"/>
      <c r="AX184" s="422"/>
      <c r="AY184" s="422"/>
      <c r="AZ184" s="422"/>
      <c r="BA184" s="422"/>
      <c r="BB184" s="422"/>
      <c r="BC184" s="422"/>
      <c r="BD184" s="422"/>
      <c r="BE184" s="422"/>
      <c r="BF184" s="422">
        <f t="shared" si="488"/>
        <v>1200</v>
      </c>
      <c r="BG184" s="422">
        <f t="shared" si="489"/>
        <v>1200</v>
      </c>
      <c r="BH184" s="422"/>
      <c r="BI184" s="422"/>
      <c r="BJ184" s="423">
        <f t="shared" ref="BJ184:BR184" si="496">$I184*BJ$2*2</f>
        <v>293.749999999999</v>
      </c>
      <c r="BK184" s="423">
        <f t="shared" si="496"/>
        <v>293.749999999999</v>
      </c>
      <c r="BL184" s="423">
        <f t="shared" si="496"/>
        <v>293.749999999999</v>
      </c>
      <c r="BM184" s="423">
        <f t="shared" si="496"/>
        <v>293.749999999999</v>
      </c>
      <c r="BN184" s="423">
        <f t="shared" si="496"/>
        <v>293.749999999999</v>
      </c>
      <c r="BO184" s="423">
        <f t="shared" si="496"/>
        <v>293.749999999999</v>
      </c>
      <c r="BP184" s="423">
        <f t="shared" si="496"/>
        <v>293.749999999999</v>
      </c>
      <c r="BQ184" s="423">
        <f t="shared" si="496"/>
        <v>293.749999999999</v>
      </c>
      <c r="BR184" s="423">
        <f t="shared" si="496"/>
        <v>49.9999999999999</v>
      </c>
      <c r="BT184" s="59">
        <f t="shared" ref="BT184:CB184" si="497">BT183-BJ184</f>
        <v>82418.7916666667</v>
      </c>
      <c r="BU184" s="59">
        <f t="shared" si="497"/>
        <v>82418.7916666667</v>
      </c>
      <c r="BV184" s="59">
        <f t="shared" si="497"/>
        <v>82418.7916666667</v>
      </c>
      <c r="BW184" s="59">
        <f t="shared" si="497"/>
        <v>82418.7916666667</v>
      </c>
      <c r="BX184" s="59">
        <f t="shared" si="497"/>
        <v>82418.7916666667</v>
      </c>
      <c r="BY184" s="59">
        <f t="shared" si="497"/>
        <v>82418.7916666667</v>
      </c>
      <c r="BZ184" s="59">
        <f t="shared" si="497"/>
        <v>82418.7916666667</v>
      </c>
      <c r="CA184" s="59">
        <f t="shared" si="497"/>
        <v>82418.7916666667</v>
      </c>
      <c r="CB184" s="59">
        <f t="shared" si="497"/>
        <v>13980.6666666667</v>
      </c>
    </row>
    <row r="185" s="371" customFormat="1" ht="27" hidden="1" customHeight="1" spans="1:80">
      <c r="A185" s="410">
        <v>45838</v>
      </c>
      <c r="B185" s="411" t="s">
        <v>1074</v>
      </c>
      <c r="C185" s="412" t="s">
        <v>117</v>
      </c>
      <c r="D185" s="413">
        <v>4500171924</v>
      </c>
      <c r="E185" s="412" t="s">
        <v>1085</v>
      </c>
      <c r="F185" s="411" t="s">
        <v>1086</v>
      </c>
      <c r="G185" s="414" t="s">
        <v>188</v>
      </c>
      <c r="H185" s="411" t="s">
        <v>120</v>
      </c>
      <c r="I185" s="415">
        <v>900</v>
      </c>
      <c r="J185" s="415">
        <v>0</v>
      </c>
      <c r="K185" s="415">
        <v>12</v>
      </c>
      <c r="L185" s="415">
        <f t="shared" si="374"/>
        <v>75</v>
      </c>
      <c r="M185" s="416">
        <v>45870</v>
      </c>
      <c r="N185" s="416">
        <f t="shared" si="492"/>
        <v>45866</v>
      </c>
      <c r="O185" s="417"/>
      <c r="P185" s="417" t="s">
        <v>107</v>
      </c>
      <c r="Q185" s="515" t="s">
        <v>1019</v>
      </c>
      <c r="R185" s="509">
        <v>45840</v>
      </c>
      <c r="S185" s="417" t="s">
        <v>80</v>
      </c>
      <c r="T185" s="417" t="s">
        <v>1077</v>
      </c>
      <c r="U185" s="417"/>
      <c r="V185" s="420" t="s">
        <v>1078</v>
      </c>
      <c r="W185" s="416" t="s">
        <v>1079</v>
      </c>
      <c r="X185" s="421">
        <v>1.1176</v>
      </c>
      <c r="Y185" s="415">
        <f t="shared" si="482"/>
        <v>1005.84</v>
      </c>
      <c r="Z185" s="517" t="s">
        <v>1087</v>
      </c>
      <c r="AA185" s="420">
        <v>900</v>
      </c>
      <c r="AB185" s="420">
        <f t="shared" si="449"/>
        <v>0</v>
      </c>
      <c r="AC185" s="417" t="s">
        <v>113</v>
      </c>
      <c r="AD185" s="417" t="s">
        <v>114</v>
      </c>
      <c r="AE185" s="416" t="s">
        <v>119</v>
      </c>
      <c r="AF185" s="416" t="s">
        <v>115</v>
      </c>
      <c r="AG185" s="422">
        <f t="shared" si="485"/>
        <v>1800</v>
      </c>
      <c r="AI185" s="422">
        <f>I185*2</f>
        <v>1800</v>
      </c>
      <c r="AJ185" s="422"/>
      <c r="AK185" s="422">
        <f t="shared" si="493"/>
        <v>1800</v>
      </c>
      <c r="AL185" s="422"/>
      <c r="AM185" s="422"/>
      <c r="AN185" s="422"/>
      <c r="AO185" s="422">
        <f t="shared" si="487"/>
        <v>1800</v>
      </c>
      <c r="AP185" s="422"/>
      <c r="AQ185" s="422"/>
      <c r="AR185" s="422"/>
      <c r="AS185" s="422"/>
      <c r="AT185" s="422"/>
      <c r="AU185" s="422"/>
      <c r="AV185" s="422"/>
      <c r="AW185" s="422"/>
      <c r="AX185" s="422"/>
      <c r="AY185" s="422"/>
      <c r="AZ185" s="422"/>
      <c r="BA185" s="422"/>
      <c r="BB185" s="422"/>
      <c r="BC185" s="422"/>
      <c r="BD185" s="422"/>
      <c r="BE185" s="422"/>
      <c r="BF185" s="422">
        <f t="shared" si="488"/>
        <v>900</v>
      </c>
      <c r="BG185" s="422">
        <f t="shared" si="489"/>
        <v>900</v>
      </c>
      <c r="BH185" s="422"/>
      <c r="BI185" s="422"/>
      <c r="BJ185" s="423">
        <f t="shared" ref="BJ185:BR185" si="498">$I185*BJ$2*2</f>
        <v>220.312499999999</v>
      </c>
      <c r="BK185" s="423">
        <f t="shared" si="498"/>
        <v>220.312499999999</v>
      </c>
      <c r="BL185" s="423">
        <f t="shared" si="498"/>
        <v>220.312499999999</v>
      </c>
      <c r="BM185" s="423">
        <f t="shared" si="498"/>
        <v>220.312499999999</v>
      </c>
      <c r="BN185" s="423">
        <f t="shared" si="498"/>
        <v>220.312499999999</v>
      </c>
      <c r="BO185" s="423">
        <f t="shared" si="498"/>
        <v>220.312499999999</v>
      </c>
      <c r="BP185" s="423">
        <f t="shared" si="498"/>
        <v>220.312499999999</v>
      </c>
      <c r="BQ185" s="423">
        <f t="shared" si="498"/>
        <v>220.312499999999</v>
      </c>
      <c r="BR185" s="423">
        <f t="shared" si="498"/>
        <v>37.4999999999999</v>
      </c>
      <c r="BT185" s="59">
        <f t="shared" ref="BT185:CB185" si="499">BT184-BJ185</f>
        <v>82198.4791666667</v>
      </c>
      <c r="BU185" s="59">
        <f t="shared" si="499"/>
        <v>82198.4791666667</v>
      </c>
      <c r="BV185" s="59">
        <f t="shared" si="499"/>
        <v>82198.4791666667</v>
      </c>
      <c r="BW185" s="59">
        <f t="shared" si="499"/>
        <v>82198.4791666667</v>
      </c>
      <c r="BX185" s="59">
        <f t="shared" si="499"/>
        <v>82198.4791666667</v>
      </c>
      <c r="BY185" s="59">
        <f t="shared" si="499"/>
        <v>82198.4791666667</v>
      </c>
      <c r="BZ185" s="59">
        <f t="shared" si="499"/>
        <v>82198.4791666667</v>
      </c>
      <c r="CA185" s="59">
        <f t="shared" si="499"/>
        <v>82198.4791666667</v>
      </c>
      <c r="CB185" s="59">
        <f t="shared" si="499"/>
        <v>13943.1666666667</v>
      </c>
    </row>
    <row r="186" s="371" customFormat="1" ht="27" hidden="1" customHeight="1" spans="1:80">
      <c r="A186" s="410">
        <v>45838</v>
      </c>
      <c r="B186" s="411" t="s">
        <v>1074</v>
      </c>
      <c r="C186" s="412" t="s">
        <v>117</v>
      </c>
      <c r="D186" s="413">
        <v>4500171907</v>
      </c>
      <c r="E186" s="412" t="s">
        <v>1088</v>
      </c>
      <c r="F186" s="411" t="s">
        <v>1089</v>
      </c>
      <c r="G186" s="414" t="s">
        <v>188</v>
      </c>
      <c r="H186" s="411" t="s">
        <v>120</v>
      </c>
      <c r="I186" s="415">
        <v>600</v>
      </c>
      <c r="J186" s="415">
        <v>0</v>
      </c>
      <c r="K186" s="415">
        <v>12</v>
      </c>
      <c r="L186" s="415">
        <f t="shared" si="374"/>
        <v>50</v>
      </c>
      <c r="M186" s="416">
        <v>45870</v>
      </c>
      <c r="N186" s="416">
        <f t="shared" si="492"/>
        <v>45866</v>
      </c>
      <c r="O186" s="417"/>
      <c r="P186" s="417" t="s">
        <v>107</v>
      </c>
      <c r="Q186" s="417" t="s">
        <v>1090</v>
      </c>
      <c r="R186" s="509">
        <v>45840</v>
      </c>
      <c r="S186" s="417" t="s">
        <v>80</v>
      </c>
      <c r="T186" s="417" t="s">
        <v>1091</v>
      </c>
      <c r="U186" s="417"/>
      <c r="V186" s="420" t="s">
        <v>1092</v>
      </c>
      <c r="W186" s="416" t="s">
        <v>1079</v>
      </c>
      <c r="X186" s="421">
        <v>1.0937</v>
      </c>
      <c r="Y186" s="415">
        <f t="shared" si="482"/>
        <v>656.22</v>
      </c>
      <c r="Z186" s="516" t="s">
        <v>1093</v>
      </c>
      <c r="AA186" s="420">
        <v>600</v>
      </c>
      <c r="AB186" s="420">
        <f t="shared" si="449"/>
        <v>0</v>
      </c>
      <c r="AC186" s="417" t="s">
        <v>113</v>
      </c>
      <c r="AD186" s="417" t="s">
        <v>114</v>
      </c>
      <c r="AE186" s="416" t="s">
        <v>119</v>
      </c>
      <c r="AF186" s="416" t="s">
        <v>115</v>
      </c>
      <c r="AG186" s="422">
        <f t="shared" si="485"/>
        <v>1200</v>
      </c>
      <c r="AH186" s="422">
        <f t="shared" ref="AH186:AH189" si="500">I186*2</f>
        <v>1200</v>
      </c>
      <c r="AI186" s="422"/>
      <c r="AJ186" s="422"/>
      <c r="AK186" s="422">
        <f t="shared" si="493"/>
        <v>1200</v>
      </c>
      <c r="AL186" s="422"/>
      <c r="AM186" s="422"/>
      <c r="AN186" s="422"/>
      <c r="AO186" s="422">
        <f t="shared" si="487"/>
        <v>1200</v>
      </c>
      <c r="AP186" s="422"/>
      <c r="AQ186" s="422"/>
      <c r="AR186" s="422"/>
      <c r="AS186" s="422"/>
      <c r="AT186" s="422"/>
      <c r="AU186" s="422"/>
      <c r="AV186" s="422"/>
      <c r="AW186" s="422"/>
      <c r="AX186" s="422"/>
      <c r="AY186" s="422"/>
      <c r="AZ186" s="422"/>
      <c r="BA186" s="422"/>
      <c r="BB186" s="422"/>
      <c r="BC186" s="422"/>
      <c r="BD186" s="422"/>
      <c r="BE186" s="422"/>
      <c r="BF186" s="422">
        <f t="shared" si="488"/>
        <v>600</v>
      </c>
      <c r="BG186" s="422">
        <f t="shared" si="489"/>
        <v>600</v>
      </c>
      <c r="BH186" s="422"/>
      <c r="BI186" s="422"/>
      <c r="BJ186" s="423">
        <f t="shared" ref="BJ186:BR186" si="501">$I186*BJ$2*2</f>
        <v>146.875</v>
      </c>
      <c r="BK186" s="423">
        <f t="shared" si="501"/>
        <v>146.875</v>
      </c>
      <c r="BL186" s="423">
        <f t="shared" si="501"/>
        <v>146.875</v>
      </c>
      <c r="BM186" s="423">
        <f t="shared" si="501"/>
        <v>146.875</v>
      </c>
      <c r="BN186" s="423">
        <f t="shared" si="501"/>
        <v>146.875</v>
      </c>
      <c r="BO186" s="423">
        <f t="shared" si="501"/>
        <v>146.875</v>
      </c>
      <c r="BP186" s="423">
        <f t="shared" si="501"/>
        <v>146.875</v>
      </c>
      <c r="BQ186" s="423">
        <f t="shared" si="501"/>
        <v>146.875</v>
      </c>
      <c r="BR186" s="423">
        <f t="shared" si="501"/>
        <v>25</v>
      </c>
      <c r="BT186" s="59">
        <f t="shared" ref="BT186:CB186" si="502">BT185-BJ186</f>
        <v>82051.6041666667</v>
      </c>
      <c r="BU186" s="59">
        <f t="shared" si="502"/>
        <v>82051.6041666667</v>
      </c>
      <c r="BV186" s="59">
        <f t="shared" si="502"/>
        <v>82051.6041666667</v>
      </c>
      <c r="BW186" s="59">
        <f t="shared" si="502"/>
        <v>82051.6041666667</v>
      </c>
      <c r="BX186" s="59">
        <f t="shared" si="502"/>
        <v>82051.6041666667</v>
      </c>
      <c r="BY186" s="59">
        <f t="shared" si="502"/>
        <v>82051.6041666667</v>
      </c>
      <c r="BZ186" s="59">
        <f t="shared" si="502"/>
        <v>82051.6041666667</v>
      </c>
      <c r="CA186" s="59">
        <f t="shared" si="502"/>
        <v>82051.6041666667</v>
      </c>
      <c r="CB186" s="59">
        <f t="shared" si="502"/>
        <v>13918.1666666667</v>
      </c>
    </row>
    <row r="187" s="371" customFormat="1" ht="27" hidden="1" customHeight="1" spans="1:80">
      <c r="A187" s="410">
        <v>45838</v>
      </c>
      <c r="B187" s="411" t="s">
        <v>1074</v>
      </c>
      <c r="C187" s="412" t="s">
        <v>117</v>
      </c>
      <c r="D187" s="413">
        <v>4500171908</v>
      </c>
      <c r="E187" s="412" t="s">
        <v>1094</v>
      </c>
      <c r="F187" s="411" t="s">
        <v>1095</v>
      </c>
      <c r="G187" s="414" t="s">
        <v>188</v>
      </c>
      <c r="H187" s="411" t="s">
        <v>120</v>
      </c>
      <c r="I187" s="415">
        <v>804</v>
      </c>
      <c r="J187" s="415">
        <v>0</v>
      </c>
      <c r="K187" s="415">
        <v>12</v>
      </c>
      <c r="L187" s="415">
        <f t="shared" si="374"/>
        <v>67</v>
      </c>
      <c r="M187" s="416">
        <v>45870</v>
      </c>
      <c r="N187" s="416">
        <f t="shared" si="492"/>
        <v>45866</v>
      </c>
      <c r="O187" s="417"/>
      <c r="P187" s="417" t="s">
        <v>107</v>
      </c>
      <c r="Q187" s="417" t="s">
        <v>1090</v>
      </c>
      <c r="R187" s="509">
        <v>45840</v>
      </c>
      <c r="S187" s="417" t="s">
        <v>80</v>
      </c>
      <c r="T187" s="417" t="s">
        <v>1077</v>
      </c>
      <c r="U187" s="417"/>
      <c r="V187" s="420" t="s">
        <v>1096</v>
      </c>
      <c r="W187" s="416" t="s">
        <v>1079</v>
      </c>
      <c r="X187" s="421">
        <v>1.1176</v>
      </c>
      <c r="Y187" s="415">
        <f t="shared" si="482"/>
        <v>898.5504</v>
      </c>
      <c r="Z187" s="518" t="s">
        <v>1097</v>
      </c>
      <c r="AA187" s="420">
        <v>804</v>
      </c>
      <c r="AB187" s="420">
        <f t="shared" si="449"/>
        <v>0</v>
      </c>
      <c r="AC187" s="417" t="s">
        <v>113</v>
      </c>
      <c r="AD187" s="417" t="s">
        <v>114</v>
      </c>
      <c r="AE187" s="416" t="s">
        <v>119</v>
      </c>
      <c r="AF187" s="416" t="s">
        <v>115</v>
      </c>
      <c r="AG187" s="422">
        <f t="shared" si="485"/>
        <v>1608</v>
      </c>
      <c r="AH187" s="422">
        <f t="shared" si="500"/>
        <v>1608</v>
      </c>
      <c r="AJ187" s="422"/>
      <c r="AK187" s="422">
        <f t="shared" si="493"/>
        <v>1608</v>
      </c>
      <c r="AL187" s="422"/>
      <c r="AM187" s="422"/>
      <c r="AN187" s="422"/>
      <c r="AO187" s="422">
        <f t="shared" si="487"/>
        <v>1608</v>
      </c>
      <c r="AP187" s="422"/>
      <c r="AQ187" s="422"/>
      <c r="AR187" s="422"/>
      <c r="AS187" s="422"/>
      <c r="AT187" s="422"/>
      <c r="AU187" s="422"/>
      <c r="AV187" s="422"/>
      <c r="AW187" s="422"/>
      <c r="AX187" s="422"/>
      <c r="AY187" s="422"/>
      <c r="AZ187" s="422"/>
      <c r="BA187" s="422"/>
      <c r="BB187" s="422"/>
      <c r="BC187" s="422"/>
      <c r="BD187" s="422"/>
      <c r="BE187" s="422"/>
      <c r="BF187" s="422">
        <f t="shared" si="488"/>
        <v>804</v>
      </c>
      <c r="BG187" s="422">
        <f t="shared" si="489"/>
        <v>804</v>
      </c>
      <c r="BH187" s="422"/>
      <c r="BI187" s="422"/>
      <c r="BJ187" s="423">
        <f t="shared" ref="BJ187:BR187" si="503">$I187*BJ$2*2</f>
        <v>196.812499999999</v>
      </c>
      <c r="BK187" s="423">
        <f t="shared" si="503"/>
        <v>196.812499999999</v>
      </c>
      <c r="BL187" s="423">
        <f t="shared" si="503"/>
        <v>196.812499999999</v>
      </c>
      <c r="BM187" s="423">
        <f t="shared" si="503"/>
        <v>196.812499999999</v>
      </c>
      <c r="BN187" s="423">
        <f t="shared" si="503"/>
        <v>196.812499999999</v>
      </c>
      <c r="BO187" s="423">
        <f t="shared" si="503"/>
        <v>196.812499999999</v>
      </c>
      <c r="BP187" s="423">
        <f t="shared" si="503"/>
        <v>196.812499999999</v>
      </c>
      <c r="BQ187" s="423">
        <f t="shared" si="503"/>
        <v>196.812499999999</v>
      </c>
      <c r="BR187" s="423">
        <f t="shared" si="503"/>
        <v>33.5</v>
      </c>
      <c r="BT187" s="59">
        <f t="shared" ref="BT187:CB187" si="504">BT186-BJ187</f>
        <v>81854.7916666667</v>
      </c>
      <c r="BU187" s="59">
        <f t="shared" si="504"/>
        <v>81854.7916666667</v>
      </c>
      <c r="BV187" s="59">
        <f t="shared" si="504"/>
        <v>81854.7916666667</v>
      </c>
      <c r="BW187" s="59">
        <f t="shared" si="504"/>
        <v>81854.7916666667</v>
      </c>
      <c r="BX187" s="59">
        <f t="shared" si="504"/>
        <v>81854.7916666667</v>
      </c>
      <c r="BY187" s="59">
        <f t="shared" si="504"/>
        <v>81854.7916666667</v>
      </c>
      <c r="BZ187" s="59">
        <f t="shared" si="504"/>
        <v>81854.7916666667</v>
      </c>
      <c r="CA187" s="59">
        <f t="shared" si="504"/>
        <v>81854.7916666667</v>
      </c>
      <c r="CB187" s="59">
        <f t="shared" si="504"/>
        <v>13884.6666666667</v>
      </c>
    </row>
    <row r="188" s="371" customFormat="1" ht="27" hidden="1" customHeight="1" spans="1:80">
      <c r="A188" s="410">
        <v>45838</v>
      </c>
      <c r="B188" s="411" t="s">
        <v>1074</v>
      </c>
      <c r="C188" s="412" t="s">
        <v>117</v>
      </c>
      <c r="D188" s="413">
        <v>4500171919</v>
      </c>
      <c r="E188" s="412" t="s">
        <v>1098</v>
      </c>
      <c r="F188" s="411" t="s">
        <v>1099</v>
      </c>
      <c r="G188" s="414" t="s">
        <v>188</v>
      </c>
      <c r="H188" s="411" t="s">
        <v>120</v>
      </c>
      <c r="I188" s="415">
        <v>996</v>
      </c>
      <c r="J188" s="415">
        <v>0</v>
      </c>
      <c r="K188" s="415">
        <v>12</v>
      </c>
      <c r="L188" s="415">
        <f t="shared" si="374"/>
        <v>83</v>
      </c>
      <c r="M188" s="416">
        <v>45870</v>
      </c>
      <c r="N188" s="416">
        <f t="shared" si="492"/>
        <v>45866</v>
      </c>
      <c r="O188" s="417"/>
      <c r="P188" s="417" t="s">
        <v>107</v>
      </c>
      <c r="Q188" s="515" t="s">
        <v>1019</v>
      </c>
      <c r="R188" s="509">
        <v>45840</v>
      </c>
      <c r="S188" s="417" t="s">
        <v>80</v>
      </c>
      <c r="T188" s="417" t="s">
        <v>1077</v>
      </c>
      <c r="U188" s="417"/>
      <c r="V188" s="420" t="s">
        <v>1096</v>
      </c>
      <c r="W188" s="416" t="s">
        <v>1079</v>
      </c>
      <c r="X188" s="421">
        <v>1.0937</v>
      </c>
      <c r="Y188" s="415">
        <f t="shared" si="482"/>
        <v>1089.3252</v>
      </c>
      <c r="Z188" s="416" t="s">
        <v>1100</v>
      </c>
      <c r="AA188" s="420">
        <v>996</v>
      </c>
      <c r="AB188" s="420">
        <f t="shared" si="449"/>
        <v>0</v>
      </c>
      <c r="AC188" s="417" t="s">
        <v>113</v>
      </c>
      <c r="AD188" s="417" t="s">
        <v>114</v>
      </c>
      <c r="AE188" s="416" t="s">
        <v>119</v>
      </c>
      <c r="AF188" s="416" t="s">
        <v>115</v>
      </c>
      <c r="AG188" s="422">
        <f t="shared" si="485"/>
        <v>1992</v>
      </c>
      <c r="AH188" s="422">
        <f t="shared" si="500"/>
        <v>1992</v>
      </c>
      <c r="AI188" s="422"/>
      <c r="AJ188" s="422"/>
      <c r="AK188" s="422">
        <f t="shared" si="493"/>
        <v>1992</v>
      </c>
      <c r="AL188" s="422"/>
      <c r="AM188" s="422"/>
      <c r="AN188" s="422"/>
      <c r="AO188" s="422">
        <f t="shared" si="487"/>
        <v>1992</v>
      </c>
      <c r="AP188" s="422"/>
      <c r="AQ188" s="422"/>
      <c r="AR188" s="422"/>
      <c r="AS188" s="422"/>
      <c r="AT188" s="422"/>
      <c r="AU188" s="422"/>
      <c r="AV188" s="422"/>
      <c r="AW188" s="422"/>
      <c r="AX188" s="422"/>
      <c r="AY188" s="422"/>
      <c r="AZ188" s="422"/>
      <c r="BA188" s="422"/>
      <c r="BB188" s="422"/>
      <c r="BC188" s="422"/>
      <c r="BD188" s="422"/>
      <c r="BE188" s="422"/>
      <c r="BF188" s="422">
        <f t="shared" si="488"/>
        <v>996</v>
      </c>
      <c r="BG188" s="422">
        <f t="shared" si="489"/>
        <v>996</v>
      </c>
      <c r="BH188" s="422"/>
      <c r="BI188" s="422"/>
      <c r="BJ188" s="423">
        <f t="shared" ref="BJ188:BR188" si="505">$I188*BJ$2*2</f>
        <v>243.812499999999</v>
      </c>
      <c r="BK188" s="423">
        <f t="shared" si="505"/>
        <v>243.812499999999</v>
      </c>
      <c r="BL188" s="423">
        <f t="shared" si="505"/>
        <v>243.812499999999</v>
      </c>
      <c r="BM188" s="423">
        <f t="shared" si="505"/>
        <v>243.812499999999</v>
      </c>
      <c r="BN188" s="423">
        <f t="shared" si="505"/>
        <v>243.812499999999</v>
      </c>
      <c r="BO188" s="423">
        <f t="shared" si="505"/>
        <v>243.812499999999</v>
      </c>
      <c r="BP188" s="423">
        <f t="shared" si="505"/>
        <v>243.812499999999</v>
      </c>
      <c r="BQ188" s="423">
        <f t="shared" si="505"/>
        <v>243.812499999999</v>
      </c>
      <c r="BR188" s="423">
        <f t="shared" si="505"/>
        <v>41.4999999999999</v>
      </c>
      <c r="BT188" s="59">
        <f t="shared" ref="BT188:CB188" si="506">BT187-BJ188</f>
        <v>81610.9791666667</v>
      </c>
      <c r="BU188" s="59">
        <f t="shared" si="506"/>
        <v>81610.9791666667</v>
      </c>
      <c r="BV188" s="59">
        <f t="shared" si="506"/>
        <v>81610.9791666667</v>
      </c>
      <c r="BW188" s="59">
        <f t="shared" si="506"/>
        <v>81610.9791666667</v>
      </c>
      <c r="BX188" s="59">
        <f t="shared" si="506"/>
        <v>81610.9791666667</v>
      </c>
      <c r="BY188" s="59">
        <f t="shared" si="506"/>
        <v>81610.9791666667</v>
      </c>
      <c r="BZ188" s="59">
        <f t="shared" si="506"/>
        <v>81610.9791666667</v>
      </c>
      <c r="CA188" s="59">
        <f t="shared" si="506"/>
        <v>81610.9791666667</v>
      </c>
      <c r="CB188" s="59">
        <f t="shared" si="506"/>
        <v>13843.1666666667</v>
      </c>
    </row>
    <row r="189" s="371" customFormat="1" ht="27" hidden="1" customHeight="1" spans="1:80">
      <c r="A189" s="410">
        <v>45838</v>
      </c>
      <c r="B189" s="411" t="s">
        <v>1074</v>
      </c>
      <c r="C189" s="412" t="s">
        <v>117</v>
      </c>
      <c r="D189" s="413">
        <v>4500171916</v>
      </c>
      <c r="E189" s="412" t="s">
        <v>1101</v>
      </c>
      <c r="F189" s="411" t="s">
        <v>1102</v>
      </c>
      <c r="G189" s="414" t="s">
        <v>188</v>
      </c>
      <c r="H189" s="411" t="s">
        <v>120</v>
      </c>
      <c r="I189" s="415">
        <v>600</v>
      </c>
      <c r="J189" s="415">
        <v>0</v>
      </c>
      <c r="K189" s="415">
        <v>12</v>
      </c>
      <c r="L189" s="415">
        <f t="shared" si="374"/>
        <v>50</v>
      </c>
      <c r="M189" s="416">
        <v>45870</v>
      </c>
      <c r="N189" s="416">
        <f t="shared" si="492"/>
        <v>45866</v>
      </c>
      <c r="O189" s="417"/>
      <c r="P189" s="417" t="s">
        <v>107</v>
      </c>
      <c r="Q189" s="417" t="s">
        <v>1090</v>
      </c>
      <c r="R189" s="509">
        <v>45840</v>
      </c>
      <c r="S189" s="417" t="s">
        <v>80</v>
      </c>
      <c r="T189" s="417" t="s">
        <v>1077</v>
      </c>
      <c r="U189" s="417"/>
      <c r="V189" s="420" t="s">
        <v>1092</v>
      </c>
      <c r="W189" s="416" t="s">
        <v>1079</v>
      </c>
      <c r="X189" s="421">
        <v>1.1176</v>
      </c>
      <c r="Y189" s="415">
        <f t="shared" si="482"/>
        <v>670.56</v>
      </c>
      <c r="Z189" s="416" t="s">
        <v>1103</v>
      </c>
      <c r="AA189" s="420">
        <v>600</v>
      </c>
      <c r="AB189" s="420">
        <f t="shared" si="449"/>
        <v>0</v>
      </c>
      <c r="AC189" s="417" t="s">
        <v>113</v>
      </c>
      <c r="AD189" s="417" t="s">
        <v>114</v>
      </c>
      <c r="AE189" s="416" t="s">
        <v>119</v>
      </c>
      <c r="AF189" s="416" t="s">
        <v>115</v>
      </c>
      <c r="AG189" s="422">
        <f t="shared" si="485"/>
        <v>1200</v>
      </c>
      <c r="AH189" s="422">
        <f t="shared" si="500"/>
        <v>1200</v>
      </c>
      <c r="AJ189" s="422"/>
      <c r="AK189" s="422">
        <f t="shared" si="493"/>
        <v>1200</v>
      </c>
      <c r="AL189" s="422"/>
      <c r="AM189" s="422"/>
      <c r="AN189" s="422"/>
      <c r="AO189" s="422">
        <f t="shared" si="487"/>
        <v>1200</v>
      </c>
      <c r="AP189" s="422"/>
      <c r="AQ189" s="422"/>
      <c r="AR189" s="422"/>
      <c r="AS189" s="422"/>
      <c r="AT189" s="422"/>
      <c r="AU189" s="422"/>
      <c r="AV189" s="422"/>
      <c r="AW189" s="422"/>
      <c r="AX189" s="422"/>
      <c r="AY189" s="422"/>
      <c r="AZ189" s="422"/>
      <c r="BA189" s="422"/>
      <c r="BB189" s="422"/>
      <c r="BC189" s="422"/>
      <c r="BD189" s="422"/>
      <c r="BE189" s="422"/>
      <c r="BF189" s="422">
        <f t="shared" si="488"/>
        <v>600</v>
      </c>
      <c r="BG189" s="422">
        <f t="shared" si="489"/>
        <v>600</v>
      </c>
      <c r="BH189" s="422"/>
      <c r="BI189" s="422"/>
      <c r="BJ189" s="423">
        <f t="shared" ref="BJ189:BR189" si="507">$I189*BJ$2*2</f>
        <v>146.875</v>
      </c>
      <c r="BK189" s="423">
        <f t="shared" si="507"/>
        <v>146.875</v>
      </c>
      <c r="BL189" s="423">
        <f t="shared" si="507"/>
        <v>146.875</v>
      </c>
      <c r="BM189" s="423">
        <f t="shared" si="507"/>
        <v>146.875</v>
      </c>
      <c r="BN189" s="423">
        <f t="shared" si="507"/>
        <v>146.875</v>
      </c>
      <c r="BO189" s="423">
        <f t="shared" si="507"/>
        <v>146.875</v>
      </c>
      <c r="BP189" s="423">
        <f t="shared" si="507"/>
        <v>146.875</v>
      </c>
      <c r="BQ189" s="423">
        <f t="shared" si="507"/>
        <v>146.875</v>
      </c>
      <c r="BR189" s="423">
        <f t="shared" si="507"/>
        <v>25</v>
      </c>
      <c r="BT189" s="59">
        <f t="shared" ref="BT189:CB189" si="508">BT188-BJ189</f>
        <v>81464.1041666667</v>
      </c>
      <c r="BU189" s="59">
        <f t="shared" si="508"/>
        <v>81464.1041666667</v>
      </c>
      <c r="BV189" s="59">
        <f t="shared" si="508"/>
        <v>81464.1041666667</v>
      </c>
      <c r="BW189" s="59">
        <f t="shared" si="508"/>
        <v>81464.1041666667</v>
      </c>
      <c r="BX189" s="59">
        <f t="shared" si="508"/>
        <v>81464.1041666667</v>
      </c>
      <c r="BY189" s="59">
        <f t="shared" si="508"/>
        <v>81464.1041666667</v>
      </c>
      <c r="BZ189" s="59">
        <f t="shared" si="508"/>
        <v>81464.1041666667</v>
      </c>
      <c r="CA189" s="59">
        <f t="shared" si="508"/>
        <v>81464.1041666667</v>
      </c>
      <c r="CB189" s="59">
        <f t="shared" si="508"/>
        <v>13818.1666666667</v>
      </c>
    </row>
    <row r="190" s="371" customFormat="1" ht="27" hidden="1" customHeight="1" spans="1:80">
      <c r="A190" s="410">
        <v>45838</v>
      </c>
      <c r="B190" s="411" t="s">
        <v>1074</v>
      </c>
      <c r="C190" s="412" t="s">
        <v>117</v>
      </c>
      <c r="D190" s="413">
        <v>4500171914</v>
      </c>
      <c r="E190" s="412" t="s">
        <v>1104</v>
      </c>
      <c r="F190" s="411" t="s">
        <v>1105</v>
      </c>
      <c r="G190" s="414" t="s">
        <v>188</v>
      </c>
      <c r="H190" s="411" t="s">
        <v>120</v>
      </c>
      <c r="I190" s="415">
        <v>600</v>
      </c>
      <c r="J190" s="415">
        <v>0</v>
      </c>
      <c r="K190" s="415">
        <v>12</v>
      </c>
      <c r="L190" s="415">
        <f t="shared" si="374"/>
        <v>50</v>
      </c>
      <c r="M190" s="416">
        <v>45870</v>
      </c>
      <c r="N190" s="416">
        <f t="shared" si="492"/>
        <v>45866</v>
      </c>
      <c r="O190" s="417"/>
      <c r="P190" s="417" t="s">
        <v>107</v>
      </c>
      <c r="Q190" s="417" t="s">
        <v>1083</v>
      </c>
      <c r="R190" s="509">
        <v>45840</v>
      </c>
      <c r="S190" s="417" t="s">
        <v>80</v>
      </c>
      <c r="T190" s="417" t="s">
        <v>1077</v>
      </c>
      <c r="U190" s="417"/>
      <c r="V190" s="420" t="s">
        <v>1092</v>
      </c>
      <c r="W190" s="416" t="s">
        <v>1079</v>
      </c>
      <c r="X190" s="421">
        <v>1.1176</v>
      </c>
      <c r="Y190" s="415">
        <f t="shared" si="482"/>
        <v>670.56</v>
      </c>
      <c r="Z190" s="416" t="s">
        <v>1106</v>
      </c>
      <c r="AA190" s="420">
        <v>600</v>
      </c>
      <c r="AB190" s="420">
        <f t="shared" si="449"/>
        <v>0</v>
      </c>
      <c r="AC190" s="417" t="s">
        <v>113</v>
      </c>
      <c r="AD190" s="417" t="s">
        <v>114</v>
      </c>
      <c r="AE190" s="416" t="s">
        <v>119</v>
      </c>
      <c r="AF190" s="416" t="s">
        <v>115</v>
      </c>
      <c r="AG190" s="422">
        <f t="shared" si="485"/>
        <v>1200</v>
      </c>
      <c r="AH190" s="422"/>
      <c r="AI190" s="422">
        <f t="shared" ref="AI190:AI192" si="509">I190*2</f>
        <v>1200</v>
      </c>
      <c r="AJ190" s="422"/>
      <c r="AK190" s="422">
        <f t="shared" si="493"/>
        <v>1200</v>
      </c>
      <c r="AL190" s="422"/>
      <c r="AM190" s="422"/>
      <c r="AN190" s="422"/>
      <c r="AO190" s="422">
        <f t="shared" si="487"/>
        <v>1200</v>
      </c>
      <c r="AP190" s="422"/>
      <c r="AQ190" s="422"/>
      <c r="AR190" s="422"/>
      <c r="AS190" s="422"/>
      <c r="AT190" s="422"/>
      <c r="AU190" s="422"/>
      <c r="AV190" s="422"/>
      <c r="AW190" s="422"/>
      <c r="AX190" s="422"/>
      <c r="AY190" s="422"/>
      <c r="AZ190" s="422"/>
      <c r="BA190" s="422"/>
      <c r="BB190" s="422"/>
      <c r="BC190" s="422"/>
      <c r="BD190" s="422"/>
      <c r="BE190" s="422"/>
      <c r="BF190" s="422">
        <f t="shared" si="488"/>
        <v>600</v>
      </c>
      <c r="BG190" s="422">
        <f t="shared" si="489"/>
        <v>600</v>
      </c>
      <c r="BH190" s="422"/>
      <c r="BI190" s="422"/>
      <c r="BJ190" s="423">
        <f t="shared" ref="BJ190:BR190" si="510">$I190*BJ$2*2</f>
        <v>146.875</v>
      </c>
      <c r="BK190" s="423">
        <f t="shared" si="510"/>
        <v>146.875</v>
      </c>
      <c r="BL190" s="423">
        <f t="shared" si="510"/>
        <v>146.875</v>
      </c>
      <c r="BM190" s="423">
        <f t="shared" si="510"/>
        <v>146.875</v>
      </c>
      <c r="BN190" s="423">
        <f t="shared" si="510"/>
        <v>146.875</v>
      </c>
      <c r="BO190" s="423">
        <f t="shared" si="510"/>
        <v>146.875</v>
      </c>
      <c r="BP190" s="423">
        <f t="shared" si="510"/>
        <v>146.875</v>
      </c>
      <c r="BQ190" s="423">
        <f t="shared" si="510"/>
        <v>146.875</v>
      </c>
      <c r="BR190" s="423">
        <f t="shared" si="510"/>
        <v>25</v>
      </c>
      <c r="BT190" s="59">
        <f t="shared" ref="BT190:CB190" si="511">BT189-BJ190</f>
        <v>81317.2291666667</v>
      </c>
      <c r="BU190" s="59">
        <f t="shared" si="511"/>
        <v>81317.2291666667</v>
      </c>
      <c r="BV190" s="59">
        <f t="shared" si="511"/>
        <v>81317.2291666667</v>
      </c>
      <c r="BW190" s="59">
        <f t="shared" si="511"/>
        <v>81317.2291666667</v>
      </c>
      <c r="BX190" s="59">
        <f t="shared" si="511"/>
        <v>81317.2291666667</v>
      </c>
      <c r="BY190" s="59">
        <f t="shared" si="511"/>
        <v>81317.2291666667</v>
      </c>
      <c r="BZ190" s="59">
        <f t="shared" si="511"/>
        <v>81317.2291666667</v>
      </c>
      <c r="CA190" s="59">
        <f t="shared" si="511"/>
        <v>81317.2291666667</v>
      </c>
      <c r="CB190" s="59">
        <f t="shared" si="511"/>
        <v>13793.1666666667</v>
      </c>
    </row>
    <row r="191" s="371" customFormat="1" ht="27" hidden="1" customHeight="1" spans="1:80">
      <c r="A191" s="410">
        <v>45838</v>
      </c>
      <c r="B191" s="411" t="s">
        <v>1074</v>
      </c>
      <c r="C191" s="412" t="s">
        <v>117</v>
      </c>
      <c r="D191" s="413">
        <v>4500171918</v>
      </c>
      <c r="E191" s="412" t="s">
        <v>1107</v>
      </c>
      <c r="F191" s="411" t="s">
        <v>1108</v>
      </c>
      <c r="G191" s="414" t="s">
        <v>188</v>
      </c>
      <c r="H191" s="411" t="s">
        <v>120</v>
      </c>
      <c r="I191" s="415">
        <v>900</v>
      </c>
      <c r="J191" s="415">
        <v>0</v>
      </c>
      <c r="K191" s="415">
        <v>12</v>
      </c>
      <c r="L191" s="415">
        <f t="shared" si="374"/>
        <v>75</v>
      </c>
      <c r="M191" s="416">
        <v>45870</v>
      </c>
      <c r="N191" s="416">
        <f t="shared" si="492"/>
        <v>45866</v>
      </c>
      <c r="O191" s="417"/>
      <c r="P191" s="417" t="s">
        <v>107</v>
      </c>
      <c r="Q191" s="515" t="s">
        <v>1109</v>
      </c>
      <c r="R191" s="509">
        <v>45840</v>
      </c>
      <c r="S191" s="417" t="s">
        <v>80</v>
      </c>
      <c r="T191" s="417" t="s">
        <v>1077</v>
      </c>
      <c r="U191" s="417"/>
      <c r="V191" s="420" t="s">
        <v>1078</v>
      </c>
      <c r="W191" s="416" t="s">
        <v>1079</v>
      </c>
      <c r="X191" s="421">
        <v>1.1176</v>
      </c>
      <c r="Y191" s="415">
        <f t="shared" si="482"/>
        <v>1005.84</v>
      </c>
      <c r="Z191" s="416" t="s">
        <v>1110</v>
      </c>
      <c r="AA191" s="420">
        <v>900</v>
      </c>
      <c r="AB191" s="420">
        <f t="shared" si="449"/>
        <v>0</v>
      </c>
      <c r="AC191" s="417" t="s">
        <v>113</v>
      </c>
      <c r="AD191" s="417" t="s">
        <v>114</v>
      </c>
      <c r="AE191" s="416" t="s">
        <v>119</v>
      </c>
      <c r="AF191" s="416" t="s">
        <v>115</v>
      </c>
      <c r="AG191" s="422">
        <f t="shared" si="485"/>
        <v>1800</v>
      </c>
      <c r="AH191" s="422"/>
      <c r="AI191" s="422">
        <f t="shared" si="509"/>
        <v>1800</v>
      </c>
      <c r="AJ191" s="422"/>
      <c r="AK191" s="422">
        <f t="shared" si="493"/>
        <v>1800</v>
      </c>
      <c r="AL191" s="422"/>
      <c r="AM191" s="422"/>
      <c r="AN191" s="422"/>
      <c r="AO191" s="422">
        <f t="shared" si="487"/>
        <v>1800</v>
      </c>
      <c r="AP191" s="422"/>
      <c r="AQ191" s="422"/>
      <c r="AR191" s="422"/>
      <c r="AS191" s="422"/>
      <c r="AT191" s="422"/>
      <c r="AU191" s="422"/>
      <c r="AV191" s="422"/>
      <c r="AW191" s="422"/>
      <c r="AX191" s="422"/>
      <c r="AY191" s="422"/>
      <c r="AZ191" s="422"/>
      <c r="BA191" s="422"/>
      <c r="BB191" s="422"/>
      <c r="BC191" s="422"/>
      <c r="BD191" s="422"/>
      <c r="BE191" s="422"/>
      <c r="BF191" s="422">
        <f t="shared" si="488"/>
        <v>900</v>
      </c>
      <c r="BG191" s="422">
        <f t="shared" si="489"/>
        <v>900</v>
      </c>
      <c r="BH191" s="422"/>
      <c r="BI191" s="422"/>
      <c r="BJ191" s="423">
        <f t="shared" ref="BJ191:BR191" si="512">$I191*BJ$2*2</f>
        <v>220.312499999999</v>
      </c>
      <c r="BK191" s="423">
        <f t="shared" si="512"/>
        <v>220.312499999999</v>
      </c>
      <c r="BL191" s="423">
        <f t="shared" si="512"/>
        <v>220.312499999999</v>
      </c>
      <c r="BM191" s="423">
        <f t="shared" si="512"/>
        <v>220.312499999999</v>
      </c>
      <c r="BN191" s="423">
        <f t="shared" si="512"/>
        <v>220.312499999999</v>
      </c>
      <c r="BO191" s="423">
        <f t="shared" si="512"/>
        <v>220.312499999999</v>
      </c>
      <c r="BP191" s="423">
        <f t="shared" si="512"/>
        <v>220.312499999999</v>
      </c>
      <c r="BQ191" s="423">
        <f t="shared" si="512"/>
        <v>220.312499999999</v>
      </c>
      <c r="BR191" s="423">
        <f t="shared" si="512"/>
        <v>37.4999999999999</v>
      </c>
      <c r="BT191" s="59">
        <f t="shared" ref="BT191:CB191" si="513">BT190-BJ191</f>
        <v>81096.9166666667</v>
      </c>
      <c r="BU191" s="59">
        <f t="shared" si="513"/>
        <v>81096.9166666667</v>
      </c>
      <c r="BV191" s="59">
        <f t="shared" si="513"/>
        <v>81096.9166666667</v>
      </c>
      <c r="BW191" s="59">
        <f t="shared" si="513"/>
        <v>81096.9166666667</v>
      </c>
      <c r="BX191" s="59">
        <f t="shared" si="513"/>
        <v>81096.9166666667</v>
      </c>
      <c r="BY191" s="59">
        <f t="shared" si="513"/>
        <v>81096.9166666667</v>
      </c>
      <c r="BZ191" s="59">
        <f t="shared" si="513"/>
        <v>81096.9166666667</v>
      </c>
      <c r="CA191" s="59">
        <f t="shared" si="513"/>
        <v>81096.9166666667</v>
      </c>
      <c r="CB191" s="59">
        <f t="shared" si="513"/>
        <v>13755.6666666667</v>
      </c>
    </row>
    <row r="192" s="371" customFormat="1" ht="27" hidden="1" customHeight="1" spans="1:80">
      <c r="A192" s="410">
        <v>45838</v>
      </c>
      <c r="B192" s="411" t="s">
        <v>1074</v>
      </c>
      <c r="C192" s="412" t="s">
        <v>117</v>
      </c>
      <c r="D192" s="413">
        <v>4500171912</v>
      </c>
      <c r="E192" s="412" t="s">
        <v>1111</v>
      </c>
      <c r="F192" s="411" t="s">
        <v>1112</v>
      </c>
      <c r="G192" s="414" t="s">
        <v>188</v>
      </c>
      <c r="H192" s="411" t="s">
        <v>120</v>
      </c>
      <c r="I192" s="415">
        <v>996</v>
      </c>
      <c r="J192" s="415">
        <v>0</v>
      </c>
      <c r="K192" s="415">
        <v>12</v>
      </c>
      <c r="L192" s="415">
        <f t="shared" si="374"/>
        <v>83</v>
      </c>
      <c r="M192" s="416">
        <v>45870</v>
      </c>
      <c r="N192" s="416">
        <f t="shared" si="492"/>
        <v>45866</v>
      </c>
      <c r="O192" s="417"/>
      <c r="P192" s="417" t="s">
        <v>107</v>
      </c>
      <c r="Q192" s="417" t="s">
        <v>1083</v>
      </c>
      <c r="R192" s="509">
        <v>45840</v>
      </c>
      <c r="S192" s="417" t="s">
        <v>80</v>
      </c>
      <c r="T192" s="417" t="s">
        <v>1077</v>
      </c>
      <c r="U192" s="417"/>
      <c r="V192" s="420" t="s">
        <v>1113</v>
      </c>
      <c r="W192" s="416" t="s">
        <v>1079</v>
      </c>
      <c r="X192" s="421">
        <v>1.1176</v>
      </c>
      <c r="Y192" s="415">
        <f t="shared" si="482"/>
        <v>1113.1296</v>
      </c>
      <c r="Z192" s="416"/>
      <c r="AA192" s="420">
        <v>996</v>
      </c>
      <c r="AB192" s="420">
        <f t="shared" si="449"/>
        <v>0</v>
      </c>
      <c r="AC192" s="417" t="s">
        <v>113</v>
      </c>
      <c r="AD192" s="417" t="s">
        <v>114</v>
      </c>
      <c r="AE192" s="416" t="s">
        <v>119</v>
      </c>
      <c r="AF192" s="416" t="s">
        <v>115</v>
      </c>
      <c r="AG192" s="422">
        <f t="shared" si="485"/>
        <v>1992</v>
      </c>
      <c r="AH192" s="422"/>
      <c r="AI192" s="422">
        <f t="shared" si="509"/>
        <v>1992</v>
      </c>
      <c r="AJ192" s="422"/>
      <c r="AK192" s="422">
        <f t="shared" si="493"/>
        <v>1992</v>
      </c>
      <c r="AL192" s="422"/>
      <c r="AM192" s="422"/>
      <c r="AN192" s="422"/>
      <c r="AO192" s="422">
        <f t="shared" si="487"/>
        <v>1992</v>
      </c>
      <c r="AP192" s="422"/>
      <c r="AQ192" s="422"/>
      <c r="AR192" s="422"/>
      <c r="AS192" s="422"/>
      <c r="AT192" s="422"/>
      <c r="AU192" s="422"/>
      <c r="AV192" s="422"/>
      <c r="AW192" s="422"/>
      <c r="AX192" s="422"/>
      <c r="AY192" s="422"/>
      <c r="AZ192" s="422"/>
      <c r="BA192" s="422"/>
      <c r="BB192" s="422"/>
      <c r="BC192" s="422"/>
      <c r="BD192" s="422"/>
      <c r="BE192" s="422"/>
      <c r="BF192" s="422">
        <f t="shared" si="488"/>
        <v>996</v>
      </c>
      <c r="BG192" s="422">
        <f t="shared" si="489"/>
        <v>996</v>
      </c>
      <c r="BH192" s="422"/>
      <c r="BI192" s="422"/>
      <c r="BJ192" s="423">
        <f t="shared" ref="BJ192:BR192" si="514">$I192*BJ$2*2</f>
        <v>243.812499999999</v>
      </c>
      <c r="BK192" s="423">
        <f t="shared" si="514"/>
        <v>243.812499999999</v>
      </c>
      <c r="BL192" s="423">
        <f t="shared" si="514"/>
        <v>243.812499999999</v>
      </c>
      <c r="BM192" s="423">
        <f t="shared" si="514"/>
        <v>243.812499999999</v>
      </c>
      <c r="BN192" s="423">
        <f t="shared" si="514"/>
        <v>243.812499999999</v>
      </c>
      <c r="BO192" s="423">
        <f t="shared" si="514"/>
        <v>243.812499999999</v>
      </c>
      <c r="BP192" s="423">
        <f t="shared" si="514"/>
        <v>243.812499999999</v>
      </c>
      <c r="BQ192" s="423">
        <f t="shared" si="514"/>
        <v>243.812499999999</v>
      </c>
      <c r="BR192" s="423">
        <f t="shared" si="514"/>
        <v>41.4999999999999</v>
      </c>
      <c r="BT192" s="59">
        <f t="shared" ref="BT192:CB192" si="515">BT191-BJ192</f>
        <v>80853.1041666667</v>
      </c>
      <c r="BU192" s="59">
        <f t="shared" si="515"/>
        <v>80853.1041666667</v>
      </c>
      <c r="BV192" s="59">
        <f t="shared" si="515"/>
        <v>80853.1041666667</v>
      </c>
      <c r="BW192" s="59">
        <f t="shared" si="515"/>
        <v>80853.1041666667</v>
      </c>
      <c r="BX192" s="59">
        <f t="shared" si="515"/>
        <v>80853.1041666667</v>
      </c>
      <c r="BY192" s="59">
        <f t="shared" si="515"/>
        <v>80853.1041666667</v>
      </c>
      <c r="BZ192" s="59">
        <f t="shared" si="515"/>
        <v>80853.1041666667</v>
      </c>
      <c r="CA192" s="59">
        <f t="shared" si="515"/>
        <v>80853.1041666667</v>
      </c>
      <c r="CB192" s="59">
        <f t="shared" si="515"/>
        <v>13714.1666666667</v>
      </c>
    </row>
    <row r="193" s="371" customFormat="1" ht="27" hidden="1" customHeight="1" spans="1:80">
      <c r="A193" s="410">
        <v>45828</v>
      </c>
      <c r="B193" s="411" t="s">
        <v>803</v>
      </c>
      <c r="C193" s="412" t="s">
        <v>104</v>
      </c>
      <c r="D193" s="413">
        <v>4500170710</v>
      </c>
      <c r="E193" s="412" t="s">
        <v>1114</v>
      </c>
      <c r="F193" s="411" t="s">
        <v>1115</v>
      </c>
      <c r="G193" s="414" t="s">
        <v>94</v>
      </c>
      <c r="H193" s="411" t="s">
        <v>211</v>
      </c>
      <c r="I193" s="415">
        <v>520</v>
      </c>
      <c r="J193" s="415">
        <v>0</v>
      </c>
      <c r="K193" s="415">
        <v>52</v>
      </c>
      <c r="L193" s="415">
        <f t="shared" si="374"/>
        <v>10</v>
      </c>
      <c r="M193" s="416">
        <v>45870</v>
      </c>
      <c r="N193" s="416">
        <v>45866</v>
      </c>
      <c r="O193" s="417"/>
      <c r="P193" s="417" t="s">
        <v>224</v>
      </c>
      <c r="Q193" s="417" t="s">
        <v>1116</v>
      </c>
      <c r="R193" s="509">
        <v>45828</v>
      </c>
      <c r="S193" s="417" t="s">
        <v>80</v>
      </c>
      <c r="T193" s="417" t="s">
        <v>1117</v>
      </c>
      <c r="U193" s="417"/>
      <c r="V193" s="420" t="s">
        <v>1118</v>
      </c>
      <c r="W193" s="416" t="s">
        <v>1119</v>
      </c>
      <c r="X193" s="421">
        <v>0.8434</v>
      </c>
      <c r="Y193" s="415">
        <f t="shared" si="482"/>
        <v>438.568</v>
      </c>
      <c r="Z193" s="416" t="s">
        <v>1120</v>
      </c>
      <c r="AA193" s="420">
        <v>520</v>
      </c>
      <c r="AB193" s="420">
        <f t="shared" si="449"/>
        <v>0</v>
      </c>
      <c r="AC193" s="506" t="s">
        <v>113</v>
      </c>
      <c r="AD193" s="417" t="s">
        <v>114</v>
      </c>
      <c r="AE193" s="416" t="s">
        <v>94</v>
      </c>
      <c r="AF193" s="416" t="s">
        <v>115</v>
      </c>
      <c r="AG193" s="422">
        <f t="shared" ref="AG193:AG196" si="516">I193</f>
        <v>520</v>
      </c>
      <c r="AH193" s="422">
        <f t="shared" ref="AH193:AH196" si="517">I193</f>
        <v>520</v>
      </c>
      <c r="AI193" s="422"/>
      <c r="AJ193" s="422"/>
      <c r="AK193" s="422">
        <f t="shared" ref="AK193:AK196" si="518">I193</f>
        <v>520</v>
      </c>
      <c r="AL193" s="422"/>
      <c r="AM193" s="422"/>
      <c r="AN193" s="422"/>
      <c r="AO193" s="422">
        <f t="shared" ref="AO193:AO196" si="519">I193</f>
        <v>520</v>
      </c>
      <c r="AP193" s="422"/>
      <c r="AQ193" s="422"/>
      <c r="AR193" s="422"/>
      <c r="AS193" s="422"/>
      <c r="AT193" s="422">
        <f t="shared" ref="AT193:AT196" si="520">I193/13</f>
        <v>40</v>
      </c>
      <c r="AU193" s="422"/>
      <c r="AV193" s="422"/>
      <c r="AW193" s="422"/>
      <c r="AX193" s="422"/>
      <c r="AY193" s="422"/>
      <c r="AZ193" s="422"/>
      <c r="BA193" s="422"/>
      <c r="BB193" s="422"/>
      <c r="BC193" s="422"/>
      <c r="BD193" s="422"/>
      <c r="BE193" s="422"/>
      <c r="BF193" s="422"/>
      <c r="BG193" s="422"/>
      <c r="BH193" s="422"/>
      <c r="BI193" s="422"/>
      <c r="BJ193" s="423">
        <f t="shared" ref="BJ193:BR193" si="521">$I193*BJ$2</f>
        <v>63.6458333333332</v>
      </c>
      <c r="BK193" s="423">
        <f t="shared" si="521"/>
        <v>63.6458333333332</v>
      </c>
      <c r="BL193" s="423">
        <f t="shared" si="521"/>
        <v>63.6458333333332</v>
      </c>
      <c r="BM193" s="423">
        <f t="shared" si="521"/>
        <v>63.6458333333332</v>
      </c>
      <c r="BN193" s="423">
        <f t="shared" si="521"/>
        <v>63.6458333333332</v>
      </c>
      <c r="BO193" s="423">
        <f t="shared" si="521"/>
        <v>63.6458333333332</v>
      </c>
      <c r="BP193" s="423">
        <f t="shared" si="521"/>
        <v>63.6458333333332</v>
      </c>
      <c r="BQ193" s="423">
        <f t="shared" si="521"/>
        <v>63.6458333333332</v>
      </c>
      <c r="BR193" s="423">
        <f t="shared" si="521"/>
        <v>10.8333333333333</v>
      </c>
      <c r="BT193" s="59">
        <f t="shared" ref="BT193:CB193" si="522">BT192-BJ193</f>
        <v>80789.4583333334</v>
      </c>
      <c r="BU193" s="59">
        <f t="shared" si="522"/>
        <v>80789.4583333334</v>
      </c>
      <c r="BV193" s="59">
        <f t="shared" si="522"/>
        <v>80789.4583333334</v>
      </c>
      <c r="BW193" s="59">
        <f t="shared" si="522"/>
        <v>80789.4583333334</v>
      </c>
      <c r="BX193" s="59">
        <f t="shared" si="522"/>
        <v>80789.4583333334</v>
      </c>
      <c r="BY193" s="59">
        <f t="shared" si="522"/>
        <v>80789.4583333334</v>
      </c>
      <c r="BZ193" s="59">
        <f t="shared" si="522"/>
        <v>80789.4583333334</v>
      </c>
      <c r="CA193" s="59">
        <f t="shared" si="522"/>
        <v>80789.4583333334</v>
      </c>
      <c r="CB193" s="59">
        <f t="shared" si="522"/>
        <v>13703.3333333333</v>
      </c>
    </row>
    <row r="194" s="371" customFormat="1" ht="27" hidden="1" customHeight="1" spans="1:80">
      <c r="A194" s="410">
        <v>45828</v>
      </c>
      <c r="B194" s="411" t="s">
        <v>803</v>
      </c>
      <c r="C194" s="412" t="s">
        <v>104</v>
      </c>
      <c r="D194" s="413">
        <v>4500170710</v>
      </c>
      <c r="E194" s="412" t="s">
        <v>1121</v>
      </c>
      <c r="F194" s="411" t="s">
        <v>1122</v>
      </c>
      <c r="G194" s="414" t="s">
        <v>94</v>
      </c>
      <c r="H194" s="411" t="s">
        <v>211</v>
      </c>
      <c r="I194" s="415">
        <v>468</v>
      </c>
      <c r="J194" s="415">
        <v>0</v>
      </c>
      <c r="K194" s="415">
        <v>52</v>
      </c>
      <c r="L194" s="415">
        <f t="shared" si="374"/>
        <v>9</v>
      </c>
      <c r="M194" s="416">
        <v>45870</v>
      </c>
      <c r="N194" s="416">
        <v>45866</v>
      </c>
      <c r="O194" s="417"/>
      <c r="P194" s="417" t="s">
        <v>224</v>
      </c>
      <c r="Q194" s="417" t="s">
        <v>1116</v>
      </c>
      <c r="R194" s="509">
        <v>45828</v>
      </c>
      <c r="S194" s="417" t="s">
        <v>80</v>
      </c>
      <c r="T194" s="417" t="s">
        <v>1117</v>
      </c>
      <c r="U194" s="417"/>
      <c r="V194" s="420" t="s">
        <v>1118</v>
      </c>
      <c r="W194" s="416" t="s">
        <v>1119</v>
      </c>
      <c r="X194" s="421">
        <v>0.8434</v>
      </c>
      <c r="Y194" s="415">
        <f t="shared" si="482"/>
        <v>394.7112</v>
      </c>
      <c r="Z194" s="416" t="s">
        <v>1120</v>
      </c>
      <c r="AA194" s="420">
        <v>468</v>
      </c>
      <c r="AB194" s="420">
        <f t="shared" si="449"/>
        <v>0</v>
      </c>
      <c r="AC194" s="513"/>
      <c r="AD194" s="417" t="s">
        <v>114</v>
      </c>
      <c r="AE194" s="416" t="s">
        <v>94</v>
      </c>
      <c r="AF194" s="416" t="s">
        <v>115</v>
      </c>
      <c r="AG194" s="422">
        <f t="shared" si="516"/>
        <v>468</v>
      </c>
      <c r="AH194" s="422">
        <f t="shared" si="517"/>
        <v>468</v>
      </c>
      <c r="AI194" s="422"/>
      <c r="AJ194" s="422"/>
      <c r="AK194" s="422">
        <f t="shared" si="518"/>
        <v>468</v>
      </c>
      <c r="AL194" s="422"/>
      <c r="AM194" s="422"/>
      <c r="AN194" s="422"/>
      <c r="AO194" s="422">
        <f t="shared" si="519"/>
        <v>468</v>
      </c>
      <c r="AP194" s="422"/>
      <c r="AQ194" s="422"/>
      <c r="AR194" s="422"/>
      <c r="AS194" s="422"/>
      <c r="AT194" s="422">
        <f t="shared" si="520"/>
        <v>36</v>
      </c>
      <c r="AU194" s="422"/>
      <c r="AV194" s="422"/>
      <c r="AW194" s="422"/>
      <c r="AX194" s="422"/>
      <c r="AY194" s="422"/>
      <c r="AZ194" s="422"/>
      <c r="BA194" s="422"/>
      <c r="BB194" s="422"/>
      <c r="BC194" s="422"/>
      <c r="BD194" s="422"/>
      <c r="BE194" s="422"/>
      <c r="BF194" s="422"/>
      <c r="BG194" s="422"/>
      <c r="BH194" s="422"/>
      <c r="BI194" s="422"/>
      <c r="BJ194" s="423">
        <f t="shared" ref="BJ194:BR194" si="523">$I194*BJ$2</f>
        <v>57.2812499999998</v>
      </c>
      <c r="BK194" s="423">
        <f t="shared" si="523"/>
        <v>57.2812499999998</v>
      </c>
      <c r="BL194" s="423">
        <f t="shared" si="523"/>
        <v>57.2812499999998</v>
      </c>
      <c r="BM194" s="423">
        <f t="shared" si="523"/>
        <v>57.2812499999998</v>
      </c>
      <c r="BN194" s="423">
        <f t="shared" si="523"/>
        <v>57.2812499999998</v>
      </c>
      <c r="BO194" s="423">
        <f t="shared" si="523"/>
        <v>57.2812499999998</v>
      </c>
      <c r="BP194" s="423">
        <f t="shared" si="523"/>
        <v>57.2812499999998</v>
      </c>
      <c r="BQ194" s="423">
        <f t="shared" si="523"/>
        <v>57.2812499999998</v>
      </c>
      <c r="BR194" s="423">
        <f t="shared" si="523"/>
        <v>9.74999999999998</v>
      </c>
      <c r="BT194" s="59">
        <f t="shared" ref="BT194:CB194" si="524">BT193-BJ194</f>
        <v>80732.1770833334</v>
      </c>
      <c r="BU194" s="59">
        <f t="shared" si="524"/>
        <v>80732.1770833334</v>
      </c>
      <c r="BV194" s="59">
        <f t="shared" si="524"/>
        <v>80732.1770833334</v>
      </c>
      <c r="BW194" s="59">
        <f t="shared" si="524"/>
        <v>80732.1770833334</v>
      </c>
      <c r="BX194" s="59">
        <f t="shared" si="524"/>
        <v>80732.1770833334</v>
      </c>
      <c r="BY194" s="59">
        <f t="shared" si="524"/>
        <v>80732.1770833334</v>
      </c>
      <c r="BZ194" s="59">
        <f t="shared" si="524"/>
        <v>80732.1770833334</v>
      </c>
      <c r="CA194" s="59">
        <f t="shared" si="524"/>
        <v>80732.1770833334</v>
      </c>
      <c r="CB194" s="59">
        <f t="shared" si="524"/>
        <v>13693.5833333333</v>
      </c>
    </row>
    <row r="195" s="371" customFormat="1" ht="27" hidden="1" customHeight="1" spans="1:80">
      <c r="A195" s="410">
        <v>45828</v>
      </c>
      <c r="B195" s="411" t="s">
        <v>803</v>
      </c>
      <c r="C195" s="412" t="s">
        <v>104</v>
      </c>
      <c r="D195" s="413">
        <v>4500170710</v>
      </c>
      <c r="E195" s="412" t="s">
        <v>1123</v>
      </c>
      <c r="F195" s="411" t="s">
        <v>1124</v>
      </c>
      <c r="G195" s="414" t="s">
        <v>94</v>
      </c>
      <c r="H195" s="411" t="s">
        <v>211</v>
      </c>
      <c r="I195" s="415">
        <v>364</v>
      </c>
      <c r="J195" s="415">
        <v>0</v>
      </c>
      <c r="K195" s="415">
        <v>52</v>
      </c>
      <c r="L195" s="415">
        <f t="shared" si="374"/>
        <v>7</v>
      </c>
      <c r="M195" s="416">
        <v>45870</v>
      </c>
      <c r="N195" s="416">
        <v>45866</v>
      </c>
      <c r="O195" s="417"/>
      <c r="P195" s="417" t="s">
        <v>224</v>
      </c>
      <c r="Q195" s="417" t="s">
        <v>1125</v>
      </c>
      <c r="R195" s="509">
        <v>45828</v>
      </c>
      <c r="S195" s="417" t="s">
        <v>80</v>
      </c>
      <c r="T195" s="417" t="s">
        <v>1117</v>
      </c>
      <c r="U195" s="417"/>
      <c r="V195" s="420" t="s">
        <v>1118</v>
      </c>
      <c r="W195" s="416" t="s">
        <v>1119</v>
      </c>
      <c r="X195" s="421">
        <v>0.8434</v>
      </c>
      <c r="Y195" s="415">
        <f t="shared" si="482"/>
        <v>306.9976</v>
      </c>
      <c r="Z195" s="416" t="s">
        <v>1120</v>
      </c>
      <c r="AA195" s="420">
        <v>364</v>
      </c>
      <c r="AB195" s="420">
        <f t="shared" si="449"/>
        <v>0</v>
      </c>
      <c r="AC195" s="513"/>
      <c r="AD195" s="417" t="s">
        <v>114</v>
      </c>
      <c r="AE195" s="416" t="s">
        <v>94</v>
      </c>
      <c r="AF195" s="416" t="s">
        <v>115</v>
      </c>
      <c r="AG195" s="422">
        <f t="shared" si="516"/>
        <v>364</v>
      </c>
      <c r="AH195" s="422">
        <f t="shared" si="517"/>
        <v>364</v>
      </c>
      <c r="AI195" s="422"/>
      <c r="AJ195" s="422"/>
      <c r="AK195" s="422">
        <f t="shared" si="518"/>
        <v>364</v>
      </c>
      <c r="AL195" s="422"/>
      <c r="AM195" s="422"/>
      <c r="AN195" s="422"/>
      <c r="AO195" s="422">
        <f t="shared" si="519"/>
        <v>364</v>
      </c>
      <c r="AP195" s="422"/>
      <c r="AQ195" s="422"/>
      <c r="AR195" s="422"/>
      <c r="AS195" s="422"/>
      <c r="AT195" s="422">
        <f t="shared" si="520"/>
        <v>28</v>
      </c>
      <c r="AU195" s="422"/>
      <c r="AV195" s="422"/>
      <c r="AW195" s="422"/>
      <c r="AX195" s="422"/>
      <c r="AY195" s="422"/>
      <c r="AZ195" s="422"/>
      <c r="BA195" s="422"/>
      <c r="BB195" s="422"/>
      <c r="BC195" s="422"/>
      <c r="BD195" s="422"/>
      <c r="BE195" s="422"/>
      <c r="BF195" s="422"/>
      <c r="BG195" s="422"/>
      <c r="BH195" s="422"/>
      <c r="BI195" s="422"/>
      <c r="BJ195" s="423">
        <f t="shared" ref="BJ195:BR195" si="525">$I195*BJ$2</f>
        <v>44.5520833333332</v>
      </c>
      <c r="BK195" s="423">
        <f t="shared" si="525"/>
        <v>44.5520833333332</v>
      </c>
      <c r="BL195" s="423">
        <f t="shared" si="525"/>
        <v>44.5520833333332</v>
      </c>
      <c r="BM195" s="423">
        <f t="shared" si="525"/>
        <v>44.5520833333332</v>
      </c>
      <c r="BN195" s="423">
        <f t="shared" si="525"/>
        <v>44.5520833333332</v>
      </c>
      <c r="BO195" s="423">
        <f t="shared" si="525"/>
        <v>44.5520833333332</v>
      </c>
      <c r="BP195" s="423">
        <f t="shared" si="525"/>
        <v>44.5520833333332</v>
      </c>
      <c r="BQ195" s="423">
        <f t="shared" si="525"/>
        <v>44.5520833333332</v>
      </c>
      <c r="BR195" s="423">
        <f t="shared" si="525"/>
        <v>7.58333333333332</v>
      </c>
      <c r="BT195" s="59">
        <f t="shared" ref="BT195:CB195" si="526">BT194-BJ195</f>
        <v>80687.6250000001</v>
      </c>
      <c r="BU195" s="59">
        <f t="shared" si="526"/>
        <v>80687.6250000001</v>
      </c>
      <c r="BV195" s="59">
        <f t="shared" si="526"/>
        <v>80687.6250000001</v>
      </c>
      <c r="BW195" s="59">
        <f t="shared" si="526"/>
        <v>80687.6250000001</v>
      </c>
      <c r="BX195" s="59">
        <f t="shared" si="526"/>
        <v>80687.6250000001</v>
      </c>
      <c r="BY195" s="59">
        <f t="shared" si="526"/>
        <v>80687.6250000001</v>
      </c>
      <c r="BZ195" s="59">
        <f t="shared" si="526"/>
        <v>80687.6250000001</v>
      </c>
      <c r="CA195" s="59">
        <f t="shared" si="526"/>
        <v>80687.6250000001</v>
      </c>
      <c r="CB195" s="59">
        <f t="shared" si="526"/>
        <v>13686</v>
      </c>
    </row>
    <row r="196" s="371" customFormat="1" ht="27" hidden="1" customHeight="1" spans="1:80">
      <c r="A196" s="410">
        <v>45828</v>
      </c>
      <c r="B196" s="411" t="s">
        <v>803</v>
      </c>
      <c r="C196" s="412" t="s">
        <v>104</v>
      </c>
      <c r="D196" s="413">
        <v>4500170710</v>
      </c>
      <c r="E196" s="412" t="s">
        <v>1126</v>
      </c>
      <c r="F196" s="411" t="s">
        <v>1127</v>
      </c>
      <c r="G196" s="414" t="s">
        <v>94</v>
      </c>
      <c r="H196" s="411" t="s">
        <v>211</v>
      </c>
      <c r="I196" s="415">
        <v>156</v>
      </c>
      <c r="J196" s="415">
        <v>0</v>
      </c>
      <c r="K196" s="415">
        <v>52</v>
      </c>
      <c r="L196" s="415">
        <f t="shared" si="374"/>
        <v>3</v>
      </c>
      <c r="M196" s="416">
        <v>45870</v>
      </c>
      <c r="N196" s="416">
        <v>45866</v>
      </c>
      <c r="O196" s="417"/>
      <c r="P196" s="417" t="s">
        <v>224</v>
      </c>
      <c r="Q196" s="417" t="s">
        <v>1128</v>
      </c>
      <c r="R196" s="509">
        <v>45828</v>
      </c>
      <c r="S196" s="417" t="s">
        <v>80</v>
      </c>
      <c r="T196" s="417" t="s">
        <v>1117</v>
      </c>
      <c r="U196" s="417"/>
      <c r="V196" s="420" t="s">
        <v>1118</v>
      </c>
      <c r="W196" s="416" t="s">
        <v>1119</v>
      </c>
      <c r="X196" s="421">
        <v>0.8434</v>
      </c>
      <c r="Y196" s="415">
        <f t="shared" si="482"/>
        <v>131.5704</v>
      </c>
      <c r="Z196" s="416" t="s">
        <v>1120</v>
      </c>
      <c r="AA196" s="420">
        <v>156</v>
      </c>
      <c r="AB196" s="420">
        <f t="shared" si="449"/>
        <v>0</v>
      </c>
      <c r="AC196" s="499"/>
      <c r="AD196" s="417" t="s">
        <v>114</v>
      </c>
      <c r="AE196" s="416" t="s">
        <v>94</v>
      </c>
      <c r="AF196" s="416" t="s">
        <v>115</v>
      </c>
      <c r="AG196" s="422">
        <f t="shared" si="516"/>
        <v>156</v>
      </c>
      <c r="AH196" s="422">
        <f t="shared" si="517"/>
        <v>156</v>
      </c>
      <c r="AI196" s="422"/>
      <c r="AJ196" s="422"/>
      <c r="AK196" s="422">
        <f t="shared" si="518"/>
        <v>156</v>
      </c>
      <c r="AL196" s="422"/>
      <c r="AM196" s="422"/>
      <c r="AN196" s="422"/>
      <c r="AO196" s="422">
        <f t="shared" si="519"/>
        <v>156</v>
      </c>
      <c r="AP196" s="422"/>
      <c r="AQ196" s="422"/>
      <c r="AR196" s="422"/>
      <c r="AS196" s="422"/>
      <c r="AT196" s="422">
        <f t="shared" si="520"/>
        <v>12</v>
      </c>
      <c r="AU196" s="422"/>
      <c r="AV196" s="422"/>
      <c r="AW196" s="422"/>
      <c r="AX196" s="422"/>
      <c r="AY196" s="422"/>
      <c r="AZ196" s="422"/>
      <c r="BA196" s="422"/>
      <c r="BB196" s="422"/>
      <c r="BC196" s="422"/>
      <c r="BD196" s="422"/>
      <c r="BE196" s="422"/>
      <c r="BF196" s="422"/>
      <c r="BG196" s="422"/>
      <c r="BH196" s="422"/>
      <c r="BI196" s="422"/>
      <c r="BJ196" s="423">
        <f t="shared" ref="BJ196:BR196" si="527">$I196*BJ$2</f>
        <v>19.0937499999999</v>
      </c>
      <c r="BK196" s="423">
        <f t="shared" si="527"/>
        <v>19.0937499999999</v>
      </c>
      <c r="BL196" s="423">
        <f t="shared" si="527"/>
        <v>19.0937499999999</v>
      </c>
      <c r="BM196" s="423">
        <f t="shared" si="527"/>
        <v>19.0937499999999</v>
      </c>
      <c r="BN196" s="423">
        <f t="shared" si="527"/>
        <v>19.0937499999999</v>
      </c>
      <c r="BO196" s="423">
        <f t="shared" si="527"/>
        <v>19.0937499999999</v>
      </c>
      <c r="BP196" s="423">
        <f t="shared" si="527"/>
        <v>19.0937499999999</v>
      </c>
      <c r="BQ196" s="423">
        <f t="shared" si="527"/>
        <v>19.0937499999999</v>
      </c>
      <c r="BR196" s="423">
        <f t="shared" si="527"/>
        <v>3.24999999999999</v>
      </c>
      <c r="BT196" s="59">
        <f t="shared" ref="BT196:CB196" si="528">BT195-BJ196</f>
        <v>80668.5312500001</v>
      </c>
      <c r="BU196" s="59">
        <f t="shared" si="528"/>
        <v>80668.5312500001</v>
      </c>
      <c r="BV196" s="59">
        <f t="shared" si="528"/>
        <v>80668.5312500001</v>
      </c>
      <c r="BW196" s="59">
        <f t="shared" si="528"/>
        <v>80668.5312500001</v>
      </c>
      <c r="BX196" s="59">
        <f t="shared" si="528"/>
        <v>80668.5312500001</v>
      </c>
      <c r="BY196" s="59">
        <f t="shared" si="528"/>
        <v>80668.5312500001</v>
      </c>
      <c r="BZ196" s="59">
        <f t="shared" si="528"/>
        <v>80668.5312500001</v>
      </c>
      <c r="CA196" s="59">
        <f t="shared" si="528"/>
        <v>80668.5312500001</v>
      </c>
      <c r="CB196" s="59">
        <f t="shared" si="528"/>
        <v>13682.75</v>
      </c>
    </row>
    <row r="197" s="371" customFormat="1" ht="27" hidden="1" customHeight="1" spans="1:80">
      <c r="A197" s="410">
        <v>45838</v>
      </c>
      <c r="B197" s="411" t="s">
        <v>1129</v>
      </c>
      <c r="C197" s="412" t="s">
        <v>117</v>
      </c>
      <c r="D197" s="413">
        <v>4500171114</v>
      </c>
      <c r="E197" s="412">
        <v>1614867</v>
      </c>
      <c r="F197" s="411" t="s">
        <v>1130</v>
      </c>
      <c r="G197" s="414" t="s">
        <v>188</v>
      </c>
      <c r="H197" s="411" t="s">
        <v>120</v>
      </c>
      <c r="I197" s="415">
        <v>2016</v>
      </c>
      <c r="J197" s="415">
        <v>0</v>
      </c>
      <c r="K197" s="415">
        <v>12</v>
      </c>
      <c r="L197" s="415">
        <f t="shared" si="374"/>
        <v>168</v>
      </c>
      <c r="M197" s="416">
        <v>45875</v>
      </c>
      <c r="N197" s="416">
        <v>45871</v>
      </c>
      <c r="O197" s="417"/>
      <c r="P197" s="417" t="s">
        <v>224</v>
      </c>
      <c r="Q197" s="417" t="s">
        <v>1062</v>
      </c>
      <c r="R197" s="509">
        <v>45839</v>
      </c>
      <c r="S197" s="417" t="s">
        <v>80</v>
      </c>
      <c r="T197" s="453" t="s">
        <v>1131</v>
      </c>
      <c r="U197" s="417"/>
      <c r="V197" s="420" t="s">
        <v>1132</v>
      </c>
      <c r="W197" s="416" t="s">
        <v>1133</v>
      </c>
      <c r="X197" s="421">
        <v>0.8908</v>
      </c>
      <c r="Y197" s="415">
        <f t="shared" si="482"/>
        <v>1795.8528</v>
      </c>
      <c r="Z197" s="416" t="s">
        <v>1134</v>
      </c>
      <c r="AA197" s="420">
        <f>2004+12</f>
        <v>2016</v>
      </c>
      <c r="AB197" s="420">
        <f t="shared" si="449"/>
        <v>0</v>
      </c>
      <c r="AC197" s="417" t="s">
        <v>113</v>
      </c>
      <c r="AD197" s="417" t="s">
        <v>114</v>
      </c>
      <c r="AE197" s="416" t="s">
        <v>119</v>
      </c>
      <c r="AF197" s="416" t="s">
        <v>115</v>
      </c>
      <c r="AG197" s="422">
        <f>I197*2</f>
        <v>4032</v>
      </c>
      <c r="AH197" s="422"/>
      <c r="AI197" s="422">
        <f>I197*2</f>
        <v>4032</v>
      </c>
      <c r="AJ197" s="422"/>
      <c r="AK197" s="422">
        <f>I197*2</f>
        <v>4032</v>
      </c>
      <c r="AL197" s="422"/>
      <c r="AM197" s="422"/>
      <c r="AN197" s="422"/>
      <c r="AO197" s="422">
        <f>I197*2</f>
        <v>4032</v>
      </c>
      <c r="AP197" s="422"/>
      <c r="AR197" s="422"/>
      <c r="AS197" s="422"/>
      <c r="AT197" s="422"/>
      <c r="AU197" s="422"/>
      <c r="AV197" s="422"/>
      <c r="AW197" s="422"/>
      <c r="AX197" s="422"/>
      <c r="AY197" s="422"/>
      <c r="AZ197" s="422"/>
      <c r="BA197" s="422"/>
      <c r="BB197" s="422"/>
      <c r="BC197" s="422"/>
      <c r="BD197" s="422"/>
      <c r="BE197" s="422"/>
      <c r="BF197" s="422">
        <f>I197</f>
        <v>2016</v>
      </c>
      <c r="BG197" s="422">
        <f>I197</f>
        <v>2016</v>
      </c>
      <c r="BH197" s="422"/>
      <c r="BI197" s="422"/>
      <c r="BJ197" s="423">
        <f t="shared" ref="BJ197:BR197" si="529">$I197*BJ$2*2</f>
        <v>493.499999999999</v>
      </c>
      <c r="BK197" s="423">
        <f t="shared" si="529"/>
        <v>493.499999999999</v>
      </c>
      <c r="BL197" s="423">
        <f t="shared" si="529"/>
        <v>493.499999999999</v>
      </c>
      <c r="BM197" s="423">
        <f t="shared" si="529"/>
        <v>493.499999999999</v>
      </c>
      <c r="BN197" s="423">
        <f t="shared" si="529"/>
        <v>493.499999999999</v>
      </c>
      <c r="BO197" s="423">
        <f t="shared" si="529"/>
        <v>493.499999999999</v>
      </c>
      <c r="BP197" s="423">
        <f t="shared" si="529"/>
        <v>493.499999999999</v>
      </c>
      <c r="BQ197" s="423">
        <f t="shared" si="529"/>
        <v>493.499999999999</v>
      </c>
      <c r="BR197" s="423">
        <f t="shared" si="529"/>
        <v>83.9999999999999</v>
      </c>
      <c r="BT197" s="59">
        <f t="shared" ref="BT197:CB197" si="530">BT196-BJ197</f>
        <v>80175.0312500001</v>
      </c>
      <c r="BU197" s="59">
        <f t="shared" si="530"/>
        <v>80175.0312500001</v>
      </c>
      <c r="BV197" s="59">
        <f t="shared" si="530"/>
        <v>80175.0312500001</v>
      </c>
      <c r="BW197" s="59">
        <f t="shared" si="530"/>
        <v>80175.0312500001</v>
      </c>
      <c r="BX197" s="59">
        <f t="shared" si="530"/>
        <v>80175.0312500001</v>
      </c>
      <c r="BY197" s="59">
        <f t="shared" si="530"/>
        <v>80175.0312500001</v>
      </c>
      <c r="BZ197" s="59">
        <f t="shared" si="530"/>
        <v>80175.0312500001</v>
      </c>
      <c r="CA197" s="59">
        <f t="shared" si="530"/>
        <v>80175.0312500001</v>
      </c>
      <c r="CB197" s="59">
        <f t="shared" si="530"/>
        <v>13598.75</v>
      </c>
    </row>
    <row r="198" s="371" customFormat="1" ht="27" hidden="1" customHeight="1" spans="1:80">
      <c r="A198" s="410">
        <v>45838</v>
      </c>
      <c r="B198" s="411" t="s">
        <v>1129</v>
      </c>
      <c r="C198" s="412" t="s">
        <v>117</v>
      </c>
      <c r="D198" s="413">
        <v>4500171115</v>
      </c>
      <c r="E198" s="412">
        <v>1614868</v>
      </c>
      <c r="F198" s="411" t="s">
        <v>1135</v>
      </c>
      <c r="G198" s="414" t="s">
        <v>188</v>
      </c>
      <c r="H198" s="411" t="s">
        <v>120</v>
      </c>
      <c r="I198" s="415">
        <v>996</v>
      </c>
      <c r="J198" s="415">
        <v>0</v>
      </c>
      <c r="K198" s="415">
        <v>12</v>
      </c>
      <c r="L198" s="415">
        <f t="shared" si="374"/>
        <v>83</v>
      </c>
      <c r="M198" s="416">
        <v>45875</v>
      </c>
      <c r="N198" s="416">
        <v>45871</v>
      </c>
      <c r="O198" s="417"/>
      <c r="P198" s="417" t="s">
        <v>224</v>
      </c>
      <c r="Q198" s="417" t="s">
        <v>1062</v>
      </c>
      <c r="R198" s="509">
        <v>45839</v>
      </c>
      <c r="S198" s="417" t="s">
        <v>80</v>
      </c>
      <c r="T198" s="453" t="s">
        <v>1131</v>
      </c>
      <c r="U198" s="417"/>
      <c r="V198" s="420" t="s">
        <v>1132</v>
      </c>
      <c r="W198" s="416" t="s">
        <v>1133</v>
      </c>
      <c r="X198" s="421">
        <v>1.0937</v>
      </c>
      <c r="Y198" s="415">
        <f t="shared" si="482"/>
        <v>1089.3252</v>
      </c>
      <c r="Z198" s="416" t="s">
        <v>1136</v>
      </c>
      <c r="AA198" s="420">
        <v>996</v>
      </c>
      <c r="AB198" s="420">
        <f t="shared" si="449"/>
        <v>0</v>
      </c>
      <c r="AC198" s="417" t="s">
        <v>113</v>
      </c>
      <c r="AD198" s="417" t="s">
        <v>114</v>
      </c>
      <c r="AE198" s="416" t="s">
        <v>119</v>
      </c>
      <c r="AF198" s="416" t="s">
        <v>115</v>
      </c>
      <c r="AG198" s="422">
        <f>I198*2</f>
        <v>1992</v>
      </c>
      <c r="AH198" s="422"/>
      <c r="AI198" s="422">
        <f>I198*2</f>
        <v>1992</v>
      </c>
      <c r="AJ198" s="422"/>
      <c r="AK198" s="422">
        <f>I198*2</f>
        <v>1992</v>
      </c>
      <c r="AL198" s="422"/>
      <c r="AM198" s="422"/>
      <c r="AN198" s="422"/>
      <c r="AO198" s="422">
        <f>I198*2</f>
        <v>1992</v>
      </c>
      <c r="AP198" s="422"/>
      <c r="AR198" s="422"/>
      <c r="AS198" s="422"/>
      <c r="AT198" s="422"/>
      <c r="AU198" s="422"/>
      <c r="AV198" s="422"/>
      <c r="AW198" s="422"/>
      <c r="AX198" s="422"/>
      <c r="AY198" s="422"/>
      <c r="AZ198" s="422"/>
      <c r="BA198" s="422"/>
      <c r="BB198" s="422"/>
      <c r="BC198" s="422"/>
      <c r="BD198" s="422"/>
      <c r="BE198" s="422"/>
      <c r="BF198" s="422">
        <f>I198</f>
        <v>996</v>
      </c>
      <c r="BG198" s="422">
        <f>I198</f>
        <v>996</v>
      </c>
      <c r="BH198" s="422"/>
      <c r="BI198" s="422"/>
      <c r="BJ198" s="423">
        <f t="shared" ref="BJ198:BR198" si="531">$I198*BJ$2*2</f>
        <v>243.812499999999</v>
      </c>
      <c r="BK198" s="423">
        <f t="shared" si="531"/>
        <v>243.812499999999</v>
      </c>
      <c r="BL198" s="423">
        <f t="shared" si="531"/>
        <v>243.812499999999</v>
      </c>
      <c r="BM198" s="423">
        <f t="shared" si="531"/>
        <v>243.812499999999</v>
      </c>
      <c r="BN198" s="423">
        <f t="shared" si="531"/>
        <v>243.812499999999</v>
      </c>
      <c r="BO198" s="423">
        <f t="shared" si="531"/>
        <v>243.812499999999</v>
      </c>
      <c r="BP198" s="423">
        <f t="shared" si="531"/>
        <v>243.812499999999</v>
      </c>
      <c r="BQ198" s="423">
        <f t="shared" si="531"/>
        <v>243.812499999999</v>
      </c>
      <c r="BR198" s="423">
        <f t="shared" si="531"/>
        <v>41.4999999999999</v>
      </c>
      <c r="BT198" s="59">
        <f t="shared" ref="BT198:CB198" si="532">BT197-BJ198</f>
        <v>79931.2187500001</v>
      </c>
      <c r="BU198" s="59">
        <f t="shared" si="532"/>
        <v>79931.2187500001</v>
      </c>
      <c r="BV198" s="59">
        <f t="shared" si="532"/>
        <v>79931.2187500001</v>
      </c>
      <c r="BW198" s="59">
        <f t="shared" si="532"/>
        <v>79931.2187500001</v>
      </c>
      <c r="BX198" s="59">
        <f t="shared" si="532"/>
        <v>79931.2187500001</v>
      </c>
      <c r="BY198" s="59">
        <f t="shared" si="532"/>
        <v>79931.2187500001</v>
      </c>
      <c r="BZ198" s="59">
        <f t="shared" si="532"/>
        <v>79931.2187500001</v>
      </c>
      <c r="CA198" s="59">
        <f t="shared" si="532"/>
        <v>79931.2187500001</v>
      </c>
      <c r="CB198" s="59">
        <f t="shared" si="532"/>
        <v>13557.25</v>
      </c>
    </row>
    <row r="199" s="371" customFormat="1" ht="27" hidden="1" customHeight="1" spans="1:80">
      <c r="A199" s="410">
        <v>45835</v>
      </c>
      <c r="B199" s="411" t="s">
        <v>149</v>
      </c>
      <c r="C199" s="412" t="s">
        <v>117</v>
      </c>
      <c r="D199" s="413">
        <v>4500171577</v>
      </c>
      <c r="E199" s="412" t="s">
        <v>1137</v>
      </c>
      <c r="F199" s="411" t="s">
        <v>1138</v>
      </c>
      <c r="G199" s="414" t="s">
        <v>152</v>
      </c>
      <c r="H199" s="411" t="s">
        <v>153</v>
      </c>
      <c r="I199" s="415">
        <v>5005</v>
      </c>
      <c r="J199" s="415">
        <v>0</v>
      </c>
      <c r="K199" s="415">
        <v>13</v>
      </c>
      <c r="L199" s="415">
        <f t="shared" si="374"/>
        <v>385</v>
      </c>
      <c r="M199" s="416">
        <v>45868</v>
      </c>
      <c r="N199" s="416">
        <v>45871</v>
      </c>
      <c r="O199" s="417"/>
      <c r="P199" s="417" t="s">
        <v>107</v>
      </c>
      <c r="Q199" s="417" t="s">
        <v>1139</v>
      </c>
      <c r="R199" s="509">
        <v>45841</v>
      </c>
      <c r="S199" s="417" t="s">
        <v>191</v>
      </c>
      <c r="T199" s="417" t="s">
        <v>1140</v>
      </c>
      <c r="U199" s="417"/>
      <c r="V199" s="420" t="s">
        <v>1141</v>
      </c>
      <c r="W199" s="416" t="s">
        <v>158</v>
      </c>
      <c r="X199" s="421">
        <v>0.4622</v>
      </c>
      <c r="Y199" s="415">
        <f t="shared" si="482"/>
        <v>2313.311</v>
      </c>
      <c r="Z199" s="416" t="s">
        <v>1142</v>
      </c>
      <c r="AA199" s="420">
        <f>4992+13</f>
        <v>5005</v>
      </c>
      <c r="AB199" s="420">
        <f t="shared" si="449"/>
        <v>0</v>
      </c>
      <c r="AC199" s="417" t="s">
        <v>113</v>
      </c>
      <c r="AD199" s="417" t="s">
        <v>114</v>
      </c>
      <c r="AE199" s="416" t="s">
        <v>152</v>
      </c>
      <c r="AF199" s="416" t="s">
        <v>115</v>
      </c>
      <c r="AG199" s="422">
        <f t="shared" ref="AG199:AG204" si="533">I199</f>
        <v>5005</v>
      </c>
      <c r="AH199" s="422">
        <f>I199</f>
        <v>5005</v>
      </c>
      <c r="AI199" s="422"/>
      <c r="AJ199" s="422"/>
      <c r="AK199" s="422">
        <f t="shared" ref="AK199:AK204" si="534">I199</f>
        <v>5005</v>
      </c>
      <c r="AL199" s="422"/>
      <c r="AM199" s="422"/>
      <c r="AN199" s="422"/>
      <c r="AO199" s="422">
        <f t="shared" ref="AO199:AO204" si="535">I199</f>
        <v>5005</v>
      </c>
      <c r="AP199" s="422"/>
      <c r="AQ199" s="422"/>
      <c r="AR199" s="422"/>
      <c r="AS199" s="422"/>
      <c r="AT199" s="422">
        <f t="shared" ref="AT199:AT204" si="536">I199/13</f>
        <v>385</v>
      </c>
      <c r="AU199" s="422"/>
      <c r="AV199" s="422"/>
      <c r="AW199" s="422"/>
      <c r="AX199" s="422"/>
      <c r="AY199" s="422"/>
      <c r="AZ199" s="422"/>
      <c r="BA199" s="422"/>
      <c r="BB199" s="422"/>
      <c r="BC199" s="422"/>
      <c r="BD199" s="422"/>
      <c r="BE199" s="422"/>
      <c r="BF199" s="422"/>
      <c r="BG199" s="422"/>
      <c r="BH199" s="422"/>
      <c r="BI199" s="422"/>
      <c r="BJ199" s="423">
        <f t="shared" ref="BJ199:BR199" si="537">$I199*BJ$2</f>
        <v>612.591145833332</v>
      </c>
      <c r="BK199" s="423">
        <f t="shared" si="537"/>
        <v>612.591145833332</v>
      </c>
      <c r="BL199" s="423">
        <f t="shared" si="537"/>
        <v>612.591145833332</v>
      </c>
      <c r="BM199" s="423">
        <f t="shared" si="537"/>
        <v>612.591145833332</v>
      </c>
      <c r="BN199" s="423">
        <f t="shared" si="537"/>
        <v>612.591145833332</v>
      </c>
      <c r="BO199" s="423">
        <f t="shared" si="537"/>
        <v>612.591145833332</v>
      </c>
      <c r="BP199" s="423">
        <f t="shared" si="537"/>
        <v>612.591145833332</v>
      </c>
      <c r="BQ199" s="423">
        <f t="shared" si="537"/>
        <v>612.591145833332</v>
      </c>
      <c r="BR199" s="423">
        <f t="shared" si="537"/>
        <v>104.270833333333</v>
      </c>
      <c r="BT199" s="59">
        <f t="shared" ref="BT199:CB199" si="538">BT198-BJ199</f>
        <v>79318.6276041667</v>
      </c>
      <c r="BU199" s="59">
        <f t="shared" si="538"/>
        <v>79318.6276041667</v>
      </c>
      <c r="BV199" s="59">
        <f t="shared" si="538"/>
        <v>79318.6276041667</v>
      </c>
      <c r="BW199" s="59">
        <f t="shared" si="538"/>
        <v>79318.6276041667</v>
      </c>
      <c r="BX199" s="59">
        <f t="shared" si="538"/>
        <v>79318.6276041667</v>
      </c>
      <c r="BY199" s="59">
        <f t="shared" si="538"/>
        <v>79318.6276041667</v>
      </c>
      <c r="BZ199" s="59">
        <f t="shared" si="538"/>
        <v>79318.6276041667</v>
      </c>
      <c r="CA199" s="59">
        <f t="shared" si="538"/>
        <v>79318.6276041667</v>
      </c>
      <c r="CB199" s="59">
        <f t="shared" si="538"/>
        <v>13452.9791666667</v>
      </c>
    </row>
    <row r="200" s="371" customFormat="1" ht="27" hidden="1" customHeight="1" spans="1:80">
      <c r="A200" s="410">
        <v>45833</v>
      </c>
      <c r="B200" s="411" t="s">
        <v>275</v>
      </c>
      <c r="C200" s="412" t="s">
        <v>203</v>
      </c>
      <c r="D200" s="413">
        <v>4500171129</v>
      </c>
      <c r="E200" s="412" t="s">
        <v>1143</v>
      </c>
      <c r="F200" s="411" t="s">
        <v>1144</v>
      </c>
      <c r="G200" s="414" t="s">
        <v>131</v>
      </c>
      <c r="H200" s="411" t="s">
        <v>132</v>
      </c>
      <c r="I200" s="415">
        <v>2916</v>
      </c>
      <c r="J200" s="415">
        <v>0</v>
      </c>
      <c r="K200" s="415">
        <v>27</v>
      </c>
      <c r="L200" s="415">
        <f t="shared" si="374"/>
        <v>108</v>
      </c>
      <c r="M200" s="416">
        <v>45874</v>
      </c>
      <c r="N200" s="416">
        <v>45871</v>
      </c>
      <c r="O200" s="417"/>
      <c r="P200" s="417" t="s">
        <v>107</v>
      </c>
      <c r="Q200" s="417" t="s">
        <v>989</v>
      </c>
      <c r="R200" s="509">
        <v>45833</v>
      </c>
      <c r="S200" s="453" t="s">
        <v>80</v>
      </c>
      <c r="T200" s="453" t="s">
        <v>1145</v>
      </c>
      <c r="U200" s="417"/>
      <c r="V200" s="420" t="s">
        <v>1146</v>
      </c>
      <c r="W200" s="416" t="s">
        <v>1147</v>
      </c>
      <c r="X200" s="421">
        <v>0.7738</v>
      </c>
      <c r="Y200" s="415">
        <f t="shared" si="482"/>
        <v>2256.4008</v>
      </c>
      <c r="Z200" s="416"/>
      <c r="AA200" s="420">
        <f>2916</f>
        <v>2916</v>
      </c>
      <c r="AB200" s="420">
        <f t="shared" si="449"/>
        <v>0</v>
      </c>
      <c r="AC200" s="417" t="s">
        <v>113</v>
      </c>
      <c r="AD200" s="417" t="s">
        <v>114</v>
      </c>
      <c r="AE200" s="416" t="s">
        <v>434</v>
      </c>
      <c r="AF200" s="416" t="s">
        <v>115</v>
      </c>
      <c r="AG200" s="422">
        <f t="shared" si="533"/>
        <v>2916</v>
      </c>
      <c r="AH200" s="422"/>
      <c r="AI200" s="422">
        <f t="shared" ref="AI200:AI204" si="539">I200</f>
        <v>2916</v>
      </c>
      <c r="AJ200" s="422"/>
      <c r="AL200" s="422">
        <f t="shared" ref="AL200:AL203" si="540">I200</f>
        <v>2916</v>
      </c>
      <c r="AM200" s="422"/>
      <c r="AN200" s="422"/>
      <c r="AO200" s="422">
        <f t="shared" si="535"/>
        <v>2916</v>
      </c>
      <c r="AP200" s="422"/>
      <c r="AR200" s="422">
        <f>I200/27</f>
        <v>108</v>
      </c>
      <c r="AS200" s="422"/>
      <c r="AT200" s="422"/>
      <c r="AU200" s="422"/>
      <c r="AV200" s="422"/>
      <c r="AW200" s="422"/>
      <c r="AX200" s="422"/>
      <c r="AY200" s="422"/>
      <c r="AZ200" s="422"/>
      <c r="BA200" s="422"/>
      <c r="BB200" s="422"/>
      <c r="BC200" s="422"/>
      <c r="BD200" s="422"/>
      <c r="BE200" s="422"/>
      <c r="BF200" s="422"/>
      <c r="BG200" s="422"/>
      <c r="BH200" s="422"/>
      <c r="BI200" s="422"/>
      <c r="BJ200" s="423">
        <f t="shared" ref="BJ200:BR200" si="541">$I200*BJ$2</f>
        <v>356.906249999999</v>
      </c>
      <c r="BK200" s="423">
        <f t="shared" si="541"/>
        <v>356.906249999999</v>
      </c>
      <c r="BL200" s="423">
        <f t="shared" si="541"/>
        <v>356.906249999999</v>
      </c>
      <c r="BM200" s="423">
        <f t="shared" si="541"/>
        <v>356.906249999999</v>
      </c>
      <c r="BN200" s="423">
        <f t="shared" si="541"/>
        <v>356.906249999999</v>
      </c>
      <c r="BO200" s="423">
        <f t="shared" si="541"/>
        <v>356.906249999999</v>
      </c>
      <c r="BP200" s="423">
        <f t="shared" si="541"/>
        <v>356.906249999999</v>
      </c>
      <c r="BQ200" s="423">
        <f t="shared" si="541"/>
        <v>356.906249999999</v>
      </c>
      <c r="BR200" s="423">
        <f t="shared" si="541"/>
        <v>60.7499999999999</v>
      </c>
      <c r="BT200" s="59">
        <f t="shared" ref="BT200:CB200" si="542">BT199-BJ200</f>
        <v>78961.7213541667</v>
      </c>
      <c r="BU200" s="59">
        <f t="shared" si="542"/>
        <v>78961.7213541667</v>
      </c>
      <c r="BV200" s="59">
        <f t="shared" si="542"/>
        <v>78961.7213541667</v>
      </c>
      <c r="BW200" s="59">
        <f t="shared" si="542"/>
        <v>78961.7213541667</v>
      </c>
      <c r="BX200" s="59">
        <f t="shared" si="542"/>
        <v>78961.7213541667</v>
      </c>
      <c r="BY200" s="59">
        <f t="shared" si="542"/>
        <v>78961.7213541667</v>
      </c>
      <c r="BZ200" s="59">
        <f t="shared" si="542"/>
        <v>78961.7213541667</v>
      </c>
      <c r="CA200" s="59">
        <f t="shared" si="542"/>
        <v>78961.7213541667</v>
      </c>
      <c r="CB200" s="59">
        <f t="shared" si="542"/>
        <v>13392.2291666667</v>
      </c>
    </row>
    <row r="201" s="371" customFormat="1" ht="27" hidden="1" customHeight="1" spans="1:80">
      <c r="A201" s="410">
        <v>45838</v>
      </c>
      <c r="B201" s="411" t="s">
        <v>1148</v>
      </c>
      <c r="C201" s="412" t="s">
        <v>876</v>
      </c>
      <c r="D201" s="413">
        <v>4500172103</v>
      </c>
      <c r="E201" s="412"/>
      <c r="F201" s="411" t="s">
        <v>1149</v>
      </c>
      <c r="G201" s="414" t="s">
        <v>78</v>
      </c>
      <c r="H201" s="411" t="s">
        <v>79</v>
      </c>
      <c r="I201" s="415">
        <v>1350</v>
      </c>
      <c r="J201" s="415">
        <v>0</v>
      </c>
      <c r="K201" s="415">
        <v>54</v>
      </c>
      <c r="L201" s="415">
        <f t="shared" si="374"/>
        <v>25</v>
      </c>
      <c r="M201" s="416">
        <v>45874</v>
      </c>
      <c r="N201" s="416">
        <v>45874</v>
      </c>
      <c r="O201" s="417"/>
      <c r="P201" s="417" t="s">
        <v>107</v>
      </c>
      <c r="Q201" s="417" t="s">
        <v>1150</v>
      </c>
      <c r="R201" s="417">
        <v>45845</v>
      </c>
      <c r="S201" s="417" t="s">
        <v>80</v>
      </c>
      <c r="T201" s="453" t="s">
        <v>1151</v>
      </c>
      <c r="U201" s="417"/>
      <c r="V201" s="420" t="s">
        <v>1152</v>
      </c>
      <c r="W201" s="416" t="s">
        <v>881</v>
      </c>
      <c r="X201" s="421">
        <v>0.7913</v>
      </c>
      <c r="Y201" s="415">
        <f t="shared" si="482"/>
        <v>1068.255</v>
      </c>
      <c r="Z201" s="519" t="s">
        <v>1153</v>
      </c>
      <c r="AA201" s="420">
        <v>1350</v>
      </c>
      <c r="AB201" s="420">
        <f t="shared" si="449"/>
        <v>0</v>
      </c>
      <c r="AC201" s="417" t="s">
        <v>113</v>
      </c>
      <c r="AD201" s="417" t="s">
        <v>114</v>
      </c>
      <c r="AE201" s="416" t="s">
        <v>230</v>
      </c>
      <c r="AF201" s="416" t="s">
        <v>115</v>
      </c>
      <c r="AG201" s="422">
        <f t="shared" si="533"/>
        <v>1350</v>
      </c>
      <c r="AH201" s="422"/>
      <c r="AI201" s="422">
        <f t="shared" si="539"/>
        <v>1350</v>
      </c>
      <c r="AJ201" s="422"/>
      <c r="AL201" s="422">
        <f t="shared" si="540"/>
        <v>1350</v>
      </c>
      <c r="AM201" s="422"/>
      <c r="AN201" s="422"/>
      <c r="AO201" s="422">
        <f t="shared" si="535"/>
        <v>1350</v>
      </c>
      <c r="AP201" s="422"/>
      <c r="AR201" s="422">
        <f>I201/27</f>
        <v>50</v>
      </c>
      <c r="AS201" s="422"/>
      <c r="AT201" s="422"/>
      <c r="AU201" s="422"/>
      <c r="AV201" s="422"/>
      <c r="AW201" s="422"/>
      <c r="AX201" s="422"/>
      <c r="AY201" s="422"/>
      <c r="AZ201" s="422"/>
      <c r="BA201" s="422"/>
      <c r="BB201" s="422"/>
      <c r="BC201" s="422"/>
      <c r="BD201" s="422"/>
      <c r="BE201" s="422"/>
      <c r="BF201" s="422"/>
      <c r="BG201" s="422"/>
      <c r="BH201" s="422"/>
      <c r="BI201" s="422"/>
      <c r="BJ201" s="423">
        <f t="shared" ref="BJ201:BR201" si="543">$I201*BJ$2</f>
        <v>165.234375</v>
      </c>
      <c r="BK201" s="423">
        <f t="shared" si="543"/>
        <v>165.234375</v>
      </c>
      <c r="BL201" s="423">
        <f t="shared" si="543"/>
        <v>165.234375</v>
      </c>
      <c r="BM201" s="423">
        <f t="shared" si="543"/>
        <v>165.234375</v>
      </c>
      <c r="BN201" s="423">
        <f t="shared" si="543"/>
        <v>165.234375</v>
      </c>
      <c r="BO201" s="423">
        <f t="shared" si="543"/>
        <v>165.234375</v>
      </c>
      <c r="BP201" s="423">
        <f t="shared" si="543"/>
        <v>165.234375</v>
      </c>
      <c r="BQ201" s="423">
        <f t="shared" si="543"/>
        <v>165.234375</v>
      </c>
      <c r="BR201" s="423">
        <f t="shared" si="543"/>
        <v>28.125</v>
      </c>
      <c r="BT201" s="59">
        <f t="shared" ref="BT201:CB201" si="544">BT200-BJ201</f>
        <v>78796.4869791667</v>
      </c>
      <c r="BU201" s="59">
        <f t="shared" si="544"/>
        <v>78796.4869791667</v>
      </c>
      <c r="BV201" s="59">
        <f t="shared" si="544"/>
        <v>78796.4869791667</v>
      </c>
      <c r="BW201" s="59">
        <f t="shared" si="544"/>
        <v>78796.4869791667</v>
      </c>
      <c r="BX201" s="59">
        <f t="shared" si="544"/>
        <v>78796.4869791667</v>
      </c>
      <c r="BY201" s="59">
        <f t="shared" si="544"/>
        <v>78796.4869791667</v>
      </c>
      <c r="BZ201" s="59">
        <f t="shared" si="544"/>
        <v>78796.4869791667</v>
      </c>
      <c r="CA201" s="59">
        <f t="shared" si="544"/>
        <v>78796.4869791667</v>
      </c>
      <c r="CB201" s="59">
        <f t="shared" si="544"/>
        <v>13364.1041666667</v>
      </c>
    </row>
    <row r="202" s="371" customFormat="1" ht="27" hidden="1" customHeight="1" spans="1:80">
      <c r="A202" s="410">
        <v>45744</v>
      </c>
      <c r="B202" s="411" t="s">
        <v>1154</v>
      </c>
      <c r="C202" s="412" t="s">
        <v>1155</v>
      </c>
      <c r="D202" s="413">
        <v>4500161685</v>
      </c>
      <c r="E202" s="412"/>
      <c r="F202" s="411" t="s">
        <v>1156</v>
      </c>
      <c r="G202" s="414" t="s">
        <v>94</v>
      </c>
      <c r="H202" s="411" t="s">
        <v>211</v>
      </c>
      <c r="I202" s="415">
        <v>104</v>
      </c>
      <c r="J202" s="415">
        <v>0</v>
      </c>
      <c r="K202" s="415">
        <v>52</v>
      </c>
      <c r="L202" s="415">
        <f t="shared" si="374"/>
        <v>2</v>
      </c>
      <c r="M202" s="416">
        <v>45880</v>
      </c>
      <c r="N202" s="416">
        <v>45876</v>
      </c>
      <c r="O202" s="417"/>
      <c r="P202" s="417" t="s">
        <v>224</v>
      </c>
      <c r="Q202" s="417" t="s">
        <v>1157</v>
      </c>
      <c r="R202" s="417">
        <v>45783</v>
      </c>
      <c r="S202" s="417" t="s">
        <v>80</v>
      </c>
      <c r="T202" s="417" t="s">
        <v>1158</v>
      </c>
      <c r="U202" s="417"/>
      <c r="V202" s="420" t="s">
        <v>1159</v>
      </c>
      <c r="W202" s="416" t="s">
        <v>657</v>
      </c>
      <c r="X202" s="421">
        <v>0.8094</v>
      </c>
      <c r="Y202" s="415">
        <f t="shared" si="482"/>
        <v>84.1776</v>
      </c>
      <c r="Z202" s="416"/>
      <c r="AA202" s="420">
        <v>104</v>
      </c>
      <c r="AB202" s="420">
        <f t="shared" si="449"/>
        <v>0</v>
      </c>
      <c r="AC202" s="417" t="s">
        <v>113</v>
      </c>
      <c r="AD202" s="417" t="s">
        <v>114</v>
      </c>
      <c r="AE202" s="416" t="s">
        <v>94</v>
      </c>
      <c r="AF202" s="416" t="s">
        <v>115</v>
      </c>
      <c r="AG202" s="422">
        <f t="shared" si="533"/>
        <v>104</v>
      </c>
      <c r="AH202" s="422"/>
      <c r="AI202" s="422">
        <f t="shared" si="539"/>
        <v>104</v>
      </c>
      <c r="AJ202" s="422"/>
      <c r="AK202" s="422">
        <f t="shared" si="534"/>
        <v>104</v>
      </c>
      <c r="AL202" s="422"/>
      <c r="AM202" s="422"/>
      <c r="AN202" s="422"/>
      <c r="AO202" s="422">
        <f t="shared" si="535"/>
        <v>104</v>
      </c>
      <c r="AP202" s="422"/>
      <c r="AQ202" s="422"/>
      <c r="AR202" s="422"/>
      <c r="AS202" s="422"/>
      <c r="AT202" s="422">
        <f t="shared" si="536"/>
        <v>8</v>
      </c>
      <c r="AU202" s="422"/>
      <c r="AV202" s="422"/>
      <c r="AW202" s="422"/>
      <c r="AX202" s="422"/>
      <c r="AY202" s="422"/>
      <c r="AZ202" s="422"/>
      <c r="BA202" s="422"/>
      <c r="BB202" s="422"/>
      <c r="BC202" s="422"/>
      <c r="BD202" s="422"/>
      <c r="BE202" s="422"/>
      <c r="BF202" s="422"/>
      <c r="BG202" s="422"/>
      <c r="BH202" s="422"/>
      <c r="BI202" s="422"/>
      <c r="BJ202" s="423">
        <f t="shared" ref="BJ202:BR202" si="545">$I202*BJ$2</f>
        <v>12.7291666666666</v>
      </c>
      <c r="BK202" s="423">
        <f t="shared" si="545"/>
        <v>12.7291666666666</v>
      </c>
      <c r="BL202" s="423">
        <f t="shared" si="545"/>
        <v>12.7291666666666</v>
      </c>
      <c r="BM202" s="423">
        <f t="shared" si="545"/>
        <v>12.7291666666666</v>
      </c>
      <c r="BN202" s="423">
        <f t="shared" si="545"/>
        <v>12.7291666666666</v>
      </c>
      <c r="BO202" s="423">
        <f t="shared" si="545"/>
        <v>12.7291666666666</v>
      </c>
      <c r="BP202" s="423">
        <f t="shared" si="545"/>
        <v>12.7291666666666</v>
      </c>
      <c r="BQ202" s="423">
        <f t="shared" si="545"/>
        <v>12.7291666666666</v>
      </c>
      <c r="BR202" s="423">
        <f t="shared" si="545"/>
        <v>2.16666666666666</v>
      </c>
      <c r="BT202" s="59">
        <f t="shared" ref="BT202:CB202" si="546">BT201-BJ202</f>
        <v>78783.7578125001</v>
      </c>
      <c r="BU202" s="59">
        <f t="shared" si="546"/>
        <v>78783.7578125001</v>
      </c>
      <c r="BV202" s="59">
        <f t="shared" si="546"/>
        <v>78783.7578125001</v>
      </c>
      <c r="BW202" s="59">
        <f t="shared" si="546"/>
        <v>78783.7578125001</v>
      </c>
      <c r="BX202" s="59">
        <f t="shared" si="546"/>
        <v>78783.7578125001</v>
      </c>
      <c r="BY202" s="59">
        <f t="shared" si="546"/>
        <v>78783.7578125001</v>
      </c>
      <c r="BZ202" s="59">
        <f t="shared" si="546"/>
        <v>78783.7578125001</v>
      </c>
      <c r="CA202" s="59">
        <f t="shared" si="546"/>
        <v>78783.7578125001</v>
      </c>
      <c r="CB202" s="59">
        <f t="shared" si="546"/>
        <v>13361.9375</v>
      </c>
    </row>
    <row r="203" s="371" customFormat="1" ht="27" hidden="1" customHeight="1" spans="1:80">
      <c r="A203" s="410">
        <v>45831</v>
      </c>
      <c r="B203" s="411" t="s">
        <v>1160</v>
      </c>
      <c r="C203" s="412" t="s">
        <v>389</v>
      </c>
      <c r="D203" s="413">
        <v>4500170899</v>
      </c>
      <c r="E203" s="412" t="s">
        <v>1161</v>
      </c>
      <c r="F203" s="411" t="s">
        <v>1162</v>
      </c>
      <c r="G203" s="414" t="s">
        <v>152</v>
      </c>
      <c r="H203" s="411" t="s">
        <v>153</v>
      </c>
      <c r="I203" s="415">
        <v>1300</v>
      </c>
      <c r="J203" s="415">
        <v>0</v>
      </c>
      <c r="K203" s="415">
        <v>13</v>
      </c>
      <c r="L203" s="415">
        <f t="shared" si="374"/>
        <v>100</v>
      </c>
      <c r="M203" s="416">
        <v>45880</v>
      </c>
      <c r="N203" s="416">
        <v>45876</v>
      </c>
      <c r="O203" s="417"/>
      <c r="P203" s="417" t="s">
        <v>224</v>
      </c>
      <c r="Q203" s="417" t="s">
        <v>1128</v>
      </c>
      <c r="R203" s="417">
        <v>45831</v>
      </c>
      <c r="S203" s="417" t="s">
        <v>80</v>
      </c>
      <c r="T203" s="417" t="s">
        <v>951</v>
      </c>
      <c r="U203" s="417"/>
      <c r="V203" s="420" t="s">
        <v>1163</v>
      </c>
      <c r="W203" s="416" t="s">
        <v>513</v>
      </c>
      <c r="X203" s="421">
        <v>0.7931</v>
      </c>
      <c r="Y203" s="415">
        <f t="shared" si="482"/>
        <v>1031.03</v>
      </c>
      <c r="Z203" s="416"/>
      <c r="AA203" s="420">
        <v>1300</v>
      </c>
      <c r="AB203" s="420">
        <f t="shared" si="449"/>
        <v>0</v>
      </c>
      <c r="AC203" s="417" t="s">
        <v>113</v>
      </c>
      <c r="AD203" s="417" t="s">
        <v>114</v>
      </c>
      <c r="AE203" s="416" t="s">
        <v>319</v>
      </c>
      <c r="AF203" s="416" t="s">
        <v>115</v>
      </c>
      <c r="AG203" s="422">
        <f t="shared" si="533"/>
        <v>1300</v>
      </c>
      <c r="AH203" s="422"/>
      <c r="AI203" s="422">
        <f t="shared" si="539"/>
        <v>1300</v>
      </c>
      <c r="AJ203" s="422"/>
      <c r="AK203" s="422"/>
      <c r="AL203" s="422">
        <f t="shared" si="540"/>
        <v>1300</v>
      </c>
      <c r="AM203" s="422"/>
      <c r="AN203" s="422"/>
      <c r="AO203" s="422">
        <f t="shared" si="535"/>
        <v>1300</v>
      </c>
      <c r="AP203" s="422"/>
      <c r="AQ203" s="422"/>
      <c r="AR203" s="422"/>
      <c r="AS203" s="422"/>
      <c r="AT203" s="422"/>
      <c r="AU203" s="422">
        <f>I203/13</f>
        <v>100</v>
      </c>
      <c r="AV203" s="422"/>
      <c r="AW203" s="422"/>
      <c r="AX203" s="422"/>
      <c r="AY203" s="422"/>
      <c r="AZ203" s="422"/>
      <c r="BA203" s="422"/>
      <c r="BB203" s="422"/>
      <c r="BC203" s="422"/>
      <c r="BD203" s="422"/>
      <c r="BE203" s="422"/>
      <c r="BF203" s="422"/>
      <c r="BG203" s="422"/>
      <c r="BH203" s="422"/>
      <c r="BI203" s="422"/>
      <c r="BJ203" s="423">
        <f t="shared" ref="BJ203:BR203" si="547">$I203*BJ$2</f>
        <v>159.114583333333</v>
      </c>
      <c r="BK203" s="423">
        <f t="shared" si="547"/>
        <v>159.114583333333</v>
      </c>
      <c r="BL203" s="423">
        <f t="shared" si="547"/>
        <v>159.114583333333</v>
      </c>
      <c r="BM203" s="423">
        <f t="shared" si="547"/>
        <v>159.114583333333</v>
      </c>
      <c r="BN203" s="423">
        <f t="shared" si="547"/>
        <v>159.114583333333</v>
      </c>
      <c r="BO203" s="423">
        <f t="shared" si="547"/>
        <v>159.114583333333</v>
      </c>
      <c r="BP203" s="423">
        <f t="shared" si="547"/>
        <v>159.114583333333</v>
      </c>
      <c r="BQ203" s="423">
        <f t="shared" si="547"/>
        <v>159.114583333333</v>
      </c>
      <c r="BR203" s="423">
        <f t="shared" si="547"/>
        <v>27.0833333333333</v>
      </c>
      <c r="BT203" s="59">
        <f t="shared" ref="BT203:CB203" si="548">BT202-BJ203</f>
        <v>78624.6432291667</v>
      </c>
      <c r="BU203" s="59">
        <f t="shared" si="548"/>
        <v>78624.6432291667</v>
      </c>
      <c r="BV203" s="59">
        <f t="shared" si="548"/>
        <v>78624.6432291667</v>
      </c>
      <c r="BW203" s="59">
        <f t="shared" si="548"/>
        <v>78624.6432291667</v>
      </c>
      <c r="BX203" s="59">
        <f t="shared" si="548"/>
        <v>78624.6432291667</v>
      </c>
      <c r="BY203" s="59">
        <f t="shared" si="548"/>
        <v>78624.6432291667</v>
      </c>
      <c r="BZ203" s="59">
        <f t="shared" si="548"/>
        <v>78624.6432291667</v>
      </c>
      <c r="CA203" s="59">
        <f t="shared" si="548"/>
        <v>78624.6432291667</v>
      </c>
      <c r="CB203" s="59">
        <f t="shared" si="548"/>
        <v>13334.8541666667</v>
      </c>
    </row>
    <row r="204" s="371" customFormat="1" ht="27" hidden="1" customHeight="1" spans="1:80">
      <c r="A204" s="410">
        <v>45832</v>
      </c>
      <c r="B204" s="411" t="s">
        <v>729</v>
      </c>
      <c r="C204" s="412" t="s">
        <v>117</v>
      </c>
      <c r="D204" s="413">
        <v>4500169184</v>
      </c>
      <c r="E204" s="412" t="s">
        <v>1164</v>
      </c>
      <c r="F204" s="411" t="s">
        <v>1165</v>
      </c>
      <c r="G204" s="414" t="s">
        <v>152</v>
      </c>
      <c r="H204" s="411" t="s">
        <v>153</v>
      </c>
      <c r="I204" s="415">
        <v>10309</v>
      </c>
      <c r="J204" s="415">
        <v>0</v>
      </c>
      <c r="K204" s="415">
        <v>13</v>
      </c>
      <c r="L204" s="415">
        <f t="shared" si="374"/>
        <v>793</v>
      </c>
      <c r="M204" s="416">
        <v>45881</v>
      </c>
      <c r="N204" s="416">
        <v>45877</v>
      </c>
      <c r="O204" s="417" t="s">
        <v>1166</v>
      </c>
      <c r="P204" s="371" t="s">
        <v>107</v>
      </c>
      <c r="Q204" s="417" t="s">
        <v>1167</v>
      </c>
      <c r="R204" s="417">
        <v>45832</v>
      </c>
      <c r="S204" s="417" t="s">
        <v>80</v>
      </c>
      <c r="T204" s="417" t="s">
        <v>80</v>
      </c>
      <c r="U204" s="417" t="s">
        <v>156</v>
      </c>
      <c r="V204" s="420" t="s">
        <v>1168</v>
      </c>
      <c r="W204" s="416" t="s">
        <v>1169</v>
      </c>
      <c r="X204" s="421">
        <v>0.4694</v>
      </c>
      <c r="Y204" s="415">
        <f t="shared" si="482"/>
        <v>4839.0446</v>
      </c>
      <c r="Z204" s="416"/>
      <c r="AA204" s="420">
        <v>10309</v>
      </c>
      <c r="AB204" s="420">
        <f t="shared" si="449"/>
        <v>0</v>
      </c>
      <c r="AC204" s="417" t="s">
        <v>80</v>
      </c>
      <c r="AD204" s="417" t="s">
        <v>114</v>
      </c>
      <c r="AE204" s="416" t="s">
        <v>152</v>
      </c>
      <c r="AF204" s="416" t="s">
        <v>115</v>
      </c>
      <c r="AG204" s="422">
        <f t="shared" si="533"/>
        <v>10309</v>
      </c>
      <c r="AH204" s="422"/>
      <c r="AI204" s="422">
        <f t="shared" si="539"/>
        <v>10309</v>
      </c>
      <c r="AJ204" s="422"/>
      <c r="AK204" s="422">
        <f t="shared" si="534"/>
        <v>10309</v>
      </c>
      <c r="AL204" s="422"/>
      <c r="AM204" s="422"/>
      <c r="AN204" s="422"/>
      <c r="AO204" s="422">
        <f t="shared" si="535"/>
        <v>10309</v>
      </c>
      <c r="AP204" s="422"/>
      <c r="AQ204" s="422"/>
      <c r="AR204" s="422"/>
      <c r="AS204" s="422"/>
      <c r="AT204" s="422">
        <f t="shared" si="536"/>
        <v>793</v>
      </c>
      <c r="AU204" s="422"/>
      <c r="AV204" s="422"/>
      <c r="AW204" s="422"/>
      <c r="AX204" s="422"/>
      <c r="AY204" s="422"/>
      <c r="AZ204" s="422"/>
      <c r="BA204" s="422"/>
      <c r="BB204" s="422"/>
      <c r="BC204" s="422"/>
      <c r="BD204" s="422"/>
      <c r="BE204" s="422"/>
      <c r="BF204" s="422"/>
      <c r="BG204" s="422"/>
      <c r="BH204" s="422"/>
      <c r="BI204" s="422"/>
      <c r="BJ204" s="423">
        <f t="shared" ref="BJ204:BR204" si="549">$I204*BJ$2</f>
        <v>1261.77864583333</v>
      </c>
      <c r="BK204" s="423">
        <f t="shared" si="549"/>
        <v>1261.77864583333</v>
      </c>
      <c r="BL204" s="423">
        <f t="shared" si="549"/>
        <v>1261.77864583333</v>
      </c>
      <c r="BM204" s="423">
        <f t="shared" si="549"/>
        <v>1261.77864583333</v>
      </c>
      <c r="BN204" s="423">
        <f t="shared" si="549"/>
        <v>1261.77864583333</v>
      </c>
      <c r="BO204" s="423">
        <f t="shared" si="549"/>
        <v>1261.77864583333</v>
      </c>
      <c r="BP204" s="423">
        <f t="shared" si="549"/>
        <v>1261.77864583333</v>
      </c>
      <c r="BQ204" s="423">
        <f t="shared" si="549"/>
        <v>1261.77864583333</v>
      </c>
      <c r="BR204" s="423">
        <f t="shared" si="549"/>
        <v>214.770833333333</v>
      </c>
      <c r="BT204" s="59">
        <f t="shared" ref="BT204:CB204" si="550">BT203-BJ204</f>
        <v>77362.8645833334</v>
      </c>
      <c r="BU204" s="59">
        <f t="shared" si="550"/>
        <v>77362.8645833334</v>
      </c>
      <c r="BV204" s="59">
        <f t="shared" si="550"/>
        <v>77362.8645833334</v>
      </c>
      <c r="BW204" s="59">
        <f t="shared" si="550"/>
        <v>77362.8645833334</v>
      </c>
      <c r="BX204" s="59">
        <f t="shared" si="550"/>
        <v>77362.8645833334</v>
      </c>
      <c r="BY204" s="59">
        <f t="shared" si="550"/>
        <v>77362.8645833334</v>
      </c>
      <c r="BZ204" s="59">
        <f t="shared" si="550"/>
        <v>77362.8645833334</v>
      </c>
      <c r="CA204" s="59">
        <f t="shared" si="550"/>
        <v>77362.8645833334</v>
      </c>
      <c r="CB204" s="59">
        <f t="shared" si="550"/>
        <v>13120.0833333333</v>
      </c>
    </row>
    <row r="205" s="371" customFormat="1" ht="27" hidden="1" customHeight="1" spans="1:80">
      <c r="A205" s="410">
        <v>45836</v>
      </c>
      <c r="B205" s="411" t="s">
        <v>1170</v>
      </c>
      <c r="C205" s="412" t="s">
        <v>117</v>
      </c>
      <c r="D205" s="413">
        <v>4500171855</v>
      </c>
      <c r="E205" s="412">
        <v>70073078</v>
      </c>
      <c r="F205" s="411" t="s">
        <v>1171</v>
      </c>
      <c r="G205" s="414" t="s">
        <v>188</v>
      </c>
      <c r="H205" s="411" t="s">
        <v>120</v>
      </c>
      <c r="I205" s="415">
        <v>300</v>
      </c>
      <c r="J205" s="415">
        <v>0</v>
      </c>
      <c r="K205" s="415">
        <v>12</v>
      </c>
      <c r="L205" s="415">
        <f t="shared" si="374"/>
        <v>25</v>
      </c>
      <c r="M205" s="416">
        <v>45881</v>
      </c>
      <c r="N205" s="416">
        <v>45877</v>
      </c>
      <c r="O205" s="417"/>
      <c r="P205" s="417" t="s">
        <v>224</v>
      </c>
      <c r="Q205" s="417"/>
      <c r="R205" s="417">
        <v>45846</v>
      </c>
      <c r="S205" s="417" t="s">
        <v>80</v>
      </c>
      <c r="T205" s="453" t="s">
        <v>1172</v>
      </c>
      <c r="U205" s="417"/>
      <c r="V205" s="420" t="s">
        <v>1173</v>
      </c>
      <c r="W205" s="416" t="s">
        <v>1174</v>
      </c>
      <c r="X205" s="421">
        <v>1.1176</v>
      </c>
      <c r="Y205" s="415">
        <f t="shared" si="482"/>
        <v>335.28</v>
      </c>
      <c r="Z205" s="416"/>
      <c r="AA205" s="420">
        <v>300</v>
      </c>
      <c r="AB205" s="420">
        <f t="shared" si="449"/>
        <v>0</v>
      </c>
      <c r="AC205" s="417" t="s">
        <v>113</v>
      </c>
      <c r="AD205" s="417" t="s">
        <v>114</v>
      </c>
      <c r="AE205" s="416" t="s">
        <v>119</v>
      </c>
      <c r="AF205" s="416" t="s">
        <v>115</v>
      </c>
      <c r="AG205" s="422">
        <f>I205*2</f>
        <v>600</v>
      </c>
      <c r="AH205" s="422"/>
      <c r="AI205" s="422">
        <f>I205*2</f>
        <v>600</v>
      </c>
      <c r="AJ205" s="422"/>
      <c r="AK205" s="422">
        <f>I205*2</f>
        <v>600</v>
      </c>
      <c r="AL205" s="422"/>
      <c r="AM205" s="422"/>
      <c r="AN205" s="422"/>
      <c r="AO205" s="422">
        <f>I205*2</f>
        <v>600</v>
      </c>
      <c r="AP205" s="422"/>
      <c r="AQ205" s="422"/>
      <c r="AR205" s="422"/>
      <c r="AS205" s="422"/>
      <c r="AT205" s="422"/>
      <c r="AU205" s="422"/>
      <c r="AV205" s="422"/>
      <c r="AW205" s="422"/>
      <c r="AX205" s="422"/>
      <c r="AY205" s="422"/>
      <c r="AZ205" s="422"/>
      <c r="BA205" s="422"/>
      <c r="BB205" s="422"/>
      <c r="BC205" s="422"/>
      <c r="BD205" s="422"/>
      <c r="BE205" s="422"/>
      <c r="BF205" s="422">
        <f>I205</f>
        <v>300</v>
      </c>
      <c r="BG205" s="422">
        <f>I205</f>
        <v>300</v>
      </c>
      <c r="BH205" s="422"/>
      <c r="BI205" s="422"/>
      <c r="BJ205" s="423">
        <f t="shared" ref="BJ205:BR205" si="551">$I205*BJ$2*2</f>
        <v>73.4374999999998</v>
      </c>
      <c r="BK205" s="423">
        <f t="shared" si="551"/>
        <v>73.4374999999998</v>
      </c>
      <c r="BL205" s="423">
        <f t="shared" si="551"/>
        <v>73.4374999999998</v>
      </c>
      <c r="BM205" s="423">
        <f t="shared" si="551"/>
        <v>73.4374999999998</v>
      </c>
      <c r="BN205" s="423">
        <f t="shared" si="551"/>
        <v>73.4374999999998</v>
      </c>
      <c r="BO205" s="423">
        <f t="shared" si="551"/>
        <v>73.4374999999998</v>
      </c>
      <c r="BP205" s="423">
        <f t="shared" si="551"/>
        <v>73.4374999999998</v>
      </c>
      <c r="BQ205" s="423">
        <f t="shared" si="551"/>
        <v>73.4374999999998</v>
      </c>
      <c r="BR205" s="423">
        <f t="shared" si="551"/>
        <v>12.5</v>
      </c>
      <c r="BT205" s="59">
        <f t="shared" ref="BT205:CB205" si="552">BT204-BJ205</f>
        <v>77289.4270833334</v>
      </c>
      <c r="BU205" s="59">
        <f t="shared" si="552"/>
        <v>77289.4270833334</v>
      </c>
      <c r="BV205" s="59">
        <f t="shared" si="552"/>
        <v>77289.4270833334</v>
      </c>
      <c r="BW205" s="59">
        <f t="shared" si="552"/>
        <v>77289.4270833334</v>
      </c>
      <c r="BX205" s="59">
        <f t="shared" si="552"/>
        <v>77289.4270833334</v>
      </c>
      <c r="BY205" s="59">
        <f t="shared" si="552"/>
        <v>77289.4270833334</v>
      </c>
      <c r="BZ205" s="59">
        <f t="shared" si="552"/>
        <v>77289.4270833334</v>
      </c>
      <c r="CA205" s="59">
        <f t="shared" si="552"/>
        <v>77289.4270833334</v>
      </c>
      <c r="CB205" s="59">
        <f t="shared" si="552"/>
        <v>13107.5833333333</v>
      </c>
    </row>
    <row r="206" s="371" customFormat="1" ht="27" hidden="1" customHeight="1" spans="1:80">
      <c r="A206" s="410">
        <v>45847</v>
      </c>
      <c r="B206" s="411" t="s">
        <v>1175</v>
      </c>
      <c r="C206" s="412" t="s">
        <v>170</v>
      </c>
      <c r="D206" s="413">
        <v>4500173065</v>
      </c>
      <c r="E206" s="412">
        <v>11259</v>
      </c>
      <c r="F206" s="411" t="s">
        <v>1176</v>
      </c>
      <c r="G206" s="414" t="s">
        <v>152</v>
      </c>
      <c r="H206" s="411" t="s">
        <v>153</v>
      </c>
      <c r="I206" s="415">
        <v>650</v>
      </c>
      <c r="J206" s="415">
        <v>0</v>
      </c>
      <c r="K206" s="415">
        <v>13</v>
      </c>
      <c r="L206" s="415">
        <f t="shared" ref="L206:L269" si="553">I206/K206</f>
        <v>50</v>
      </c>
      <c r="M206" s="416">
        <v>45882</v>
      </c>
      <c r="N206" s="416">
        <v>45878</v>
      </c>
      <c r="O206" s="417"/>
      <c r="P206" s="417" t="s">
        <v>224</v>
      </c>
      <c r="Q206" s="417" t="s">
        <v>1177</v>
      </c>
      <c r="R206" s="417">
        <v>45848</v>
      </c>
      <c r="S206" s="417" t="s">
        <v>80</v>
      </c>
      <c r="T206" s="417" t="s">
        <v>80</v>
      </c>
      <c r="U206" s="417"/>
      <c r="V206" s="420" t="s">
        <v>1178</v>
      </c>
      <c r="W206" s="416" t="s">
        <v>1179</v>
      </c>
      <c r="X206" s="421">
        <v>0.7812</v>
      </c>
      <c r="Y206" s="415">
        <f t="shared" si="482"/>
        <v>507.78</v>
      </c>
      <c r="Z206" s="416"/>
      <c r="AA206" s="420">
        <v>650</v>
      </c>
      <c r="AB206" s="420">
        <f t="shared" si="449"/>
        <v>0</v>
      </c>
      <c r="AC206" s="417" t="s">
        <v>80</v>
      </c>
      <c r="AD206" s="417" t="s">
        <v>114</v>
      </c>
      <c r="AE206" s="416" t="s">
        <v>152</v>
      </c>
      <c r="AF206" s="416" t="s">
        <v>115</v>
      </c>
      <c r="AG206" s="422">
        <f t="shared" ref="AG206:AG210" si="554">I206</f>
        <v>650</v>
      </c>
      <c r="AH206" s="422"/>
      <c r="AI206" s="422">
        <f t="shared" ref="AI206:AI210" si="555">I206</f>
        <v>650</v>
      </c>
      <c r="AJ206" s="422"/>
      <c r="AK206" s="422">
        <f t="shared" ref="AK206:AK208" si="556">I206</f>
        <v>650</v>
      </c>
      <c r="AL206" s="422"/>
      <c r="AM206" s="422"/>
      <c r="AN206" s="422"/>
      <c r="AO206" s="422">
        <f t="shared" ref="AO206:AO210" si="557">I206</f>
        <v>650</v>
      </c>
      <c r="AP206" s="422"/>
      <c r="AQ206" s="422"/>
      <c r="AR206" s="422"/>
      <c r="AS206" s="422"/>
      <c r="AT206" s="422">
        <f t="shared" ref="AT206:AT208" si="558">I206/13</f>
        <v>50</v>
      </c>
      <c r="AU206" s="422"/>
      <c r="AV206" s="422"/>
      <c r="AW206" s="422"/>
      <c r="AX206" s="422"/>
      <c r="AY206" s="422"/>
      <c r="AZ206" s="422"/>
      <c r="BA206" s="422"/>
      <c r="BB206" s="422"/>
      <c r="BC206" s="422"/>
      <c r="BD206" s="422"/>
      <c r="BE206" s="422"/>
      <c r="BF206" s="422"/>
      <c r="BG206" s="422"/>
      <c r="BH206" s="422"/>
      <c r="BI206" s="422"/>
      <c r="BJ206" s="423">
        <f t="shared" ref="BJ206:BR206" si="559">$I206*BJ$2</f>
        <v>79.5572916666664</v>
      </c>
      <c r="BK206" s="423">
        <f t="shared" si="559"/>
        <v>79.5572916666664</v>
      </c>
      <c r="BL206" s="423">
        <f t="shared" si="559"/>
        <v>79.5572916666664</v>
      </c>
      <c r="BM206" s="423">
        <f t="shared" si="559"/>
        <v>79.5572916666664</v>
      </c>
      <c r="BN206" s="423">
        <f t="shared" si="559"/>
        <v>79.5572916666664</v>
      </c>
      <c r="BO206" s="423">
        <f t="shared" si="559"/>
        <v>79.5572916666664</v>
      </c>
      <c r="BP206" s="423">
        <f t="shared" si="559"/>
        <v>79.5572916666664</v>
      </c>
      <c r="BQ206" s="423">
        <f t="shared" si="559"/>
        <v>79.5572916666664</v>
      </c>
      <c r="BR206" s="423">
        <f t="shared" si="559"/>
        <v>13.5416666666666</v>
      </c>
      <c r="BT206" s="59">
        <f t="shared" ref="BT206:CB206" si="560">BT205-BJ206</f>
        <v>77209.8697916667</v>
      </c>
      <c r="BU206" s="59">
        <f t="shared" si="560"/>
        <v>77209.8697916667</v>
      </c>
      <c r="BV206" s="59">
        <f t="shared" si="560"/>
        <v>77209.8697916667</v>
      </c>
      <c r="BW206" s="59">
        <f t="shared" si="560"/>
        <v>77209.8697916667</v>
      </c>
      <c r="BX206" s="59">
        <f t="shared" si="560"/>
        <v>77209.8697916667</v>
      </c>
      <c r="BY206" s="59">
        <f t="shared" si="560"/>
        <v>77209.8697916667</v>
      </c>
      <c r="BZ206" s="59">
        <f t="shared" si="560"/>
        <v>77209.8697916667</v>
      </c>
      <c r="CA206" s="59">
        <f t="shared" si="560"/>
        <v>77209.8697916667</v>
      </c>
      <c r="CB206" s="59">
        <f t="shared" si="560"/>
        <v>13094.0416666667</v>
      </c>
    </row>
    <row r="207" s="371" customFormat="1" ht="27" hidden="1" customHeight="1" spans="1:80">
      <c r="A207" s="410">
        <v>45842</v>
      </c>
      <c r="B207" s="411" t="s">
        <v>149</v>
      </c>
      <c r="C207" s="412" t="s">
        <v>117</v>
      </c>
      <c r="D207" s="413">
        <v>4500172802</v>
      </c>
      <c r="E207" s="412" t="s">
        <v>1180</v>
      </c>
      <c r="F207" s="411" t="s">
        <v>1181</v>
      </c>
      <c r="G207" s="414" t="s">
        <v>152</v>
      </c>
      <c r="H207" s="411" t="s">
        <v>153</v>
      </c>
      <c r="I207" s="415">
        <v>6006</v>
      </c>
      <c r="J207" s="415">
        <v>0</v>
      </c>
      <c r="K207" s="415">
        <v>13</v>
      </c>
      <c r="L207" s="415">
        <f t="shared" si="553"/>
        <v>462</v>
      </c>
      <c r="M207" s="416">
        <v>45884</v>
      </c>
      <c r="N207" s="416">
        <v>45880</v>
      </c>
      <c r="O207" s="417"/>
      <c r="P207" s="417" t="s">
        <v>107</v>
      </c>
      <c r="Q207" s="417" t="s">
        <v>1010</v>
      </c>
      <c r="R207" s="417">
        <v>45854</v>
      </c>
      <c r="S207" s="417" t="s">
        <v>191</v>
      </c>
      <c r="T207" s="417" t="s">
        <v>1182</v>
      </c>
      <c r="U207" s="417"/>
      <c r="V207" s="420" t="s">
        <v>356</v>
      </c>
      <c r="W207" s="416" t="s">
        <v>158</v>
      </c>
      <c r="X207" s="421">
        <v>0.4622</v>
      </c>
      <c r="Y207" s="415">
        <f t="shared" si="482"/>
        <v>2775.9732</v>
      </c>
      <c r="Z207" s="416"/>
      <c r="AA207" s="420">
        <v>6006</v>
      </c>
      <c r="AB207" s="420">
        <f t="shared" si="449"/>
        <v>0</v>
      </c>
      <c r="AC207" s="417" t="s">
        <v>113</v>
      </c>
      <c r="AD207" s="417" t="s">
        <v>114</v>
      </c>
      <c r="AE207" s="416" t="s">
        <v>152</v>
      </c>
      <c r="AF207" s="416" t="s">
        <v>115</v>
      </c>
      <c r="AG207" s="422">
        <f t="shared" si="554"/>
        <v>6006</v>
      </c>
      <c r="AH207" s="422"/>
      <c r="AI207" s="422">
        <f t="shared" si="555"/>
        <v>6006</v>
      </c>
      <c r="AJ207" s="422"/>
      <c r="AK207" s="422">
        <f t="shared" si="556"/>
        <v>6006</v>
      </c>
      <c r="AL207" s="422"/>
      <c r="AM207" s="422"/>
      <c r="AN207" s="422"/>
      <c r="AO207" s="422">
        <f t="shared" si="557"/>
        <v>6006</v>
      </c>
      <c r="AP207" s="422"/>
      <c r="AQ207" s="422"/>
      <c r="AR207" s="422"/>
      <c r="AS207" s="422"/>
      <c r="AT207" s="422">
        <f t="shared" si="558"/>
        <v>462</v>
      </c>
      <c r="AU207" s="422"/>
      <c r="AV207" s="422"/>
      <c r="AW207" s="422"/>
      <c r="AX207" s="422"/>
      <c r="AY207" s="422"/>
      <c r="AZ207" s="422"/>
      <c r="BA207" s="422"/>
      <c r="BB207" s="422"/>
      <c r="BC207" s="422"/>
      <c r="BD207" s="422"/>
      <c r="BE207" s="422"/>
      <c r="BF207" s="422"/>
      <c r="BG207" s="422"/>
      <c r="BH207" s="422"/>
      <c r="BI207" s="422"/>
      <c r="BJ207" s="423">
        <f t="shared" ref="BJ207:BR207" si="561">$I207*BJ$2</f>
        <v>735.109374999998</v>
      </c>
      <c r="BK207" s="423">
        <f t="shared" si="561"/>
        <v>735.109374999998</v>
      </c>
      <c r="BL207" s="423">
        <f t="shared" si="561"/>
        <v>735.109374999998</v>
      </c>
      <c r="BM207" s="423">
        <f t="shared" si="561"/>
        <v>735.109374999998</v>
      </c>
      <c r="BN207" s="423">
        <f t="shared" si="561"/>
        <v>735.109374999998</v>
      </c>
      <c r="BO207" s="423">
        <f t="shared" si="561"/>
        <v>735.109374999998</v>
      </c>
      <c r="BP207" s="423">
        <f t="shared" si="561"/>
        <v>735.109374999998</v>
      </c>
      <c r="BQ207" s="423">
        <f t="shared" si="561"/>
        <v>735.109374999998</v>
      </c>
      <c r="BR207" s="423">
        <f t="shared" si="561"/>
        <v>125.125</v>
      </c>
      <c r="BT207" s="59">
        <f t="shared" ref="BT207:CB207" si="562">BT206-BJ207</f>
        <v>76474.7604166667</v>
      </c>
      <c r="BU207" s="59">
        <f t="shared" si="562"/>
        <v>76474.7604166667</v>
      </c>
      <c r="BV207" s="59">
        <f t="shared" si="562"/>
        <v>76474.7604166667</v>
      </c>
      <c r="BW207" s="59">
        <f t="shared" si="562"/>
        <v>76474.7604166667</v>
      </c>
      <c r="BX207" s="59">
        <f t="shared" si="562"/>
        <v>76474.7604166667</v>
      </c>
      <c r="BY207" s="59">
        <f t="shared" si="562"/>
        <v>76474.7604166667</v>
      </c>
      <c r="BZ207" s="59">
        <f t="shared" si="562"/>
        <v>76474.7604166667</v>
      </c>
      <c r="CA207" s="59">
        <f t="shared" si="562"/>
        <v>76474.7604166667</v>
      </c>
      <c r="CB207" s="59">
        <f t="shared" si="562"/>
        <v>12968.9166666667</v>
      </c>
    </row>
    <row r="208" s="371" customFormat="1" ht="27" hidden="1" customHeight="1" spans="1:80">
      <c r="A208" s="410">
        <v>45842</v>
      </c>
      <c r="B208" s="411" t="s">
        <v>149</v>
      </c>
      <c r="C208" s="412" t="s">
        <v>117</v>
      </c>
      <c r="D208" s="413">
        <v>4500172800</v>
      </c>
      <c r="E208" s="412" t="s">
        <v>1183</v>
      </c>
      <c r="F208" s="411" t="s">
        <v>1184</v>
      </c>
      <c r="G208" s="414" t="s">
        <v>152</v>
      </c>
      <c r="H208" s="411" t="s">
        <v>153</v>
      </c>
      <c r="I208" s="415">
        <v>7007</v>
      </c>
      <c r="J208" s="415">
        <v>0</v>
      </c>
      <c r="K208" s="415">
        <v>13</v>
      </c>
      <c r="L208" s="415">
        <f t="shared" si="553"/>
        <v>539</v>
      </c>
      <c r="M208" s="416">
        <v>45884</v>
      </c>
      <c r="N208" s="416">
        <v>45880</v>
      </c>
      <c r="O208" s="417"/>
      <c r="P208" s="417" t="s">
        <v>107</v>
      </c>
      <c r="Q208" s="417" t="s">
        <v>1185</v>
      </c>
      <c r="R208" s="417">
        <v>45854</v>
      </c>
      <c r="S208" s="417" t="s">
        <v>191</v>
      </c>
      <c r="T208" s="417" t="s">
        <v>1186</v>
      </c>
      <c r="U208" s="417"/>
      <c r="V208" s="420" t="s">
        <v>356</v>
      </c>
      <c r="W208" s="416" t="s">
        <v>158</v>
      </c>
      <c r="X208" s="421">
        <v>0.4622</v>
      </c>
      <c r="Y208" s="415">
        <f t="shared" si="482"/>
        <v>3238.6354</v>
      </c>
      <c r="Z208" s="416"/>
      <c r="AA208" s="420">
        <v>7007</v>
      </c>
      <c r="AB208" s="420">
        <f t="shared" si="449"/>
        <v>0</v>
      </c>
      <c r="AC208" s="417" t="s">
        <v>113</v>
      </c>
      <c r="AD208" s="417" t="s">
        <v>114</v>
      </c>
      <c r="AE208" s="416" t="s">
        <v>152</v>
      </c>
      <c r="AF208" s="416" t="s">
        <v>115</v>
      </c>
      <c r="AG208" s="422">
        <f t="shared" si="554"/>
        <v>7007</v>
      </c>
      <c r="AH208" s="422"/>
      <c r="AI208" s="422">
        <f t="shared" si="555"/>
        <v>7007</v>
      </c>
      <c r="AJ208" s="422"/>
      <c r="AK208" s="422">
        <f t="shared" si="556"/>
        <v>7007</v>
      </c>
      <c r="AL208" s="422"/>
      <c r="AM208" s="422"/>
      <c r="AN208" s="422"/>
      <c r="AO208" s="422">
        <f t="shared" si="557"/>
        <v>7007</v>
      </c>
      <c r="AP208" s="422"/>
      <c r="AQ208" s="422"/>
      <c r="AR208" s="422"/>
      <c r="AS208" s="422"/>
      <c r="AT208" s="422">
        <f t="shared" si="558"/>
        <v>539</v>
      </c>
      <c r="AU208" s="422"/>
      <c r="AV208" s="422"/>
      <c r="AW208" s="422"/>
      <c r="AX208" s="422"/>
      <c r="AY208" s="422"/>
      <c r="AZ208" s="422"/>
      <c r="BA208" s="422"/>
      <c r="BB208" s="422"/>
      <c r="BC208" s="422"/>
      <c r="BD208" s="422"/>
      <c r="BE208" s="422"/>
      <c r="BF208" s="422"/>
      <c r="BG208" s="422"/>
      <c r="BH208" s="422"/>
      <c r="BI208" s="422"/>
      <c r="BJ208" s="423">
        <f t="shared" ref="BJ208:BR208" si="563">$I208*BJ$2</f>
        <v>857.627604166664</v>
      </c>
      <c r="BK208" s="423">
        <f t="shared" si="563"/>
        <v>857.627604166664</v>
      </c>
      <c r="BL208" s="423">
        <f t="shared" si="563"/>
        <v>857.627604166664</v>
      </c>
      <c r="BM208" s="423">
        <f t="shared" si="563"/>
        <v>857.627604166664</v>
      </c>
      <c r="BN208" s="423">
        <f t="shared" si="563"/>
        <v>857.627604166664</v>
      </c>
      <c r="BO208" s="423">
        <f t="shared" si="563"/>
        <v>857.627604166664</v>
      </c>
      <c r="BP208" s="423">
        <f t="shared" si="563"/>
        <v>857.627604166664</v>
      </c>
      <c r="BQ208" s="423">
        <f t="shared" si="563"/>
        <v>857.627604166664</v>
      </c>
      <c r="BR208" s="423">
        <f t="shared" si="563"/>
        <v>145.979166666666</v>
      </c>
      <c r="BT208" s="59">
        <f t="shared" ref="BT208:CB208" si="564">BT207-BJ208</f>
        <v>75617.1328125001</v>
      </c>
      <c r="BU208" s="59">
        <f t="shared" si="564"/>
        <v>75617.1328125001</v>
      </c>
      <c r="BV208" s="59">
        <f t="shared" si="564"/>
        <v>75617.1328125001</v>
      </c>
      <c r="BW208" s="59">
        <f t="shared" si="564"/>
        <v>75617.1328125001</v>
      </c>
      <c r="BX208" s="59">
        <f t="shared" si="564"/>
        <v>75617.1328125001</v>
      </c>
      <c r="BY208" s="59">
        <f t="shared" si="564"/>
        <v>75617.1328125001</v>
      </c>
      <c r="BZ208" s="59">
        <f t="shared" si="564"/>
        <v>75617.1328125001</v>
      </c>
      <c r="CA208" s="59">
        <f t="shared" si="564"/>
        <v>75617.1328125001</v>
      </c>
      <c r="CB208" s="59">
        <f t="shared" si="564"/>
        <v>12822.9375</v>
      </c>
    </row>
    <row r="209" s="371" customFormat="1" ht="27" hidden="1" customHeight="1" spans="1:80">
      <c r="A209" s="410">
        <v>45825</v>
      </c>
      <c r="B209" s="411" t="s">
        <v>1187</v>
      </c>
      <c r="C209" s="412" t="s">
        <v>985</v>
      </c>
      <c r="D209" s="413">
        <v>4500170167</v>
      </c>
      <c r="E209" s="412" t="s">
        <v>1188</v>
      </c>
      <c r="F209" s="411" t="s">
        <v>1189</v>
      </c>
      <c r="G209" s="414" t="s">
        <v>78</v>
      </c>
      <c r="H209" s="411" t="s">
        <v>79</v>
      </c>
      <c r="I209" s="415">
        <v>2052</v>
      </c>
      <c r="J209" s="415">
        <v>0</v>
      </c>
      <c r="K209" s="415">
        <v>54</v>
      </c>
      <c r="L209" s="415">
        <f t="shared" si="553"/>
        <v>38</v>
      </c>
      <c r="M209" s="416">
        <v>45891</v>
      </c>
      <c r="N209" s="416">
        <v>45887</v>
      </c>
      <c r="O209" s="417"/>
      <c r="P209" s="417" t="s">
        <v>224</v>
      </c>
      <c r="Q209" s="417" t="s">
        <v>1190</v>
      </c>
      <c r="R209" s="417">
        <v>45827</v>
      </c>
      <c r="S209" s="417" t="s">
        <v>80</v>
      </c>
      <c r="T209" s="417" t="s">
        <v>1191</v>
      </c>
      <c r="U209" s="417"/>
      <c r="V209" s="420" t="s">
        <v>1192</v>
      </c>
      <c r="W209" s="416" t="s">
        <v>228</v>
      </c>
      <c r="X209" s="421">
        <v>0.7741</v>
      </c>
      <c r="Y209" s="415">
        <f t="shared" si="482"/>
        <v>1588.4532</v>
      </c>
      <c r="Z209" s="416" t="s">
        <v>1193</v>
      </c>
      <c r="AA209" s="420">
        <v>2052</v>
      </c>
      <c r="AB209" s="420">
        <f t="shared" si="449"/>
        <v>0</v>
      </c>
      <c r="AC209" s="417" t="s">
        <v>113</v>
      </c>
      <c r="AD209" s="417" t="s">
        <v>114</v>
      </c>
      <c r="AE209" s="416" t="s">
        <v>230</v>
      </c>
      <c r="AF209" s="416" t="s">
        <v>115</v>
      </c>
      <c r="AG209" s="422">
        <f t="shared" si="554"/>
        <v>2052</v>
      </c>
      <c r="AH209" s="422"/>
      <c r="AI209" s="422">
        <f t="shared" si="555"/>
        <v>2052</v>
      </c>
      <c r="AJ209" s="422"/>
      <c r="AK209" s="422"/>
      <c r="AL209" s="422">
        <f>I209</f>
        <v>2052</v>
      </c>
      <c r="AM209" s="422"/>
      <c r="AN209" s="422"/>
      <c r="AO209" s="422">
        <f t="shared" si="557"/>
        <v>2052</v>
      </c>
      <c r="AP209" s="422"/>
      <c r="AQ209" s="422"/>
      <c r="AS209" s="422">
        <f>I209/27</f>
        <v>76</v>
      </c>
      <c r="AT209" s="422"/>
      <c r="AU209" s="422"/>
      <c r="AV209" s="422"/>
      <c r="AW209" s="422"/>
      <c r="AX209" s="422"/>
      <c r="AY209" s="422"/>
      <c r="AZ209" s="422"/>
      <c r="BA209" s="422"/>
      <c r="BB209" s="422"/>
      <c r="BC209" s="422"/>
      <c r="BD209" s="422"/>
      <c r="BE209" s="422"/>
      <c r="BF209" s="422"/>
      <c r="BG209" s="422"/>
      <c r="BH209" s="422"/>
      <c r="BI209" s="422"/>
      <c r="BJ209" s="423">
        <f t="shared" ref="BJ209:BR209" si="565">$I209*BJ$2</f>
        <v>251.156249999999</v>
      </c>
      <c r="BK209" s="423">
        <f t="shared" si="565"/>
        <v>251.156249999999</v>
      </c>
      <c r="BL209" s="423">
        <f t="shared" si="565"/>
        <v>251.156249999999</v>
      </c>
      <c r="BM209" s="423">
        <f t="shared" si="565"/>
        <v>251.156249999999</v>
      </c>
      <c r="BN209" s="423">
        <f t="shared" si="565"/>
        <v>251.156249999999</v>
      </c>
      <c r="BO209" s="423">
        <f t="shared" si="565"/>
        <v>251.156249999999</v>
      </c>
      <c r="BP209" s="423">
        <f t="shared" si="565"/>
        <v>251.156249999999</v>
      </c>
      <c r="BQ209" s="423">
        <f t="shared" si="565"/>
        <v>251.156249999999</v>
      </c>
      <c r="BR209" s="423">
        <f t="shared" si="565"/>
        <v>42.7499999999999</v>
      </c>
      <c r="BT209" s="59">
        <f t="shared" ref="BT209:CB209" si="566">BT208-BJ209</f>
        <v>75365.9765625001</v>
      </c>
      <c r="BU209" s="59">
        <f t="shared" si="566"/>
        <v>75365.9765625001</v>
      </c>
      <c r="BV209" s="59">
        <f t="shared" si="566"/>
        <v>75365.9765625001</v>
      </c>
      <c r="BW209" s="59">
        <f t="shared" si="566"/>
        <v>75365.9765625001</v>
      </c>
      <c r="BX209" s="59">
        <f t="shared" si="566"/>
        <v>75365.9765625001</v>
      </c>
      <c r="BY209" s="59">
        <f t="shared" si="566"/>
        <v>75365.9765625001</v>
      </c>
      <c r="BZ209" s="59">
        <f t="shared" si="566"/>
        <v>75365.9765625001</v>
      </c>
      <c r="CA209" s="59">
        <f t="shared" si="566"/>
        <v>75365.9765625001</v>
      </c>
      <c r="CB209" s="59">
        <f t="shared" si="566"/>
        <v>12780.1875</v>
      </c>
    </row>
    <row r="210" s="371" customFormat="1" ht="27" hidden="1" customHeight="1" spans="1:80">
      <c r="A210" s="410">
        <v>45841</v>
      </c>
      <c r="B210" s="411" t="s">
        <v>103</v>
      </c>
      <c r="C210" s="412" t="s">
        <v>104</v>
      </c>
      <c r="D210" s="413">
        <v>4500172669</v>
      </c>
      <c r="E210" s="412">
        <v>84443</v>
      </c>
      <c r="F210" s="411" t="s">
        <v>1194</v>
      </c>
      <c r="G210" s="414" t="s">
        <v>131</v>
      </c>
      <c r="H210" s="411" t="s">
        <v>132</v>
      </c>
      <c r="I210" s="415">
        <v>1350</v>
      </c>
      <c r="J210" s="415">
        <v>0</v>
      </c>
      <c r="K210" s="415">
        <v>27</v>
      </c>
      <c r="L210" s="415">
        <f t="shared" si="553"/>
        <v>50</v>
      </c>
      <c r="M210" s="416">
        <v>45890</v>
      </c>
      <c r="N210" s="416">
        <v>45887</v>
      </c>
      <c r="O210" s="417"/>
      <c r="P210" s="417" t="s">
        <v>224</v>
      </c>
      <c r="Q210" s="417" t="s">
        <v>1195</v>
      </c>
      <c r="R210" s="417">
        <v>45842</v>
      </c>
      <c r="S210" s="453" t="s">
        <v>80</v>
      </c>
      <c r="T210" s="417" t="s">
        <v>1196</v>
      </c>
      <c r="U210" s="417"/>
      <c r="V210" s="420" t="s">
        <v>1197</v>
      </c>
      <c r="W210" s="416" t="s">
        <v>214</v>
      </c>
      <c r="X210" s="421">
        <v>0.7738</v>
      </c>
      <c r="Y210" s="415">
        <f t="shared" si="482"/>
        <v>1044.63</v>
      </c>
      <c r="Z210" s="416"/>
      <c r="AA210" s="420">
        <v>1350</v>
      </c>
      <c r="AB210" s="420">
        <f t="shared" si="449"/>
        <v>0</v>
      </c>
      <c r="AC210" s="371" t="s">
        <v>113</v>
      </c>
      <c r="AD210" s="417" t="s">
        <v>114</v>
      </c>
      <c r="AE210" s="416" t="s">
        <v>131</v>
      </c>
      <c r="AF210" s="417" t="s">
        <v>115</v>
      </c>
      <c r="AG210" s="422">
        <f t="shared" si="554"/>
        <v>1350</v>
      </c>
      <c r="AH210" s="422"/>
      <c r="AI210" s="422">
        <f t="shared" si="555"/>
        <v>1350</v>
      </c>
      <c r="AJ210" s="422"/>
      <c r="AK210" s="422">
        <f t="shared" ref="AK210:AK238" si="567">I210</f>
        <v>1350</v>
      </c>
      <c r="AL210" s="422"/>
      <c r="AM210" s="422"/>
      <c r="AN210" s="422"/>
      <c r="AO210" s="422">
        <f t="shared" si="557"/>
        <v>1350</v>
      </c>
      <c r="AP210" s="422"/>
      <c r="AQ210" s="422">
        <f>I210/27</f>
        <v>50</v>
      </c>
      <c r="AR210" s="422"/>
      <c r="AS210" s="422"/>
      <c r="AT210" s="422"/>
      <c r="AU210" s="422"/>
      <c r="AV210" s="422"/>
      <c r="AW210" s="422"/>
      <c r="AX210" s="422"/>
      <c r="AY210" s="422"/>
      <c r="AZ210" s="422"/>
      <c r="BA210" s="422"/>
      <c r="BB210" s="422"/>
      <c r="BC210" s="422"/>
      <c r="BD210" s="422"/>
      <c r="BE210" s="422"/>
      <c r="BF210" s="422"/>
      <c r="BG210" s="422"/>
      <c r="BH210" s="422"/>
      <c r="BI210" s="422"/>
      <c r="BJ210" s="423">
        <f t="shared" ref="BJ210:BR210" si="568">$I210*BJ$2</f>
        <v>165.234375</v>
      </c>
      <c r="BK210" s="423">
        <f t="shared" si="568"/>
        <v>165.234375</v>
      </c>
      <c r="BL210" s="423">
        <f t="shared" si="568"/>
        <v>165.234375</v>
      </c>
      <c r="BM210" s="423">
        <f t="shared" si="568"/>
        <v>165.234375</v>
      </c>
      <c r="BN210" s="423">
        <f t="shared" si="568"/>
        <v>165.234375</v>
      </c>
      <c r="BO210" s="423">
        <f t="shared" si="568"/>
        <v>165.234375</v>
      </c>
      <c r="BP210" s="423">
        <f t="shared" si="568"/>
        <v>165.234375</v>
      </c>
      <c r="BQ210" s="423">
        <f t="shared" si="568"/>
        <v>165.234375</v>
      </c>
      <c r="BR210" s="423">
        <f t="shared" si="568"/>
        <v>28.125</v>
      </c>
      <c r="BT210" s="59">
        <f t="shared" ref="BT210:CB210" si="569">BT209-BJ210</f>
        <v>75200.7421875001</v>
      </c>
      <c r="BU210" s="59">
        <f t="shared" si="569"/>
        <v>75200.7421875001</v>
      </c>
      <c r="BV210" s="59">
        <f t="shared" si="569"/>
        <v>75200.7421875001</v>
      </c>
      <c r="BW210" s="59">
        <f t="shared" si="569"/>
        <v>75200.7421875001</v>
      </c>
      <c r="BX210" s="59">
        <f t="shared" si="569"/>
        <v>75200.7421875001</v>
      </c>
      <c r="BY210" s="59">
        <f t="shared" si="569"/>
        <v>75200.7421875001</v>
      </c>
      <c r="BZ210" s="59">
        <f t="shared" si="569"/>
        <v>75200.7421875001</v>
      </c>
      <c r="CA210" s="59">
        <f t="shared" si="569"/>
        <v>75200.7421875001</v>
      </c>
      <c r="CB210" s="59">
        <f t="shared" si="569"/>
        <v>12752.0625</v>
      </c>
    </row>
    <row r="211" s="371" customFormat="1" ht="27" hidden="1" customHeight="1" spans="1:80">
      <c r="A211" s="410">
        <v>45836</v>
      </c>
      <c r="B211" s="411" t="s">
        <v>1170</v>
      </c>
      <c r="C211" s="412" t="s">
        <v>117</v>
      </c>
      <c r="D211" s="413">
        <v>4500171859</v>
      </c>
      <c r="E211" s="412">
        <v>70073083</v>
      </c>
      <c r="F211" s="411" t="s">
        <v>1198</v>
      </c>
      <c r="G211" s="414" t="s">
        <v>188</v>
      </c>
      <c r="H211" s="411" t="s">
        <v>120</v>
      </c>
      <c r="I211" s="415">
        <v>300</v>
      </c>
      <c r="J211" s="415">
        <v>0</v>
      </c>
      <c r="K211" s="415">
        <v>12</v>
      </c>
      <c r="L211" s="415">
        <f t="shared" si="553"/>
        <v>25</v>
      </c>
      <c r="M211" s="416">
        <v>45891</v>
      </c>
      <c r="N211" s="416">
        <v>45887</v>
      </c>
      <c r="O211" s="417"/>
      <c r="P211" s="417" t="s">
        <v>224</v>
      </c>
      <c r="Q211" s="417" t="s">
        <v>1199</v>
      </c>
      <c r="R211" s="417">
        <v>45846</v>
      </c>
      <c r="S211" s="417" t="s">
        <v>80</v>
      </c>
      <c r="T211" s="453" t="s">
        <v>1200</v>
      </c>
      <c r="U211" s="417"/>
      <c r="V211" s="420" t="s">
        <v>1173</v>
      </c>
      <c r="W211" s="416" t="s">
        <v>1174</v>
      </c>
      <c r="X211" s="421">
        <v>1.1176</v>
      </c>
      <c r="Y211" s="415">
        <f t="shared" si="482"/>
        <v>335.28</v>
      </c>
      <c r="Z211" s="416"/>
      <c r="AA211" s="420">
        <v>300</v>
      </c>
      <c r="AB211" s="420">
        <f t="shared" si="449"/>
        <v>0</v>
      </c>
      <c r="AC211" s="417" t="s">
        <v>113</v>
      </c>
      <c r="AD211" s="417" t="s">
        <v>114</v>
      </c>
      <c r="AE211" s="416" t="s">
        <v>119</v>
      </c>
      <c r="AF211" s="416" t="s">
        <v>115</v>
      </c>
      <c r="AG211" s="422">
        <f>I211*2</f>
        <v>600</v>
      </c>
      <c r="AH211" s="422"/>
      <c r="AI211" s="422">
        <f>I211*2</f>
        <v>600</v>
      </c>
      <c r="AJ211" s="422"/>
      <c r="AK211" s="422">
        <f>I211*2</f>
        <v>600</v>
      </c>
      <c r="AL211" s="422"/>
      <c r="AM211" s="422"/>
      <c r="AN211" s="422"/>
      <c r="AO211" s="422">
        <f>I211*2</f>
        <v>600</v>
      </c>
      <c r="AP211" s="422"/>
      <c r="AQ211" s="422"/>
      <c r="AR211" s="422"/>
      <c r="AS211" s="422"/>
      <c r="AT211" s="422"/>
      <c r="AU211" s="422"/>
      <c r="AV211" s="422"/>
      <c r="AW211" s="422"/>
      <c r="AX211" s="422"/>
      <c r="AY211" s="422"/>
      <c r="AZ211" s="422"/>
      <c r="BA211" s="422"/>
      <c r="BB211" s="422"/>
      <c r="BC211" s="422"/>
      <c r="BD211" s="422"/>
      <c r="BE211" s="422"/>
      <c r="BF211" s="422">
        <f>I211</f>
        <v>300</v>
      </c>
      <c r="BG211" s="422">
        <f>I211</f>
        <v>300</v>
      </c>
      <c r="BH211" s="422"/>
      <c r="BI211" s="422"/>
      <c r="BJ211" s="423">
        <f t="shared" ref="BJ211:BR211" si="570">$I211*BJ$2*2</f>
        <v>73.4374999999998</v>
      </c>
      <c r="BK211" s="423">
        <f t="shared" si="570"/>
        <v>73.4374999999998</v>
      </c>
      <c r="BL211" s="423">
        <f t="shared" si="570"/>
        <v>73.4374999999998</v>
      </c>
      <c r="BM211" s="423">
        <f t="shared" si="570"/>
        <v>73.4374999999998</v>
      </c>
      <c r="BN211" s="423">
        <f t="shared" si="570"/>
        <v>73.4374999999998</v>
      </c>
      <c r="BO211" s="423">
        <f t="shared" si="570"/>
        <v>73.4374999999998</v>
      </c>
      <c r="BP211" s="423">
        <f t="shared" si="570"/>
        <v>73.4374999999998</v>
      </c>
      <c r="BQ211" s="423">
        <f t="shared" si="570"/>
        <v>73.4374999999998</v>
      </c>
      <c r="BR211" s="423">
        <f t="shared" si="570"/>
        <v>12.5</v>
      </c>
      <c r="BT211" s="59">
        <f t="shared" ref="BT211:CB211" si="571">BT210-BJ211</f>
        <v>75127.3046875001</v>
      </c>
      <c r="BU211" s="59">
        <f t="shared" si="571"/>
        <v>75127.3046875001</v>
      </c>
      <c r="BV211" s="59">
        <f t="shared" si="571"/>
        <v>75127.3046875001</v>
      </c>
      <c r="BW211" s="59">
        <f t="shared" si="571"/>
        <v>75127.3046875001</v>
      </c>
      <c r="BX211" s="59">
        <f t="shared" si="571"/>
        <v>75127.3046875001</v>
      </c>
      <c r="BY211" s="59">
        <f t="shared" si="571"/>
        <v>75127.3046875001</v>
      </c>
      <c r="BZ211" s="59">
        <f t="shared" si="571"/>
        <v>75127.3046875001</v>
      </c>
      <c r="CA211" s="59">
        <f t="shared" si="571"/>
        <v>75127.3046875001</v>
      </c>
      <c r="CB211" s="59">
        <f t="shared" si="571"/>
        <v>12739.5625</v>
      </c>
    </row>
    <row r="212" s="371" customFormat="1" ht="27" hidden="1" customHeight="1" spans="1:80">
      <c r="A212" s="410">
        <v>45855</v>
      </c>
      <c r="B212" s="411" t="s">
        <v>415</v>
      </c>
      <c r="C212" s="412" t="s">
        <v>83</v>
      </c>
      <c r="D212" s="413" t="s">
        <v>1201</v>
      </c>
      <c r="E212" s="412" t="s">
        <v>1202</v>
      </c>
      <c r="F212" s="411"/>
      <c r="G212" s="414" t="s">
        <v>94</v>
      </c>
      <c r="H212" s="411" t="s">
        <v>211</v>
      </c>
      <c r="I212" s="415">
        <v>260</v>
      </c>
      <c r="J212" s="415">
        <v>0</v>
      </c>
      <c r="K212" s="415">
        <v>52</v>
      </c>
      <c r="L212" s="415">
        <f t="shared" si="553"/>
        <v>5</v>
      </c>
      <c r="M212" s="416">
        <v>45899</v>
      </c>
      <c r="N212" s="416">
        <v>45895</v>
      </c>
      <c r="O212" s="417"/>
      <c r="P212" s="417" t="s">
        <v>224</v>
      </c>
      <c r="Q212" s="417" t="s">
        <v>1203</v>
      </c>
      <c r="R212" s="417" t="s">
        <v>1204</v>
      </c>
      <c r="S212" s="417" t="s">
        <v>80</v>
      </c>
      <c r="T212" s="453" t="s">
        <v>1205</v>
      </c>
      <c r="U212" s="417"/>
      <c r="V212" s="420" t="s">
        <v>1206</v>
      </c>
      <c r="W212" s="416" t="s">
        <v>1207</v>
      </c>
      <c r="X212" s="421">
        <v>0.86</v>
      </c>
      <c r="Y212" s="415">
        <f t="shared" si="482"/>
        <v>223.6</v>
      </c>
      <c r="Z212" s="416" t="s">
        <v>1208</v>
      </c>
      <c r="AA212" s="420">
        <v>260</v>
      </c>
      <c r="AB212" s="420">
        <f t="shared" si="449"/>
        <v>0</v>
      </c>
      <c r="AC212" s="417" t="s">
        <v>113</v>
      </c>
      <c r="AD212" s="417" t="s">
        <v>114</v>
      </c>
      <c r="AE212" s="416" t="s">
        <v>94</v>
      </c>
      <c r="AF212" s="416" t="s">
        <v>115</v>
      </c>
      <c r="AG212" s="422">
        <f t="shared" ref="AG212:AG238" si="572">I212</f>
        <v>260</v>
      </c>
      <c r="AH212" s="422"/>
      <c r="AI212" s="422">
        <f t="shared" ref="AI212:AI238" si="573">I212</f>
        <v>260</v>
      </c>
      <c r="AJ212" s="422"/>
      <c r="AK212" s="422">
        <f t="shared" si="567"/>
        <v>260</v>
      </c>
      <c r="AL212" s="422"/>
      <c r="AM212" s="422"/>
      <c r="AN212" s="422"/>
      <c r="AO212" s="422">
        <f t="shared" ref="AO212:AO238" si="574">I212</f>
        <v>260</v>
      </c>
      <c r="AP212" s="422"/>
      <c r="AQ212" s="422"/>
      <c r="AR212" s="422"/>
      <c r="AS212" s="422"/>
      <c r="AT212" s="422">
        <f t="shared" ref="AT212:AT220" si="575">I212/13</f>
        <v>20</v>
      </c>
      <c r="AU212" s="422"/>
      <c r="AV212" s="422"/>
      <c r="AW212" s="422"/>
      <c r="AX212" s="422"/>
      <c r="AY212" s="422"/>
      <c r="AZ212" s="422"/>
      <c r="BA212" s="422"/>
      <c r="BB212" s="422"/>
      <c r="BC212" s="422"/>
      <c r="BD212" s="422"/>
      <c r="BE212" s="422"/>
      <c r="BF212" s="422"/>
      <c r="BG212" s="422"/>
      <c r="BH212" s="422"/>
      <c r="BI212" s="422"/>
      <c r="BJ212" s="423">
        <f t="shared" ref="BJ212:BR212" si="576">$I212*BJ$2</f>
        <v>31.8229166666666</v>
      </c>
      <c r="BK212" s="423">
        <f t="shared" si="576"/>
        <v>31.8229166666666</v>
      </c>
      <c r="BL212" s="423">
        <f t="shared" si="576"/>
        <v>31.8229166666666</v>
      </c>
      <c r="BM212" s="423">
        <f t="shared" si="576"/>
        <v>31.8229166666666</v>
      </c>
      <c r="BN212" s="423">
        <f t="shared" si="576"/>
        <v>31.8229166666666</v>
      </c>
      <c r="BO212" s="423">
        <f t="shared" si="576"/>
        <v>31.8229166666666</v>
      </c>
      <c r="BP212" s="423">
        <f t="shared" si="576"/>
        <v>31.8229166666666</v>
      </c>
      <c r="BQ212" s="423">
        <f t="shared" si="576"/>
        <v>31.8229166666666</v>
      </c>
      <c r="BR212" s="423">
        <f t="shared" si="576"/>
        <v>5.41666666666666</v>
      </c>
      <c r="BT212" s="59">
        <f t="shared" ref="BT212:CB212" si="577">BT211-BJ212</f>
        <v>75095.4817708334</v>
      </c>
      <c r="BU212" s="59">
        <f t="shared" si="577"/>
        <v>75095.4817708334</v>
      </c>
      <c r="BV212" s="59">
        <f t="shared" si="577"/>
        <v>75095.4817708334</v>
      </c>
      <c r="BW212" s="59">
        <f t="shared" si="577"/>
        <v>75095.4817708334</v>
      </c>
      <c r="BX212" s="59">
        <f t="shared" si="577"/>
        <v>75095.4817708334</v>
      </c>
      <c r="BY212" s="59">
        <f t="shared" si="577"/>
        <v>75095.4817708334</v>
      </c>
      <c r="BZ212" s="59">
        <f t="shared" si="577"/>
        <v>75095.4817708334</v>
      </c>
      <c r="CA212" s="59">
        <f t="shared" si="577"/>
        <v>75095.4817708334</v>
      </c>
      <c r="CB212" s="59">
        <f t="shared" si="577"/>
        <v>12734.1458333333</v>
      </c>
    </row>
    <row r="213" s="371" customFormat="1" ht="27" hidden="1" customHeight="1" spans="1:80">
      <c r="A213" s="410">
        <v>45847</v>
      </c>
      <c r="B213" s="411" t="s">
        <v>415</v>
      </c>
      <c r="C213" s="412" t="s">
        <v>83</v>
      </c>
      <c r="D213" s="413" t="s">
        <v>1209</v>
      </c>
      <c r="E213" s="412" t="s">
        <v>1210</v>
      </c>
      <c r="F213" s="411"/>
      <c r="G213" s="414" t="s">
        <v>94</v>
      </c>
      <c r="H213" s="411" t="s">
        <v>211</v>
      </c>
      <c r="I213" s="415">
        <v>1040</v>
      </c>
      <c r="J213" s="415">
        <v>0</v>
      </c>
      <c r="K213" s="415">
        <v>52</v>
      </c>
      <c r="L213" s="415">
        <f t="shared" si="553"/>
        <v>20</v>
      </c>
      <c r="M213" s="416">
        <v>45899</v>
      </c>
      <c r="N213" s="416">
        <v>45899</v>
      </c>
      <c r="O213" s="417"/>
      <c r="P213" s="417" t="s">
        <v>107</v>
      </c>
      <c r="Q213" s="417" t="s">
        <v>1211</v>
      </c>
      <c r="R213" s="417" t="s">
        <v>1212</v>
      </c>
      <c r="S213" s="417" t="s">
        <v>80</v>
      </c>
      <c r="T213" s="453" t="s">
        <v>1213</v>
      </c>
      <c r="U213" s="417"/>
      <c r="V213" s="420" t="s">
        <v>1214</v>
      </c>
      <c r="W213" s="416" t="s">
        <v>1207</v>
      </c>
      <c r="X213" s="421">
        <v>0.86</v>
      </c>
      <c r="Y213" s="415">
        <f t="shared" si="482"/>
        <v>894.4</v>
      </c>
      <c r="Z213" s="416" t="s">
        <v>1215</v>
      </c>
      <c r="AA213" s="420">
        <v>1040</v>
      </c>
      <c r="AB213" s="420">
        <f t="shared" si="449"/>
        <v>0</v>
      </c>
      <c r="AC213" s="506" t="s">
        <v>113</v>
      </c>
      <c r="AD213" s="417" t="s">
        <v>114</v>
      </c>
      <c r="AE213" s="416" t="s">
        <v>94</v>
      </c>
      <c r="AF213" s="416" t="s">
        <v>115</v>
      </c>
      <c r="AG213" s="422">
        <f t="shared" si="572"/>
        <v>1040</v>
      </c>
      <c r="AH213" s="422"/>
      <c r="AI213" s="422">
        <f t="shared" si="573"/>
        <v>1040</v>
      </c>
      <c r="AJ213" s="422"/>
      <c r="AK213" s="422">
        <f t="shared" si="567"/>
        <v>1040</v>
      </c>
      <c r="AL213" s="422"/>
      <c r="AM213" s="422"/>
      <c r="AN213" s="422"/>
      <c r="AO213" s="422">
        <f t="shared" si="574"/>
        <v>1040</v>
      </c>
      <c r="AP213" s="422"/>
      <c r="AQ213" s="422"/>
      <c r="AR213" s="422"/>
      <c r="AS213" s="422"/>
      <c r="AT213" s="422">
        <f t="shared" si="575"/>
        <v>80</v>
      </c>
      <c r="AU213" s="422"/>
      <c r="AV213" s="422"/>
      <c r="AW213" s="422"/>
      <c r="AX213" s="422"/>
      <c r="AY213" s="422"/>
      <c r="AZ213" s="422"/>
      <c r="BA213" s="422"/>
      <c r="BB213" s="422"/>
      <c r="BC213" s="422"/>
      <c r="BD213" s="422"/>
      <c r="BE213" s="422"/>
      <c r="BF213" s="422"/>
      <c r="BG213" s="422"/>
      <c r="BH213" s="422"/>
      <c r="BI213" s="422"/>
      <c r="BJ213" s="423">
        <f t="shared" ref="BJ213:BR213" si="578">$I213*BJ$2</f>
        <v>127.291666666666</v>
      </c>
      <c r="BK213" s="423">
        <f t="shared" si="578"/>
        <v>127.291666666666</v>
      </c>
      <c r="BL213" s="423">
        <f t="shared" si="578"/>
        <v>127.291666666666</v>
      </c>
      <c r="BM213" s="423">
        <f t="shared" si="578"/>
        <v>127.291666666666</v>
      </c>
      <c r="BN213" s="423">
        <f t="shared" si="578"/>
        <v>127.291666666666</v>
      </c>
      <c r="BO213" s="423">
        <f t="shared" si="578"/>
        <v>127.291666666666</v>
      </c>
      <c r="BP213" s="423">
        <f t="shared" si="578"/>
        <v>127.291666666666</v>
      </c>
      <c r="BQ213" s="423">
        <f t="shared" si="578"/>
        <v>127.291666666666</v>
      </c>
      <c r="BR213" s="423">
        <f t="shared" si="578"/>
        <v>21.6666666666666</v>
      </c>
      <c r="BT213" s="59">
        <f t="shared" ref="BT213:CB213" si="579">BT212-BJ213</f>
        <v>74968.1901041667</v>
      </c>
      <c r="BU213" s="59">
        <f t="shared" si="579"/>
        <v>74968.1901041667</v>
      </c>
      <c r="BV213" s="59">
        <f t="shared" si="579"/>
        <v>74968.1901041667</v>
      </c>
      <c r="BW213" s="59">
        <f t="shared" si="579"/>
        <v>74968.1901041667</v>
      </c>
      <c r="BX213" s="59">
        <f t="shared" si="579"/>
        <v>74968.1901041667</v>
      </c>
      <c r="BY213" s="59">
        <f t="shared" si="579"/>
        <v>74968.1901041667</v>
      </c>
      <c r="BZ213" s="59">
        <f t="shared" si="579"/>
        <v>74968.1901041667</v>
      </c>
      <c r="CA213" s="59">
        <f t="shared" si="579"/>
        <v>74968.1901041667</v>
      </c>
      <c r="CB213" s="59">
        <f t="shared" si="579"/>
        <v>12712.4791666667</v>
      </c>
    </row>
    <row r="214" s="371" customFormat="1" ht="27" hidden="1" customHeight="1" spans="1:80">
      <c r="A214" s="410">
        <v>45847</v>
      </c>
      <c r="B214" s="411" t="s">
        <v>415</v>
      </c>
      <c r="C214" s="412" t="s">
        <v>83</v>
      </c>
      <c r="D214" s="413" t="s">
        <v>1209</v>
      </c>
      <c r="E214" s="412" t="s">
        <v>1210</v>
      </c>
      <c r="F214" s="411"/>
      <c r="G214" s="414" t="s">
        <v>94</v>
      </c>
      <c r="H214" s="411" t="s">
        <v>211</v>
      </c>
      <c r="I214" s="415">
        <v>1040</v>
      </c>
      <c r="J214" s="415">
        <v>0</v>
      </c>
      <c r="K214" s="415">
        <v>52</v>
      </c>
      <c r="L214" s="415">
        <f t="shared" si="553"/>
        <v>20</v>
      </c>
      <c r="M214" s="416">
        <v>45899</v>
      </c>
      <c r="N214" s="416">
        <v>45899</v>
      </c>
      <c r="O214" s="417"/>
      <c r="P214" s="417" t="s">
        <v>107</v>
      </c>
      <c r="Q214" s="417" t="s">
        <v>1211</v>
      </c>
      <c r="R214" s="417" t="s">
        <v>1212</v>
      </c>
      <c r="S214" s="417" t="s">
        <v>80</v>
      </c>
      <c r="T214" s="453" t="s">
        <v>1213</v>
      </c>
      <c r="U214" s="417"/>
      <c r="V214" s="420" t="s">
        <v>1214</v>
      </c>
      <c r="W214" s="416" t="s">
        <v>1207</v>
      </c>
      <c r="X214" s="421">
        <v>0.86</v>
      </c>
      <c r="Y214" s="415">
        <f t="shared" si="482"/>
        <v>894.4</v>
      </c>
      <c r="Z214" s="416" t="s">
        <v>1215</v>
      </c>
      <c r="AA214" s="420">
        <v>1040</v>
      </c>
      <c r="AB214" s="420">
        <f t="shared" si="449"/>
        <v>0</v>
      </c>
      <c r="AC214" s="513"/>
      <c r="AD214" s="417" t="s">
        <v>114</v>
      </c>
      <c r="AE214" s="416" t="s">
        <v>94</v>
      </c>
      <c r="AF214" s="416" t="s">
        <v>115</v>
      </c>
      <c r="AG214" s="422">
        <f t="shared" si="572"/>
        <v>1040</v>
      </c>
      <c r="AH214" s="422"/>
      <c r="AI214" s="422">
        <f t="shared" si="573"/>
        <v>1040</v>
      </c>
      <c r="AJ214" s="422"/>
      <c r="AK214" s="422">
        <f t="shared" si="567"/>
        <v>1040</v>
      </c>
      <c r="AL214" s="422"/>
      <c r="AM214" s="422"/>
      <c r="AN214" s="422"/>
      <c r="AO214" s="422">
        <f t="shared" si="574"/>
        <v>1040</v>
      </c>
      <c r="AP214" s="422"/>
      <c r="AQ214" s="422"/>
      <c r="AR214" s="422"/>
      <c r="AS214" s="422"/>
      <c r="AT214" s="422">
        <f t="shared" si="575"/>
        <v>80</v>
      </c>
      <c r="AU214" s="422"/>
      <c r="AV214" s="422"/>
      <c r="AW214" s="422"/>
      <c r="AX214" s="422"/>
      <c r="AY214" s="422"/>
      <c r="AZ214" s="422"/>
      <c r="BA214" s="422"/>
      <c r="BB214" s="422"/>
      <c r="BC214" s="422"/>
      <c r="BD214" s="422"/>
      <c r="BE214" s="422"/>
      <c r="BF214" s="422"/>
      <c r="BG214" s="422"/>
      <c r="BH214" s="422"/>
      <c r="BI214" s="422"/>
      <c r="BJ214" s="423">
        <f t="shared" ref="BJ214:BR214" si="580">$I214*BJ$2</f>
        <v>127.291666666666</v>
      </c>
      <c r="BK214" s="423">
        <f t="shared" si="580"/>
        <v>127.291666666666</v>
      </c>
      <c r="BL214" s="423">
        <f t="shared" si="580"/>
        <v>127.291666666666</v>
      </c>
      <c r="BM214" s="423">
        <f t="shared" si="580"/>
        <v>127.291666666666</v>
      </c>
      <c r="BN214" s="423">
        <f t="shared" si="580"/>
        <v>127.291666666666</v>
      </c>
      <c r="BO214" s="423">
        <f t="shared" si="580"/>
        <v>127.291666666666</v>
      </c>
      <c r="BP214" s="423">
        <f t="shared" si="580"/>
        <v>127.291666666666</v>
      </c>
      <c r="BQ214" s="423">
        <f t="shared" si="580"/>
        <v>127.291666666666</v>
      </c>
      <c r="BR214" s="423">
        <f t="shared" si="580"/>
        <v>21.6666666666666</v>
      </c>
      <c r="BT214" s="59">
        <f t="shared" ref="BT214:CB214" si="581">BT213-BJ214</f>
        <v>74840.8984375001</v>
      </c>
      <c r="BU214" s="59">
        <f t="shared" si="581"/>
        <v>74840.8984375001</v>
      </c>
      <c r="BV214" s="59">
        <f t="shared" si="581"/>
        <v>74840.8984375001</v>
      </c>
      <c r="BW214" s="59">
        <f t="shared" si="581"/>
        <v>74840.8984375001</v>
      </c>
      <c r="BX214" s="59">
        <f t="shared" si="581"/>
        <v>74840.8984375001</v>
      </c>
      <c r="BY214" s="59">
        <f t="shared" si="581"/>
        <v>74840.8984375001</v>
      </c>
      <c r="BZ214" s="59">
        <f t="shared" si="581"/>
        <v>74840.8984375001</v>
      </c>
      <c r="CA214" s="59">
        <f t="shared" si="581"/>
        <v>74840.8984375001</v>
      </c>
      <c r="CB214" s="59">
        <f t="shared" si="581"/>
        <v>12690.8125</v>
      </c>
    </row>
    <row r="215" s="371" customFormat="1" ht="27" hidden="1" customHeight="1" spans="1:80">
      <c r="A215" s="410">
        <v>45847</v>
      </c>
      <c r="B215" s="411" t="s">
        <v>415</v>
      </c>
      <c r="C215" s="412" t="s">
        <v>83</v>
      </c>
      <c r="D215" s="413" t="s">
        <v>1209</v>
      </c>
      <c r="E215" s="412" t="s">
        <v>1210</v>
      </c>
      <c r="F215" s="411"/>
      <c r="G215" s="414" t="s">
        <v>94</v>
      </c>
      <c r="H215" s="411" t="s">
        <v>211</v>
      </c>
      <c r="I215" s="415">
        <v>1040</v>
      </c>
      <c r="J215" s="415">
        <v>0</v>
      </c>
      <c r="K215" s="415">
        <v>52</v>
      </c>
      <c r="L215" s="415">
        <f t="shared" si="553"/>
        <v>20</v>
      </c>
      <c r="M215" s="416">
        <v>45899</v>
      </c>
      <c r="N215" s="416">
        <v>45899</v>
      </c>
      <c r="O215" s="417"/>
      <c r="P215" s="417" t="s">
        <v>107</v>
      </c>
      <c r="Q215" s="417" t="s">
        <v>1216</v>
      </c>
      <c r="R215" s="417" t="s">
        <v>1212</v>
      </c>
      <c r="S215" s="417" t="s">
        <v>80</v>
      </c>
      <c r="T215" s="453" t="s">
        <v>1213</v>
      </c>
      <c r="U215" s="417"/>
      <c r="V215" s="420" t="s">
        <v>1214</v>
      </c>
      <c r="W215" s="416" t="s">
        <v>1207</v>
      </c>
      <c r="X215" s="421">
        <v>0.86</v>
      </c>
      <c r="Y215" s="415">
        <f t="shared" si="482"/>
        <v>894.4</v>
      </c>
      <c r="Z215" s="416" t="s">
        <v>1215</v>
      </c>
      <c r="AA215" s="420">
        <v>1040</v>
      </c>
      <c r="AB215" s="420">
        <f t="shared" si="449"/>
        <v>0</v>
      </c>
      <c r="AC215" s="513"/>
      <c r="AD215" s="417" t="s">
        <v>114</v>
      </c>
      <c r="AE215" s="416" t="s">
        <v>94</v>
      </c>
      <c r="AF215" s="416" t="s">
        <v>115</v>
      </c>
      <c r="AG215" s="422">
        <f t="shared" si="572"/>
        <v>1040</v>
      </c>
      <c r="AH215" s="422"/>
      <c r="AI215" s="422">
        <f t="shared" si="573"/>
        <v>1040</v>
      </c>
      <c r="AJ215" s="422"/>
      <c r="AK215" s="422">
        <f t="shared" si="567"/>
        <v>1040</v>
      </c>
      <c r="AL215" s="422"/>
      <c r="AM215" s="422"/>
      <c r="AN215" s="422"/>
      <c r="AO215" s="422">
        <f t="shared" si="574"/>
        <v>1040</v>
      </c>
      <c r="AP215" s="422"/>
      <c r="AQ215" s="422"/>
      <c r="AR215" s="422"/>
      <c r="AS215" s="422"/>
      <c r="AT215" s="422">
        <f t="shared" si="575"/>
        <v>80</v>
      </c>
      <c r="AU215" s="422"/>
      <c r="AV215" s="422"/>
      <c r="AW215" s="422"/>
      <c r="AX215" s="422"/>
      <c r="AY215" s="422"/>
      <c r="AZ215" s="422"/>
      <c r="BA215" s="422"/>
      <c r="BB215" s="422"/>
      <c r="BC215" s="422"/>
      <c r="BD215" s="422"/>
      <c r="BE215" s="422"/>
      <c r="BF215" s="422"/>
      <c r="BG215" s="422"/>
      <c r="BH215" s="422"/>
      <c r="BI215" s="422"/>
      <c r="BJ215" s="423">
        <f t="shared" ref="BJ215:BR215" si="582">$I215*BJ$2</f>
        <v>127.291666666666</v>
      </c>
      <c r="BK215" s="423">
        <f t="shared" si="582"/>
        <v>127.291666666666</v>
      </c>
      <c r="BL215" s="423">
        <f t="shared" si="582"/>
        <v>127.291666666666</v>
      </c>
      <c r="BM215" s="423">
        <f t="shared" si="582"/>
        <v>127.291666666666</v>
      </c>
      <c r="BN215" s="423">
        <f t="shared" si="582"/>
        <v>127.291666666666</v>
      </c>
      <c r="BO215" s="423">
        <f t="shared" si="582"/>
        <v>127.291666666666</v>
      </c>
      <c r="BP215" s="423">
        <f t="shared" si="582"/>
        <v>127.291666666666</v>
      </c>
      <c r="BQ215" s="423">
        <f t="shared" si="582"/>
        <v>127.291666666666</v>
      </c>
      <c r="BR215" s="423">
        <f t="shared" si="582"/>
        <v>21.6666666666666</v>
      </c>
      <c r="BT215" s="59">
        <f t="shared" ref="BT215:CB215" si="583">BT214-BJ215</f>
        <v>74713.6067708334</v>
      </c>
      <c r="BU215" s="59">
        <f t="shared" si="583"/>
        <v>74713.6067708334</v>
      </c>
      <c r="BV215" s="59">
        <f t="shared" si="583"/>
        <v>74713.6067708334</v>
      </c>
      <c r="BW215" s="59">
        <f t="shared" si="583"/>
        <v>74713.6067708334</v>
      </c>
      <c r="BX215" s="59">
        <f t="shared" si="583"/>
        <v>74713.6067708334</v>
      </c>
      <c r="BY215" s="59">
        <f t="shared" si="583"/>
        <v>74713.6067708334</v>
      </c>
      <c r="BZ215" s="59">
        <f t="shared" si="583"/>
        <v>74713.6067708334</v>
      </c>
      <c r="CA215" s="59">
        <f t="shared" si="583"/>
        <v>74713.6067708334</v>
      </c>
      <c r="CB215" s="59">
        <f t="shared" si="583"/>
        <v>12669.1458333333</v>
      </c>
    </row>
    <row r="216" s="371" customFormat="1" ht="27" hidden="1" customHeight="1" spans="1:80">
      <c r="A216" s="410">
        <v>45847</v>
      </c>
      <c r="B216" s="411" t="s">
        <v>415</v>
      </c>
      <c r="C216" s="412" t="s">
        <v>83</v>
      </c>
      <c r="D216" s="413" t="s">
        <v>1209</v>
      </c>
      <c r="E216" s="412" t="s">
        <v>1210</v>
      </c>
      <c r="F216" s="411"/>
      <c r="G216" s="414" t="s">
        <v>94</v>
      </c>
      <c r="H216" s="411" t="s">
        <v>211</v>
      </c>
      <c r="I216" s="415">
        <v>1040</v>
      </c>
      <c r="J216" s="415">
        <v>0</v>
      </c>
      <c r="K216" s="415">
        <v>52</v>
      </c>
      <c r="L216" s="415">
        <f t="shared" si="553"/>
        <v>20</v>
      </c>
      <c r="M216" s="416">
        <v>45899</v>
      </c>
      <c r="N216" s="416">
        <v>45899</v>
      </c>
      <c r="O216" s="417"/>
      <c r="P216" s="417" t="s">
        <v>107</v>
      </c>
      <c r="Q216" s="417" t="s">
        <v>1216</v>
      </c>
      <c r="R216" s="417" t="s">
        <v>1212</v>
      </c>
      <c r="S216" s="417" t="s">
        <v>80</v>
      </c>
      <c r="T216" s="453" t="s">
        <v>1213</v>
      </c>
      <c r="U216" s="417"/>
      <c r="V216" s="420" t="s">
        <v>1214</v>
      </c>
      <c r="W216" s="416" t="s">
        <v>1207</v>
      </c>
      <c r="X216" s="421">
        <v>0.86</v>
      </c>
      <c r="Y216" s="415">
        <f t="shared" si="482"/>
        <v>894.4</v>
      </c>
      <c r="Z216" s="416" t="s">
        <v>1215</v>
      </c>
      <c r="AA216" s="420">
        <v>1040</v>
      </c>
      <c r="AB216" s="420">
        <f t="shared" si="449"/>
        <v>0</v>
      </c>
      <c r="AC216" s="513"/>
      <c r="AD216" s="417" t="s">
        <v>114</v>
      </c>
      <c r="AE216" s="416" t="s">
        <v>94</v>
      </c>
      <c r="AF216" s="416" t="s">
        <v>115</v>
      </c>
      <c r="AG216" s="422">
        <f t="shared" si="572"/>
        <v>1040</v>
      </c>
      <c r="AH216" s="422"/>
      <c r="AI216" s="422">
        <f t="shared" si="573"/>
        <v>1040</v>
      </c>
      <c r="AJ216" s="422"/>
      <c r="AK216" s="422">
        <f t="shared" si="567"/>
        <v>1040</v>
      </c>
      <c r="AL216" s="422"/>
      <c r="AM216" s="422"/>
      <c r="AN216" s="422"/>
      <c r="AO216" s="422">
        <f t="shared" si="574"/>
        <v>1040</v>
      </c>
      <c r="AP216" s="422"/>
      <c r="AQ216" s="422"/>
      <c r="AR216" s="422"/>
      <c r="AS216" s="422"/>
      <c r="AT216" s="422">
        <f t="shared" si="575"/>
        <v>80</v>
      </c>
      <c r="AU216" s="422"/>
      <c r="AV216" s="422"/>
      <c r="AW216" s="422"/>
      <c r="AX216" s="422"/>
      <c r="AY216" s="422"/>
      <c r="AZ216" s="422"/>
      <c r="BA216" s="422"/>
      <c r="BB216" s="422"/>
      <c r="BC216" s="422"/>
      <c r="BD216" s="422"/>
      <c r="BE216" s="422"/>
      <c r="BF216" s="422"/>
      <c r="BG216" s="422"/>
      <c r="BH216" s="422"/>
      <c r="BI216" s="422"/>
      <c r="BJ216" s="423">
        <f t="shared" ref="BJ216:BR216" si="584">$I216*BJ$2</f>
        <v>127.291666666666</v>
      </c>
      <c r="BK216" s="423">
        <f t="shared" si="584"/>
        <v>127.291666666666</v>
      </c>
      <c r="BL216" s="423">
        <f t="shared" si="584"/>
        <v>127.291666666666</v>
      </c>
      <c r="BM216" s="423">
        <f t="shared" si="584"/>
        <v>127.291666666666</v>
      </c>
      <c r="BN216" s="423">
        <f t="shared" si="584"/>
        <v>127.291666666666</v>
      </c>
      <c r="BO216" s="423">
        <f t="shared" si="584"/>
        <v>127.291666666666</v>
      </c>
      <c r="BP216" s="423">
        <f t="shared" si="584"/>
        <v>127.291666666666</v>
      </c>
      <c r="BQ216" s="423">
        <f t="shared" si="584"/>
        <v>127.291666666666</v>
      </c>
      <c r="BR216" s="423">
        <f t="shared" si="584"/>
        <v>21.6666666666666</v>
      </c>
      <c r="BT216" s="59">
        <f t="shared" ref="BT216:CB216" si="585">BT215-BJ216</f>
        <v>74586.3151041667</v>
      </c>
      <c r="BU216" s="59">
        <f t="shared" si="585"/>
        <v>74586.3151041667</v>
      </c>
      <c r="BV216" s="59">
        <f t="shared" si="585"/>
        <v>74586.3151041667</v>
      </c>
      <c r="BW216" s="59">
        <f t="shared" si="585"/>
        <v>74586.3151041667</v>
      </c>
      <c r="BX216" s="59">
        <f t="shared" si="585"/>
        <v>74586.3151041667</v>
      </c>
      <c r="BY216" s="59">
        <f t="shared" si="585"/>
        <v>74586.3151041667</v>
      </c>
      <c r="BZ216" s="59">
        <f t="shared" si="585"/>
        <v>74586.3151041667</v>
      </c>
      <c r="CA216" s="59">
        <f t="shared" si="585"/>
        <v>74586.3151041667</v>
      </c>
      <c r="CB216" s="59">
        <f t="shared" si="585"/>
        <v>12647.4791666667</v>
      </c>
    </row>
    <row r="217" s="371" customFormat="1" ht="27" hidden="1" customHeight="1" spans="1:80">
      <c r="A217" s="410">
        <v>45847</v>
      </c>
      <c r="B217" s="411" t="s">
        <v>415</v>
      </c>
      <c r="C217" s="412" t="s">
        <v>83</v>
      </c>
      <c r="D217" s="413" t="s">
        <v>1209</v>
      </c>
      <c r="E217" s="412" t="s">
        <v>1210</v>
      </c>
      <c r="F217" s="411"/>
      <c r="G217" s="414" t="s">
        <v>94</v>
      </c>
      <c r="H217" s="411" t="s">
        <v>211</v>
      </c>
      <c r="I217" s="415">
        <v>1040</v>
      </c>
      <c r="J217" s="415">
        <v>0</v>
      </c>
      <c r="K217" s="415">
        <v>52</v>
      </c>
      <c r="L217" s="415">
        <f t="shared" si="553"/>
        <v>20</v>
      </c>
      <c r="M217" s="416">
        <v>45899</v>
      </c>
      <c r="N217" s="416">
        <v>45899</v>
      </c>
      <c r="O217" s="417"/>
      <c r="P217" s="417" t="s">
        <v>107</v>
      </c>
      <c r="Q217" s="417" t="s">
        <v>1217</v>
      </c>
      <c r="R217" s="417" t="s">
        <v>1212</v>
      </c>
      <c r="S217" s="417" t="s">
        <v>80</v>
      </c>
      <c r="T217" s="453" t="s">
        <v>1213</v>
      </c>
      <c r="U217" s="417"/>
      <c r="V217" s="420" t="s">
        <v>1214</v>
      </c>
      <c r="W217" s="416" t="s">
        <v>1207</v>
      </c>
      <c r="X217" s="421">
        <v>0.86</v>
      </c>
      <c r="Y217" s="415">
        <f t="shared" si="482"/>
        <v>894.4</v>
      </c>
      <c r="Z217" s="416" t="s">
        <v>1215</v>
      </c>
      <c r="AA217" s="420">
        <v>1040</v>
      </c>
      <c r="AB217" s="420">
        <f t="shared" si="449"/>
        <v>0</v>
      </c>
      <c r="AC217" s="513"/>
      <c r="AD217" s="417" t="s">
        <v>114</v>
      </c>
      <c r="AE217" s="416" t="s">
        <v>94</v>
      </c>
      <c r="AF217" s="416" t="s">
        <v>115</v>
      </c>
      <c r="AG217" s="422">
        <f t="shared" si="572"/>
        <v>1040</v>
      </c>
      <c r="AH217" s="422"/>
      <c r="AI217" s="422">
        <f t="shared" si="573"/>
        <v>1040</v>
      </c>
      <c r="AJ217" s="422"/>
      <c r="AK217" s="422">
        <f t="shared" si="567"/>
        <v>1040</v>
      </c>
      <c r="AL217" s="422"/>
      <c r="AM217" s="422"/>
      <c r="AN217" s="422"/>
      <c r="AO217" s="422">
        <f t="shared" si="574"/>
        <v>1040</v>
      </c>
      <c r="AP217" s="422"/>
      <c r="AQ217" s="422"/>
      <c r="AR217" s="422"/>
      <c r="AS217" s="422"/>
      <c r="AT217" s="422">
        <f t="shared" si="575"/>
        <v>80</v>
      </c>
      <c r="AU217" s="422"/>
      <c r="AV217" s="422"/>
      <c r="AW217" s="422"/>
      <c r="AX217" s="422"/>
      <c r="AY217" s="422"/>
      <c r="AZ217" s="422"/>
      <c r="BA217" s="422"/>
      <c r="BB217" s="422"/>
      <c r="BC217" s="422"/>
      <c r="BD217" s="422"/>
      <c r="BE217" s="422"/>
      <c r="BF217" s="422"/>
      <c r="BG217" s="422"/>
      <c r="BH217" s="422"/>
      <c r="BI217" s="422"/>
      <c r="BJ217" s="423">
        <f t="shared" ref="BJ217:BR217" si="586">$I217*BJ$2</f>
        <v>127.291666666666</v>
      </c>
      <c r="BK217" s="423">
        <f t="shared" si="586"/>
        <v>127.291666666666</v>
      </c>
      <c r="BL217" s="423">
        <f t="shared" si="586"/>
        <v>127.291666666666</v>
      </c>
      <c r="BM217" s="423">
        <f t="shared" si="586"/>
        <v>127.291666666666</v>
      </c>
      <c r="BN217" s="423">
        <f t="shared" si="586"/>
        <v>127.291666666666</v>
      </c>
      <c r="BO217" s="423">
        <f t="shared" si="586"/>
        <v>127.291666666666</v>
      </c>
      <c r="BP217" s="423">
        <f t="shared" si="586"/>
        <v>127.291666666666</v>
      </c>
      <c r="BQ217" s="423">
        <f t="shared" si="586"/>
        <v>127.291666666666</v>
      </c>
      <c r="BR217" s="423">
        <f t="shared" si="586"/>
        <v>21.6666666666666</v>
      </c>
      <c r="BT217" s="59">
        <f t="shared" ref="BT217:CB217" si="587">BT216-BJ217</f>
        <v>74459.0234375001</v>
      </c>
      <c r="BU217" s="59">
        <f t="shared" si="587"/>
        <v>74459.0234375001</v>
      </c>
      <c r="BV217" s="59">
        <f t="shared" si="587"/>
        <v>74459.0234375001</v>
      </c>
      <c r="BW217" s="59">
        <f t="shared" si="587"/>
        <v>74459.0234375001</v>
      </c>
      <c r="BX217" s="59">
        <f t="shared" si="587"/>
        <v>74459.0234375001</v>
      </c>
      <c r="BY217" s="59">
        <f t="shared" si="587"/>
        <v>74459.0234375001</v>
      </c>
      <c r="BZ217" s="59">
        <f t="shared" si="587"/>
        <v>74459.0234375001</v>
      </c>
      <c r="CA217" s="59">
        <f t="shared" si="587"/>
        <v>74459.0234375001</v>
      </c>
      <c r="CB217" s="59">
        <f t="shared" si="587"/>
        <v>12625.8125</v>
      </c>
    </row>
    <row r="218" s="371" customFormat="1" ht="27" hidden="1" customHeight="1" spans="1:80">
      <c r="A218" s="410">
        <v>45847</v>
      </c>
      <c r="B218" s="411" t="s">
        <v>415</v>
      </c>
      <c r="C218" s="412" t="s">
        <v>83</v>
      </c>
      <c r="D218" s="413" t="s">
        <v>1209</v>
      </c>
      <c r="E218" s="412" t="s">
        <v>1210</v>
      </c>
      <c r="F218" s="411"/>
      <c r="G218" s="414" t="s">
        <v>94</v>
      </c>
      <c r="H218" s="411" t="s">
        <v>211</v>
      </c>
      <c r="I218" s="415">
        <v>1040</v>
      </c>
      <c r="J218" s="415">
        <v>0</v>
      </c>
      <c r="K218" s="415">
        <v>52</v>
      </c>
      <c r="L218" s="415">
        <f t="shared" si="553"/>
        <v>20</v>
      </c>
      <c r="M218" s="416">
        <v>45899</v>
      </c>
      <c r="N218" s="416">
        <v>45899</v>
      </c>
      <c r="O218" s="417"/>
      <c r="P218" s="417" t="s">
        <v>107</v>
      </c>
      <c r="Q218" s="417" t="s">
        <v>1217</v>
      </c>
      <c r="R218" s="417" t="s">
        <v>1212</v>
      </c>
      <c r="S218" s="417" t="s">
        <v>80</v>
      </c>
      <c r="T218" s="453" t="s">
        <v>1213</v>
      </c>
      <c r="U218" s="417"/>
      <c r="V218" s="420" t="s">
        <v>1214</v>
      </c>
      <c r="W218" s="416" t="s">
        <v>1207</v>
      </c>
      <c r="X218" s="421">
        <v>0.86</v>
      </c>
      <c r="Y218" s="415">
        <f t="shared" si="482"/>
        <v>894.4</v>
      </c>
      <c r="Z218" s="416" t="s">
        <v>1215</v>
      </c>
      <c r="AA218" s="420">
        <v>1040</v>
      </c>
      <c r="AB218" s="420">
        <f t="shared" si="449"/>
        <v>0</v>
      </c>
      <c r="AC218" s="513"/>
      <c r="AD218" s="417" t="s">
        <v>114</v>
      </c>
      <c r="AE218" s="416" t="s">
        <v>94</v>
      </c>
      <c r="AF218" s="416" t="s">
        <v>115</v>
      </c>
      <c r="AG218" s="422">
        <f t="shared" si="572"/>
        <v>1040</v>
      </c>
      <c r="AH218" s="422"/>
      <c r="AI218" s="422">
        <f t="shared" si="573"/>
        <v>1040</v>
      </c>
      <c r="AJ218" s="422"/>
      <c r="AK218" s="422">
        <f t="shared" si="567"/>
        <v>1040</v>
      </c>
      <c r="AL218" s="422"/>
      <c r="AM218" s="422"/>
      <c r="AN218" s="422"/>
      <c r="AO218" s="422">
        <f t="shared" si="574"/>
        <v>1040</v>
      </c>
      <c r="AP218" s="422"/>
      <c r="AQ218" s="422"/>
      <c r="AR218" s="422"/>
      <c r="AS218" s="422"/>
      <c r="AT218" s="422">
        <f t="shared" si="575"/>
        <v>80</v>
      </c>
      <c r="AU218" s="422"/>
      <c r="AV218" s="422"/>
      <c r="AW218" s="422"/>
      <c r="AX218" s="422"/>
      <c r="AY218" s="422"/>
      <c r="AZ218" s="422"/>
      <c r="BA218" s="422"/>
      <c r="BB218" s="422"/>
      <c r="BC218" s="422"/>
      <c r="BD218" s="422"/>
      <c r="BE218" s="422"/>
      <c r="BF218" s="422"/>
      <c r="BG218" s="422"/>
      <c r="BH218" s="422"/>
      <c r="BI218" s="422"/>
      <c r="BJ218" s="423">
        <f t="shared" ref="BJ218:BR218" si="588">$I218*BJ$2</f>
        <v>127.291666666666</v>
      </c>
      <c r="BK218" s="423">
        <f t="shared" si="588"/>
        <v>127.291666666666</v>
      </c>
      <c r="BL218" s="423">
        <f t="shared" si="588"/>
        <v>127.291666666666</v>
      </c>
      <c r="BM218" s="423">
        <f t="shared" si="588"/>
        <v>127.291666666666</v>
      </c>
      <c r="BN218" s="423">
        <f t="shared" si="588"/>
        <v>127.291666666666</v>
      </c>
      <c r="BO218" s="423">
        <f t="shared" si="588"/>
        <v>127.291666666666</v>
      </c>
      <c r="BP218" s="423">
        <f t="shared" si="588"/>
        <v>127.291666666666</v>
      </c>
      <c r="BQ218" s="423">
        <f t="shared" si="588"/>
        <v>127.291666666666</v>
      </c>
      <c r="BR218" s="423">
        <f t="shared" si="588"/>
        <v>21.6666666666666</v>
      </c>
      <c r="BT218" s="59">
        <f t="shared" ref="BT218:CB218" si="589">BT217-BJ218</f>
        <v>74331.7317708334</v>
      </c>
      <c r="BU218" s="59">
        <f t="shared" si="589"/>
        <v>74331.7317708334</v>
      </c>
      <c r="BV218" s="59">
        <f t="shared" si="589"/>
        <v>74331.7317708334</v>
      </c>
      <c r="BW218" s="59">
        <f t="shared" si="589"/>
        <v>74331.7317708334</v>
      </c>
      <c r="BX218" s="59">
        <f t="shared" si="589"/>
        <v>74331.7317708334</v>
      </c>
      <c r="BY218" s="59">
        <f t="shared" si="589"/>
        <v>74331.7317708334</v>
      </c>
      <c r="BZ218" s="59">
        <f t="shared" si="589"/>
        <v>74331.7317708334</v>
      </c>
      <c r="CA218" s="59">
        <f t="shared" si="589"/>
        <v>74331.7317708334</v>
      </c>
      <c r="CB218" s="59">
        <f t="shared" si="589"/>
        <v>12604.1458333333</v>
      </c>
    </row>
    <row r="219" s="371" customFormat="1" ht="27" hidden="1" customHeight="1" spans="1:80">
      <c r="A219" s="410">
        <v>45847</v>
      </c>
      <c r="B219" s="411" t="s">
        <v>415</v>
      </c>
      <c r="C219" s="412" t="s">
        <v>83</v>
      </c>
      <c r="D219" s="413" t="s">
        <v>1209</v>
      </c>
      <c r="E219" s="412" t="s">
        <v>1210</v>
      </c>
      <c r="F219" s="411"/>
      <c r="G219" s="414" t="s">
        <v>94</v>
      </c>
      <c r="H219" s="411" t="s">
        <v>211</v>
      </c>
      <c r="I219" s="415">
        <v>1040</v>
      </c>
      <c r="J219" s="415">
        <v>0</v>
      </c>
      <c r="K219" s="415">
        <v>52</v>
      </c>
      <c r="L219" s="415">
        <f t="shared" si="553"/>
        <v>20</v>
      </c>
      <c r="M219" s="416">
        <v>45899</v>
      </c>
      <c r="N219" s="416">
        <v>45899</v>
      </c>
      <c r="O219" s="417"/>
      <c r="P219" s="417" t="s">
        <v>107</v>
      </c>
      <c r="Q219" s="417" t="s">
        <v>1218</v>
      </c>
      <c r="R219" s="417" t="s">
        <v>1212</v>
      </c>
      <c r="S219" s="417" t="s">
        <v>80</v>
      </c>
      <c r="T219" s="453" t="s">
        <v>1213</v>
      </c>
      <c r="U219" s="417"/>
      <c r="V219" s="420" t="s">
        <v>1214</v>
      </c>
      <c r="W219" s="416" t="s">
        <v>1207</v>
      </c>
      <c r="X219" s="421">
        <v>0.86</v>
      </c>
      <c r="Y219" s="415">
        <f t="shared" si="482"/>
        <v>894.4</v>
      </c>
      <c r="Z219" s="416" t="s">
        <v>1215</v>
      </c>
      <c r="AA219" s="420">
        <v>1040</v>
      </c>
      <c r="AB219" s="420">
        <f t="shared" si="449"/>
        <v>0</v>
      </c>
      <c r="AC219" s="513"/>
      <c r="AD219" s="417" t="s">
        <v>114</v>
      </c>
      <c r="AE219" s="416" t="s">
        <v>94</v>
      </c>
      <c r="AF219" s="416" t="s">
        <v>115</v>
      </c>
      <c r="AG219" s="422">
        <f t="shared" si="572"/>
        <v>1040</v>
      </c>
      <c r="AH219" s="422"/>
      <c r="AI219" s="422">
        <f t="shared" si="573"/>
        <v>1040</v>
      </c>
      <c r="AJ219" s="422"/>
      <c r="AK219" s="422">
        <f t="shared" si="567"/>
        <v>1040</v>
      </c>
      <c r="AL219" s="422"/>
      <c r="AM219" s="422"/>
      <c r="AN219" s="422"/>
      <c r="AO219" s="422">
        <f t="shared" si="574"/>
        <v>1040</v>
      </c>
      <c r="AP219" s="422"/>
      <c r="AQ219" s="422"/>
      <c r="AR219" s="422"/>
      <c r="AS219" s="422"/>
      <c r="AT219" s="422">
        <f t="shared" si="575"/>
        <v>80</v>
      </c>
      <c r="AU219" s="422"/>
      <c r="AV219" s="422"/>
      <c r="AW219" s="422"/>
      <c r="AX219" s="422"/>
      <c r="AY219" s="422"/>
      <c r="AZ219" s="422"/>
      <c r="BA219" s="422"/>
      <c r="BB219" s="422"/>
      <c r="BC219" s="422"/>
      <c r="BD219" s="422"/>
      <c r="BE219" s="422"/>
      <c r="BF219" s="422"/>
      <c r="BG219" s="422"/>
      <c r="BH219" s="422"/>
      <c r="BI219" s="422"/>
      <c r="BJ219" s="423">
        <f t="shared" ref="BJ219:BR219" si="590">$I219*BJ$2</f>
        <v>127.291666666666</v>
      </c>
      <c r="BK219" s="423">
        <f t="shared" si="590"/>
        <v>127.291666666666</v>
      </c>
      <c r="BL219" s="423">
        <f t="shared" si="590"/>
        <v>127.291666666666</v>
      </c>
      <c r="BM219" s="423">
        <f t="shared" si="590"/>
        <v>127.291666666666</v>
      </c>
      <c r="BN219" s="423">
        <f t="shared" si="590"/>
        <v>127.291666666666</v>
      </c>
      <c r="BO219" s="423">
        <f t="shared" si="590"/>
        <v>127.291666666666</v>
      </c>
      <c r="BP219" s="423">
        <f t="shared" si="590"/>
        <v>127.291666666666</v>
      </c>
      <c r="BQ219" s="423">
        <f t="shared" si="590"/>
        <v>127.291666666666</v>
      </c>
      <c r="BR219" s="423">
        <f t="shared" si="590"/>
        <v>21.6666666666666</v>
      </c>
      <c r="BT219" s="59">
        <f t="shared" ref="BT219:CB219" si="591">BT218-BJ219</f>
        <v>74204.4401041667</v>
      </c>
      <c r="BU219" s="59">
        <f t="shared" si="591"/>
        <v>74204.4401041667</v>
      </c>
      <c r="BV219" s="59">
        <f t="shared" si="591"/>
        <v>74204.4401041667</v>
      </c>
      <c r="BW219" s="59">
        <f t="shared" si="591"/>
        <v>74204.4401041667</v>
      </c>
      <c r="BX219" s="59">
        <f t="shared" si="591"/>
        <v>74204.4401041667</v>
      </c>
      <c r="BY219" s="59">
        <f t="shared" si="591"/>
        <v>74204.4401041667</v>
      </c>
      <c r="BZ219" s="59">
        <f t="shared" si="591"/>
        <v>74204.4401041667</v>
      </c>
      <c r="CA219" s="59">
        <f t="shared" si="591"/>
        <v>74204.4401041667</v>
      </c>
      <c r="CB219" s="59">
        <f t="shared" si="591"/>
        <v>12582.4791666667</v>
      </c>
    </row>
    <row r="220" s="371" customFormat="1" ht="27" hidden="1" customHeight="1" spans="1:80">
      <c r="A220" s="410">
        <v>45847</v>
      </c>
      <c r="B220" s="411" t="s">
        <v>415</v>
      </c>
      <c r="C220" s="412" t="s">
        <v>83</v>
      </c>
      <c r="D220" s="413" t="s">
        <v>1209</v>
      </c>
      <c r="E220" s="412" t="s">
        <v>1210</v>
      </c>
      <c r="F220" s="411"/>
      <c r="G220" s="414" t="s">
        <v>94</v>
      </c>
      <c r="H220" s="411" t="s">
        <v>211</v>
      </c>
      <c r="I220" s="415">
        <v>1040</v>
      </c>
      <c r="J220" s="415">
        <v>0</v>
      </c>
      <c r="K220" s="415">
        <v>52</v>
      </c>
      <c r="L220" s="415">
        <f t="shared" si="553"/>
        <v>20</v>
      </c>
      <c r="M220" s="416">
        <v>45899</v>
      </c>
      <c r="N220" s="416">
        <v>45899</v>
      </c>
      <c r="O220" s="417"/>
      <c r="P220" s="417" t="s">
        <v>107</v>
      </c>
      <c r="Q220" s="417" t="s">
        <v>1218</v>
      </c>
      <c r="R220" s="417" t="s">
        <v>1212</v>
      </c>
      <c r="S220" s="417" t="s">
        <v>80</v>
      </c>
      <c r="T220" s="453" t="s">
        <v>1213</v>
      </c>
      <c r="U220" s="417"/>
      <c r="V220" s="420" t="s">
        <v>1214</v>
      </c>
      <c r="W220" s="416" t="s">
        <v>1207</v>
      </c>
      <c r="X220" s="421">
        <v>0.86</v>
      </c>
      <c r="Y220" s="415">
        <f t="shared" si="482"/>
        <v>894.4</v>
      </c>
      <c r="Z220" s="416" t="s">
        <v>1215</v>
      </c>
      <c r="AA220" s="420">
        <v>1040</v>
      </c>
      <c r="AB220" s="420">
        <f t="shared" si="449"/>
        <v>0</v>
      </c>
      <c r="AC220" s="499"/>
      <c r="AD220" s="417" t="s">
        <v>114</v>
      </c>
      <c r="AE220" s="416" t="s">
        <v>94</v>
      </c>
      <c r="AF220" s="416" t="s">
        <v>115</v>
      </c>
      <c r="AG220" s="422">
        <f t="shared" si="572"/>
        <v>1040</v>
      </c>
      <c r="AH220" s="422"/>
      <c r="AI220" s="422">
        <f t="shared" si="573"/>
        <v>1040</v>
      </c>
      <c r="AJ220" s="422"/>
      <c r="AK220" s="422">
        <f t="shared" si="567"/>
        <v>1040</v>
      </c>
      <c r="AL220" s="422"/>
      <c r="AM220" s="422"/>
      <c r="AN220" s="422"/>
      <c r="AO220" s="422">
        <f t="shared" si="574"/>
        <v>1040</v>
      </c>
      <c r="AP220" s="422"/>
      <c r="AQ220" s="422"/>
      <c r="AR220" s="422"/>
      <c r="AS220" s="422"/>
      <c r="AT220" s="422">
        <f t="shared" si="575"/>
        <v>80</v>
      </c>
      <c r="AU220" s="422"/>
      <c r="AV220" s="422"/>
      <c r="AW220" s="422"/>
      <c r="AX220" s="422"/>
      <c r="AY220" s="422"/>
      <c r="AZ220" s="422"/>
      <c r="BA220" s="422"/>
      <c r="BB220" s="422"/>
      <c r="BC220" s="422"/>
      <c r="BD220" s="422"/>
      <c r="BE220" s="422"/>
      <c r="BF220" s="422"/>
      <c r="BG220" s="422"/>
      <c r="BH220" s="422"/>
      <c r="BI220" s="422"/>
      <c r="BJ220" s="423">
        <f t="shared" ref="BJ220:BR220" si="592">$I220*BJ$2</f>
        <v>127.291666666666</v>
      </c>
      <c r="BK220" s="423">
        <f t="shared" si="592"/>
        <v>127.291666666666</v>
      </c>
      <c r="BL220" s="423">
        <f t="shared" si="592"/>
        <v>127.291666666666</v>
      </c>
      <c r="BM220" s="423">
        <f t="shared" si="592"/>
        <v>127.291666666666</v>
      </c>
      <c r="BN220" s="423">
        <f t="shared" si="592"/>
        <v>127.291666666666</v>
      </c>
      <c r="BO220" s="423">
        <f t="shared" si="592"/>
        <v>127.291666666666</v>
      </c>
      <c r="BP220" s="423">
        <f t="shared" si="592"/>
        <v>127.291666666666</v>
      </c>
      <c r="BQ220" s="423">
        <f t="shared" si="592"/>
        <v>127.291666666666</v>
      </c>
      <c r="BR220" s="423">
        <f t="shared" si="592"/>
        <v>21.6666666666666</v>
      </c>
      <c r="BT220" s="59">
        <f t="shared" ref="BT220:CB220" si="593">BT219-BJ220</f>
        <v>74077.1484375</v>
      </c>
      <c r="BU220" s="59">
        <f t="shared" si="593"/>
        <v>74077.1484375</v>
      </c>
      <c r="BV220" s="59">
        <f t="shared" si="593"/>
        <v>74077.1484375</v>
      </c>
      <c r="BW220" s="59">
        <f t="shared" si="593"/>
        <v>74077.1484375</v>
      </c>
      <c r="BX220" s="59">
        <f t="shared" si="593"/>
        <v>74077.1484375</v>
      </c>
      <c r="BY220" s="59">
        <f t="shared" si="593"/>
        <v>74077.1484375</v>
      </c>
      <c r="BZ220" s="59">
        <f t="shared" si="593"/>
        <v>74077.1484375</v>
      </c>
      <c r="CA220" s="59">
        <f t="shared" si="593"/>
        <v>74077.1484375</v>
      </c>
      <c r="CB220" s="59">
        <f t="shared" si="593"/>
        <v>12560.8125</v>
      </c>
    </row>
    <row r="221" s="371" customFormat="1" ht="27" hidden="1" customHeight="1" spans="1:80">
      <c r="A221" s="410">
        <v>45859</v>
      </c>
      <c r="B221" s="412" t="s">
        <v>1219</v>
      </c>
      <c r="C221" s="412" t="s">
        <v>117</v>
      </c>
      <c r="D221" s="413" t="s">
        <v>1220</v>
      </c>
      <c r="E221" s="495" t="s">
        <v>1221</v>
      </c>
      <c r="F221" s="411"/>
      <c r="G221" s="414" t="s">
        <v>86</v>
      </c>
      <c r="H221" s="411" t="s">
        <v>559</v>
      </c>
      <c r="I221" s="415">
        <v>3690</v>
      </c>
      <c r="J221" s="415">
        <v>0</v>
      </c>
      <c r="K221" s="415">
        <v>30</v>
      </c>
      <c r="L221" s="415">
        <f t="shared" si="553"/>
        <v>123</v>
      </c>
      <c r="M221" s="416">
        <v>45901</v>
      </c>
      <c r="N221" s="416">
        <v>45901</v>
      </c>
      <c r="O221" s="417" t="s">
        <v>1222</v>
      </c>
      <c r="P221" s="417" t="s">
        <v>224</v>
      </c>
      <c r="Q221" s="417" t="s">
        <v>1223</v>
      </c>
      <c r="R221" s="417" t="s">
        <v>1224</v>
      </c>
      <c r="S221" s="417" t="s">
        <v>80</v>
      </c>
      <c r="T221" s="453" t="s">
        <v>80</v>
      </c>
      <c r="U221" s="417"/>
      <c r="V221" s="420" t="s">
        <v>1225</v>
      </c>
      <c r="W221" s="416" t="s">
        <v>1226</v>
      </c>
      <c r="X221" s="421">
        <v>0.44226</v>
      </c>
      <c r="Y221" s="415">
        <f t="shared" si="482"/>
        <v>1631.9394</v>
      </c>
      <c r="Z221" s="416" t="s">
        <v>1227</v>
      </c>
      <c r="AA221" s="420">
        <v>3690</v>
      </c>
      <c r="AB221" s="420">
        <f t="shared" si="449"/>
        <v>0</v>
      </c>
      <c r="AC221" s="417"/>
      <c r="AD221" s="417" t="s">
        <v>114</v>
      </c>
      <c r="AE221" s="416" t="s">
        <v>1228</v>
      </c>
      <c r="AF221" s="416" t="s">
        <v>115</v>
      </c>
      <c r="AG221" s="422">
        <f t="shared" si="572"/>
        <v>3690</v>
      </c>
      <c r="AI221" s="422">
        <f t="shared" si="573"/>
        <v>3690</v>
      </c>
      <c r="AJ221" s="422"/>
      <c r="AK221" s="422">
        <f t="shared" si="567"/>
        <v>3690</v>
      </c>
      <c r="AL221" s="422"/>
      <c r="AM221" s="422"/>
      <c r="AN221" s="422"/>
      <c r="AO221" s="422">
        <f t="shared" si="574"/>
        <v>3690</v>
      </c>
      <c r="AP221" s="422"/>
      <c r="AQ221" s="422"/>
      <c r="AR221" s="422"/>
      <c r="AS221" s="422"/>
      <c r="AT221" s="422"/>
      <c r="AU221" s="422"/>
      <c r="AV221" s="422"/>
      <c r="AW221" s="422"/>
      <c r="AX221" s="422"/>
      <c r="AY221" s="422"/>
      <c r="AZ221" s="422"/>
      <c r="BA221" s="422"/>
      <c r="BB221" s="422"/>
      <c r="BC221" s="422"/>
      <c r="BD221" s="422"/>
      <c r="BE221" s="422"/>
      <c r="BF221" s="422"/>
      <c r="BG221" s="422"/>
      <c r="BH221" s="422"/>
      <c r="BI221" s="422"/>
      <c r="BJ221" s="423">
        <f t="shared" ref="BJ221:BR221" si="594">$I221*BJ$2</f>
        <v>451.640624999999</v>
      </c>
      <c r="BK221" s="423">
        <f t="shared" si="594"/>
        <v>451.640624999999</v>
      </c>
      <c r="BL221" s="423">
        <f t="shared" si="594"/>
        <v>451.640624999999</v>
      </c>
      <c r="BM221" s="423">
        <f t="shared" si="594"/>
        <v>451.640624999999</v>
      </c>
      <c r="BN221" s="423">
        <f t="shared" si="594"/>
        <v>451.640624999999</v>
      </c>
      <c r="BO221" s="423">
        <f t="shared" si="594"/>
        <v>451.640624999999</v>
      </c>
      <c r="BP221" s="423">
        <f t="shared" si="594"/>
        <v>451.640624999999</v>
      </c>
      <c r="BQ221" s="423">
        <f t="shared" si="594"/>
        <v>451.640624999999</v>
      </c>
      <c r="BR221" s="423">
        <f t="shared" si="594"/>
        <v>76.8749999999999</v>
      </c>
      <c r="BT221" s="59">
        <f t="shared" ref="BT221:CB221" si="595">BT220-BJ221</f>
        <v>73625.5078125</v>
      </c>
      <c r="BU221" s="59">
        <f t="shared" si="595"/>
        <v>73625.5078125</v>
      </c>
      <c r="BV221" s="59">
        <f t="shared" si="595"/>
        <v>73625.5078125</v>
      </c>
      <c r="BW221" s="59">
        <f t="shared" si="595"/>
        <v>73625.5078125</v>
      </c>
      <c r="BX221" s="59">
        <f t="shared" si="595"/>
        <v>73625.5078125</v>
      </c>
      <c r="BY221" s="59">
        <f t="shared" si="595"/>
        <v>73625.5078125</v>
      </c>
      <c r="BZ221" s="59">
        <f t="shared" si="595"/>
        <v>73625.5078125</v>
      </c>
      <c r="CA221" s="59">
        <f t="shared" si="595"/>
        <v>73625.5078125</v>
      </c>
      <c r="CB221" s="59">
        <f t="shared" si="595"/>
        <v>12483.9375</v>
      </c>
    </row>
    <row r="222" s="371" customFormat="1" ht="27" hidden="1" customHeight="1" spans="1:80">
      <c r="A222" s="410">
        <v>45868</v>
      </c>
      <c r="B222" s="412" t="s">
        <v>1229</v>
      </c>
      <c r="C222" s="412" t="s">
        <v>117</v>
      </c>
      <c r="D222" s="413">
        <v>4500175531</v>
      </c>
      <c r="E222" s="412">
        <v>4699</v>
      </c>
      <c r="F222" s="411" t="s">
        <v>1230</v>
      </c>
      <c r="G222" s="414" t="s">
        <v>78</v>
      </c>
      <c r="H222" s="411" t="s">
        <v>132</v>
      </c>
      <c r="I222" s="415">
        <v>1026</v>
      </c>
      <c r="J222" s="415">
        <v>0</v>
      </c>
      <c r="K222" s="415">
        <v>54</v>
      </c>
      <c r="L222" s="415">
        <f t="shared" si="553"/>
        <v>19</v>
      </c>
      <c r="M222" s="416">
        <v>45910</v>
      </c>
      <c r="N222" s="416">
        <v>45906</v>
      </c>
      <c r="O222" s="417"/>
      <c r="P222" s="417" t="s">
        <v>224</v>
      </c>
      <c r="Q222" s="417" t="s">
        <v>1231</v>
      </c>
      <c r="R222" s="417">
        <v>45882</v>
      </c>
      <c r="S222" s="417" t="s">
        <v>80</v>
      </c>
      <c r="T222" s="453" t="s">
        <v>80</v>
      </c>
      <c r="U222" s="417"/>
      <c r="V222" s="420" t="s">
        <v>923</v>
      </c>
      <c r="W222" s="416" t="s">
        <v>395</v>
      </c>
      <c r="X222" s="421">
        <v>0.4675</v>
      </c>
      <c r="Y222" s="415">
        <f t="shared" si="482"/>
        <v>479.655</v>
      </c>
      <c r="Z222" s="416" t="s">
        <v>1232</v>
      </c>
      <c r="AA222" s="420">
        <f>972+54</f>
        <v>1026</v>
      </c>
      <c r="AB222" s="420">
        <f t="shared" si="449"/>
        <v>0</v>
      </c>
      <c r="AC222" s="417"/>
      <c r="AD222" s="417" t="s">
        <v>114</v>
      </c>
      <c r="AE222" s="416" t="s">
        <v>78</v>
      </c>
      <c r="AF222" s="416" t="s">
        <v>115</v>
      </c>
      <c r="AG222" s="422">
        <f t="shared" si="572"/>
        <v>1026</v>
      </c>
      <c r="AH222" s="422"/>
      <c r="AI222" s="422">
        <f t="shared" si="573"/>
        <v>1026</v>
      </c>
      <c r="AJ222" s="422"/>
      <c r="AK222" s="422">
        <f t="shared" si="567"/>
        <v>1026</v>
      </c>
      <c r="AL222" s="422"/>
      <c r="AM222" s="422"/>
      <c r="AN222" s="422"/>
      <c r="AO222" s="422">
        <f t="shared" si="574"/>
        <v>1026</v>
      </c>
      <c r="AP222" s="422"/>
      <c r="AQ222" s="422">
        <f t="shared" ref="AQ222:AQ231" si="596">I222/27</f>
        <v>38</v>
      </c>
      <c r="AR222" s="422"/>
      <c r="AS222" s="422"/>
      <c r="AT222" s="422"/>
      <c r="AU222" s="422"/>
      <c r="AV222" s="422"/>
      <c r="AW222" s="422"/>
      <c r="AX222" s="422"/>
      <c r="AY222" s="422"/>
      <c r="AZ222" s="422"/>
      <c r="BA222" s="422"/>
      <c r="BB222" s="422"/>
      <c r="BC222" s="422"/>
      <c r="BD222" s="422"/>
      <c r="BE222" s="422"/>
      <c r="BF222" s="422"/>
      <c r="BG222" s="422"/>
      <c r="BH222" s="422"/>
      <c r="BI222" s="422"/>
      <c r="BJ222" s="423">
        <f t="shared" ref="BJ222:BR222" si="597">$I222*BJ$2</f>
        <v>125.578125</v>
      </c>
      <c r="BK222" s="423">
        <f t="shared" si="597"/>
        <v>125.578125</v>
      </c>
      <c r="BL222" s="423">
        <f t="shared" si="597"/>
        <v>125.578125</v>
      </c>
      <c r="BM222" s="423">
        <f t="shared" si="597"/>
        <v>125.578125</v>
      </c>
      <c r="BN222" s="423">
        <f t="shared" si="597"/>
        <v>125.578125</v>
      </c>
      <c r="BO222" s="423">
        <f t="shared" si="597"/>
        <v>125.578125</v>
      </c>
      <c r="BP222" s="423">
        <f t="shared" si="597"/>
        <v>125.578125</v>
      </c>
      <c r="BQ222" s="423">
        <f t="shared" si="597"/>
        <v>125.578125</v>
      </c>
      <c r="BR222" s="423">
        <f t="shared" si="597"/>
        <v>21.375</v>
      </c>
      <c r="BT222" s="59">
        <f t="shared" ref="BT222:CB222" si="598">BT221-BJ222</f>
        <v>73499.9296875</v>
      </c>
      <c r="BU222" s="59">
        <f t="shared" si="598"/>
        <v>73499.9296875</v>
      </c>
      <c r="BV222" s="59">
        <f t="shared" si="598"/>
        <v>73499.9296875</v>
      </c>
      <c r="BW222" s="59">
        <f t="shared" si="598"/>
        <v>73499.9296875</v>
      </c>
      <c r="BX222" s="59">
        <f t="shared" si="598"/>
        <v>73499.9296875</v>
      </c>
      <c r="BY222" s="59">
        <f t="shared" si="598"/>
        <v>73499.9296875</v>
      </c>
      <c r="BZ222" s="59">
        <f t="shared" si="598"/>
        <v>73499.9296875</v>
      </c>
      <c r="CA222" s="59">
        <f t="shared" si="598"/>
        <v>73499.9296875</v>
      </c>
      <c r="CB222" s="59">
        <f t="shared" si="598"/>
        <v>12462.5625</v>
      </c>
    </row>
    <row r="223" s="371" customFormat="1" ht="27" hidden="1" customHeight="1" spans="1:80">
      <c r="A223" s="410">
        <v>45831</v>
      </c>
      <c r="B223" s="411" t="s">
        <v>1233</v>
      </c>
      <c r="C223" s="412" t="s">
        <v>117</v>
      </c>
      <c r="D223" s="413">
        <v>4500170808</v>
      </c>
      <c r="E223" s="412" t="s">
        <v>1234</v>
      </c>
      <c r="F223" s="411" t="s">
        <v>1235</v>
      </c>
      <c r="G223" s="414" t="s">
        <v>131</v>
      </c>
      <c r="H223" s="411" t="s">
        <v>132</v>
      </c>
      <c r="I223" s="415">
        <v>783</v>
      </c>
      <c r="J223" s="415">
        <v>0</v>
      </c>
      <c r="K223" s="415">
        <v>27</v>
      </c>
      <c r="L223" s="415">
        <f t="shared" si="553"/>
        <v>29</v>
      </c>
      <c r="M223" s="416">
        <v>45880</v>
      </c>
      <c r="N223" s="416">
        <v>45906</v>
      </c>
      <c r="O223" s="417" t="s">
        <v>1236</v>
      </c>
      <c r="P223" s="417" t="s">
        <v>107</v>
      </c>
      <c r="Q223" s="417" t="s">
        <v>1237</v>
      </c>
      <c r="R223" s="417">
        <v>45834</v>
      </c>
      <c r="S223" s="453" t="s">
        <v>80</v>
      </c>
      <c r="T223" s="453" t="s">
        <v>80</v>
      </c>
      <c r="U223" s="417" t="s">
        <v>1238</v>
      </c>
      <c r="V223" s="420" t="s">
        <v>1239</v>
      </c>
      <c r="W223" s="416" t="s">
        <v>587</v>
      </c>
      <c r="X223" s="421">
        <v>0.4875</v>
      </c>
      <c r="Y223" s="415">
        <f t="shared" si="482"/>
        <v>381.7125</v>
      </c>
      <c r="Z223" s="502" t="s">
        <v>1240</v>
      </c>
      <c r="AA223" s="420">
        <f>783</f>
        <v>783</v>
      </c>
      <c r="AB223" s="420">
        <f t="shared" si="449"/>
        <v>0</v>
      </c>
      <c r="AC223" s="417" t="s">
        <v>80</v>
      </c>
      <c r="AD223" s="417" t="s">
        <v>114</v>
      </c>
      <c r="AE223" s="416" t="s">
        <v>131</v>
      </c>
      <c r="AF223" s="416" t="s">
        <v>115</v>
      </c>
      <c r="AG223" s="422">
        <f t="shared" si="572"/>
        <v>783</v>
      </c>
      <c r="AH223" s="422"/>
      <c r="AI223" s="422">
        <f t="shared" si="573"/>
        <v>783</v>
      </c>
      <c r="AJ223" s="422"/>
      <c r="AK223" s="422">
        <f t="shared" si="567"/>
        <v>783</v>
      </c>
      <c r="AL223" s="422"/>
      <c r="AM223" s="422"/>
      <c r="AN223" s="422"/>
      <c r="AO223" s="422">
        <f t="shared" si="574"/>
        <v>783</v>
      </c>
      <c r="AP223" s="422"/>
      <c r="AQ223" s="422">
        <f t="shared" si="596"/>
        <v>29</v>
      </c>
      <c r="AR223" s="422"/>
      <c r="AS223" s="422"/>
      <c r="AT223" s="422"/>
      <c r="AU223" s="422"/>
      <c r="AV223" s="422"/>
      <c r="AW223" s="422"/>
      <c r="AX223" s="422"/>
      <c r="AY223" s="422"/>
      <c r="AZ223" s="422"/>
      <c r="BA223" s="422"/>
      <c r="BB223" s="422"/>
      <c r="BC223" s="422"/>
      <c r="BD223" s="422"/>
      <c r="BE223" s="422"/>
      <c r="BF223" s="422"/>
      <c r="BG223" s="422"/>
      <c r="BH223" s="422"/>
      <c r="BI223" s="422"/>
      <c r="BJ223" s="423">
        <f t="shared" ref="BJ223:BR223" si="599">$I223*BJ$2</f>
        <v>95.8359374999997</v>
      </c>
      <c r="BK223" s="423">
        <f t="shared" si="599"/>
        <v>95.8359374999997</v>
      </c>
      <c r="BL223" s="423">
        <f t="shared" si="599"/>
        <v>95.8359374999997</v>
      </c>
      <c r="BM223" s="423">
        <f t="shared" si="599"/>
        <v>95.8359374999997</v>
      </c>
      <c r="BN223" s="423">
        <f t="shared" si="599"/>
        <v>95.8359374999997</v>
      </c>
      <c r="BO223" s="423">
        <f t="shared" si="599"/>
        <v>95.8359374999997</v>
      </c>
      <c r="BP223" s="423">
        <f t="shared" si="599"/>
        <v>95.8359374999997</v>
      </c>
      <c r="BQ223" s="423">
        <f t="shared" si="599"/>
        <v>95.8359374999997</v>
      </c>
      <c r="BR223" s="423">
        <f t="shared" si="599"/>
        <v>16.3125</v>
      </c>
      <c r="BT223" s="59">
        <f t="shared" ref="BT223:CB223" si="600">BT222-BJ223</f>
        <v>73404.09375</v>
      </c>
      <c r="BU223" s="59">
        <f t="shared" si="600"/>
        <v>73404.09375</v>
      </c>
      <c r="BV223" s="59">
        <f t="shared" si="600"/>
        <v>73404.09375</v>
      </c>
      <c r="BW223" s="59">
        <f t="shared" si="600"/>
        <v>73404.09375</v>
      </c>
      <c r="BX223" s="59">
        <f t="shared" si="600"/>
        <v>73404.09375</v>
      </c>
      <c r="BY223" s="59">
        <f t="shared" si="600"/>
        <v>73404.09375</v>
      </c>
      <c r="BZ223" s="59">
        <f t="shared" si="600"/>
        <v>73404.09375</v>
      </c>
      <c r="CA223" s="59">
        <f t="shared" si="600"/>
        <v>73404.09375</v>
      </c>
      <c r="CB223" s="59">
        <f t="shared" si="600"/>
        <v>12446.25</v>
      </c>
    </row>
    <row r="224" s="371" customFormat="1" ht="27" hidden="1" customHeight="1" spans="1:80">
      <c r="A224" s="410">
        <v>45831</v>
      </c>
      <c r="B224" s="411" t="s">
        <v>1233</v>
      </c>
      <c r="C224" s="412" t="s">
        <v>117</v>
      </c>
      <c r="D224" s="413">
        <v>4500170808</v>
      </c>
      <c r="E224" s="412" t="s">
        <v>1241</v>
      </c>
      <c r="F224" s="411" t="s">
        <v>1242</v>
      </c>
      <c r="G224" s="414" t="s">
        <v>131</v>
      </c>
      <c r="H224" s="411" t="s">
        <v>132</v>
      </c>
      <c r="I224" s="415">
        <v>1269</v>
      </c>
      <c r="J224" s="415">
        <v>0</v>
      </c>
      <c r="K224" s="415">
        <v>27</v>
      </c>
      <c r="L224" s="415">
        <f t="shared" si="553"/>
        <v>47</v>
      </c>
      <c r="M224" s="416">
        <v>45880</v>
      </c>
      <c r="N224" s="416">
        <v>45906</v>
      </c>
      <c r="O224" s="417" t="s">
        <v>1236</v>
      </c>
      <c r="P224" s="417" t="s">
        <v>107</v>
      </c>
      <c r="Q224" s="417" t="s">
        <v>1237</v>
      </c>
      <c r="R224" s="417">
        <v>45834</v>
      </c>
      <c r="S224" s="453" t="s">
        <v>80</v>
      </c>
      <c r="T224" s="453" t="s">
        <v>80</v>
      </c>
      <c r="U224" s="417"/>
      <c r="V224" s="420" t="s">
        <v>1239</v>
      </c>
      <c r="W224" s="416" t="s">
        <v>587</v>
      </c>
      <c r="X224" s="421">
        <v>0.4549</v>
      </c>
      <c r="Y224" s="415">
        <f t="shared" si="482"/>
        <v>577.2681</v>
      </c>
      <c r="Z224" s="502" t="s">
        <v>1243</v>
      </c>
      <c r="AA224" s="420">
        <f>1242+27</f>
        <v>1269</v>
      </c>
      <c r="AB224" s="420">
        <f t="shared" si="449"/>
        <v>0</v>
      </c>
      <c r="AC224" s="417" t="s">
        <v>80</v>
      </c>
      <c r="AD224" s="417" t="s">
        <v>114</v>
      </c>
      <c r="AE224" s="416" t="s">
        <v>131</v>
      </c>
      <c r="AF224" s="416" t="s">
        <v>115</v>
      </c>
      <c r="AG224" s="422">
        <f t="shared" si="572"/>
        <v>1269</v>
      </c>
      <c r="AH224" s="422"/>
      <c r="AI224" s="422">
        <f t="shared" si="573"/>
        <v>1269</v>
      </c>
      <c r="AJ224" s="422"/>
      <c r="AK224" s="422">
        <f t="shared" si="567"/>
        <v>1269</v>
      </c>
      <c r="AL224" s="422"/>
      <c r="AM224" s="422"/>
      <c r="AN224" s="422"/>
      <c r="AO224" s="422">
        <f t="shared" si="574"/>
        <v>1269</v>
      </c>
      <c r="AP224" s="422"/>
      <c r="AQ224" s="422">
        <f t="shared" si="596"/>
        <v>47</v>
      </c>
      <c r="AR224" s="422"/>
      <c r="AS224" s="422"/>
      <c r="AT224" s="422"/>
      <c r="AU224" s="422"/>
      <c r="AV224" s="422"/>
      <c r="AW224" s="422"/>
      <c r="AX224" s="422"/>
      <c r="AY224" s="422"/>
      <c r="AZ224" s="422"/>
      <c r="BA224" s="422"/>
      <c r="BB224" s="422"/>
      <c r="BC224" s="422"/>
      <c r="BD224" s="422"/>
      <c r="BE224" s="422"/>
      <c r="BF224" s="422"/>
      <c r="BG224" s="422"/>
      <c r="BH224" s="422"/>
      <c r="BI224" s="422"/>
      <c r="BJ224" s="423">
        <f t="shared" ref="BJ224:BR224" si="601">$I224*BJ$2</f>
        <v>155.3203125</v>
      </c>
      <c r="BK224" s="423">
        <f t="shared" si="601"/>
        <v>155.3203125</v>
      </c>
      <c r="BL224" s="423">
        <f t="shared" si="601"/>
        <v>155.3203125</v>
      </c>
      <c r="BM224" s="423">
        <f t="shared" si="601"/>
        <v>155.3203125</v>
      </c>
      <c r="BN224" s="423">
        <f t="shared" si="601"/>
        <v>155.3203125</v>
      </c>
      <c r="BO224" s="423">
        <f t="shared" si="601"/>
        <v>155.3203125</v>
      </c>
      <c r="BP224" s="423">
        <f t="shared" si="601"/>
        <v>155.3203125</v>
      </c>
      <c r="BQ224" s="423">
        <f t="shared" si="601"/>
        <v>155.3203125</v>
      </c>
      <c r="BR224" s="423">
        <f t="shared" si="601"/>
        <v>26.4375</v>
      </c>
      <c r="BT224" s="59">
        <f t="shared" ref="BT224:CB224" si="602">BT223-BJ224</f>
        <v>73248.7734375</v>
      </c>
      <c r="BU224" s="59">
        <f t="shared" si="602"/>
        <v>73248.7734375</v>
      </c>
      <c r="BV224" s="59">
        <f t="shared" si="602"/>
        <v>73248.7734375</v>
      </c>
      <c r="BW224" s="59">
        <f t="shared" si="602"/>
        <v>73248.7734375</v>
      </c>
      <c r="BX224" s="59">
        <f t="shared" si="602"/>
        <v>73248.7734375</v>
      </c>
      <c r="BY224" s="59">
        <f t="shared" si="602"/>
        <v>73248.7734375</v>
      </c>
      <c r="BZ224" s="59">
        <f t="shared" si="602"/>
        <v>73248.7734375</v>
      </c>
      <c r="CA224" s="59">
        <f t="shared" si="602"/>
        <v>73248.7734375</v>
      </c>
      <c r="CB224" s="59">
        <f t="shared" si="602"/>
        <v>12419.8125</v>
      </c>
    </row>
    <row r="225" s="371" customFormat="1" ht="27" hidden="1" customHeight="1" spans="1:80">
      <c r="A225" s="410">
        <v>45831</v>
      </c>
      <c r="B225" s="411" t="s">
        <v>1233</v>
      </c>
      <c r="C225" s="412" t="s">
        <v>117</v>
      </c>
      <c r="D225" s="413">
        <v>4500170808</v>
      </c>
      <c r="E225" s="412" t="s">
        <v>1244</v>
      </c>
      <c r="F225" s="411" t="s">
        <v>1245</v>
      </c>
      <c r="G225" s="414" t="s">
        <v>131</v>
      </c>
      <c r="H225" s="411" t="s">
        <v>132</v>
      </c>
      <c r="I225" s="415">
        <v>756</v>
      </c>
      <c r="J225" s="415">
        <v>0</v>
      </c>
      <c r="K225" s="415">
        <v>27</v>
      </c>
      <c r="L225" s="415">
        <f t="shared" si="553"/>
        <v>28</v>
      </c>
      <c r="M225" s="416">
        <v>45880</v>
      </c>
      <c r="N225" s="416">
        <v>45906</v>
      </c>
      <c r="O225" s="417" t="s">
        <v>1236</v>
      </c>
      <c r="P225" s="417" t="s">
        <v>107</v>
      </c>
      <c r="Q225" s="417" t="s">
        <v>1237</v>
      </c>
      <c r="R225" s="417">
        <v>45834</v>
      </c>
      <c r="S225" s="453" t="s">
        <v>80</v>
      </c>
      <c r="T225" s="453" t="s">
        <v>80</v>
      </c>
      <c r="U225" s="417"/>
      <c r="V225" s="420" t="s">
        <v>1239</v>
      </c>
      <c r="W225" s="416" t="s">
        <v>587</v>
      </c>
      <c r="X225" s="421">
        <v>0.4581</v>
      </c>
      <c r="Y225" s="415">
        <f t="shared" si="482"/>
        <v>346.3236</v>
      </c>
      <c r="Z225" s="502" t="s">
        <v>1246</v>
      </c>
      <c r="AA225" s="420">
        <f>756</f>
        <v>756</v>
      </c>
      <c r="AB225" s="420">
        <f t="shared" si="449"/>
        <v>0</v>
      </c>
      <c r="AC225" s="417" t="s">
        <v>80</v>
      </c>
      <c r="AD225" s="417" t="s">
        <v>114</v>
      </c>
      <c r="AE225" s="416" t="s">
        <v>131</v>
      </c>
      <c r="AF225" s="416" t="s">
        <v>115</v>
      </c>
      <c r="AG225" s="422">
        <f t="shared" si="572"/>
        <v>756</v>
      </c>
      <c r="AH225" s="422"/>
      <c r="AI225" s="422">
        <f t="shared" si="573"/>
        <v>756</v>
      </c>
      <c r="AJ225" s="422"/>
      <c r="AK225" s="422">
        <f t="shared" si="567"/>
        <v>756</v>
      </c>
      <c r="AL225" s="422"/>
      <c r="AM225" s="422"/>
      <c r="AN225" s="422"/>
      <c r="AO225" s="422">
        <f t="shared" si="574"/>
        <v>756</v>
      </c>
      <c r="AP225" s="422"/>
      <c r="AQ225" s="422">
        <f t="shared" si="596"/>
        <v>28</v>
      </c>
      <c r="AR225" s="422"/>
      <c r="AS225" s="422"/>
      <c r="AT225" s="422"/>
      <c r="AU225" s="422"/>
      <c r="AV225" s="422"/>
      <c r="AW225" s="422"/>
      <c r="AX225" s="422"/>
      <c r="AY225" s="422"/>
      <c r="AZ225" s="422"/>
      <c r="BA225" s="422"/>
      <c r="BB225" s="422"/>
      <c r="BC225" s="422"/>
      <c r="BD225" s="422"/>
      <c r="BE225" s="422"/>
      <c r="BF225" s="422"/>
      <c r="BG225" s="422"/>
      <c r="BH225" s="422"/>
      <c r="BI225" s="422"/>
      <c r="BJ225" s="423">
        <f t="shared" ref="BJ225:BR225" si="603">$I225*BJ$2</f>
        <v>92.5312499999997</v>
      </c>
      <c r="BK225" s="423">
        <f t="shared" si="603"/>
        <v>92.5312499999997</v>
      </c>
      <c r="BL225" s="423">
        <f t="shared" si="603"/>
        <v>92.5312499999997</v>
      </c>
      <c r="BM225" s="423">
        <f t="shared" si="603"/>
        <v>92.5312499999997</v>
      </c>
      <c r="BN225" s="423">
        <f t="shared" si="603"/>
        <v>92.5312499999997</v>
      </c>
      <c r="BO225" s="423">
        <f t="shared" si="603"/>
        <v>92.5312499999997</v>
      </c>
      <c r="BP225" s="423">
        <f t="shared" si="603"/>
        <v>92.5312499999997</v>
      </c>
      <c r="BQ225" s="423">
        <f t="shared" si="603"/>
        <v>92.5312499999997</v>
      </c>
      <c r="BR225" s="423">
        <f t="shared" si="603"/>
        <v>15.75</v>
      </c>
      <c r="BT225" s="59">
        <f t="shared" ref="BT225:CB225" si="604">BT224-BJ225</f>
        <v>73156.2421875</v>
      </c>
      <c r="BU225" s="59">
        <f t="shared" si="604"/>
        <v>73156.2421875</v>
      </c>
      <c r="BV225" s="59">
        <f t="shared" si="604"/>
        <v>73156.2421875</v>
      </c>
      <c r="BW225" s="59">
        <f t="shared" si="604"/>
        <v>73156.2421875</v>
      </c>
      <c r="BX225" s="59">
        <f t="shared" si="604"/>
        <v>73156.2421875</v>
      </c>
      <c r="BY225" s="59">
        <f t="shared" si="604"/>
        <v>73156.2421875</v>
      </c>
      <c r="BZ225" s="59">
        <f t="shared" si="604"/>
        <v>73156.2421875</v>
      </c>
      <c r="CA225" s="59">
        <f t="shared" si="604"/>
        <v>73156.2421875</v>
      </c>
      <c r="CB225" s="59">
        <f t="shared" si="604"/>
        <v>12404.0625</v>
      </c>
    </row>
    <row r="226" s="371" customFormat="1" ht="27" hidden="1" customHeight="1" spans="1:80">
      <c r="A226" s="410">
        <v>45831</v>
      </c>
      <c r="B226" s="411" t="s">
        <v>1233</v>
      </c>
      <c r="C226" s="412" t="s">
        <v>117</v>
      </c>
      <c r="D226" s="413">
        <v>4500170808</v>
      </c>
      <c r="E226" s="412" t="s">
        <v>1247</v>
      </c>
      <c r="F226" s="411" t="s">
        <v>1248</v>
      </c>
      <c r="G226" s="414" t="s">
        <v>131</v>
      </c>
      <c r="H226" s="411" t="s">
        <v>132</v>
      </c>
      <c r="I226" s="415">
        <v>1728</v>
      </c>
      <c r="J226" s="415">
        <v>0</v>
      </c>
      <c r="K226" s="415">
        <v>27</v>
      </c>
      <c r="L226" s="415">
        <f t="shared" si="553"/>
        <v>64</v>
      </c>
      <c r="M226" s="416">
        <v>45880</v>
      </c>
      <c r="N226" s="416">
        <v>45906</v>
      </c>
      <c r="O226" s="417" t="s">
        <v>1236</v>
      </c>
      <c r="P226" s="417" t="s">
        <v>107</v>
      </c>
      <c r="Q226" s="417" t="s">
        <v>1237</v>
      </c>
      <c r="R226" s="417">
        <v>45834</v>
      </c>
      <c r="S226" s="453" t="s">
        <v>80</v>
      </c>
      <c r="T226" s="453" t="s">
        <v>80</v>
      </c>
      <c r="U226" s="417"/>
      <c r="V226" s="420" t="s">
        <v>1239</v>
      </c>
      <c r="W226" s="416" t="s">
        <v>587</v>
      </c>
      <c r="X226" s="421">
        <v>0.41549</v>
      </c>
      <c r="Y226" s="415">
        <f t="shared" si="482"/>
        <v>717.96672</v>
      </c>
      <c r="Z226" s="502" t="s">
        <v>1249</v>
      </c>
      <c r="AA226" s="420">
        <f>1728</f>
        <v>1728</v>
      </c>
      <c r="AB226" s="420">
        <f t="shared" si="449"/>
        <v>0</v>
      </c>
      <c r="AC226" s="417" t="s">
        <v>80</v>
      </c>
      <c r="AD226" s="417" t="s">
        <v>114</v>
      </c>
      <c r="AE226" s="416" t="s">
        <v>131</v>
      </c>
      <c r="AF226" s="416" t="s">
        <v>115</v>
      </c>
      <c r="AG226" s="422">
        <f t="shared" si="572"/>
        <v>1728</v>
      </c>
      <c r="AH226" s="422"/>
      <c r="AI226" s="422">
        <f t="shared" si="573"/>
        <v>1728</v>
      </c>
      <c r="AJ226" s="422"/>
      <c r="AK226" s="422">
        <f t="shared" si="567"/>
        <v>1728</v>
      </c>
      <c r="AL226" s="422"/>
      <c r="AM226" s="422"/>
      <c r="AN226" s="422"/>
      <c r="AO226" s="422">
        <f t="shared" si="574"/>
        <v>1728</v>
      </c>
      <c r="AP226" s="422"/>
      <c r="AQ226" s="422">
        <f t="shared" si="596"/>
        <v>64</v>
      </c>
      <c r="AR226" s="422"/>
      <c r="AS226" s="422"/>
      <c r="AT226" s="422"/>
      <c r="AU226" s="422"/>
      <c r="AV226" s="422"/>
      <c r="AW226" s="422"/>
      <c r="AX226" s="422"/>
      <c r="AY226" s="422"/>
      <c r="AZ226" s="422"/>
      <c r="BA226" s="422"/>
      <c r="BB226" s="422"/>
      <c r="BC226" s="422"/>
      <c r="BD226" s="422"/>
      <c r="BE226" s="422"/>
      <c r="BF226" s="422"/>
      <c r="BG226" s="422"/>
      <c r="BH226" s="422"/>
      <c r="BI226" s="422"/>
      <c r="BJ226" s="423">
        <f t="shared" ref="BJ226:BR226" si="605">$I226*BJ$2</f>
        <v>211.499999999999</v>
      </c>
      <c r="BK226" s="423">
        <f t="shared" si="605"/>
        <v>211.499999999999</v>
      </c>
      <c r="BL226" s="423">
        <f t="shared" si="605"/>
        <v>211.499999999999</v>
      </c>
      <c r="BM226" s="423">
        <f t="shared" si="605"/>
        <v>211.499999999999</v>
      </c>
      <c r="BN226" s="423">
        <f t="shared" si="605"/>
        <v>211.499999999999</v>
      </c>
      <c r="BO226" s="423">
        <f t="shared" si="605"/>
        <v>211.499999999999</v>
      </c>
      <c r="BP226" s="423">
        <f t="shared" si="605"/>
        <v>211.499999999999</v>
      </c>
      <c r="BQ226" s="423">
        <f t="shared" si="605"/>
        <v>211.499999999999</v>
      </c>
      <c r="BR226" s="423">
        <f t="shared" si="605"/>
        <v>35.9999999999999</v>
      </c>
      <c r="BT226" s="59">
        <f t="shared" ref="BT226:CB226" si="606">BT225-BJ226</f>
        <v>72944.7421875</v>
      </c>
      <c r="BU226" s="59">
        <f t="shared" si="606"/>
        <v>72944.7421875</v>
      </c>
      <c r="BV226" s="59">
        <f t="shared" si="606"/>
        <v>72944.7421875</v>
      </c>
      <c r="BW226" s="59">
        <f t="shared" si="606"/>
        <v>72944.7421875</v>
      </c>
      <c r="BX226" s="59">
        <f t="shared" si="606"/>
        <v>72944.7421875</v>
      </c>
      <c r="BY226" s="59">
        <f t="shared" si="606"/>
        <v>72944.7421875</v>
      </c>
      <c r="BZ226" s="59">
        <f t="shared" si="606"/>
        <v>72944.7421875</v>
      </c>
      <c r="CA226" s="59">
        <f t="shared" si="606"/>
        <v>72944.7421875</v>
      </c>
      <c r="CB226" s="59">
        <f t="shared" si="606"/>
        <v>12368.0625</v>
      </c>
    </row>
    <row r="227" s="371" customFormat="1" ht="27" hidden="1" customHeight="1" spans="1:80">
      <c r="A227" s="410">
        <v>45831</v>
      </c>
      <c r="B227" s="411" t="s">
        <v>1233</v>
      </c>
      <c r="C227" s="412" t="s">
        <v>117</v>
      </c>
      <c r="D227" s="413">
        <v>4500170808</v>
      </c>
      <c r="E227" s="412" t="s">
        <v>1250</v>
      </c>
      <c r="F227" s="411" t="s">
        <v>1251</v>
      </c>
      <c r="G227" s="414" t="s">
        <v>131</v>
      </c>
      <c r="H227" s="411" t="s">
        <v>132</v>
      </c>
      <c r="I227" s="415">
        <v>2160</v>
      </c>
      <c r="J227" s="415">
        <v>0</v>
      </c>
      <c r="K227" s="415">
        <v>27</v>
      </c>
      <c r="L227" s="415">
        <f t="shared" si="553"/>
        <v>80</v>
      </c>
      <c r="M227" s="416">
        <v>45880</v>
      </c>
      <c r="N227" s="416">
        <v>45906</v>
      </c>
      <c r="O227" s="417" t="s">
        <v>1236</v>
      </c>
      <c r="P227" s="417" t="s">
        <v>107</v>
      </c>
      <c r="Q227" s="417" t="s">
        <v>1237</v>
      </c>
      <c r="R227" s="417">
        <v>45834</v>
      </c>
      <c r="S227" s="453" t="s">
        <v>80</v>
      </c>
      <c r="T227" s="453" t="s">
        <v>80</v>
      </c>
      <c r="U227" s="417"/>
      <c r="V227" s="420" t="s">
        <v>1239</v>
      </c>
      <c r="W227" s="416" t="s">
        <v>587</v>
      </c>
      <c r="X227" s="421">
        <v>0.4549</v>
      </c>
      <c r="Y227" s="415">
        <f t="shared" si="482"/>
        <v>982.584</v>
      </c>
      <c r="Z227" s="502" t="s">
        <v>1252</v>
      </c>
      <c r="AA227" s="420">
        <f>2079+81</f>
        <v>2160</v>
      </c>
      <c r="AB227" s="420">
        <f t="shared" si="449"/>
        <v>0</v>
      </c>
      <c r="AC227" s="417" t="s">
        <v>80</v>
      </c>
      <c r="AD227" s="417" t="s">
        <v>114</v>
      </c>
      <c r="AE227" s="416" t="s">
        <v>131</v>
      </c>
      <c r="AF227" s="416" t="s">
        <v>115</v>
      </c>
      <c r="AG227" s="422">
        <f t="shared" si="572"/>
        <v>2160</v>
      </c>
      <c r="AH227" s="422"/>
      <c r="AI227" s="422">
        <f t="shared" si="573"/>
        <v>2160</v>
      </c>
      <c r="AJ227" s="422"/>
      <c r="AK227" s="422">
        <f t="shared" si="567"/>
        <v>2160</v>
      </c>
      <c r="AL227" s="422"/>
      <c r="AM227" s="422"/>
      <c r="AN227" s="422"/>
      <c r="AO227" s="422">
        <f t="shared" si="574"/>
        <v>2160</v>
      </c>
      <c r="AP227" s="422"/>
      <c r="AQ227" s="422">
        <f t="shared" si="596"/>
        <v>80</v>
      </c>
      <c r="AR227" s="422"/>
      <c r="AS227" s="422"/>
      <c r="AT227" s="422"/>
      <c r="AU227" s="422"/>
      <c r="AV227" s="422"/>
      <c r="AW227" s="422"/>
      <c r="AX227" s="422"/>
      <c r="AY227" s="422"/>
      <c r="AZ227" s="422"/>
      <c r="BA227" s="422"/>
      <c r="BB227" s="422"/>
      <c r="BC227" s="422"/>
      <c r="BD227" s="422"/>
      <c r="BE227" s="422"/>
      <c r="BF227" s="422"/>
      <c r="BG227" s="422"/>
      <c r="BH227" s="422"/>
      <c r="BI227" s="422"/>
      <c r="BJ227" s="423">
        <f t="shared" ref="BJ227:BR227" si="607">$I227*BJ$2</f>
        <v>264.374999999999</v>
      </c>
      <c r="BK227" s="423">
        <f t="shared" si="607"/>
        <v>264.374999999999</v>
      </c>
      <c r="BL227" s="423">
        <f t="shared" si="607"/>
        <v>264.374999999999</v>
      </c>
      <c r="BM227" s="423">
        <f t="shared" si="607"/>
        <v>264.374999999999</v>
      </c>
      <c r="BN227" s="423">
        <f t="shared" si="607"/>
        <v>264.374999999999</v>
      </c>
      <c r="BO227" s="423">
        <f t="shared" si="607"/>
        <v>264.374999999999</v>
      </c>
      <c r="BP227" s="423">
        <f t="shared" si="607"/>
        <v>264.374999999999</v>
      </c>
      <c r="BQ227" s="423">
        <f t="shared" si="607"/>
        <v>264.374999999999</v>
      </c>
      <c r="BR227" s="423">
        <f t="shared" si="607"/>
        <v>44.9999999999999</v>
      </c>
      <c r="BT227" s="59">
        <f t="shared" ref="BT227:CB227" si="608">BT226-BJ227</f>
        <v>72680.3671875</v>
      </c>
      <c r="BU227" s="59">
        <f t="shared" si="608"/>
        <v>72680.3671875</v>
      </c>
      <c r="BV227" s="59">
        <f t="shared" si="608"/>
        <v>72680.3671875</v>
      </c>
      <c r="BW227" s="59">
        <f t="shared" si="608"/>
        <v>72680.3671875</v>
      </c>
      <c r="BX227" s="59">
        <f t="shared" si="608"/>
        <v>72680.3671875</v>
      </c>
      <c r="BY227" s="59">
        <f t="shared" si="608"/>
        <v>72680.3671875</v>
      </c>
      <c r="BZ227" s="59">
        <f t="shared" si="608"/>
        <v>72680.3671875</v>
      </c>
      <c r="CA227" s="59">
        <f t="shared" si="608"/>
        <v>72680.3671875</v>
      </c>
      <c r="CB227" s="59">
        <f t="shared" si="608"/>
        <v>12323.0625</v>
      </c>
    </row>
    <row r="228" s="371" customFormat="1" ht="27" hidden="1" customHeight="1" spans="1:80">
      <c r="A228" s="410">
        <v>45831</v>
      </c>
      <c r="B228" s="411" t="s">
        <v>1233</v>
      </c>
      <c r="C228" s="412" t="s">
        <v>117</v>
      </c>
      <c r="D228" s="413">
        <v>4500170808</v>
      </c>
      <c r="E228" s="412" t="s">
        <v>1253</v>
      </c>
      <c r="F228" s="411" t="s">
        <v>1254</v>
      </c>
      <c r="G228" s="414" t="s">
        <v>131</v>
      </c>
      <c r="H228" s="411" t="s">
        <v>132</v>
      </c>
      <c r="I228" s="415">
        <v>891</v>
      </c>
      <c r="J228" s="415">
        <v>0</v>
      </c>
      <c r="K228" s="415">
        <v>27</v>
      </c>
      <c r="L228" s="415">
        <f t="shared" si="553"/>
        <v>33</v>
      </c>
      <c r="M228" s="416">
        <v>45880</v>
      </c>
      <c r="N228" s="416">
        <v>45906</v>
      </c>
      <c r="O228" s="417" t="s">
        <v>1236</v>
      </c>
      <c r="P228" s="417" t="s">
        <v>107</v>
      </c>
      <c r="Q228" s="417" t="s">
        <v>1237</v>
      </c>
      <c r="R228" s="417">
        <v>45834</v>
      </c>
      <c r="S228" s="453" t="s">
        <v>80</v>
      </c>
      <c r="T228" s="453" t="s">
        <v>80</v>
      </c>
      <c r="U228" s="417"/>
      <c r="V228" s="420" t="s">
        <v>1239</v>
      </c>
      <c r="W228" s="416" t="s">
        <v>587</v>
      </c>
      <c r="X228" s="421">
        <v>0.4581</v>
      </c>
      <c r="Y228" s="415">
        <f t="shared" si="482"/>
        <v>408.1671</v>
      </c>
      <c r="Z228" s="502" t="s">
        <v>1255</v>
      </c>
      <c r="AA228" s="420">
        <f>891</f>
        <v>891</v>
      </c>
      <c r="AB228" s="420">
        <f t="shared" si="449"/>
        <v>0</v>
      </c>
      <c r="AC228" s="417" t="s">
        <v>80</v>
      </c>
      <c r="AD228" s="417" t="s">
        <v>114</v>
      </c>
      <c r="AE228" s="416" t="s">
        <v>131</v>
      </c>
      <c r="AF228" s="416" t="s">
        <v>115</v>
      </c>
      <c r="AG228" s="422">
        <f t="shared" si="572"/>
        <v>891</v>
      </c>
      <c r="AH228" s="422"/>
      <c r="AI228" s="422">
        <f t="shared" si="573"/>
        <v>891</v>
      </c>
      <c r="AJ228" s="422"/>
      <c r="AK228" s="422">
        <f t="shared" si="567"/>
        <v>891</v>
      </c>
      <c r="AL228" s="422"/>
      <c r="AM228" s="422"/>
      <c r="AN228" s="422"/>
      <c r="AO228" s="422">
        <f t="shared" si="574"/>
        <v>891</v>
      </c>
      <c r="AP228" s="422"/>
      <c r="AQ228" s="422">
        <f t="shared" si="596"/>
        <v>33</v>
      </c>
      <c r="AR228" s="422"/>
      <c r="AS228" s="422"/>
      <c r="AT228" s="422"/>
      <c r="AU228" s="422"/>
      <c r="AV228" s="422"/>
      <c r="AW228" s="422"/>
      <c r="AX228" s="422"/>
      <c r="AY228" s="422"/>
      <c r="AZ228" s="422"/>
      <c r="BA228" s="422"/>
      <c r="BB228" s="422"/>
      <c r="BC228" s="422"/>
      <c r="BD228" s="422"/>
      <c r="BE228" s="422"/>
      <c r="BF228" s="422"/>
      <c r="BG228" s="422"/>
      <c r="BH228" s="422"/>
      <c r="BI228" s="422"/>
      <c r="BJ228" s="423">
        <f t="shared" ref="BJ228:BR228" si="609">$I228*BJ$2</f>
        <v>109.0546875</v>
      </c>
      <c r="BK228" s="423">
        <f t="shared" si="609"/>
        <v>109.0546875</v>
      </c>
      <c r="BL228" s="423">
        <f t="shared" si="609"/>
        <v>109.0546875</v>
      </c>
      <c r="BM228" s="423">
        <f t="shared" si="609"/>
        <v>109.0546875</v>
      </c>
      <c r="BN228" s="423">
        <f t="shared" si="609"/>
        <v>109.0546875</v>
      </c>
      <c r="BO228" s="423">
        <f t="shared" si="609"/>
        <v>109.0546875</v>
      </c>
      <c r="BP228" s="423">
        <f t="shared" si="609"/>
        <v>109.0546875</v>
      </c>
      <c r="BQ228" s="423">
        <f t="shared" si="609"/>
        <v>109.0546875</v>
      </c>
      <c r="BR228" s="423">
        <f t="shared" si="609"/>
        <v>18.5625</v>
      </c>
      <c r="BT228" s="59">
        <f t="shared" ref="BT228:CB228" si="610">BT227-BJ228</f>
        <v>72571.3125</v>
      </c>
      <c r="BU228" s="59">
        <f t="shared" si="610"/>
        <v>72571.3125</v>
      </c>
      <c r="BV228" s="59">
        <f t="shared" si="610"/>
        <v>72571.3125</v>
      </c>
      <c r="BW228" s="59">
        <f t="shared" si="610"/>
        <v>72571.3125</v>
      </c>
      <c r="BX228" s="59">
        <f t="shared" si="610"/>
        <v>72571.3125</v>
      </c>
      <c r="BY228" s="59">
        <f t="shared" si="610"/>
        <v>72571.3125</v>
      </c>
      <c r="BZ228" s="59">
        <f t="shared" si="610"/>
        <v>72571.3125</v>
      </c>
      <c r="CA228" s="59">
        <f t="shared" si="610"/>
        <v>72571.3125</v>
      </c>
      <c r="CB228" s="59">
        <f t="shared" si="610"/>
        <v>12304.5</v>
      </c>
    </row>
    <row r="229" s="371" customFormat="1" ht="27" hidden="1" customHeight="1" spans="1:80">
      <c r="A229" s="410">
        <v>45831</v>
      </c>
      <c r="B229" s="411" t="s">
        <v>1233</v>
      </c>
      <c r="C229" s="412" t="s">
        <v>117</v>
      </c>
      <c r="D229" s="413">
        <v>4500170808</v>
      </c>
      <c r="E229" s="412" t="s">
        <v>1256</v>
      </c>
      <c r="F229" s="411" t="s">
        <v>1257</v>
      </c>
      <c r="G229" s="414" t="s">
        <v>131</v>
      </c>
      <c r="H229" s="411" t="s">
        <v>132</v>
      </c>
      <c r="I229" s="415">
        <v>918</v>
      </c>
      <c r="J229" s="415">
        <v>0</v>
      </c>
      <c r="K229" s="415">
        <v>27</v>
      </c>
      <c r="L229" s="415">
        <f t="shared" si="553"/>
        <v>34</v>
      </c>
      <c r="M229" s="416">
        <v>45880</v>
      </c>
      <c r="N229" s="416">
        <v>45906</v>
      </c>
      <c r="O229" s="417" t="s">
        <v>1236</v>
      </c>
      <c r="P229" s="417" t="s">
        <v>107</v>
      </c>
      <c r="Q229" s="417" t="s">
        <v>1237</v>
      </c>
      <c r="R229" s="417">
        <v>45834</v>
      </c>
      <c r="S229" s="453" t="s">
        <v>80</v>
      </c>
      <c r="T229" s="453" t="s">
        <v>80</v>
      </c>
      <c r="U229" s="417"/>
      <c r="V229" s="420" t="s">
        <v>1239</v>
      </c>
      <c r="W229" s="416" t="s">
        <v>587</v>
      </c>
      <c r="X229" s="421">
        <v>0.4675</v>
      </c>
      <c r="Y229" s="415">
        <f t="shared" si="482"/>
        <v>429.165</v>
      </c>
      <c r="Z229" s="502" t="s">
        <v>1258</v>
      </c>
      <c r="AA229" s="420">
        <v>918</v>
      </c>
      <c r="AB229" s="420">
        <f t="shared" si="449"/>
        <v>0</v>
      </c>
      <c r="AC229" s="417" t="s">
        <v>80</v>
      </c>
      <c r="AD229" s="417" t="s">
        <v>114</v>
      </c>
      <c r="AE229" s="416" t="s">
        <v>131</v>
      </c>
      <c r="AF229" s="416" t="s">
        <v>115</v>
      </c>
      <c r="AG229" s="422">
        <f t="shared" si="572"/>
        <v>918</v>
      </c>
      <c r="AH229" s="422"/>
      <c r="AI229" s="422">
        <f t="shared" si="573"/>
        <v>918</v>
      </c>
      <c r="AJ229" s="422"/>
      <c r="AK229" s="422">
        <f t="shared" si="567"/>
        <v>918</v>
      </c>
      <c r="AL229" s="422"/>
      <c r="AM229" s="422"/>
      <c r="AN229" s="422"/>
      <c r="AO229" s="422">
        <f t="shared" si="574"/>
        <v>918</v>
      </c>
      <c r="AP229" s="422"/>
      <c r="AQ229" s="422">
        <f t="shared" si="596"/>
        <v>34</v>
      </c>
      <c r="AR229" s="422"/>
      <c r="AS229" s="422"/>
      <c r="AT229" s="422"/>
      <c r="AU229" s="422"/>
      <c r="AV229" s="422"/>
      <c r="AW229" s="422"/>
      <c r="AX229" s="422"/>
      <c r="AY229" s="422"/>
      <c r="AZ229" s="422"/>
      <c r="BA229" s="422"/>
      <c r="BB229" s="422"/>
      <c r="BC229" s="422"/>
      <c r="BD229" s="422"/>
      <c r="BE229" s="422"/>
      <c r="BF229" s="422"/>
      <c r="BG229" s="422"/>
      <c r="BH229" s="422"/>
      <c r="BI229" s="422"/>
      <c r="BJ229" s="423">
        <f t="shared" ref="BJ229:BR229" si="611">$I229*BJ$2</f>
        <v>112.359375</v>
      </c>
      <c r="BK229" s="423">
        <f t="shared" si="611"/>
        <v>112.359375</v>
      </c>
      <c r="BL229" s="423">
        <f t="shared" si="611"/>
        <v>112.359375</v>
      </c>
      <c r="BM229" s="423">
        <f t="shared" si="611"/>
        <v>112.359375</v>
      </c>
      <c r="BN229" s="423">
        <f t="shared" si="611"/>
        <v>112.359375</v>
      </c>
      <c r="BO229" s="423">
        <f t="shared" si="611"/>
        <v>112.359375</v>
      </c>
      <c r="BP229" s="423">
        <f t="shared" si="611"/>
        <v>112.359375</v>
      </c>
      <c r="BQ229" s="423">
        <f t="shared" si="611"/>
        <v>112.359375</v>
      </c>
      <c r="BR229" s="423">
        <f t="shared" si="611"/>
        <v>19.125</v>
      </c>
      <c r="BT229" s="59">
        <f t="shared" ref="BT229:CB229" si="612">BT228-BJ229</f>
        <v>72458.953125</v>
      </c>
      <c r="BU229" s="59">
        <f t="shared" si="612"/>
        <v>72458.953125</v>
      </c>
      <c r="BV229" s="59">
        <f t="shared" si="612"/>
        <v>72458.953125</v>
      </c>
      <c r="BW229" s="59">
        <f t="shared" si="612"/>
        <v>72458.953125</v>
      </c>
      <c r="BX229" s="59">
        <f t="shared" si="612"/>
        <v>72458.953125</v>
      </c>
      <c r="BY229" s="59">
        <f t="shared" si="612"/>
        <v>72458.953125</v>
      </c>
      <c r="BZ229" s="59">
        <f t="shared" si="612"/>
        <v>72458.953125</v>
      </c>
      <c r="CA229" s="59">
        <f t="shared" si="612"/>
        <v>72458.953125</v>
      </c>
      <c r="CB229" s="59">
        <f t="shared" si="612"/>
        <v>12285.375</v>
      </c>
    </row>
    <row r="230" s="371" customFormat="1" ht="27" hidden="1" customHeight="1" spans="1:80">
      <c r="A230" s="410">
        <v>45831</v>
      </c>
      <c r="B230" s="411" t="s">
        <v>1233</v>
      </c>
      <c r="C230" s="412" t="s">
        <v>117</v>
      </c>
      <c r="D230" s="413">
        <v>4500170808</v>
      </c>
      <c r="E230" s="412" t="s">
        <v>1259</v>
      </c>
      <c r="F230" s="411" t="s">
        <v>1260</v>
      </c>
      <c r="G230" s="414" t="s">
        <v>131</v>
      </c>
      <c r="H230" s="411" t="s">
        <v>132</v>
      </c>
      <c r="I230" s="415">
        <v>1728</v>
      </c>
      <c r="J230" s="415">
        <v>0</v>
      </c>
      <c r="K230" s="415">
        <v>27</v>
      </c>
      <c r="L230" s="415">
        <f t="shared" si="553"/>
        <v>64</v>
      </c>
      <c r="M230" s="416">
        <v>45880</v>
      </c>
      <c r="N230" s="416">
        <v>45906</v>
      </c>
      <c r="O230" s="417" t="s">
        <v>1236</v>
      </c>
      <c r="P230" s="417" t="s">
        <v>107</v>
      </c>
      <c r="Q230" s="417" t="s">
        <v>1237</v>
      </c>
      <c r="R230" s="417">
        <v>45834</v>
      </c>
      <c r="S230" s="453" t="s">
        <v>80</v>
      </c>
      <c r="T230" s="453" t="s">
        <v>80</v>
      </c>
      <c r="U230" s="417"/>
      <c r="V230" s="420" t="s">
        <v>1239</v>
      </c>
      <c r="W230" s="416" t="s">
        <v>587</v>
      </c>
      <c r="X230" s="421">
        <v>0.4643</v>
      </c>
      <c r="Y230" s="415">
        <f t="shared" si="482"/>
        <v>802.3104</v>
      </c>
      <c r="Z230" s="502" t="s">
        <v>1261</v>
      </c>
      <c r="AA230" s="420">
        <f>1728</f>
        <v>1728</v>
      </c>
      <c r="AB230" s="420">
        <f t="shared" si="449"/>
        <v>0</v>
      </c>
      <c r="AC230" s="417" t="s">
        <v>80</v>
      </c>
      <c r="AD230" s="417" t="s">
        <v>114</v>
      </c>
      <c r="AE230" s="416" t="s">
        <v>131</v>
      </c>
      <c r="AF230" s="416" t="s">
        <v>115</v>
      </c>
      <c r="AG230" s="422">
        <f t="shared" si="572"/>
        <v>1728</v>
      </c>
      <c r="AH230" s="422"/>
      <c r="AI230" s="422">
        <f t="shared" si="573"/>
        <v>1728</v>
      </c>
      <c r="AJ230" s="422"/>
      <c r="AK230" s="422">
        <f t="shared" si="567"/>
        <v>1728</v>
      </c>
      <c r="AL230" s="422"/>
      <c r="AM230" s="422"/>
      <c r="AN230" s="422"/>
      <c r="AO230" s="422">
        <f t="shared" si="574"/>
        <v>1728</v>
      </c>
      <c r="AP230" s="422"/>
      <c r="AQ230" s="422">
        <f t="shared" si="596"/>
        <v>64</v>
      </c>
      <c r="AR230" s="422"/>
      <c r="AS230" s="422"/>
      <c r="AT230" s="422"/>
      <c r="AU230" s="422"/>
      <c r="AV230" s="422"/>
      <c r="AW230" s="422"/>
      <c r="AX230" s="422"/>
      <c r="AY230" s="422"/>
      <c r="AZ230" s="422"/>
      <c r="BA230" s="422"/>
      <c r="BB230" s="422"/>
      <c r="BC230" s="422"/>
      <c r="BD230" s="422"/>
      <c r="BE230" s="422"/>
      <c r="BF230" s="422"/>
      <c r="BG230" s="422"/>
      <c r="BH230" s="422"/>
      <c r="BI230" s="422"/>
      <c r="BJ230" s="423">
        <f t="shared" ref="BJ230:BR230" si="613">$I230*BJ$2</f>
        <v>211.499999999999</v>
      </c>
      <c r="BK230" s="423">
        <f t="shared" si="613"/>
        <v>211.499999999999</v>
      </c>
      <c r="BL230" s="423">
        <f t="shared" si="613"/>
        <v>211.499999999999</v>
      </c>
      <c r="BM230" s="423">
        <f t="shared" si="613"/>
        <v>211.499999999999</v>
      </c>
      <c r="BN230" s="423">
        <f t="shared" si="613"/>
        <v>211.499999999999</v>
      </c>
      <c r="BO230" s="423">
        <f t="shared" si="613"/>
        <v>211.499999999999</v>
      </c>
      <c r="BP230" s="423">
        <f t="shared" si="613"/>
        <v>211.499999999999</v>
      </c>
      <c r="BQ230" s="423">
        <f t="shared" si="613"/>
        <v>211.499999999999</v>
      </c>
      <c r="BR230" s="423">
        <f t="shared" si="613"/>
        <v>35.9999999999999</v>
      </c>
      <c r="BT230" s="59">
        <f t="shared" ref="BT230:CB230" si="614">BT229-BJ230</f>
        <v>72247.453125</v>
      </c>
      <c r="BU230" s="59">
        <f t="shared" si="614"/>
        <v>72247.453125</v>
      </c>
      <c r="BV230" s="59">
        <f t="shared" si="614"/>
        <v>72247.453125</v>
      </c>
      <c r="BW230" s="59">
        <f t="shared" si="614"/>
        <v>72247.453125</v>
      </c>
      <c r="BX230" s="59">
        <f t="shared" si="614"/>
        <v>72247.453125</v>
      </c>
      <c r="BY230" s="59">
        <f t="shared" si="614"/>
        <v>72247.453125</v>
      </c>
      <c r="BZ230" s="59">
        <f t="shared" si="614"/>
        <v>72247.453125</v>
      </c>
      <c r="CA230" s="59">
        <f t="shared" si="614"/>
        <v>72247.453125</v>
      </c>
      <c r="CB230" s="59">
        <f t="shared" si="614"/>
        <v>12249.375</v>
      </c>
    </row>
    <row r="231" s="371" customFormat="1" ht="27" hidden="1" customHeight="1" spans="1:80">
      <c r="A231" s="410">
        <v>45831</v>
      </c>
      <c r="B231" s="411" t="s">
        <v>1233</v>
      </c>
      <c r="C231" s="412" t="s">
        <v>117</v>
      </c>
      <c r="D231" s="413">
        <v>4500170808</v>
      </c>
      <c r="E231" s="412" t="s">
        <v>1262</v>
      </c>
      <c r="F231" s="411" t="s">
        <v>1263</v>
      </c>
      <c r="G231" s="414" t="s">
        <v>131</v>
      </c>
      <c r="H231" s="411" t="s">
        <v>132</v>
      </c>
      <c r="I231" s="415">
        <v>918</v>
      </c>
      <c r="J231" s="415">
        <v>0</v>
      </c>
      <c r="K231" s="415">
        <v>27</v>
      </c>
      <c r="L231" s="415">
        <f t="shared" si="553"/>
        <v>34</v>
      </c>
      <c r="M231" s="416">
        <v>45880</v>
      </c>
      <c r="N231" s="416">
        <v>45906</v>
      </c>
      <c r="O231" s="417" t="s">
        <v>1236</v>
      </c>
      <c r="P231" s="417" t="s">
        <v>107</v>
      </c>
      <c r="Q231" s="417" t="s">
        <v>1237</v>
      </c>
      <c r="R231" s="417">
        <v>45834</v>
      </c>
      <c r="S231" s="453" t="s">
        <v>80</v>
      </c>
      <c r="T231" s="453" t="s">
        <v>80</v>
      </c>
      <c r="U231" s="417"/>
      <c r="V231" s="420" t="s">
        <v>1239</v>
      </c>
      <c r="W231" s="416" t="s">
        <v>587</v>
      </c>
      <c r="X231" s="421">
        <v>0.4675</v>
      </c>
      <c r="Y231" s="415">
        <f t="shared" si="482"/>
        <v>429.165</v>
      </c>
      <c r="Z231" s="416" t="s">
        <v>1264</v>
      </c>
      <c r="AA231" s="420">
        <f>837+81</f>
        <v>918</v>
      </c>
      <c r="AB231" s="420">
        <f t="shared" si="449"/>
        <v>0</v>
      </c>
      <c r="AC231" s="417" t="s">
        <v>80</v>
      </c>
      <c r="AD231" s="417" t="s">
        <v>114</v>
      </c>
      <c r="AE231" s="416" t="s">
        <v>131</v>
      </c>
      <c r="AF231" s="416" t="s">
        <v>115</v>
      </c>
      <c r="AG231" s="422">
        <f t="shared" si="572"/>
        <v>918</v>
      </c>
      <c r="AH231" s="422"/>
      <c r="AI231" s="422">
        <f t="shared" si="573"/>
        <v>918</v>
      </c>
      <c r="AJ231" s="422"/>
      <c r="AK231" s="422">
        <f t="shared" si="567"/>
        <v>918</v>
      </c>
      <c r="AL231" s="422"/>
      <c r="AM231" s="422"/>
      <c r="AN231" s="422"/>
      <c r="AO231" s="422">
        <f t="shared" si="574"/>
        <v>918</v>
      </c>
      <c r="AP231" s="422"/>
      <c r="AQ231" s="422">
        <f t="shared" si="596"/>
        <v>34</v>
      </c>
      <c r="AR231" s="422"/>
      <c r="AS231" s="422"/>
      <c r="AT231" s="422"/>
      <c r="AU231" s="422"/>
      <c r="AV231" s="422"/>
      <c r="AW231" s="422"/>
      <c r="AX231" s="422"/>
      <c r="AY231" s="422"/>
      <c r="AZ231" s="422"/>
      <c r="BA231" s="422"/>
      <c r="BB231" s="422"/>
      <c r="BC231" s="422"/>
      <c r="BD231" s="422"/>
      <c r="BE231" s="422"/>
      <c r="BF231" s="422"/>
      <c r="BG231" s="422"/>
      <c r="BH231" s="422"/>
      <c r="BI231" s="422"/>
      <c r="BJ231" s="423">
        <f t="shared" ref="BJ231:BR231" si="615">$I231*BJ$2</f>
        <v>112.359375</v>
      </c>
      <c r="BK231" s="423">
        <f t="shared" si="615"/>
        <v>112.359375</v>
      </c>
      <c r="BL231" s="423">
        <f t="shared" si="615"/>
        <v>112.359375</v>
      </c>
      <c r="BM231" s="423">
        <f t="shared" si="615"/>
        <v>112.359375</v>
      </c>
      <c r="BN231" s="423">
        <f t="shared" si="615"/>
        <v>112.359375</v>
      </c>
      <c r="BO231" s="423">
        <f t="shared" si="615"/>
        <v>112.359375</v>
      </c>
      <c r="BP231" s="423">
        <f t="shared" si="615"/>
        <v>112.359375</v>
      </c>
      <c r="BQ231" s="423">
        <f t="shared" si="615"/>
        <v>112.359375</v>
      </c>
      <c r="BR231" s="423">
        <f t="shared" si="615"/>
        <v>19.125</v>
      </c>
      <c r="BT231" s="59">
        <f t="shared" ref="BT231:CB231" si="616">BT230-BJ231</f>
        <v>72135.09375</v>
      </c>
      <c r="BU231" s="59">
        <f t="shared" si="616"/>
        <v>72135.09375</v>
      </c>
      <c r="BV231" s="59">
        <f t="shared" si="616"/>
        <v>72135.09375</v>
      </c>
      <c r="BW231" s="59">
        <f t="shared" si="616"/>
        <v>72135.09375</v>
      </c>
      <c r="BX231" s="59">
        <f t="shared" si="616"/>
        <v>72135.09375</v>
      </c>
      <c r="BY231" s="59">
        <f t="shared" si="616"/>
        <v>72135.09375</v>
      </c>
      <c r="BZ231" s="59">
        <f t="shared" si="616"/>
        <v>72135.09375</v>
      </c>
      <c r="CA231" s="59">
        <f t="shared" si="616"/>
        <v>72135.09375</v>
      </c>
      <c r="CB231" s="59">
        <f t="shared" si="616"/>
        <v>12230.25</v>
      </c>
    </row>
    <row r="232" s="371" customFormat="1" ht="27" hidden="1" customHeight="1" spans="1:80">
      <c r="A232" s="410">
        <v>45866</v>
      </c>
      <c r="B232" s="412" t="s">
        <v>149</v>
      </c>
      <c r="C232" s="412" t="s">
        <v>117</v>
      </c>
      <c r="D232" s="413">
        <v>4500175279</v>
      </c>
      <c r="E232" s="412" t="s">
        <v>1265</v>
      </c>
      <c r="F232" s="411" t="s">
        <v>1266</v>
      </c>
      <c r="G232" s="414" t="s">
        <v>152</v>
      </c>
      <c r="H232" s="411" t="s">
        <v>153</v>
      </c>
      <c r="I232" s="415">
        <v>7007</v>
      </c>
      <c r="J232" s="415">
        <v>0</v>
      </c>
      <c r="K232" s="415">
        <v>13</v>
      </c>
      <c r="L232" s="415">
        <f t="shared" si="553"/>
        <v>539</v>
      </c>
      <c r="M232" s="416">
        <v>45908</v>
      </c>
      <c r="N232" s="416">
        <v>45908</v>
      </c>
      <c r="O232" s="417"/>
      <c r="P232" s="417" t="s">
        <v>175</v>
      </c>
      <c r="Q232" s="417" t="s">
        <v>1267</v>
      </c>
      <c r="R232" s="417">
        <v>45869</v>
      </c>
      <c r="S232" s="417" t="s">
        <v>191</v>
      </c>
      <c r="T232" s="417" t="s">
        <v>1268</v>
      </c>
      <c r="U232" s="417"/>
      <c r="V232" s="420" t="s">
        <v>1141</v>
      </c>
      <c r="W232" s="416" t="s">
        <v>158</v>
      </c>
      <c r="X232" s="421">
        <v>0.4622</v>
      </c>
      <c r="Y232" s="415">
        <f t="shared" si="482"/>
        <v>3238.6354</v>
      </c>
      <c r="Z232" s="416" t="s">
        <v>1269</v>
      </c>
      <c r="AA232" s="420">
        <v>7007</v>
      </c>
      <c r="AB232" s="520">
        <f t="shared" si="449"/>
        <v>0</v>
      </c>
      <c r="AC232" s="417" t="s">
        <v>113</v>
      </c>
      <c r="AD232" s="417" t="s">
        <v>114</v>
      </c>
      <c r="AE232" s="416" t="s">
        <v>152</v>
      </c>
      <c r="AF232" s="416" t="s">
        <v>115</v>
      </c>
      <c r="AG232" s="422">
        <f t="shared" si="572"/>
        <v>7007</v>
      </c>
      <c r="AI232" s="422">
        <f t="shared" si="573"/>
        <v>7007</v>
      </c>
      <c r="AJ232" s="422"/>
      <c r="AK232" s="422">
        <f t="shared" si="567"/>
        <v>7007</v>
      </c>
      <c r="AL232" s="422"/>
      <c r="AM232" s="422"/>
      <c r="AN232" s="422"/>
      <c r="AO232" s="422">
        <f t="shared" si="574"/>
        <v>7007</v>
      </c>
      <c r="AP232" s="422"/>
      <c r="AQ232" s="422"/>
      <c r="AR232" s="422"/>
      <c r="AS232" s="422"/>
      <c r="AT232" s="422">
        <f t="shared" ref="AT232:AT236" si="617">I232/13</f>
        <v>539</v>
      </c>
      <c r="AU232" s="422"/>
      <c r="AV232" s="422"/>
      <c r="AW232" s="422"/>
      <c r="AX232" s="422"/>
      <c r="AY232" s="422"/>
      <c r="AZ232" s="422"/>
      <c r="BA232" s="422"/>
      <c r="BB232" s="422"/>
      <c r="BC232" s="422"/>
      <c r="BD232" s="422"/>
      <c r="BE232" s="422"/>
      <c r="BF232" s="422"/>
      <c r="BG232" s="422"/>
      <c r="BH232" s="422"/>
      <c r="BI232" s="422"/>
      <c r="BJ232" s="423">
        <f t="shared" ref="BJ232:BR232" si="618">$I232*BJ$2</f>
        <v>857.627604166664</v>
      </c>
      <c r="BK232" s="423">
        <f t="shared" si="618"/>
        <v>857.627604166664</v>
      </c>
      <c r="BL232" s="423">
        <f t="shared" si="618"/>
        <v>857.627604166664</v>
      </c>
      <c r="BM232" s="423">
        <f t="shared" si="618"/>
        <v>857.627604166664</v>
      </c>
      <c r="BN232" s="423">
        <f t="shared" si="618"/>
        <v>857.627604166664</v>
      </c>
      <c r="BO232" s="423">
        <f t="shared" si="618"/>
        <v>857.627604166664</v>
      </c>
      <c r="BP232" s="423">
        <f t="shared" si="618"/>
        <v>857.627604166664</v>
      </c>
      <c r="BQ232" s="423">
        <f t="shared" si="618"/>
        <v>857.627604166664</v>
      </c>
      <c r="BR232" s="423">
        <f t="shared" si="618"/>
        <v>145.979166666666</v>
      </c>
      <c r="BT232" s="59">
        <f t="shared" ref="BT232:CB232" si="619">BT231-BJ232</f>
        <v>71277.4661458334</v>
      </c>
      <c r="BU232" s="59">
        <f t="shared" si="619"/>
        <v>71277.4661458334</v>
      </c>
      <c r="BV232" s="59">
        <f t="shared" si="619"/>
        <v>71277.4661458334</v>
      </c>
      <c r="BW232" s="59">
        <f t="shared" si="619"/>
        <v>71277.4661458334</v>
      </c>
      <c r="BX232" s="59">
        <f t="shared" si="619"/>
        <v>71277.4661458334</v>
      </c>
      <c r="BY232" s="59">
        <f t="shared" si="619"/>
        <v>71277.4661458334</v>
      </c>
      <c r="BZ232" s="59">
        <f t="shared" si="619"/>
        <v>71277.4661458334</v>
      </c>
      <c r="CA232" s="59">
        <f t="shared" si="619"/>
        <v>71277.4661458334</v>
      </c>
      <c r="CB232" s="59">
        <f t="shared" si="619"/>
        <v>12084.2708333333</v>
      </c>
    </row>
    <row r="233" s="371" customFormat="1" ht="27" hidden="1" customHeight="1" spans="1:80">
      <c r="A233" s="410">
        <v>45866</v>
      </c>
      <c r="B233" s="412" t="s">
        <v>149</v>
      </c>
      <c r="C233" s="412" t="s">
        <v>117</v>
      </c>
      <c r="D233" s="413">
        <v>4500175280</v>
      </c>
      <c r="E233" s="412" t="s">
        <v>1270</v>
      </c>
      <c r="F233" s="411" t="s">
        <v>1271</v>
      </c>
      <c r="G233" s="414" t="s">
        <v>152</v>
      </c>
      <c r="H233" s="411" t="s">
        <v>153</v>
      </c>
      <c r="I233" s="415">
        <v>9009</v>
      </c>
      <c r="J233" s="415">
        <v>0</v>
      </c>
      <c r="K233" s="415">
        <v>13</v>
      </c>
      <c r="L233" s="415">
        <f t="shared" si="553"/>
        <v>693</v>
      </c>
      <c r="M233" s="416">
        <v>45908</v>
      </c>
      <c r="N233" s="416">
        <v>45908</v>
      </c>
      <c r="O233" s="417"/>
      <c r="P233" s="417" t="s">
        <v>175</v>
      </c>
      <c r="Q233" s="417" t="s">
        <v>1272</v>
      </c>
      <c r="R233" s="417">
        <v>45869</v>
      </c>
      <c r="S233" s="417" t="s">
        <v>191</v>
      </c>
      <c r="T233" s="417" t="s">
        <v>1268</v>
      </c>
      <c r="U233" s="417"/>
      <c r="V233" s="420" t="s">
        <v>1141</v>
      </c>
      <c r="W233" s="416" t="s">
        <v>158</v>
      </c>
      <c r="X233" s="421">
        <v>0.4622</v>
      </c>
      <c r="Y233" s="415">
        <f t="shared" si="482"/>
        <v>4163.9598</v>
      </c>
      <c r="Z233" s="416" t="s">
        <v>1273</v>
      </c>
      <c r="AA233" s="420">
        <v>9009</v>
      </c>
      <c r="AB233" s="520">
        <f t="shared" si="449"/>
        <v>0</v>
      </c>
      <c r="AC233" s="417" t="s">
        <v>113</v>
      </c>
      <c r="AD233" s="417" t="s">
        <v>114</v>
      </c>
      <c r="AE233" s="416" t="s">
        <v>152</v>
      </c>
      <c r="AF233" s="416" t="s">
        <v>115</v>
      </c>
      <c r="AG233" s="422">
        <f t="shared" si="572"/>
        <v>9009</v>
      </c>
      <c r="AI233" s="422">
        <f t="shared" si="573"/>
        <v>9009</v>
      </c>
      <c r="AJ233" s="422"/>
      <c r="AK233" s="422">
        <f t="shared" si="567"/>
        <v>9009</v>
      </c>
      <c r="AL233" s="422"/>
      <c r="AM233" s="422"/>
      <c r="AN233" s="422"/>
      <c r="AO233" s="422">
        <f t="shared" si="574"/>
        <v>9009</v>
      </c>
      <c r="AP233" s="422"/>
      <c r="AQ233" s="422"/>
      <c r="AR233" s="422"/>
      <c r="AS233" s="422"/>
      <c r="AT233" s="422">
        <f t="shared" si="617"/>
        <v>693</v>
      </c>
      <c r="AU233" s="422"/>
      <c r="AV233" s="422"/>
      <c r="AW233" s="422"/>
      <c r="AX233" s="422"/>
      <c r="AY233" s="422"/>
      <c r="AZ233" s="422"/>
      <c r="BA233" s="422"/>
      <c r="BB233" s="422"/>
      <c r="BC233" s="422"/>
      <c r="BD233" s="422"/>
      <c r="BE233" s="422"/>
      <c r="BF233" s="422"/>
      <c r="BG233" s="422"/>
      <c r="BH233" s="422"/>
      <c r="BI233" s="422"/>
      <c r="BJ233" s="423">
        <f t="shared" ref="BJ233:BR233" si="620">$I233*BJ$2</f>
        <v>1102.6640625</v>
      </c>
      <c r="BK233" s="423">
        <f t="shared" si="620"/>
        <v>1102.6640625</v>
      </c>
      <c r="BL233" s="423">
        <f t="shared" si="620"/>
        <v>1102.6640625</v>
      </c>
      <c r="BM233" s="423">
        <f t="shared" si="620"/>
        <v>1102.6640625</v>
      </c>
      <c r="BN233" s="423">
        <f t="shared" si="620"/>
        <v>1102.6640625</v>
      </c>
      <c r="BO233" s="423">
        <f t="shared" si="620"/>
        <v>1102.6640625</v>
      </c>
      <c r="BP233" s="423">
        <f t="shared" si="620"/>
        <v>1102.6640625</v>
      </c>
      <c r="BQ233" s="423">
        <f t="shared" si="620"/>
        <v>1102.6640625</v>
      </c>
      <c r="BR233" s="423">
        <f t="shared" si="620"/>
        <v>187.6875</v>
      </c>
      <c r="BT233" s="59">
        <f t="shared" ref="BT233:CB233" si="621">BT232-BJ233</f>
        <v>70174.8020833334</v>
      </c>
      <c r="BU233" s="59">
        <f t="shared" si="621"/>
        <v>70174.8020833334</v>
      </c>
      <c r="BV233" s="59">
        <f t="shared" si="621"/>
        <v>70174.8020833334</v>
      </c>
      <c r="BW233" s="59">
        <f t="shared" si="621"/>
        <v>70174.8020833334</v>
      </c>
      <c r="BX233" s="59">
        <f t="shared" si="621"/>
        <v>70174.8020833334</v>
      </c>
      <c r="BY233" s="59">
        <f t="shared" si="621"/>
        <v>70174.8020833334</v>
      </c>
      <c r="BZ233" s="59">
        <f t="shared" si="621"/>
        <v>70174.8020833334</v>
      </c>
      <c r="CA233" s="59">
        <f t="shared" si="621"/>
        <v>70174.8020833334</v>
      </c>
      <c r="CB233" s="59">
        <f t="shared" si="621"/>
        <v>11896.5833333333</v>
      </c>
    </row>
    <row r="234" s="371" customFormat="1" ht="27" hidden="1" customHeight="1" spans="1:80">
      <c r="A234" s="410">
        <v>45866</v>
      </c>
      <c r="B234" s="412" t="s">
        <v>149</v>
      </c>
      <c r="C234" s="412" t="s">
        <v>117</v>
      </c>
      <c r="D234" s="413">
        <v>4500175281</v>
      </c>
      <c r="E234" s="412" t="s">
        <v>1274</v>
      </c>
      <c r="F234" s="411" t="s">
        <v>1275</v>
      </c>
      <c r="G234" s="414" t="s">
        <v>152</v>
      </c>
      <c r="H234" s="411" t="s">
        <v>153</v>
      </c>
      <c r="I234" s="415">
        <v>5421</v>
      </c>
      <c r="J234" s="415">
        <v>0</v>
      </c>
      <c r="K234" s="415">
        <v>13</v>
      </c>
      <c r="L234" s="415">
        <f t="shared" si="553"/>
        <v>417</v>
      </c>
      <c r="M234" s="416">
        <v>45912</v>
      </c>
      <c r="N234" s="416">
        <v>45908</v>
      </c>
      <c r="O234" s="417"/>
      <c r="P234" s="417" t="s">
        <v>107</v>
      </c>
      <c r="Q234" s="417" t="s">
        <v>1231</v>
      </c>
      <c r="R234" s="417">
        <v>45876</v>
      </c>
      <c r="S234" s="417" t="s">
        <v>191</v>
      </c>
      <c r="T234" s="417" t="s">
        <v>1276</v>
      </c>
      <c r="U234" s="417"/>
      <c r="V234" s="420" t="s">
        <v>1141</v>
      </c>
      <c r="W234" s="416" t="s">
        <v>158</v>
      </c>
      <c r="X234" s="421">
        <v>0.4622</v>
      </c>
      <c r="Y234" s="415">
        <f t="shared" si="482"/>
        <v>2505.5862</v>
      </c>
      <c r="Z234" s="416" t="s">
        <v>1277</v>
      </c>
      <c r="AA234" s="420">
        <v>5421</v>
      </c>
      <c r="AB234" s="520">
        <f t="shared" ref="AB234:AB297" si="622">AA234-I234</f>
        <v>0</v>
      </c>
      <c r="AC234" s="417" t="s">
        <v>113</v>
      </c>
      <c r="AD234" s="417" t="s">
        <v>114</v>
      </c>
      <c r="AE234" s="416" t="s">
        <v>152</v>
      </c>
      <c r="AF234" s="416" t="s">
        <v>115</v>
      </c>
      <c r="AG234" s="422">
        <f t="shared" si="572"/>
        <v>5421</v>
      </c>
      <c r="AI234" s="422">
        <f t="shared" si="573"/>
        <v>5421</v>
      </c>
      <c r="AJ234" s="422"/>
      <c r="AK234" s="422">
        <f t="shared" si="567"/>
        <v>5421</v>
      </c>
      <c r="AL234" s="422"/>
      <c r="AM234" s="422"/>
      <c r="AN234" s="422"/>
      <c r="AO234" s="422">
        <f t="shared" si="574"/>
        <v>5421</v>
      </c>
      <c r="AP234" s="422"/>
      <c r="AQ234" s="422"/>
      <c r="AR234" s="422"/>
      <c r="AS234" s="422"/>
      <c r="AT234" s="422">
        <f t="shared" si="617"/>
        <v>417</v>
      </c>
      <c r="AU234" s="422"/>
      <c r="AV234" s="422"/>
      <c r="AW234" s="422"/>
      <c r="AX234" s="422"/>
      <c r="AY234" s="422"/>
      <c r="AZ234" s="422"/>
      <c r="BA234" s="422"/>
      <c r="BB234" s="422"/>
      <c r="BC234" s="422"/>
      <c r="BD234" s="422"/>
      <c r="BE234" s="422"/>
      <c r="BF234" s="422"/>
      <c r="BG234" s="422"/>
      <c r="BH234" s="422"/>
      <c r="BI234" s="422"/>
      <c r="BJ234" s="423">
        <f t="shared" ref="BJ234:BR234" si="623">$I234*BJ$2</f>
        <v>663.507812499998</v>
      </c>
      <c r="BK234" s="423">
        <f t="shared" si="623"/>
        <v>663.507812499998</v>
      </c>
      <c r="BL234" s="423">
        <f t="shared" si="623"/>
        <v>663.507812499998</v>
      </c>
      <c r="BM234" s="423">
        <f t="shared" si="623"/>
        <v>663.507812499998</v>
      </c>
      <c r="BN234" s="423">
        <f t="shared" si="623"/>
        <v>663.507812499998</v>
      </c>
      <c r="BO234" s="423">
        <f t="shared" si="623"/>
        <v>663.507812499998</v>
      </c>
      <c r="BP234" s="423">
        <f t="shared" si="623"/>
        <v>663.507812499998</v>
      </c>
      <c r="BQ234" s="423">
        <f t="shared" si="623"/>
        <v>663.507812499998</v>
      </c>
      <c r="BR234" s="423">
        <f t="shared" si="623"/>
        <v>112.9375</v>
      </c>
      <c r="BT234" s="59">
        <f t="shared" ref="BT234:CB234" si="624">BT233-BJ234</f>
        <v>69511.2942708334</v>
      </c>
      <c r="BU234" s="59">
        <f t="shared" si="624"/>
        <v>69511.2942708334</v>
      </c>
      <c r="BV234" s="59">
        <f t="shared" si="624"/>
        <v>69511.2942708334</v>
      </c>
      <c r="BW234" s="59">
        <f t="shared" si="624"/>
        <v>69511.2942708334</v>
      </c>
      <c r="BX234" s="59">
        <f t="shared" si="624"/>
        <v>69511.2942708334</v>
      </c>
      <c r="BY234" s="59">
        <f t="shared" si="624"/>
        <v>69511.2942708334</v>
      </c>
      <c r="BZ234" s="59">
        <f t="shared" si="624"/>
        <v>69511.2942708334</v>
      </c>
      <c r="CA234" s="59">
        <f t="shared" si="624"/>
        <v>69511.2942708334</v>
      </c>
      <c r="CB234" s="59">
        <f t="shared" si="624"/>
        <v>11783.6458333333</v>
      </c>
    </row>
    <row r="235" s="371" customFormat="1" ht="27" hidden="1" customHeight="1" spans="1:80">
      <c r="A235" s="410">
        <v>45866</v>
      </c>
      <c r="B235" s="412" t="s">
        <v>149</v>
      </c>
      <c r="C235" s="412" t="s">
        <v>117</v>
      </c>
      <c r="D235" s="413">
        <v>4500175278</v>
      </c>
      <c r="E235" s="412" t="s">
        <v>1278</v>
      </c>
      <c r="F235" s="411" t="s">
        <v>1279</v>
      </c>
      <c r="G235" s="414" t="s">
        <v>152</v>
      </c>
      <c r="H235" s="411" t="s">
        <v>153</v>
      </c>
      <c r="I235" s="415">
        <v>5018</v>
      </c>
      <c r="J235" s="415">
        <v>0</v>
      </c>
      <c r="K235" s="415">
        <v>13</v>
      </c>
      <c r="L235" s="415">
        <f t="shared" si="553"/>
        <v>386</v>
      </c>
      <c r="M235" s="416">
        <v>45912</v>
      </c>
      <c r="N235" s="416">
        <v>45908</v>
      </c>
      <c r="O235" s="417"/>
      <c r="P235" s="417" t="s">
        <v>107</v>
      </c>
      <c r="Q235" s="417" t="s">
        <v>1231</v>
      </c>
      <c r="R235" s="417">
        <v>45876</v>
      </c>
      <c r="S235" s="417" t="s">
        <v>191</v>
      </c>
      <c r="T235" s="417" t="s">
        <v>1276</v>
      </c>
      <c r="U235" s="417"/>
      <c r="V235" s="420" t="s">
        <v>1141</v>
      </c>
      <c r="W235" s="416" t="s">
        <v>158</v>
      </c>
      <c r="X235" s="421">
        <v>0.4622</v>
      </c>
      <c r="Y235" s="415">
        <f t="shared" si="482"/>
        <v>2319.3196</v>
      </c>
      <c r="Z235" s="416" t="s">
        <v>1280</v>
      </c>
      <c r="AA235" s="420">
        <v>5018</v>
      </c>
      <c r="AB235" s="520">
        <f t="shared" si="622"/>
        <v>0</v>
      </c>
      <c r="AC235" s="417" t="s">
        <v>113</v>
      </c>
      <c r="AD235" s="417" t="s">
        <v>114</v>
      </c>
      <c r="AE235" s="416" t="s">
        <v>152</v>
      </c>
      <c r="AF235" s="416" t="s">
        <v>115</v>
      </c>
      <c r="AG235" s="422">
        <f t="shared" si="572"/>
        <v>5018</v>
      </c>
      <c r="AI235" s="422">
        <f t="shared" si="573"/>
        <v>5018</v>
      </c>
      <c r="AJ235" s="422"/>
      <c r="AK235" s="422">
        <f t="shared" si="567"/>
        <v>5018</v>
      </c>
      <c r="AL235" s="422"/>
      <c r="AM235" s="422"/>
      <c r="AN235" s="422"/>
      <c r="AO235" s="422">
        <f t="shared" si="574"/>
        <v>5018</v>
      </c>
      <c r="AP235" s="422"/>
      <c r="AQ235" s="422"/>
      <c r="AR235" s="422"/>
      <c r="AS235" s="422"/>
      <c r="AT235" s="422">
        <f t="shared" si="617"/>
        <v>386</v>
      </c>
      <c r="AU235" s="422"/>
      <c r="AV235" s="422"/>
      <c r="AW235" s="422"/>
      <c r="AX235" s="422"/>
      <c r="AY235" s="422"/>
      <c r="AZ235" s="422"/>
      <c r="BA235" s="422"/>
      <c r="BB235" s="422"/>
      <c r="BC235" s="422"/>
      <c r="BD235" s="422"/>
      <c r="BE235" s="422"/>
      <c r="BF235" s="422"/>
      <c r="BG235" s="422"/>
      <c r="BH235" s="422"/>
      <c r="BI235" s="422"/>
      <c r="BJ235" s="423">
        <f t="shared" ref="BJ235:BR235" si="625">$I235*BJ$2</f>
        <v>614.182291666665</v>
      </c>
      <c r="BK235" s="423">
        <f t="shared" si="625"/>
        <v>614.182291666665</v>
      </c>
      <c r="BL235" s="423">
        <f t="shared" si="625"/>
        <v>614.182291666665</v>
      </c>
      <c r="BM235" s="423">
        <f t="shared" si="625"/>
        <v>614.182291666665</v>
      </c>
      <c r="BN235" s="423">
        <f t="shared" si="625"/>
        <v>614.182291666665</v>
      </c>
      <c r="BO235" s="423">
        <f t="shared" si="625"/>
        <v>614.182291666665</v>
      </c>
      <c r="BP235" s="423">
        <f t="shared" si="625"/>
        <v>614.182291666665</v>
      </c>
      <c r="BQ235" s="423">
        <f t="shared" si="625"/>
        <v>614.182291666665</v>
      </c>
      <c r="BR235" s="423">
        <f t="shared" si="625"/>
        <v>104.541666666667</v>
      </c>
      <c r="BT235" s="59">
        <f t="shared" ref="BT235:CB235" si="626">BT234-BJ235</f>
        <v>68897.1119791667</v>
      </c>
      <c r="BU235" s="59">
        <f t="shared" si="626"/>
        <v>68897.1119791667</v>
      </c>
      <c r="BV235" s="59">
        <f t="shared" si="626"/>
        <v>68897.1119791667</v>
      </c>
      <c r="BW235" s="59">
        <f t="shared" si="626"/>
        <v>68897.1119791667</v>
      </c>
      <c r="BX235" s="59">
        <f t="shared" si="626"/>
        <v>68897.1119791667</v>
      </c>
      <c r="BY235" s="59">
        <f t="shared" si="626"/>
        <v>68897.1119791667</v>
      </c>
      <c r="BZ235" s="59">
        <f t="shared" si="626"/>
        <v>68897.1119791667</v>
      </c>
      <c r="CA235" s="59">
        <f t="shared" si="626"/>
        <v>68897.1119791667</v>
      </c>
      <c r="CB235" s="59">
        <f t="shared" si="626"/>
        <v>11679.1041666667</v>
      </c>
    </row>
    <row r="236" s="371" customFormat="1" ht="27" hidden="1" customHeight="1" spans="1:80">
      <c r="A236" s="410">
        <v>45868</v>
      </c>
      <c r="B236" s="412" t="s">
        <v>1281</v>
      </c>
      <c r="C236" s="412" t="s">
        <v>1282</v>
      </c>
      <c r="D236" s="413">
        <v>4500175435</v>
      </c>
      <c r="E236" s="412"/>
      <c r="F236" s="411" t="s">
        <v>1283</v>
      </c>
      <c r="G236" s="414" t="s">
        <v>94</v>
      </c>
      <c r="H236" s="411" t="s">
        <v>211</v>
      </c>
      <c r="I236" s="415">
        <v>312</v>
      </c>
      <c r="J236" s="415">
        <v>0</v>
      </c>
      <c r="K236" s="415">
        <v>52</v>
      </c>
      <c r="L236" s="415">
        <f t="shared" si="553"/>
        <v>6</v>
      </c>
      <c r="M236" s="416">
        <v>45915</v>
      </c>
      <c r="N236" s="416">
        <v>45911</v>
      </c>
      <c r="O236" s="417"/>
      <c r="P236" s="417" t="s">
        <v>224</v>
      </c>
      <c r="Q236" s="417" t="s">
        <v>1284</v>
      </c>
      <c r="R236" s="417">
        <v>45869</v>
      </c>
      <c r="S236" s="417" t="s">
        <v>80</v>
      </c>
      <c r="T236" s="453" t="s">
        <v>1285</v>
      </c>
      <c r="U236" s="417"/>
      <c r="V236" s="420" t="s">
        <v>1286</v>
      </c>
      <c r="W236" s="416" t="s">
        <v>245</v>
      </c>
      <c r="X236" s="421">
        <v>0.8094</v>
      </c>
      <c r="Y236" s="415">
        <f t="shared" si="482"/>
        <v>252.5328</v>
      </c>
      <c r="Z236" s="416" t="s">
        <v>1287</v>
      </c>
      <c r="AA236" s="420">
        <v>312</v>
      </c>
      <c r="AB236" s="520">
        <f t="shared" si="622"/>
        <v>0</v>
      </c>
      <c r="AC236" s="417" t="s">
        <v>113</v>
      </c>
      <c r="AD236" s="417" t="s">
        <v>114</v>
      </c>
      <c r="AE236" s="416" t="s">
        <v>94</v>
      </c>
      <c r="AF236" s="416" t="s">
        <v>115</v>
      </c>
      <c r="AG236" s="422">
        <f t="shared" si="572"/>
        <v>312</v>
      </c>
      <c r="AI236" s="422">
        <f t="shared" si="573"/>
        <v>312</v>
      </c>
      <c r="AJ236" s="422"/>
      <c r="AK236" s="422">
        <f t="shared" si="567"/>
        <v>312</v>
      </c>
      <c r="AL236" s="422"/>
      <c r="AM236" s="422"/>
      <c r="AN236" s="422"/>
      <c r="AO236" s="422">
        <f t="shared" si="574"/>
        <v>312</v>
      </c>
      <c r="AP236" s="422"/>
      <c r="AQ236" s="422"/>
      <c r="AR236" s="422"/>
      <c r="AS236" s="422"/>
      <c r="AT236" s="422">
        <f t="shared" si="617"/>
        <v>24</v>
      </c>
      <c r="AU236" s="422"/>
      <c r="AV236" s="422"/>
      <c r="AW236" s="422"/>
      <c r="AX236" s="422"/>
      <c r="AY236" s="422"/>
      <c r="AZ236" s="422"/>
      <c r="BA236" s="422"/>
      <c r="BB236" s="422"/>
      <c r="BC236" s="422"/>
      <c r="BD236" s="422"/>
      <c r="BE236" s="422"/>
      <c r="BF236" s="422"/>
      <c r="BG236" s="422"/>
      <c r="BH236" s="422"/>
      <c r="BI236" s="422"/>
      <c r="BJ236" s="423">
        <f t="shared" ref="BJ236:BR236" si="627">$I236*BJ$2</f>
        <v>38.1874999999999</v>
      </c>
      <c r="BK236" s="423">
        <f t="shared" si="627"/>
        <v>38.1874999999999</v>
      </c>
      <c r="BL236" s="423">
        <f t="shared" si="627"/>
        <v>38.1874999999999</v>
      </c>
      <c r="BM236" s="423">
        <f t="shared" si="627"/>
        <v>38.1874999999999</v>
      </c>
      <c r="BN236" s="423">
        <f t="shared" si="627"/>
        <v>38.1874999999999</v>
      </c>
      <c r="BO236" s="423">
        <f t="shared" si="627"/>
        <v>38.1874999999999</v>
      </c>
      <c r="BP236" s="423">
        <f t="shared" si="627"/>
        <v>38.1874999999999</v>
      </c>
      <c r="BQ236" s="423">
        <f t="shared" si="627"/>
        <v>38.1874999999999</v>
      </c>
      <c r="BR236" s="423">
        <f t="shared" si="627"/>
        <v>6.49999999999999</v>
      </c>
      <c r="BT236" s="59">
        <f t="shared" ref="BT236:CB236" si="628">BT235-BJ236</f>
        <v>68858.9244791667</v>
      </c>
      <c r="BU236" s="59">
        <f t="shared" si="628"/>
        <v>68858.9244791667</v>
      </c>
      <c r="BV236" s="59">
        <f t="shared" si="628"/>
        <v>68858.9244791667</v>
      </c>
      <c r="BW236" s="59">
        <f t="shared" si="628"/>
        <v>68858.9244791667</v>
      </c>
      <c r="BX236" s="59">
        <f t="shared" si="628"/>
        <v>68858.9244791667</v>
      </c>
      <c r="BY236" s="59">
        <f t="shared" si="628"/>
        <v>68858.9244791667</v>
      </c>
      <c r="BZ236" s="59">
        <f t="shared" si="628"/>
        <v>68858.9244791667</v>
      </c>
      <c r="CA236" s="59">
        <f t="shared" si="628"/>
        <v>68858.9244791667</v>
      </c>
      <c r="CB236" s="59">
        <f t="shared" si="628"/>
        <v>11672.6041666667</v>
      </c>
    </row>
    <row r="237" s="371" customFormat="1" ht="27" hidden="1" customHeight="1" spans="1:80">
      <c r="A237" s="410">
        <v>45882</v>
      </c>
      <c r="B237" s="412" t="s">
        <v>1219</v>
      </c>
      <c r="C237" s="412"/>
      <c r="D237" s="413" t="s">
        <v>1288</v>
      </c>
      <c r="E237" s="412"/>
      <c r="F237" s="411"/>
      <c r="G237" s="414" t="s">
        <v>86</v>
      </c>
      <c r="H237" s="411" t="s">
        <v>559</v>
      </c>
      <c r="I237" s="415">
        <v>7890</v>
      </c>
      <c r="J237" s="415">
        <v>0</v>
      </c>
      <c r="K237" s="415">
        <v>30</v>
      </c>
      <c r="L237" s="415">
        <f t="shared" si="553"/>
        <v>263</v>
      </c>
      <c r="M237" s="416">
        <v>45915</v>
      </c>
      <c r="N237" s="416">
        <v>45911</v>
      </c>
      <c r="O237" s="417" t="s">
        <v>1222</v>
      </c>
      <c r="P237" s="417" t="s">
        <v>107</v>
      </c>
      <c r="Q237" s="417" t="s">
        <v>1223</v>
      </c>
      <c r="R237" s="417" t="s">
        <v>1224</v>
      </c>
      <c r="S237" s="417" t="s">
        <v>80</v>
      </c>
      <c r="T237" s="453" t="s">
        <v>80</v>
      </c>
      <c r="U237" s="417"/>
      <c r="V237" s="420" t="s">
        <v>1289</v>
      </c>
      <c r="W237" s="416" t="s">
        <v>1290</v>
      </c>
      <c r="X237" s="421"/>
      <c r="Y237" s="415"/>
      <c r="Z237" s="416" t="s">
        <v>1291</v>
      </c>
      <c r="AA237" s="420">
        <v>7890</v>
      </c>
      <c r="AB237" s="520">
        <f t="shared" si="622"/>
        <v>0</v>
      </c>
      <c r="AC237" s="417" t="s">
        <v>80</v>
      </c>
      <c r="AD237" s="417" t="s">
        <v>114</v>
      </c>
      <c r="AE237" s="416" t="s">
        <v>1228</v>
      </c>
      <c r="AF237" s="416" t="s">
        <v>115</v>
      </c>
      <c r="AG237" s="422">
        <f t="shared" si="572"/>
        <v>7890</v>
      </c>
      <c r="AI237" s="422">
        <f t="shared" si="573"/>
        <v>7890</v>
      </c>
      <c r="AJ237" s="422"/>
      <c r="AK237" s="422">
        <f t="shared" si="567"/>
        <v>7890</v>
      </c>
      <c r="AL237" s="422"/>
      <c r="AM237" s="422"/>
      <c r="AN237" s="422"/>
      <c r="AO237" s="422">
        <f t="shared" si="574"/>
        <v>7890</v>
      </c>
      <c r="AP237" s="422"/>
      <c r="AQ237" s="422"/>
      <c r="AR237" s="422"/>
      <c r="AS237" s="422"/>
      <c r="AT237" s="422"/>
      <c r="AU237" s="422"/>
      <c r="AV237" s="422"/>
      <c r="AW237" s="422"/>
      <c r="AX237" s="422"/>
      <c r="AY237" s="422"/>
      <c r="AZ237" s="422"/>
      <c r="BA237" s="422"/>
      <c r="BB237" s="422"/>
      <c r="BC237" s="422"/>
      <c r="BD237" s="422"/>
      <c r="BE237" s="422"/>
      <c r="BF237" s="422"/>
      <c r="BG237" s="422"/>
      <c r="BH237" s="422"/>
      <c r="BI237" s="422"/>
      <c r="BJ237" s="423">
        <f t="shared" ref="BJ237:BR237" si="629">$I237*BJ$2</f>
        <v>965.703124999997</v>
      </c>
      <c r="BK237" s="423">
        <f t="shared" si="629"/>
        <v>965.703124999997</v>
      </c>
      <c r="BL237" s="423">
        <f t="shared" si="629"/>
        <v>965.703124999997</v>
      </c>
      <c r="BM237" s="423">
        <f t="shared" si="629"/>
        <v>965.703124999997</v>
      </c>
      <c r="BN237" s="423">
        <f t="shared" si="629"/>
        <v>965.703124999997</v>
      </c>
      <c r="BO237" s="423">
        <f t="shared" si="629"/>
        <v>965.703124999997</v>
      </c>
      <c r="BP237" s="423">
        <f t="shared" si="629"/>
        <v>965.703124999997</v>
      </c>
      <c r="BQ237" s="423">
        <f t="shared" si="629"/>
        <v>965.703124999997</v>
      </c>
      <c r="BR237" s="423">
        <f t="shared" si="629"/>
        <v>164.375</v>
      </c>
      <c r="BT237" s="59">
        <f t="shared" ref="BT237:CB237" si="630">BT236-BJ237</f>
        <v>67893.2213541667</v>
      </c>
      <c r="BU237" s="59">
        <f t="shared" si="630"/>
        <v>67893.2213541667</v>
      </c>
      <c r="BV237" s="59">
        <f t="shared" si="630"/>
        <v>67893.2213541667</v>
      </c>
      <c r="BW237" s="59">
        <f t="shared" si="630"/>
        <v>67893.2213541667</v>
      </c>
      <c r="BX237" s="59">
        <f t="shared" si="630"/>
        <v>67893.2213541667</v>
      </c>
      <c r="BY237" s="59">
        <f t="shared" si="630"/>
        <v>67893.2213541667</v>
      </c>
      <c r="BZ237" s="59">
        <f t="shared" si="630"/>
        <v>67893.2213541667</v>
      </c>
      <c r="CA237" s="59">
        <f t="shared" si="630"/>
        <v>67893.2213541667</v>
      </c>
      <c r="CB237" s="59">
        <f t="shared" si="630"/>
        <v>11508.2291666667</v>
      </c>
    </row>
    <row r="238" s="371" customFormat="1" ht="27" hidden="1" customHeight="1" spans="1:80">
      <c r="A238" s="410">
        <v>45880</v>
      </c>
      <c r="B238" s="411" t="s">
        <v>401</v>
      </c>
      <c r="C238" s="412" t="s">
        <v>117</v>
      </c>
      <c r="D238" s="413">
        <v>4500176521</v>
      </c>
      <c r="E238" s="412" t="s">
        <v>1292</v>
      </c>
      <c r="F238" s="413" t="s">
        <v>1293</v>
      </c>
      <c r="G238" s="414" t="s">
        <v>78</v>
      </c>
      <c r="H238" s="411" t="s">
        <v>79</v>
      </c>
      <c r="I238" s="415">
        <v>3618</v>
      </c>
      <c r="J238" s="415">
        <v>0</v>
      </c>
      <c r="K238" s="415">
        <v>54</v>
      </c>
      <c r="L238" s="415">
        <f t="shared" si="553"/>
        <v>67</v>
      </c>
      <c r="M238" s="416">
        <v>45918</v>
      </c>
      <c r="N238" s="416">
        <v>45913</v>
      </c>
      <c r="O238" s="417"/>
      <c r="P238" s="417" t="s">
        <v>107</v>
      </c>
      <c r="Q238" s="417" t="s">
        <v>1294</v>
      </c>
      <c r="R238" s="453">
        <v>45888</v>
      </c>
      <c r="S238" s="419" t="s">
        <v>80</v>
      </c>
      <c r="T238" s="419" t="s">
        <v>80</v>
      </c>
      <c r="U238" s="417"/>
      <c r="V238" s="420" t="s">
        <v>1295</v>
      </c>
      <c r="W238" s="416" t="s">
        <v>1296</v>
      </c>
      <c r="X238" s="421">
        <v>0.4748</v>
      </c>
      <c r="Y238" s="415">
        <f t="shared" ref="Y238:Y241" si="631">X238*I238</f>
        <v>1717.8264</v>
      </c>
      <c r="Z238" s="416" t="s">
        <v>1297</v>
      </c>
      <c r="AA238" s="420">
        <f>54+3564</f>
        <v>3618</v>
      </c>
      <c r="AB238" s="520">
        <f t="shared" si="622"/>
        <v>0</v>
      </c>
      <c r="AC238" s="417" t="s">
        <v>80</v>
      </c>
      <c r="AD238" s="417" t="s">
        <v>114</v>
      </c>
      <c r="AE238" s="416" t="s">
        <v>78</v>
      </c>
      <c r="AF238" s="416" t="s">
        <v>115</v>
      </c>
      <c r="AG238" s="422">
        <f t="shared" si="572"/>
        <v>3618</v>
      </c>
      <c r="AH238" s="422"/>
      <c r="AI238" s="422">
        <f t="shared" si="573"/>
        <v>3618</v>
      </c>
      <c r="AJ238" s="422"/>
      <c r="AK238" s="422">
        <f t="shared" si="567"/>
        <v>3618</v>
      </c>
      <c r="AL238" s="422"/>
      <c r="AM238" s="422"/>
      <c r="AN238" s="422"/>
      <c r="AO238" s="422">
        <f t="shared" si="574"/>
        <v>3618</v>
      </c>
      <c r="AP238" s="422"/>
      <c r="AQ238" s="422">
        <f>I238/27</f>
        <v>134</v>
      </c>
      <c r="AR238" s="422"/>
      <c r="AS238" s="422"/>
      <c r="AT238" s="422"/>
      <c r="AU238" s="422"/>
      <c r="AV238" s="422"/>
      <c r="AW238" s="422"/>
      <c r="AX238" s="422"/>
      <c r="AY238" s="422"/>
      <c r="AZ238" s="422"/>
      <c r="BA238" s="422"/>
      <c r="BB238" s="422"/>
      <c r="BC238" s="422"/>
      <c r="BD238" s="422"/>
      <c r="BE238" s="422"/>
      <c r="BF238" s="422"/>
      <c r="BG238" s="422"/>
      <c r="BH238" s="422"/>
      <c r="BI238" s="422"/>
      <c r="BJ238" s="423">
        <f t="shared" ref="BJ238:BR238" si="632">$I238*BJ$2</f>
        <v>442.828124999999</v>
      </c>
      <c r="BK238" s="423">
        <f t="shared" si="632"/>
        <v>442.828124999999</v>
      </c>
      <c r="BL238" s="423">
        <f t="shared" si="632"/>
        <v>442.828124999999</v>
      </c>
      <c r="BM238" s="423">
        <f t="shared" si="632"/>
        <v>442.828124999999</v>
      </c>
      <c r="BN238" s="423">
        <f t="shared" si="632"/>
        <v>442.828124999999</v>
      </c>
      <c r="BO238" s="423">
        <f t="shared" si="632"/>
        <v>442.828124999999</v>
      </c>
      <c r="BP238" s="423">
        <f t="shared" si="632"/>
        <v>442.828124999999</v>
      </c>
      <c r="BQ238" s="423">
        <f t="shared" si="632"/>
        <v>442.828124999999</v>
      </c>
      <c r="BR238" s="423">
        <f t="shared" si="632"/>
        <v>75.3749999999999</v>
      </c>
      <c r="BT238" s="59">
        <f t="shared" ref="BT238:CB238" si="633">BT237-BJ238</f>
        <v>67450.3932291667</v>
      </c>
      <c r="BU238" s="59">
        <f t="shared" si="633"/>
        <v>67450.3932291667</v>
      </c>
      <c r="BV238" s="59">
        <f t="shared" si="633"/>
        <v>67450.3932291667</v>
      </c>
      <c r="BW238" s="59">
        <f t="shared" si="633"/>
        <v>67450.3932291667</v>
      </c>
      <c r="BX238" s="59">
        <f t="shared" si="633"/>
        <v>67450.3932291667</v>
      </c>
      <c r="BY238" s="59">
        <f t="shared" si="633"/>
        <v>67450.3932291667</v>
      </c>
      <c r="BZ238" s="59">
        <f t="shared" si="633"/>
        <v>67450.3932291667</v>
      </c>
      <c r="CA238" s="59">
        <f t="shared" si="633"/>
        <v>67450.3932291667</v>
      </c>
      <c r="CB238" s="59">
        <f t="shared" si="633"/>
        <v>11432.8541666667</v>
      </c>
    </row>
    <row r="239" s="371" customFormat="1" ht="27" hidden="1" customHeight="1" spans="1:80">
      <c r="A239" s="410">
        <v>45862</v>
      </c>
      <c r="B239" s="411" t="s">
        <v>1170</v>
      </c>
      <c r="C239" s="412" t="s">
        <v>117</v>
      </c>
      <c r="D239" s="413">
        <v>4500174928</v>
      </c>
      <c r="E239" s="412">
        <v>70073020</v>
      </c>
      <c r="F239" s="413" t="s">
        <v>1298</v>
      </c>
      <c r="G239" s="414" t="s">
        <v>188</v>
      </c>
      <c r="H239" s="411" t="s">
        <v>120</v>
      </c>
      <c r="I239" s="415">
        <v>300</v>
      </c>
      <c r="J239" s="415">
        <v>0</v>
      </c>
      <c r="K239" s="415">
        <v>12</v>
      </c>
      <c r="L239" s="415">
        <f t="shared" si="553"/>
        <v>25</v>
      </c>
      <c r="M239" s="416">
        <v>45918</v>
      </c>
      <c r="N239" s="416">
        <v>45916</v>
      </c>
      <c r="O239" s="417"/>
      <c r="P239" s="417" t="s">
        <v>224</v>
      </c>
      <c r="Q239" s="417" t="s">
        <v>1299</v>
      </c>
      <c r="R239" s="417">
        <v>45883</v>
      </c>
      <c r="S239" s="417" t="s">
        <v>80</v>
      </c>
      <c r="T239" s="453" t="s">
        <v>1300</v>
      </c>
      <c r="U239" s="417"/>
      <c r="V239" s="420" t="s">
        <v>1301</v>
      </c>
      <c r="W239" s="416" t="s">
        <v>1174</v>
      </c>
      <c r="X239" s="421">
        <v>1.1176</v>
      </c>
      <c r="Y239" s="415">
        <f t="shared" si="631"/>
        <v>335.28</v>
      </c>
      <c r="Z239" s="416" t="s">
        <v>1302</v>
      </c>
      <c r="AA239" s="420">
        <v>300</v>
      </c>
      <c r="AB239" s="420">
        <f t="shared" si="622"/>
        <v>0</v>
      </c>
      <c r="AC239" s="417" t="s">
        <v>113</v>
      </c>
      <c r="AD239" s="417" t="s">
        <v>114</v>
      </c>
      <c r="AE239" s="416" t="s">
        <v>119</v>
      </c>
      <c r="AF239" s="416" t="s">
        <v>115</v>
      </c>
      <c r="AG239" s="422">
        <f>I239*2</f>
        <v>600</v>
      </c>
      <c r="AH239" s="422"/>
      <c r="AI239" s="422">
        <f>I239*2</f>
        <v>600</v>
      </c>
      <c r="AJ239" s="422"/>
      <c r="AK239" s="422">
        <f>I239*2</f>
        <v>600</v>
      </c>
      <c r="AL239" s="422"/>
      <c r="AM239" s="422"/>
      <c r="AN239" s="422"/>
      <c r="AO239" s="422">
        <f>I239*2</f>
        <v>600</v>
      </c>
      <c r="AP239" s="422"/>
      <c r="AQ239" s="422"/>
      <c r="AR239" s="422"/>
      <c r="AS239" s="422"/>
      <c r="AT239" s="422"/>
      <c r="AU239" s="422"/>
      <c r="AV239" s="422"/>
      <c r="AW239" s="422"/>
      <c r="AX239" s="422"/>
      <c r="AY239" s="422"/>
      <c r="AZ239" s="422"/>
      <c r="BA239" s="422"/>
      <c r="BB239" s="422"/>
      <c r="BC239" s="422"/>
      <c r="BD239" s="422"/>
      <c r="BE239" s="422"/>
      <c r="BF239" s="422">
        <f>I239</f>
        <v>300</v>
      </c>
      <c r="BG239" s="422">
        <f>I239</f>
        <v>300</v>
      </c>
      <c r="BH239" s="422"/>
      <c r="BI239" s="422"/>
      <c r="BJ239" s="423">
        <f t="shared" ref="BJ239:BR239" si="634">$I239*BJ$2*2</f>
        <v>73.4374999999998</v>
      </c>
      <c r="BK239" s="423">
        <f t="shared" si="634"/>
        <v>73.4374999999998</v>
      </c>
      <c r="BL239" s="423">
        <f t="shared" si="634"/>
        <v>73.4374999999998</v>
      </c>
      <c r="BM239" s="423">
        <f t="shared" si="634"/>
        <v>73.4374999999998</v>
      </c>
      <c r="BN239" s="423">
        <f t="shared" si="634"/>
        <v>73.4374999999998</v>
      </c>
      <c r="BO239" s="423">
        <f t="shared" si="634"/>
        <v>73.4374999999998</v>
      </c>
      <c r="BP239" s="423">
        <f t="shared" si="634"/>
        <v>73.4374999999998</v>
      </c>
      <c r="BQ239" s="423">
        <f t="shared" si="634"/>
        <v>73.4374999999998</v>
      </c>
      <c r="BR239" s="423">
        <f t="shared" si="634"/>
        <v>12.5</v>
      </c>
      <c r="BT239" s="59">
        <f t="shared" ref="BT239:CB239" si="635">BT238-BJ239</f>
        <v>67376.9557291667</v>
      </c>
      <c r="BU239" s="59">
        <f t="shared" si="635"/>
        <v>67376.9557291667</v>
      </c>
      <c r="BV239" s="59">
        <f t="shared" si="635"/>
        <v>67376.9557291667</v>
      </c>
      <c r="BW239" s="59">
        <f t="shared" si="635"/>
        <v>67376.9557291667</v>
      </c>
      <c r="BX239" s="59">
        <f t="shared" si="635"/>
        <v>67376.9557291667</v>
      </c>
      <c r="BY239" s="59">
        <f t="shared" si="635"/>
        <v>67376.9557291667</v>
      </c>
      <c r="BZ239" s="59">
        <f t="shared" si="635"/>
        <v>67376.9557291667</v>
      </c>
      <c r="CA239" s="59">
        <f t="shared" si="635"/>
        <v>67376.9557291667</v>
      </c>
      <c r="CB239" s="59">
        <f t="shared" si="635"/>
        <v>11420.3541666667</v>
      </c>
    </row>
    <row r="240" s="371" customFormat="1" ht="27" hidden="1" customHeight="1" spans="1:80">
      <c r="A240" s="410">
        <v>45860</v>
      </c>
      <c r="B240" s="411" t="s">
        <v>1303</v>
      </c>
      <c r="C240" s="412" t="s">
        <v>1304</v>
      </c>
      <c r="D240" s="413">
        <v>4500174471</v>
      </c>
      <c r="E240" s="412" t="s">
        <v>1305</v>
      </c>
      <c r="F240" s="411" t="s">
        <v>1306</v>
      </c>
      <c r="G240" s="414" t="s">
        <v>94</v>
      </c>
      <c r="H240" s="411" t="s">
        <v>211</v>
      </c>
      <c r="I240" s="415">
        <v>2600</v>
      </c>
      <c r="J240" s="415">
        <v>0</v>
      </c>
      <c r="K240" s="415">
        <v>52</v>
      </c>
      <c r="L240" s="415">
        <f t="shared" si="553"/>
        <v>50</v>
      </c>
      <c r="M240" s="416">
        <v>45919</v>
      </c>
      <c r="N240" s="416">
        <v>45915</v>
      </c>
      <c r="O240" s="417"/>
      <c r="P240" s="417" t="s">
        <v>107</v>
      </c>
      <c r="Q240" s="417" t="s">
        <v>1237</v>
      </c>
      <c r="R240" s="417">
        <v>45876</v>
      </c>
      <c r="S240" s="417" t="s">
        <v>80</v>
      </c>
      <c r="T240" s="417" t="s">
        <v>1307</v>
      </c>
      <c r="U240" s="417"/>
      <c r="V240" s="420" t="s">
        <v>1308</v>
      </c>
      <c r="W240" s="416" t="s">
        <v>214</v>
      </c>
      <c r="X240" s="421">
        <v>0.804</v>
      </c>
      <c r="Y240" s="415">
        <f t="shared" si="631"/>
        <v>2090.4</v>
      </c>
      <c r="Z240" s="416" t="s">
        <v>1309</v>
      </c>
      <c r="AA240" s="420">
        <f>2496+104</f>
        <v>2600</v>
      </c>
      <c r="AB240" s="420">
        <f t="shared" si="622"/>
        <v>0</v>
      </c>
      <c r="AC240" s="417" t="s">
        <v>113</v>
      </c>
      <c r="AD240" s="417" t="s">
        <v>114</v>
      </c>
      <c r="AE240" s="416" t="s">
        <v>94</v>
      </c>
      <c r="AF240" s="416" t="s">
        <v>115</v>
      </c>
      <c r="AG240" s="422">
        <f t="shared" ref="AG240:AG248" si="636">I240</f>
        <v>2600</v>
      </c>
      <c r="AH240" s="422"/>
      <c r="AI240" s="422">
        <f t="shared" ref="AI240:AI248" si="637">I240</f>
        <v>2600</v>
      </c>
      <c r="AJ240" s="422"/>
      <c r="AK240" s="422">
        <f t="shared" ref="AK240:AK248" si="638">I240</f>
        <v>2600</v>
      </c>
      <c r="AL240" s="422"/>
      <c r="AM240" s="422"/>
      <c r="AN240" s="422"/>
      <c r="AO240" s="422">
        <f t="shared" ref="AO240:AO248" si="639">I240</f>
        <v>2600</v>
      </c>
      <c r="AP240" s="422"/>
      <c r="AQ240" s="422"/>
      <c r="AR240" s="422"/>
      <c r="AS240" s="422"/>
      <c r="AT240" s="422">
        <f>I240/13</f>
        <v>200</v>
      </c>
      <c r="AU240" s="422"/>
      <c r="AV240" s="422"/>
      <c r="AW240" s="422"/>
      <c r="AX240" s="422"/>
      <c r="AY240" s="422"/>
      <c r="AZ240" s="422"/>
      <c r="BA240" s="422"/>
      <c r="BB240" s="422"/>
      <c r="BC240" s="422"/>
      <c r="BD240" s="422"/>
      <c r="BE240" s="422"/>
      <c r="BF240" s="422"/>
      <c r="BG240" s="422"/>
      <c r="BH240" s="422"/>
      <c r="BI240" s="422"/>
      <c r="BJ240" s="423">
        <f t="shared" ref="BJ240:BR240" si="640">$I240*BJ$2</f>
        <v>318.229166666666</v>
      </c>
      <c r="BK240" s="423">
        <f t="shared" si="640"/>
        <v>318.229166666666</v>
      </c>
      <c r="BL240" s="423">
        <f t="shared" si="640"/>
        <v>318.229166666666</v>
      </c>
      <c r="BM240" s="423">
        <f t="shared" si="640"/>
        <v>318.229166666666</v>
      </c>
      <c r="BN240" s="423">
        <f t="shared" si="640"/>
        <v>318.229166666666</v>
      </c>
      <c r="BO240" s="423">
        <f t="shared" si="640"/>
        <v>318.229166666666</v>
      </c>
      <c r="BP240" s="423">
        <f t="shared" si="640"/>
        <v>318.229166666666</v>
      </c>
      <c r="BQ240" s="423">
        <f t="shared" si="640"/>
        <v>318.229166666666</v>
      </c>
      <c r="BR240" s="423">
        <f t="shared" si="640"/>
        <v>54.1666666666666</v>
      </c>
      <c r="BT240" s="59">
        <f t="shared" ref="BT240:CB240" si="641">BT239-BJ240</f>
        <v>67058.7265625</v>
      </c>
      <c r="BU240" s="59">
        <f t="shared" si="641"/>
        <v>67058.7265625</v>
      </c>
      <c r="BV240" s="59">
        <f t="shared" si="641"/>
        <v>67058.7265625</v>
      </c>
      <c r="BW240" s="59">
        <f t="shared" si="641"/>
        <v>67058.7265625</v>
      </c>
      <c r="BX240" s="59">
        <f t="shared" si="641"/>
        <v>67058.7265625</v>
      </c>
      <c r="BY240" s="59">
        <f t="shared" si="641"/>
        <v>67058.7265625</v>
      </c>
      <c r="BZ240" s="59">
        <f t="shared" si="641"/>
        <v>67058.7265625</v>
      </c>
      <c r="CA240" s="59">
        <f t="shared" si="641"/>
        <v>67058.7265625</v>
      </c>
      <c r="CB240" s="59">
        <f t="shared" si="641"/>
        <v>11366.1875</v>
      </c>
    </row>
    <row r="241" s="371" customFormat="1" ht="27" hidden="1" customHeight="1" spans="1:80">
      <c r="A241" s="410">
        <v>45891</v>
      </c>
      <c r="B241" s="411" t="s">
        <v>1175</v>
      </c>
      <c r="C241" s="412" t="s">
        <v>170</v>
      </c>
      <c r="D241" s="413">
        <v>4500177568</v>
      </c>
      <c r="E241" s="412">
        <v>11290</v>
      </c>
      <c r="F241" s="411" t="s">
        <v>1310</v>
      </c>
      <c r="G241" s="414" t="s">
        <v>152</v>
      </c>
      <c r="H241" s="411" t="s">
        <v>153</v>
      </c>
      <c r="I241" s="415">
        <v>1040</v>
      </c>
      <c r="J241" s="415">
        <v>0</v>
      </c>
      <c r="K241" s="415">
        <v>13</v>
      </c>
      <c r="L241" s="415">
        <f t="shared" si="553"/>
        <v>80</v>
      </c>
      <c r="M241" s="416">
        <v>45926</v>
      </c>
      <c r="N241" s="416">
        <v>45922</v>
      </c>
      <c r="O241" s="417"/>
      <c r="P241" s="417" t="s">
        <v>224</v>
      </c>
      <c r="Q241" s="417" t="s">
        <v>1311</v>
      </c>
      <c r="R241" s="417">
        <v>45894</v>
      </c>
      <c r="S241" s="419" t="s">
        <v>80</v>
      </c>
      <c r="T241" s="419" t="s">
        <v>80</v>
      </c>
      <c r="U241" s="417"/>
      <c r="V241" s="420" t="s">
        <v>1312</v>
      </c>
      <c r="W241" s="416" t="s">
        <v>1179</v>
      </c>
      <c r="X241" s="421">
        <v>0.7931</v>
      </c>
      <c r="Y241" s="415">
        <f t="shared" si="631"/>
        <v>824.824</v>
      </c>
      <c r="Z241" s="416" t="s">
        <v>1313</v>
      </c>
      <c r="AA241" s="420">
        <v>1040</v>
      </c>
      <c r="AB241" s="420">
        <f t="shared" si="622"/>
        <v>0</v>
      </c>
      <c r="AC241" s="417" t="s">
        <v>80</v>
      </c>
      <c r="AD241" s="417" t="s">
        <v>114</v>
      </c>
      <c r="AE241" s="416" t="s">
        <v>152</v>
      </c>
      <c r="AF241" s="416" t="s">
        <v>115</v>
      </c>
      <c r="AG241" s="422">
        <f t="shared" si="636"/>
        <v>1040</v>
      </c>
      <c r="AH241" s="422"/>
      <c r="AI241" s="422">
        <f t="shared" si="637"/>
        <v>1040</v>
      </c>
      <c r="AJ241" s="422"/>
      <c r="AK241" s="422">
        <f t="shared" si="638"/>
        <v>1040</v>
      </c>
      <c r="AL241" s="422"/>
      <c r="AM241" s="422"/>
      <c r="AN241" s="422"/>
      <c r="AO241" s="422">
        <f t="shared" si="639"/>
        <v>1040</v>
      </c>
      <c r="AP241" s="422"/>
      <c r="AQ241" s="422"/>
      <c r="AR241" s="422"/>
      <c r="AS241" s="422"/>
      <c r="AT241" s="422">
        <f>I241/13</f>
        <v>80</v>
      </c>
      <c r="AU241" s="422"/>
      <c r="AV241" s="422"/>
      <c r="AW241" s="422"/>
      <c r="AX241" s="422"/>
      <c r="AY241" s="422"/>
      <c r="AZ241" s="422"/>
      <c r="BA241" s="422"/>
      <c r="BB241" s="422"/>
      <c r="BC241" s="422"/>
      <c r="BD241" s="422"/>
      <c r="BE241" s="422"/>
      <c r="BF241" s="422"/>
      <c r="BG241" s="422"/>
      <c r="BH241" s="422"/>
      <c r="BI241" s="422"/>
      <c r="BJ241" s="423">
        <f t="shared" ref="BJ241:BR241" si="642">$I241*BJ$2</f>
        <v>127.291666666666</v>
      </c>
      <c r="BK241" s="423">
        <f t="shared" si="642"/>
        <v>127.291666666666</v>
      </c>
      <c r="BL241" s="423">
        <f t="shared" si="642"/>
        <v>127.291666666666</v>
      </c>
      <c r="BM241" s="423">
        <f t="shared" si="642"/>
        <v>127.291666666666</v>
      </c>
      <c r="BN241" s="423">
        <f t="shared" si="642"/>
        <v>127.291666666666</v>
      </c>
      <c r="BO241" s="423">
        <f t="shared" si="642"/>
        <v>127.291666666666</v>
      </c>
      <c r="BP241" s="423">
        <f t="shared" si="642"/>
        <v>127.291666666666</v>
      </c>
      <c r="BQ241" s="423">
        <f t="shared" si="642"/>
        <v>127.291666666666</v>
      </c>
      <c r="BR241" s="423">
        <f t="shared" si="642"/>
        <v>21.6666666666666</v>
      </c>
      <c r="BT241" s="59">
        <f t="shared" ref="BT241:CB241" si="643">BT240-BJ241</f>
        <v>66931.4348958334</v>
      </c>
      <c r="BU241" s="59">
        <f t="shared" si="643"/>
        <v>66931.4348958334</v>
      </c>
      <c r="BV241" s="59">
        <f t="shared" si="643"/>
        <v>66931.4348958334</v>
      </c>
      <c r="BW241" s="59">
        <f t="shared" si="643"/>
        <v>66931.4348958334</v>
      </c>
      <c r="BX241" s="59">
        <f t="shared" si="643"/>
        <v>66931.4348958334</v>
      </c>
      <c r="BY241" s="59">
        <f t="shared" si="643"/>
        <v>66931.4348958334</v>
      </c>
      <c r="BZ241" s="59">
        <f t="shared" si="643"/>
        <v>66931.4348958334</v>
      </c>
      <c r="CA241" s="59">
        <f t="shared" si="643"/>
        <v>66931.4348958334</v>
      </c>
      <c r="CB241" s="59">
        <f t="shared" si="643"/>
        <v>11344.5208333333</v>
      </c>
    </row>
    <row r="242" s="371" customFormat="1" ht="27" hidden="1" customHeight="1" spans="1:80">
      <c r="A242" s="410">
        <v>45898</v>
      </c>
      <c r="B242" s="411" t="s">
        <v>326</v>
      </c>
      <c r="C242" s="412" t="s">
        <v>117</v>
      </c>
      <c r="D242" s="413">
        <v>4500178234</v>
      </c>
      <c r="E242" s="533" t="s">
        <v>1314</v>
      </c>
      <c r="F242" s="413" t="s">
        <v>1315</v>
      </c>
      <c r="G242" s="414" t="s">
        <v>258</v>
      </c>
      <c r="H242" s="411" t="s">
        <v>259</v>
      </c>
      <c r="I242" s="415">
        <v>13824</v>
      </c>
      <c r="J242" s="415">
        <v>0</v>
      </c>
      <c r="K242" s="415">
        <v>1152</v>
      </c>
      <c r="L242" s="415">
        <f t="shared" si="553"/>
        <v>12</v>
      </c>
      <c r="M242" s="416">
        <v>45929</v>
      </c>
      <c r="N242" s="416">
        <v>45927</v>
      </c>
      <c r="O242" s="417" t="s">
        <v>1316</v>
      </c>
      <c r="P242" s="417" t="s">
        <v>107</v>
      </c>
      <c r="Q242" s="417" t="s">
        <v>1317</v>
      </c>
      <c r="R242" s="417" t="s">
        <v>331</v>
      </c>
      <c r="S242" s="419" t="s">
        <v>191</v>
      </c>
      <c r="T242" s="419" t="s">
        <v>1318</v>
      </c>
      <c r="U242" s="417" t="s">
        <v>1319</v>
      </c>
      <c r="V242" s="420" t="s">
        <v>1320</v>
      </c>
      <c r="W242" s="416" t="s">
        <v>265</v>
      </c>
      <c r="X242" s="421">
        <v>537.9792</v>
      </c>
      <c r="Y242" s="415">
        <f t="shared" ref="Y242:Y248" si="644">X242*L242</f>
        <v>6455.7504</v>
      </c>
      <c r="Z242" s="416" t="s">
        <v>1321</v>
      </c>
      <c r="AA242" s="420">
        <f>13824+12</f>
        <v>13836</v>
      </c>
      <c r="AB242" s="420">
        <f t="shared" si="622"/>
        <v>12</v>
      </c>
      <c r="AC242" s="417"/>
      <c r="AD242" s="417" t="s">
        <v>114</v>
      </c>
      <c r="AE242" s="416" t="s">
        <v>258</v>
      </c>
      <c r="AF242" s="416" t="s">
        <v>115</v>
      </c>
      <c r="AG242" s="422">
        <f t="shared" si="636"/>
        <v>13824</v>
      </c>
      <c r="AH242" s="422"/>
      <c r="AI242" s="422">
        <f t="shared" si="637"/>
        <v>13824</v>
      </c>
      <c r="AJ242" s="422"/>
      <c r="AK242" s="422">
        <f t="shared" si="638"/>
        <v>13824</v>
      </c>
      <c r="AL242" s="422"/>
      <c r="AM242" s="422"/>
      <c r="AN242" s="422"/>
      <c r="AO242" s="422">
        <f t="shared" si="639"/>
        <v>13824</v>
      </c>
      <c r="AP242" s="422"/>
      <c r="AQ242" s="422"/>
      <c r="AR242" s="422"/>
      <c r="AS242" s="422"/>
      <c r="AT242" s="422"/>
      <c r="AU242" s="422"/>
      <c r="AV242" s="422">
        <f t="shared" ref="AV242:AV248" si="645">I242/12</f>
        <v>1152</v>
      </c>
      <c r="AW242" s="422"/>
      <c r="AX242" s="422"/>
      <c r="AY242" s="422"/>
      <c r="AZ242" s="422"/>
      <c r="BA242" s="422"/>
      <c r="BB242" s="422"/>
      <c r="BC242" s="422"/>
      <c r="BD242" s="422"/>
      <c r="BE242" s="422"/>
      <c r="BF242" s="422"/>
      <c r="BG242" s="422"/>
      <c r="BH242" s="422"/>
      <c r="BI242" s="422"/>
      <c r="BJ242" s="423">
        <f t="shared" ref="BJ242:BR242" si="646">$I242*BJ$2</f>
        <v>1692</v>
      </c>
      <c r="BK242" s="423">
        <f t="shared" si="646"/>
        <v>1692</v>
      </c>
      <c r="BL242" s="423">
        <f t="shared" si="646"/>
        <v>1692</v>
      </c>
      <c r="BM242" s="423">
        <f t="shared" si="646"/>
        <v>1692</v>
      </c>
      <c r="BN242" s="423">
        <f t="shared" si="646"/>
        <v>1692</v>
      </c>
      <c r="BO242" s="423">
        <f t="shared" si="646"/>
        <v>1692</v>
      </c>
      <c r="BP242" s="423">
        <f t="shared" si="646"/>
        <v>1692</v>
      </c>
      <c r="BQ242" s="423">
        <f t="shared" si="646"/>
        <v>1692</v>
      </c>
      <c r="BR242" s="423">
        <f t="shared" si="646"/>
        <v>288</v>
      </c>
      <c r="BT242" s="59">
        <f t="shared" ref="BT242:CB242" si="647">BT241-BJ242</f>
        <v>65239.4348958334</v>
      </c>
      <c r="BU242" s="59">
        <f t="shared" si="647"/>
        <v>65239.4348958334</v>
      </c>
      <c r="BV242" s="59">
        <f t="shared" si="647"/>
        <v>65239.4348958334</v>
      </c>
      <c r="BW242" s="59">
        <f t="shared" si="647"/>
        <v>65239.4348958334</v>
      </c>
      <c r="BX242" s="59">
        <f t="shared" si="647"/>
        <v>65239.4348958334</v>
      </c>
      <c r="BY242" s="59">
        <f t="shared" si="647"/>
        <v>65239.4348958334</v>
      </c>
      <c r="BZ242" s="59">
        <f t="shared" si="647"/>
        <v>65239.4348958334</v>
      </c>
      <c r="CA242" s="59">
        <f t="shared" si="647"/>
        <v>65239.4348958334</v>
      </c>
      <c r="CB242" s="59">
        <f t="shared" si="647"/>
        <v>11056.5208333333</v>
      </c>
    </row>
    <row r="243" s="371" customFormat="1" ht="27" hidden="1" customHeight="1" spans="1:80">
      <c r="A243" s="410">
        <v>45898</v>
      </c>
      <c r="B243" s="411" t="s">
        <v>326</v>
      </c>
      <c r="C243" s="412" t="s">
        <v>117</v>
      </c>
      <c r="D243" s="413">
        <v>4500178234</v>
      </c>
      <c r="E243" s="533" t="s">
        <v>1322</v>
      </c>
      <c r="F243" s="413" t="s">
        <v>1323</v>
      </c>
      <c r="G243" s="414" t="s">
        <v>258</v>
      </c>
      <c r="H243" s="411" t="s">
        <v>259</v>
      </c>
      <c r="I243" s="415">
        <v>10368</v>
      </c>
      <c r="J243" s="415">
        <v>0</v>
      </c>
      <c r="K243" s="415">
        <v>1152</v>
      </c>
      <c r="L243" s="415">
        <f t="shared" si="553"/>
        <v>9</v>
      </c>
      <c r="M243" s="416">
        <v>45929</v>
      </c>
      <c r="N243" s="416">
        <v>45927</v>
      </c>
      <c r="O243" s="417" t="s">
        <v>1324</v>
      </c>
      <c r="P243" s="417" t="s">
        <v>107</v>
      </c>
      <c r="Q243" s="417" t="s">
        <v>1325</v>
      </c>
      <c r="R243" s="417" t="s">
        <v>331</v>
      </c>
      <c r="S243" s="419" t="s">
        <v>191</v>
      </c>
      <c r="T243" s="419" t="s">
        <v>1318</v>
      </c>
      <c r="U243" s="417" t="s">
        <v>156</v>
      </c>
      <c r="V243" s="420" t="s">
        <v>1320</v>
      </c>
      <c r="W243" s="416" t="s">
        <v>265</v>
      </c>
      <c r="X243" s="421">
        <v>537.9789</v>
      </c>
      <c r="Y243" s="415">
        <f t="shared" si="644"/>
        <v>4841.8101</v>
      </c>
      <c r="Z243" s="416" t="s">
        <v>1326</v>
      </c>
      <c r="AA243" s="420">
        <v>10368</v>
      </c>
      <c r="AB243" s="420">
        <f t="shared" si="622"/>
        <v>0</v>
      </c>
      <c r="AC243" s="417"/>
      <c r="AD243" s="417" t="s">
        <v>114</v>
      </c>
      <c r="AE243" s="416" t="s">
        <v>258</v>
      </c>
      <c r="AF243" s="416" t="s">
        <v>115</v>
      </c>
      <c r="AG243" s="422">
        <f t="shared" si="636"/>
        <v>10368</v>
      </c>
      <c r="AH243" s="422"/>
      <c r="AI243" s="422">
        <f t="shared" si="637"/>
        <v>10368</v>
      </c>
      <c r="AJ243" s="422"/>
      <c r="AK243" s="422">
        <f t="shared" si="638"/>
        <v>10368</v>
      </c>
      <c r="AL243" s="422"/>
      <c r="AM243" s="422"/>
      <c r="AN243" s="422"/>
      <c r="AO243" s="422">
        <f t="shared" si="639"/>
        <v>10368</v>
      </c>
      <c r="AP243" s="422"/>
      <c r="AQ243" s="422"/>
      <c r="AR243" s="422"/>
      <c r="AS243" s="422"/>
      <c r="AT243" s="422"/>
      <c r="AU243" s="422"/>
      <c r="AV243" s="422">
        <f t="shared" si="645"/>
        <v>864</v>
      </c>
      <c r="AW243" s="422"/>
      <c r="AX243" s="422"/>
      <c r="AY243" s="422"/>
      <c r="AZ243" s="422"/>
      <c r="BA243" s="422"/>
      <c r="BB243" s="422"/>
      <c r="BC243" s="422"/>
      <c r="BD243" s="422"/>
      <c r="BE243" s="422"/>
      <c r="BF243" s="422"/>
      <c r="BG243" s="422"/>
      <c r="BH243" s="422"/>
      <c r="BI243" s="422"/>
      <c r="BJ243" s="423">
        <f t="shared" ref="BJ243:BR243" si="648">$I243*BJ$2</f>
        <v>1269</v>
      </c>
      <c r="BK243" s="423">
        <f t="shared" si="648"/>
        <v>1269</v>
      </c>
      <c r="BL243" s="423">
        <f t="shared" si="648"/>
        <v>1269</v>
      </c>
      <c r="BM243" s="423">
        <f t="shared" si="648"/>
        <v>1269</v>
      </c>
      <c r="BN243" s="423">
        <f t="shared" si="648"/>
        <v>1269</v>
      </c>
      <c r="BO243" s="423">
        <f t="shared" si="648"/>
        <v>1269</v>
      </c>
      <c r="BP243" s="423">
        <f t="shared" si="648"/>
        <v>1269</v>
      </c>
      <c r="BQ243" s="423">
        <f t="shared" si="648"/>
        <v>1269</v>
      </c>
      <c r="BR243" s="423">
        <f t="shared" si="648"/>
        <v>216</v>
      </c>
      <c r="BT243" s="59">
        <f t="shared" ref="BT243:CB243" si="649">BT242-BJ243</f>
        <v>63970.4348958334</v>
      </c>
      <c r="BU243" s="59">
        <f t="shared" si="649"/>
        <v>63970.4348958334</v>
      </c>
      <c r="BV243" s="59">
        <f t="shared" si="649"/>
        <v>63970.4348958334</v>
      </c>
      <c r="BW243" s="59">
        <f t="shared" si="649"/>
        <v>63970.4348958334</v>
      </c>
      <c r="BX243" s="59">
        <f t="shared" si="649"/>
        <v>63970.4348958334</v>
      </c>
      <c r="BY243" s="59">
        <f t="shared" si="649"/>
        <v>63970.4348958334</v>
      </c>
      <c r="BZ243" s="59">
        <f t="shared" si="649"/>
        <v>63970.4348958334</v>
      </c>
      <c r="CA243" s="59">
        <f t="shared" si="649"/>
        <v>63970.4348958334</v>
      </c>
      <c r="CB243" s="59">
        <f t="shared" si="649"/>
        <v>10840.5208333333</v>
      </c>
    </row>
    <row r="244" s="371" customFormat="1" ht="27" hidden="1" customHeight="1" spans="1:80">
      <c r="A244" s="410">
        <v>45898</v>
      </c>
      <c r="B244" s="411" t="s">
        <v>326</v>
      </c>
      <c r="C244" s="412" t="s">
        <v>117</v>
      </c>
      <c r="D244" s="413">
        <v>4500178234</v>
      </c>
      <c r="E244" s="533" t="s">
        <v>1327</v>
      </c>
      <c r="F244" s="413" t="s">
        <v>1328</v>
      </c>
      <c r="G244" s="414" t="s">
        <v>258</v>
      </c>
      <c r="H244" s="411" t="s">
        <v>259</v>
      </c>
      <c r="I244" s="415">
        <v>10368</v>
      </c>
      <c r="J244" s="415">
        <v>0</v>
      </c>
      <c r="K244" s="415">
        <v>1152</v>
      </c>
      <c r="L244" s="415">
        <f t="shared" si="553"/>
        <v>9</v>
      </c>
      <c r="M244" s="416">
        <v>45929</v>
      </c>
      <c r="N244" s="416">
        <v>45927</v>
      </c>
      <c r="O244" s="417" t="s">
        <v>1316</v>
      </c>
      <c r="P244" s="417" t="s">
        <v>107</v>
      </c>
      <c r="Q244" s="417"/>
      <c r="R244" s="417" t="s">
        <v>331</v>
      </c>
      <c r="S244" s="419" t="s">
        <v>191</v>
      </c>
      <c r="T244" s="419" t="s">
        <v>1318</v>
      </c>
      <c r="U244" s="417"/>
      <c r="V244" s="420" t="s">
        <v>1320</v>
      </c>
      <c r="W244" s="416" t="s">
        <v>265</v>
      </c>
      <c r="X244" s="421">
        <v>537.9789</v>
      </c>
      <c r="Y244" s="415">
        <f t="shared" si="644"/>
        <v>4841.8101</v>
      </c>
      <c r="Z244" s="416"/>
      <c r="AA244" s="420">
        <f>8640+1728</f>
        <v>10368</v>
      </c>
      <c r="AB244" s="420">
        <f t="shared" si="622"/>
        <v>0</v>
      </c>
      <c r="AC244" s="417"/>
      <c r="AD244" s="417" t="s">
        <v>114</v>
      </c>
      <c r="AE244" s="416" t="s">
        <v>258</v>
      </c>
      <c r="AF244" s="416" t="s">
        <v>115</v>
      </c>
      <c r="AG244" s="422">
        <f t="shared" si="636"/>
        <v>10368</v>
      </c>
      <c r="AH244" s="422"/>
      <c r="AI244" s="422">
        <f t="shared" si="637"/>
        <v>10368</v>
      </c>
      <c r="AJ244" s="422"/>
      <c r="AK244" s="422">
        <f t="shared" si="638"/>
        <v>10368</v>
      </c>
      <c r="AL244" s="422"/>
      <c r="AM244" s="422"/>
      <c r="AN244" s="422"/>
      <c r="AO244" s="422">
        <f t="shared" si="639"/>
        <v>10368</v>
      </c>
      <c r="AP244" s="422"/>
      <c r="AQ244" s="422"/>
      <c r="AR244" s="422"/>
      <c r="AS244" s="422"/>
      <c r="AT244" s="422"/>
      <c r="AU244" s="422"/>
      <c r="AV244" s="422">
        <f t="shared" si="645"/>
        <v>864</v>
      </c>
      <c r="AW244" s="422"/>
      <c r="AX244" s="422"/>
      <c r="AY244" s="422"/>
      <c r="AZ244" s="422"/>
      <c r="BA244" s="422"/>
      <c r="BB244" s="422"/>
      <c r="BC244" s="422"/>
      <c r="BD244" s="422"/>
      <c r="BE244" s="422"/>
      <c r="BF244" s="422"/>
      <c r="BG244" s="422"/>
      <c r="BH244" s="422"/>
      <c r="BI244" s="422"/>
      <c r="BJ244" s="423">
        <f t="shared" ref="BJ244:BR244" si="650">$I244*BJ$2</f>
        <v>1269</v>
      </c>
      <c r="BK244" s="423">
        <f t="shared" si="650"/>
        <v>1269</v>
      </c>
      <c r="BL244" s="423">
        <f t="shared" si="650"/>
        <v>1269</v>
      </c>
      <c r="BM244" s="423">
        <f t="shared" si="650"/>
        <v>1269</v>
      </c>
      <c r="BN244" s="423">
        <f t="shared" si="650"/>
        <v>1269</v>
      </c>
      <c r="BO244" s="423">
        <f t="shared" si="650"/>
        <v>1269</v>
      </c>
      <c r="BP244" s="423">
        <f t="shared" si="650"/>
        <v>1269</v>
      </c>
      <c r="BQ244" s="423">
        <f t="shared" si="650"/>
        <v>1269</v>
      </c>
      <c r="BR244" s="423">
        <f t="shared" si="650"/>
        <v>216</v>
      </c>
      <c r="BT244" s="59">
        <f t="shared" ref="BT244:CB244" si="651">BT243-BJ244</f>
        <v>62701.4348958334</v>
      </c>
      <c r="BU244" s="59">
        <f t="shared" si="651"/>
        <v>62701.4348958334</v>
      </c>
      <c r="BV244" s="59">
        <f t="shared" si="651"/>
        <v>62701.4348958334</v>
      </c>
      <c r="BW244" s="59">
        <f t="shared" si="651"/>
        <v>62701.4348958334</v>
      </c>
      <c r="BX244" s="59">
        <f t="shared" si="651"/>
        <v>62701.4348958334</v>
      </c>
      <c r="BY244" s="59">
        <f t="shared" si="651"/>
        <v>62701.4348958334</v>
      </c>
      <c r="BZ244" s="59">
        <f t="shared" si="651"/>
        <v>62701.4348958334</v>
      </c>
      <c r="CA244" s="59">
        <f t="shared" si="651"/>
        <v>62701.4348958334</v>
      </c>
      <c r="CB244" s="59">
        <f t="shared" si="651"/>
        <v>10624.5208333333</v>
      </c>
    </row>
    <row r="245" s="371" customFormat="1" ht="27" hidden="1" customHeight="1" spans="1:80">
      <c r="A245" s="410">
        <v>45898</v>
      </c>
      <c r="B245" s="411" t="s">
        <v>326</v>
      </c>
      <c r="C245" s="412" t="s">
        <v>117</v>
      </c>
      <c r="D245" s="413">
        <v>4500178234</v>
      </c>
      <c r="E245" s="412">
        <v>941292545</v>
      </c>
      <c r="F245" s="413" t="s">
        <v>1329</v>
      </c>
      <c r="G245" s="414" t="s">
        <v>258</v>
      </c>
      <c r="H245" s="411" t="s">
        <v>259</v>
      </c>
      <c r="I245" s="415">
        <v>18432</v>
      </c>
      <c r="J245" s="415">
        <v>0</v>
      </c>
      <c r="K245" s="415">
        <v>1152</v>
      </c>
      <c r="L245" s="415">
        <f t="shared" si="553"/>
        <v>16</v>
      </c>
      <c r="M245" s="416">
        <v>45929</v>
      </c>
      <c r="N245" s="416">
        <v>45927</v>
      </c>
      <c r="O245" s="417" t="s">
        <v>1316</v>
      </c>
      <c r="P245" s="417" t="s">
        <v>107</v>
      </c>
      <c r="Q245" s="417" t="s">
        <v>1330</v>
      </c>
      <c r="R245" s="417" t="s">
        <v>331</v>
      </c>
      <c r="S245" s="419" t="s">
        <v>191</v>
      </c>
      <c r="T245" s="419" t="s">
        <v>1318</v>
      </c>
      <c r="U245" s="417"/>
      <c r="V245" s="420" t="s">
        <v>1320</v>
      </c>
      <c r="W245" s="416" t="s">
        <v>265</v>
      </c>
      <c r="X245" s="421">
        <v>537.9794</v>
      </c>
      <c r="Y245" s="415">
        <f t="shared" si="644"/>
        <v>8607.6704</v>
      </c>
      <c r="Z245" s="416" t="s">
        <v>1331</v>
      </c>
      <c r="AA245" s="420">
        <f>3312+15120</f>
        <v>18432</v>
      </c>
      <c r="AB245" s="420">
        <f t="shared" si="622"/>
        <v>0</v>
      </c>
      <c r="AC245" s="417"/>
      <c r="AD245" s="417" t="s">
        <v>114</v>
      </c>
      <c r="AE245" s="416" t="s">
        <v>258</v>
      </c>
      <c r="AF245" s="416" t="s">
        <v>115</v>
      </c>
      <c r="AG245" s="422">
        <f t="shared" si="636"/>
        <v>18432</v>
      </c>
      <c r="AH245" s="422"/>
      <c r="AI245" s="422">
        <f t="shared" si="637"/>
        <v>18432</v>
      </c>
      <c r="AJ245" s="422"/>
      <c r="AK245" s="422">
        <f t="shared" si="638"/>
        <v>18432</v>
      </c>
      <c r="AL245" s="422"/>
      <c r="AM245" s="422"/>
      <c r="AN245" s="422"/>
      <c r="AO245" s="422">
        <f t="shared" si="639"/>
        <v>18432</v>
      </c>
      <c r="AP245" s="422"/>
      <c r="AQ245" s="422"/>
      <c r="AR245" s="422"/>
      <c r="AS245" s="422"/>
      <c r="AT245" s="422"/>
      <c r="AU245" s="422"/>
      <c r="AV245" s="422">
        <f t="shared" si="645"/>
        <v>1536</v>
      </c>
      <c r="AW245" s="422"/>
      <c r="AX245" s="422"/>
      <c r="AY245" s="422"/>
      <c r="AZ245" s="422"/>
      <c r="BA245" s="422"/>
      <c r="BB245" s="422"/>
      <c r="BC245" s="422"/>
      <c r="BD245" s="422"/>
      <c r="BE245" s="422"/>
      <c r="BF245" s="422"/>
      <c r="BG245" s="422"/>
      <c r="BH245" s="422"/>
      <c r="BI245" s="422"/>
      <c r="BJ245" s="423">
        <f t="shared" ref="BJ245:BR245" si="652">$I245*BJ$2</f>
        <v>2255.99999999999</v>
      </c>
      <c r="BK245" s="423">
        <f t="shared" si="652"/>
        <v>2255.99999999999</v>
      </c>
      <c r="BL245" s="423">
        <f t="shared" si="652"/>
        <v>2255.99999999999</v>
      </c>
      <c r="BM245" s="423">
        <f t="shared" si="652"/>
        <v>2255.99999999999</v>
      </c>
      <c r="BN245" s="423">
        <f t="shared" si="652"/>
        <v>2255.99999999999</v>
      </c>
      <c r="BO245" s="423">
        <f t="shared" si="652"/>
        <v>2255.99999999999</v>
      </c>
      <c r="BP245" s="423">
        <f t="shared" si="652"/>
        <v>2255.99999999999</v>
      </c>
      <c r="BQ245" s="423">
        <f t="shared" si="652"/>
        <v>2255.99999999999</v>
      </c>
      <c r="BR245" s="423">
        <f t="shared" si="652"/>
        <v>383.999999999999</v>
      </c>
      <c r="BT245" s="59">
        <f t="shared" ref="BT245:CB245" si="653">BT244-BJ245</f>
        <v>60445.4348958334</v>
      </c>
      <c r="BU245" s="59">
        <f t="shared" si="653"/>
        <v>60445.4348958334</v>
      </c>
      <c r="BV245" s="59">
        <f t="shared" si="653"/>
        <v>60445.4348958334</v>
      </c>
      <c r="BW245" s="59">
        <f t="shared" si="653"/>
        <v>60445.4348958334</v>
      </c>
      <c r="BX245" s="59">
        <f t="shared" si="653"/>
        <v>60445.4348958334</v>
      </c>
      <c r="BY245" s="59">
        <f t="shared" si="653"/>
        <v>60445.4348958334</v>
      </c>
      <c r="BZ245" s="59">
        <f t="shared" si="653"/>
        <v>60445.4348958334</v>
      </c>
      <c r="CA245" s="59">
        <f t="shared" si="653"/>
        <v>60445.4348958334</v>
      </c>
      <c r="CB245" s="59">
        <f t="shared" si="653"/>
        <v>10240.5208333333</v>
      </c>
    </row>
    <row r="246" s="371" customFormat="1" ht="27" hidden="1" customHeight="1" spans="1:80">
      <c r="A246" s="410">
        <v>45898</v>
      </c>
      <c r="B246" s="411" t="s">
        <v>326</v>
      </c>
      <c r="C246" s="412" t="s">
        <v>117</v>
      </c>
      <c r="D246" s="413">
        <v>4500178234</v>
      </c>
      <c r="E246" s="533" t="s">
        <v>1332</v>
      </c>
      <c r="F246" s="413" t="s">
        <v>1333</v>
      </c>
      <c r="G246" s="414" t="s">
        <v>258</v>
      </c>
      <c r="H246" s="411" t="s">
        <v>259</v>
      </c>
      <c r="I246" s="415">
        <v>12672</v>
      </c>
      <c r="J246" s="415">
        <v>0</v>
      </c>
      <c r="K246" s="415">
        <v>1152</v>
      </c>
      <c r="L246" s="415">
        <f t="shared" si="553"/>
        <v>11</v>
      </c>
      <c r="M246" s="416">
        <v>45929</v>
      </c>
      <c r="N246" s="416">
        <v>45927</v>
      </c>
      <c r="O246" s="417" t="s">
        <v>1316</v>
      </c>
      <c r="P246" s="417" t="s">
        <v>107</v>
      </c>
      <c r="Q246" s="417" t="s">
        <v>1334</v>
      </c>
      <c r="R246" s="417" t="s">
        <v>331</v>
      </c>
      <c r="S246" s="419" t="s">
        <v>191</v>
      </c>
      <c r="T246" s="419" t="s">
        <v>1318</v>
      </c>
      <c r="U246" s="417"/>
      <c r="V246" s="420" t="s">
        <v>1320</v>
      </c>
      <c r="W246" s="416" t="s">
        <v>265</v>
      </c>
      <c r="X246" s="421">
        <v>537.9791</v>
      </c>
      <c r="Y246" s="415">
        <f t="shared" si="644"/>
        <v>5917.7701</v>
      </c>
      <c r="Z246" s="416" t="s">
        <v>1335</v>
      </c>
      <c r="AA246" s="420">
        <f>12+12660</f>
        <v>12672</v>
      </c>
      <c r="AB246" s="420">
        <f t="shared" si="622"/>
        <v>0</v>
      </c>
      <c r="AC246" s="417"/>
      <c r="AD246" s="417" t="s">
        <v>114</v>
      </c>
      <c r="AE246" s="416" t="s">
        <v>258</v>
      </c>
      <c r="AF246" s="416" t="s">
        <v>115</v>
      </c>
      <c r="AG246" s="422">
        <f t="shared" si="636"/>
        <v>12672</v>
      </c>
      <c r="AH246" s="422"/>
      <c r="AI246" s="422">
        <f t="shared" si="637"/>
        <v>12672</v>
      </c>
      <c r="AJ246" s="422"/>
      <c r="AK246" s="422">
        <f t="shared" si="638"/>
        <v>12672</v>
      </c>
      <c r="AL246" s="422"/>
      <c r="AM246" s="422"/>
      <c r="AN246" s="422"/>
      <c r="AO246" s="422">
        <f t="shared" si="639"/>
        <v>12672</v>
      </c>
      <c r="AP246" s="422"/>
      <c r="AQ246" s="422"/>
      <c r="AR246" s="422"/>
      <c r="AS246" s="422"/>
      <c r="AT246" s="422"/>
      <c r="AU246" s="422"/>
      <c r="AV246" s="422">
        <f t="shared" si="645"/>
        <v>1056</v>
      </c>
      <c r="AW246" s="422"/>
      <c r="AX246" s="422"/>
      <c r="AY246" s="422"/>
      <c r="AZ246" s="422"/>
      <c r="BA246" s="422"/>
      <c r="BB246" s="422"/>
      <c r="BC246" s="422"/>
      <c r="BD246" s="422"/>
      <c r="BE246" s="422"/>
      <c r="BF246" s="422"/>
      <c r="BG246" s="422"/>
      <c r="BH246" s="422"/>
      <c r="BI246" s="422"/>
      <c r="BJ246" s="423">
        <f t="shared" ref="BJ246:BR246" si="654">$I246*BJ$2</f>
        <v>1551</v>
      </c>
      <c r="BK246" s="423">
        <f t="shared" si="654"/>
        <v>1551</v>
      </c>
      <c r="BL246" s="423">
        <f t="shared" si="654"/>
        <v>1551</v>
      </c>
      <c r="BM246" s="423">
        <f t="shared" si="654"/>
        <v>1551</v>
      </c>
      <c r="BN246" s="423">
        <f t="shared" si="654"/>
        <v>1551</v>
      </c>
      <c r="BO246" s="423">
        <f t="shared" si="654"/>
        <v>1551</v>
      </c>
      <c r="BP246" s="423">
        <f t="shared" si="654"/>
        <v>1551</v>
      </c>
      <c r="BQ246" s="423">
        <f t="shared" si="654"/>
        <v>1551</v>
      </c>
      <c r="BR246" s="423">
        <f t="shared" si="654"/>
        <v>264</v>
      </c>
      <c r="BT246" s="59">
        <f t="shared" ref="BT246:CB246" si="655">BT245-BJ246</f>
        <v>58894.4348958334</v>
      </c>
      <c r="BU246" s="59">
        <f t="shared" si="655"/>
        <v>58894.4348958334</v>
      </c>
      <c r="BV246" s="59">
        <f t="shared" si="655"/>
        <v>58894.4348958334</v>
      </c>
      <c r="BW246" s="59">
        <f t="shared" si="655"/>
        <v>58894.4348958334</v>
      </c>
      <c r="BX246" s="59">
        <f t="shared" si="655"/>
        <v>58894.4348958334</v>
      </c>
      <c r="BY246" s="59">
        <f t="shared" si="655"/>
        <v>58894.4348958334</v>
      </c>
      <c r="BZ246" s="59">
        <f t="shared" si="655"/>
        <v>58894.4348958334</v>
      </c>
      <c r="CA246" s="59">
        <f t="shared" si="655"/>
        <v>58894.4348958334</v>
      </c>
      <c r="CB246" s="59">
        <f t="shared" si="655"/>
        <v>9976.52083333335</v>
      </c>
    </row>
    <row r="247" s="371" customFormat="1" ht="27" hidden="1" customHeight="1" spans="1:80">
      <c r="A247" s="410">
        <v>45898</v>
      </c>
      <c r="B247" s="411" t="s">
        <v>326</v>
      </c>
      <c r="C247" s="412" t="s">
        <v>117</v>
      </c>
      <c r="D247" s="413">
        <v>4500178234</v>
      </c>
      <c r="E247" s="533" t="s">
        <v>1336</v>
      </c>
      <c r="F247" s="413" t="s">
        <v>1337</v>
      </c>
      <c r="G247" s="414" t="s">
        <v>258</v>
      </c>
      <c r="H247" s="411" t="s">
        <v>259</v>
      </c>
      <c r="I247" s="415">
        <v>9216</v>
      </c>
      <c r="J247" s="415">
        <v>0</v>
      </c>
      <c r="K247" s="415">
        <v>1152</v>
      </c>
      <c r="L247" s="415">
        <f t="shared" si="553"/>
        <v>8</v>
      </c>
      <c r="M247" s="416">
        <v>45929</v>
      </c>
      <c r="N247" s="416">
        <v>45927</v>
      </c>
      <c r="O247" s="417" t="s">
        <v>1316</v>
      </c>
      <c r="P247" s="417" t="s">
        <v>107</v>
      </c>
      <c r="Q247" s="417" t="s">
        <v>1338</v>
      </c>
      <c r="R247" s="417" t="s">
        <v>331</v>
      </c>
      <c r="S247" s="419" t="s">
        <v>191</v>
      </c>
      <c r="T247" s="419" t="s">
        <v>1318</v>
      </c>
      <c r="U247" s="417"/>
      <c r="V247" s="420" t="s">
        <v>1320</v>
      </c>
      <c r="W247" s="416" t="s">
        <v>265</v>
      </c>
      <c r="X247" s="421">
        <v>537.9788</v>
      </c>
      <c r="Y247" s="415">
        <f t="shared" si="644"/>
        <v>4303.8304</v>
      </c>
      <c r="Z247" s="416" t="s">
        <v>1339</v>
      </c>
      <c r="AA247" s="420">
        <v>9216</v>
      </c>
      <c r="AB247" s="420">
        <f t="shared" si="622"/>
        <v>0</v>
      </c>
      <c r="AC247" s="417"/>
      <c r="AD247" s="417" t="s">
        <v>114</v>
      </c>
      <c r="AE247" s="416" t="s">
        <v>258</v>
      </c>
      <c r="AF247" s="416" t="s">
        <v>115</v>
      </c>
      <c r="AG247" s="422">
        <f t="shared" si="636"/>
        <v>9216</v>
      </c>
      <c r="AH247" s="422"/>
      <c r="AI247" s="422">
        <f t="shared" si="637"/>
        <v>9216</v>
      </c>
      <c r="AJ247" s="422"/>
      <c r="AK247" s="422">
        <f t="shared" si="638"/>
        <v>9216</v>
      </c>
      <c r="AL247" s="422"/>
      <c r="AM247" s="422"/>
      <c r="AN247" s="422"/>
      <c r="AO247" s="422">
        <f t="shared" si="639"/>
        <v>9216</v>
      </c>
      <c r="AP247" s="422"/>
      <c r="AQ247" s="422"/>
      <c r="AR247" s="422"/>
      <c r="AS247" s="422"/>
      <c r="AT247" s="422"/>
      <c r="AU247" s="422"/>
      <c r="AV247" s="422">
        <f t="shared" si="645"/>
        <v>768</v>
      </c>
      <c r="AW247" s="422"/>
      <c r="AX247" s="422"/>
      <c r="AY247" s="422"/>
      <c r="AZ247" s="422"/>
      <c r="BA247" s="422"/>
      <c r="BB247" s="422"/>
      <c r="BC247" s="422"/>
      <c r="BD247" s="422"/>
      <c r="BE247" s="422"/>
      <c r="BF247" s="422"/>
      <c r="BG247" s="422"/>
      <c r="BH247" s="422"/>
      <c r="BI247" s="422"/>
      <c r="BJ247" s="423">
        <f t="shared" ref="BJ247:BR247" si="656">$I247*BJ$2</f>
        <v>1128</v>
      </c>
      <c r="BK247" s="423">
        <f t="shared" si="656"/>
        <v>1128</v>
      </c>
      <c r="BL247" s="423">
        <f t="shared" si="656"/>
        <v>1128</v>
      </c>
      <c r="BM247" s="423">
        <f t="shared" si="656"/>
        <v>1128</v>
      </c>
      <c r="BN247" s="423">
        <f t="shared" si="656"/>
        <v>1128</v>
      </c>
      <c r="BO247" s="423">
        <f t="shared" si="656"/>
        <v>1128</v>
      </c>
      <c r="BP247" s="423">
        <f t="shared" si="656"/>
        <v>1128</v>
      </c>
      <c r="BQ247" s="423">
        <f t="shared" si="656"/>
        <v>1128</v>
      </c>
      <c r="BR247" s="423">
        <f t="shared" si="656"/>
        <v>192</v>
      </c>
      <c r="BT247" s="59">
        <f t="shared" ref="BT247:CB247" si="657">BT246-BJ247</f>
        <v>57766.4348958334</v>
      </c>
      <c r="BU247" s="59">
        <f t="shared" si="657"/>
        <v>57766.4348958334</v>
      </c>
      <c r="BV247" s="59">
        <f t="shared" si="657"/>
        <v>57766.4348958334</v>
      </c>
      <c r="BW247" s="59">
        <f t="shared" si="657"/>
        <v>57766.4348958334</v>
      </c>
      <c r="BX247" s="59">
        <f t="shared" si="657"/>
        <v>57766.4348958334</v>
      </c>
      <c r="BY247" s="59">
        <f t="shared" si="657"/>
        <v>57766.4348958334</v>
      </c>
      <c r="BZ247" s="59">
        <f t="shared" si="657"/>
        <v>57766.4348958334</v>
      </c>
      <c r="CA247" s="59">
        <f t="shared" si="657"/>
        <v>57766.4348958334</v>
      </c>
      <c r="CB247" s="59">
        <f t="shared" si="657"/>
        <v>9784.52083333335</v>
      </c>
    </row>
    <row r="248" s="371" customFormat="1" ht="27" hidden="1" customHeight="1" spans="1:80">
      <c r="A248" s="410">
        <v>45898</v>
      </c>
      <c r="B248" s="411" t="s">
        <v>326</v>
      </c>
      <c r="C248" s="412" t="s">
        <v>117</v>
      </c>
      <c r="D248" s="413">
        <v>4500178234</v>
      </c>
      <c r="E248" s="533" t="s">
        <v>1340</v>
      </c>
      <c r="F248" s="413" t="s">
        <v>1341</v>
      </c>
      <c r="G248" s="414" t="s">
        <v>258</v>
      </c>
      <c r="H248" s="411" t="s">
        <v>259</v>
      </c>
      <c r="I248" s="415">
        <v>12672</v>
      </c>
      <c r="J248" s="415">
        <v>0</v>
      </c>
      <c r="K248" s="415">
        <v>1152</v>
      </c>
      <c r="L248" s="415">
        <f t="shared" si="553"/>
        <v>11</v>
      </c>
      <c r="M248" s="416">
        <v>45929</v>
      </c>
      <c r="N248" s="416">
        <v>45927</v>
      </c>
      <c r="O248" s="417" t="s">
        <v>1316</v>
      </c>
      <c r="P248" s="417" t="s">
        <v>107</v>
      </c>
      <c r="Q248" s="417" t="s">
        <v>1342</v>
      </c>
      <c r="R248" s="417" t="s">
        <v>331</v>
      </c>
      <c r="S248" s="419" t="s">
        <v>191</v>
      </c>
      <c r="T248" s="419" t="s">
        <v>1318</v>
      </c>
      <c r="U248" s="417"/>
      <c r="V248" s="420" t="s">
        <v>1320</v>
      </c>
      <c r="W248" s="416" t="s">
        <v>265</v>
      </c>
      <c r="X248" s="421">
        <v>537.9791</v>
      </c>
      <c r="Y248" s="415">
        <f t="shared" si="644"/>
        <v>5917.7701</v>
      </c>
      <c r="Z248" s="416" t="s">
        <v>1343</v>
      </c>
      <c r="AA248" s="420">
        <f>12+12660</f>
        <v>12672</v>
      </c>
      <c r="AB248" s="420">
        <f t="shared" si="622"/>
        <v>0</v>
      </c>
      <c r="AC248" s="417"/>
      <c r="AD248" s="417" t="s">
        <v>114</v>
      </c>
      <c r="AE248" s="416" t="s">
        <v>258</v>
      </c>
      <c r="AF248" s="416" t="s">
        <v>115</v>
      </c>
      <c r="AG248" s="422">
        <f t="shared" si="636"/>
        <v>12672</v>
      </c>
      <c r="AH248" s="422"/>
      <c r="AI248" s="422">
        <f t="shared" si="637"/>
        <v>12672</v>
      </c>
      <c r="AJ248" s="422"/>
      <c r="AK248" s="422">
        <f t="shared" si="638"/>
        <v>12672</v>
      </c>
      <c r="AL248" s="422"/>
      <c r="AM248" s="422"/>
      <c r="AN248" s="422"/>
      <c r="AO248" s="422">
        <f t="shared" si="639"/>
        <v>12672</v>
      </c>
      <c r="AP248" s="422"/>
      <c r="AQ248" s="422"/>
      <c r="AR248" s="422"/>
      <c r="AS248" s="422"/>
      <c r="AT248" s="422"/>
      <c r="AU248" s="422"/>
      <c r="AV248" s="422">
        <f t="shared" si="645"/>
        <v>1056</v>
      </c>
      <c r="AW248" s="422"/>
      <c r="AX248" s="422"/>
      <c r="AY248" s="422"/>
      <c r="AZ248" s="422"/>
      <c r="BA248" s="422"/>
      <c r="BB248" s="422"/>
      <c r="BC248" s="422"/>
      <c r="BD248" s="422"/>
      <c r="BE248" s="422"/>
      <c r="BF248" s="422"/>
      <c r="BG248" s="422"/>
      <c r="BH248" s="422"/>
      <c r="BI248" s="422"/>
      <c r="BJ248" s="423">
        <f t="shared" ref="BJ248:BR248" si="658">$I248*BJ$2</f>
        <v>1551</v>
      </c>
      <c r="BK248" s="423">
        <f t="shared" si="658"/>
        <v>1551</v>
      </c>
      <c r="BL248" s="423">
        <f t="shared" si="658"/>
        <v>1551</v>
      </c>
      <c r="BM248" s="423">
        <f t="shared" si="658"/>
        <v>1551</v>
      </c>
      <c r="BN248" s="423">
        <f t="shared" si="658"/>
        <v>1551</v>
      </c>
      <c r="BO248" s="423">
        <f t="shared" si="658"/>
        <v>1551</v>
      </c>
      <c r="BP248" s="423">
        <f t="shared" si="658"/>
        <v>1551</v>
      </c>
      <c r="BQ248" s="423">
        <f t="shared" si="658"/>
        <v>1551</v>
      </c>
      <c r="BR248" s="423">
        <f t="shared" si="658"/>
        <v>264</v>
      </c>
      <c r="BT248" s="59">
        <f t="shared" ref="BT248:CB248" si="659">BT247-BJ248</f>
        <v>56215.4348958334</v>
      </c>
      <c r="BU248" s="59">
        <f t="shared" si="659"/>
        <v>56215.4348958334</v>
      </c>
      <c r="BV248" s="59">
        <f t="shared" si="659"/>
        <v>56215.4348958334</v>
      </c>
      <c r="BW248" s="59">
        <f t="shared" si="659"/>
        <v>56215.4348958334</v>
      </c>
      <c r="BX248" s="59">
        <f t="shared" si="659"/>
        <v>56215.4348958334</v>
      </c>
      <c r="BY248" s="59">
        <f t="shared" si="659"/>
        <v>56215.4348958334</v>
      </c>
      <c r="BZ248" s="59">
        <f t="shared" si="659"/>
        <v>56215.4348958334</v>
      </c>
      <c r="CA248" s="59">
        <f t="shared" si="659"/>
        <v>56215.4348958334</v>
      </c>
      <c r="CB248" s="59">
        <f t="shared" si="659"/>
        <v>9520.52083333335</v>
      </c>
    </row>
    <row r="249" s="371" customFormat="1" ht="27" hidden="1" customHeight="1" spans="1:80">
      <c r="A249" s="410">
        <v>45876</v>
      </c>
      <c r="B249" s="411" t="s">
        <v>1170</v>
      </c>
      <c r="C249" s="412" t="s">
        <v>117</v>
      </c>
      <c r="D249" s="413">
        <v>4500176236</v>
      </c>
      <c r="E249" s="412">
        <v>70073073</v>
      </c>
      <c r="F249" s="411" t="s">
        <v>1344</v>
      </c>
      <c r="G249" s="414" t="s">
        <v>188</v>
      </c>
      <c r="H249" s="411" t="s">
        <v>120</v>
      </c>
      <c r="I249" s="415">
        <v>300</v>
      </c>
      <c r="J249" s="415">
        <v>0</v>
      </c>
      <c r="K249" s="415">
        <v>12</v>
      </c>
      <c r="L249" s="415">
        <f t="shared" si="553"/>
        <v>25</v>
      </c>
      <c r="M249" s="416">
        <v>45943</v>
      </c>
      <c r="N249" s="416">
        <v>45939</v>
      </c>
      <c r="O249" s="417"/>
      <c r="P249" s="417" t="s">
        <v>224</v>
      </c>
      <c r="Q249" s="417" t="s">
        <v>1345</v>
      </c>
      <c r="R249" s="417">
        <v>45904</v>
      </c>
      <c r="S249" s="417" t="s">
        <v>80</v>
      </c>
      <c r="T249" s="453" t="s">
        <v>1346</v>
      </c>
      <c r="U249" s="417"/>
      <c r="V249" s="420" t="s">
        <v>1173</v>
      </c>
      <c r="W249" s="416" t="s">
        <v>1174</v>
      </c>
      <c r="X249" s="421">
        <v>1.1176</v>
      </c>
      <c r="Y249" s="415">
        <f t="shared" ref="Y249:Y259" si="660">X249*I249</f>
        <v>335.28</v>
      </c>
      <c r="Z249" s="416" t="s">
        <v>1347</v>
      </c>
      <c r="AA249" s="420">
        <v>300</v>
      </c>
      <c r="AB249" s="420">
        <f t="shared" si="622"/>
        <v>0</v>
      </c>
      <c r="AC249" s="417" t="s">
        <v>113</v>
      </c>
      <c r="AD249" s="417" t="s">
        <v>114</v>
      </c>
      <c r="AE249" s="416" t="s">
        <v>119</v>
      </c>
      <c r="AF249" s="416" t="s">
        <v>115</v>
      </c>
      <c r="AG249" s="422">
        <f>I249*2</f>
        <v>600</v>
      </c>
      <c r="AH249" s="422"/>
      <c r="AI249" s="422">
        <f>I249*2</f>
        <v>600</v>
      </c>
      <c r="AJ249" s="422"/>
      <c r="AK249" s="422">
        <f>I249*2</f>
        <v>600</v>
      </c>
      <c r="AL249" s="422"/>
      <c r="AM249" s="422"/>
      <c r="AN249" s="422"/>
      <c r="AO249" s="422">
        <f>I249*2</f>
        <v>600</v>
      </c>
      <c r="AP249" s="422"/>
      <c r="AQ249" s="422"/>
      <c r="AR249" s="422"/>
      <c r="AS249" s="422"/>
      <c r="AT249" s="422"/>
      <c r="AU249" s="422"/>
      <c r="AV249" s="422"/>
      <c r="AW249" s="422"/>
      <c r="AX249" s="422"/>
      <c r="AY249" s="422"/>
      <c r="AZ249" s="422"/>
      <c r="BA249" s="422"/>
      <c r="BB249" s="422"/>
      <c r="BC249" s="422"/>
      <c r="BD249" s="422"/>
      <c r="BE249" s="422"/>
      <c r="BF249" s="422">
        <f>I249</f>
        <v>300</v>
      </c>
      <c r="BG249" s="422">
        <f>I249</f>
        <v>300</v>
      </c>
      <c r="BH249" s="422"/>
      <c r="BI249" s="422"/>
      <c r="BJ249" s="423">
        <f t="shared" ref="BJ249:BR249" si="661">$I249*BJ$2*2</f>
        <v>73.4374999999998</v>
      </c>
      <c r="BK249" s="423">
        <f t="shared" si="661"/>
        <v>73.4374999999998</v>
      </c>
      <c r="BL249" s="423">
        <f t="shared" si="661"/>
        <v>73.4374999999998</v>
      </c>
      <c r="BM249" s="423">
        <f t="shared" si="661"/>
        <v>73.4374999999998</v>
      </c>
      <c r="BN249" s="423">
        <f t="shared" si="661"/>
        <v>73.4374999999998</v>
      </c>
      <c r="BO249" s="423">
        <f t="shared" si="661"/>
        <v>73.4374999999998</v>
      </c>
      <c r="BP249" s="423">
        <f t="shared" si="661"/>
        <v>73.4374999999998</v>
      </c>
      <c r="BQ249" s="423">
        <f t="shared" si="661"/>
        <v>73.4374999999998</v>
      </c>
      <c r="BR249" s="423">
        <f t="shared" si="661"/>
        <v>12.5</v>
      </c>
      <c r="BT249" s="59">
        <f t="shared" ref="BT249:CB249" si="662">BT248-BJ249</f>
        <v>56141.9973958334</v>
      </c>
      <c r="BU249" s="59">
        <f t="shared" si="662"/>
        <v>56141.9973958334</v>
      </c>
      <c r="BV249" s="59">
        <f t="shared" si="662"/>
        <v>56141.9973958334</v>
      </c>
      <c r="BW249" s="59">
        <f t="shared" si="662"/>
        <v>56141.9973958334</v>
      </c>
      <c r="BX249" s="59">
        <f t="shared" si="662"/>
        <v>56141.9973958334</v>
      </c>
      <c r="BY249" s="59">
        <f t="shared" si="662"/>
        <v>56141.9973958334</v>
      </c>
      <c r="BZ249" s="59">
        <f t="shared" si="662"/>
        <v>56141.9973958334</v>
      </c>
      <c r="CA249" s="59">
        <f t="shared" si="662"/>
        <v>56141.9973958334</v>
      </c>
      <c r="CB249" s="59">
        <f t="shared" si="662"/>
        <v>9508.02083333335</v>
      </c>
    </row>
    <row r="250" s="371" customFormat="1" ht="27" hidden="1" customHeight="1" spans="1:80">
      <c r="A250" s="410">
        <v>45903</v>
      </c>
      <c r="B250" s="411" t="s">
        <v>1348</v>
      </c>
      <c r="C250" s="412" t="s">
        <v>474</v>
      </c>
      <c r="D250" s="413">
        <v>4500178665</v>
      </c>
      <c r="E250" s="412"/>
      <c r="F250" s="411" t="s">
        <v>1349</v>
      </c>
      <c r="G250" s="414" t="s">
        <v>131</v>
      </c>
      <c r="H250" s="411" t="s">
        <v>132</v>
      </c>
      <c r="I250" s="415">
        <v>540</v>
      </c>
      <c r="J250" s="415">
        <v>0</v>
      </c>
      <c r="K250" s="415">
        <v>27</v>
      </c>
      <c r="L250" s="415">
        <f t="shared" si="553"/>
        <v>20</v>
      </c>
      <c r="M250" s="416">
        <v>45945</v>
      </c>
      <c r="N250" s="416">
        <v>45941</v>
      </c>
      <c r="O250" s="417"/>
      <c r="P250" s="417" t="s">
        <v>224</v>
      </c>
      <c r="Q250" s="417" t="s">
        <v>1350</v>
      </c>
      <c r="R250" s="417">
        <v>45910</v>
      </c>
      <c r="S250" s="453" t="s">
        <v>80</v>
      </c>
      <c r="T250" s="453" t="s">
        <v>1351</v>
      </c>
      <c r="U250" s="417"/>
      <c r="V250" s="420" t="s">
        <v>1352</v>
      </c>
      <c r="W250" s="416" t="s">
        <v>459</v>
      </c>
      <c r="X250" s="421">
        <v>0.7792</v>
      </c>
      <c r="Y250" s="415">
        <f t="shared" si="660"/>
        <v>420.768</v>
      </c>
      <c r="Z250" s="416" t="s">
        <v>1353</v>
      </c>
      <c r="AA250" s="420">
        <f>513+27</f>
        <v>540</v>
      </c>
      <c r="AB250" s="420">
        <f t="shared" si="622"/>
        <v>0</v>
      </c>
      <c r="AC250" s="417" t="s">
        <v>113</v>
      </c>
      <c r="AD250" s="417" t="s">
        <v>114</v>
      </c>
      <c r="AE250" s="416" t="s">
        <v>434</v>
      </c>
      <c r="AF250" s="416" t="s">
        <v>115</v>
      </c>
      <c r="AG250" s="422">
        <f t="shared" ref="AG250:AG287" si="663">I250</f>
        <v>540</v>
      </c>
      <c r="AH250" s="422"/>
      <c r="AI250" s="422">
        <f t="shared" ref="AI250:AI287" si="664">I250</f>
        <v>540</v>
      </c>
      <c r="AJ250" s="422"/>
      <c r="AK250" s="422"/>
      <c r="AL250" s="422">
        <f>I250</f>
        <v>540</v>
      </c>
      <c r="AM250" s="422"/>
      <c r="AN250" s="422"/>
      <c r="AO250" s="422">
        <f t="shared" ref="AO250:AO256" si="665">I250</f>
        <v>540</v>
      </c>
      <c r="AP250" s="422"/>
      <c r="AQ250" s="422"/>
      <c r="AR250" s="422">
        <f>I250/27</f>
        <v>20</v>
      </c>
      <c r="AS250" s="422"/>
      <c r="AT250" s="422"/>
      <c r="AU250" s="422"/>
      <c r="AV250" s="422"/>
      <c r="AW250" s="422"/>
      <c r="AX250" s="422"/>
      <c r="AY250" s="422"/>
      <c r="AZ250" s="422"/>
      <c r="BA250" s="422"/>
      <c r="BB250" s="422"/>
      <c r="BC250" s="422"/>
      <c r="BD250" s="422"/>
      <c r="BE250" s="422"/>
      <c r="BF250" s="422"/>
      <c r="BG250" s="422"/>
      <c r="BH250" s="422"/>
      <c r="BI250" s="422"/>
      <c r="BJ250" s="423">
        <f t="shared" ref="BJ250:BR250" si="666">$I250*BJ$2</f>
        <v>66.0937499999998</v>
      </c>
      <c r="BK250" s="423">
        <f t="shared" si="666"/>
        <v>66.0937499999998</v>
      </c>
      <c r="BL250" s="423">
        <f t="shared" si="666"/>
        <v>66.0937499999998</v>
      </c>
      <c r="BM250" s="423">
        <f t="shared" si="666"/>
        <v>66.0937499999998</v>
      </c>
      <c r="BN250" s="423">
        <f t="shared" si="666"/>
        <v>66.0937499999998</v>
      </c>
      <c r="BO250" s="423">
        <f t="shared" si="666"/>
        <v>66.0937499999998</v>
      </c>
      <c r="BP250" s="423">
        <f t="shared" si="666"/>
        <v>66.0937499999998</v>
      </c>
      <c r="BQ250" s="423">
        <f t="shared" si="666"/>
        <v>66.0937499999998</v>
      </c>
      <c r="BR250" s="423">
        <f t="shared" si="666"/>
        <v>11.25</v>
      </c>
      <c r="BT250" s="59">
        <f t="shared" ref="BT250:CB250" si="667">BT249-BJ250</f>
        <v>56075.9036458334</v>
      </c>
      <c r="BU250" s="59">
        <f t="shared" si="667"/>
        <v>56075.9036458334</v>
      </c>
      <c r="BV250" s="59">
        <f t="shared" si="667"/>
        <v>56075.9036458334</v>
      </c>
      <c r="BW250" s="59">
        <f t="shared" si="667"/>
        <v>56075.9036458334</v>
      </c>
      <c r="BX250" s="59">
        <f t="shared" si="667"/>
        <v>56075.9036458334</v>
      </c>
      <c r="BY250" s="59">
        <f t="shared" si="667"/>
        <v>56075.9036458334</v>
      </c>
      <c r="BZ250" s="59">
        <f t="shared" si="667"/>
        <v>56075.9036458334</v>
      </c>
      <c r="CA250" s="59">
        <f t="shared" si="667"/>
        <v>56075.9036458334</v>
      </c>
      <c r="CB250" s="59">
        <f t="shared" si="667"/>
        <v>9496.77083333335</v>
      </c>
    </row>
    <row r="251" s="371" customFormat="1" ht="27" hidden="1" customHeight="1" spans="1:80">
      <c r="A251" s="410">
        <v>45912</v>
      </c>
      <c r="B251" s="411" t="s">
        <v>326</v>
      </c>
      <c r="C251" s="412" t="s">
        <v>117</v>
      </c>
      <c r="D251" s="413">
        <v>4500179415</v>
      </c>
      <c r="E251" s="533" t="s">
        <v>1354</v>
      </c>
      <c r="F251" s="413" t="s">
        <v>1355</v>
      </c>
      <c r="G251" s="414" t="s">
        <v>258</v>
      </c>
      <c r="H251" s="411" t="s">
        <v>259</v>
      </c>
      <c r="I251" s="415">
        <v>2304</v>
      </c>
      <c r="J251" s="415">
        <v>0</v>
      </c>
      <c r="K251" s="415">
        <v>1152</v>
      </c>
      <c r="L251" s="415">
        <f t="shared" si="553"/>
        <v>2</v>
      </c>
      <c r="M251" s="416">
        <v>45948</v>
      </c>
      <c r="N251" s="416">
        <v>45944</v>
      </c>
      <c r="O251" s="453" t="s">
        <v>1356</v>
      </c>
      <c r="P251" s="417" t="s">
        <v>107</v>
      </c>
      <c r="Q251" s="417" t="s">
        <v>1357</v>
      </c>
      <c r="R251" s="417" t="s">
        <v>331</v>
      </c>
      <c r="S251" s="419" t="s">
        <v>191</v>
      </c>
      <c r="T251" s="419" t="s">
        <v>1358</v>
      </c>
      <c r="U251" s="417"/>
      <c r="V251" s="420" t="s">
        <v>1320</v>
      </c>
      <c r="W251" s="416" t="s">
        <v>265</v>
      </c>
      <c r="X251" s="421">
        <v>555.88</v>
      </c>
      <c r="Y251" s="415">
        <f>X251*L251</f>
        <v>1111.76</v>
      </c>
      <c r="Z251" s="416" t="s">
        <v>1359</v>
      </c>
      <c r="AA251" s="420">
        <f>2292+12</f>
        <v>2304</v>
      </c>
      <c r="AB251" s="420">
        <f t="shared" si="622"/>
        <v>0</v>
      </c>
      <c r="AC251" s="417"/>
      <c r="AD251" s="417" t="s">
        <v>114</v>
      </c>
      <c r="AE251" s="416" t="s">
        <v>258</v>
      </c>
      <c r="AF251" s="416" t="s">
        <v>115</v>
      </c>
      <c r="AG251" s="422">
        <f t="shared" si="663"/>
        <v>2304</v>
      </c>
      <c r="AH251" s="422"/>
      <c r="AI251" s="422">
        <f t="shared" si="664"/>
        <v>2304</v>
      </c>
      <c r="AJ251" s="422"/>
      <c r="AK251" s="422">
        <f t="shared" ref="AK251:AK253" si="668">I251</f>
        <v>2304</v>
      </c>
      <c r="AL251" s="422"/>
      <c r="AM251" s="422"/>
      <c r="AN251" s="422"/>
      <c r="AO251" s="422">
        <f t="shared" si="665"/>
        <v>2304</v>
      </c>
      <c r="AP251" s="422"/>
      <c r="AQ251" s="422"/>
      <c r="AR251" s="422"/>
      <c r="AS251" s="422"/>
      <c r="AT251" s="422"/>
      <c r="AU251" s="422"/>
      <c r="AV251" s="422">
        <f>I251/12</f>
        <v>192</v>
      </c>
      <c r="AW251" s="422"/>
      <c r="AX251" s="422"/>
      <c r="AY251" s="422"/>
      <c r="AZ251" s="422"/>
      <c r="BA251" s="422"/>
      <c r="BB251" s="422"/>
      <c r="BC251" s="422"/>
      <c r="BD251" s="422"/>
      <c r="BE251" s="422"/>
      <c r="BF251" s="422"/>
      <c r="BG251" s="422"/>
      <c r="BH251" s="422"/>
      <c r="BI251" s="422"/>
      <c r="BJ251" s="423">
        <f t="shared" ref="BJ251:BR251" si="669">$I251*BJ$2</f>
        <v>281.999999999999</v>
      </c>
      <c r="BK251" s="423">
        <f t="shared" si="669"/>
        <v>281.999999999999</v>
      </c>
      <c r="BL251" s="423">
        <f t="shared" si="669"/>
        <v>281.999999999999</v>
      </c>
      <c r="BM251" s="423">
        <f t="shared" si="669"/>
        <v>281.999999999999</v>
      </c>
      <c r="BN251" s="423">
        <f t="shared" si="669"/>
        <v>281.999999999999</v>
      </c>
      <c r="BO251" s="423">
        <f t="shared" si="669"/>
        <v>281.999999999999</v>
      </c>
      <c r="BP251" s="423">
        <f t="shared" si="669"/>
        <v>281.999999999999</v>
      </c>
      <c r="BQ251" s="423">
        <f t="shared" si="669"/>
        <v>281.999999999999</v>
      </c>
      <c r="BR251" s="423">
        <f t="shared" si="669"/>
        <v>47.9999999999999</v>
      </c>
      <c r="BT251" s="59">
        <f t="shared" ref="BT251:CB251" si="670">BT250-BJ251</f>
        <v>55793.9036458334</v>
      </c>
      <c r="BU251" s="59">
        <f t="shared" si="670"/>
        <v>55793.9036458334</v>
      </c>
      <c r="BV251" s="59">
        <f t="shared" si="670"/>
        <v>55793.9036458334</v>
      </c>
      <c r="BW251" s="59">
        <f t="shared" si="670"/>
        <v>55793.9036458334</v>
      </c>
      <c r="BX251" s="59">
        <f t="shared" si="670"/>
        <v>55793.9036458334</v>
      </c>
      <c r="BY251" s="59">
        <f t="shared" si="670"/>
        <v>55793.9036458334</v>
      </c>
      <c r="BZ251" s="59">
        <f t="shared" si="670"/>
        <v>55793.9036458334</v>
      </c>
      <c r="CA251" s="59">
        <f t="shared" si="670"/>
        <v>55793.9036458334</v>
      </c>
      <c r="CB251" s="59">
        <f t="shared" si="670"/>
        <v>9448.77083333335</v>
      </c>
    </row>
    <row r="252" s="371" customFormat="1" ht="27" hidden="1" customHeight="1" spans="1:80">
      <c r="A252" s="410">
        <v>45912</v>
      </c>
      <c r="B252" s="411" t="s">
        <v>326</v>
      </c>
      <c r="C252" s="412" t="s">
        <v>117</v>
      </c>
      <c r="D252" s="413">
        <v>4500179415</v>
      </c>
      <c r="E252" s="533" t="s">
        <v>1360</v>
      </c>
      <c r="F252" s="413" t="s">
        <v>1361</v>
      </c>
      <c r="G252" s="414" t="s">
        <v>258</v>
      </c>
      <c r="H252" s="411" t="s">
        <v>259</v>
      </c>
      <c r="I252" s="415">
        <v>1152</v>
      </c>
      <c r="J252" s="415">
        <v>0</v>
      </c>
      <c r="K252" s="415">
        <v>1152</v>
      </c>
      <c r="L252" s="415">
        <f t="shared" si="553"/>
        <v>1</v>
      </c>
      <c r="M252" s="416">
        <v>45948</v>
      </c>
      <c r="N252" s="416">
        <v>45944</v>
      </c>
      <c r="O252" s="453" t="s">
        <v>1356</v>
      </c>
      <c r="P252" s="417" t="s">
        <v>107</v>
      </c>
      <c r="Q252" s="417" t="s">
        <v>1362</v>
      </c>
      <c r="R252" s="417" t="s">
        <v>331</v>
      </c>
      <c r="S252" s="419" t="s">
        <v>191</v>
      </c>
      <c r="T252" s="419" t="s">
        <v>1358</v>
      </c>
      <c r="U252" s="417"/>
      <c r="V252" s="420" t="s">
        <v>1320</v>
      </c>
      <c r="W252" s="416" t="s">
        <v>265</v>
      </c>
      <c r="X252" s="421">
        <v>555.88</v>
      </c>
      <c r="Y252" s="415">
        <f>X252*L252</f>
        <v>555.88</v>
      </c>
      <c r="Z252" s="416" t="s">
        <v>1363</v>
      </c>
      <c r="AA252" s="420">
        <f>1152</f>
        <v>1152</v>
      </c>
      <c r="AB252" s="420">
        <f t="shared" si="622"/>
        <v>0</v>
      </c>
      <c r="AC252" s="417"/>
      <c r="AD252" s="417" t="s">
        <v>114</v>
      </c>
      <c r="AE252" s="416" t="s">
        <v>258</v>
      </c>
      <c r="AF252" s="416" t="s">
        <v>115</v>
      </c>
      <c r="AG252" s="422">
        <f t="shared" si="663"/>
        <v>1152</v>
      </c>
      <c r="AH252" s="422"/>
      <c r="AI252" s="422">
        <f t="shared" si="664"/>
        <v>1152</v>
      </c>
      <c r="AJ252" s="422"/>
      <c r="AK252" s="422">
        <f t="shared" si="668"/>
        <v>1152</v>
      </c>
      <c r="AL252" s="422"/>
      <c r="AM252" s="422"/>
      <c r="AN252" s="422"/>
      <c r="AO252" s="422">
        <f t="shared" si="665"/>
        <v>1152</v>
      </c>
      <c r="AP252" s="422"/>
      <c r="AQ252" s="422"/>
      <c r="AR252" s="422"/>
      <c r="AS252" s="422"/>
      <c r="AT252" s="422"/>
      <c r="AU252" s="422"/>
      <c r="AV252" s="422">
        <f>I252/12</f>
        <v>96</v>
      </c>
      <c r="AW252" s="422"/>
      <c r="AX252" s="422"/>
      <c r="AY252" s="422"/>
      <c r="AZ252" s="422"/>
      <c r="BA252" s="422"/>
      <c r="BB252" s="422"/>
      <c r="BC252" s="422"/>
      <c r="BD252" s="422"/>
      <c r="BE252" s="422"/>
      <c r="BF252" s="422"/>
      <c r="BG252" s="422"/>
      <c r="BH252" s="422"/>
      <c r="BI252" s="422"/>
      <c r="BJ252" s="423">
        <f t="shared" ref="BJ252:BR252" si="671">$I252*BJ$2</f>
        <v>141</v>
      </c>
      <c r="BK252" s="423">
        <f t="shared" si="671"/>
        <v>141</v>
      </c>
      <c r="BL252" s="423">
        <f t="shared" si="671"/>
        <v>141</v>
      </c>
      <c r="BM252" s="423">
        <f t="shared" si="671"/>
        <v>141</v>
      </c>
      <c r="BN252" s="423">
        <f t="shared" si="671"/>
        <v>141</v>
      </c>
      <c r="BO252" s="423">
        <f t="shared" si="671"/>
        <v>141</v>
      </c>
      <c r="BP252" s="423">
        <f t="shared" si="671"/>
        <v>141</v>
      </c>
      <c r="BQ252" s="423">
        <f t="shared" si="671"/>
        <v>141</v>
      </c>
      <c r="BR252" s="423">
        <f t="shared" si="671"/>
        <v>24</v>
      </c>
      <c r="BT252" s="59">
        <f t="shared" ref="BT252:CB252" si="672">BT251-BJ252</f>
        <v>55652.9036458334</v>
      </c>
      <c r="BU252" s="59">
        <f t="shared" si="672"/>
        <v>55652.9036458334</v>
      </c>
      <c r="BV252" s="59">
        <f t="shared" si="672"/>
        <v>55652.9036458334</v>
      </c>
      <c r="BW252" s="59">
        <f t="shared" si="672"/>
        <v>55652.9036458334</v>
      </c>
      <c r="BX252" s="59">
        <f t="shared" si="672"/>
        <v>55652.9036458334</v>
      </c>
      <c r="BY252" s="59">
        <f t="shared" si="672"/>
        <v>55652.9036458334</v>
      </c>
      <c r="BZ252" s="59">
        <f t="shared" si="672"/>
        <v>55652.9036458334</v>
      </c>
      <c r="CA252" s="59">
        <f t="shared" si="672"/>
        <v>55652.9036458334</v>
      </c>
      <c r="CB252" s="59">
        <f t="shared" si="672"/>
        <v>9424.77083333335</v>
      </c>
    </row>
    <row r="253" s="371" customFormat="1" ht="27" hidden="1" customHeight="1" spans="1:80">
      <c r="A253" s="410">
        <v>45902</v>
      </c>
      <c r="B253" s="411" t="s">
        <v>1364</v>
      </c>
      <c r="C253" s="412" t="s">
        <v>396</v>
      </c>
      <c r="D253" s="413">
        <v>4500178312</v>
      </c>
      <c r="E253" s="412" t="s">
        <v>1365</v>
      </c>
      <c r="F253" s="411" t="s">
        <v>1366</v>
      </c>
      <c r="G253" s="414" t="s">
        <v>78</v>
      </c>
      <c r="H253" s="411" t="s">
        <v>79</v>
      </c>
      <c r="I253" s="415">
        <v>540</v>
      </c>
      <c r="J253" s="415">
        <v>0</v>
      </c>
      <c r="K253" s="415">
        <v>54</v>
      </c>
      <c r="L253" s="415">
        <f t="shared" si="553"/>
        <v>10</v>
      </c>
      <c r="M253" s="416">
        <v>45950</v>
      </c>
      <c r="N253" s="416">
        <v>45946</v>
      </c>
      <c r="O253" s="417"/>
      <c r="P253" s="417" t="s">
        <v>224</v>
      </c>
      <c r="Q253" s="417" t="s">
        <v>1367</v>
      </c>
      <c r="R253" s="521">
        <v>45901</v>
      </c>
      <c r="S253" s="417" t="s">
        <v>80</v>
      </c>
      <c r="T253" s="417" t="s">
        <v>80</v>
      </c>
      <c r="U253" s="417" t="s">
        <v>156</v>
      </c>
      <c r="V253" s="420" t="s">
        <v>1368</v>
      </c>
      <c r="W253" s="416" t="s">
        <v>1369</v>
      </c>
      <c r="X253" s="421">
        <v>0.845</v>
      </c>
      <c r="Y253" s="415">
        <f t="shared" si="660"/>
        <v>456.3</v>
      </c>
      <c r="Z253" s="416"/>
      <c r="AA253" s="420">
        <f>486+54</f>
        <v>540</v>
      </c>
      <c r="AB253" s="420">
        <f t="shared" si="622"/>
        <v>0</v>
      </c>
      <c r="AC253" s="417" t="s">
        <v>80</v>
      </c>
      <c r="AD253" s="417" t="s">
        <v>114</v>
      </c>
      <c r="AE253" s="416" t="s">
        <v>78</v>
      </c>
      <c r="AF253" s="416" t="s">
        <v>115</v>
      </c>
      <c r="AG253" s="422">
        <f t="shared" si="663"/>
        <v>540</v>
      </c>
      <c r="AH253" s="422"/>
      <c r="AI253" s="422">
        <f t="shared" si="664"/>
        <v>540</v>
      </c>
      <c r="AJ253" s="422"/>
      <c r="AK253" s="422">
        <f t="shared" si="668"/>
        <v>540</v>
      </c>
      <c r="AL253" s="422"/>
      <c r="AM253" s="422"/>
      <c r="AN253" s="422"/>
      <c r="AO253" s="422">
        <f t="shared" si="665"/>
        <v>540</v>
      </c>
      <c r="AP253" s="422"/>
      <c r="AQ253" s="422">
        <f>I253/27</f>
        <v>20</v>
      </c>
      <c r="AR253" s="422"/>
      <c r="AS253" s="422"/>
      <c r="AT253" s="422"/>
      <c r="AU253" s="422"/>
      <c r="AV253" s="422"/>
      <c r="AW253" s="422"/>
      <c r="AX253" s="422"/>
      <c r="AY253" s="422"/>
      <c r="AZ253" s="422"/>
      <c r="BA253" s="422"/>
      <c r="BB253" s="422"/>
      <c r="BC253" s="422"/>
      <c r="BD253" s="422"/>
      <c r="BE253" s="422"/>
      <c r="BF253" s="422"/>
      <c r="BG253" s="422"/>
      <c r="BH253" s="422"/>
      <c r="BI253" s="422"/>
      <c r="BJ253" s="423">
        <f t="shared" ref="BJ253:BR253" si="673">$I253*BJ$2</f>
        <v>66.0937499999998</v>
      </c>
      <c r="BK253" s="423">
        <f t="shared" si="673"/>
        <v>66.0937499999998</v>
      </c>
      <c r="BL253" s="423">
        <f t="shared" si="673"/>
        <v>66.0937499999998</v>
      </c>
      <c r="BM253" s="423">
        <f t="shared" si="673"/>
        <v>66.0937499999998</v>
      </c>
      <c r="BN253" s="423">
        <f t="shared" si="673"/>
        <v>66.0937499999998</v>
      </c>
      <c r="BO253" s="423">
        <f t="shared" si="673"/>
        <v>66.0937499999998</v>
      </c>
      <c r="BP253" s="423">
        <f t="shared" si="673"/>
        <v>66.0937499999998</v>
      </c>
      <c r="BQ253" s="423">
        <f t="shared" si="673"/>
        <v>66.0937499999998</v>
      </c>
      <c r="BR253" s="423">
        <f t="shared" si="673"/>
        <v>11.25</v>
      </c>
      <c r="BT253" s="59">
        <f t="shared" ref="BT253:CB253" si="674">BT252-BJ253</f>
        <v>55586.8098958334</v>
      </c>
      <c r="BU253" s="59">
        <f t="shared" si="674"/>
        <v>55586.8098958334</v>
      </c>
      <c r="BV253" s="59">
        <f t="shared" si="674"/>
        <v>55586.8098958334</v>
      </c>
      <c r="BW253" s="59">
        <f t="shared" si="674"/>
        <v>55586.8098958334</v>
      </c>
      <c r="BX253" s="59">
        <f t="shared" si="674"/>
        <v>55586.8098958334</v>
      </c>
      <c r="BY253" s="59">
        <f t="shared" si="674"/>
        <v>55586.8098958334</v>
      </c>
      <c r="BZ253" s="59">
        <f t="shared" si="674"/>
        <v>55586.8098958334</v>
      </c>
      <c r="CA253" s="59">
        <f t="shared" si="674"/>
        <v>55586.8098958334</v>
      </c>
      <c r="CB253" s="59">
        <f t="shared" si="674"/>
        <v>9413.52083333335</v>
      </c>
    </row>
    <row r="254" s="371" customFormat="1" ht="27" hidden="1" customHeight="1" spans="1:80">
      <c r="A254" s="410">
        <v>45905</v>
      </c>
      <c r="B254" s="411" t="s">
        <v>447</v>
      </c>
      <c r="C254" s="412" t="s">
        <v>448</v>
      </c>
      <c r="D254" s="413">
        <v>4500178606</v>
      </c>
      <c r="E254" s="412" t="s">
        <v>1370</v>
      </c>
      <c r="F254" s="411" t="s">
        <v>1371</v>
      </c>
      <c r="G254" s="414" t="s">
        <v>152</v>
      </c>
      <c r="H254" s="411" t="s">
        <v>153</v>
      </c>
      <c r="I254" s="415">
        <v>650</v>
      </c>
      <c r="J254" s="415">
        <v>0</v>
      </c>
      <c r="K254" s="415">
        <v>13</v>
      </c>
      <c r="L254" s="415">
        <f t="shared" si="553"/>
        <v>50</v>
      </c>
      <c r="M254" s="416">
        <v>45950</v>
      </c>
      <c r="N254" s="416">
        <v>45946</v>
      </c>
      <c r="O254" s="417"/>
      <c r="P254" s="417" t="s">
        <v>224</v>
      </c>
      <c r="Q254" s="417" t="s">
        <v>1372</v>
      </c>
      <c r="R254" s="521">
        <v>45905</v>
      </c>
      <c r="S254" s="417" t="s">
        <v>80</v>
      </c>
      <c r="T254" s="417" t="s">
        <v>1373</v>
      </c>
      <c r="U254" s="417"/>
      <c r="V254" s="420" t="s">
        <v>1374</v>
      </c>
      <c r="W254" s="416" t="s">
        <v>454</v>
      </c>
      <c r="X254" s="421">
        <v>0.8354</v>
      </c>
      <c r="Y254" s="415">
        <f t="shared" si="660"/>
        <v>543.01</v>
      </c>
      <c r="Z254" s="416" t="s">
        <v>1375</v>
      </c>
      <c r="AA254" s="420">
        <v>650</v>
      </c>
      <c r="AB254" s="420">
        <f t="shared" si="622"/>
        <v>0</v>
      </c>
      <c r="AC254" s="417" t="s">
        <v>113</v>
      </c>
      <c r="AD254" s="417" t="s">
        <v>114</v>
      </c>
      <c r="AE254" s="416" t="s">
        <v>319</v>
      </c>
      <c r="AF254" s="416" t="s">
        <v>115</v>
      </c>
      <c r="AG254" s="422">
        <f t="shared" si="663"/>
        <v>650</v>
      </c>
      <c r="AH254" s="422"/>
      <c r="AI254" s="422">
        <f t="shared" si="664"/>
        <v>650</v>
      </c>
      <c r="AJ254" s="422"/>
      <c r="AK254" s="422"/>
      <c r="AL254" s="422">
        <f>I254</f>
        <v>650</v>
      </c>
      <c r="AM254" s="422"/>
      <c r="AN254" s="422"/>
      <c r="AO254" s="422">
        <f t="shared" si="665"/>
        <v>650</v>
      </c>
      <c r="AP254" s="422"/>
      <c r="AQ254" s="422"/>
      <c r="AR254" s="422"/>
      <c r="AS254" s="422"/>
      <c r="AT254" s="422"/>
      <c r="AU254" s="422">
        <f>I254/13</f>
        <v>50</v>
      </c>
      <c r="AV254" s="422"/>
      <c r="AW254" s="422"/>
      <c r="AX254" s="422"/>
      <c r="AY254" s="422"/>
      <c r="AZ254" s="422"/>
      <c r="BA254" s="422"/>
      <c r="BB254" s="422"/>
      <c r="BC254" s="422"/>
      <c r="BD254" s="422"/>
      <c r="BE254" s="422"/>
      <c r="BF254" s="422"/>
      <c r="BG254" s="422"/>
      <c r="BH254" s="422"/>
      <c r="BI254" s="422"/>
      <c r="BJ254" s="423">
        <f t="shared" ref="BJ254:BR254" si="675">$I254*BJ$2</f>
        <v>79.5572916666664</v>
      </c>
      <c r="BK254" s="423">
        <f t="shared" si="675"/>
        <v>79.5572916666664</v>
      </c>
      <c r="BL254" s="423">
        <f t="shared" si="675"/>
        <v>79.5572916666664</v>
      </c>
      <c r="BM254" s="423">
        <f t="shared" si="675"/>
        <v>79.5572916666664</v>
      </c>
      <c r="BN254" s="423">
        <f t="shared" si="675"/>
        <v>79.5572916666664</v>
      </c>
      <c r="BO254" s="423">
        <f t="shared" si="675"/>
        <v>79.5572916666664</v>
      </c>
      <c r="BP254" s="423">
        <f t="shared" si="675"/>
        <v>79.5572916666664</v>
      </c>
      <c r="BQ254" s="423">
        <f t="shared" si="675"/>
        <v>79.5572916666664</v>
      </c>
      <c r="BR254" s="423">
        <f t="shared" si="675"/>
        <v>13.5416666666666</v>
      </c>
      <c r="BT254" s="59">
        <f t="shared" ref="BT254:CB254" si="676">BT253-BJ254</f>
        <v>55507.2526041667</v>
      </c>
      <c r="BU254" s="59">
        <f t="shared" si="676"/>
        <v>55507.2526041667</v>
      </c>
      <c r="BV254" s="59">
        <f t="shared" si="676"/>
        <v>55507.2526041667</v>
      </c>
      <c r="BW254" s="59">
        <f t="shared" si="676"/>
        <v>55507.2526041667</v>
      </c>
      <c r="BX254" s="59">
        <f t="shared" si="676"/>
        <v>55507.2526041667</v>
      </c>
      <c r="BY254" s="59">
        <f t="shared" si="676"/>
        <v>55507.2526041667</v>
      </c>
      <c r="BZ254" s="59">
        <f t="shared" si="676"/>
        <v>55507.2526041667</v>
      </c>
      <c r="CA254" s="59">
        <f t="shared" si="676"/>
        <v>55507.2526041667</v>
      </c>
      <c r="CB254" s="59">
        <f t="shared" si="676"/>
        <v>9399.97916666668</v>
      </c>
    </row>
    <row r="255" s="371" customFormat="1" ht="27" hidden="1" customHeight="1" spans="1:80">
      <c r="A255" s="410">
        <v>45910</v>
      </c>
      <c r="B255" s="411" t="s">
        <v>564</v>
      </c>
      <c r="C255" s="412" t="s">
        <v>117</v>
      </c>
      <c r="D255" s="413">
        <v>4500179184</v>
      </c>
      <c r="E255" s="412" t="s">
        <v>1376</v>
      </c>
      <c r="F255" s="411" t="s">
        <v>1377</v>
      </c>
      <c r="G255" s="414" t="s">
        <v>152</v>
      </c>
      <c r="H255" s="411" t="s">
        <v>153</v>
      </c>
      <c r="I255" s="415">
        <v>1248</v>
      </c>
      <c r="J255" s="415">
        <v>0</v>
      </c>
      <c r="K255" s="415">
        <v>13</v>
      </c>
      <c r="L255" s="415">
        <f t="shared" si="553"/>
        <v>96</v>
      </c>
      <c r="M255" s="416">
        <v>45958</v>
      </c>
      <c r="N255" s="416">
        <v>45957</v>
      </c>
      <c r="O255" s="417"/>
      <c r="P255" s="417" t="s">
        <v>224</v>
      </c>
      <c r="Q255" s="417" t="s">
        <v>1378</v>
      </c>
      <c r="R255" s="521">
        <v>45909</v>
      </c>
      <c r="S255" s="417" t="s">
        <v>80</v>
      </c>
      <c r="T255" s="417" t="s">
        <v>80</v>
      </c>
      <c r="U255" s="417"/>
      <c r="V255" s="420" t="s">
        <v>568</v>
      </c>
      <c r="W255" s="416" t="s">
        <v>1379</v>
      </c>
      <c r="X255" s="421">
        <v>0.498</v>
      </c>
      <c r="Y255" s="415">
        <f t="shared" si="660"/>
        <v>621.504</v>
      </c>
      <c r="Z255" s="416" t="s">
        <v>1380</v>
      </c>
      <c r="AA255" s="420">
        <v>1248</v>
      </c>
      <c r="AB255" s="420">
        <f t="shared" si="622"/>
        <v>0</v>
      </c>
      <c r="AC255" s="417" t="s">
        <v>80</v>
      </c>
      <c r="AD255" s="417" t="s">
        <v>114</v>
      </c>
      <c r="AE255" s="416" t="s">
        <v>152</v>
      </c>
      <c r="AF255" s="416" t="s">
        <v>115</v>
      </c>
      <c r="AG255" s="422">
        <f t="shared" si="663"/>
        <v>1248</v>
      </c>
      <c r="AH255" s="422"/>
      <c r="AI255" s="422">
        <f t="shared" si="664"/>
        <v>1248</v>
      </c>
      <c r="AJ255" s="422"/>
      <c r="AK255" s="422">
        <f t="shared" ref="AK255:AK262" si="677">I255</f>
        <v>1248</v>
      </c>
      <c r="AL255" s="422"/>
      <c r="AM255" s="422"/>
      <c r="AN255" s="422"/>
      <c r="AO255" s="422">
        <f t="shared" si="665"/>
        <v>1248</v>
      </c>
      <c r="AP255" s="422"/>
      <c r="AQ255" s="422"/>
      <c r="AR255" s="422"/>
      <c r="AS255" s="422"/>
      <c r="AT255" s="422">
        <f t="shared" ref="AT255:AT260" si="678">I255/13</f>
        <v>96</v>
      </c>
      <c r="AU255" s="422"/>
      <c r="AV255" s="422"/>
      <c r="AW255" s="422"/>
      <c r="AX255" s="422"/>
      <c r="AY255" s="422"/>
      <c r="AZ255" s="422"/>
      <c r="BA255" s="422"/>
      <c r="BB255" s="422"/>
      <c r="BC255" s="422"/>
      <c r="BD255" s="422"/>
      <c r="BE255" s="422"/>
      <c r="BF255" s="422"/>
      <c r="BG255" s="422"/>
      <c r="BH255" s="422"/>
      <c r="BI255" s="422"/>
      <c r="BJ255" s="423">
        <f t="shared" ref="BJ255:BR255" si="679">$I255*BJ$2</f>
        <v>152.75</v>
      </c>
      <c r="BK255" s="423">
        <f t="shared" si="679"/>
        <v>152.75</v>
      </c>
      <c r="BL255" s="423">
        <f t="shared" si="679"/>
        <v>152.75</v>
      </c>
      <c r="BM255" s="423">
        <f t="shared" si="679"/>
        <v>152.75</v>
      </c>
      <c r="BN255" s="423">
        <f t="shared" si="679"/>
        <v>152.75</v>
      </c>
      <c r="BO255" s="423">
        <f t="shared" si="679"/>
        <v>152.75</v>
      </c>
      <c r="BP255" s="423">
        <f t="shared" si="679"/>
        <v>152.75</v>
      </c>
      <c r="BQ255" s="423">
        <f t="shared" si="679"/>
        <v>152.75</v>
      </c>
      <c r="BR255" s="423">
        <f t="shared" si="679"/>
        <v>26</v>
      </c>
      <c r="BT255" s="59">
        <f t="shared" ref="BT255:CB255" si="680">BT254-BJ255</f>
        <v>55354.5026041667</v>
      </c>
      <c r="BU255" s="59">
        <f t="shared" si="680"/>
        <v>55354.5026041667</v>
      </c>
      <c r="BV255" s="59">
        <f t="shared" si="680"/>
        <v>55354.5026041667</v>
      </c>
      <c r="BW255" s="59">
        <f t="shared" si="680"/>
        <v>55354.5026041667</v>
      </c>
      <c r="BX255" s="59">
        <f t="shared" si="680"/>
        <v>55354.5026041667</v>
      </c>
      <c r="BY255" s="59">
        <f t="shared" si="680"/>
        <v>55354.5026041667</v>
      </c>
      <c r="BZ255" s="59">
        <f t="shared" si="680"/>
        <v>55354.5026041667</v>
      </c>
      <c r="CA255" s="59">
        <f t="shared" si="680"/>
        <v>55354.5026041667</v>
      </c>
      <c r="CB255" s="59">
        <f t="shared" si="680"/>
        <v>9373.97916666668</v>
      </c>
    </row>
    <row r="256" s="371" customFormat="1" ht="27" hidden="1" customHeight="1" spans="1:80">
      <c r="A256" s="410">
        <v>45910</v>
      </c>
      <c r="B256" s="411" t="s">
        <v>564</v>
      </c>
      <c r="C256" s="412" t="s">
        <v>117</v>
      </c>
      <c r="D256" s="413">
        <v>4500179184</v>
      </c>
      <c r="E256" s="412" t="s">
        <v>1381</v>
      </c>
      <c r="F256" s="411" t="s">
        <v>1382</v>
      </c>
      <c r="G256" s="414" t="s">
        <v>152</v>
      </c>
      <c r="H256" s="411" t="s">
        <v>153</v>
      </c>
      <c r="I256" s="415">
        <v>767</v>
      </c>
      <c r="J256" s="415">
        <v>0</v>
      </c>
      <c r="K256" s="415">
        <v>13</v>
      </c>
      <c r="L256" s="415">
        <f t="shared" si="553"/>
        <v>59</v>
      </c>
      <c r="M256" s="416">
        <v>45958</v>
      </c>
      <c r="N256" s="416">
        <v>45957</v>
      </c>
      <c r="O256" s="417"/>
      <c r="P256" s="417" t="s">
        <v>224</v>
      </c>
      <c r="Q256" s="417" t="s">
        <v>1378</v>
      </c>
      <c r="R256" s="521">
        <v>45909</v>
      </c>
      <c r="S256" s="417" t="s">
        <v>80</v>
      </c>
      <c r="T256" s="417" t="s">
        <v>80</v>
      </c>
      <c r="U256" s="417"/>
      <c r="V256" s="420" t="s">
        <v>568</v>
      </c>
      <c r="W256" s="416" t="s">
        <v>1379</v>
      </c>
      <c r="X256" s="421">
        <v>0.4687</v>
      </c>
      <c r="Y256" s="415">
        <f t="shared" si="660"/>
        <v>359.4929</v>
      </c>
      <c r="Z256" s="416" t="s">
        <v>1383</v>
      </c>
      <c r="AA256" s="420">
        <v>767</v>
      </c>
      <c r="AB256" s="420">
        <f t="shared" si="622"/>
        <v>0</v>
      </c>
      <c r="AC256" s="417" t="s">
        <v>80</v>
      </c>
      <c r="AD256" s="417" t="s">
        <v>114</v>
      </c>
      <c r="AE256" s="416" t="s">
        <v>152</v>
      </c>
      <c r="AF256" s="416" t="s">
        <v>115</v>
      </c>
      <c r="AG256" s="422">
        <f t="shared" si="663"/>
        <v>767</v>
      </c>
      <c r="AH256" s="422"/>
      <c r="AI256" s="422">
        <f t="shared" si="664"/>
        <v>767</v>
      </c>
      <c r="AJ256" s="422"/>
      <c r="AK256" s="422">
        <f t="shared" si="677"/>
        <v>767</v>
      </c>
      <c r="AL256" s="422"/>
      <c r="AM256" s="422"/>
      <c r="AN256" s="422"/>
      <c r="AO256" s="422">
        <f t="shared" si="665"/>
        <v>767</v>
      </c>
      <c r="AP256" s="422"/>
      <c r="AQ256" s="422"/>
      <c r="AR256" s="422"/>
      <c r="AS256" s="422"/>
      <c r="AT256" s="422">
        <f t="shared" si="678"/>
        <v>59</v>
      </c>
      <c r="AU256" s="422"/>
      <c r="AV256" s="422"/>
      <c r="AW256" s="422"/>
      <c r="AX256" s="422"/>
      <c r="AY256" s="422"/>
      <c r="AZ256" s="422"/>
      <c r="BA256" s="422"/>
      <c r="BB256" s="422"/>
      <c r="BC256" s="422"/>
      <c r="BD256" s="422"/>
      <c r="BE256" s="422"/>
      <c r="BF256" s="422"/>
      <c r="BG256" s="422"/>
      <c r="BH256" s="422"/>
      <c r="BI256" s="422"/>
      <c r="BJ256" s="423">
        <f t="shared" ref="BJ256:BR256" si="681">$I256*BJ$2</f>
        <v>93.8776041666664</v>
      </c>
      <c r="BK256" s="423">
        <f t="shared" si="681"/>
        <v>93.8776041666664</v>
      </c>
      <c r="BL256" s="423">
        <f t="shared" si="681"/>
        <v>93.8776041666664</v>
      </c>
      <c r="BM256" s="423">
        <f t="shared" si="681"/>
        <v>93.8776041666664</v>
      </c>
      <c r="BN256" s="423">
        <f t="shared" si="681"/>
        <v>93.8776041666664</v>
      </c>
      <c r="BO256" s="423">
        <f t="shared" si="681"/>
        <v>93.8776041666664</v>
      </c>
      <c r="BP256" s="423">
        <f t="shared" si="681"/>
        <v>93.8776041666664</v>
      </c>
      <c r="BQ256" s="423">
        <f t="shared" si="681"/>
        <v>93.8776041666664</v>
      </c>
      <c r="BR256" s="423">
        <f t="shared" si="681"/>
        <v>15.9791666666666</v>
      </c>
      <c r="BT256" s="59">
        <f t="shared" ref="BT256:CB256" si="682">BT255-BJ256</f>
        <v>55260.6250000001</v>
      </c>
      <c r="BU256" s="59">
        <f t="shared" si="682"/>
        <v>55260.6250000001</v>
      </c>
      <c r="BV256" s="59">
        <f t="shared" si="682"/>
        <v>55260.6250000001</v>
      </c>
      <c r="BW256" s="59">
        <f t="shared" si="682"/>
        <v>55260.6250000001</v>
      </c>
      <c r="BX256" s="59">
        <f t="shared" si="682"/>
        <v>55260.6250000001</v>
      </c>
      <c r="BY256" s="59">
        <f t="shared" si="682"/>
        <v>55260.6250000001</v>
      </c>
      <c r="BZ256" s="59">
        <f t="shared" si="682"/>
        <v>55260.6250000001</v>
      </c>
      <c r="CA256" s="59">
        <f t="shared" si="682"/>
        <v>55260.6250000001</v>
      </c>
      <c r="CB256" s="59">
        <f t="shared" si="682"/>
        <v>9358.00000000002</v>
      </c>
    </row>
    <row r="257" s="370" customFormat="1" ht="27" hidden="1" customHeight="1" spans="1:80">
      <c r="A257" s="389">
        <v>45903</v>
      </c>
      <c r="B257" s="390" t="s">
        <v>1384</v>
      </c>
      <c r="C257" s="391" t="s">
        <v>689</v>
      </c>
      <c r="D257" s="392">
        <v>4500178603</v>
      </c>
      <c r="E257" s="391">
        <v>5000001980</v>
      </c>
      <c r="F257" s="390" t="s">
        <v>1385</v>
      </c>
      <c r="G257" s="393" t="s">
        <v>152</v>
      </c>
      <c r="H257" s="390" t="s">
        <v>153</v>
      </c>
      <c r="I257" s="394">
        <v>3900</v>
      </c>
      <c r="J257" s="394">
        <v>0</v>
      </c>
      <c r="K257" s="394">
        <v>13</v>
      </c>
      <c r="L257" s="394">
        <f t="shared" si="553"/>
        <v>300</v>
      </c>
      <c r="M257" s="395">
        <v>45950</v>
      </c>
      <c r="N257" s="395">
        <v>45955</v>
      </c>
      <c r="O257" s="396"/>
      <c r="P257" s="396" t="s">
        <v>175</v>
      </c>
      <c r="Q257" s="396" t="s">
        <v>1386</v>
      </c>
      <c r="R257" s="396" t="s">
        <v>1387</v>
      </c>
      <c r="S257" s="396" t="s">
        <v>80</v>
      </c>
      <c r="T257" s="396" t="s">
        <v>1388</v>
      </c>
      <c r="U257" s="396" t="s">
        <v>1389</v>
      </c>
      <c r="V257" s="358" t="s">
        <v>1390</v>
      </c>
      <c r="W257" s="395" t="s">
        <v>1068</v>
      </c>
      <c r="X257" s="399">
        <v>0.7758</v>
      </c>
      <c r="Y257" s="394">
        <f t="shared" si="660"/>
        <v>3025.62</v>
      </c>
      <c r="Z257" s="395"/>
      <c r="AA257" s="358">
        <v>3900</v>
      </c>
      <c r="AB257" s="358">
        <f t="shared" si="622"/>
        <v>0</v>
      </c>
      <c r="AC257" s="280" t="s">
        <v>113</v>
      </c>
      <c r="AD257" s="396" t="s">
        <v>114</v>
      </c>
      <c r="AE257" s="395" t="s">
        <v>696</v>
      </c>
      <c r="AF257" s="395" t="s">
        <v>115</v>
      </c>
      <c r="AG257" s="401">
        <f t="shared" si="663"/>
        <v>3900</v>
      </c>
      <c r="AH257" s="401"/>
      <c r="AI257" s="401">
        <f t="shared" si="664"/>
        <v>3900</v>
      </c>
      <c r="AJ257" s="401"/>
      <c r="AK257" s="401">
        <f t="shared" si="677"/>
        <v>3900</v>
      </c>
      <c r="AL257" s="401"/>
      <c r="AM257" s="401"/>
      <c r="AN257" s="401"/>
      <c r="AO257" s="401"/>
      <c r="AP257" s="401">
        <f t="shared" ref="AP257:AP262" si="683">I257</f>
        <v>3900</v>
      </c>
      <c r="AQ257" s="401"/>
      <c r="AR257" s="401"/>
      <c r="AS257" s="401"/>
      <c r="AT257" s="401">
        <f t="shared" si="678"/>
        <v>300</v>
      </c>
      <c r="AU257" s="401"/>
      <c r="AV257" s="401"/>
      <c r="AW257" s="401"/>
      <c r="AX257" s="401"/>
      <c r="AY257" s="401"/>
      <c r="AZ257" s="401"/>
      <c r="BA257" s="401"/>
      <c r="BB257" s="401"/>
      <c r="BC257" s="401"/>
      <c r="BD257" s="401"/>
      <c r="BE257" s="401"/>
      <c r="BF257" s="401"/>
      <c r="BG257" s="401"/>
      <c r="BH257" s="401"/>
      <c r="BI257" s="401"/>
      <c r="BJ257" s="82">
        <f t="shared" ref="BJ257:BR257" si="684">$I257*BJ$2</f>
        <v>477.343749999999</v>
      </c>
      <c r="BK257" s="82">
        <f t="shared" si="684"/>
        <v>477.343749999999</v>
      </c>
      <c r="BL257" s="82">
        <f t="shared" si="684"/>
        <v>477.343749999999</v>
      </c>
      <c r="BM257" s="82">
        <f t="shared" si="684"/>
        <v>477.343749999999</v>
      </c>
      <c r="BN257" s="82">
        <f t="shared" si="684"/>
        <v>477.343749999999</v>
      </c>
      <c r="BO257" s="82">
        <f t="shared" si="684"/>
        <v>477.343749999999</v>
      </c>
      <c r="BP257" s="82">
        <f t="shared" si="684"/>
        <v>477.343749999999</v>
      </c>
      <c r="BQ257" s="82">
        <f t="shared" si="684"/>
        <v>477.343749999999</v>
      </c>
      <c r="BR257" s="82">
        <f t="shared" si="684"/>
        <v>81.2499999999999</v>
      </c>
      <c r="BT257" s="59">
        <f t="shared" ref="BT257:CB257" si="685">BT256-BJ257</f>
        <v>54783.2812500001</v>
      </c>
      <c r="BU257" s="59">
        <f t="shared" si="685"/>
        <v>54783.2812500001</v>
      </c>
      <c r="BV257" s="59">
        <f t="shared" si="685"/>
        <v>54783.2812500001</v>
      </c>
      <c r="BW257" s="59">
        <f t="shared" si="685"/>
        <v>54783.2812500001</v>
      </c>
      <c r="BX257" s="59">
        <f t="shared" si="685"/>
        <v>54783.2812500001</v>
      </c>
      <c r="BY257" s="59">
        <f t="shared" si="685"/>
        <v>54783.2812500001</v>
      </c>
      <c r="BZ257" s="59">
        <f t="shared" si="685"/>
        <v>54783.2812500001</v>
      </c>
      <c r="CA257" s="59">
        <f t="shared" si="685"/>
        <v>54783.2812500001</v>
      </c>
      <c r="CB257" s="59">
        <f t="shared" si="685"/>
        <v>9276.75000000002</v>
      </c>
    </row>
    <row r="258" s="370" customFormat="1" ht="27" hidden="1" customHeight="1" spans="1:80">
      <c r="A258" s="389">
        <v>45903</v>
      </c>
      <c r="B258" s="390" t="s">
        <v>1384</v>
      </c>
      <c r="C258" s="391" t="s">
        <v>689</v>
      </c>
      <c r="D258" s="392">
        <v>4500178603</v>
      </c>
      <c r="E258" s="391">
        <v>5000001980</v>
      </c>
      <c r="F258" s="390" t="s">
        <v>1391</v>
      </c>
      <c r="G258" s="393" t="s">
        <v>152</v>
      </c>
      <c r="H258" s="390" t="s">
        <v>153</v>
      </c>
      <c r="I258" s="394">
        <v>650</v>
      </c>
      <c r="J258" s="394">
        <v>0</v>
      </c>
      <c r="K258" s="394">
        <v>13</v>
      </c>
      <c r="L258" s="394">
        <f t="shared" si="553"/>
        <v>50</v>
      </c>
      <c r="M258" s="395">
        <v>45950</v>
      </c>
      <c r="N258" s="395">
        <v>45955</v>
      </c>
      <c r="O258" s="396"/>
      <c r="P258" s="396" t="s">
        <v>175</v>
      </c>
      <c r="Q258" s="396" t="s">
        <v>1386</v>
      </c>
      <c r="R258" s="396" t="s">
        <v>1387</v>
      </c>
      <c r="S258" s="396" t="s">
        <v>80</v>
      </c>
      <c r="T258" s="396" t="s">
        <v>1388</v>
      </c>
      <c r="U258" s="396"/>
      <c r="V258" s="358" t="s">
        <v>1390</v>
      </c>
      <c r="W258" s="395" t="s">
        <v>1068</v>
      </c>
      <c r="X258" s="399">
        <v>0.7758</v>
      </c>
      <c r="Y258" s="394">
        <f t="shared" si="660"/>
        <v>504.27</v>
      </c>
      <c r="Z258" s="395"/>
      <c r="AA258" s="358">
        <v>650</v>
      </c>
      <c r="AB258" s="358">
        <f t="shared" si="622"/>
        <v>0</v>
      </c>
      <c r="AC258" s="443"/>
      <c r="AD258" s="396" t="s">
        <v>114</v>
      </c>
      <c r="AE258" s="395" t="s">
        <v>696</v>
      </c>
      <c r="AF258" s="395" t="s">
        <v>115</v>
      </c>
      <c r="AG258" s="401">
        <f t="shared" si="663"/>
        <v>650</v>
      </c>
      <c r="AH258" s="401"/>
      <c r="AI258" s="401">
        <f t="shared" si="664"/>
        <v>650</v>
      </c>
      <c r="AJ258" s="401"/>
      <c r="AK258" s="401">
        <f t="shared" si="677"/>
        <v>650</v>
      </c>
      <c r="AL258" s="401"/>
      <c r="AM258" s="401"/>
      <c r="AN258" s="401"/>
      <c r="AO258" s="401"/>
      <c r="AP258" s="401">
        <f t="shared" si="683"/>
        <v>650</v>
      </c>
      <c r="AQ258" s="401"/>
      <c r="AR258" s="401"/>
      <c r="AS258" s="401"/>
      <c r="AT258" s="401">
        <f t="shared" si="678"/>
        <v>50</v>
      </c>
      <c r="AU258" s="401"/>
      <c r="AV258" s="401"/>
      <c r="AW258" s="401"/>
      <c r="AX258" s="401"/>
      <c r="AY258" s="401"/>
      <c r="AZ258" s="401"/>
      <c r="BA258" s="401"/>
      <c r="BB258" s="401"/>
      <c r="BC258" s="401"/>
      <c r="BD258" s="401"/>
      <c r="BE258" s="401"/>
      <c r="BF258" s="401"/>
      <c r="BG258" s="401"/>
      <c r="BH258" s="401"/>
      <c r="BI258" s="401"/>
      <c r="BJ258" s="82">
        <f t="shared" ref="BJ258:BR258" si="686">$I258*BJ$2</f>
        <v>79.5572916666664</v>
      </c>
      <c r="BK258" s="82">
        <f t="shared" si="686"/>
        <v>79.5572916666664</v>
      </c>
      <c r="BL258" s="82">
        <f t="shared" si="686"/>
        <v>79.5572916666664</v>
      </c>
      <c r="BM258" s="82">
        <f t="shared" si="686"/>
        <v>79.5572916666664</v>
      </c>
      <c r="BN258" s="82">
        <f t="shared" si="686"/>
        <v>79.5572916666664</v>
      </c>
      <c r="BO258" s="82">
        <f t="shared" si="686"/>
        <v>79.5572916666664</v>
      </c>
      <c r="BP258" s="82">
        <f t="shared" si="686"/>
        <v>79.5572916666664</v>
      </c>
      <c r="BQ258" s="82">
        <f t="shared" si="686"/>
        <v>79.5572916666664</v>
      </c>
      <c r="BR258" s="82">
        <f t="shared" si="686"/>
        <v>13.5416666666666</v>
      </c>
      <c r="BT258" s="59">
        <f t="shared" ref="BT258:CB258" si="687">BT257-BJ258</f>
        <v>54703.7239583334</v>
      </c>
      <c r="BU258" s="59">
        <f t="shared" si="687"/>
        <v>54703.7239583334</v>
      </c>
      <c r="BV258" s="59">
        <f t="shared" si="687"/>
        <v>54703.7239583334</v>
      </c>
      <c r="BW258" s="59">
        <f t="shared" si="687"/>
        <v>54703.7239583334</v>
      </c>
      <c r="BX258" s="59">
        <f t="shared" si="687"/>
        <v>54703.7239583334</v>
      </c>
      <c r="BY258" s="59">
        <f t="shared" si="687"/>
        <v>54703.7239583334</v>
      </c>
      <c r="BZ258" s="59">
        <f t="shared" si="687"/>
        <v>54703.7239583334</v>
      </c>
      <c r="CA258" s="59">
        <f t="shared" si="687"/>
        <v>54703.7239583334</v>
      </c>
      <c r="CB258" s="59">
        <f t="shared" si="687"/>
        <v>9263.20833333335</v>
      </c>
    </row>
    <row r="259" s="370" customFormat="1" ht="27" hidden="1" customHeight="1" spans="1:80">
      <c r="A259" s="389">
        <v>45916</v>
      </c>
      <c r="B259" s="390" t="s">
        <v>977</v>
      </c>
      <c r="C259" s="391" t="s">
        <v>117</v>
      </c>
      <c r="D259" s="392">
        <v>4500179602</v>
      </c>
      <c r="E259" s="391">
        <v>652602</v>
      </c>
      <c r="F259" s="390" t="s">
        <v>1392</v>
      </c>
      <c r="G259" s="393" t="s">
        <v>152</v>
      </c>
      <c r="H259" s="390" t="s">
        <v>153</v>
      </c>
      <c r="I259" s="394">
        <v>65</v>
      </c>
      <c r="J259" s="394">
        <v>0</v>
      </c>
      <c r="K259" s="394">
        <v>13</v>
      </c>
      <c r="L259" s="394">
        <f t="shared" si="553"/>
        <v>5</v>
      </c>
      <c r="M259" s="395">
        <v>45960</v>
      </c>
      <c r="N259" s="395">
        <v>45957</v>
      </c>
      <c r="O259" s="396"/>
      <c r="P259" s="396" t="s">
        <v>224</v>
      </c>
      <c r="Q259" s="396" t="s">
        <v>1393</v>
      </c>
      <c r="R259" s="397">
        <v>45929</v>
      </c>
      <c r="S259" s="396" t="s">
        <v>80</v>
      </c>
      <c r="T259" s="396" t="s">
        <v>80</v>
      </c>
      <c r="U259" s="396"/>
      <c r="V259" s="358" t="s">
        <v>1394</v>
      </c>
      <c r="W259" s="395" t="s">
        <v>982</v>
      </c>
      <c r="X259" s="399">
        <v>0.4687</v>
      </c>
      <c r="Y259" s="394">
        <f t="shared" si="660"/>
        <v>30.4655</v>
      </c>
      <c r="Z259" s="395" t="s">
        <v>1395</v>
      </c>
      <c r="AA259" s="358">
        <v>65</v>
      </c>
      <c r="AB259" s="358">
        <f t="shared" si="622"/>
        <v>0</v>
      </c>
      <c r="AC259" s="396" t="s">
        <v>80</v>
      </c>
      <c r="AD259" s="396" t="s">
        <v>114</v>
      </c>
      <c r="AE259" s="395" t="s">
        <v>152</v>
      </c>
      <c r="AF259" s="395" t="s">
        <v>115</v>
      </c>
      <c r="AG259" s="401">
        <f t="shared" si="663"/>
        <v>65</v>
      </c>
      <c r="AH259" s="401"/>
      <c r="AI259" s="401">
        <f t="shared" si="664"/>
        <v>65</v>
      </c>
      <c r="AJ259" s="401"/>
      <c r="AK259" s="401">
        <f t="shared" si="677"/>
        <v>65</v>
      </c>
      <c r="AL259" s="401"/>
      <c r="AM259" s="401"/>
      <c r="AN259" s="401"/>
      <c r="AO259" s="401">
        <f t="shared" ref="AO259:AO261" si="688">I259</f>
        <v>65</v>
      </c>
      <c r="AP259" s="401"/>
      <c r="AQ259" s="401"/>
      <c r="AR259" s="401"/>
      <c r="AS259" s="401"/>
      <c r="AT259" s="401">
        <f t="shared" si="678"/>
        <v>5</v>
      </c>
      <c r="AU259" s="401"/>
      <c r="AV259" s="401"/>
      <c r="AW259" s="401"/>
      <c r="AX259" s="401"/>
      <c r="AY259" s="401"/>
      <c r="AZ259" s="401"/>
      <c r="BA259" s="401"/>
      <c r="BB259" s="401"/>
      <c r="BC259" s="401"/>
      <c r="BD259" s="401"/>
      <c r="BE259" s="401"/>
      <c r="BF259" s="401"/>
      <c r="BG259" s="401"/>
      <c r="BH259" s="401"/>
      <c r="BI259" s="401"/>
      <c r="BJ259" s="82">
        <f t="shared" ref="BJ259:BR259" si="689">$I259*BJ$2</f>
        <v>7.95572916666664</v>
      </c>
      <c r="BK259" s="82">
        <f t="shared" si="689"/>
        <v>7.95572916666664</v>
      </c>
      <c r="BL259" s="82">
        <f t="shared" si="689"/>
        <v>7.95572916666664</v>
      </c>
      <c r="BM259" s="82">
        <f t="shared" si="689"/>
        <v>7.95572916666664</v>
      </c>
      <c r="BN259" s="82">
        <f t="shared" si="689"/>
        <v>7.95572916666664</v>
      </c>
      <c r="BO259" s="82">
        <f t="shared" si="689"/>
        <v>7.95572916666664</v>
      </c>
      <c r="BP259" s="82">
        <f t="shared" si="689"/>
        <v>7.95572916666664</v>
      </c>
      <c r="BQ259" s="82">
        <f t="shared" si="689"/>
        <v>7.95572916666664</v>
      </c>
      <c r="BR259" s="82">
        <f t="shared" si="689"/>
        <v>1.35416666666666</v>
      </c>
      <c r="BT259" s="59">
        <f t="shared" ref="BT259:CB259" si="690">BT258-BJ259</f>
        <v>54695.7682291667</v>
      </c>
      <c r="BU259" s="59">
        <f t="shared" si="690"/>
        <v>54695.7682291667</v>
      </c>
      <c r="BV259" s="59">
        <f t="shared" si="690"/>
        <v>54695.7682291667</v>
      </c>
      <c r="BW259" s="59">
        <f t="shared" si="690"/>
        <v>54695.7682291667</v>
      </c>
      <c r="BX259" s="59">
        <f t="shared" si="690"/>
        <v>54695.7682291667</v>
      </c>
      <c r="BY259" s="59">
        <f t="shared" si="690"/>
        <v>54695.7682291667</v>
      </c>
      <c r="BZ259" s="59">
        <f t="shared" si="690"/>
        <v>54695.7682291667</v>
      </c>
      <c r="CA259" s="59">
        <f t="shared" si="690"/>
        <v>54695.7682291667</v>
      </c>
      <c r="CB259" s="59">
        <f t="shared" si="690"/>
        <v>9261.85416666668</v>
      </c>
    </row>
    <row r="260" s="370" customFormat="1" ht="27" hidden="1" customHeight="1" spans="1:80">
      <c r="A260" s="389">
        <v>45925</v>
      </c>
      <c r="B260" s="390" t="s">
        <v>701</v>
      </c>
      <c r="C260" s="391" t="s">
        <v>396</v>
      </c>
      <c r="D260" s="392">
        <v>4500180371</v>
      </c>
      <c r="E260" s="391" t="s">
        <v>1396</v>
      </c>
      <c r="F260" s="390" t="s">
        <v>1397</v>
      </c>
      <c r="G260" s="393" t="s">
        <v>703</v>
      </c>
      <c r="H260" s="390" t="s">
        <v>704</v>
      </c>
      <c r="I260" s="394">
        <v>2080</v>
      </c>
      <c r="J260" s="394">
        <v>0</v>
      </c>
      <c r="K260" s="394">
        <v>1040</v>
      </c>
      <c r="L260" s="394">
        <f t="shared" si="553"/>
        <v>2</v>
      </c>
      <c r="M260" s="395">
        <v>45965</v>
      </c>
      <c r="N260" s="395">
        <f>M260-4</f>
        <v>45961</v>
      </c>
      <c r="O260" s="396"/>
      <c r="P260" s="396" t="s">
        <v>224</v>
      </c>
      <c r="Q260" s="396" t="s">
        <v>1398</v>
      </c>
      <c r="R260" s="397">
        <v>45926</v>
      </c>
      <c r="S260" s="396" t="s">
        <v>80</v>
      </c>
      <c r="T260" s="404" t="s">
        <v>706</v>
      </c>
      <c r="U260" s="396"/>
      <c r="V260" s="358" t="s">
        <v>1399</v>
      </c>
      <c r="W260" s="395" t="s">
        <v>1369</v>
      </c>
      <c r="X260" s="399">
        <v>824.6621</v>
      </c>
      <c r="Y260" s="394">
        <f t="shared" ref="Y260:Y267" si="691">X260*L260</f>
        <v>1649.3242</v>
      </c>
      <c r="Z260" s="395"/>
      <c r="AA260" s="358">
        <v>2080</v>
      </c>
      <c r="AB260" s="358">
        <f t="shared" si="622"/>
        <v>0</v>
      </c>
      <c r="AC260" s="396"/>
      <c r="AD260" s="396" t="s">
        <v>114</v>
      </c>
      <c r="AE260" s="395" t="s">
        <v>703</v>
      </c>
      <c r="AF260" s="395" t="s">
        <v>115</v>
      </c>
      <c r="AG260" s="401">
        <f t="shared" si="663"/>
        <v>2080</v>
      </c>
      <c r="AI260" s="401">
        <f t="shared" si="664"/>
        <v>2080</v>
      </c>
      <c r="AJ260" s="401"/>
      <c r="AK260" s="401">
        <f t="shared" si="677"/>
        <v>2080</v>
      </c>
      <c r="AL260" s="401"/>
      <c r="AM260" s="401"/>
      <c r="AN260" s="401"/>
      <c r="AO260" s="401">
        <f t="shared" si="688"/>
        <v>2080</v>
      </c>
      <c r="AP260" s="401"/>
      <c r="AQ260" s="401"/>
      <c r="AR260" s="401"/>
      <c r="AS260" s="401"/>
      <c r="AT260" s="401">
        <f t="shared" si="678"/>
        <v>160</v>
      </c>
      <c r="AU260" s="401"/>
      <c r="AV260" s="401"/>
      <c r="AW260" s="401"/>
      <c r="AX260" s="401"/>
      <c r="AY260" s="401"/>
      <c r="AZ260" s="401"/>
      <c r="BA260" s="401"/>
      <c r="BB260" s="401"/>
      <c r="BC260" s="401"/>
      <c r="BD260" s="401"/>
      <c r="BE260" s="401"/>
      <c r="BF260" s="401"/>
      <c r="BG260" s="401"/>
      <c r="BH260" s="401"/>
      <c r="BI260" s="401"/>
      <c r="BJ260" s="82">
        <f t="shared" ref="BJ260:BR260" si="692">$I260*BJ$2</f>
        <v>254.583333333333</v>
      </c>
      <c r="BK260" s="82">
        <f t="shared" si="692"/>
        <v>254.583333333333</v>
      </c>
      <c r="BL260" s="82">
        <f t="shared" si="692"/>
        <v>254.583333333333</v>
      </c>
      <c r="BM260" s="82">
        <f t="shared" si="692"/>
        <v>254.583333333333</v>
      </c>
      <c r="BN260" s="82">
        <f t="shared" si="692"/>
        <v>254.583333333333</v>
      </c>
      <c r="BO260" s="82">
        <f t="shared" si="692"/>
        <v>254.583333333333</v>
      </c>
      <c r="BP260" s="82">
        <f t="shared" si="692"/>
        <v>254.583333333333</v>
      </c>
      <c r="BQ260" s="82">
        <f t="shared" si="692"/>
        <v>254.583333333333</v>
      </c>
      <c r="BR260" s="82">
        <f t="shared" si="692"/>
        <v>43.3333333333333</v>
      </c>
      <c r="BT260" s="59">
        <f t="shared" ref="BT260:CB260" si="693">BT259-BJ260</f>
        <v>54441.1848958334</v>
      </c>
      <c r="BU260" s="59">
        <f t="shared" si="693"/>
        <v>54441.1848958334</v>
      </c>
      <c r="BV260" s="59">
        <f t="shared" si="693"/>
        <v>54441.1848958334</v>
      </c>
      <c r="BW260" s="59">
        <f t="shared" si="693"/>
        <v>54441.1848958334</v>
      </c>
      <c r="BX260" s="59">
        <f t="shared" si="693"/>
        <v>54441.1848958334</v>
      </c>
      <c r="BY260" s="59">
        <f t="shared" si="693"/>
        <v>54441.1848958334</v>
      </c>
      <c r="BZ260" s="59">
        <f t="shared" si="693"/>
        <v>54441.1848958334</v>
      </c>
      <c r="CA260" s="59">
        <f t="shared" si="693"/>
        <v>54441.1848958334</v>
      </c>
      <c r="CB260" s="59">
        <f t="shared" si="693"/>
        <v>9218.52083333335</v>
      </c>
    </row>
    <row r="261" s="370" customFormat="1" ht="27" hidden="1" customHeight="1" spans="1:80">
      <c r="A261" s="389">
        <v>45925</v>
      </c>
      <c r="B261" s="390" t="s">
        <v>1012</v>
      </c>
      <c r="C261" s="391" t="s">
        <v>396</v>
      </c>
      <c r="D261" s="392">
        <v>4500180232</v>
      </c>
      <c r="E261" s="391" t="s">
        <v>1400</v>
      </c>
      <c r="F261" s="390" t="s">
        <v>1401</v>
      </c>
      <c r="G261" s="393" t="s">
        <v>463</v>
      </c>
      <c r="H261" s="390" t="s">
        <v>464</v>
      </c>
      <c r="I261" s="394">
        <v>540</v>
      </c>
      <c r="J261" s="394">
        <v>27</v>
      </c>
      <c r="K261" s="394">
        <v>54</v>
      </c>
      <c r="L261" s="394">
        <f t="shared" si="553"/>
        <v>10</v>
      </c>
      <c r="M261" s="395">
        <v>45981</v>
      </c>
      <c r="N261" s="395">
        <v>45973</v>
      </c>
      <c r="O261" s="396"/>
      <c r="P261" s="396" t="s">
        <v>224</v>
      </c>
      <c r="Q261" s="396" t="s">
        <v>1402</v>
      </c>
      <c r="R261" s="397">
        <v>45925</v>
      </c>
      <c r="S261" s="396" t="s">
        <v>80</v>
      </c>
      <c r="T261" s="404" t="s">
        <v>80</v>
      </c>
      <c r="U261" s="396"/>
      <c r="V261" s="358" t="s">
        <v>1403</v>
      </c>
      <c r="W261" s="395" t="s">
        <v>454</v>
      </c>
      <c r="X261" s="399">
        <v>0.8032</v>
      </c>
      <c r="Y261" s="394">
        <f t="shared" ref="Y261:Y263" si="694">X261*I261</f>
        <v>433.728</v>
      </c>
      <c r="Z261" s="395" t="s">
        <v>1404</v>
      </c>
      <c r="AA261" s="358">
        <v>540</v>
      </c>
      <c r="AB261" s="358">
        <f t="shared" si="622"/>
        <v>0</v>
      </c>
      <c r="AC261" s="396"/>
      <c r="AD261" s="396" t="s">
        <v>114</v>
      </c>
      <c r="AE261" s="395" t="s">
        <v>463</v>
      </c>
      <c r="AF261" s="395" t="s">
        <v>115</v>
      </c>
      <c r="AG261" s="401">
        <f t="shared" si="663"/>
        <v>540</v>
      </c>
      <c r="AH261" s="401"/>
      <c r="AI261" s="401">
        <f t="shared" si="664"/>
        <v>540</v>
      </c>
      <c r="AJ261" s="401"/>
      <c r="AK261" s="401">
        <f t="shared" si="677"/>
        <v>540</v>
      </c>
      <c r="AL261" s="401"/>
      <c r="AM261" s="401"/>
      <c r="AN261" s="401"/>
      <c r="AO261" s="401">
        <f t="shared" si="688"/>
        <v>540</v>
      </c>
      <c r="AP261" s="401"/>
      <c r="AQ261" s="401">
        <f>I261/27</f>
        <v>20</v>
      </c>
      <c r="AR261" s="401"/>
      <c r="AS261" s="401"/>
      <c r="AT261" s="401"/>
      <c r="AU261" s="401"/>
      <c r="AV261" s="401"/>
      <c r="AW261" s="401"/>
      <c r="AX261" s="401"/>
      <c r="AY261" s="401"/>
      <c r="AZ261" s="401"/>
      <c r="BA261" s="401"/>
      <c r="BB261" s="401"/>
      <c r="BC261" s="401"/>
      <c r="BD261" s="401"/>
      <c r="BE261" s="401"/>
      <c r="BF261" s="401"/>
      <c r="BG261" s="401"/>
      <c r="BH261" s="401"/>
      <c r="BI261" s="401"/>
      <c r="BJ261" s="82">
        <f t="shared" ref="BJ261:BR261" si="695">$I261*BJ$2</f>
        <v>66.0937499999998</v>
      </c>
      <c r="BK261" s="82">
        <f t="shared" si="695"/>
        <v>66.0937499999998</v>
      </c>
      <c r="BL261" s="82">
        <f t="shared" si="695"/>
        <v>66.0937499999998</v>
      </c>
      <c r="BM261" s="82">
        <f t="shared" si="695"/>
        <v>66.0937499999998</v>
      </c>
      <c r="BN261" s="82">
        <f t="shared" si="695"/>
        <v>66.0937499999998</v>
      </c>
      <c r="BO261" s="82">
        <f t="shared" si="695"/>
        <v>66.0937499999998</v>
      </c>
      <c r="BP261" s="82">
        <f t="shared" si="695"/>
        <v>66.0937499999998</v>
      </c>
      <c r="BQ261" s="82">
        <f t="shared" si="695"/>
        <v>66.0937499999998</v>
      </c>
      <c r="BR261" s="82">
        <f t="shared" si="695"/>
        <v>11.25</v>
      </c>
      <c r="BT261" s="59">
        <f t="shared" ref="BT261:CB261" si="696">BT260-BJ261</f>
        <v>54375.0911458334</v>
      </c>
      <c r="BU261" s="59">
        <f t="shared" si="696"/>
        <v>54375.0911458334</v>
      </c>
      <c r="BV261" s="59">
        <f t="shared" si="696"/>
        <v>54375.0911458334</v>
      </c>
      <c r="BW261" s="59">
        <f t="shared" si="696"/>
        <v>54375.0911458334</v>
      </c>
      <c r="BX261" s="59">
        <f t="shared" si="696"/>
        <v>54375.0911458334</v>
      </c>
      <c r="BY261" s="59">
        <f t="shared" si="696"/>
        <v>54375.0911458334</v>
      </c>
      <c r="BZ261" s="59">
        <f t="shared" si="696"/>
        <v>54375.0911458334</v>
      </c>
      <c r="CA261" s="59">
        <f t="shared" si="696"/>
        <v>54375.0911458334</v>
      </c>
      <c r="CB261" s="59">
        <f t="shared" si="696"/>
        <v>9207.27083333335</v>
      </c>
    </row>
    <row r="262" s="370" customFormat="1" ht="27" hidden="1" customHeight="1" spans="1:80">
      <c r="A262" s="389">
        <v>45923</v>
      </c>
      <c r="B262" s="390" t="s">
        <v>1384</v>
      </c>
      <c r="C262" s="391" t="s">
        <v>689</v>
      </c>
      <c r="D262" s="392">
        <v>4500178603</v>
      </c>
      <c r="E262" s="391">
        <v>5000001980</v>
      </c>
      <c r="F262" s="390" t="s">
        <v>1405</v>
      </c>
      <c r="G262" s="393" t="s">
        <v>152</v>
      </c>
      <c r="H262" s="390" t="s">
        <v>153</v>
      </c>
      <c r="I262" s="394">
        <v>650</v>
      </c>
      <c r="J262" s="394">
        <v>0</v>
      </c>
      <c r="K262" s="394">
        <v>13</v>
      </c>
      <c r="L262" s="394">
        <f t="shared" si="553"/>
        <v>50</v>
      </c>
      <c r="M262" s="395">
        <v>45964</v>
      </c>
      <c r="N262" s="395">
        <v>45962</v>
      </c>
      <c r="O262" s="396"/>
      <c r="P262" s="396" t="s">
        <v>175</v>
      </c>
      <c r="Q262" s="396" t="s">
        <v>1386</v>
      </c>
      <c r="R262" s="396" t="s">
        <v>1387</v>
      </c>
      <c r="S262" s="396" t="s">
        <v>80</v>
      </c>
      <c r="T262" s="396" t="s">
        <v>1388</v>
      </c>
      <c r="U262" s="396"/>
      <c r="V262" s="358" t="s">
        <v>1390</v>
      </c>
      <c r="W262" s="395" t="s">
        <v>1068</v>
      </c>
      <c r="X262" s="399">
        <v>0.7758</v>
      </c>
      <c r="Y262" s="394">
        <f t="shared" si="694"/>
        <v>504.27</v>
      </c>
      <c r="Z262" s="395"/>
      <c r="AA262" s="358">
        <f>611+39</f>
        <v>650</v>
      </c>
      <c r="AB262" s="358">
        <f t="shared" si="622"/>
        <v>0</v>
      </c>
      <c r="AC262" s="443" t="s">
        <v>113</v>
      </c>
      <c r="AD262" s="396" t="s">
        <v>114</v>
      </c>
      <c r="AE262" s="395" t="s">
        <v>696</v>
      </c>
      <c r="AF262" s="395" t="s">
        <v>115</v>
      </c>
      <c r="AG262" s="401">
        <f t="shared" si="663"/>
        <v>650</v>
      </c>
      <c r="AH262" s="401"/>
      <c r="AI262" s="401">
        <f t="shared" si="664"/>
        <v>650</v>
      </c>
      <c r="AJ262" s="401"/>
      <c r="AK262" s="401">
        <f t="shared" si="677"/>
        <v>650</v>
      </c>
      <c r="AL262" s="401"/>
      <c r="AM262" s="401"/>
      <c r="AN262" s="401"/>
      <c r="AO262" s="401"/>
      <c r="AP262" s="401">
        <f t="shared" si="683"/>
        <v>650</v>
      </c>
      <c r="AQ262" s="401"/>
      <c r="AR262" s="401"/>
      <c r="AS262" s="401"/>
      <c r="AT262" s="401">
        <f>I262/13</f>
        <v>50</v>
      </c>
      <c r="AU262" s="401"/>
      <c r="AV262" s="401"/>
      <c r="AW262" s="401"/>
      <c r="AX262" s="401"/>
      <c r="AY262" s="401"/>
      <c r="AZ262" s="401"/>
      <c r="BA262" s="401"/>
      <c r="BB262" s="401"/>
      <c r="BC262" s="401"/>
      <c r="BD262" s="401"/>
      <c r="BE262" s="401"/>
      <c r="BF262" s="401"/>
      <c r="BG262" s="401"/>
      <c r="BH262" s="401"/>
      <c r="BI262" s="401"/>
      <c r="BJ262" s="82">
        <f t="shared" ref="BJ262:BR262" si="697">$I262*BJ$2</f>
        <v>79.5572916666664</v>
      </c>
      <c r="BK262" s="82">
        <f t="shared" si="697"/>
        <v>79.5572916666664</v>
      </c>
      <c r="BL262" s="82">
        <f t="shared" si="697"/>
        <v>79.5572916666664</v>
      </c>
      <c r="BM262" s="82">
        <f t="shared" si="697"/>
        <v>79.5572916666664</v>
      </c>
      <c r="BN262" s="82">
        <f t="shared" si="697"/>
        <v>79.5572916666664</v>
      </c>
      <c r="BO262" s="82">
        <f t="shared" si="697"/>
        <v>79.5572916666664</v>
      </c>
      <c r="BP262" s="82">
        <f t="shared" si="697"/>
        <v>79.5572916666664</v>
      </c>
      <c r="BQ262" s="82">
        <f t="shared" si="697"/>
        <v>79.5572916666664</v>
      </c>
      <c r="BR262" s="82">
        <f t="shared" si="697"/>
        <v>13.5416666666666</v>
      </c>
      <c r="BT262" s="59">
        <f t="shared" ref="BT262:CB262" si="698">BT261-BJ262</f>
        <v>54295.5338541667</v>
      </c>
      <c r="BU262" s="59">
        <f t="shared" si="698"/>
        <v>54295.5338541667</v>
      </c>
      <c r="BV262" s="59">
        <f t="shared" si="698"/>
        <v>54295.5338541667</v>
      </c>
      <c r="BW262" s="59">
        <f t="shared" si="698"/>
        <v>54295.5338541667</v>
      </c>
      <c r="BX262" s="59">
        <f t="shared" si="698"/>
        <v>54295.5338541667</v>
      </c>
      <c r="BY262" s="59">
        <f t="shared" si="698"/>
        <v>54295.5338541667</v>
      </c>
      <c r="BZ262" s="59">
        <f t="shared" si="698"/>
        <v>54295.5338541667</v>
      </c>
      <c r="CA262" s="59">
        <f t="shared" si="698"/>
        <v>54295.5338541667</v>
      </c>
      <c r="CB262" s="59">
        <f t="shared" si="698"/>
        <v>9193.72916666668</v>
      </c>
    </row>
    <row r="263" s="370" customFormat="1" ht="27" hidden="1" customHeight="1" spans="1:80">
      <c r="A263" s="389">
        <v>45922</v>
      </c>
      <c r="B263" s="390" t="s">
        <v>1406</v>
      </c>
      <c r="C263" s="391" t="s">
        <v>129</v>
      </c>
      <c r="D263" s="392">
        <v>4500180040</v>
      </c>
      <c r="E263" s="391">
        <v>249680</v>
      </c>
      <c r="F263" s="390" t="s">
        <v>1407</v>
      </c>
      <c r="G263" s="393" t="s">
        <v>86</v>
      </c>
      <c r="H263" s="390" t="s">
        <v>87</v>
      </c>
      <c r="I263" s="394">
        <v>5760</v>
      </c>
      <c r="J263" s="394">
        <v>0</v>
      </c>
      <c r="K263" s="394">
        <v>24</v>
      </c>
      <c r="L263" s="394">
        <f t="shared" si="553"/>
        <v>240</v>
      </c>
      <c r="M263" s="395">
        <v>45968</v>
      </c>
      <c r="N263" s="395">
        <v>45964</v>
      </c>
      <c r="O263" s="396"/>
      <c r="P263" s="396" t="s">
        <v>175</v>
      </c>
      <c r="Q263" s="396"/>
      <c r="R263" s="398">
        <v>45940</v>
      </c>
      <c r="S263" s="405" t="s">
        <v>80</v>
      </c>
      <c r="T263" s="522" t="s">
        <v>1408</v>
      </c>
      <c r="U263" s="396"/>
      <c r="V263" s="358" t="s">
        <v>1409</v>
      </c>
      <c r="W263" s="395" t="s">
        <v>1410</v>
      </c>
      <c r="X263" s="399">
        <v>0.7455</v>
      </c>
      <c r="Y263" s="394">
        <f t="shared" si="694"/>
        <v>4294.08</v>
      </c>
      <c r="Z263" s="395"/>
      <c r="AA263" s="358">
        <v>5760</v>
      </c>
      <c r="AB263" s="358">
        <f t="shared" si="622"/>
        <v>0</v>
      </c>
      <c r="AC263" s="396" t="s">
        <v>113</v>
      </c>
      <c r="AD263" s="396" t="s">
        <v>114</v>
      </c>
      <c r="AE263" s="395" t="s">
        <v>672</v>
      </c>
      <c r="AF263" s="395" t="s">
        <v>115</v>
      </c>
      <c r="AG263" s="401">
        <f t="shared" si="663"/>
        <v>5760</v>
      </c>
      <c r="AH263" s="401"/>
      <c r="AI263" s="401">
        <f t="shared" si="664"/>
        <v>5760</v>
      </c>
      <c r="AJ263" s="401"/>
      <c r="AK263" s="401"/>
      <c r="AL263" s="401">
        <f>I263</f>
        <v>5760</v>
      </c>
      <c r="AM263" s="401"/>
      <c r="AN263" s="401"/>
      <c r="AO263" s="401">
        <f t="shared" ref="AO263:AO296" si="699">I263</f>
        <v>5760</v>
      </c>
      <c r="AP263" s="401"/>
      <c r="AQ263" s="401"/>
      <c r="AR263" s="401"/>
      <c r="AS263" s="401"/>
      <c r="AT263" s="401"/>
      <c r="AU263" s="401"/>
      <c r="AV263" s="401"/>
      <c r="AW263" s="401"/>
      <c r="AX263" s="401"/>
      <c r="AY263" s="401"/>
      <c r="AZ263" s="401"/>
      <c r="BA263" s="401"/>
      <c r="BB263" s="401"/>
      <c r="BC263" s="401"/>
      <c r="BD263" s="401"/>
      <c r="BE263" s="401"/>
      <c r="BF263" s="401"/>
      <c r="BG263" s="401"/>
      <c r="BH263" s="401"/>
      <c r="BI263" s="401"/>
      <c r="BJ263" s="82">
        <f t="shared" ref="BJ263:BR263" si="700">$I263*BJ$2</f>
        <v>704.999999999998</v>
      </c>
      <c r="BK263" s="82">
        <f t="shared" si="700"/>
        <v>704.999999999998</v>
      </c>
      <c r="BL263" s="82">
        <f t="shared" si="700"/>
        <v>704.999999999998</v>
      </c>
      <c r="BM263" s="82">
        <f t="shared" si="700"/>
        <v>704.999999999998</v>
      </c>
      <c r="BN263" s="82">
        <f t="shared" si="700"/>
        <v>704.999999999998</v>
      </c>
      <c r="BO263" s="82">
        <f t="shared" si="700"/>
        <v>704.999999999998</v>
      </c>
      <c r="BP263" s="82">
        <f t="shared" si="700"/>
        <v>704.999999999998</v>
      </c>
      <c r="BQ263" s="82">
        <f t="shared" si="700"/>
        <v>704.999999999998</v>
      </c>
      <c r="BR263" s="82">
        <f t="shared" si="700"/>
        <v>120</v>
      </c>
      <c r="BT263" s="59">
        <f t="shared" ref="BT263:CB263" si="701">BT262-BJ263</f>
        <v>53590.5338541667</v>
      </c>
      <c r="BU263" s="59">
        <f t="shared" si="701"/>
        <v>53590.5338541667</v>
      </c>
      <c r="BV263" s="59">
        <f t="shared" si="701"/>
        <v>53590.5338541667</v>
      </c>
      <c r="BW263" s="59">
        <f t="shared" si="701"/>
        <v>53590.5338541667</v>
      </c>
      <c r="BX263" s="59">
        <f t="shared" si="701"/>
        <v>53590.5338541667</v>
      </c>
      <c r="BY263" s="59">
        <f t="shared" si="701"/>
        <v>53590.5338541667</v>
      </c>
      <c r="BZ263" s="59">
        <f t="shared" si="701"/>
        <v>53590.5338541667</v>
      </c>
      <c r="CA263" s="59">
        <f t="shared" si="701"/>
        <v>53590.5338541667</v>
      </c>
      <c r="CB263" s="59">
        <f t="shared" si="701"/>
        <v>9073.72916666668</v>
      </c>
    </row>
    <row r="264" s="370" customFormat="1" ht="27" hidden="1" customHeight="1" spans="1:80">
      <c r="A264" s="389">
        <v>45930</v>
      </c>
      <c r="B264" s="390" t="s">
        <v>326</v>
      </c>
      <c r="C264" s="391" t="s">
        <v>117</v>
      </c>
      <c r="D264" s="392">
        <v>4500181107</v>
      </c>
      <c r="E264" s="534" t="s">
        <v>1411</v>
      </c>
      <c r="F264" s="392" t="s">
        <v>1412</v>
      </c>
      <c r="G264" s="393" t="s">
        <v>258</v>
      </c>
      <c r="H264" s="390" t="s">
        <v>259</v>
      </c>
      <c r="I264" s="394">
        <v>2304</v>
      </c>
      <c r="J264" s="394">
        <v>0</v>
      </c>
      <c r="K264" s="394">
        <v>1152</v>
      </c>
      <c r="L264" s="394">
        <f t="shared" si="553"/>
        <v>2</v>
      </c>
      <c r="M264" s="395">
        <v>45971</v>
      </c>
      <c r="N264" s="395">
        <v>45967</v>
      </c>
      <c r="O264" s="398" t="s">
        <v>1413</v>
      </c>
      <c r="P264" s="396" t="s">
        <v>175</v>
      </c>
      <c r="Q264" s="396" t="s">
        <v>1414</v>
      </c>
      <c r="R264" s="396" t="s">
        <v>331</v>
      </c>
      <c r="S264" s="405" t="s">
        <v>191</v>
      </c>
      <c r="T264" s="405" t="s">
        <v>1415</v>
      </c>
      <c r="U264" s="396"/>
      <c r="V264" s="358" t="s">
        <v>1320</v>
      </c>
      <c r="W264" s="395" t="s">
        <v>265</v>
      </c>
      <c r="X264" s="399">
        <v>552.15</v>
      </c>
      <c r="Y264" s="394">
        <f t="shared" si="691"/>
        <v>1104.3</v>
      </c>
      <c r="Z264" s="395" t="s">
        <v>1416</v>
      </c>
      <c r="AA264" s="358">
        <f>2304</f>
        <v>2304</v>
      </c>
      <c r="AB264" s="358">
        <f t="shared" si="622"/>
        <v>0</v>
      </c>
      <c r="AC264" s="396"/>
      <c r="AD264" s="396" t="s">
        <v>114</v>
      </c>
      <c r="AE264" s="395" t="s">
        <v>258</v>
      </c>
      <c r="AF264" s="395" t="s">
        <v>115</v>
      </c>
      <c r="AG264" s="401">
        <f t="shared" si="663"/>
        <v>2304</v>
      </c>
      <c r="AH264" s="401"/>
      <c r="AI264" s="401">
        <f t="shared" si="664"/>
        <v>2304</v>
      </c>
      <c r="AJ264" s="401"/>
      <c r="AK264" s="401">
        <f t="shared" ref="AK264:AK267" si="702">I264</f>
        <v>2304</v>
      </c>
      <c r="AL264" s="401"/>
      <c r="AM264" s="401"/>
      <c r="AN264" s="401"/>
      <c r="AO264" s="401">
        <f t="shared" si="699"/>
        <v>2304</v>
      </c>
      <c r="AP264" s="401"/>
      <c r="AQ264" s="401"/>
      <c r="AR264" s="401"/>
      <c r="AS264" s="401"/>
      <c r="AT264" s="401"/>
      <c r="AU264" s="401"/>
      <c r="AV264" s="401">
        <f t="shared" ref="AV264:AV267" si="703">I264/12</f>
        <v>192</v>
      </c>
      <c r="AW264" s="401"/>
      <c r="AX264" s="401"/>
      <c r="AY264" s="401"/>
      <c r="AZ264" s="401"/>
      <c r="BA264" s="401"/>
      <c r="BB264" s="401"/>
      <c r="BC264" s="401"/>
      <c r="BD264" s="401"/>
      <c r="BE264" s="401"/>
      <c r="BF264" s="401"/>
      <c r="BG264" s="401"/>
      <c r="BH264" s="401"/>
      <c r="BI264" s="401"/>
      <c r="BJ264" s="82">
        <f t="shared" ref="BJ264:BR264" si="704">$I264*BJ$2</f>
        <v>281.999999999999</v>
      </c>
      <c r="BK264" s="82">
        <f t="shared" si="704"/>
        <v>281.999999999999</v>
      </c>
      <c r="BL264" s="82">
        <f t="shared" si="704"/>
        <v>281.999999999999</v>
      </c>
      <c r="BM264" s="82">
        <f t="shared" si="704"/>
        <v>281.999999999999</v>
      </c>
      <c r="BN264" s="82">
        <f t="shared" si="704"/>
        <v>281.999999999999</v>
      </c>
      <c r="BO264" s="82">
        <f t="shared" si="704"/>
        <v>281.999999999999</v>
      </c>
      <c r="BP264" s="82">
        <f t="shared" si="704"/>
        <v>281.999999999999</v>
      </c>
      <c r="BQ264" s="82">
        <f t="shared" si="704"/>
        <v>281.999999999999</v>
      </c>
      <c r="BR264" s="82">
        <f t="shared" si="704"/>
        <v>47.9999999999999</v>
      </c>
      <c r="BT264" s="59">
        <f t="shared" ref="BT264:CB264" si="705">BT263-BJ264</f>
        <v>53308.5338541667</v>
      </c>
      <c r="BU264" s="59">
        <f t="shared" si="705"/>
        <v>53308.5338541667</v>
      </c>
      <c r="BV264" s="59">
        <f t="shared" si="705"/>
        <v>53308.5338541667</v>
      </c>
      <c r="BW264" s="59">
        <f t="shared" si="705"/>
        <v>53308.5338541667</v>
      </c>
      <c r="BX264" s="59">
        <f t="shared" si="705"/>
        <v>53308.5338541667</v>
      </c>
      <c r="BY264" s="59">
        <f t="shared" si="705"/>
        <v>53308.5338541667</v>
      </c>
      <c r="BZ264" s="59">
        <f t="shared" si="705"/>
        <v>53308.5338541667</v>
      </c>
      <c r="CA264" s="59">
        <f t="shared" si="705"/>
        <v>53308.5338541667</v>
      </c>
      <c r="CB264" s="59">
        <f t="shared" si="705"/>
        <v>9025.72916666668</v>
      </c>
    </row>
    <row r="265" s="370" customFormat="1" ht="27" hidden="1" customHeight="1" spans="1:80">
      <c r="A265" s="389">
        <v>45930</v>
      </c>
      <c r="B265" s="390" t="s">
        <v>326</v>
      </c>
      <c r="C265" s="391" t="s">
        <v>117</v>
      </c>
      <c r="D265" s="392">
        <v>4500181107</v>
      </c>
      <c r="E265" s="534" t="s">
        <v>1417</v>
      </c>
      <c r="F265" s="392" t="s">
        <v>1418</v>
      </c>
      <c r="G265" s="393" t="s">
        <v>258</v>
      </c>
      <c r="H265" s="390" t="s">
        <v>259</v>
      </c>
      <c r="I265" s="394">
        <v>2304</v>
      </c>
      <c r="J265" s="394">
        <v>0</v>
      </c>
      <c r="K265" s="394">
        <v>1152</v>
      </c>
      <c r="L265" s="394">
        <f t="shared" si="553"/>
        <v>2</v>
      </c>
      <c r="M265" s="395">
        <v>45971</v>
      </c>
      <c r="N265" s="395">
        <v>45967</v>
      </c>
      <c r="O265" s="398" t="s">
        <v>1413</v>
      </c>
      <c r="P265" s="396" t="s">
        <v>175</v>
      </c>
      <c r="Q265" s="396" t="s">
        <v>1402</v>
      </c>
      <c r="R265" s="396" t="s">
        <v>331</v>
      </c>
      <c r="S265" s="405" t="s">
        <v>191</v>
      </c>
      <c r="T265" s="405" t="s">
        <v>1415</v>
      </c>
      <c r="U265" s="396"/>
      <c r="V265" s="358" t="s">
        <v>1320</v>
      </c>
      <c r="W265" s="395" t="s">
        <v>265</v>
      </c>
      <c r="X265" s="399">
        <v>552.15</v>
      </c>
      <c r="Y265" s="394">
        <f t="shared" si="691"/>
        <v>1104.3</v>
      </c>
      <c r="Z265" s="395" t="s">
        <v>1419</v>
      </c>
      <c r="AA265" s="358">
        <f>2280+24</f>
        <v>2304</v>
      </c>
      <c r="AB265" s="358">
        <f t="shared" si="622"/>
        <v>0</v>
      </c>
      <c r="AC265" s="396"/>
      <c r="AD265" s="396" t="s">
        <v>114</v>
      </c>
      <c r="AE265" s="395" t="s">
        <v>258</v>
      </c>
      <c r="AF265" s="395" t="s">
        <v>115</v>
      </c>
      <c r="AG265" s="401">
        <f t="shared" si="663"/>
        <v>2304</v>
      </c>
      <c r="AH265" s="401"/>
      <c r="AI265" s="401">
        <f t="shared" si="664"/>
        <v>2304</v>
      </c>
      <c r="AJ265" s="401"/>
      <c r="AK265" s="401">
        <f t="shared" si="702"/>
        <v>2304</v>
      </c>
      <c r="AL265" s="401"/>
      <c r="AM265" s="401"/>
      <c r="AN265" s="401"/>
      <c r="AO265" s="401">
        <f t="shared" si="699"/>
        <v>2304</v>
      </c>
      <c r="AP265" s="401"/>
      <c r="AQ265" s="401"/>
      <c r="AR265" s="401"/>
      <c r="AS265" s="401"/>
      <c r="AT265" s="401"/>
      <c r="AU265" s="401"/>
      <c r="AV265" s="401">
        <f t="shared" si="703"/>
        <v>192</v>
      </c>
      <c r="AW265" s="401"/>
      <c r="AX265" s="401"/>
      <c r="AY265" s="401"/>
      <c r="AZ265" s="401"/>
      <c r="BA265" s="401"/>
      <c r="BB265" s="401"/>
      <c r="BC265" s="401"/>
      <c r="BD265" s="401"/>
      <c r="BE265" s="401"/>
      <c r="BF265" s="401"/>
      <c r="BG265" s="401"/>
      <c r="BH265" s="401"/>
      <c r="BI265" s="401"/>
      <c r="BJ265" s="82">
        <f t="shared" ref="BJ265:BR265" si="706">$I265*BJ$2</f>
        <v>281.999999999999</v>
      </c>
      <c r="BK265" s="82">
        <f t="shared" si="706"/>
        <v>281.999999999999</v>
      </c>
      <c r="BL265" s="82">
        <f t="shared" si="706"/>
        <v>281.999999999999</v>
      </c>
      <c r="BM265" s="82">
        <f t="shared" si="706"/>
        <v>281.999999999999</v>
      </c>
      <c r="BN265" s="82">
        <f t="shared" si="706"/>
        <v>281.999999999999</v>
      </c>
      <c r="BO265" s="82">
        <f t="shared" si="706"/>
        <v>281.999999999999</v>
      </c>
      <c r="BP265" s="82">
        <f t="shared" si="706"/>
        <v>281.999999999999</v>
      </c>
      <c r="BQ265" s="82">
        <f t="shared" si="706"/>
        <v>281.999999999999</v>
      </c>
      <c r="BR265" s="82">
        <f t="shared" si="706"/>
        <v>47.9999999999999</v>
      </c>
      <c r="BT265" s="59">
        <f t="shared" ref="BT265:CB265" si="707">BT264-BJ265</f>
        <v>53026.5338541667</v>
      </c>
      <c r="BU265" s="59">
        <f t="shared" si="707"/>
        <v>53026.5338541667</v>
      </c>
      <c r="BV265" s="59">
        <f t="shared" si="707"/>
        <v>53026.5338541667</v>
      </c>
      <c r="BW265" s="59">
        <f t="shared" si="707"/>
        <v>53026.5338541667</v>
      </c>
      <c r="BX265" s="59">
        <f t="shared" si="707"/>
        <v>53026.5338541667</v>
      </c>
      <c r="BY265" s="59">
        <f t="shared" si="707"/>
        <v>53026.5338541667</v>
      </c>
      <c r="BZ265" s="59">
        <f t="shared" si="707"/>
        <v>53026.5338541667</v>
      </c>
      <c r="CA265" s="59">
        <f t="shared" si="707"/>
        <v>53026.5338541667</v>
      </c>
      <c r="CB265" s="59">
        <f t="shared" si="707"/>
        <v>8977.72916666668</v>
      </c>
    </row>
    <row r="266" s="370" customFormat="1" ht="27" hidden="1" customHeight="1" spans="1:80">
      <c r="A266" s="389">
        <v>45930</v>
      </c>
      <c r="B266" s="390" t="s">
        <v>326</v>
      </c>
      <c r="C266" s="391" t="s">
        <v>117</v>
      </c>
      <c r="D266" s="392">
        <v>4500181107</v>
      </c>
      <c r="E266" s="534" t="s">
        <v>1420</v>
      </c>
      <c r="F266" s="392" t="s">
        <v>1421</v>
      </c>
      <c r="G266" s="393" t="s">
        <v>258</v>
      </c>
      <c r="H266" s="390" t="s">
        <v>259</v>
      </c>
      <c r="I266" s="394">
        <v>2304</v>
      </c>
      <c r="J266" s="394">
        <v>0</v>
      </c>
      <c r="K266" s="394">
        <v>1152</v>
      </c>
      <c r="L266" s="394">
        <f t="shared" si="553"/>
        <v>2</v>
      </c>
      <c r="M266" s="395">
        <v>45971</v>
      </c>
      <c r="N266" s="395">
        <v>45967</v>
      </c>
      <c r="O266" s="398" t="s">
        <v>1413</v>
      </c>
      <c r="P266" s="396" t="s">
        <v>175</v>
      </c>
      <c r="Q266" s="396" t="s">
        <v>1422</v>
      </c>
      <c r="R266" s="396" t="s">
        <v>331</v>
      </c>
      <c r="S266" s="405" t="s">
        <v>191</v>
      </c>
      <c r="T266" s="405" t="s">
        <v>1415</v>
      </c>
      <c r="U266" s="396"/>
      <c r="V266" s="358" t="s">
        <v>1320</v>
      </c>
      <c r="W266" s="395" t="s">
        <v>265</v>
      </c>
      <c r="X266" s="399">
        <v>552.15</v>
      </c>
      <c r="Y266" s="394">
        <f t="shared" si="691"/>
        <v>1104.3</v>
      </c>
      <c r="Z266" s="395" t="s">
        <v>1423</v>
      </c>
      <c r="AA266" s="358">
        <f>2304</f>
        <v>2304</v>
      </c>
      <c r="AB266" s="358">
        <f t="shared" si="622"/>
        <v>0</v>
      </c>
      <c r="AC266" s="396"/>
      <c r="AD266" s="396" t="s">
        <v>114</v>
      </c>
      <c r="AE266" s="395" t="s">
        <v>258</v>
      </c>
      <c r="AF266" s="395" t="s">
        <v>115</v>
      </c>
      <c r="AG266" s="401">
        <f t="shared" si="663"/>
        <v>2304</v>
      </c>
      <c r="AH266" s="401"/>
      <c r="AI266" s="401">
        <f t="shared" si="664"/>
        <v>2304</v>
      </c>
      <c r="AJ266" s="401"/>
      <c r="AK266" s="401">
        <f t="shared" si="702"/>
        <v>2304</v>
      </c>
      <c r="AL266" s="401"/>
      <c r="AM266" s="401"/>
      <c r="AN266" s="401"/>
      <c r="AO266" s="401">
        <f t="shared" si="699"/>
        <v>2304</v>
      </c>
      <c r="AP266" s="401"/>
      <c r="AQ266" s="401"/>
      <c r="AR266" s="401"/>
      <c r="AS266" s="401"/>
      <c r="AT266" s="401"/>
      <c r="AU266" s="401"/>
      <c r="AV266" s="401">
        <f t="shared" si="703"/>
        <v>192</v>
      </c>
      <c r="AW266" s="401"/>
      <c r="AX266" s="401"/>
      <c r="AY266" s="401"/>
      <c r="AZ266" s="401"/>
      <c r="BA266" s="401"/>
      <c r="BB266" s="401"/>
      <c r="BC266" s="401"/>
      <c r="BD266" s="401"/>
      <c r="BE266" s="401"/>
      <c r="BF266" s="401"/>
      <c r="BG266" s="401"/>
      <c r="BH266" s="401"/>
      <c r="BI266" s="401"/>
      <c r="BJ266" s="82">
        <f t="shared" ref="BJ266:BR266" si="708">$I266*BJ$2</f>
        <v>281.999999999999</v>
      </c>
      <c r="BK266" s="82">
        <f t="shared" si="708"/>
        <v>281.999999999999</v>
      </c>
      <c r="BL266" s="82">
        <f t="shared" si="708"/>
        <v>281.999999999999</v>
      </c>
      <c r="BM266" s="82">
        <f t="shared" si="708"/>
        <v>281.999999999999</v>
      </c>
      <c r="BN266" s="82">
        <f t="shared" si="708"/>
        <v>281.999999999999</v>
      </c>
      <c r="BO266" s="82">
        <f t="shared" si="708"/>
        <v>281.999999999999</v>
      </c>
      <c r="BP266" s="82">
        <f t="shared" si="708"/>
        <v>281.999999999999</v>
      </c>
      <c r="BQ266" s="82">
        <f t="shared" si="708"/>
        <v>281.999999999999</v>
      </c>
      <c r="BR266" s="82">
        <f t="shared" si="708"/>
        <v>47.9999999999999</v>
      </c>
      <c r="BT266" s="59">
        <f t="shared" ref="BT266:CB266" si="709">BT265-BJ266</f>
        <v>52744.5338541667</v>
      </c>
      <c r="BU266" s="59">
        <f t="shared" si="709"/>
        <v>52744.5338541667</v>
      </c>
      <c r="BV266" s="59">
        <f t="shared" si="709"/>
        <v>52744.5338541667</v>
      </c>
      <c r="BW266" s="59">
        <f t="shared" si="709"/>
        <v>52744.5338541667</v>
      </c>
      <c r="BX266" s="59">
        <f t="shared" si="709"/>
        <v>52744.5338541667</v>
      </c>
      <c r="BY266" s="59">
        <f t="shared" si="709"/>
        <v>52744.5338541667</v>
      </c>
      <c r="BZ266" s="59">
        <f t="shared" si="709"/>
        <v>52744.5338541667</v>
      </c>
      <c r="CA266" s="59">
        <f t="shared" si="709"/>
        <v>52744.5338541667</v>
      </c>
      <c r="CB266" s="59">
        <f t="shared" si="709"/>
        <v>8929.72916666668</v>
      </c>
    </row>
    <row r="267" s="370" customFormat="1" ht="27" hidden="1" customHeight="1" spans="1:80">
      <c r="A267" s="389">
        <v>45940</v>
      </c>
      <c r="B267" s="390" t="s">
        <v>326</v>
      </c>
      <c r="C267" s="391" t="s">
        <v>117</v>
      </c>
      <c r="D267" s="392">
        <v>4500181314</v>
      </c>
      <c r="E267" s="534" t="s">
        <v>1424</v>
      </c>
      <c r="F267" s="392" t="s">
        <v>1425</v>
      </c>
      <c r="G267" s="393" t="s">
        <v>258</v>
      </c>
      <c r="H267" s="390" t="s">
        <v>259</v>
      </c>
      <c r="I267" s="394">
        <v>2304</v>
      </c>
      <c r="J267" s="394">
        <v>0</v>
      </c>
      <c r="K267" s="394">
        <v>1152</v>
      </c>
      <c r="L267" s="394">
        <f t="shared" si="553"/>
        <v>2</v>
      </c>
      <c r="M267" s="395">
        <v>45971</v>
      </c>
      <c r="N267" s="395">
        <v>45967</v>
      </c>
      <c r="O267" s="398" t="s">
        <v>1413</v>
      </c>
      <c r="P267" s="396" t="s">
        <v>175</v>
      </c>
      <c r="Q267" s="396" t="s">
        <v>1426</v>
      </c>
      <c r="R267" s="396" t="s">
        <v>331</v>
      </c>
      <c r="S267" s="405" t="s">
        <v>191</v>
      </c>
      <c r="T267" s="405" t="s">
        <v>1427</v>
      </c>
      <c r="U267" s="396"/>
      <c r="V267" s="358" t="s">
        <v>1320</v>
      </c>
      <c r="W267" s="395" t="s">
        <v>265</v>
      </c>
      <c r="X267" s="399">
        <v>555.88</v>
      </c>
      <c r="Y267" s="394">
        <f t="shared" si="691"/>
        <v>1111.76</v>
      </c>
      <c r="Z267" s="395" t="s">
        <v>1428</v>
      </c>
      <c r="AA267" s="358">
        <f>2280+24</f>
        <v>2304</v>
      </c>
      <c r="AB267" s="358">
        <f t="shared" si="622"/>
        <v>0</v>
      </c>
      <c r="AC267" s="396"/>
      <c r="AD267" s="396" t="s">
        <v>114</v>
      </c>
      <c r="AE267" s="395" t="s">
        <v>258</v>
      </c>
      <c r="AF267" s="395" t="s">
        <v>115</v>
      </c>
      <c r="AG267" s="401">
        <f t="shared" si="663"/>
        <v>2304</v>
      </c>
      <c r="AH267" s="401"/>
      <c r="AI267" s="401">
        <f t="shared" si="664"/>
        <v>2304</v>
      </c>
      <c r="AJ267" s="401"/>
      <c r="AK267" s="401">
        <f t="shared" si="702"/>
        <v>2304</v>
      </c>
      <c r="AL267" s="401"/>
      <c r="AM267" s="401"/>
      <c r="AN267" s="401"/>
      <c r="AO267" s="401">
        <f t="shared" si="699"/>
        <v>2304</v>
      </c>
      <c r="AP267" s="401"/>
      <c r="AQ267" s="401"/>
      <c r="AR267" s="401"/>
      <c r="AS267" s="401"/>
      <c r="AT267" s="401"/>
      <c r="AU267" s="401"/>
      <c r="AV267" s="401">
        <f t="shared" si="703"/>
        <v>192</v>
      </c>
      <c r="AW267" s="401"/>
      <c r="AX267" s="401"/>
      <c r="AY267" s="401"/>
      <c r="AZ267" s="401"/>
      <c r="BA267" s="401"/>
      <c r="BB267" s="401"/>
      <c r="BC267" s="401"/>
      <c r="BD267" s="401"/>
      <c r="BE267" s="401"/>
      <c r="BF267" s="401"/>
      <c r="BG267" s="401"/>
      <c r="BH267" s="401"/>
      <c r="BI267" s="401"/>
      <c r="BJ267" s="82">
        <f t="shared" ref="BJ267:BR267" si="710">$I267*BJ$2</f>
        <v>281.999999999999</v>
      </c>
      <c r="BK267" s="82">
        <f t="shared" si="710"/>
        <v>281.999999999999</v>
      </c>
      <c r="BL267" s="82">
        <f t="shared" si="710"/>
        <v>281.999999999999</v>
      </c>
      <c r="BM267" s="82">
        <f t="shared" si="710"/>
        <v>281.999999999999</v>
      </c>
      <c r="BN267" s="82">
        <f t="shared" si="710"/>
        <v>281.999999999999</v>
      </c>
      <c r="BO267" s="82">
        <f t="shared" si="710"/>
        <v>281.999999999999</v>
      </c>
      <c r="BP267" s="82">
        <f t="shared" si="710"/>
        <v>281.999999999999</v>
      </c>
      <c r="BQ267" s="82">
        <f t="shared" si="710"/>
        <v>281.999999999999</v>
      </c>
      <c r="BR267" s="82">
        <f t="shared" si="710"/>
        <v>47.9999999999999</v>
      </c>
      <c r="BT267" s="59">
        <f t="shared" ref="BT267:CB267" si="711">BT266-BJ267</f>
        <v>52462.5338541667</v>
      </c>
      <c r="BU267" s="59">
        <f t="shared" si="711"/>
        <v>52462.5338541667</v>
      </c>
      <c r="BV267" s="59">
        <f t="shared" si="711"/>
        <v>52462.5338541667</v>
      </c>
      <c r="BW267" s="59">
        <f t="shared" si="711"/>
        <v>52462.5338541667</v>
      </c>
      <c r="BX267" s="59">
        <f t="shared" si="711"/>
        <v>52462.5338541667</v>
      </c>
      <c r="BY267" s="59">
        <f t="shared" si="711"/>
        <v>52462.5338541667</v>
      </c>
      <c r="BZ267" s="59">
        <f t="shared" si="711"/>
        <v>52462.5338541667</v>
      </c>
      <c r="CA267" s="59">
        <f t="shared" si="711"/>
        <v>52462.5338541667</v>
      </c>
      <c r="CB267" s="59">
        <f t="shared" si="711"/>
        <v>8881.72916666668</v>
      </c>
    </row>
    <row r="268" s="370" customFormat="1" ht="27" hidden="1" customHeight="1" spans="1:80">
      <c r="A268" s="389">
        <v>45928</v>
      </c>
      <c r="B268" s="390" t="s">
        <v>1429</v>
      </c>
      <c r="C268" s="391" t="s">
        <v>129</v>
      </c>
      <c r="D268" s="392">
        <v>4500180582</v>
      </c>
      <c r="E268" s="391" t="s">
        <v>1430</v>
      </c>
      <c r="F268" s="390" t="s">
        <v>1431</v>
      </c>
      <c r="G268" s="393" t="s">
        <v>78</v>
      </c>
      <c r="H268" s="390" t="s">
        <v>79</v>
      </c>
      <c r="I268" s="394">
        <v>2808</v>
      </c>
      <c r="J268" s="394">
        <v>0</v>
      </c>
      <c r="K268" s="394">
        <v>54</v>
      </c>
      <c r="L268" s="394">
        <f t="shared" si="553"/>
        <v>52</v>
      </c>
      <c r="M268" s="395">
        <v>45975</v>
      </c>
      <c r="N268" s="395">
        <v>45971</v>
      </c>
      <c r="O268" s="396"/>
      <c r="P268" s="396" t="s">
        <v>175</v>
      </c>
      <c r="Q268" s="396" t="s">
        <v>1432</v>
      </c>
      <c r="R268" s="398">
        <v>45943</v>
      </c>
      <c r="S268" s="396" t="s">
        <v>191</v>
      </c>
      <c r="T268" s="522" t="s">
        <v>1433</v>
      </c>
      <c r="U268" s="396"/>
      <c r="V268" s="358" t="s">
        <v>1434</v>
      </c>
      <c r="W268" s="395" t="s">
        <v>1435</v>
      </c>
      <c r="X268" s="399">
        <v>0.7741</v>
      </c>
      <c r="Y268" s="394">
        <f t="shared" ref="Y268:Y286" si="712">X268*I268</f>
        <v>2173.6728</v>
      </c>
      <c r="Z268" s="395" t="s">
        <v>1436</v>
      </c>
      <c r="AA268" s="358">
        <f>2700+108</f>
        <v>2808</v>
      </c>
      <c r="AB268" s="358">
        <f t="shared" si="622"/>
        <v>0</v>
      </c>
      <c r="AC268" s="396" t="s">
        <v>113</v>
      </c>
      <c r="AD268" s="396" t="s">
        <v>114</v>
      </c>
      <c r="AE268" s="395" t="s">
        <v>230</v>
      </c>
      <c r="AF268" s="395" t="s">
        <v>115</v>
      </c>
      <c r="AG268" s="401">
        <f t="shared" si="663"/>
        <v>2808</v>
      </c>
      <c r="AH268" s="401"/>
      <c r="AI268" s="401">
        <f t="shared" si="664"/>
        <v>2808</v>
      </c>
      <c r="AJ268" s="401"/>
      <c r="AK268" s="401"/>
      <c r="AL268" s="401">
        <f t="shared" ref="AL268:AL271" si="713">I268</f>
        <v>2808</v>
      </c>
      <c r="AM268" s="401"/>
      <c r="AN268" s="401"/>
      <c r="AO268" s="401">
        <f t="shared" si="699"/>
        <v>2808</v>
      </c>
      <c r="AP268" s="401"/>
      <c r="AQ268" s="401"/>
      <c r="AR268" s="401"/>
      <c r="AS268" s="401">
        <f>I268/27</f>
        <v>104</v>
      </c>
      <c r="AT268" s="401"/>
      <c r="AU268" s="401"/>
      <c r="AV268" s="401"/>
      <c r="AW268" s="401"/>
      <c r="AX268" s="401"/>
      <c r="AY268" s="401"/>
      <c r="AZ268" s="401"/>
      <c r="BA268" s="401"/>
      <c r="BB268" s="401"/>
      <c r="BC268" s="401"/>
      <c r="BD268" s="401"/>
      <c r="BE268" s="401"/>
      <c r="BF268" s="401"/>
      <c r="BG268" s="401"/>
      <c r="BH268" s="401"/>
      <c r="BI268" s="401"/>
      <c r="BJ268" s="82">
        <f t="shared" ref="BJ268:BR268" si="714">$I268*BJ$2</f>
        <v>343.687499999999</v>
      </c>
      <c r="BK268" s="82">
        <f t="shared" si="714"/>
        <v>343.687499999999</v>
      </c>
      <c r="BL268" s="82">
        <f t="shared" si="714"/>
        <v>343.687499999999</v>
      </c>
      <c r="BM268" s="82">
        <f t="shared" si="714"/>
        <v>343.687499999999</v>
      </c>
      <c r="BN268" s="82">
        <f t="shared" si="714"/>
        <v>343.687499999999</v>
      </c>
      <c r="BO268" s="82">
        <f t="shared" si="714"/>
        <v>343.687499999999</v>
      </c>
      <c r="BP268" s="82">
        <f t="shared" si="714"/>
        <v>343.687499999999</v>
      </c>
      <c r="BQ268" s="82">
        <f t="shared" si="714"/>
        <v>343.687499999999</v>
      </c>
      <c r="BR268" s="82">
        <f t="shared" si="714"/>
        <v>58.4999999999999</v>
      </c>
      <c r="BT268" s="59">
        <f t="shared" ref="BT268:CB268" si="715">BT267-BJ268</f>
        <v>52118.8463541667</v>
      </c>
      <c r="BU268" s="59">
        <f t="shared" si="715"/>
        <v>52118.8463541667</v>
      </c>
      <c r="BV268" s="59">
        <f t="shared" si="715"/>
        <v>52118.8463541667</v>
      </c>
      <c r="BW268" s="59">
        <f t="shared" si="715"/>
        <v>52118.8463541667</v>
      </c>
      <c r="BX268" s="59">
        <f t="shared" si="715"/>
        <v>52118.8463541667</v>
      </c>
      <c r="BY268" s="59">
        <f t="shared" si="715"/>
        <v>52118.8463541667</v>
      </c>
      <c r="BZ268" s="59">
        <f t="shared" si="715"/>
        <v>52118.8463541667</v>
      </c>
      <c r="CA268" s="59">
        <f t="shared" si="715"/>
        <v>52118.8463541667</v>
      </c>
      <c r="CB268" s="59">
        <f t="shared" si="715"/>
        <v>8823.22916666668</v>
      </c>
    </row>
    <row r="269" s="370" customFormat="1" ht="27" hidden="1" customHeight="1" spans="1:80">
      <c r="A269" s="389">
        <v>45930</v>
      </c>
      <c r="B269" s="390" t="s">
        <v>701</v>
      </c>
      <c r="C269" s="391" t="s">
        <v>396</v>
      </c>
      <c r="D269" s="392">
        <v>4500181035</v>
      </c>
      <c r="E269" s="391" t="s">
        <v>1437</v>
      </c>
      <c r="F269" s="390" t="s">
        <v>1438</v>
      </c>
      <c r="G269" s="393" t="s">
        <v>703</v>
      </c>
      <c r="H269" s="390" t="s">
        <v>704</v>
      </c>
      <c r="I269" s="394">
        <v>1040</v>
      </c>
      <c r="J269" s="394">
        <v>0</v>
      </c>
      <c r="K269" s="394">
        <v>1040</v>
      </c>
      <c r="L269" s="394">
        <f t="shared" si="553"/>
        <v>1</v>
      </c>
      <c r="M269" s="395">
        <v>45978</v>
      </c>
      <c r="N269" s="395">
        <v>45974</v>
      </c>
      <c r="O269" s="396"/>
      <c r="P269" s="396" t="s">
        <v>224</v>
      </c>
      <c r="Q269" s="396" t="s">
        <v>1439</v>
      </c>
      <c r="R269" s="397">
        <v>45941</v>
      </c>
      <c r="S269" s="396" t="s">
        <v>80</v>
      </c>
      <c r="T269" s="404" t="s">
        <v>706</v>
      </c>
      <c r="U269" s="396"/>
      <c r="V269" s="358" t="s">
        <v>1440</v>
      </c>
      <c r="W269" s="395" t="s">
        <v>1207</v>
      </c>
      <c r="X269" s="399">
        <v>824.6621</v>
      </c>
      <c r="Y269" s="394">
        <f>X269*L269</f>
        <v>824.6621</v>
      </c>
      <c r="Z269" s="395" t="s">
        <v>1441</v>
      </c>
      <c r="AA269" s="358">
        <f>1027+13</f>
        <v>1040</v>
      </c>
      <c r="AB269" s="358">
        <f t="shared" si="622"/>
        <v>0</v>
      </c>
      <c r="AC269" s="396"/>
      <c r="AD269" s="396" t="s">
        <v>114</v>
      </c>
      <c r="AE269" s="395" t="s">
        <v>703</v>
      </c>
      <c r="AF269" s="395" t="s">
        <v>115</v>
      </c>
      <c r="AG269" s="401">
        <f t="shared" si="663"/>
        <v>1040</v>
      </c>
      <c r="AH269" s="401"/>
      <c r="AI269" s="401">
        <f t="shared" si="664"/>
        <v>1040</v>
      </c>
      <c r="AJ269" s="401"/>
      <c r="AK269" s="401">
        <f t="shared" ref="AK269:AK279" si="716">I269</f>
        <v>1040</v>
      </c>
      <c r="AL269" s="401"/>
      <c r="AM269" s="401"/>
      <c r="AN269" s="401"/>
      <c r="AO269" s="401">
        <f t="shared" si="699"/>
        <v>1040</v>
      </c>
      <c r="AP269" s="401"/>
      <c r="AQ269" s="401"/>
      <c r="AR269" s="401"/>
      <c r="AS269" s="401"/>
      <c r="AT269" s="401">
        <f>I269/13</f>
        <v>80</v>
      </c>
      <c r="AU269" s="401"/>
      <c r="AV269" s="401"/>
      <c r="AW269" s="401"/>
      <c r="AX269" s="401"/>
      <c r="AY269" s="401"/>
      <c r="AZ269" s="401"/>
      <c r="BA269" s="401"/>
      <c r="BB269" s="401"/>
      <c r="BC269" s="401"/>
      <c r="BD269" s="401"/>
      <c r="BE269" s="401"/>
      <c r="BF269" s="401"/>
      <c r="BG269" s="401"/>
      <c r="BH269" s="401"/>
      <c r="BI269" s="401"/>
      <c r="BJ269" s="82">
        <f t="shared" ref="BJ269:BR269" si="717">$I269*BJ$2</f>
        <v>127.291666666666</v>
      </c>
      <c r="BK269" s="82">
        <f t="shared" si="717"/>
        <v>127.291666666666</v>
      </c>
      <c r="BL269" s="82">
        <f t="shared" si="717"/>
        <v>127.291666666666</v>
      </c>
      <c r="BM269" s="82">
        <f t="shared" si="717"/>
        <v>127.291666666666</v>
      </c>
      <c r="BN269" s="82">
        <f t="shared" si="717"/>
        <v>127.291666666666</v>
      </c>
      <c r="BO269" s="82">
        <f t="shared" si="717"/>
        <v>127.291666666666</v>
      </c>
      <c r="BP269" s="82">
        <f t="shared" si="717"/>
        <v>127.291666666666</v>
      </c>
      <c r="BQ269" s="82">
        <f t="shared" si="717"/>
        <v>127.291666666666</v>
      </c>
      <c r="BR269" s="82">
        <f t="shared" si="717"/>
        <v>21.6666666666666</v>
      </c>
      <c r="BT269" s="59">
        <f t="shared" ref="BT269:CB269" si="718">BT268-BJ269</f>
        <v>51991.5546875001</v>
      </c>
      <c r="BU269" s="59">
        <f t="shared" si="718"/>
        <v>51991.5546875001</v>
      </c>
      <c r="BV269" s="59">
        <f t="shared" si="718"/>
        <v>51991.5546875001</v>
      </c>
      <c r="BW269" s="59">
        <f t="shared" si="718"/>
        <v>51991.5546875001</v>
      </c>
      <c r="BX269" s="59">
        <f t="shared" si="718"/>
        <v>51991.5546875001</v>
      </c>
      <c r="BY269" s="59">
        <f t="shared" si="718"/>
        <v>51991.5546875001</v>
      </c>
      <c r="BZ269" s="59">
        <f t="shared" si="718"/>
        <v>51991.5546875001</v>
      </c>
      <c r="CA269" s="59">
        <f t="shared" si="718"/>
        <v>51991.5546875001</v>
      </c>
      <c r="CB269" s="59">
        <f t="shared" si="718"/>
        <v>8801.56250000002</v>
      </c>
    </row>
    <row r="270" s="370" customFormat="1" ht="27" hidden="1" customHeight="1" spans="1:80">
      <c r="A270" s="389">
        <v>45912</v>
      </c>
      <c r="B270" s="390" t="s">
        <v>795</v>
      </c>
      <c r="C270" s="391" t="s">
        <v>574</v>
      </c>
      <c r="D270" s="392">
        <v>4500179449</v>
      </c>
      <c r="E270" s="391">
        <v>5251218171</v>
      </c>
      <c r="F270" s="390" t="s">
        <v>1442</v>
      </c>
      <c r="G270" s="393" t="s">
        <v>131</v>
      </c>
      <c r="H270" s="390" t="s">
        <v>132</v>
      </c>
      <c r="I270" s="394">
        <v>8154</v>
      </c>
      <c r="J270" s="394">
        <v>0</v>
      </c>
      <c r="K270" s="394">
        <v>27</v>
      </c>
      <c r="L270" s="394">
        <f t="shared" ref="L270:L310" si="719">I270/K270</f>
        <v>302</v>
      </c>
      <c r="M270" s="395">
        <v>45981</v>
      </c>
      <c r="N270" s="395">
        <v>45976</v>
      </c>
      <c r="O270" s="396"/>
      <c r="P270" s="396" t="s">
        <v>107</v>
      </c>
      <c r="Q270" s="396" t="s">
        <v>1443</v>
      </c>
      <c r="R270" s="397">
        <v>45946</v>
      </c>
      <c r="S270" s="398" t="s">
        <v>80</v>
      </c>
      <c r="T270" s="396" t="s">
        <v>1444</v>
      </c>
      <c r="U270" s="406" t="s">
        <v>1445</v>
      </c>
      <c r="V270" s="358" t="s">
        <v>1446</v>
      </c>
      <c r="W270" s="395" t="s">
        <v>581</v>
      </c>
      <c r="X270" s="399">
        <v>0.7684</v>
      </c>
      <c r="Y270" s="394">
        <f t="shared" si="712"/>
        <v>6265.5336</v>
      </c>
      <c r="Z270" s="395" t="s">
        <v>1447</v>
      </c>
      <c r="AA270" s="358">
        <f>8100+54</f>
        <v>8154</v>
      </c>
      <c r="AB270" s="358">
        <f t="shared" si="622"/>
        <v>0</v>
      </c>
      <c r="AC270" s="396" t="s">
        <v>113</v>
      </c>
      <c r="AD270" s="396" t="s">
        <v>114</v>
      </c>
      <c r="AE270" s="395" t="s">
        <v>434</v>
      </c>
      <c r="AF270" s="395" t="s">
        <v>115</v>
      </c>
      <c r="AG270" s="401">
        <f t="shared" si="663"/>
        <v>8154</v>
      </c>
      <c r="AH270" s="401"/>
      <c r="AI270" s="401">
        <f t="shared" si="664"/>
        <v>8154</v>
      </c>
      <c r="AJ270" s="401"/>
      <c r="AK270" s="401"/>
      <c r="AL270" s="401">
        <f t="shared" si="713"/>
        <v>8154</v>
      </c>
      <c r="AM270" s="401"/>
      <c r="AN270" s="401"/>
      <c r="AO270" s="401">
        <f t="shared" si="699"/>
        <v>8154</v>
      </c>
      <c r="AP270" s="401"/>
      <c r="AQ270" s="401"/>
      <c r="AR270" s="401"/>
      <c r="AS270" s="401">
        <f>I270/27</f>
        <v>302</v>
      </c>
      <c r="AT270" s="401"/>
      <c r="AU270" s="401"/>
      <c r="AV270" s="401"/>
      <c r="AW270" s="401"/>
      <c r="AX270" s="401"/>
      <c r="AY270" s="401"/>
      <c r="AZ270" s="401"/>
      <c r="BA270" s="401"/>
      <c r="BB270" s="401"/>
      <c r="BC270" s="401"/>
      <c r="BD270" s="401"/>
      <c r="BE270" s="401"/>
      <c r="BF270" s="401"/>
      <c r="BG270" s="401"/>
      <c r="BH270" s="401"/>
      <c r="BI270" s="401"/>
      <c r="BJ270" s="82">
        <f t="shared" ref="BJ270:BR270" si="720">$I270*BJ$2</f>
        <v>998.015624999997</v>
      </c>
      <c r="BK270" s="82">
        <f t="shared" si="720"/>
        <v>998.015624999997</v>
      </c>
      <c r="BL270" s="82">
        <f t="shared" si="720"/>
        <v>998.015624999997</v>
      </c>
      <c r="BM270" s="82">
        <f t="shared" si="720"/>
        <v>998.015624999997</v>
      </c>
      <c r="BN270" s="82">
        <f t="shared" si="720"/>
        <v>998.015624999997</v>
      </c>
      <c r="BO270" s="82">
        <f t="shared" si="720"/>
        <v>998.015624999997</v>
      </c>
      <c r="BP270" s="82">
        <f t="shared" si="720"/>
        <v>998.015624999997</v>
      </c>
      <c r="BQ270" s="82">
        <f t="shared" si="720"/>
        <v>998.015624999997</v>
      </c>
      <c r="BR270" s="82">
        <f t="shared" si="720"/>
        <v>169.875</v>
      </c>
      <c r="BT270" s="59">
        <f t="shared" ref="BT270:CB270" si="721">BT269-BJ270</f>
        <v>50993.5390625001</v>
      </c>
      <c r="BU270" s="59">
        <f t="shared" si="721"/>
        <v>50993.5390625001</v>
      </c>
      <c r="BV270" s="59">
        <f t="shared" si="721"/>
        <v>50993.5390625001</v>
      </c>
      <c r="BW270" s="59">
        <f t="shared" si="721"/>
        <v>50993.5390625001</v>
      </c>
      <c r="BX270" s="59">
        <f t="shared" si="721"/>
        <v>50993.5390625001</v>
      </c>
      <c r="BY270" s="59">
        <f t="shared" si="721"/>
        <v>50993.5390625001</v>
      </c>
      <c r="BZ270" s="59">
        <f t="shared" si="721"/>
        <v>50993.5390625001</v>
      </c>
      <c r="CA270" s="59">
        <f t="shared" si="721"/>
        <v>50993.5390625001</v>
      </c>
      <c r="CB270" s="59">
        <f t="shared" si="721"/>
        <v>8631.68750000002</v>
      </c>
    </row>
    <row r="271" s="371" customFormat="1" ht="27" hidden="1" customHeight="1" spans="1:80">
      <c r="A271" s="410">
        <v>45941</v>
      </c>
      <c r="B271" s="411" t="s">
        <v>1448</v>
      </c>
      <c r="C271" s="412" t="s">
        <v>311</v>
      </c>
      <c r="D271" s="413">
        <v>4500181278</v>
      </c>
      <c r="E271" s="412">
        <v>5200007921</v>
      </c>
      <c r="F271" s="411" t="s">
        <v>1449</v>
      </c>
      <c r="G271" s="414" t="s">
        <v>313</v>
      </c>
      <c r="H271" s="411" t="s">
        <v>153</v>
      </c>
      <c r="I271" s="415">
        <v>1157</v>
      </c>
      <c r="J271" s="415">
        <v>0</v>
      </c>
      <c r="K271" s="415">
        <v>13</v>
      </c>
      <c r="L271" s="415">
        <f t="shared" si="719"/>
        <v>89</v>
      </c>
      <c r="M271" s="416">
        <v>45981</v>
      </c>
      <c r="N271" s="416">
        <v>45978</v>
      </c>
      <c r="O271" s="417"/>
      <c r="P271" s="417" t="s">
        <v>107</v>
      </c>
      <c r="Q271" s="417" t="s">
        <v>1432</v>
      </c>
      <c r="R271" s="521">
        <v>45947</v>
      </c>
      <c r="S271" s="417" t="s">
        <v>80</v>
      </c>
      <c r="T271" s="425" t="s">
        <v>1450</v>
      </c>
      <c r="U271" s="417"/>
      <c r="V271" s="420" t="s">
        <v>1451</v>
      </c>
      <c r="W271" s="416" t="s">
        <v>1452</v>
      </c>
      <c r="X271" s="421">
        <v>0.7758</v>
      </c>
      <c r="Y271" s="415">
        <f t="shared" si="712"/>
        <v>897.6006</v>
      </c>
      <c r="Z271" s="416" t="s">
        <v>1453</v>
      </c>
      <c r="AA271" s="420">
        <v>1157</v>
      </c>
      <c r="AB271" s="420">
        <f t="shared" si="622"/>
        <v>0</v>
      </c>
      <c r="AC271" s="417" t="s">
        <v>113</v>
      </c>
      <c r="AD271" s="417" t="s">
        <v>114</v>
      </c>
      <c r="AE271" s="416" t="s">
        <v>319</v>
      </c>
      <c r="AF271" s="416" t="s">
        <v>115</v>
      </c>
      <c r="AG271" s="422">
        <f t="shared" si="663"/>
        <v>1157</v>
      </c>
      <c r="AH271" s="422"/>
      <c r="AI271" s="422">
        <f t="shared" si="664"/>
        <v>1157</v>
      </c>
      <c r="AJ271" s="422"/>
      <c r="AK271" s="422"/>
      <c r="AL271" s="422">
        <f t="shared" si="713"/>
        <v>1157</v>
      </c>
      <c r="AM271" s="422"/>
      <c r="AN271" s="422"/>
      <c r="AO271" s="422">
        <f t="shared" si="699"/>
        <v>1157</v>
      </c>
      <c r="AP271" s="422"/>
      <c r="AQ271" s="422"/>
      <c r="AR271" s="422"/>
      <c r="AS271" s="422"/>
      <c r="AT271" s="422"/>
      <c r="AU271" s="422">
        <f>I271/13</f>
        <v>89</v>
      </c>
      <c r="AV271" s="422"/>
      <c r="AW271" s="422"/>
      <c r="AX271" s="422"/>
      <c r="AY271" s="422"/>
      <c r="AZ271" s="422"/>
      <c r="BA271" s="422"/>
      <c r="BB271" s="422"/>
      <c r="BC271" s="422"/>
      <c r="BD271" s="422"/>
      <c r="BE271" s="422"/>
      <c r="BF271" s="422"/>
      <c r="BG271" s="422"/>
      <c r="BH271" s="422"/>
      <c r="BI271" s="422"/>
      <c r="BJ271" s="423">
        <f t="shared" ref="BJ271:BR271" si="722">$I271*BJ$2</f>
        <v>141.611979166666</v>
      </c>
      <c r="BK271" s="423">
        <f t="shared" si="722"/>
        <v>141.611979166666</v>
      </c>
      <c r="BL271" s="423">
        <f t="shared" si="722"/>
        <v>141.611979166666</v>
      </c>
      <c r="BM271" s="423">
        <f t="shared" si="722"/>
        <v>141.611979166666</v>
      </c>
      <c r="BN271" s="423">
        <f t="shared" si="722"/>
        <v>141.611979166666</v>
      </c>
      <c r="BO271" s="423">
        <f t="shared" si="722"/>
        <v>141.611979166666</v>
      </c>
      <c r="BP271" s="423">
        <f t="shared" si="722"/>
        <v>141.611979166666</v>
      </c>
      <c r="BQ271" s="423">
        <f t="shared" si="722"/>
        <v>141.611979166666</v>
      </c>
      <c r="BR271" s="423">
        <f t="shared" si="722"/>
        <v>24.1041666666666</v>
      </c>
      <c r="BT271" s="59">
        <f t="shared" ref="BT271:CB271" si="723">BT270-BJ271</f>
        <v>50851.9270833334</v>
      </c>
      <c r="BU271" s="59">
        <f t="shared" si="723"/>
        <v>50851.9270833334</v>
      </c>
      <c r="BV271" s="59">
        <f t="shared" si="723"/>
        <v>50851.9270833334</v>
      </c>
      <c r="BW271" s="59">
        <f t="shared" si="723"/>
        <v>50851.9270833334</v>
      </c>
      <c r="BX271" s="59">
        <f t="shared" si="723"/>
        <v>50851.9270833334</v>
      </c>
      <c r="BY271" s="59">
        <f t="shared" si="723"/>
        <v>50851.9270833334</v>
      </c>
      <c r="BZ271" s="59">
        <f t="shared" si="723"/>
        <v>50851.9270833334</v>
      </c>
      <c r="CA271" s="59">
        <f t="shared" si="723"/>
        <v>50851.9270833334</v>
      </c>
      <c r="CB271" s="59">
        <f t="shared" si="723"/>
        <v>8607.58333333335</v>
      </c>
    </row>
    <row r="272" s="371" customFormat="1" ht="27" hidden="1" customHeight="1" spans="1:80">
      <c r="A272" s="410">
        <v>45952</v>
      </c>
      <c r="B272" s="411" t="s">
        <v>1454</v>
      </c>
      <c r="C272" s="412" t="s">
        <v>117</v>
      </c>
      <c r="D272" s="413">
        <v>4500182659</v>
      </c>
      <c r="E272" s="412" t="s">
        <v>1455</v>
      </c>
      <c r="F272" s="411" t="s">
        <v>1456</v>
      </c>
      <c r="G272" s="414" t="s">
        <v>152</v>
      </c>
      <c r="H272" s="411" t="s">
        <v>153</v>
      </c>
      <c r="I272" s="415">
        <v>1573</v>
      </c>
      <c r="J272" s="415">
        <v>0</v>
      </c>
      <c r="K272" s="415">
        <v>13</v>
      </c>
      <c r="L272" s="415">
        <f t="shared" si="719"/>
        <v>121</v>
      </c>
      <c r="M272" s="416">
        <v>45985</v>
      </c>
      <c r="N272" s="416">
        <v>45981</v>
      </c>
      <c r="O272" s="417"/>
      <c r="P272" s="417" t="s">
        <v>107</v>
      </c>
      <c r="Q272" s="417" t="s">
        <v>1457</v>
      </c>
      <c r="R272" s="521">
        <v>45952</v>
      </c>
      <c r="S272" s="417" t="s">
        <v>80</v>
      </c>
      <c r="T272" s="417" t="s">
        <v>80</v>
      </c>
      <c r="U272" s="523"/>
      <c r="V272" s="420" t="s">
        <v>1458</v>
      </c>
      <c r="W272" s="416" t="s">
        <v>587</v>
      </c>
      <c r="X272" s="421">
        <v>0.4759</v>
      </c>
      <c r="Y272" s="415">
        <f t="shared" si="712"/>
        <v>748.5907</v>
      </c>
      <c r="Z272" s="416" t="s">
        <v>1459</v>
      </c>
      <c r="AA272" s="420">
        <f>1534+39</f>
        <v>1573</v>
      </c>
      <c r="AB272" s="420">
        <f t="shared" si="622"/>
        <v>0</v>
      </c>
      <c r="AC272" s="417" t="s">
        <v>80</v>
      </c>
      <c r="AD272" s="417" t="s">
        <v>114</v>
      </c>
      <c r="AE272" s="416" t="s">
        <v>152</v>
      </c>
      <c r="AF272" s="416" t="s">
        <v>115</v>
      </c>
      <c r="AG272" s="422">
        <f t="shared" si="663"/>
        <v>1573</v>
      </c>
      <c r="AH272" s="422"/>
      <c r="AI272" s="422">
        <f t="shared" si="664"/>
        <v>1573</v>
      </c>
      <c r="AJ272" s="422"/>
      <c r="AK272" s="422">
        <f t="shared" si="716"/>
        <v>1573</v>
      </c>
      <c r="AL272" s="422"/>
      <c r="AM272" s="422"/>
      <c r="AN272" s="422"/>
      <c r="AO272" s="422">
        <f t="shared" si="699"/>
        <v>1573</v>
      </c>
      <c r="AP272" s="422"/>
      <c r="AQ272" s="422"/>
      <c r="AR272" s="422"/>
      <c r="AS272" s="422"/>
      <c r="AT272" s="422">
        <f t="shared" ref="AT272:AT279" si="724">I272/13</f>
        <v>121</v>
      </c>
      <c r="AU272" s="422"/>
      <c r="AV272" s="422"/>
      <c r="AW272" s="422"/>
      <c r="AX272" s="422"/>
      <c r="AY272" s="422"/>
      <c r="AZ272" s="422"/>
      <c r="BA272" s="422"/>
      <c r="BB272" s="422"/>
      <c r="BC272" s="422"/>
      <c r="BD272" s="422"/>
      <c r="BE272" s="422"/>
      <c r="BF272" s="422"/>
      <c r="BG272" s="422"/>
      <c r="BH272" s="422"/>
      <c r="BI272" s="422"/>
      <c r="BJ272" s="423">
        <f t="shared" ref="BJ272:BR272" si="725">$I272*BJ$2</f>
        <v>192.528645833333</v>
      </c>
      <c r="BK272" s="423">
        <f t="shared" si="725"/>
        <v>192.528645833333</v>
      </c>
      <c r="BL272" s="423">
        <f t="shared" si="725"/>
        <v>192.528645833333</v>
      </c>
      <c r="BM272" s="423">
        <f t="shared" si="725"/>
        <v>192.528645833333</v>
      </c>
      <c r="BN272" s="423">
        <f t="shared" si="725"/>
        <v>192.528645833333</v>
      </c>
      <c r="BO272" s="423">
        <f t="shared" si="725"/>
        <v>192.528645833333</v>
      </c>
      <c r="BP272" s="423">
        <f t="shared" si="725"/>
        <v>192.528645833333</v>
      </c>
      <c r="BQ272" s="423">
        <f t="shared" si="725"/>
        <v>192.528645833333</v>
      </c>
      <c r="BR272" s="423">
        <f t="shared" si="725"/>
        <v>32.7708333333333</v>
      </c>
      <c r="BT272" s="59">
        <f t="shared" ref="BT272:CB272" si="726">BT271-BJ272</f>
        <v>50659.3984375001</v>
      </c>
      <c r="BU272" s="59">
        <f t="shared" si="726"/>
        <v>50659.3984375001</v>
      </c>
      <c r="BV272" s="59">
        <f t="shared" si="726"/>
        <v>50659.3984375001</v>
      </c>
      <c r="BW272" s="59">
        <f t="shared" si="726"/>
        <v>50659.3984375001</v>
      </c>
      <c r="BX272" s="59">
        <f t="shared" si="726"/>
        <v>50659.3984375001</v>
      </c>
      <c r="BY272" s="59">
        <f t="shared" si="726"/>
        <v>50659.3984375001</v>
      </c>
      <c r="BZ272" s="59">
        <f t="shared" si="726"/>
        <v>50659.3984375001</v>
      </c>
      <c r="CA272" s="59">
        <f t="shared" si="726"/>
        <v>50659.3984375001</v>
      </c>
      <c r="CB272" s="59">
        <f t="shared" si="726"/>
        <v>8574.81250000002</v>
      </c>
    </row>
    <row r="273" s="371" customFormat="1" ht="27" hidden="1" customHeight="1" spans="1:80">
      <c r="A273" s="410">
        <v>45918</v>
      </c>
      <c r="B273" s="411" t="s">
        <v>1460</v>
      </c>
      <c r="C273" s="412" t="s">
        <v>117</v>
      </c>
      <c r="D273" s="413">
        <v>4500179796</v>
      </c>
      <c r="E273" s="412" t="s">
        <v>1461</v>
      </c>
      <c r="F273" s="411" t="s">
        <v>1462</v>
      </c>
      <c r="G273" s="414" t="s">
        <v>78</v>
      </c>
      <c r="H273" s="411" t="s">
        <v>79</v>
      </c>
      <c r="I273" s="415">
        <v>1242</v>
      </c>
      <c r="J273" s="415">
        <v>0</v>
      </c>
      <c r="K273" s="415">
        <v>54</v>
      </c>
      <c r="L273" s="415">
        <f t="shared" si="719"/>
        <v>23</v>
      </c>
      <c r="M273" s="416">
        <v>45989</v>
      </c>
      <c r="N273" s="416">
        <v>45985</v>
      </c>
      <c r="O273" s="417"/>
      <c r="P273" s="417" t="s">
        <v>107</v>
      </c>
      <c r="Q273" s="417" t="s">
        <v>1463</v>
      </c>
      <c r="R273" s="521">
        <v>45954</v>
      </c>
      <c r="S273" s="417" t="s">
        <v>80</v>
      </c>
      <c r="T273" s="417" t="s">
        <v>1464</v>
      </c>
      <c r="U273" s="417"/>
      <c r="V273" s="420" t="s">
        <v>1465</v>
      </c>
      <c r="W273" s="416" t="s">
        <v>735</v>
      </c>
      <c r="X273" s="421">
        <v>0.4748</v>
      </c>
      <c r="Y273" s="415">
        <f t="shared" si="712"/>
        <v>589.7016</v>
      </c>
      <c r="Z273" s="416"/>
      <c r="AA273" s="420">
        <f>1134+108</f>
        <v>1242</v>
      </c>
      <c r="AB273" s="420">
        <f t="shared" si="622"/>
        <v>0</v>
      </c>
      <c r="AC273" s="417" t="s">
        <v>113</v>
      </c>
      <c r="AD273" s="417" t="s">
        <v>114</v>
      </c>
      <c r="AE273" s="416" t="s">
        <v>78</v>
      </c>
      <c r="AF273" s="416" t="s">
        <v>115</v>
      </c>
      <c r="AG273" s="422">
        <f t="shared" si="663"/>
        <v>1242</v>
      </c>
      <c r="AH273" s="422"/>
      <c r="AI273" s="422">
        <f t="shared" si="664"/>
        <v>1242</v>
      </c>
      <c r="AJ273" s="422"/>
      <c r="AK273" s="422">
        <f t="shared" si="716"/>
        <v>1242</v>
      </c>
      <c r="AL273" s="422"/>
      <c r="AM273" s="422"/>
      <c r="AN273" s="422"/>
      <c r="AO273" s="422">
        <f t="shared" si="699"/>
        <v>1242</v>
      </c>
      <c r="AP273" s="422"/>
      <c r="AQ273" s="422">
        <f>I273/27</f>
        <v>46</v>
      </c>
      <c r="AR273" s="422"/>
      <c r="AS273" s="422"/>
      <c r="AT273" s="422"/>
      <c r="AU273" s="422"/>
      <c r="AV273" s="422"/>
      <c r="AW273" s="422"/>
      <c r="AX273" s="422"/>
      <c r="AY273" s="422"/>
      <c r="AZ273" s="422"/>
      <c r="BA273" s="422"/>
      <c r="BB273" s="422"/>
      <c r="BC273" s="422"/>
      <c r="BD273" s="422"/>
      <c r="BE273" s="422"/>
      <c r="BF273" s="422"/>
      <c r="BG273" s="422"/>
      <c r="BH273" s="422"/>
      <c r="BI273" s="422"/>
      <c r="BJ273" s="423">
        <f t="shared" ref="BJ273:BR273" si="727">$I273*BJ$2</f>
        <v>152.015625</v>
      </c>
      <c r="BK273" s="423">
        <f t="shared" si="727"/>
        <v>152.015625</v>
      </c>
      <c r="BL273" s="423">
        <f t="shared" si="727"/>
        <v>152.015625</v>
      </c>
      <c r="BM273" s="423">
        <f t="shared" si="727"/>
        <v>152.015625</v>
      </c>
      <c r="BN273" s="423">
        <f t="shared" si="727"/>
        <v>152.015625</v>
      </c>
      <c r="BO273" s="423">
        <f t="shared" si="727"/>
        <v>152.015625</v>
      </c>
      <c r="BP273" s="423">
        <f t="shared" si="727"/>
        <v>152.015625</v>
      </c>
      <c r="BQ273" s="423">
        <f t="shared" si="727"/>
        <v>152.015625</v>
      </c>
      <c r="BR273" s="423">
        <f t="shared" si="727"/>
        <v>25.875</v>
      </c>
      <c r="BT273" s="59">
        <f t="shared" ref="BT273:CB273" si="728">BT272-BJ273</f>
        <v>50507.3828125001</v>
      </c>
      <c r="BU273" s="59">
        <f t="shared" si="728"/>
        <v>50507.3828125001</v>
      </c>
      <c r="BV273" s="59">
        <f t="shared" si="728"/>
        <v>50507.3828125001</v>
      </c>
      <c r="BW273" s="59">
        <f t="shared" si="728"/>
        <v>50507.3828125001</v>
      </c>
      <c r="BX273" s="59">
        <f t="shared" si="728"/>
        <v>50507.3828125001</v>
      </c>
      <c r="BY273" s="59">
        <f t="shared" si="728"/>
        <v>50507.3828125001</v>
      </c>
      <c r="BZ273" s="59">
        <f t="shared" si="728"/>
        <v>50507.3828125001</v>
      </c>
      <c r="CA273" s="59">
        <f t="shared" si="728"/>
        <v>50507.3828125001</v>
      </c>
      <c r="CB273" s="59">
        <f t="shared" si="728"/>
        <v>8548.93750000002</v>
      </c>
    </row>
    <row r="274" s="371" customFormat="1" ht="27" hidden="1" customHeight="1" spans="1:80">
      <c r="A274" s="410">
        <v>45953</v>
      </c>
      <c r="B274" s="411" t="s">
        <v>652</v>
      </c>
      <c r="C274" s="412" t="s">
        <v>521</v>
      </c>
      <c r="D274" s="413">
        <v>4500181881</v>
      </c>
      <c r="E274" s="412"/>
      <c r="F274" s="411" t="s">
        <v>1466</v>
      </c>
      <c r="G274" s="414" t="s">
        <v>86</v>
      </c>
      <c r="H274" s="411" t="s">
        <v>87</v>
      </c>
      <c r="I274" s="415">
        <v>360</v>
      </c>
      <c r="J274" s="415">
        <v>0</v>
      </c>
      <c r="K274" s="415">
        <v>24</v>
      </c>
      <c r="L274" s="415">
        <f t="shared" si="719"/>
        <v>15</v>
      </c>
      <c r="M274" s="416">
        <v>45991</v>
      </c>
      <c r="N274" s="416">
        <v>45987</v>
      </c>
      <c r="O274" s="417"/>
      <c r="P274" s="417" t="s">
        <v>224</v>
      </c>
      <c r="Q274" s="417" t="s">
        <v>1467</v>
      </c>
      <c r="R274" s="521">
        <v>45950</v>
      </c>
      <c r="S274" s="419" t="s">
        <v>80</v>
      </c>
      <c r="T274" s="417" t="s">
        <v>1468</v>
      </c>
      <c r="U274" s="417"/>
      <c r="V274" s="524" t="s">
        <v>1469</v>
      </c>
      <c r="W274" s="416" t="s">
        <v>657</v>
      </c>
      <c r="X274" s="421">
        <v>0.7564</v>
      </c>
      <c r="Y274" s="415">
        <f t="shared" si="712"/>
        <v>272.304</v>
      </c>
      <c r="Z274" s="416" t="s">
        <v>1470</v>
      </c>
      <c r="AA274" s="420">
        <v>360</v>
      </c>
      <c r="AB274" s="420">
        <f t="shared" si="622"/>
        <v>0</v>
      </c>
      <c r="AC274" s="417" t="s">
        <v>113</v>
      </c>
      <c r="AD274" s="417" t="s">
        <v>114</v>
      </c>
      <c r="AE274" s="414" t="s">
        <v>86</v>
      </c>
      <c r="AF274" s="416" t="s">
        <v>115</v>
      </c>
      <c r="AG274" s="422">
        <f t="shared" si="663"/>
        <v>360</v>
      </c>
      <c r="AH274" s="422"/>
      <c r="AI274" s="422">
        <f t="shared" si="664"/>
        <v>360</v>
      </c>
      <c r="AJ274" s="422"/>
      <c r="AK274" s="422">
        <f t="shared" si="716"/>
        <v>360</v>
      </c>
      <c r="AL274" s="422"/>
      <c r="AM274" s="422"/>
      <c r="AN274" s="422"/>
      <c r="AO274" s="422">
        <f t="shared" si="699"/>
        <v>360</v>
      </c>
      <c r="AP274" s="422"/>
      <c r="AQ274" s="422"/>
      <c r="AR274" s="422"/>
      <c r="AS274" s="422"/>
      <c r="AT274" s="422"/>
      <c r="AU274" s="422"/>
      <c r="AV274" s="422"/>
      <c r="AW274" s="422"/>
      <c r="AX274" s="422"/>
      <c r="AY274" s="422"/>
      <c r="AZ274" s="422"/>
      <c r="BA274" s="422"/>
      <c r="BB274" s="422"/>
      <c r="BC274" s="422"/>
      <c r="BD274" s="422"/>
      <c r="BE274" s="422"/>
      <c r="BF274" s="422"/>
      <c r="BG274" s="422"/>
      <c r="BH274" s="422"/>
      <c r="BI274" s="422"/>
      <c r="BJ274" s="423">
        <f t="shared" ref="BJ274:BR274" si="729">$I274*BJ$2</f>
        <v>44.0624999999999</v>
      </c>
      <c r="BK274" s="423">
        <f t="shared" si="729"/>
        <v>44.0624999999999</v>
      </c>
      <c r="BL274" s="423">
        <f t="shared" si="729"/>
        <v>44.0624999999999</v>
      </c>
      <c r="BM274" s="423">
        <f t="shared" si="729"/>
        <v>44.0624999999999</v>
      </c>
      <c r="BN274" s="423">
        <f t="shared" si="729"/>
        <v>44.0624999999999</v>
      </c>
      <c r="BO274" s="423">
        <f t="shared" si="729"/>
        <v>44.0624999999999</v>
      </c>
      <c r="BP274" s="423">
        <f t="shared" si="729"/>
        <v>44.0624999999999</v>
      </c>
      <c r="BQ274" s="423">
        <f t="shared" si="729"/>
        <v>44.0624999999999</v>
      </c>
      <c r="BR274" s="423">
        <f t="shared" si="729"/>
        <v>7.49999999999999</v>
      </c>
      <c r="BT274" s="59">
        <f t="shared" ref="BT274:CB274" si="730">BT273-BJ274</f>
        <v>50463.3203125001</v>
      </c>
      <c r="BU274" s="59">
        <f t="shared" si="730"/>
        <v>50463.3203125001</v>
      </c>
      <c r="BV274" s="59">
        <f t="shared" si="730"/>
        <v>50463.3203125001</v>
      </c>
      <c r="BW274" s="59">
        <f t="shared" si="730"/>
        <v>50463.3203125001</v>
      </c>
      <c r="BX274" s="59">
        <f t="shared" si="730"/>
        <v>50463.3203125001</v>
      </c>
      <c r="BY274" s="59">
        <f t="shared" si="730"/>
        <v>50463.3203125001</v>
      </c>
      <c r="BZ274" s="59">
        <f t="shared" si="730"/>
        <v>50463.3203125001</v>
      </c>
      <c r="CA274" s="59">
        <f t="shared" si="730"/>
        <v>50463.3203125001</v>
      </c>
      <c r="CB274" s="59">
        <f t="shared" si="730"/>
        <v>8541.43750000002</v>
      </c>
    </row>
    <row r="275" s="371" customFormat="1" ht="27" hidden="1" customHeight="1" spans="1:80">
      <c r="A275" s="410">
        <v>45959</v>
      </c>
      <c r="B275" s="411" t="s">
        <v>1471</v>
      </c>
      <c r="C275" s="412" t="s">
        <v>117</v>
      </c>
      <c r="D275" s="413">
        <v>4500182883</v>
      </c>
      <c r="E275" s="412" t="s">
        <v>1472</v>
      </c>
      <c r="F275" s="411" t="s">
        <v>1473</v>
      </c>
      <c r="G275" s="414" t="s">
        <v>152</v>
      </c>
      <c r="H275" s="411" t="s">
        <v>153</v>
      </c>
      <c r="I275" s="415">
        <v>130</v>
      </c>
      <c r="J275" s="415">
        <v>0</v>
      </c>
      <c r="K275" s="415">
        <v>13</v>
      </c>
      <c r="L275" s="415">
        <f t="shared" si="719"/>
        <v>10</v>
      </c>
      <c r="M275" s="416">
        <v>45992</v>
      </c>
      <c r="N275" s="416">
        <f t="shared" ref="N275:N279" si="731">M275-4</f>
        <v>45988</v>
      </c>
      <c r="O275" s="417"/>
      <c r="P275" s="417" t="s">
        <v>224</v>
      </c>
      <c r="Q275" s="417" t="s">
        <v>1474</v>
      </c>
      <c r="R275" s="521">
        <v>45964</v>
      </c>
      <c r="S275" s="417" t="s">
        <v>80</v>
      </c>
      <c r="T275" s="417" t="s">
        <v>80</v>
      </c>
      <c r="U275" s="417"/>
      <c r="V275" s="420" t="s">
        <v>751</v>
      </c>
      <c r="W275" s="416" t="s">
        <v>752</v>
      </c>
      <c r="X275" s="421">
        <v>0.4792</v>
      </c>
      <c r="Y275" s="415">
        <f t="shared" si="712"/>
        <v>62.296</v>
      </c>
      <c r="Z275" s="416"/>
      <c r="AA275" s="420">
        <v>130</v>
      </c>
      <c r="AB275" s="420">
        <f t="shared" si="622"/>
        <v>0</v>
      </c>
      <c r="AC275" s="417" t="s">
        <v>80</v>
      </c>
      <c r="AD275" s="417" t="s">
        <v>114</v>
      </c>
      <c r="AE275" s="416" t="s">
        <v>152</v>
      </c>
      <c r="AF275" s="416" t="s">
        <v>115</v>
      </c>
      <c r="AG275" s="422">
        <f t="shared" si="663"/>
        <v>130</v>
      </c>
      <c r="AH275" s="422"/>
      <c r="AI275" s="422">
        <f t="shared" si="664"/>
        <v>130</v>
      </c>
      <c r="AJ275" s="422"/>
      <c r="AK275" s="422">
        <f t="shared" si="716"/>
        <v>130</v>
      </c>
      <c r="AL275" s="422"/>
      <c r="AM275" s="422"/>
      <c r="AN275" s="422"/>
      <c r="AO275" s="422">
        <f t="shared" si="699"/>
        <v>130</v>
      </c>
      <c r="AP275" s="422"/>
      <c r="AQ275" s="422"/>
      <c r="AR275" s="422"/>
      <c r="AS275" s="422"/>
      <c r="AT275" s="422">
        <f t="shared" si="724"/>
        <v>10</v>
      </c>
      <c r="AU275" s="422"/>
      <c r="AV275" s="422"/>
      <c r="AW275" s="422"/>
      <c r="AX275" s="422"/>
      <c r="AY275" s="422"/>
      <c r="AZ275" s="422"/>
      <c r="BA275" s="422"/>
      <c r="BB275" s="422"/>
      <c r="BC275" s="422"/>
      <c r="BD275" s="422"/>
      <c r="BE275" s="422"/>
      <c r="BF275" s="422"/>
      <c r="BG275" s="422"/>
      <c r="BH275" s="422"/>
      <c r="BI275" s="422"/>
      <c r="BJ275" s="423">
        <f t="shared" ref="BJ275:BR275" si="732">$I275*BJ$2</f>
        <v>15.9114583333333</v>
      </c>
      <c r="BK275" s="423">
        <f t="shared" si="732"/>
        <v>15.9114583333333</v>
      </c>
      <c r="BL275" s="423">
        <f t="shared" si="732"/>
        <v>15.9114583333333</v>
      </c>
      <c r="BM275" s="423">
        <f t="shared" si="732"/>
        <v>15.9114583333333</v>
      </c>
      <c r="BN275" s="423">
        <f t="shared" si="732"/>
        <v>15.9114583333333</v>
      </c>
      <c r="BO275" s="423">
        <f t="shared" si="732"/>
        <v>15.9114583333333</v>
      </c>
      <c r="BP275" s="423">
        <f t="shared" si="732"/>
        <v>15.9114583333333</v>
      </c>
      <c r="BQ275" s="423">
        <f t="shared" si="732"/>
        <v>15.9114583333333</v>
      </c>
      <c r="BR275" s="423">
        <f t="shared" si="732"/>
        <v>2.70833333333333</v>
      </c>
      <c r="BT275" s="59">
        <f t="shared" ref="BT275:CB275" si="733">BT274-BJ275</f>
        <v>50447.4088541667</v>
      </c>
      <c r="BU275" s="59">
        <f t="shared" si="733"/>
        <v>50447.4088541667</v>
      </c>
      <c r="BV275" s="59">
        <f t="shared" si="733"/>
        <v>50447.4088541667</v>
      </c>
      <c r="BW275" s="59">
        <f t="shared" si="733"/>
        <v>50447.4088541667</v>
      </c>
      <c r="BX275" s="59">
        <f t="shared" si="733"/>
        <v>50447.4088541667</v>
      </c>
      <c r="BY275" s="59">
        <f t="shared" si="733"/>
        <v>50447.4088541667</v>
      </c>
      <c r="BZ275" s="59">
        <f t="shared" si="733"/>
        <v>50447.4088541667</v>
      </c>
      <c r="CA275" s="59">
        <f t="shared" si="733"/>
        <v>50447.4088541667</v>
      </c>
      <c r="CB275" s="59">
        <f t="shared" si="733"/>
        <v>8538.72916666668</v>
      </c>
    </row>
    <row r="276" s="371" customFormat="1" ht="27" hidden="1" customHeight="1" spans="1:80">
      <c r="A276" s="410">
        <v>45972</v>
      </c>
      <c r="B276" s="411" t="s">
        <v>582</v>
      </c>
      <c r="C276" s="412" t="s">
        <v>117</v>
      </c>
      <c r="D276" s="413">
        <v>4500185340</v>
      </c>
      <c r="E276" s="412" t="s">
        <v>1475</v>
      </c>
      <c r="F276" s="411" t="s">
        <v>1476</v>
      </c>
      <c r="G276" s="422" t="s">
        <v>152</v>
      </c>
      <c r="H276" s="411" t="s">
        <v>153</v>
      </c>
      <c r="I276" s="415">
        <v>299</v>
      </c>
      <c r="J276" s="415">
        <v>0</v>
      </c>
      <c r="K276" s="415">
        <v>13</v>
      </c>
      <c r="L276" s="415">
        <f t="shared" si="719"/>
        <v>23</v>
      </c>
      <c r="M276" s="416">
        <v>45993</v>
      </c>
      <c r="N276" s="416">
        <f t="shared" si="731"/>
        <v>45989</v>
      </c>
      <c r="O276" s="417"/>
      <c r="P276" s="417" t="s">
        <v>107</v>
      </c>
      <c r="Q276" s="417" t="s">
        <v>1477</v>
      </c>
      <c r="R276" s="521">
        <v>45972</v>
      </c>
      <c r="S276" s="417" t="s">
        <v>80</v>
      </c>
      <c r="T276" s="417" t="s">
        <v>80</v>
      </c>
      <c r="U276" s="417" t="s">
        <v>1478</v>
      </c>
      <c r="V276" s="420" t="s">
        <v>1479</v>
      </c>
      <c r="W276" s="416" t="s">
        <v>587</v>
      </c>
      <c r="X276" s="421">
        <v>0.4687</v>
      </c>
      <c r="Y276" s="415">
        <f t="shared" si="712"/>
        <v>140.1413</v>
      </c>
      <c r="Z276" s="416"/>
      <c r="AA276" s="420">
        <v>299</v>
      </c>
      <c r="AB276" s="420">
        <f t="shared" si="622"/>
        <v>0</v>
      </c>
      <c r="AC276" s="417" t="s">
        <v>80</v>
      </c>
      <c r="AD276" s="417" t="s">
        <v>114</v>
      </c>
      <c r="AE276" s="416" t="s">
        <v>152</v>
      </c>
      <c r="AF276" s="416" t="s">
        <v>115</v>
      </c>
      <c r="AG276" s="422">
        <f t="shared" si="663"/>
        <v>299</v>
      </c>
      <c r="AH276" s="422"/>
      <c r="AI276" s="422">
        <f t="shared" si="664"/>
        <v>299</v>
      </c>
      <c r="AJ276" s="422"/>
      <c r="AK276" s="422">
        <f t="shared" si="716"/>
        <v>299</v>
      </c>
      <c r="AL276" s="422"/>
      <c r="AM276" s="422"/>
      <c r="AN276" s="422"/>
      <c r="AO276" s="422">
        <f t="shared" si="699"/>
        <v>299</v>
      </c>
      <c r="AP276" s="422"/>
      <c r="AQ276" s="422"/>
      <c r="AR276" s="422"/>
      <c r="AS276" s="422"/>
      <c r="AT276" s="422">
        <f t="shared" si="724"/>
        <v>23</v>
      </c>
      <c r="AU276" s="422"/>
      <c r="AV276" s="422"/>
      <c r="AW276" s="422"/>
      <c r="AX276" s="422"/>
      <c r="AY276" s="422"/>
      <c r="AZ276" s="422"/>
      <c r="BA276" s="422"/>
      <c r="BB276" s="422"/>
      <c r="BC276" s="422"/>
      <c r="BD276" s="422"/>
      <c r="BE276" s="422"/>
      <c r="BF276" s="422"/>
      <c r="BG276" s="422"/>
      <c r="BH276" s="422"/>
      <c r="BI276" s="422"/>
      <c r="BJ276" s="423">
        <f t="shared" ref="BJ276:BR276" si="734">$I276*BJ$2</f>
        <v>36.5963541666666</v>
      </c>
      <c r="BK276" s="423">
        <f t="shared" si="734"/>
        <v>36.5963541666666</v>
      </c>
      <c r="BL276" s="423">
        <f t="shared" si="734"/>
        <v>36.5963541666666</v>
      </c>
      <c r="BM276" s="423">
        <f t="shared" si="734"/>
        <v>36.5963541666666</v>
      </c>
      <c r="BN276" s="423">
        <f t="shared" si="734"/>
        <v>36.5963541666666</v>
      </c>
      <c r="BO276" s="423">
        <f t="shared" si="734"/>
        <v>36.5963541666666</v>
      </c>
      <c r="BP276" s="423">
        <f t="shared" si="734"/>
        <v>36.5963541666666</v>
      </c>
      <c r="BQ276" s="423">
        <f t="shared" si="734"/>
        <v>36.5963541666666</v>
      </c>
      <c r="BR276" s="423">
        <f t="shared" si="734"/>
        <v>6.22916666666666</v>
      </c>
      <c r="BT276" s="59">
        <f t="shared" ref="BT276:CB276" si="735">BT275-BJ276</f>
        <v>50410.8125000001</v>
      </c>
      <c r="BU276" s="59">
        <f t="shared" si="735"/>
        <v>50410.8125000001</v>
      </c>
      <c r="BV276" s="59">
        <f t="shared" si="735"/>
        <v>50410.8125000001</v>
      </c>
      <c r="BW276" s="59">
        <f t="shared" si="735"/>
        <v>50410.8125000001</v>
      </c>
      <c r="BX276" s="59">
        <f t="shared" si="735"/>
        <v>50410.8125000001</v>
      </c>
      <c r="BY276" s="59">
        <f t="shared" si="735"/>
        <v>50410.8125000001</v>
      </c>
      <c r="BZ276" s="59">
        <f t="shared" si="735"/>
        <v>50410.8125000001</v>
      </c>
      <c r="CA276" s="59">
        <f t="shared" si="735"/>
        <v>50410.8125000001</v>
      </c>
      <c r="CB276" s="59">
        <f t="shared" si="735"/>
        <v>8532.50000000002</v>
      </c>
    </row>
    <row r="277" s="371" customFormat="1" ht="27" hidden="1" customHeight="1" spans="1:80">
      <c r="A277" s="410">
        <v>45972</v>
      </c>
      <c r="B277" s="411" t="s">
        <v>582</v>
      </c>
      <c r="C277" s="412" t="s">
        <v>117</v>
      </c>
      <c r="D277" s="413">
        <v>4500185340</v>
      </c>
      <c r="E277" s="412" t="s">
        <v>1480</v>
      </c>
      <c r="F277" s="411" t="s">
        <v>1481</v>
      </c>
      <c r="G277" s="422" t="s">
        <v>152</v>
      </c>
      <c r="H277" s="411" t="s">
        <v>153</v>
      </c>
      <c r="I277" s="415">
        <v>8047</v>
      </c>
      <c r="J277" s="415">
        <v>0</v>
      </c>
      <c r="K277" s="415">
        <v>13</v>
      </c>
      <c r="L277" s="415">
        <f t="shared" si="719"/>
        <v>619</v>
      </c>
      <c r="M277" s="416">
        <v>45993</v>
      </c>
      <c r="N277" s="416">
        <f t="shared" si="731"/>
        <v>45989</v>
      </c>
      <c r="O277" s="417"/>
      <c r="P277" s="417" t="s">
        <v>107</v>
      </c>
      <c r="Q277" s="417" t="s">
        <v>1482</v>
      </c>
      <c r="R277" s="521">
        <v>45972</v>
      </c>
      <c r="S277" s="417" t="s">
        <v>80</v>
      </c>
      <c r="T277" s="417" t="s">
        <v>80</v>
      </c>
      <c r="U277" s="417" t="s">
        <v>1478</v>
      </c>
      <c r="V277" s="420" t="s">
        <v>1479</v>
      </c>
      <c r="W277" s="416" t="s">
        <v>587</v>
      </c>
      <c r="X277" s="421">
        <v>0.4726</v>
      </c>
      <c r="Y277" s="415">
        <f t="shared" si="712"/>
        <v>3803.0122</v>
      </c>
      <c r="Z277" s="416"/>
      <c r="AA277" s="420">
        <f>8034+13</f>
        <v>8047</v>
      </c>
      <c r="AB277" s="420">
        <f t="shared" si="622"/>
        <v>0</v>
      </c>
      <c r="AC277" s="417" t="s">
        <v>80</v>
      </c>
      <c r="AD277" s="417" t="s">
        <v>114</v>
      </c>
      <c r="AE277" s="416" t="s">
        <v>152</v>
      </c>
      <c r="AF277" s="416" t="s">
        <v>115</v>
      </c>
      <c r="AG277" s="422">
        <f t="shared" si="663"/>
        <v>8047</v>
      </c>
      <c r="AH277" s="422"/>
      <c r="AI277" s="422">
        <f t="shared" si="664"/>
        <v>8047</v>
      </c>
      <c r="AJ277" s="422"/>
      <c r="AK277" s="422">
        <f t="shared" si="716"/>
        <v>8047</v>
      </c>
      <c r="AL277" s="422"/>
      <c r="AM277" s="422"/>
      <c r="AN277" s="422"/>
      <c r="AO277" s="422">
        <f t="shared" si="699"/>
        <v>8047</v>
      </c>
      <c r="AP277" s="422"/>
      <c r="AQ277" s="422"/>
      <c r="AR277" s="422"/>
      <c r="AS277" s="422"/>
      <c r="AT277" s="422">
        <f t="shared" si="724"/>
        <v>619</v>
      </c>
      <c r="AU277" s="422"/>
      <c r="AV277" s="422"/>
      <c r="AW277" s="422"/>
      <c r="AX277" s="422"/>
      <c r="AY277" s="422"/>
      <c r="AZ277" s="422"/>
      <c r="BA277" s="422"/>
      <c r="BB277" s="422"/>
      <c r="BC277" s="422"/>
      <c r="BD277" s="422"/>
      <c r="BE277" s="422"/>
      <c r="BF277" s="422"/>
      <c r="BG277" s="422"/>
      <c r="BH277" s="422"/>
      <c r="BI277" s="422"/>
      <c r="BJ277" s="423">
        <f t="shared" ref="BJ277:BR277" si="736">$I277*BJ$2</f>
        <v>984.919270833331</v>
      </c>
      <c r="BK277" s="423">
        <f t="shared" si="736"/>
        <v>984.919270833331</v>
      </c>
      <c r="BL277" s="423">
        <f t="shared" si="736"/>
        <v>984.919270833331</v>
      </c>
      <c r="BM277" s="423">
        <f t="shared" si="736"/>
        <v>984.919270833331</v>
      </c>
      <c r="BN277" s="423">
        <f t="shared" si="736"/>
        <v>984.919270833331</v>
      </c>
      <c r="BO277" s="423">
        <f t="shared" si="736"/>
        <v>984.919270833331</v>
      </c>
      <c r="BP277" s="423">
        <f t="shared" si="736"/>
        <v>984.919270833331</v>
      </c>
      <c r="BQ277" s="423">
        <f t="shared" si="736"/>
        <v>984.919270833331</v>
      </c>
      <c r="BR277" s="423">
        <f t="shared" si="736"/>
        <v>167.645833333333</v>
      </c>
      <c r="BT277" s="59">
        <f t="shared" ref="BT277:CB277" si="737">BT276-BJ277</f>
        <v>49425.8932291667</v>
      </c>
      <c r="BU277" s="59">
        <f t="shared" si="737"/>
        <v>49425.8932291667</v>
      </c>
      <c r="BV277" s="59">
        <f t="shared" si="737"/>
        <v>49425.8932291667</v>
      </c>
      <c r="BW277" s="59">
        <f t="shared" si="737"/>
        <v>49425.8932291667</v>
      </c>
      <c r="BX277" s="59">
        <f t="shared" si="737"/>
        <v>49425.8932291667</v>
      </c>
      <c r="BY277" s="59">
        <f t="shared" si="737"/>
        <v>49425.8932291667</v>
      </c>
      <c r="BZ277" s="59">
        <f t="shared" si="737"/>
        <v>49425.8932291667</v>
      </c>
      <c r="CA277" s="59">
        <f t="shared" si="737"/>
        <v>49425.8932291667</v>
      </c>
      <c r="CB277" s="59">
        <f t="shared" si="737"/>
        <v>8364.85416666669</v>
      </c>
    </row>
    <row r="278" s="371" customFormat="1" ht="27" hidden="1" customHeight="1" spans="1:80">
      <c r="A278" s="410">
        <v>45972</v>
      </c>
      <c r="B278" s="411" t="s">
        <v>582</v>
      </c>
      <c r="C278" s="412" t="s">
        <v>117</v>
      </c>
      <c r="D278" s="413">
        <v>4500185340</v>
      </c>
      <c r="E278" s="371" t="s">
        <v>1483</v>
      </c>
      <c r="F278" s="411" t="s">
        <v>1484</v>
      </c>
      <c r="G278" s="422" t="s">
        <v>152</v>
      </c>
      <c r="H278" s="411" t="s">
        <v>153</v>
      </c>
      <c r="I278" s="415">
        <v>7982</v>
      </c>
      <c r="J278" s="415">
        <v>0</v>
      </c>
      <c r="K278" s="415">
        <v>13</v>
      </c>
      <c r="L278" s="415">
        <f t="shared" si="719"/>
        <v>614</v>
      </c>
      <c r="M278" s="416">
        <v>45993</v>
      </c>
      <c r="N278" s="416">
        <f t="shared" si="731"/>
        <v>45989</v>
      </c>
      <c r="O278" s="417"/>
      <c r="P278" s="417" t="s">
        <v>107</v>
      </c>
      <c r="Q278" s="417" t="s">
        <v>1482</v>
      </c>
      <c r="R278" s="521">
        <v>45972</v>
      </c>
      <c r="S278" s="417" t="s">
        <v>80</v>
      </c>
      <c r="T278" s="417" t="s">
        <v>80</v>
      </c>
      <c r="U278" s="417" t="s">
        <v>1478</v>
      </c>
      <c r="V278" s="420" t="s">
        <v>1479</v>
      </c>
      <c r="W278" s="416" t="s">
        <v>587</v>
      </c>
      <c r="X278" s="421">
        <v>0.4726</v>
      </c>
      <c r="Y278" s="415">
        <f t="shared" si="712"/>
        <v>3772.2932</v>
      </c>
      <c r="Z278" s="416"/>
      <c r="AA278" s="420">
        <f>2340+5642</f>
        <v>7982</v>
      </c>
      <c r="AB278" s="420">
        <f t="shared" si="622"/>
        <v>0</v>
      </c>
      <c r="AC278" s="417" t="s">
        <v>80</v>
      </c>
      <c r="AD278" s="417" t="s">
        <v>114</v>
      </c>
      <c r="AE278" s="416" t="s">
        <v>152</v>
      </c>
      <c r="AF278" s="416" t="s">
        <v>115</v>
      </c>
      <c r="AG278" s="422">
        <f t="shared" si="663"/>
        <v>7982</v>
      </c>
      <c r="AH278" s="422"/>
      <c r="AI278" s="422">
        <f t="shared" si="664"/>
        <v>7982</v>
      </c>
      <c r="AJ278" s="422"/>
      <c r="AK278" s="422">
        <f t="shared" si="716"/>
        <v>7982</v>
      </c>
      <c r="AL278" s="422"/>
      <c r="AM278" s="422"/>
      <c r="AN278" s="422"/>
      <c r="AO278" s="422">
        <f t="shared" si="699"/>
        <v>7982</v>
      </c>
      <c r="AP278" s="422"/>
      <c r="AQ278" s="422"/>
      <c r="AR278" s="422"/>
      <c r="AS278" s="422"/>
      <c r="AT278" s="422">
        <f t="shared" si="724"/>
        <v>614</v>
      </c>
      <c r="AU278" s="422"/>
      <c r="AV278" s="422"/>
      <c r="AW278" s="422"/>
      <c r="AX278" s="422"/>
      <c r="AY278" s="422"/>
      <c r="AZ278" s="422"/>
      <c r="BA278" s="422"/>
      <c r="BB278" s="422"/>
      <c r="BC278" s="422"/>
      <c r="BD278" s="422"/>
      <c r="BE278" s="422"/>
      <c r="BF278" s="422"/>
      <c r="BG278" s="422"/>
      <c r="BH278" s="422"/>
      <c r="BI278" s="422"/>
      <c r="BJ278" s="423">
        <f t="shared" ref="BJ278:BR278" si="738">$I278*BJ$2</f>
        <v>976.963541666664</v>
      </c>
      <c r="BK278" s="423">
        <f t="shared" si="738"/>
        <v>976.963541666664</v>
      </c>
      <c r="BL278" s="423">
        <f t="shared" si="738"/>
        <v>976.963541666664</v>
      </c>
      <c r="BM278" s="423">
        <f t="shared" si="738"/>
        <v>976.963541666664</v>
      </c>
      <c r="BN278" s="423">
        <f t="shared" si="738"/>
        <v>976.963541666664</v>
      </c>
      <c r="BO278" s="423">
        <f t="shared" si="738"/>
        <v>976.963541666664</v>
      </c>
      <c r="BP278" s="423">
        <f t="shared" si="738"/>
        <v>976.963541666664</v>
      </c>
      <c r="BQ278" s="423">
        <f t="shared" si="738"/>
        <v>976.963541666664</v>
      </c>
      <c r="BR278" s="423">
        <f t="shared" si="738"/>
        <v>166.291666666666</v>
      </c>
      <c r="BT278" s="59">
        <f t="shared" ref="BT278:CB278" si="739">BT277-BJ278</f>
        <v>48448.9296875001</v>
      </c>
      <c r="BU278" s="59">
        <f t="shared" si="739"/>
        <v>48448.9296875001</v>
      </c>
      <c r="BV278" s="59">
        <f t="shared" si="739"/>
        <v>48448.9296875001</v>
      </c>
      <c r="BW278" s="59">
        <f t="shared" si="739"/>
        <v>48448.9296875001</v>
      </c>
      <c r="BX278" s="59">
        <f t="shared" si="739"/>
        <v>48448.9296875001</v>
      </c>
      <c r="BY278" s="59">
        <f t="shared" si="739"/>
        <v>48448.9296875001</v>
      </c>
      <c r="BZ278" s="59">
        <f t="shared" si="739"/>
        <v>48448.9296875001</v>
      </c>
      <c r="CA278" s="59">
        <f t="shared" si="739"/>
        <v>48448.9296875001</v>
      </c>
      <c r="CB278" s="59">
        <f t="shared" si="739"/>
        <v>8198.56250000002</v>
      </c>
    </row>
    <row r="279" s="371" customFormat="1" ht="27" hidden="1" customHeight="1" spans="1:80">
      <c r="A279" s="410">
        <v>45972</v>
      </c>
      <c r="B279" s="411" t="s">
        <v>582</v>
      </c>
      <c r="C279" s="412" t="s">
        <v>117</v>
      </c>
      <c r="D279" s="413">
        <v>4500185340</v>
      </c>
      <c r="E279" s="412" t="s">
        <v>1485</v>
      </c>
      <c r="F279" s="535" t="s">
        <v>1486</v>
      </c>
      <c r="G279" s="422" t="s">
        <v>152</v>
      </c>
      <c r="H279" s="411" t="s">
        <v>153</v>
      </c>
      <c r="I279" s="415">
        <v>65</v>
      </c>
      <c r="J279" s="415">
        <v>0</v>
      </c>
      <c r="K279" s="415">
        <v>13</v>
      </c>
      <c r="L279" s="415">
        <f t="shared" si="719"/>
        <v>5</v>
      </c>
      <c r="M279" s="416">
        <v>45993</v>
      </c>
      <c r="N279" s="416">
        <f t="shared" si="731"/>
        <v>45989</v>
      </c>
      <c r="O279" s="417"/>
      <c r="P279" s="417" t="s">
        <v>107</v>
      </c>
      <c r="Q279" s="417" t="s">
        <v>1477</v>
      </c>
      <c r="R279" s="521">
        <v>45972</v>
      </c>
      <c r="S279" s="417" t="s">
        <v>80</v>
      </c>
      <c r="T279" s="417" t="s">
        <v>80</v>
      </c>
      <c r="U279" s="417" t="s">
        <v>1478</v>
      </c>
      <c r="V279" s="420" t="s">
        <v>1479</v>
      </c>
      <c r="W279" s="416" t="s">
        <v>587</v>
      </c>
      <c r="X279" s="421">
        <v>0.4791</v>
      </c>
      <c r="Y279" s="415">
        <f t="shared" si="712"/>
        <v>31.1415</v>
      </c>
      <c r="Z279" s="416"/>
      <c r="AA279" s="420">
        <f>52+13</f>
        <v>65</v>
      </c>
      <c r="AB279" s="420">
        <f t="shared" si="622"/>
        <v>0</v>
      </c>
      <c r="AC279" s="417" t="s">
        <v>80</v>
      </c>
      <c r="AD279" s="417" t="s">
        <v>114</v>
      </c>
      <c r="AE279" s="416" t="s">
        <v>152</v>
      </c>
      <c r="AF279" s="416" t="s">
        <v>115</v>
      </c>
      <c r="AG279" s="422">
        <f t="shared" si="663"/>
        <v>65</v>
      </c>
      <c r="AH279" s="422"/>
      <c r="AI279" s="422">
        <f t="shared" si="664"/>
        <v>65</v>
      </c>
      <c r="AJ279" s="422"/>
      <c r="AK279" s="422">
        <f t="shared" si="716"/>
        <v>65</v>
      </c>
      <c r="AL279" s="422"/>
      <c r="AM279" s="422"/>
      <c r="AN279" s="422"/>
      <c r="AO279" s="422">
        <f t="shared" si="699"/>
        <v>65</v>
      </c>
      <c r="AP279" s="422"/>
      <c r="AQ279" s="422"/>
      <c r="AR279" s="422"/>
      <c r="AS279" s="422"/>
      <c r="AT279" s="422">
        <f t="shared" si="724"/>
        <v>5</v>
      </c>
      <c r="AU279" s="422"/>
      <c r="AV279" s="422"/>
      <c r="AW279" s="422"/>
      <c r="AX279" s="422"/>
      <c r="AY279" s="422"/>
      <c r="AZ279" s="422"/>
      <c r="BA279" s="422"/>
      <c r="BB279" s="422"/>
      <c r="BC279" s="422"/>
      <c r="BD279" s="422"/>
      <c r="BE279" s="422"/>
      <c r="BF279" s="422"/>
      <c r="BG279" s="422"/>
      <c r="BH279" s="422"/>
      <c r="BI279" s="422"/>
      <c r="BJ279" s="423">
        <f t="shared" ref="BJ279:BR279" si="740">$I279*BJ$2</f>
        <v>7.95572916666664</v>
      </c>
      <c r="BK279" s="423">
        <f t="shared" si="740"/>
        <v>7.95572916666664</v>
      </c>
      <c r="BL279" s="423">
        <f t="shared" si="740"/>
        <v>7.95572916666664</v>
      </c>
      <c r="BM279" s="423">
        <f t="shared" si="740"/>
        <v>7.95572916666664</v>
      </c>
      <c r="BN279" s="423">
        <f t="shared" si="740"/>
        <v>7.95572916666664</v>
      </c>
      <c r="BO279" s="423">
        <f t="shared" si="740"/>
        <v>7.95572916666664</v>
      </c>
      <c r="BP279" s="423">
        <f t="shared" si="740"/>
        <v>7.95572916666664</v>
      </c>
      <c r="BQ279" s="423">
        <f t="shared" si="740"/>
        <v>7.95572916666664</v>
      </c>
      <c r="BR279" s="423">
        <f t="shared" si="740"/>
        <v>1.35416666666666</v>
      </c>
      <c r="BT279" s="59">
        <f t="shared" ref="BT279:CB279" si="741">BT278-BJ279</f>
        <v>48440.9739583334</v>
      </c>
      <c r="BU279" s="59">
        <f t="shared" si="741"/>
        <v>48440.9739583334</v>
      </c>
      <c r="BV279" s="59">
        <f t="shared" si="741"/>
        <v>48440.9739583334</v>
      </c>
      <c r="BW279" s="59">
        <f t="shared" si="741"/>
        <v>48440.9739583334</v>
      </c>
      <c r="BX279" s="59">
        <f t="shared" si="741"/>
        <v>48440.9739583334</v>
      </c>
      <c r="BY279" s="59">
        <f t="shared" si="741"/>
        <v>48440.9739583334</v>
      </c>
      <c r="BZ279" s="59">
        <f t="shared" si="741"/>
        <v>48440.9739583334</v>
      </c>
      <c r="CA279" s="59">
        <f t="shared" si="741"/>
        <v>48440.9739583334</v>
      </c>
      <c r="CB279" s="59">
        <f t="shared" si="741"/>
        <v>8197.20833333335</v>
      </c>
    </row>
    <row r="280" s="371" customFormat="1" ht="27" hidden="1" customHeight="1" spans="1:80">
      <c r="A280" s="410">
        <v>45946</v>
      </c>
      <c r="B280" s="411" t="s">
        <v>1487</v>
      </c>
      <c r="C280" s="412" t="s">
        <v>769</v>
      </c>
      <c r="D280" s="413">
        <v>4500182255</v>
      </c>
      <c r="E280" s="412" t="s">
        <v>1488</v>
      </c>
      <c r="F280" s="411" t="s">
        <v>1489</v>
      </c>
      <c r="G280" s="414" t="s">
        <v>152</v>
      </c>
      <c r="H280" s="411" t="s">
        <v>153</v>
      </c>
      <c r="I280" s="415">
        <v>481</v>
      </c>
      <c r="J280" s="415">
        <v>0</v>
      </c>
      <c r="K280" s="415">
        <v>13</v>
      </c>
      <c r="L280" s="415">
        <f t="shared" si="719"/>
        <v>37</v>
      </c>
      <c r="M280" s="416">
        <v>45992</v>
      </c>
      <c r="N280" s="416">
        <v>45992</v>
      </c>
      <c r="O280" s="417"/>
      <c r="P280" s="417" t="s">
        <v>224</v>
      </c>
      <c r="Q280" s="417" t="s">
        <v>1490</v>
      </c>
      <c r="R280" s="521">
        <v>45956</v>
      </c>
      <c r="S280" s="417" t="s">
        <v>80</v>
      </c>
      <c r="T280" s="417" t="s">
        <v>80</v>
      </c>
      <c r="U280" s="417"/>
      <c r="V280" s="420" t="s">
        <v>1491</v>
      </c>
      <c r="W280" s="416" t="s">
        <v>454</v>
      </c>
      <c r="X280" s="421">
        <v>0.7812</v>
      </c>
      <c r="Y280" s="415">
        <f t="shared" si="712"/>
        <v>375.7572</v>
      </c>
      <c r="Z280" s="416"/>
      <c r="AA280" s="420">
        <v>481</v>
      </c>
      <c r="AB280" s="420">
        <f t="shared" si="622"/>
        <v>0</v>
      </c>
      <c r="AC280" s="417" t="s">
        <v>80</v>
      </c>
      <c r="AD280" s="417" t="s">
        <v>114</v>
      </c>
      <c r="AE280" s="416" t="s">
        <v>319</v>
      </c>
      <c r="AF280" s="416" t="s">
        <v>115</v>
      </c>
      <c r="AG280" s="422">
        <f t="shared" si="663"/>
        <v>481</v>
      </c>
      <c r="AH280" s="422"/>
      <c r="AI280" s="422">
        <f t="shared" si="664"/>
        <v>481</v>
      </c>
      <c r="AJ280" s="422"/>
      <c r="AK280" s="422"/>
      <c r="AL280" s="422">
        <f>I280</f>
        <v>481</v>
      </c>
      <c r="AM280" s="422"/>
      <c r="AN280" s="422"/>
      <c r="AO280" s="422">
        <f t="shared" si="699"/>
        <v>481</v>
      </c>
      <c r="AP280" s="422"/>
      <c r="AQ280" s="422"/>
      <c r="AR280" s="422"/>
      <c r="AS280" s="422"/>
      <c r="AT280" s="422"/>
      <c r="AU280" s="422">
        <f>I280/13</f>
        <v>37</v>
      </c>
      <c r="AV280" s="422"/>
      <c r="AW280" s="422"/>
      <c r="AX280" s="422"/>
      <c r="AY280" s="422"/>
      <c r="AZ280" s="422"/>
      <c r="BA280" s="422"/>
      <c r="BB280" s="422"/>
      <c r="BC280" s="422"/>
      <c r="BD280" s="422"/>
      <c r="BE280" s="422"/>
      <c r="BF280" s="422"/>
      <c r="BG280" s="422"/>
      <c r="BH280" s="422"/>
      <c r="BI280" s="422"/>
      <c r="BJ280" s="423">
        <f t="shared" ref="BJ280:BR280" si="742">$I280*BJ$2</f>
        <v>58.8723958333332</v>
      </c>
      <c r="BK280" s="423">
        <f t="shared" si="742"/>
        <v>58.8723958333332</v>
      </c>
      <c r="BL280" s="423">
        <f t="shared" si="742"/>
        <v>58.8723958333332</v>
      </c>
      <c r="BM280" s="423">
        <f t="shared" si="742"/>
        <v>58.8723958333332</v>
      </c>
      <c r="BN280" s="423">
        <f t="shared" si="742"/>
        <v>58.8723958333332</v>
      </c>
      <c r="BO280" s="423">
        <f t="shared" si="742"/>
        <v>58.8723958333332</v>
      </c>
      <c r="BP280" s="423">
        <f t="shared" si="742"/>
        <v>58.8723958333332</v>
      </c>
      <c r="BQ280" s="423">
        <f t="shared" si="742"/>
        <v>58.8723958333332</v>
      </c>
      <c r="BR280" s="423">
        <f t="shared" si="742"/>
        <v>10.0208333333333</v>
      </c>
      <c r="BT280" s="59">
        <f t="shared" ref="BT280:CB280" si="743">BT279-BJ280</f>
        <v>48382.1015625001</v>
      </c>
      <c r="BU280" s="59">
        <f t="shared" si="743"/>
        <v>48382.1015625001</v>
      </c>
      <c r="BV280" s="59">
        <f t="shared" si="743"/>
        <v>48382.1015625001</v>
      </c>
      <c r="BW280" s="59">
        <f t="shared" si="743"/>
        <v>48382.1015625001</v>
      </c>
      <c r="BX280" s="59">
        <f t="shared" si="743"/>
        <v>48382.1015625001</v>
      </c>
      <c r="BY280" s="59">
        <f t="shared" si="743"/>
        <v>48382.1015625001</v>
      </c>
      <c r="BZ280" s="59">
        <f t="shared" si="743"/>
        <v>48382.1015625001</v>
      </c>
      <c r="CA280" s="59">
        <f t="shared" si="743"/>
        <v>48382.1015625001</v>
      </c>
      <c r="CB280" s="59">
        <f t="shared" si="743"/>
        <v>8187.18750000002</v>
      </c>
    </row>
    <row r="281" s="371" customFormat="1" ht="27" hidden="1" customHeight="1" spans="1:80">
      <c r="A281" s="410">
        <v>45960</v>
      </c>
      <c r="B281" s="411" t="s">
        <v>1492</v>
      </c>
      <c r="C281" s="412" t="s">
        <v>117</v>
      </c>
      <c r="D281" s="413">
        <v>4500183696</v>
      </c>
      <c r="E281" s="533" t="s">
        <v>1493</v>
      </c>
      <c r="F281" s="413" t="s">
        <v>1494</v>
      </c>
      <c r="G281" s="414" t="s">
        <v>152</v>
      </c>
      <c r="H281" s="411" t="s">
        <v>153</v>
      </c>
      <c r="I281" s="415">
        <v>338</v>
      </c>
      <c r="J281" s="415">
        <v>0</v>
      </c>
      <c r="K281" s="415">
        <v>13</v>
      </c>
      <c r="L281" s="415">
        <f t="shared" si="719"/>
        <v>26</v>
      </c>
      <c r="M281" s="416">
        <v>45999</v>
      </c>
      <c r="N281" s="416">
        <v>45995</v>
      </c>
      <c r="O281" s="417"/>
      <c r="P281" s="417" t="s">
        <v>224</v>
      </c>
      <c r="Q281" s="417" t="s">
        <v>1495</v>
      </c>
      <c r="R281" s="521">
        <v>45967</v>
      </c>
      <c r="S281" s="417" t="s">
        <v>80</v>
      </c>
      <c r="T281" s="417" t="s">
        <v>80</v>
      </c>
      <c r="U281" s="417"/>
      <c r="V281" s="420" t="s">
        <v>1496</v>
      </c>
      <c r="W281" s="416" t="s">
        <v>752</v>
      </c>
      <c r="X281" s="421">
        <v>0.4687</v>
      </c>
      <c r="Y281" s="415">
        <f t="shared" si="712"/>
        <v>158.4206</v>
      </c>
      <c r="Z281" s="416"/>
      <c r="AA281" s="420">
        <v>338</v>
      </c>
      <c r="AB281" s="420">
        <f t="shared" si="622"/>
        <v>0</v>
      </c>
      <c r="AC281" s="417" t="s">
        <v>80</v>
      </c>
      <c r="AD281" s="417" t="s">
        <v>114</v>
      </c>
      <c r="AE281" s="416" t="s">
        <v>152</v>
      </c>
      <c r="AF281" s="416" t="s">
        <v>115</v>
      </c>
      <c r="AG281" s="422">
        <f t="shared" si="663"/>
        <v>338</v>
      </c>
      <c r="AH281" s="422"/>
      <c r="AI281" s="422">
        <f t="shared" si="664"/>
        <v>338</v>
      </c>
      <c r="AJ281" s="422"/>
      <c r="AK281" s="422">
        <f t="shared" ref="AK281:AK285" si="744">I281</f>
        <v>338</v>
      </c>
      <c r="AL281" s="422"/>
      <c r="AM281" s="422"/>
      <c r="AN281" s="422"/>
      <c r="AO281" s="422">
        <f t="shared" si="699"/>
        <v>338</v>
      </c>
      <c r="AP281" s="422"/>
      <c r="AQ281" s="422"/>
      <c r="AR281" s="422"/>
      <c r="AS281" s="422"/>
      <c r="AT281" s="422">
        <f t="shared" ref="AT281:AT285" si="745">I281/13</f>
        <v>26</v>
      </c>
      <c r="AU281" s="422"/>
      <c r="AV281" s="422"/>
      <c r="AW281" s="422"/>
      <c r="AX281" s="422"/>
      <c r="AY281" s="422"/>
      <c r="AZ281" s="422"/>
      <c r="BA281" s="422"/>
      <c r="BB281" s="422"/>
      <c r="BC281" s="422"/>
      <c r="BD281" s="422"/>
      <c r="BE281" s="422"/>
      <c r="BF281" s="422"/>
      <c r="BG281" s="422"/>
      <c r="BH281" s="422"/>
      <c r="BI281" s="422"/>
      <c r="BJ281" s="423">
        <f t="shared" ref="BJ281:BR281" si="746">$I281*BJ$2</f>
        <v>41.3697916666666</v>
      </c>
      <c r="BK281" s="423">
        <f t="shared" si="746"/>
        <v>41.3697916666666</v>
      </c>
      <c r="BL281" s="423">
        <f t="shared" si="746"/>
        <v>41.3697916666666</v>
      </c>
      <c r="BM281" s="423">
        <f t="shared" si="746"/>
        <v>41.3697916666666</v>
      </c>
      <c r="BN281" s="423">
        <f t="shared" si="746"/>
        <v>41.3697916666666</v>
      </c>
      <c r="BO281" s="423">
        <f t="shared" si="746"/>
        <v>41.3697916666666</v>
      </c>
      <c r="BP281" s="423">
        <f t="shared" si="746"/>
        <v>41.3697916666666</v>
      </c>
      <c r="BQ281" s="423">
        <f t="shared" si="746"/>
        <v>41.3697916666666</v>
      </c>
      <c r="BR281" s="423">
        <f t="shared" si="746"/>
        <v>7.04166666666666</v>
      </c>
      <c r="BT281" s="59">
        <f t="shared" ref="BT281:CB281" si="747">BT280-BJ281</f>
        <v>48340.7317708334</v>
      </c>
      <c r="BU281" s="59">
        <f t="shared" si="747"/>
        <v>48340.7317708334</v>
      </c>
      <c r="BV281" s="59">
        <f t="shared" si="747"/>
        <v>48340.7317708334</v>
      </c>
      <c r="BW281" s="59">
        <f t="shared" si="747"/>
        <v>48340.7317708334</v>
      </c>
      <c r="BX281" s="59">
        <f t="shared" si="747"/>
        <v>48340.7317708334</v>
      </c>
      <c r="BY281" s="59">
        <f t="shared" si="747"/>
        <v>48340.7317708334</v>
      </c>
      <c r="BZ281" s="59">
        <f t="shared" si="747"/>
        <v>48340.7317708334</v>
      </c>
      <c r="CA281" s="59">
        <f t="shared" si="747"/>
        <v>48340.7317708334</v>
      </c>
      <c r="CB281" s="59">
        <f t="shared" si="747"/>
        <v>8180.14583333335</v>
      </c>
    </row>
    <row r="282" s="371" customFormat="1" ht="27" hidden="1" customHeight="1" spans="1:80">
      <c r="A282" s="410">
        <v>45960</v>
      </c>
      <c r="B282" s="411" t="s">
        <v>1492</v>
      </c>
      <c r="C282" s="412" t="s">
        <v>117</v>
      </c>
      <c r="D282" s="413">
        <v>4500183696</v>
      </c>
      <c r="E282" s="533" t="s">
        <v>1497</v>
      </c>
      <c r="F282" s="413" t="s">
        <v>1498</v>
      </c>
      <c r="G282" s="414" t="s">
        <v>152</v>
      </c>
      <c r="H282" s="411" t="s">
        <v>153</v>
      </c>
      <c r="I282" s="415">
        <v>468</v>
      </c>
      <c r="J282" s="415">
        <v>0</v>
      </c>
      <c r="K282" s="415">
        <v>13</v>
      </c>
      <c r="L282" s="415">
        <f t="shared" si="719"/>
        <v>36</v>
      </c>
      <c r="M282" s="416">
        <v>45999</v>
      </c>
      <c r="N282" s="416">
        <v>45995</v>
      </c>
      <c r="O282" s="417"/>
      <c r="P282" s="417" t="s">
        <v>224</v>
      </c>
      <c r="Q282" s="417"/>
      <c r="R282" s="521">
        <v>45967</v>
      </c>
      <c r="S282" s="417" t="s">
        <v>191</v>
      </c>
      <c r="T282" s="417" t="s">
        <v>1499</v>
      </c>
      <c r="U282" s="417"/>
      <c r="V282" s="420" t="s">
        <v>1496</v>
      </c>
      <c r="W282" s="416" t="s">
        <v>752</v>
      </c>
      <c r="X282" s="421">
        <v>0.4687</v>
      </c>
      <c r="Y282" s="415">
        <f t="shared" si="712"/>
        <v>219.3516</v>
      </c>
      <c r="Z282" s="416"/>
      <c r="AA282" s="420">
        <v>468</v>
      </c>
      <c r="AB282" s="420">
        <f t="shared" si="622"/>
        <v>0</v>
      </c>
      <c r="AC282" s="417" t="s">
        <v>113</v>
      </c>
      <c r="AD282" s="417" t="s">
        <v>114</v>
      </c>
      <c r="AE282" s="416" t="s">
        <v>152</v>
      </c>
      <c r="AF282" s="416" t="s">
        <v>115</v>
      </c>
      <c r="AG282" s="422">
        <f t="shared" si="663"/>
        <v>468</v>
      </c>
      <c r="AH282" s="422"/>
      <c r="AI282" s="422">
        <f t="shared" si="664"/>
        <v>468</v>
      </c>
      <c r="AJ282" s="422"/>
      <c r="AK282" s="422">
        <f t="shared" si="744"/>
        <v>468</v>
      </c>
      <c r="AL282" s="422"/>
      <c r="AM282" s="422"/>
      <c r="AN282" s="422"/>
      <c r="AO282" s="422">
        <f t="shared" si="699"/>
        <v>468</v>
      </c>
      <c r="AP282" s="422"/>
      <c r="AQ282" s="422"/>
      <c r="AR282" s="422"/>
      <c r="AS282" s="422"/>
      <c r="AT282" s="422">
        <f t="shared" si="745"/>
        <v>36</v>
      </c>
      <c r="AU282" s="422"/>
      <c r="AV282" s="422"/>
      <c r="AW282" s="422"/>
      <c r="AX282" s="422"/>
      <c r="AY282" s="422"/>
      <c r="AZ282" s="422"/>
      <c r="BA282" s="422"/>
      <c r="BB282" s="422"/>
      <c r="BC282" s="422"/>
      <c r="BD282" s="422"/>
      <c r="BE282" s="422"/>
      <c r="BF282" s="422"/>
      <c r="BG282" s="422"/>
      <c r="BH282" s="422"/>
      <c r="BI282" s="422"/>
      <c r="BJ282" s="423">
        <f t="shared" ref="BJ282:BR282" si="748">$I282*BJ$2</f>
        <v>57.2812499999998</v>
      </c>
      <c r="BK282" s="423">
        <f t="shared" si="748"/>
        <v>57.2812499999998</v>
      </c>
      <c r="BL282" s="423">
        <f t="shared" si="748"/>
        <v>57.2812499999998</v>
      </c>
      <c r="BM282" s="423">
        <f t="shared" si="748"/>
        <v>57.2812499999998</v>
      </c>
      <c r="BN282" s="423">
        <f t="shared" si="748"/>
        <v>57.2812499999998</v>
      </c>
      <c r="BO282" s="423">
        <f t="shared" si="748"/>
        <v>57.2812499999998</v>
      </c>
      <c r="BP282" s="423">
        <f t="shared" si="748"/>
        <v>57.2812499999998</v>
      </c>
      <c r="BQ282" s="423">
        <f t="shared" si="748"/>
        <v>57.2812499999998</v>
      </c>
      <c r="BR282" s="423">
        <f t="shared" si="748"/>
        <v>9.74999999999998</v>
      </c>
      <c r="BT282" s="59">
        <f t="shared" ref="BT282:CB282" si="749">BT281-BJ282</f>
        <v>48283.4505208334</v>
      </c>
      <c r="BU282" s="59">
        <f t="shared" si="749"/>
        <v>48283.4505208334</v>
      </c>
      <c r="BV282" s="59">
        <f t="shared" si="749"/>
        <v>48283.4505208334</v>
      </c>
      <c r="BW282" s="59">
        <f t="shared" si="749"/>
        <v>48283.4505208334</v>
      </c>
      <c r="BX282" s="59">
        <f t="shared" si="749"/>
        <v>48283.4505208334</v>
      </c>
      <c r="BY282" s="59">
        <f t="shared" si="749"/>
        <v>48283.4505208334</v>
      </c>
      <c r="BZ282" s="59">
        <f t="shared" si="749"/>
        <v>48283.4505208334</v>
      </c>
      <c r="CA282" s="59">
        <f t="shared" si="749"/>
        <v>48283.4505208334</v>
      </c>
      <c r="CB282" s="59">
        <f t="shared" si="749"/>
        <v>8170.39583333335</v>
      </c>
    </row>
    <row r="283" s="371" customFormat="1" ht="27" hidden="1" customHeight="1" spans="1:80">
      <c r="A283" s="410">
        <v>45960</v>
      </c>
      <c r="B283" s="411" t="s">
        <v>1492</v>
      </c>
      <c r="C283" s="412" t="s">
        <v>117</v>
      </c>
      <c r="D283" s="413">
        <v>4500183696</v>
      </c>
      <c r="E283" s="533" t="s">
        <v>1500</v>
      </c>
      <c r="F283" s="413" t="s">
        <v>1501</v>
      </c>
      <c r="G283" s="414" t="s">
        <v>152</v>
      </c>
      <c r="H283" s="411" t="s">
        <v>153</v>
      </c>
      <c r="I283" s="415">
        <v>403</v>
      </c>
      <c r="J283" s="415">
        <v>0</v>
      </c>
      <c r="K283" s="415">
        <v>13</v>
      </c>
      <c r="L283" s="415">
        <f t="shared" si="719"/>
        <v>31</v>
      </c>
      <c r="M283" s="416">
        <v>45999</v>
      </c>
      <c r="N283" s="416">
        <v>45995</v>
      </c>
      <c r="O283" s="417"/>
      <c r="P283" s="417" t="s">
        <v>224</v>
      </c>
      <c r="Q283" s="417"/>
      <c r="R283" s="521">
        <v>45967</v>
      </c>
      <c r="S283" s="417" t="s">
        <v>191</v>
      </c>
      <c r="T283" s="417" t="s">
        <v>1499</v>
      </c>
      <c r="U283" s="417"/>
      <c r="V283" s="420" t="s">
        <v>1496</v>
      </c>
      <c r="W283" s="416" t="s">
        <v>752</v>
      </c>
      <c r="X283" s="421">
        <v>0.4687</v>
      </c>
      <c r="Y283" s="415">
        <f t="shared" si="712"/>
        <v>188.8861</v>
      </c>
      <c r="Z283" s="416"/>
      <c r="AA283" s="420">
        <v>403</v>
      </c>
      <c r="AB283" s="420">
        <f t="shared" si="622"/>
        <v>0</v>
      </c>
      <c r="AC283" s="417" t="s">
        <v>113</v>
      </c>
      <c r="AD283" s="417" t="s">
        <v>114</v>
      </c>
      <c r="AE283" s="416" t="s">
        <v>152</v>
      </c>
      <c r="AF283" s="416" t="s">
        <v>115</v>
      </c>
      <c r="AG283" s="422">
        <f t="shared" si="663"/>
        <v>403</v>
      </c>
      <c r="AH283" s="422"/>
      <c r="AI283" s="422">
        <f t="shared" si="664"/>
        <v>403</v>
      </c>
      <c r="AJ283" s="422"/>
      <c r="AK283" s="422">
        <f t="shared" si="744"/>
        <v>403</v>
      </c>
      <c r="AL283" s="422"/>
      <c r="AM283" s="422"/>
      <c r="AN283" s="422"/>
      <c r="AO283" s="422">
        <f t="shared" si="699"/>
        <v>403</v>
      </c>
      <c r="AP283" s="422"/>
      <c r="AQ283" s="422"/>
      <c r="AR283" s="422"/>
      <c r="AS283" s="422"/>
      <c r="AT283" s="422">
        <f t="shared" si="745"/>
        <v>31</v>
      </c>
      <c r="AU283" s="422"/>
      <c r="AV283" s="422"/>
      <c r="AW283" s="422"/>
      <c r="AX283" s="422"/>
      <c r="AY283" s="422"/>
      <c r="AZ283" s="422"/>
      <c r="BA283" s="422"/>
      <c r="BB283" s="422"/>
      <c r="BC283" s="422"/>
      <c r="BD283" s="422"/>
      <c r="BE283" s="422"/>
      <c r="BF283" s="422"/>
      <c r="BG283" s="422"/>
      <c r="BH283" s="422"/>
      <c r="BI283" s="422"/>
      <c r="BJ283" s="423">
        <f t="shared" ref="BJ283:BR283" si="750">$I283*BJ$2</f>
        <v>49.3255208333332</v>
      </c>
      <c r="BK283" s="423">
        <f t="shared" si="750"/>
        <v>49.3255208333332</v>
      </c>
      <c r="BL283" s="423">
        <f t="shared" si="750"/>
        <v>49.3255208333332</v>
      </c>
      <c r="BM283" s="423">
        <f t="shared" si="750"/>
        <v>49.3255208333332</v>
      </c>
      <c r="BN283" s="423">
        <f t="shared" si="750"/>
        <v>49.3255208333332</v>
      </c>
      <c r="BO283" s="423">
        <f t="shared" si="750"/>
        <v>49.3255208333332</v>
      </c>
      <c r="BP283" s="423">
        <f t="shared" si="750"/>
        <v>49.3255208333332</v>
      </c>
      <c r="BQ283" s="423">
        <f t="shared" si="750"/>
        <v>49.3255208333332</v>
      </c>
      <c r="BR283" s="423">
        <f t="shared" si="750"/>
        <v>8.39583333333332</v>
      </c>
      <c r="BT283" s="59">
        <f t="shared" ref="BT283:CB283" si="751">BT282-BJ283</f>
        <v>48234.1250000001</v>
      </c>
      <c r="BU283" s="59">
        <f t="shared" si="751"/>
        <v>48234.1250000001</v>
      </c>
      <c r="BV283" s="59">
        <f t="shared" si="751"/>
        <v>48234.1250000001</v>
      </c>
      <c r="BW283" s="59">
        <f t="shared" si="751"/>
        <v>48234.1250000001</v>
      </c>
      <c r="BX283" s="59">
        <f t="shared" si="751"/>
        <v>48234.1250000001</v>
      </c>
      <c r="BY283" s="59">
        <f t="shared" si="751"/>
        <v>48234.1250000001</v>
      </c>
      <c r="BZ283" s="59">
        <f t="shared" si="751"/>
        <v>48234.1250000001</v>
      </c>
      <c r="CA283" s="59">
        <f t="shared" si="751"/>
        <v>48234.1250000001</v>
      </c>
      <c r="CB283" s="59">
        <f t="shared" si="751"/>
        <v>8162.00000000002</v>
      </c>
    </row>
    <row r="284" s="371" customFormat="1" ht="27" hidden="1" customHeight="1" spans="1:80">
      <c r="A284" s="410">
        <v>45960</v>
      </c>
      <c r="B284" s="411" t="s">
        <v>1492</v>
      </c>
      <c r="C284" s="412" t="s">
        <v>117</v>
      </c>
      <c r="D284" s="413">
        <v>4500183696</v>
      </c>
      <c r="E284" s="533" t="s">
        <v>1502</v>
      </c>
      <c r="F284" s="413" t="s">
        <v>1503</v>
      </c>
      <c r="G284" s="414" t="s">
        <v>152</v>
      </c>
      <c r="H284" s="411" t="s">
        <v>153</v>
      </c>
      <c r="I284" s="415">
        <v>286</v>
      </c>
      <c r="J284" s="415">
        <v>0</v>
      </c>
      <c r="K284" s="415">
        <v>13</v>
      </c>
      <c r="L284" s="415">
        <f t="shared" si="719"/>
        <v>22</v>
      </c>
      <c r="M284" s="416">
        <v>45999</v>
      </c>
      <c r="N284" s="416">
        <v>45995</v>
      </c>
      <c r="O284" s="417"/>
      <c r="P284" s="417" t="s">
        <v>224</v>
      </c>
      <c r="Q284" s="417" t="s">
        <v>1495</v>
      </c>
      <c r="R284" s="521">
        <v>45967</v>
      </c>
      <c r="S284" s="417" t="s">
        <v>191</v>
      </c>
      <c r="T284" s="417" t="s">
        <v>1499</v>
      </c>
      <c r="U284" s="417"/>
      <c r="V284" s="420" t="s">
        <v>1496</v>
      </c>
      <c r="W284" s="416" t="s">
        <v>752</v>
      </c>
      <c r="X284" s="421">
        <v>0.4687</v>
      </c>
      <c r="Y284" s="415">
        <f t="shared" si="712"/>
        <v>134.0482</v>
      </c>
      <c r="Z284" s="416"/>
      <c r="AA284" s="420">
        <v>286</v>
      </c>
      <c r="AB284" s="420">
        <f t="shared" si="622"/>
        <v>0</v>
      </c>
      <c r="AC284" s="417" t="s">
        <v>113</v>
      </c>
      <c r="AD284" s="417" t="s">
        <v>114</v>
      </c>
      <c r="AE284" s="416" t="s">
        <v>152</v>
      </c>
      <c r="AF284" s="416" t="s">
        <v>115</v>
      </c>
      <c r="AG284" s="422">
        <f t="shared" si="663"/>
        <v>286</v>
      </c>
      <c r="AH284" s="422"/>
      <c r="AI284" s="422">
        <f t="shared" si="664"/>
        <v>286</v>
      </c>
      <c r="AJ284" s="422"/>
      <c r="AK284" s="422">
        <f t="shared" si="744"/>
        <v>286</v>
      </c>
      <c r="AL284" s="422"/>
      <c r="AM284" s="422"/>
      <c r="AN284" s="422"/>
      <c r="AO284" s="422">
        <f t="shared" si="699"/>
        <v>286</v>
      </c>
      <c r="AP284" s="422"/>
      <c r="AQ284" s="422"/>
      <c r="AR284" s="422"/>
      <c r="AS284" s="422"/>
      <c r="AT284" s="422">
        <f t="shared" si="745"/>
        <v>22</v>
      </c>
      <c r="AU284" s="422"/>
      <c r="AV284" s="422"/>
      <c r="AW284" s="422"/>
      <c r="AX284" s="422"/>
      <c r="AY284" s="422"/>
      <c r="AZ284" s="422"/>
      <c r="BA284" s="422"/>
      <c r="BB284" s="422"/>
      <c r="BC284" s="422"/>
      <c r="BD284" s="422"/>
      <c r="BE284" s="422"/>
      <c r="BF284" s="422"/>
      <c r="BG284" s="422"/>
      <c r="BH284" s="422"/>
      <c r="BI284" s="422"/>
      <c r="BJ284" s="423">
        <f t="shared" ref="BJ284:BR284" si="752">$I284*BJ$2</f>
        <v>35.0052083333332</v>
      </c>
      <c r="BK284" s="423">
        <f t="shared" si="752"/>
        <v>35.0052083333332</v>
      </c>
      <c r="BL284" s="423">
        <f t="shared" si="752"/>
        <v>35.0052083333332</v>
      </c>
      <c r="BM284" s="423">
        <f t="shared" si="752"/>
        <v>35.0052083333332</v>
      </c>
      <c r="BN284" s="423">
        <f t="shared" si="752"/>
        <v>35.0052083333332</v>
      </c>
      <c r="BO284" s="423">
        <f t="shared" si="752"/>
        <v>35.0052083333332</v>
      </c>
      <c r="BP284" s="423">
        <f t="shared" si="752"/>
        <v>35.0052083333332</v>
      </c>
      <c r="BQ284" s="423">
        <f t="shared" si="752"/>
        <v>35.0052083333332</v>
      </c>
      <c r="BR284" s="423">
        <f t="shared" si="752"/>
        <v>5.95833333333332</v>
      </c>
      <c r="BT284" s="59">
        <f t="shared" ref="BT284:CB284" si="753">BT283-BJ284</f>
        <v>48199.1197916667</v>
      </c>
      <c r="BU284" s="59">
        <f t="shared" si="753"/>
        <v>48199.1197916667</v>
      </c>
      <c r="BV284" s="59">
        <f t="shared" si="753"/>
        <v>48199.1197916667</v>
      </c>
      <c r="BW284" s="59">
        <f t="shared" si="753"/>
        <v>48199.1197916667</v>
      </c>
      <c r="BX284" s="59">
        <f t="shared" si="753"/>
        <v>48199.1197916667</v>
      </c>
      <c r="BY284" s="59">
        <f t="shared" si="753"/>
        <v>48199.1197916667</v>
      </c>
      <c r="BZ284" s="59">
        <f t="shared" si="753"/>
        <v>48199.1197916667</v>
      </c>
      <c r="CA284" s="59">
        <f t="shared" si="753"/>
        <v>48199.1197916667</v>
      </c>
      <c r="CB284" s="59">
        <f t="shared" si="753"/>
        <v>8156.04166666669</v>
      </c>
    </row>
    <row r="285" s="371" customFormat="1" ht="27" hidden="1" customHeight="1" spans="1:80">
      <c r="A285" s="410">
        <v>45960</v>
      </c>
      <c r="B285" s="411" t="s">
        <v>1492</v>
      </c>
      <c r="C285" s="412" t="s">
        <v>117</v>
      </c>
      <c r="D285" s="413">
        <v>4500183696</v>
      </c>
      <c r="E285" s="533" t="s">
        <v>1504</v>
      </c>
      <c r="F285" s="413" t="s">
        <v>1505</v>
      </c>
      <c r="G285" s="414" t="s">
        <v>152</v>
      </c>
      <c r="H285" s="411" t="s">
        <v>153</v>
      </c>
      <c r="I285" s="415">
        <v>351</v>
      </c>
      <c r="J285" s="415">
        <v>0</v>
      </c>
      <c r="K285" s="415">
        <v>13</v>
      </c>
      <c r="L285" s="415">
        <f t="shared" si="719"/>
        <v>27</v>
      </c>
      <c r="M285" s="416">
        <v>45999</v>
      </c>
      <c r="N285" s="416">
        <v>45995</v>
      </c>
      <c r="O285" s="417"/>
      <c r="P285" s="417" t="s">
        <v>224</v>
      </c>
      <c r="Q285" s="417" t="s">
        <v>1495</v>
      </c>
      <c r="R285" s="521">
        <v>45967</v>
      </c>
      <c r="S285" s="417" t="s">
        <v>80</v>
      </c>
      <c r="T285" s="417" t="s">
        <v>80</v>
      </c>
      <c r="U285" s="417"/>
      <c r="V285" s="420" t="s">
        <v>1496</v>
      </c>
      <c r="W285" s="416" t="s">
        <v>752</v>
      </c>
      <c r="X285" s="421">
        <v>0.4687</v>
      </c>
      <c r="Y285" s="415">
        <f t="shared" si="712"/>
        <v>164.5137</v>
      </c>
      <c r="Z285" s="416"/>
      <c r="AA285" s="420">
        <v>351</v>
      </c>
      <c r="AB285" s="420">
        <f t="shared" si="622"/>
        <v>0</v>
      </c>
      <c r="AC285" s="417" t="s">
        <v>80</v>
      </c>
      <c r="AD285" s="417" t="s">
        <v>114</v>
      </c>
      <c r="AE285" s="416" t="s">
        <v>152</v>
      </c>
      <c r="AF285" s="416" t="s">
        <v>115</v>
      </c>
      <c r="AG285" s="422">
        <f t="shared" si="663"/>
        <v>351</v>
      </c>
      <c r="AH285" s="422"/>
      <c r="AI285" s="422">
        <f t="shared" si="664"/>
        <v>351</v>
      </c>
      <c r="AJ285" s="422"/>
      <c r="AK285" s="422">
        <f t="shared" si="744"/>
        <v>351</v>
      </c>
      <c r="AL285" s="422"/>
      <c r="AM285" s="422"/>
      <c r="AN285" s="422"/>
      <c r="AO285" s="422">
        <f t="shared" si="699"/>
        <v>351</v>
      </c>
      <c r="AP285" s="422"/>
      <c r="AQ285" s="422"/>
      <c r="AR285" s="422"/>
      <c r="AS285" s="422"/>
      <c r="AT285" s="422">
        <f t="shared" si="745"/>
        <v>27</v>
      </c>
      <c r="AU285" s="422"/>
      <c r="AV285" s="422"/>
      <c r="AW285" s="422"/>
      <c r="AX285" s="422"/>
      <c r="AY285" s="422"/>
      <c r="AZ285" s="422"/>
      <c r="BA285" s="422"/>
      <c r="BB285" s="422"/>
      <c r="BC285" s="422"/>
      <c r="BD285" s="422"/>
      <c r="BE285" s="422"/>
      <c r="BF285" s="422"/>
      <c r="BG285" s="422"/>
      <c r="BH285" s="422"/>
      <c r="BI285" s="422"/>
      <c r="BJ285" s="423">
        <f t="shared" ref="BJ285:BR285" si="754">$I285*BJ$2</f>
        <v>42.9609374999999</v>
      </c>
      <c r="BK285" s="423">
        <f t="shared" si="754"/>
        <v>42.9609374999999</v>
      </c>
      <c r="BL285" s="423">
        <f t="shared" si="754"/>
        <v>42.9609374999999</v>
      </c>
      <c r="BM285" s="423">
        <f t="shared" si="754"/>
        <v>42.9609374999999</v>
      </c>
      <c r="BN285" s="423">
        <f t="shared" si="754"/>
        <v>42.9609374999999</v>
      </c>
      <c r="BO285" s="423">
        <f t="shared" si="754"/>
        <v>42.9609374999999</v>
      </c>
      <c r="BP285" s="423">
        <f t="shared" si="754"/>
        <v>42.9609374999999</v>
      </c>
      <c r="BQ285" s="423">
        <f t="shared" si="754"/>
        <v>42.9609374999999</v>
      </c>
      <c r="BR285" s="423">
        <f t="shared" si="754"/>
        <v>7.31249999999999</v>
      </c>
      <c r="BT285" s="59">
        <f t="shared" ref="BT285:CB285" si="755">BT284-BJ285</f>
        <v>48156.1588541667</v>
      </c>
      <c r="BU285" s="59">
        <f t="shared" si="755"/>
        <v>48156.1588541667</v>
      </c>
      <c r="BV285" s="59">
        <f t="shared" si="755"/>
        <v>48156.1588541667</v>
      </c>
      <c r="BW285" s="59">
        <f t="shared" si="755"/>
        <v>48156.1588541667</v>
      </c>
      <c r="BX285" s="59">
        <f t="shared" si="755"/>
        <v>48156.1588541667</v>
      </c>
      <c r="BY285" s="59">
        <f t="shared" si="755"/>
        <v>48156.1588541667</v>
      </c>
      <c r="BZ285" s="59">
        <f t="shared" si="755"/>
        <v>48156.1588541667</v>
      </c>
      <c r="CA285" s="59">
        <f t="shared" si="755"/>
        <v>48156.1588541667</v>
      </c>
      <c r="CB285" s="59">
        <f t="shared" si="755"/>
        <v>8148.72916666669</v>
      </c>
    </row>
    <row r="286" s="370" customFormat="1" ht="27" hidden="1" customHeight="1" spans="1:80">
      <c r="A286" s="389">
        <v>45959</v>
      </c>
      <c r="B286" s="390" t="s">
        <v>1448</v>
      </c>
      <c r="C286" s="391" t="s">
        <v>311</v>
      </c>
      <c r="D286" s="392">
        <v>4500183424</v>
      </c>
      <c r="E286" s="391">
        <v>5200008014</v>
      </c>
      <c r="F286" s="392" t="s">
        <v>1506</v>
      </c>
      <c r="G286" s="393" t="s">
        <v>313</v>
      </c>
      <c r="H286" s="390" t="s">
        <v>153</v>
      </c>
      <c r="I286" s="394">
        <v>312</v>
      </c>
      <c r="J286" s="394">
        <v>0</v>
      </c>
      <c r="K286" s="394">
        <v>13</v>
      </c>
      <c r="L286" s="394">
        <f t="shared" si="719"/>
        <v>24</v>
      </c>
      <c r="M286" s="395">
        <v>46000</v>
      </c>
      <c r="N286" s="395">
        <v>45996</v>
      </c>
      <c r="O286" s="396"/>
      <c r="P286" s="417" t="s">
        <v>224</v>
      </c>
      <c r="Q286" s="396" t="s">
        <v>1507</v>
      </c>
      <c r="R286" s="397">
        <v>45966</v>
      </c>
      <c r="S286" s="396" t="s">
        <v>80</v>
      </c>
      <c r="T286" s="396" t="s">
        <v>1508</v>
      </c>
      <c r="U286" s="396"/>
      <c r="V286" s="358" t="s">
        <v>1509</v>
      </c>
      <c r="W286" s="395" t="s">
        <v>1452</v>
      </c>
      <c r="X286" s="399">
        <v>0.7758</v>
      </c>
      <c r="Y286" s="394">
        <f t="shared" si="712"/>
        <v>242.0496</v>
      </c>
      <c r="Z286" s="395"/>
      <c r="AA286" s="358">
        <v>312</v>
      </c>
      <c r="AB286" s="358">
        <f t="shared" si="622"/>
        <v>0</v>
      </c>
      <c r="AC286" s="396" t="s">
        <v>113</v>
      </c>
      <c r="AD286" s="396" t="s">
        <v>114</v>
      </c>
      <c r="AE286" s="395" t="s">
        <v>319</v>
      </c>
      <c r="AF286" s="395" t="s">
        <v>115</v>
      </c>
      <c r="AG286" s="401">
        <f t="shared" si="663"/>
        <v>312</v>
      </c>
      <c r="AH286" s="401"/>
      <c r="AI286" s="401">
        <f t="shared" si="664"/>
        <v>312</v>
      </c>
      <c r="AJ286" s="401"/>
      <c r="AK286" s="401"/>
      <c r="AL286" s="401">
        <f t="shared" ref="AL286:AL289" si="756">I286</f>
        <v>312</v>
      </c>
      <c r="AM286" s="401"/>
      <c r="AN286" s="401"/>
      <c r="AO286" s="401">
        <f t="shared" si="699"/>
        <v>312</v>
      </c>
      <c r="AP286" s="401"/>
      <c r="AQ286" s="401"/>
      <c r="AR286" s="401"/>
      <c r="AS286" s="401"/>
      <c r="AT286" s="401"/>
      <c r="AU286" s="401">
        <f>I286/13</f>
        <v>24</v>
      </c>
      <c r="AV286" s="401"/>
      <c r="AW286" s="401"/>
      <c r="AX286" s="401"/>
      <c r="AY286" s="401"/>
      <c r="AZ286" s="401"/>
      <c r="BA286" s="401"/>
      <c r="BB286" s="401"/>
      <c r="BC286" s="401"/>
      <c r="BD286" s="401"/>
      <c r="BE286" s="401"/>
      <c r="BF286" s="401"/>
      <c r="BG286" s="401"/>
      <c r="BH286" s="401"/>
      <c r="BI286" s="401"/>
      <c r="BJ286" s="82">
        <f t="shared" ref="BJ286:BR286" si="757">$I286*BJ$2</f>
        <v>38.1874999999999</v>
      </c>
      <c r="BK286" s="82">
        <f t="shared" si="757"/>
        <v>38.1874999999999</v>
      </c>
      <c r="BL286" s="82">
        <f t="shared" si="757"/>
        <v>38.1874999999999</v>
      </c>
      <c r="BM286" s="82">
        <f t="shared" si="757"/>
        <v>38.1874999999999</v>
      </c>
      <c r="BN286" s="82">
        <f t="shared" si="757"/>
        <v>38.1874999999999</v>
      </c>
      <c r="BO286" s="82">
        <f t="shared" si="757"/>
        <v>38.1874999999999</v>
      </c>
      <c r="BP286" s="82">
        <f t="shared" si="757"/>
        <v>38.1874999999999</v>
      </c>
      <c r="BQ286" s="82">
        <f t="shared" si="757"/>
        <v>38.1874999999999</v>
      </c>
      <c r="BR286" s="82">
        <f t="shared" si="757"/>
        <v>6.49999999999999</v>
      </c>
      <c r="BT286" s="59">
        <f t="shared" ref="BT286:CB286" si="758">BT285-BJ286</f>
        <v>48117.9713541667</v>
      </c>
      <c r="BU286" s="59">
        <f t="shared" si="758"/>
        <v>48117.9713541667</v>
      </c>
      <c r="BV286" s="59">
        <f t="shared" si="758"/>
        <v>48117.9713541667</v>
      </c>
      <c r="BW286" s="59">
        <f t="shared" si="758"/>
        <v>48117.9713541667</v>
      </c>
      <c r="BX286" s="59">
        <f t="shared" si="758"/>
        <v>48117.9713541667</v>
      </c>
      <c r="BY286" s="59">
        <f t="shared" si="758"/>
        <v>48117.9713541667</v>
      </c>
      <c r="BZ286" s="59">
        <f t="shared" si="758"/>
        <v>48117.9713541667</v>
      </c>
      <c r="CA286" s="59">
        <f t="shared" si="758"/>
        <v>48117.9713541667</v>
      </c>
      <c r="CB286" s="59">
        <f t="shared" si="758"/>
        <v>8142.22916666669</v>
      </c>
    </row>
    <row r="287" s="371" customFormat="1" ht="27" hidden="1" customHeight="1" spans="1:80">
      <c r="A287" s="410">
        <v>45959</v>
      </c>
      <c r="B287" s="411" t="s">
        <v>1448</v>
      </c>
      <c r="C287" s="412" t="s">
        <v>311</v>
      </c>
      <c r="D287" s="413">
        <v>4500183424</v>
      </c>
      <c r="E287" s="412">
        <v>5200008014</v>
      </c>
      <c r="F287" s="413" t="s">
        <v>1510</v>
      </c>
      <c r="G287" s="414" t="s">
        <v>1511</v>
      </c>
      <c r="H287" s="411" t="s">
        <v>174</v>
      </c>
      <c r="I287" s="415">
        <v>594</v>
      </c>
      <c r="J287" s="415">
        <v>0</v>
      </c>
      <c r="K287" s="415">
        <v>33</v>
      </c>
      <c r="L287" s="415">
        <f t="shared" si="719"/>
        <v>18</v>
      </c>
      <c r="M287" s="416">
        <v>46000</v>
      </c>
      <c r="N287" s="416">
        <v>45996</v>
      </c>
      <c r="O287" s="417"/>
      <c r="P287" s="417" t="s">
        <v>224</v>
      </c>
      <c r="Q287" s="396" t="s">
        <v>1512</v>
      </c>
      <c r="R287" s="521">
        <v>45966</v>
      </c>
      <c r="S287" s="417" t="s">
        <v>80</v>
      </c>
      <c r="T287" s="417" t="s">
        <v>1508</v>
      </c>
      <c r="U287" s="417"/>
      <c r="V287" s="420" t="s">
        <v>1513</v>
      </c>
      <c r="W287" s="416" t="s">
        <v>1452</v>
      </c>
      <c r="X287" s="421">
        <v>38.3485</v>
      </c>
      <c r="Y287" s="415">
        <f>X287*L287</f>
        <v>690.273</v>
      </c>
      <c r="Z287" s="416"/>
      <c r="AA287" s="420">
        <v>594</v>
      </c>
      <c r="AB287" s="420">
        <f t="shared" si="622"/>
        <v>0</v>
      </c>
      <c r="AC287" s="417" t="s">
        <v>113</v>
      </c>
      <c r="AD287" s="417" t="s">
        <v>114</v>
      </c>
      <c r="AE287" s="416" t="s">
        <v>484</v>
      </c>
      <c r="AF287" s="416" t="s">
        <v>115</v>
      </c>
      <c r="AG287" s="401">
        <f t="shared" si="663"/>
        <v>594</v>
      </c>
      <c r="AH287" s="401"/>
      <c r="AI287" s="401">
        <f t="shared" si="664"/>
        <v>594</v>
      </c>
      <c r="AJ287" s="422"/>
      <c r="AK287" s="422"/>
      <c r="AL287" s="422">
        <f t="shared" si="756"/>
        <v>594</v>
      </c>
      <c r="AM287" s="422"/>
      <c r="AN287" s="422"/>
      <c r="AO287" s="422">
        <f t="shared" si="699"/>
        <v>594</v>
      </c>
      <c r="AP287" s="422"/>
      <c r="AQ287" s="422"/>
      <c r="AR287" s="422"/>
      <c r="AS287" s="422"/>
      <c r="AT287" s="422"/>
      <c r="AU287" s="422"/>
      <c r="AV287" s="422"/>
      <c r="AW287" s="422"/>
      <c r="AX287" s="422"/>
      <c r="AY287" s="422"/>
      <c r="AZ287" s="422"/>
      <c r="BA287" s="422"/>
      <c r="BB287" s="422"/>
      <c r="BC287" s="422"/>
      <c r="BD287" s="422">
        <f>I287/33</f>
        <v>18</v>
      </c>
      <c r="BE287" s="422">
        <f>BD287</f>
        <v>18</v>
      </c>
      <c r="BF287" s="422"/>
      <c r="BG287" s="422"/>
      <c r="BH287" s="422"/>
      <c r="BI287" s="422"/>
      <c r="BJ287" s="423">
        <f t="shared" ref="BJ287:BR287" si="759">$I287*BJ$2</f>
        <v>72.7031249999998</v>
      </c>
      <c r="BK287" s="423">
        <f t="shared" si="759"/>
        <v>72.7031249999998</v>
      </c>
      <c r="BL287" s="423">
        <f t="shared" si="759"/>
        <v>72.7031249999998</v>
      </c>
      <c r="BM287" s="423">
        <f t="shared" si="759"/>
        <v>72.7031249999998</v>
      </c>
      <c r="BN287" s="423">
        <f t="shared" si="759"/>
        <v>72.7031249999998</v>
      </c>
      <c r="BO287" s="423">
        <f t="shared" si="759"/>
        <v>72.7031249999998</v>
      </c>
      <c r="BP287" s="423">
        <f t="shared" si="759"/>
        <v>72.7031249999998</v>
      </c>
      <c r="BQ287" s="423">
        <f t="shared" si="759"/>
        <v>72.7031249999998</v>
      </c>
      <c r="BR287" s="423">
        <f t="shared" si="759"/>
        <v>12.375</v>
      </c>
      <c r="BT287" s="59">
        <f t="shared" ref="BT287:CB287" si="760">BT286-BJ287</f>
        <v>48045.2682291667</v>
      </c>
      <c r="BU287" s="59">
        <f t="shared" si="760"/>
        <v>48045.2682291667</v>
      </c>
      <c r="BV287" s="59">
        <f t="shared" si="760"/>
        <v>48045.2682291667</v>
      </c>
      <c r="BW287" s="59">
        <f t="shared" si="760"/>
        <v>48045.2682291667</v>
      </c>
      <c r="BX287" s="59">
        <f t="shared" si="760"/>
        <v>48045.2682291667</v>
      </c>
      <c r="BY287" s="59">
        <f t="shared" si="760"/>
        <v>48045.2682291667</v>
      </c>
      <c r="BZ287" s="59">
        <f t="shared" si="760"/>
        <v>48045.2682291667</v>
      </c>
      <c r="CA287" s="59">
        <f t="shared" si="760"/>
        <v>48045.2682291667</v>
      </c>
      <c r="CB287" s="59">
        <f t="shared" si="760"/>
        <v>8129.85416666669</v>
      </c>
    </row>
    <row r="288" s="370" customFormat="1" ht="27" hidden="1" customHeight="1" spans="1:80">
      <c r="A288" s="389">
        <v>45973</v>
      </c>
      <c r="B288" s="390" t="s">
        <v>1514</v>
      </c>
      <c r="C288" s="391" t="s">
        <v>1515</v>
      </c>
      <c r="D288" s="392">
        <v>4500185407</v>
      </c>
      <c r="E288" s="391">
        <v>21213049</v>
      </c>
      <c r="F288" s="390" t="s">
        <v>1516</v>
      </c>
      <c r="G288" s="370" t="s">
        <v>152</v>
      </c>
      <c r="H288" s="390" t="s">
        <v>153</v>
      </c>
      <c r="I288" s="394">
        <v>611</v>
      </c>
      <c r="J288" s="394">
        <v>0</v>
      </c>
      <c r="K288" s="394">
        <v>13</v>
      </c>
      <c r="L288" s="394">
        <f t="shared" si="719"/>
        <v>47</v>
      </c>
      <c r="M288" s="395">
        <v>46001</v>
      </c>
      <c r="N288" s="395">
        <v>45997</v>
      </c>
      <c r="O288" s="396"/>
      <c r="P288" s="396" t="s">
        <v>224</v>
      </c>
      <c r="Q288" s="396"/>
      <c r="R288" s="397">
        <v>45981</v>
      </c>
      <c r="S288" s="396" t="s">
        <v>80</v>
      </c>
      <c r="T288" s="396" t="s">
        <v>1517</v>
      </c>
      <c r="U288" s="396" t="s">
        <v>1518</v>
      </c>
      <c r="V288" s="358" t="s">
        <v>1519</v>
      </c>
      <c r="W288" s="395" t="s">
        <v>1520</v>
      </c>
      <c r="X288" s="399">
        <v>0.7985</v>
      </c>
      <c r="Y288" s="394">
        <f t="shared" ref="Y288:Y297" si="761">X288*I288</f>
        <v>487.8835</v>
      </c>
      <c r="Z288" s="395"/>
      <c r="AA288" s="358">
        <v>611</v>
      </c>
      <c r="AB288" s="358">
        <f t="shared" si="622"/>
        <v>0</v>
      </c>
      <c r="AC288" s="396" t="s">
        <v>113</v>
      </c>
      <c r="AD288" s="396" t="s">
        <v>114</v>
      </c>
      <c r="AE288" s="395" t="s">
        <v>319</v>
      </c>
      <c r="AF288" s="395" t="s">
        <v>115</v>
      </c>
      <c r="AG288" s="401">
        <f t="shared" ref="AG288:AG308" si="762">I288</f>
        <v>611</v>
      </c>
      <c r="AH288" s="401"/>
      <c r="AI288" s="401">
        <f t="shared" ref="AI288:AI308" si="763">I288</f>
        <v>611</v>
      </c>
      <c r="AJ288" s="401"/>
      <c r="AK288" s="401"/>
      <c r="AL288" s="401">
        <f t="shared" si="756"/>
        <v>611</v>
      </c>
      <c r="AM288" s="401"/>
      <c r="AN288" s="401"/>
      <c r="AO288" s="401">
        <f t="shared" si="699"/>
        <v>611</v>
      </c>
      <c r="AP288" s="401"/>
      <c r="AQ288" s="401"/>
      <c r="AR288" s="401"/>
      <c r="AS288" s="401"/>
      <c r="AT288" s="401"/>
      <c r="AU288" s="401">
        <f>I288/13</f>
        <v>47</v>
      </c>
      <c r="AV288" s="401"/>
      <c r="AW288" s="401"/>
      <c r="AX288" s="401"/>
      <c r="AY288" s="401"/>
      <c r="AZ288" s="401"/>
      <c r="BA288" s="401"/>
      <c r="BB288" s="401"/>
      <c r="BC288" s="401"/>
      <c r="BD288" s="401"/>
      <c r="BE288" s="401"/>
      <c r="BF288" s="401"/>
      <c r="BG288" s="401"/>
      <c r="BH288" s="401"/>
      <c r="BI288" s="401"/>
      <c r="BJ288" s="82">
        <f t="shared" ref="BJ288:BR288" si="764">$I288*BJ$2</f>
        <v>74.7838541666665</v>
      </c>
      <c r="BK288" s="82">
        <f t="shared" si="764"/>
        <v>74.7838541666665</v>
      </c>
      <c r="BL288" s="82">
        <f t="shared" si="764"/>
        <v>74.7838541666665</v>
      </c>
      <c r="BM288" s="82">
        <f t="shared" si="764"/>
        <v>74.7838541666665</v>
      </c>
      <c r="BN288" s="82">
        <f t="shared" si="764"/>
        <v>74.7838541666665</v>
      </c>
      <c r="BO288" s="82">
        <f t="shared" si="764"/>
        <v>74.7838541666665</v>
      </c>
      <c r="BP288" s="82">
        <f t="shared" si="764"/>
        <v>74.7838541666665</v>
      </c>
      <c r="BQ288" s="82">
        <f t="shared" si="764"/>
        <v>74.7838541666665</v>
      </c>
      <c r="BR288" s="82">
        <f t="shared" si="764"/>
        <v>12.7291666666666</v>
      </c>
      <c r="BT288" s="59">
        <f t="shared" ref="BT288:CB288" si="765">BT287-BJ288</f>
        <v>47970.4843750001</v>
      </c>
      <c r="BU288" s="59">
        <f t="shared" si="765"/>
        <v>47970.4843750001</v>
      </c>
      <c r="BV288" s="59">
        <f t="shared" si="765"/>
        <v>47970.4843750001</v>
      </c>
      <c r="BW288" s="59">
        <f t="shared" si="765"/>
        <v>47970.4843750001</v>
      </c>
      <c r="BX288" s="59">
        <f t="shared" si="765"/>
        <v>47970.4843750001</v>
      </c>
      <c r="BY288" s="59">
        <f t="shared" si="765"/>
        <v>47970.4843750001</v>
      </c>
      <c r="BZ288" s="59">
        <f t="shared" si="765"/>
        <v>47970.4843750001</v>
      </c>
      <c r="CA288" s="59">
        <f t="shared" si="765"/>
        <v>47970.4843750001</v>
      </c>
      <c r="CB288" s="59">
        <f t="shared" si="765"/>
        <v>8117.12500000002</v>
      </c>
    </row>
    <row r="289" s="371" customFormat="1" ht="27" hidden="1" customHeight="1" spans="1:80">
      <c r="A289" s="410">
        <v>45964</v>
      </c>
      <c r="B289" s="411" t="s">
        <v>1348</v>
      </c>
      <c r="C289" s="412" t="s">
        <v>474</v>
      </c>
      <c r="D289" s="413">
        <v>4500183825</v>
      </c>
      <c r="E289" s="412"/>
      <c r="F289" s="411" t="s">
        <v>1521</v>
      </c>
      <c r="G289" s="414" t="s">
        <v>424</v>
      </c>
      <c r="H289" s="411" t="s">
        <v>174</v>
      </c>
      <c r="I289" s="415">
        <v>330</v>
      </c>
      <c r="J289" s="415">
        <v>0</v>
      </c>
      <c r="K289" s="415">
        <v>33</v>
      </c>
      <c r="L289" s="415">
        <f t="shared" si="719"/>
        <v>10</v>
      </c>
      <c r="M289" s="416">
        <v>46001</v>
      </c>
      <c r="N289" s="416">
        <v>45997</v>
      </c>
      <c r="O289" s="417"/>
      <c r="P289" s="417" t="s">
        <v>224</v>
      </c>
      <c r="Q289" s="525" t="s">
        <v>1522</v>
      </c>
      <c r="R289" s="417">
        <v>45964</v>
      </c>
      <c r="S289" s="453" t="s">
        <v>80</v>
      </c>
      <c r="T289" s="453" t="s">
        <v>1523</v>
      </c>
      <c r="U289" s="417"/>
      <c r="V289" s="420" t="s">
        <v>1524</v>
      </c>
      <c r="W289" s="416" t="s">
        <v>1525</v>
      </c>
      <c r="X289" s="421">
        <v>38.3485</v>
      </c>
      <c r="Y289" s="415">
        <f>X289*L289</f>
        <v>383.485</v>
      </c>
      <c r="Z289" s="416"/>
      <c r="AA289" s="420">
        <v>330</v>
      </c>
      <c r="AB289" s="420">
        <f t="shared" si="622"/>
        <v>0</v>
      </c>
      <c r="AC289" s="417" t="s">
        <v>113</v>
      </c>
      <c r="AD289" s="417" t="s">
        <v>114</v>
      </c>
      <c r="AE289" s="416" t="s">
        <v>484</v>
      </c>
      <c r="AF289" s="416" t="s">
        <v>115</v>
      </c>
      <c r="AG289" s="422">
        <f t="shared" si="762"/>
        <v>330</v>
      </c>
      <c r="AH289" s="422"/>
      <c r="AI289" s="422">
        <f t="shared" si="763"/>
        <v>330</v>
      </c>
      <c r="AJ289" s="422"/>
      <c r="AK289" s="422"/>
      <c r="AL289" s="422">
        <f t="shared" si="756"/>
        <v>330</v>
      </c>
      <c r="AM289" s="422"/>
      <c r="AN289" s="422"/>
      <c r="AO289" s="422">
        <f t="shared" si="699"/>
        <v>330</v>
      </c>
      <c r="AP289" s="422"/>
      <c r="AQ289" s="422"/>
      <c r="AR289" s="422"/>
      <c r="AS289" s="422"/>
      <c r="AT289" s="422"/>
      <c r="AU289" s="422"/>
      <c r="AV289" s="422"/>
      <c r="AW289" s="422"/>
      <c r="AX289" s="422"/>
      <c r="AY289" s="422"/>
      <c r="AZ289" s="422"/>
      <c r="BA289" s="422"/>
      <c r="BB289" s="422"/>
      <c r="BC289" s="422"/>
      <c r="BD289" s="422">
        <f>I289/33</f>
        <v>10</v>
      </c>
      <c r="BE289" s="422">
        <f>BD289</f>
        <v>10</v>
      </c>
      <c r="BF289" s="422"/>
      <c r="BG289" s="422"/>
      <c r="BH289" s="422"/>
      <c r="BI289" s="422"/>
      <c r="BJ289" s="423">
        <f t="shared" ref="BJ289:BR289" si="766">$I289*BJ$2</f>
        <v>40.3906249999999</v>
      </c>
      <c r="BK289" s="423">
        <f t="shared" si="766"/>
        <v>40.3906249999999</v>
      </c>
      <c r="BL289" s="423">
        <f t="shared" si="766"/>
        <v>40.3906249999999</v>
      </c>
      <c r="BM289" s="423">
        <f t="shared" si="766"/>
        <v>40.3906249999999</v>
      </c>
      <c r="BN289" s="423">
        <f t="shared" si="766"/>
        <v>40.3906249999999</v>
      </c>
      <c r="BO289" s="423">
        <f t="shared" si="766"/>
        <v>40.3906249999999</v>
      </c>
      <c r="BP289" s="423">
        <f t="shared" si="766"/>
        <v>40.3906249999999</v>
      </c>
      <c r="BQ289" s="423">
        <f t="shared" si="766"/>
        <v>40.3906249999999</v>
      </c>
      <c r="BR289" s="423">
        <f t="shared" si="766"/>
        <v>6.87499999999999</v>
      </c>
      <c r="BT289" s="59">
        <f t="shared" ref="BT289:CB289" si="767">BT288-BJ289</f>
        <v>47930.0937500001</v>
      </c>
      <c r="BU289" s="59">
        <f t="shared" si="767"/>
        <v>47930.0937500001</v>
      </c>
      <c r="BV289" s="59">
        <f t="shared" si="767"/>
        <v>47930.0937500001</v>
      </c>
      <c r="BW289" s="59">
        <f t="shared" si="767"/>
        <v>47930.0937500001</v>
      </c>
      <c r="BX289" s="59">
        <f t="shared" si="767"/>
        <v>47930.0937500001</v>
      </c>
      <c r="BY289" s="59">
        <f t="shared" si="767"/>
        <v>47930.0937500001</v>
      </c>
      <c r="BZ289" s="59">
        <f t="shared" si="767"/>
        <v>47930.0937500001</v>
      </c>
      <c r="CA289" s="59">
        <f t="shared" si="767"/>
        <v>47930.0937500001</v>
      </c>
      <c r="CB289" s="59">
        <f t="shared" si="767"/>
        <v>8110.25000000002</v>
      </c>
    </row>
    <row r="290" s="370" customFormat="1" ht="27" hidden="1" customHeight="1" spans="1:80">
      <c r="A290" s="389">
        <v>45968</v>
      </c>
      <c r="B290" s="390" t="s">
        <v>1526</v>
      </c>
      <c r="C290" s="391" t="s">
        <v>396</v>
      </c>
      <c r="D290" s="392">
        <v>4500184671</v>
      </c>
      <c r="E290" s="391">
        <v>14742176</v>
      </c>
      <c r="F290" s="390" t="s">
        <v>1527</v>
      </c>
      <c r="G290" s="393" t="s">
        <v>1528</v>
      </c>
      <c r="H290" s="390" t="s">
        <v>1529</v>
      </c>
      <c r="I290" s="394">
        <v>4896</v>
      </c>
      <c r="J290" s="394">
        <v>0</v>
      </c>
      <c r="K290" s="394">
        <v>96</v>
      </c>
      <c r="L290" s="394">
        <f t="shared" si="719"/>
        <v>51</v>
      </c>
      <c r="M290" s="395">
        <v>46003</v>
      </c>
      <c r="N290" s="395">
        <v>45999</v>
      </c>
      <c r="O290" s="396"/>
      <c r="P290" s="396" t="s">
        <v>107</v>
      </c>
      <c r="Q290" s="396" t="s">
        <v>1522</v>
      </c>
      <c r="R290" s="397">
        <v>45975</v>
      </c>
      <c r="S290" s="398" t="s">
        <v>80</v>
      </c>
      <c r="T290" s="396" t="s">
        <v>80</v>
      </c>
      <c r="U290" s="396"/>
      <c r="V290" s="358" t="s">
        <v>1530</v>
      </c>
      <c r="W290" s="395" t="s">
        <v>1531</v>
      </c>
      <c r="X290" s="399">
        <v>0.9094</v>
      </c>
      <c r="Y290" s="394">
        <f t="shared" si="761"/>
        <v>4452.4224</v>
      </c>
      <c r="Z290" s="395"/>
      <c r="AA290" s="358">
        <v>4896</v>
      </c>
      <c r="AB290" s="358">
        <f t="shared" si="622"/>
        <v>0</v>
      </c>
      <c r="AC290" s="396" t="s">
        <v>80</v>
      </c>
      <c r="AD290" s="396" t="s">
        <v>114</v>
      </c>
      <c r="AE290" s="393" t="s">
        <v>1528</v>
      </c>
      <c r="AF290" s="395" t="s">
        <v>115</v>
      </c>
      <c r="AG290" s="401">
        <f t="shared" si="762"/>
        <v>4896</v>
      </c>
      <c r="AH290" s="401"/>
      <c r="AI290" s="401">
        <f t="shared" si="763"/>
        <v>4896</v>
      </c>
      <c r="AJ290" s="401"/>
      <c r="AK290" s="401">
        <f t="shared" ref="AK290:AK298" si="768">I290</f>
        <v>4896</v>
      </c>
      <c r="AL290" s="401"/>
      <c r="AM290" s="401"/>
      <c r="AN290" s="401"/>
      <c r="AO290" s="401">
        <f t="shared" si="699"/>
        <v>4896</v>
      </c>
      <c r="AP290" s="401"/>
      <c r="AQ290" s="401"/>
      <c r="AR290" s="401"/>
      <c r="AS290" s="401"/>
      <c r="AT290" s="401"/>
      <c r="AU290" s="401"/>
      <c r="AV290" s="401"/>
      <c r="AW290" s="401"/>
      <c r="AX290" s="401">
        <f>I290/8</f>
        <v>612</v>
      </c>
      <c r="AY290" s="401"/>
      <c r="AZ290" s="401"/>
      <c r="BA290" s="401"/>
      <c r="BB290" s="401"/>
      <c r="BC290" s="401"/>
      <c r="BD290" s="401"/>
      <c r="BE290" s="401"/>
      <c r="BF290" s="401"/>
      <c r="BG290" s="401"/>
      <c r="BH290" s="401"/>
      <c r="BI290" s="401"/>
      <c r="BJ290" s="82">
        <f t="shared" ref="BJ290:BR290" si="769">$I290*BJ$2</f>
        <v>599.249999999998</v>
      </c>
      <c r="BK290" s="82">
        <f t="shared" si="769"/>
        <v>599.249999999998</v>
      </c>
      <c r="BL290" s="82">
        <f t="shared" si="769"/>
        <v>599.249999999998</v>
      </c>
      <c r="BM290" s="82">
        <f t="shared" si="769"/>
        <v>599.249999999998</v>
      </c>
      <c r="BN290" s="82">
        <f t="shared" si="769"/>
        <v>599.249999999998</v>
      </c>
      <c r="BO290" s="82">
        <f t="shared" si="769"/>
        <v>599.249999999998</v>
      </c>
      <c r="BP290" s="82">
        <f t="shared" si="769"/>
        <v>599.249999999998</v>
      </c>
      <c r="BQ290" s="82">
        <f t="shared" si="769"/>
        <v>599.249999999998</v>
      </c>
      <c r="BR290" s="82">
        <f t="shared" si="769"/>
        <v>102</v>
      </c>
      <c r="BT290" s="59">
        <f t="shared" ref="BT290:CB290" si="770">BT289-BJ290</f>
        <v>47330.8437500001</v>
      </c>
      <c r="BU290" s="59">
        <f t="shared" si="770"/>
        <v>47330.8437500001</v>
      </c>
      <c r="BV290" s="59">
        <f t="shared" si="770"/>
        <v>47330.8437500001</v>
      </c>
      <c r="BW290" s="59">
        <f t="shared" si="770"/>
        <v>47330.8437500001</v>
      </c>
      <c r="BX290" s="59">
        <f t="shared" si="770"/>
        <v>47330.8437500001</v>
      </c>
      <c r="BY290" s="59">
        <f t="shared" si="770"/>
        <v>47330.8437500001</v>
      </c>
      <c r="BZ290" s="59">
        <f t="shared" si="770"/>
        <v>47330.8437500001</v>
      </c>
      <c r="CA290" s="59">
        <f t="shared" si="770"/>
        <v>47330.8437500001</v>
      </c>
      <c r="CB290" s="59">
        <f t="shared" si="770"/>
        <v>8008.25000000002</v>
      </c>
    </row>
    <row r="291" s="370" customFormat="1" ht="27" hidden="1" customHeight="1" spans="1:80">
      <c r="A291" s="389">
        <v>45915</v>
      </c>
      <c r="B291" s="390" t="s">
        <v>795</v>
      </c>
      <c r="C291" s="391" t="s">
        <v>574</v>
      </c>
      <c r="D291" s="392">
        <v>4500179539</v>
      </c>
      <c r="E291" s="391">
        <v>5251218299</v>
      </c>
      <c r="F291" s="390" t="s">
        <v>1532</v>
      </c>
      <c r="G291" s="393" t="s">
        <v>131</v>
      </c>
      <c r="H291" s="390" t="s">
        <v>1533</v>
      </c>
      <c r="I291" s="394">
        <v>7506</v>
      </c>
      <c r="J291" s="394">
        <v>0</v>
      </c>
      <c r="K291" s="394">
        <v>27</v>
      </c>
      <c r="L291" s="394">
        <f t="shared" si="719"/>
        <v>278</v>
      </c>
      <c r="M291" s="395">
        <v>46006</v>
      </c>
      <c r="N291" s="395">
        <v>46002</v>
      </c>
      <c r="O291" s="396"/>
      <c r="P291" s="396" t="s">
        <v>107</v>
      </c>
      <c r="Q291" s="396" t="s">
        <v>1522</v>
      </c>
      <c r="R291" s="397">
        <v>45916</v>
      </c>
      <c r="S291" s="398" t="s">
        <v>80</v>
      </c>
      <c r="T291" s="396" t="s">
        <v>1534</v>
      </c>
      <c r="U291" s="406" t="s">
        <v>1445</v>
      </c>
      <c r="V291" s="358" t="s">
        <v>1535</v>
      </c>
      <c r="W291" s="395" t="s">
        <v>581</v>
      </c>
      <c r="X291" s="399">
        <v>0.7527</v>
      </c>
      <c r="Y291" s="394">
        <f t="shared" si="761"/>
        <v>5649.7662</v>
      </c>
      <c r="Z291" s="395"/>
      <c r="AA291" s="358">
        <v>7506</v>
      </c>
      <c r="AB291" s="358">
        <f t="shared" si="622"/>
        <v>0</v>
      </c>
      <c r="AC291" s="396" t="s">
        <v>113</v>
      </c>
      <c r="AD291" s="396" t="s">
        <v>114</v>
      </c>
      <c r="AE291" s="395" t="s">
        <v>434</v>
      </c>
      <c r="AF291" s="395" t="s">
        <v>115</v>
      </c>
      <c r="AG291" s="401">
        <f t="shared" si="762"/>
        <v>7506</v>
      </c>
      <c r="AH291" s="401"/>
      <c r="AI291" s="401">
        <f t="shared" si="763"/>
        <v>7506</v>
      </c>
      <c r="AJ291" s="401"/>
      <c r="AK291" s="401"/>
      <c r="AL291" s="401">
        <f>I291</f>
        <v>7506</v>
      </c>
      <c r="AM291" s="401"/>
      <c r="AN291" s="401"/>
      <c r="AO291" s="401">
        <f t="shared" si="699"/>
        <v>7506</v>
      </c>
      <c r="AP291" s="401"/>
      <c r="AQ291" s="401"/>
      <c r="AR291" s="401"/>
      <c r="AS291" s="401">
        <f>I291/27</f>
        <v>278</v>
      </c>
      <c r="AT291" s="401"/>
      <c r="AU291" s="401"/>
      <c r="AV291" s="401"/>
      <c r="AW291" s="401"/>
      <c r="AX291" s="401"/>
      <c r="AY291" s="401"/>
      <c r="AZ291" s="401"/>
      <c r="BA291" s="401"/>
      <c r="BB291" s="401"/>
      <c r="BC291" s="401"/>
      <c r="BD291" s="401"/>
      <c r="BE291" s="401"/>
      <c r="BF291" s="401"/>
      <c r="BG291" s="401"/>
      <c r="BH291" s="401"/>
      <c r="BI291" s="401"/>
      <c r="BJ291" s="526">
        <f t="shared" ref="BJ291:BR291" si="771">$I291*BJ$2</f>
        <v>918.703124999998</v>
      </c>
      <c r="BK291" s="526">
        <f t="shared" si="771"/>
        <v>918.703124999998</v>
      </c>
      <c r="BL291" s="526">
        <f t="shared" si="771"/>
        <v>918.703124999998</v>
      </c>
      <c r="BM291" s="526">
        <f t="shared" si="771"/>
        <v>918.703124999998</v>
      </c>
      <c r="BN291" s="526">
        <f t="shared" si="771"/>
        <v>918.703124999998</v>
      </c>
      <c r="BO291" s="526">
        <f t="shared" si="771"/>
        <v>918.703124999998</v>
      </c>
      <c r="BP291" s="526">
        <f t="shared" si="771"/>
        <v>918.703124999998</v>
      </c>
      <c r="BQ291" s="526">
        <f t="shared" si="771"/>
        <v>918.703124999998</v>
      </c>
      <c r="BR291" s="526">
        <f t="shared" si="771"/>
        <v>156.375</v>
      </c>
      <c r="BT291" s="59">
        <f t="shared" ref="BT291:CB291" si="772">BT290-BJ291</f>
        <v>46412.1406250001</v>
      </c>
      <c r="BU291" s="59">
        <f t="shared" si="772"/>
        <v>46412.1406250001</v>
      </c>
      <c r="BV291" s="59">
        <f t="shared" si="772"/>
        <v>46412.1406250001</v>
      </c>
      <c r="BW291" s="59">
        <f t="shared" si="772"/>
        <v>46412.1406250001</v>
      </c>
      <c r="BX291" s="59">
        <f t="shared" si="772"/>
        <v>46412.1406250001</v>
      </c>
      <c r="BY291" s="59">
        <f t="shared" si="772"/>
        <v>46412.1406250001</v>
      </c>
      <c r="BZ291" s="59">
        <f t="shared" si="772"/>
        <v>46412.1406250001</v>
      </c>
      <c r="CA291" s="59">
        <f t="shared" si="772"/>
        <v>46412.1406250001</v>
      </c>
      <c r="CB291" s="59">
        <f t="shared" si="772"/>
        <v>7851.87500000002</v>
      </c>
    </row>
    <row r="292" s="370" customFormat="1" ht="27" hidden="1" customHeight="1" spans="1:80">
      <c r="A292" s="389">
        <v>45968</v>
      </c>
      <c r="B292" s="390" t="s">
        <v>977</v>
      </c>
      <c r="C292" s="391" t="s">
        <v>117</v>
      </c>
      <c r="D292" s="392">
        <v>4500184604</v>
      </c>
      <c r="E292" s="391">
        <v>655489</v>
      </c>
      <c r="F292" s="390" t="s">
        <v>1536</v>
      </c>
      <c r="G292" s="393" t="s">
        <v>152</v>
      </c>
      <c r="H292" s="390" t="s">
        <v>153</v>
      </c>
      <c r="I292" s="394">
        <v>2626</v>
      </c>
      <c r="J292" s="394">
        <v>0</v>
      </c>
      <c r="K292" s="394">
        <v>13</v>
      </c>
      <c r="L292" s="394">
        <f t="shared" si="719"/>
        <v>202</v>
      </c>
      <c r="M292" s="395">
        <v>46008</v>
      </c>
      <c r="N292" s="395">
        <v>46004</v>
      </c>
      <c r="O292" s="396"/>
      <c r="P292" s="396" t="s">
        <v>107</v>
      </c>
      <c r="Q292" s="396" t="s">
        <v>1537</v>
      </c>
      <c r="R292" s="397">
        <v>45968</v>
      </c>
      <c r="S292" s="396" t="s">
        <v>80</v>
      </c>
      <c r="T292" s="396" t="s">
        <v>80</v>
      </c>
      <c r="U292" s="396"/>
      <c r="V292" s="358" t="s">
        <v>1538</v>
      </c>
      <c r="W292" s="395" t="s">
        <v>982</v>
      </c>
      <c r="X292" s="399">
        <v>0.4687</v>
      </c>
      <c r="Y292" s="394">
        <f t="shared" si="761"/>
        <v>1230.8062</v>
      </c>
      <c r="Z292" s="395"/>
      <c r="AA292" s="358">
        <f>2600+26</f>
        <v>2626</v>
      </c>
      <c r="AB292" s="358">
        <f t="shared" si="622"/>
        <v>0</v>
      </c>
      <c r="AC292" s="396" t="s">
        <v>80</v>
      </c>
      <c r="AD292" s="396" t="s">
        <v>114</v>
      </c>
      <c r="AE292" s="395" t="s">
        <v>152</v>
      </c>
      <c r="AF292" s="395" t="s">
        <v>115</v>
      </c>
      <c r="AG292" s="401">
        <f t="shared" si="762"/>
        <v>2626</v>
      </c>
      <c r="AH292" s="401"/>
      <c r="AI292" s="401">
        <f t="shared" si="763"/>
        <v>2626</v>
      </c>
      <c r="AJ292" s="401"/>
      <c r="AK292" s="401">
        <f t="shared" si="768"/>
        <v>2626</v>
      </c>
      <c r="AL292" s="401"/>
      <c r="AM292" s="401"/>
      <c r="AN292" s="401"/>
      <c r="AO292" s="401">
        <f t="shared" si="699"/>
        <v>2626</v>
      </c>
      <c r="AP292" s="401"/>
      <c r="AQ292" s="401"/>
      <c r="AR292" s="401"/>
      <c r="AS292" s="401"/>
      <c r="AT292" s="401">
        <f>I292/13</f>
        <v>202</v>
      </c>
      <c r="AU292" s="401"/>
      <c r="AV292" s="401"/>
      <c r="AW292" s="401"/>
      <c r="AX292" s="401"/>
      <c r="AY292" s="401"/>
      <c r="AZ292" s="401"/>
      <c r="BA292" s="401"/>
      <c r="BB292" s="401"/>
      <c r="BC292" s="401"/>
      <c r="BD292" s="401"/>
      <c r="BE292" s="401"/>
      <c r="BF292" s="401"/>
      <c r="BG292" s="401"/>
      <c r="BH292" s="401"/>
      <c r="BI292" s="401"/>
      <c r="BJ292" s="82">
        <f t="shared" ref="BJ292:BR292" si="773">$I292*BJ$2</f>
        <v>321.411458333332</v>
      </c>
      <c r="BK292" s="82">
        <f t="shared" si="773"/>
        <v>321.411458333332</v>
      </c>
      <c r="BL292" s="82">
        <f t="shared" si="773"/>
        <v>321.411458333332</v>
      </c>
      <c r="BM292" s="82">
        <f t="shared" si="773"/>
        <v>321.411458333332</v>
      </c>
      <c r="BN292" s="82">
        <f t="shared" si="773"/>
        <v>321.411458333332</v>
      </c>
      <c r="BO292" s="82">
        <f t="shared" si="773"/>
        <v>321.411458333332</v>
      </c>
      <c r="BP292" s="82">
        <f t="shared" si="773"/>
        <v>321.411458333332</v>
      </c>
      <c r="BQ292" s="82">
        <f t="shared" si="773"/>
        <v>321.411458333332</v>
      </c>
      <c r="BR292" s="82">
        <f t="shared" si="773"/>
        <v>54.7083333333333</v>
      </c>
      <c r="BT292" s="59">
        <f t="shared" ref="BT292:CB292" si="774">BT291-BJ292</f>
        <v>46090.7291666667</v>
      </c>
      <c r="BU292" s="59">
        <f t="shared" si="774"/>
        <v>46090.7291666667</v>
      </c>
      <c r="BV292" s="59">
        <f t="shared" si="774"/>
        <v>46090.7291666667</v>
      </c>
      <c r="BW292" s="59">
        <f t="shared" si="774"/>
        <v>46090.7291666667</v>
      </c>
      <c r="BX292" s="59">
        <f t="shared" si="774"/>
        <v>46090.7291666667</v>
      </c>
      <c r="BY292" s="59">
        <f t="shared" si="774"/>
        <v>46090.7291666667</v>
      </c>
      <c r="BZ292" s="59">
        <f t="shared" si="774"/>
        <v>46090.7291666667</v>
      </c>
      <c r="CA292" s="59">
        <f t="shared" si="774"/>
        <v>46090.7291666667</v>
      </c>
      <c r="CB292" s="59">
        <f t="shared" si="774"/>
        <v>7797.16666666669</v>
      </c>
    </row>
    <row r="293" s="370" customFormat="1" ht="27" hidden="1" customHeight="1" spans="1:80">
      <c r="A293" s="389">
        <v>45952</v>
      </c>
      <c r="B293" s="390" t="s">
        <v>1539</v>
      </c>
      <c r="C293" s="391" t="s">
        <v>574</v>
      </c>
      <c r="D293" s="392">
        <v>4500182578</v>
      </c>
      <c r="E293" s="391" t="s">
        <v>1540</v>
      </c>
      <c r="F293" s="390" t="s">
        <v>1541</v>
      </c>
      <c r="G293" s="393" t="s">
        <v>78</v>
      </c>
      <c r="H293" s="390" t="s">
        <v>79</v>
      </c>
      <c r="I293" s="394">
        <v>972</v>
      </c>
      <c r="J293" s="394">
        <v>0</v>
      </c>
      <c r="K293" s="394">
        <v>54</v>
      </c>
      <c r="L293" s="394">
        <f t="shared" si="719"/>
        <v>18</v>
      </c>
      <c r="M293" s="395">
        <v>46006</v>
      </c>
      <c r="N293" s="395">
        <v>46004</v>
      </c>
      <c r="O293" s="396"/>
      <c r="P293" s="396" t="s">
        <v>224</v>
      </c>
      <c r="Q293" s="396"/>
      <c r="R293" s="397">
        <v>45971</v>
      </c>
      <c r="S293" s="398" t="s">
        <v>80</v>
      </c>
      <c r="T293" s="396" t="s">
        <v>1542</v>
      </c>
      <c r="U293" s="396"/>
      <c r="V293" s="358" t="s">
        <v>1543</v>
      </c>
      <c r="W293" s="395" t="s">
        <v>228</v>
      </c>
      <c r="X293" s="399">
        <v>0.7795</v>
      </c>
      <c r="Y293" s="394">
        <f t="shared" si="761"/>
        <v>757.674</v>
      </c>
      <c r="Z293" s="395" t="s">
        <v>82</v>
      </c>
      <c r="AA293" s="358">
        <v>972</v>
      </c>
      <c r="AB293" s="358">
        <f t="shared" si="622"/>
        <v>0</v>
      </c>
      <c r="AC293" s="396"/>
      <c r="AD293" s="396" t="s">
        <v>114</v>
      </c>
      <c r="AE293" s="395" t="s">
        <v>230</v>
      </c>
      <c r="AF293" s="395" t="s">
        <v>115</v>
      </c>
      <c r="AG293" s="401">
        <f t="shared" si="762"/>
        <v>972</v>
      </c>
      <c r="AH293" s="401"/>
      <c r="AI293" s="401">
        <f t="shared" si="763"/>
        <v>972</v>
      </c>
      <c r="AJ293" s="401"/>
      <c r="AK293" s="401"/>
      <c r="AL293" s="401">
        <f>I293</f>
        <v>972</v>
      </c>
      <c r="AM293" s="401"/>
      <c r="AN293" s="401"/>
      <c r="AO293" s="401">
        <f t="shared" si="699"/>
        <v>972</v>
      </c>
      <c r="AP293" s="401"/>
      <c r="AQ293" s="401"/>
      <c r="AR293" s="401"/>
      <c r="AS293" s="401">
        <f>I293/27</f>
        <v>36</v>
      </c>
      <c r="AT293" s="401"/>
      <c r="AU293" s="401"/>
      <c r="AV293" s="401"/>
      <c r="AW293" s="401"/>
      <c r="AX293" s="401"/>
      <c r="AY293" s="401"/>
      <c r="AZ293" s="401"/>
      <c r="BA293" s="401"/>
      <c r="BB293" s="401"/>
      <c r="BC293" s="401"/>
      <c r="BD293" s="401"/>
      <c r="BE293" s="401"/>
      <c r="BF293" s="401"/>
      <c r="BG293" s="401"/>
      <c r="BH293" s="401"/>
      <c r="BI293" s="401"/>
      <c r="BJ293" s="526">
        <f t="shared" ref="BJ293:BR293" si="775">$I293*BJ$2</f>
        <v>118.96875</v>
      </c>
      <c r="BK293" s="526">
        <f t="shared" si="775"/>
        <v>118.96875</v>
      </c>
      <c r="BL293" s="526">
        <f t="shared" si="775"/>
        <v>118.96875</v>
      </c>
      <c r="BM293" s="526">
        <f t="shared" si="775"/>
        <v>118.96875</v>
      </c>
      <c r="BN293" s="526">
        <f t="shared" si="775"/>
        <v>118.96875</v>
      </c>
      <c r="BO293" s="526">
        <f t="shared" si="775"/>
        <v>118.96875</v>
      </c>
      <c r="BP293" s="526">
        <f t="shared" si="775"/>
        <v>118.96875</v>
      </c>
      <c r="BQ293" s="526">
        <f t="shared" si="775"/>
        <v>118.96875</v>
      </c>
      <c r="BR293" s="526">
        <f t="shared" si="775"/>
        <v>20.25</v>
      </c>
      <c r="BT293" s="59">
        <f t="shared" ref="BT293:CB293" si="776">BT292-BJ293</f>
        <v>45971.7604166667</v>
      </c>
      <c r="BU293" s="59">
        <f t="shared" si="776"/>
        <v>45971.7604166667</v>
      </c>
      <c r="BV293" s="59">
        <f t="shared" si="776"/>
        <v>45971.7604166667</v>
      </c>
      <c r="BW293" s="59">
        <f t="shared" si="776"/>
        <v>45971.7604166667</v>
      </c>
      <c r="BX293" s="59">
        <f t="shared" si="776"/>
        <v>45971.7604166667</v>
      </c>
      <c r="BY293" s="59">
        <f t="shared" si="776"/>
        <v>45971.7604166667</v>
      </c>
      <c r="BZ293" s="59">
        <f t="shared" si="776"/>
        <v>45971.7604166667</v>
      </c>
      <c r="CA293" s="59">
        <f t="shared" si="776"/>
        <v>45971.7604166667</v>
      </c>
      <c r="CB293" s="59">
        <f t="shared" si="776"/>
        <v>7776.91666666669</v>
      </c>
    </row>
    <row r="294" s="370" customFormat="1" ht="27" hidden="1" customHeight="1" spans="1:80">
      <c r="A294" s="389">
        <v>45964</v>
      </c>
      <c r="B294" s="390" t="s">
        <v>1544</v>
      </c>
      <c r="C294" s="391" t="s">
        <v>1545</v>
      </c>
      <c r="D294" s="392">
        <v>4500180717</v>
      </c>
      <c r="E294" s="391" t="s">
        <v>1546</v>
      </c>
      <c r="F294" s="390" t="s">
        <v>1547</v>
      </c>
      <c r="G294" s="393" t="s">
        <v>78</v>
      </c>
      <c r="H294" s="390" t="s">
        <v>79</v>
      </c>
      <c r="I294" s="394">
        <v>2916</v>
      </c>
      <c r="J294" s="394">
        <v>0</v>
      </c>
      <c r="K294" s="394">
        <v>54</v>
      </c>
      <c r="L294" s="394">
        <f t="shared" si="719"/>
        <v>54</v>
      </c>
      <c r="M294" s="395">
        <v>46006</v>
      </c>
      <c r="N294" s="395">
        <v>46006</v>
      </c>
      <c r="O294" s="396"/>
      <c r="P294" s="396" t="s">
        <v>107</v>
      </c>
      <c r="Q294" s="396"/>
      <c r="R294" s="402">
        <v>45973</v>
      </c>
      <c r="S294" s="402" t="s">
        <v>80</v>
      </c>
      <c r="T294" s="402" t="s">
        <v>1548</v>
      </c>
      <c r="U294" s="396"/>
      <c r="V294" s="358" t="s">
        <v>1549</v>
      </c>
      <c r="W294" s="395" t="s">
        <v>1550</v>
      </c>
      <c r="X294" s="399">
        <v>0.7913</v>
      </c>
      <c r="Y294" s="394">
        <f t="shared" si="761"/>
        <v>2307.4308</v>
      </c>
      <c r="Z294" s="395" t="s">
        <v>82</v>
      </c>
      <c r="AA294" s="358">
        <v>2916</v>
      </c>
      <c r="AB294" s="358">
        <f t="shared" si="622"/>
        <v>0</v>
      </c>
      <c r="AC294" s="396" t="s">
        <v>113</v>
      </c>
      <c r="AD294" s="396" t="s">
        <v>114</v>
      </c>
      <c r="AE294" s="395" t="s">
        <v>78</v>
      </c>
      <c r="AF294" s="395" t="s">
        <v>115</v>
      </c>
      <c r="AG294" s="401">
        <f t="shared" si="762"/>
        <v>2916</v>
      </c>
      <c r="AH294" s="401"/>
      <c r="AI294" s="401">
        <f t="shared" si="763"/>
        <v>2916</v>
      </c>
      <c r="AJ294" s="401"/>
      <c r="AK294" s="401">
        <f t="shared" si="768"/>
        <v>2916</v>
      </c>
      <c r="AL294" s="401"/>
      <c r="AM294" s="401"/>
      <c r="AN294" s="401"/>
      <c r="AO294" s="401">
        <f t="shared" si="699"/>
        <v>2916</v>
      </c>
      <c r="AP294" s="401"/>
      <c r="AQ294" s="401">
        <f t="shared" ref="AQ294:AQ296" si="777">I294/27</f>
        <v>108</v>
      </c>
      <c r="AR294" s="401"/>
      <c r="AS294" s="401"/>
      <c r="AT294" s="401"/>
      <c r="AU294" s="401"/>
      <c r="AV294" s="401"/>
      <c r="AW294" s="401"/>
      <c r="AX294" s="401"/>
      <c r="AY294" s="401"/>
      <c r="AZ294" s="401"/>
      <c r="BA294" s="401"/>
      <c r="BB294" s="401"/>
      <c r="BC294" s="401"/>
      <c r="BD294" s="401"/>
      <c r="BE294" s="401"/>
      <c r="BF294" s="401"/>
      <c r="BG294" s="401"/>
      <c r="BH294" s="401"/>
      <c r="BI294" s="401"/>
      <c r="BJ294" s="82">
        <f t="shared" ref="BJ294:BR294" si="778">$I294*BJ$2</f>
        <v>356.906249999999</v>
      </c>
      <c r="BK294" s="82">
        <f t="shared" si="778"/>
        <v>356.906249999999</v>
      </c>
      <c r="BL294" s="82">
        <f t="shared" si="778"/>
        <v>356.906249999999</v>
      </c>
      <c r="BM294" s="82">
        <f t="shared" si="778"/>
        <v>356.906249999999</v>
      </c>
      <c r="BN294" s="82">
        <f t="shared" si="778"/>
        <v>356.906249999999</v>
      </c>
      <c r="BO294" s="82">
        <f t="shared" si="778"/>
        <v>356.906249999999</v>
      </c>
      <c r="BP294" s="82">
        <f t="shared" si="778"/>
        <v>356.906249999999</v>
      </c>
      <c r="BQ294" s="82">
        <f t="shared" si="778"/>
        <v>356.906249999999</v>
      </c>
      <c r="BR294" s="82">
        <f t="shared" si="778"/>
        <v>60.7499999999999</v>
      </c>
      <c r="BT294" s="82">
        <f t="shared" ref="BT294:CB294" si="779">BT293-BJ294</f>
        <v>45614.8541666667</v>
      </c>
      <c r="BU294" s="82">
        <f t="shared" si="779"/>
        <v>45614.8541666667</v>
      </c>
      <c r="BV294" s="82">
        <f t="shared" si="779"/>
        <v>45614.8541666667</v>
      </c>
      <c r="BW294" s="82">
        <f t="shared" si="779"/>
        <v>45614.8541666667</v>
      </c>
      <c r="BX294" s="82">
        <f t="shared" si="779"/>
        <v>45614.8541666667</v>
      </c>
      <c r="BY294" s="82">
        <f t="shared" si="779"/>
        <v>45614.8541666667</v>
      </c>
      <c r="BZ294" s="82">
        <f t="shared" si="779"/>
        <v>45614.8541666667</v>
      </c>
      <c r="CA294" s="82">
        <f t="shared" si="779"/>
        <v>45614.8541666667</v>
      </c>
      <c r="CB294" s="82">
        <f t="shared" si="779"/>
        <v>7716.16666666669</v>
      </c>
    </row>
    <row r="295" s="370" customFormat="1" ht="27" hidden="1" customHeight="1" spans="1:80">
      <c r="A295" s="389">
        <v>45964</v>
      </c>
      <c r="B295" s="390" t="s">
        <v>1544</v>
      </c>
      <c r="C295" s="391" t="s">
        <v>1545</v>
      </c>
      <c r="D295" s="392">
        <v>4500180735</v>
      </c>
      <c r="E295" s="391" t="s">
        <v>1551</v>
      </c>
      <c r="F295" s="390" t="s">
        <v>1552</v>
      </c>
      <c r="G295" s="393" t="s">
        <v>78</v>
      </c>
      <c r="H295" s="390" t="s">
        <v>79</v>
      </c>
      <c r="I295" s="394">
        <v>1080</v>
      </c>
      <c r="J295" s="394">
        <v>0</v>
      </c>
      <c r="K295" s="394">
        <v>54</v>
      </c>
      <c r="L295" s="394">
        <f t="shared" si="719"/>
        <v>20</v>
      </c>
      <c r="M295" s="395">
        <v>46006</v>
      </c>
      <c r="N295" s="395">
        <v>46006</v>
      </c>
      <c r="O295" s="396"/>
      <c r="P295" s="396" t="s">
        <v>107</v>
      </c>
      <c r="Q295" s="396"/>
      <c r="R295" s="402">
        <v>45973</v>
      </c>
      <c r="S295" s="402" t="s">
        <v>80</v>
      </c>
      <c r="T295" s="402" t="s">
        <v>1548</v>
      </c>
      <c r="U295" s="396"/>
      <c r="V295" s="358" t="s">
        <v>1553</v>
      </c>
      <c r="W295" s="395" t="s">
        <v>1550</v>
      </c>
      <c r="X295" s="399">
        <v>0.7913</v>
      </c>
      <c r="Y295" s="394">
        <f t="shared" si="761"/>
        <v>854.604</v>
      </c>
      <c r="Z295" s="395" t="s">
        <v>82</v>
      </c>
      <c r="AA295" s="358">
        <v>1080</v>
      </c>
      <c r="AB295" s="358">
        <f t="shared" si="622"/>
        <v>0</v>
      </c>
      <c r="AC295" s="396" t="s">
        <v>113</v>
      </c>
      <c r="AD295" s="396" t="s">
        <v>114</v>
      </c>
      <c r="AE295" s="395" t="s">
        <v>78</v>
      </c>
      <c r="AF295" s="395" t="s">
        <v>115</v>
      </c>
      <c r="AG295" s="401">
        <f t="shared" si="762"/>
        <v>1080</v>
      </c>
      <c r="AH295" s="401"/>
      <c r="AI295" s="401">
        <f t="shared" si="763"/>
        <v>1080</v>
      </c>
      <c r="AJ295" s="401"/>
      <c r="AK295" s="401">
        <f t="shared" si="768"/>
        <v>1080</v>
      </c>
      <c r="AL295" s="401"/>
      <c r="AM295" s="401"/>
      <c r="AN295" s="401"/>
      <c r="AO295" s="401">
        <f t="shared" si="699"/>
        <v>1080</v>
      </c>
      <c r="AP295" s="401"/>
      <c r="AQ295" s="401">
        <f t="shared" si="777"/>
        <v>40</v>
      </c>
      <c r="AR295" s="401"/>
      <c r="AS295" s="401"/>
      <c r="AT295" s="401"/>
      <c r="AU295" s="401"/>
      <c r="AV295" s="401"/>
      <c r="AW295" s="401"/>
      <c r="AX295" s="401"/>
      <c r="AY295" s="401"/>
      <c r="AZ295" s="401"/>
      <c r="BA295" s="401"/>
      <c r="BB295" s="401"/>
      <c r="BC295" s="401"/>
      <c r="BD295" s="401"/>
      <c r="BE295" s="401"/>
      <c r="BF295" s="401"/>
      <c r="BG295" s="401"/>
      <c r="BH295" s="401"/>
      <c r="BI295" s="401"/>
      <c r="BJ295" s="82">
        <f t="shared" ref="BJ295:BR295" si="780">$I295*BJ$2</f>
        <v>132.1875</v>
      </c>
      <c r="BK295" s="82">
        <f t="shared" si="780"/>
        <v>132.1875</v>
      </c>
      <c r="BL295" s="82">
        <f t="shared" si="780"/>
        <v>132.1875</v>
      </c>
      <c r="BM295" s="82">
        <f t="shared" si="780"/>
        <v>132.1875</v>
      </c>
      <c r="BN295" s="82">
        <f t="shared" si="780"/>
        <v>132.1875</v>
      </c>
      <c r="BO295" s="82">
        <f t="shared" si="780"/>
        <v>132.1875</v>
      </c>
      <c r="BP295" s="82">
        <f t="shared" si="780"/>
        <v>132.1875</v>
      </c>
      <c r="BQ295" s="82">
        <f t="shared" si="780"/>
        <v>132.1875</v>
      </c>
      <c r="BR295" s="82">
        <f t="shared" si="780"/>
        <v>22.5</v>
      </c>
      <c r="BT295" s="82">
        <f t="shared" ref="BT295:CB295" si="781">BT294-BJ295</f>
        <v>45482.6666666667</v>
      </c>
      <c r="BU295" s="82">
        <f t="shared" si="781"/>
        <v>45482.6666666667</v>
      </c>
      <c r="BV295" s="82">
        <f t="shared" si="781"/>
        <v>45482.6666666667</v>
      </c>
      <c r="BW295" s="82">
        <f t="shared" si="781"/>
        <v>45482.6666666667</v>
      </c>
      <c r="BX295" s="82">
        <f t="shared" si="781"/>
        <v>45482.6666666667</v>
      </c>
      <c r="BY295" s="82">
        <f t="shared" si="781"/>
        <v>45482.6666666667</v>
      </c>
      <c r="BZ295" s="82">
        <f t="shared" si="781"/>
        <v>45482.6666666667</v>
      </c>
      <c r="CA295" s="82">
        <f t="shared" si="781"/>
        <v>45482.6666666667</v>
      </c>
      <c r="CB295" s="82">
        <f t="shared" si="781"/>
        <v>7693.66666666669</v>
      </c>
    </row>
    <row r="296" s="370" customFormat="1" ht="27" hidden="1" customHeight="1" spans="1:80">
      <c r="A296" s="389">
        <v>45964</v>
      </c>
      <c r="B296" s="390" t="s">
        <v>1544</v>
      </c>
      <c r="C296" s="391" t="s">
        <v>1545</v>
      </c>
      <c r="D296" s="392">
        <v>4500180758</v>
      </c>
      <c r="E296" s="391" t="s">
        <v>1554</v>
      </c>
      <c r="F296" s="390" t="s">
        <v>1555</v>
      </c>
      <c r="G296" s="393" t="s">
        <v>78</v>
      </c>
      <c r="H296" s="390" t="s">
        <v>79</v>
      </c>
      <c r="I296" s="394">
        <v>1080</v>
      </c>
      <c r="J296" s="394">
        <v>0</v>
      </c>
      <c r="K296" s="394">
        <v>54</v>
      </c>
      <c r="L296" s="394">
        <f t="shared" si="719"/>
        <v>20</v>
      </c>
      <c r="M296" s="395">
        <v>46006</v>
      </c>
      <c r="N296" s="395">
        <v>46006</v>
      </c>
      <c r="O296" s="396"/>
      <c r="P296" s="396" t="s">
        <v>107</v>
      </c>
      <c r="Q296" s="396"/>
      <c r="R296" s="402">
        <v>45973</v>
      </c>
      <c r="S296" s="402" t="s">
        <v>80</v>
      </c>
      <c r="T296" s="402" t="s">
        <v>1548</v>
      </c>
      <c r="U296" s="396"/>
      <c r="V296" s="358" t="s">
        <v>1549</v>
      </c>
      <c r="W296" s="395" t="s">
        <v>1550</v>
      </c>
      <c r="X296" s="399">
        <v>0.7913</v>
      </c>
      <c r="Y296" s="394">
        <f t="shared" si="761"/>
        <v>854.604</v>
      </c>
      <c r="Z296" s="395" t="s">
        <v>82</v>
      </c>
      <c r="AA296" s="358">
        <v>1080</v>
      </c>
      <c r="AB296" s="358">
        <f t="shared" si="622"/>
        <v>0</v>
      </c>
      <c r="AC296" s="396" t="s">
        <v>113</v>
      </c>
      <c r="AD296" s="396" t="s">
        <v>114</v>
      </c>
      <c r="AE296" s="395" t="s">
        <v>78</v>
      </c>
      <c r="AF296" s="395" t="s">
        <v>115</v>
      </c>
      <c r="AG296" s="401">
        <f t="shared" si="762"/>
        <v>1080</v>
      </c>
      <c r="AH296" s="401"/>
      <c r="AI296" s="401">
        <f t="shared" si="763"/>
        <v>1080</v>
      </c>
      <c r="AJ296" s="401"/>
      <c r="AK296" s="401">
        <f t="shared" si="768"/>
        <v>1080</v>
      </c>
      <c r="AL296" s="401"/>
      <c r="AM296" s="401"/>
      <c r="AN296" s="401"/>
      <c r="AO296" s="401">
        <f t="shared" si="699"/>
        <v>1080</v>
      </c>
      <c r="AP296" s="401"/>
      <c r="AQ296" s="401">
        <f t="shared" si="777"/>
        <v>40</v>
      </c>
      <c r="AR296" s="401"/>
      <c r="AS296" s="401"/>
      <c r="AT296" s="401"/>
      <c r="AU296" s="401"/>
      <c r="AV296" s="401"/>
      <c r="AW296" s="401"/>
      <c r="AX296" s="401"/>
      <c r="AY296" s="401"/>
      <c r="AZ296" s="401"/>
      <c r="BA296" s="401"/>
      <c r="BB296" s="401"/>
      <c r="BC296" s="401"/>
      <c r="BD296" s="401"/>
      <c r="BE296" s="401"/>
      <c r="BF296" s="401"/>
      <c r="BG296" s="401"/>
      <c r="BH296" s="401"/>
      <c r="BI296" s="401"/>
      <c r="BJ296" s="82">
        <f t="shared" ref="BJ296:BR296" si="782">$I296*BJ$2</f>
        <v>132.1875</v>
      </c>
      <c r="BK296" s="82">
        <f t="shared" si="782"/>
        <v>132.1875</v>
      </c>
      <c r="BL296" s="82">
        <f t="shared" si="782"/>
        <v>132.1875</v>
      </c>
      <c r="BM296" s="82">
        <f t="shared" si="782"/>
        <v>132.1875</v>
      </c>
      <c r="BN296" s="82">
        <f t="shared" si="782"/>
        <v>132.1875</v>
      </c>
      <c r="BO296" s="82">
        <f t="shared" si="782"/>
        <v>132.1875</v>
      </c>
      <c r="BP296" s="82">
        <f t="shared" si="782"/>
        <v>132.1875</v>
      </c>
      <c r="BQ296" s="82">
        <f t="shared" si="782"/>
        <v>132.1875</v>
      </c>
      <c r="BR296" s="82">
        <f t="shared" si="782"/>
        <v>22.5</v>
      </c>
      <c r="BT296" s="82">
        <f t="shared" ref="BT296:CB296" si="783">BT295-BJ296</f>
        <v>45350.4791666667</v>
      </c>
      <c r="BU296" s="82">
        <f t="shared" si="783"/>
        <v>45350.4791666667</v>
      </c>
      <c r="BV296" s="82">
        <f t="shared" si="783"/>
        <v>45350.4791666667</v>
      </c>
      <c r="BW296" s="82">
        <f t="shared" si="783"/>
        <v>45350.4791666667</v>
      </c>
      <c r="BX296" s="82">
        <f t="shared" si="783"/>
        <v>45350.4791666667</v>
      </c>
      <c r="BY296" s="82">
        <f t="shared" si="783"/>
        <v>45350.4791666667</v>
      </c>
      <c r="BZ296" s="82">
        <f t="shared" si="783"/>
        <v>45350.4791666667</v>
      </c>
      <c r="CA296" s="82">
        <f t="shared" si="783"/>
        <v>45350.4791666667</v>
      </c>
      <c r="CB296" s="82">
        <f t="shared" si="783"/>
        <v>7671.16666666669</v>
      </c>
    </row>
    <row r="297" s="370" customFormat="1" ht="27" hidden="1" customHeight="1" spans="1:80">
      <c r="A297" s="389">
        <v>45972</v>
      </c>
      <c r="B297" s="390" t="s">
        <v>1384</v>
      </c>
      <c r="C297" s="391" t="s">
        <v>689</v>
      </c>
      <c r="D297" s="392">
        <v>4500185221</v>
      </c>
      <c r="E297" s="391">
        <v>5000002057</v>
      </c>
      <c r="F297" s="390" t="s">
        <v>1556</v>
      </c>
      <c r="G297" s="393" t="s">
        <v>152</v>
      </c>
      <c r="H297" s="390" t="s">
        <v>153</v>
      </c>
      <c r="I297" s="394">
        <v>2600</v>
      </c>
      <c r="J297" s="394">
        <v>0</v>
      </c>
      <c r="K297" s="394">
        <v>13</v>
      </c>
      <c r="L297" s="394">
        <f t="shared" si="719"/>
        <v>200</v>
      </c>
      <c r="M297" s="395">
        <v>46008</v>
      </c>
      <c r="N297" s="395">
        <v>46006</v>
      </c>
      <c r="O297" s="396"/>
      <c r="P297" s="396" t="s">
        <v>107</v>
      </c>
      <c r="Q297" s="396" t="s">
        <v>1557</v>
      </c>
      <c r="R297" s="397" t="s">
        <v>1558</v>
      </c>
      <c r="S297" s="396" t="s">
        <v>80</v>
      </c>
      <c r="T297" s="396" t="s">
        <v>1559</v>
      </c>
      <c r="U297" s="396"/>
      <c r="V297" s="358" t="s">
        <v>1560</v>
      </c>
      <c r="W297" s="395" t="s">
        <v>1068</v>
      </c>
      <c r="X297" s="399">
        <v>0.7758</v>
      </c>
      <c r="Y297" s="394">
        <f t="shared" si="761"/>
        <v>2017.08</v>
      </c>
      <c r="Z297" s="395" t="s">
        <v>82</v>
      </c>
      <c r="AA297" s="358">
        <v>2600</v>
      </c>
      <c r="AB297" s="358">
        <f t="shared" si="622"/>
        <v>0</v>
      </c>
      <c r="AC297" s="396" t="s">
        <v>113</v>
      </c>
      <c r="AD297" s="396" t="s">
        <v>114</v>
      </c>
      <c r="AE297" s="395" t="s">
        <v>696</v>
      </c>
      <c r="AF297" s="395" t="s">
        <v>115</v>
      </c>
      <c r="AG297" s="401">
        <f t="shared" si="762"/>
        <v>2600</v>
      </c>
      <c r="AH297" s="401"/>
      <c r="AI297" s="401">
        <f t="shared" si="763"/>
        <v>2600</v>
      </c>
      <c r="AJ297" s="401"/>
      <c r="AK297" s="401">
        <f t="shared" si="768"/>
        <v>2600</v>
      </c>
      <c r="AL297" s="401"/>
      <c r="AM297" s="401"/>
      <c r="AN297" s="401"/>
      <c r="AO297" s="401"/>
      <c r="AP297" s="401">
        <f>I297</f>
        <v>2600</v>
      </c>
      <c r="AQ297" s="401"/>
      <c r="AR297" s="401"/>
      <c r="AS297" s="401"/>
      <c r="AT297" s="401">
        <f>I297/13</f>
        <v>200</v>
      </c>
      <c r="AU297" s="401"/>
      <c r="AV297" s="401"/>
      <c r="AW297" s="401"/>
      <c r="AX297" s="401"/>
      <c r="AY297" s="401"/>
      <c r="AZ297" s="401"/>
      <c r="BA297" s="401"/>
      <c r="BB297" s="401"/>
      <c r="BC297" s="401"/>
      <c r="BD297" s="401"/>
      <c r="BE297" s="401"/>
      <c r="BF297" s="401"/>
      <c r="BG297" s="401"/>
      <c r="BH297" s="401"/>
      <c r="BI297" s="401"/>
      <c r="BJ297" s="82">
        <f t="shared" ref="BJ297:BR297" si="784">$I297*BJ$2</f>
        <v>318.229166666666</v>
      </c>
      <c r="BK297" s="82">
        <f t="shared" si="784"/>
        <v>318.229166666666</v>
      </c>
      <c r="BL297" s="82">
        <f t="shared" si="784"/>
        <v>318.229166666666</v>
      </c>
      <c r="BM297" s="82">
        <f t="shared" si="784"/>
        <v>318.229166666666</v>
      </c>
      <c r="BN297" s="82">
        <f t="shared" si="784"/>
        <v>318.229166666666</v>
      </c>
      <c r="BO297" s="82">
        <f t="shared" si="784"/>
        <v>318.229166666666</v>
      </c>
      <c r="BP297" s="82">
        <f t="shared" si="784"/>
        <v>318.229166666666</v>
      </c>
      <c r="BQ297" s="82">
        <f t="shared" si="784"/>
        <v>318.229166666666</v>
      </c>
      <c r="BR297" s="82">
        <f t="shared" si="784"/>
        <v>54.1666666666666</v>
      </c>
      <c r="BT297" s="82">
        <f t="shared" ref="BT297:CB297" si="785">BT296-BJ297</f>
        <v>45032.2500000001</v>
      </c>
      <c r="BU297" s="82">
        <f t="shared" si="785"/>
        <v>45032.2500000001</v>
      </c>
      <c r="BV297" s="82">
        <f t="shared" si="785"/>
        <v>45032.2500000001</v>
      </c>
      <c r="BW297" s="82">
        <f t="shared" si="785"/>
        <v>45032.2500000001</v>
      </c>
      <c r="BX297" s="82">
        <f t="shared" si="785"/>
        <v>45032.2500000001</v>
      </c>
      <c r="BY297" s="82">
        <f t="shared" si="785"/>
        <v>45032.2500000001</v>
      </c>
      <c r="BZ297" s="82">
        <f t="shared" si="785"/>
        <v>45032.2500000001</v>
      </c>
      <c r="CA297" s="82">
        <f t="shared" si="785"/>
        <v>45032.2500000001</v>
      </c>
      <c r="CB297" s="82">
        <f t="shared" si="785"/>
        <v>7617.00000000002</v>
      </c>
    </row>
    <row r="298" s="370" customFormat="1" ht="27" hidden="1" customHeight="1" spans="1:80">
      <c r="A298" s="389">
        <v>45995</v>
      </c>
      <c r="B298" s="390" t="s">
        <v>326</v>
      </c>
      <c r="C298" s="391" t="s">
        <v>117</v>
      </c>
      <c r="D298" s="392">
        <v>4500188055</v>
      </c>
      <c r="E298" s="534" t="s">
        <v>1561</v>
      </c>
      <c r="F298" s="390" t="s">
        <v>1562</v>
      </c>
      <c r="G298" s="393" t="s">
        <v>258</v>
      </c>
      <c r="H298" s="390" t="s">
        <v>259</v>
      </c>
      <c r="I298" s="394">
        <v>9216</v>
      </c>
      <c r="J298" s="394">
        <v>0</v>
      </c>
      <c r="K298" s="394">
        <v>1152</v>
      </c>
      <c r="L298" s="394">
        <f t="shared" si="719"/>
        <v>8</v>
      </c>
      <c r="M298" s="395">
        <v>46027</v>
      </c>
      <c r="N298" s="395">
        <v>46027</v>
      </c>
      <c r="O298" s="396" t="s">
        <v>1563</v>
      </c>
      <c r="P298" s="396" t="s">
        <v>107</v>
      </c>
      <c r="Q298" s="396"/>
      <c r="R298" s="402" t="s">
        <v>331</v>
      </c>
      <c r="S298" s="396" t="s">
        <v>191</v>
      </c>
      <c r="T298" s="396" t="s">
        <v>1564</v>
      </c>
      <c r="U298" s="396"/>
      <c r="V298" s="358" t="s">
        <v>1320</v>
      </c>
      <c r="W298" s="395" t="s">
        <v>265</v>
      </c>
      <c r="X298" s="399">
        <v>62.7125</v>
      </c>
      <c r="Y298" s="394">
        <f>X298*L298</f>
        <v>501.7</v>
      </c>
      <c r="Z298" s="395" t="s">
        <v>82</v>
      </c>
      <c r="AA298" s="358"/>
      <c r="AB298" s="358">
        <f t="shared" ref="AB298:AB303" si="786">AA298-I298</f>
        <v>-9216</v>
      </c>
      <c r="AC298" s="396" t="s">
        <v>113</v>
      </c>
      <c r="AD298" s="396" t="s">
        <v>114</v>
      </c>
      <c r="AE298" s="393" t="s">
        <v>258</v>
      </c>
      <c r="AF298" s="395" t="s">
        <v>115</v>
      </c>
      <c r="AG298" s="401">
        <f t="shared" si="762"/>
        <v>9216</v>
      </c>
      <c r="AH298" s="401"/>
      <c r="AI298" s="401">
        <f t="shared" si="763"/>
        <v>9216</v>
      </c>
      <c r="AJ298" s="401"/>
      <c r="AK298" s="401">
        <f t="shared" si="768"/>
        <v>9216</v>
      </c>
      <c r="AL298" s="401"/>
      <c r="AM298" s="401"/>
      <c r="AN298" s="401"/>
      <c r="AO298" s="401">
        <f t="shared" ref="AO298:AO308" si="787">I298</f>
        <v>9216</v>
      </c>
      <c r="AP298" s="401"/>
      <c r="AQ298" s="401"/>
      <c r="AR298" s="401"/>
      <c r="AS298" s="401"/>
      <c r="AT298" s="401"/>
      <c r="AU298" s="401"/>
      <c r="AV298" s="401">
        <f>I298/12</f>
        <v>768</v>
      </c>
      <c r="AW298" s="401"/>
      <c r="AY298" s="401"/>
      <c r="AZ298" s="401"/>
      <c r="BA298" s="401"/>
      <c r="BB298" s="401"/>
      <c r="BC298" s="401"/>
      <c r="BD298" s="401"/>
      <c r="BE298" s="401"/>
      <c r="BF298" s="401"/>
      <c r="BG298" s="401"/>
      <c r="BH298" s="401"/>
      <c r="BI298" s="401"/>
      <c r="BJ298" s="82">
        <f t="shared" ref="BJ298:BR298" si="788">$I298*BJ$2</f>
        <v>1128</v>
      </c>
      <c r="BK298" s="82">
        <f t="shared" si="788"/>
        <v>1128</v>
      </c>
      <c r="BL298" s="82">
        <f t="shared" si="788"/>
        <v>1128</v>
      </c>
      <c r="BM298" s="82">
        <f t="shared" si="788"/>
        <v>1128</v>
      </c>
      <c r="BN298" s="82">
        <f t="shared" si="788"/>
        <v>1128</v>
      </c>
      <c r="BO298" s="82">
        <f t="shared" si="788"/>
        <v>1128</v>
      </c>
      <c r="BP298" s="82">
        <f t="shared" si="788"/>
        <v>1128</v>
      </c>
      <c r="BQ298" s="82">
        <f t="shared" si="788"/>
        <v>1128</v>
      </c>
      <c r="BR298" s="82">
        <f t="shared" si="788"/>
        <v>192</v>
      </c>
      <c r="BT298" s="82">
        <f t="shared" ref="BT298:CB298" si="789">BT297-BJ298</f>
        <v>43904.2500000001</v>
      </c>
      <c r="BU298" s="82">
        <f t="shared" si="789"/>
        <v>43904.2500000001</v>
      </c>
      <c r="BV298" s="82">
        <f t="shared" si="789"/>
        <v>43904.2500000001</v>
      </c>
      <c r="BW298" s="82">
        <f t="shared" si="789"/>
        <v>43904.2500000001</v>
      </c>
      <c r="BX298" s="82">
        <f t="shared" si="789"/>
        <v>43904.2500000001</v>
      </c>
      <c r="BY298" s="82">
        <f t="shared" si="789"/>
        <v>43904.2500000001</v>
      </c>
      <c r="BZ298" s="82">
        <f t="shared" si="789"/>
        <v>43904.2500000001</v>
      </c>
      <c r="CA298" s="82">
        <f t="shared" si="789"/>
        <v>43904.2500000001</v>
      </c>
      <c r="CB298" s="82">
        <f t="shared" si="789"/>
        <v>7425.00000000002</v>
      </c>
    </row>
    <row r="299" s="370" customFormat="1" ht="27" hidden="1" customHeight="1" spans="1:80">
      <c r="A299" s="389">
        <v>45968</v>
      </c>
      <c r="B299" s="390" t="s">
        <v>1565</v>
      </c>
      <c r="C299" s="391" t="s">
        <v>1566</v>
      </c>
      <c r="D299" s="392">
        <v>4500183616</v>
      </c>
      <c r="E299" s="391" t="s">
        <v>1567</v>
      </c>
      <c r="F299" s="390" t="s">
        <v>1568</v>
      </c>
      <c r="G299" s="393" t="s">
        <v>78</v>
      </c>
      <c r="H299" s="390" t="s">
        <v>79</v>
      </c>
      <c r="I299" s="394">
        <v>1782</v>
      </c>
      <c r="J299" s="394">
        <v>0</v>
      </c>
      <c r="K299" s="394">
        <v>54</v>
      </c>
      <c r="L299" s="394">
        <f t="shared" si="719"/>
        <v>33</v>
      </c>
      <c r="M299" s="395">
        <v>46031</v>
      </c>
      <c r="N299" s="395">
        <v>46027</v>
      </c>
      <c r="O299" s="396"/>
      <c r="P299" s="396" t="s">
        <v>224</v>
      </c>
      <c r="Q299" s="396" t="s">
        <v>1569</v>
      </c>
      <c r="R299" s="402">
        <v>45982</v>
      </c>
      <c r="S299" s="402" t="s">
        <v>80</v>
      </c>
      <c r="T299" s="396" t="s">
        <v>1570</v>
      </c>
      <c r="U299" s="396"/>
      <c r="V299" s="358" t="s">
        <v>1571</v>
      </c>
      <c r="W299" s="395" t="s">
        <v>228</v>
      </c>
      <c r="X299" s="399">
        <v>0.7913</v>
      </c>
      <c r="Y299" s="394">
        <f t="shared" ref="Y299:Y310" si="790">X299*I299</f>
        <v>1410.0966</v>
      </c>
      <c r="Z299" s="395" t="s">
        <v>82</v>
      </c>
      <c r="AA299" s="358">
        <v>1782</v>
      </c>
      <c r="AB299" s="358">
        <f t="shared" si="786"/>
        <v>0</v>
      </c>
      <c r="AC299" s="396" t="s">
        <v>113</v>
      </c>
      <c r="AD299" s="396" t="s">
        <v>114</v>
      </c>
      <c r="AE299" s="395" t="s">
        <v>230</v>
      </c>
      <c r="AF299" s="395" t="s">
        <v>115</v>
      </c>
      <c r="AG299" s="401">
        <f t="shared" si="762"/>
        <v>1782</v>
      </c>
      <c r="AH299" s="401"/>
      <c r="AI299" s="401">
        <f t="shared" si="763"/>
        <v>1782</v>
      </c>
      <c r="AJ299" s="401"/>
      <c r="AK299" s="401"/>
      <c r="AL299" s="401">
        <f t="shared" ref="AL299:AL302" si="791">I299</f>
        <v>1782</v>
      </c>
      <c r="AM299" s="401"/>
      <c r="AN299" s="401"/>
      <c r="AO299" s="401">
        <f t="shared" si="787"/>
        <v>1782</v>
      </c>
      <c r="AP299" s="401"/>
      <c r="AQ299" s="401"/>
      <c r="AR299" s="401"/>
      <c r="AS299" s="401">
        <f>I299/27</f>
        <v>66</v>
      </c>
      <c r="AT299" s="401"/>
      <c r="AU299" s="401"/>
      <c r="AV299" s="401"/>
      <c r="AW299" s="401"/>
      <c r="AX299" s="401"/>
      <c r="AY299" s="401"/>
      <c r="AZ299" s="401"/>
      <c r="BA299" s="401"/>
      <c r="BB299" s="401"/>
      <c r="BC299" s="401"/>
      <c r="BD299" s="401"/>
      <c r="BE299" s="401"/>
      <c r="BF299" s="401"/>
      <c r="BG299" s="401"/>
      <c r="BH299" s="401"/>
      <c r="BI299" s="401"/>
      <c r="BJ299" s="82">
        <f t="shared" ref="BJ299:BR299" si="792">$I299*BJ$2</f>
        <v>218.109374999999</v>
      </c>
      <c r="BK299" s="82">
        <f t="shared" si="792"/>
        <v>218.109374999999</v>
      </c>
      <c r="BL299" s="82">
        <f t="shared" si="792"/>
        <v>218.109374999999</v>
      </c>
      <c r="BM299" s="82">
        <f t="shared" si="792"/>
        <v>218.109374999999</v>
      </c>
      <c r="BN299" s="82">
        <f t="shared" si="792"/>
        <v>218.109374999999</v>
      </c>
      <c r="BO299" s="82">
        <f t="shared" si="792"/>
        <v>218.109374999999</v>
      </c>
      <c r="BP299" s="82">
        <f t="shared" si="792"/>
        <v>218.109374999999</v>
      </c>
      <c r="BQ299" s="82">
        <f t="shared" si="792"/>
        <v>218.109374999999</v>
      </c>
      <c r="BR299" s="82">
        <f t="shared" si="792"/>
        <v>37.1249999999999</v>
      </c>
      <c r="BT299" s="82">
        <f t="shared" ref="BT299:CB299" si="793">BT298-BJ299</f>
        <v>43686.1406250001</v>
      </c>
      <c r="BU299" s="82">
        <f t="shared" si="793"/>
        <v>43686.1406250001</v>
      </c>
      <c r="BV299" s="82">
        <f t="shared" si="793"/>
        <v>43686.1406250001</v>
      </c>
      <c r="BW299" s="82">
        <f t="shared" si="793"/>
        <v>43686.1406250001</v>
      </c>
      <c r="BX299" s="82">
        <f t="shared" si="793"/>
        <v>43686.1406250001</v>
      </c>
      <c r="BY299" s="82">
        <f t="shared" si="793"/>
        <v>43686.1406250001</v>
      </c>
      <c r="BZ299" s="82">
        <f t="shared" si="793"/>
        <v>43686.1406250001</v>
      </c>
      <c r="CA299" s="82">
        <f t="shared" si="793"/>
        <v>43686.1406250001</v>
      </c>
      <c r="CB299" s="82">
        <f t="shared" si="793"/>
        <v>7387.87500000002</v>
      </c>
    </row>
    <row r="300" s="370" customFormat="1" ht="27" hidden="1" customHeight="1" spans="1:80">
      <c r="A300" s="389">
        <v>45978</v>
      </c>
      <c r="B300" s="390" t="s">
        <v>1572</v>
      </c>
      <c r="C300" s="391" t="s">
        <v>1573</v>
      </c>
      <c r="D300" s="392">
        <v>4500185782</v>
      </c>
      <c r="E300" s="391"/>
      <c r="F300" s="390" t="s">
        <v>1574</v>
      </c>
      <c r="G300" s="393" t="s">
        <v>1575</v>
      </c>
      <c r="H300" s="390" t="s">
        <v>1576</v>
      </c>
      <c r="I300" s="394">
        <v>5000</v>
      </c>
      <c r="J300" s="394">
        <v>0</v>
      </c>
      <c r="K300" s="394">
        <v>8</v>
      </c>
      <c r="L300" s="394">
        <f t="shared" si="719"/>
        <v>625</v>
      </c>
      <c r="M300" s="395">
        <v>46027</v>
      </c>
      <c r="N300" s="395">
        <v>46030</v>
      </c>
      <c r="O300" s="396"/>
      <c r="P300" s="396" t="s">
        <v>107</v>
      </c>
      <c r="Q300" s="396"/>
      <c r="R300" s="402">
        <v>45999</v>
      </c>
      <c r="S300" s="396" t="s">
        <v>80</v>
      </c>
      <c r="T300" s="396" t="s">
        <v>1577</v>
      </c>
      <c r="U300" s="396"/>
      <c r="V300" s="358" t="s">
        <v>1578</v>
      </c>
      <c r="W300" s="395" t="s">
        <v>881</v>
      </c>
      <c r="X300" s="399">
        <v>0.8485</v>
      </c>
      <c r="Y300" s="394">
        <f t="shared" si="790"/>
        <v>4242.5</v>
      </c>
      <c r="Z300" s="395" t="s">
        <v>82</v>
      </c>
      <c r="AA300" s="358"/>
      <c r="AB300" s="358">
        <f t="shared" si="786"/>
        <v>-5000</v>
      </c>
      <c r="AC300" s="396" t="s">
        <v>113</v>
      </c>
      <c r="AD300" s="396" t="s">
        <v>114</v>
      </c>
      <c r="AE300" s="393" t="s">
        <v>1575</v>
      </c>
      <c r="AF300" s="395" t="s">
        <v>115</v>
      </c>
      <c r="AG300" s="401">
        <f t="shared" si="762"/>
        <v>5000</v>
      </c>
      <c r="AH300" s="401"/>
      <c r="AI300" s="401">
        <f t="shared" si="763"/>
        <v>5000</v>
      </c>
      <c r="AJ300" s="401"/>
      <c r="AK300" s="401"/>
      <c r="AL300" s="401">
        <f t="shared" si="791"/>
        <v>5000</v>
      </c>
      <c r="AM300" s="401"/>
      <c r="AN300" s="401"/>
      <c r="AO300" s="401">
        <f t="shared" si="787"/>
        <v>5000</v>
      </c>
      <c r="AP300" s="401"/>
      <c r="AQ300" s="401"/>
      <c r="AR300" s="401"/>
      <c r="AS300" s="401"/>
      <c r="AT300" s="401"/>
      <c r="AU300" s="401"/>
      <c r="AV300" s="401"/>
      <c r="AW300" s="401"/>
      <c r="AY300" s="401">
        <f>I300/8</f>
        <v>625</v>
      </c>
      <c r="AZ300" s="401"/>
      <c r="BA300" s="401"/>
      <c r="BB300" s="401"/>
      <c r="BC300" s="401"/>
      <c r="BD300" s="401"/>
      <c r="BE300" s="401"/>
      <c r="BF300" s="401"/>
      <c r="BG300" s="401"/>
      <c r="BH300" s="401"/>
      <c r="BI300" s="401"/>
      <c r="BJ300" s="82">
        <f t="shared" ref="BJ300:BR300" si="794">$I300*BJ$2</f>
        <v>611.979166666665</v>
      </c>
      <c r="BK300" s="82">
        <f t="shared" si="794"/>
        <v>611.979166666665</v>
      </c>
      <c r="BL300" s="82">
        <f t="shared" si="794"/>
        <v>611.979166666665</v>
      </c>
      <c r="BM300" s="82">
        <f t="shared" si="794"/>
        <v>611.979166666665</v>
      </c>
      <c r="BN300" s="82">
        <f t="shared" si="794"/>
        <v>611.979166666665</v>
      </c>
      <c r="BO300" s="82">
        <f t="shared" si="794"/>
        <v>611.979166666665</v>
      </c>
      <c r="BP300" s="82">
        <f t="shared" si="794"/>
        <v>611.979166666665</v>
      </c>
      <c r="BQ300" s="82">
        <f t="shared" si="794"/>
        <v>611.979166666665</v>
      </c>
      <c r="BR300" s="82">
        <f t="shared" si="794"/>
        <v>104.166666666667</v>
      </c>
      <c r="BT300" s="82">
        <f t="shared" ref="BT300:CB300" si="795">BT299-BJ300</f>
        <v>43074.1614583334</v>
      </c>
      <c r="BU300" s="82">
        <f t="shared" si="795"/>
        <v>43074.1614583334</v>
      </c>
      <c r="BV300" s="82">
        <f t="shared" si="795"/>
        <v>43074.1614583334</v>
      </c>
      <c r="BW300" s="82">
        <f t="shared" si="795"/>
        <v>43074.1614583334</v>
      </c>
      <c r="BX300" s="82">
        <f t="shared" si="795"/>
        <v>43074.1614583334</v>
      </c>
      <c r="BY300" s="82">
        <f t="shared" si="795"/>
        <v>43074.1614583334</v>
      </c>
      <c r="BZ300" s="82">
        <f t="shared" si="795"/>
        <v>43074.1614583334</v>
      </c>
      <c r="CA300" s="82">
        <f t="shared" si="795"/>
        <v>43074.1614583334</v>
      </c>
      <c r="CB300" s="82">
        <f t="shared" si="795"/>
        <v>7283.70833333335</v>
      </c>
    </row>
    <row r="301" s="370" customFormat="1" ht="27" hidden="1" customHeight="1" spans="1:80">
      <c r="A301" s="389">
        <v>45992</v>
      </c>
      <c r="B301" s="390" t="s">
        <v>701</v>
      </c>
      <c r="C301" s="391" t="s">
        <v>396</v>
      </c>
      <c r="D301" s="392">
        <v>4500187528</v>
      </c>
      <c r="E301" s="391">
        <v>2950867457</v>
      </c>
      <c r="F301" s="390" t="s">
        <v>1579</v>
      </c>
      <c r="G301" s="393" t="s">
        <v>703</v>
      </c>
      <c r="H301" s="390" t="s">
        <v>704</v>
      </c>
      <c r="I301" s="394">
        <v>2080</v>
      </c>
      <c r="J301" s="394">
        <v>0</v>
      </c>
      <c r="K301" s="394">
        <v>1040</v>
      </c>
      <c r="L301" s="394">
        <f t="shared" si="719"/>
        <v>2</v>
      </c>
      <c r="M301" s="395">
        <v>46034</v>
      </c>
      <c r="N301" s="395">
        <v>46030</v>
      </c>
      <c r="O301" s="396"/>
      <c r="P301" s="396" t="s">
        <v>224</v>
      </c>
      <c r="Q301" s="396"/>
      <c r="R301" s="403">
        <v>45992</v>
      </c>
      <c r="S301" s="396" t="s">
        <v>80</v>
      </c>
      <c r="T301" s="404" t="s">
        <v>706</v>
      </c>
      <c r="U301" s="396"/>
      <c r="V301" s="358" t="s">
        <v>1580</v>
      </c>
      <c r="W301" s="395" t="s">
        <v>1207</v>
      </c>
      <c r="X301" s="399">
        <v>82.6221</v>
      </c>
      <c r="Y301" s="394">
        <f>X301*L301</f>
        <v>165.2442</v>
      </c>
      <c r="Z301" s="395" t="s">
        <v>82</v>
      </c>
      <c r="AA301" s="358">
        <v>2080</v>
      </c>
      <c r="AB301" s="358">
        <f t="shared" si="786"/>
        <v>0</v>
      </c>
      <c r="AC301" s="396" t="s">
        <v>80</v>
      </c>
      <c r="AD301" s="396" t="s">
        <v>114</v>
      </c>
      <c r="AE301" s="395" t="s">
        <v>703</v>
      </c>
      <c r="AF301" s="395" t="s">
        <v>115</v>
      </c>
      <c r="AG301" s="401">
        <f t="shared" si="762"/>
        <v>2080</v>
      </c>
      <c r="AH301" s="401"/>
      <c r="AI301" s="401">
        <f t="shared" si="763"/>
        <v>2080</v>
      </c>
      <c r="AJ301" s="401"/>
      <c r="AK301" s="401">
        <f t="shared" ref="AK301:AK305" si="796">I301</f>
        <v>2080</v>
      </c>
      <c r="AL301" s="401"/>
      <c r="AM301" s="401"/>
      <c r="AN301" s="401"/>
      <c r="AO301" s="401">
        <f t="shared" si="787"/>
        <v>2080</v>
      </c>
      <c r="AP301" s="401"/>
      <c r="AQ301" s="401"/>
      <c r="AR301" s="401"/>
      <c r="AS301" s="401"/>
      <c r="AT301" s="401">
        <f t="shared" ref="AT301:AT305" si="797">I301/13</f>
        <v>160</v>
      </c>
      <c r="AU301" s="401"/>
      <c r="AV301" s="401"/>
      <c r="AW301" s="401"/>
      <c r="AX301" s="401"/>
      <c r="AY301" s="401"/>
      <c r="AZ301" s="401"/>
      <c r="BA301" s="401"/>
      <c r="BB301" s="401"/>
      <c r="BC301" s="401"/>
      <c r="BD301" s="401"/>
      <c r="BE301" s="401"/>
      <c r="BF301" s="401"/>
      <c r="BG301" s="401"/>
      <c r="BH301" s="401"/>
      <c r="BI301" s="401"/>
      <c r="BJ301" s="82">
        <f t="shared" ref="BJ301:BR301" si="798">$I301*BJ$2</f>
        <v>254.583333333333</v>
      </c>
      <c r="BK301" s="82">
        <f t="shared" si="798"/>
        <v>254.583333333333</v>
      </c>
      <c r="BL301" s="82">
        <f t="shared" si="798"/>
        <v>254.583333333333</v>
      </c>
      <c r="BM301" s="82">
        <f t="shared" si="798"/>
        <v>254.583333333333</v>
      </c>
      <c r="BN301" s="82">
        <f t="shared" si="798"/>
        <v>254.583333333333</v>
      </c>
      <c r="BO301" s="82">
        <f t="shared" si="798"/>
        <v>254.583333333333</v>
      </c>
      <c r="BP301" s="82">
        <f t="shared" si="798"/>
        <v>254.583333333333</v>
      </c>
      <c r="BQ301" s="82">
        <f t="shared" si="798"/>
        <v>254.583333333333</v>
      </c>
      <c r="BR301" s="82">
        <f t="shared" si="798"/>
        <v>43.3333333333333</v>
      </c>
      <c r="BT301" s="82">
        <f t="shared" ref="BT301:CB301" si="799">BT300-BJ301</f>
        <v>42819.5781250001</v>
      </c>
      <c r="BU301" s="82">
        <f t="shared" si="799"/>
        <v>42819.5781250001</v>
      </c>
      <c r="BV301" s="82">
        <f t="shared" si="799"/>
        <v>42819.5781250001</v>
      </c>
      <c r="BW301" s="82">
        <f t="shared" si="799"/>
        <v>42819.5781250001</v>
      </c>
      <c r="BX301" s="82">
        <f t="shared" si="799"/>
        <v>42819.5781250001</v>
      </c>
      <c r="BY301" s="82">
        <f t="shared" si="799"/>
        <v>42819.5781250001</v>
      </c>
      <c r="BZ301" s="82">
        <f t="shared" si="799"/>
        <v>42819.5781250001</v>
      </c>
      <c r="CA301" s="82">
        <f t="shared" si="799"/>
        <v>42819.5781250001</v>
      </c>
      <c r="CB301" s="82">
        <f t="shared" si="799"/>
        <v>7240.37500000002</v>
      </c>
    </row>
    <row r="302" s="4" customFormat="1" ht="27" hidden="1" customHeight="1" spans="1:80">
      <c r="A302" s="47">
        <v>45993</v>
      </c>
      <c r="B302" s="48" t="s">
        <v>1572</v>
      </c>
      <c r="C302" s="49" t="s">
        <v>1573</v>
      </c>
      <c r="D302" s="50">
        <v>4500187691</v>
      </c>
      <c r="E302" s="49"/>
      <c r="F302" s="48" t="s">
        <v>1581</v>
      </c>
      <c r="G302" s="51" t="s">
        <v>1575</v>
      </c>
      <c r="H302" s="48" t="s">
        <v>1576</v>
      </c>
      <c r="I302" s="52">
        <v>5000</v>
      </c>
      <c r="J302" s="52">
        <v>0</v>
      </c>
      <c r="K302" s="52">
        <v>8</v>
      </c>
      <c r="L302" s="52">
        <f t="shared" si="719"/>
        <v>625</v>
      </c>
      <c r="M302" s="53">
        <v>46038</v>
      </c>
      <c r="N302" s="53">
        <v>46034</v>
      </c>
      <c r="O302" s="54"/>
      <c r="P302" s="54"/>
      <c r="Q302" s="54"/>
      <c r="R302" s="527" t="s">
        <v>1582</v>
      </c>
      <c r="S302" s="54" t="s">
        <v>80</v>
      </c>
      <c r="T302" s="54" t="s">
        <v>1577</v>
      </c>
      <c r="U302" s="54"/>
      <c r="V302" s="55" t="s">
        <v>1583</v>
      </c>
      <c r="W302" s="53" t="s">
        <v>881</v>
      </c>
      <c r="X302" s="56">
        <v>0.7932</v>
      </c>
      <c r="Y302" s="52">
        <f t="shared" si="790"/>
        <v>3966</v>
      </c>
      <c r="Z302" s="53" t="s">
        <v>82</v>
      </c>
      <c r="AA302" s="55"/>
      <c r="AB302" s="358">
        <f t="shared" si="786"/>
        <v>-5000</v>
      </c>
      <c r="AC302" s="54" t="s">
        <v>113</v>
      </c>
      <c r="AD302" s="417" t="s">
        <v>114</v>
      </c>
      <c r="AE302" s="51" t="s">
        <v>1575</v>
      </c>
      <c r="AF302" s="53" t="s">
        <v>115</v>
      </c>
      <c r="AG302" s="57">
        <f t="shared" si="762"/>
        <v>5000</v>
      </c>
      <c r="AH302" s="57"/>
      <c r="AI302" s="57">
        <f t="shared" si="763"/>
        <v>5000</v>
      </c>
      <c r="AJ302" s="57"/>
      <c r="AK302" s="57"/>
      <c r="AL302" s="57">
        <f t="shared" si="791"/>
        <v>5000</v>
      </c>
      <c r="AM302" s="57"/>
      <c r="AN302" s="57"/>
      <c r="AO302" s="57">
        <f t="shared" si="787"/>
        <v>5000</v>
      </c>
      <c r="AP302" s="57"/>
      <c r="AQ302" s="57"/>
      <c r="AR302" s="57"/>
      <c r="AS302" s="57"/>
      <c r="AT302" s="57"/>
      <c r="AU302" s="57"/>
      <c r="AV302" s="57"/>
      <c r="AW302" s="57"/>
      <c r="AX302" s="57"/>
      <c r="AY302" s="57">
        <f>I302/8</f>
        <v>625</v>
      </c>
      <c r="AZ302" s="57"/>
      <c r="BA302" s="57"/>
      <c r="BB302" s="57"/>
      <c r="BC302" s="57"/>
      <c r="BD302" s="57"/>
      <c r="BE302" s="57"/>
      <c r="BF302" s="57"/>
      <c r="BG302" s="57"/>
      <c r="BH302" s="57"/>
      <c r="BI302" s="57"/>
      <c r="BJ302" s="59">
        <f t="shared" ref="BJ302:BR302" si="800">$I302*BJ$2</f>
        <v>611.979166666665</v>
      </c>
      <c r="BK302" s="59">
        <f t="shared" si="800"/>
        <v>611.979166666665</v>
      </c>
      <c r="BL302" s="59">
        <f t="shared" si="800"/>
        <v>611.979166666665</v>
      </c>
      <c r="BM302" s="59">
        <f t="shared" si="800"/>
        <v>611.979166666665</v>
      </c>
      <c r="BN302" s="59">
        <f t="shared" si="800"/>
        <v>611.979166666665</v>
      </c>
      <c r="BO302" s="59">
        <f t="shared" si="800"/>
        <v>611.979166666665</v>
      </c>
      <c r="BP302" s="59">
        <f t="shared" si="800"/>
        <v>611.979166666665</v>
      </c>
      <c r="BQ302" s="59">
        <f t="shared" si="800"/>
        <v>611.979166666665</v>
      </c>
      <c r="BR302" s="59">
        <f t="shared" si="800"/>
        <v>104.166666666667</v>
      </c>
      <c r="BT302" s="59">
        <f t="shared" ref="BT302:CB302" si="801">BT301-BJ302</f>
        <v>42207.5989583334</v>
      </c>
      <c r="BU302" s="59">
        <f t="shared" si="801"/>
        <v>42207.5989583334</v>
      </c>
      <c r="BV302" s="59">
        <f t="shared" si="801"/>
        <v>42207.5989583334</v>
      </c>
      <c r="BW302" s="59">
        <f t="shared" si="801"/>
        <v>42207.5989583334</v>
      </c>
      <c r="BX302" s="59">
        <f t="shared" si="801"/>
        <v>42207.5989583334</v>
      </c>
      <c r="BY302" s="59">
        <f t="shared" si="801"/>
        <v>42207.5989583334</v>
      </c>
      <c r="BZ302" s="59">
        <f t="shared" si="801"/>
        <v>42207.5989583334</v>
      </c>
      <c r="CA302" s="59">
        <f t="shared" si="801"/>
        <v>42207.5989583334</v>
      </c>
      <c r="CB302" s="59">
        <f t="shared" si="801"/>
        <v>7136.20833333335</v>
      </c>
    </row>
    <row r="303" s="4" customFormat="1" ht="27" hidden="1" customHeight="1" spans="1:80">
      <c r="A303" s="47">
        <v>46003</v>
      </c>
      <c r="B303" s="48" t="s">
        <v>1584</v>
      </c>
      <c r="C303" s="49" t="s">
        <v>396</v>
      </c>
      <c r="D303" s="50">
        <v>4500188811</v>
      </c>
      <c r="E303" s="49">
        <v>11519265</v>
      </c>
      <c r="F303" s="48" t="s">
        <v>1585</v>
      </c>
      <c r="G303" s="51" t="s">
        <v>78</v>
      </c>
      <c r="H303" s="48" t="s">
        <v>79</v>
      </c>
      <c r="I303" s="52">
        <v>25272</v>
      </c>
      <c r="J303" s="52">
        <v>0</v>
      </c>
      <c r="K303" s="52">
        <v>54</v>
      </c>
      <c r="L303" s="52">
        <f t="shared" si="719"/>
        <v>468</v>
      </c>
      <c r="M303" s="53">
        <v>46038</v>
      </c>
      <c r="N303" s="53">
        <v>46034</v>
      </c>
      <c r="O303" s="54"/>
      <c r="P303" s="54"/>
      <c r="Q303" s="54"/>
      <c r="R303" s="478">
        <v>46003</v>
      </c>
      <c r="S303" s="479" t="s">
        <v>80</v>
      </c>
      <c r="T303" s="54" t="s">
        <v>80</v>
      </c>
      <c r="U303" s="54"/>
      <c r="V303" s="55" t="s">
        <v>1586</v>
      </c>
      <c r="W303" s="53" t="s">
        <v>413</v>
      </c>
      <c r="X303" s="56">
        <v>0.7751</v>
      </c>
      <c r="Y303" s="52">
        <f t="shared" si="790"/>
        <v>19588.3272</v>
      </c>
      <c r="Z303" s="53" t="s">
        <v>82</v>
      </c>
      <c r="AA303" s="55"/>
      <c r="AB303" s="358">
        <f t="shared" si="786"/>
        <v>-25272</v>
      </c>
      <c r="AC303" s="54" t="s">
        <v>80</v>
      </c>
      <c r="AD303" s="417" t="s">
        <v>114</v>
      </c>
      <c r="AE303" s="53" t="s">
        <v>78</v>
      </c>
      <c r="AF303" s="53" t="s">
        <v>115</v>
      </c>
      <c r="AG303" s="57">
        <f t="shared" si="762"/>
        <v>25272</v>
      </c>
      <c r="AH303" s="57"/>
      <c r="AI303" s="57">
        <f t="shared" si="763"/>
        <v>25272</v>
      </c>
      <c r="AJ303" s="57"/>
      <c r="AK303" s="57">
        <f t="shared" si="796"/>
        <v>25272</v>
      </c>
      <c r="AL303" s="57"/>
      <c r="AM303" s="57"/>
      <c r="AN303" s="57"/>
      <c r="AO303" s="57">
        <f t="shared" si="787"/>
        <v>25272</v>
      </c>
      <c r="AP303" s="57"/>
      <c r="AQ303" s="57">
        <f>I303/27</f>
        <v>936</v>
      </c>
      <c r="AR303" s="57"/>
      <c r="AS303" s="57"/>
      <c r="AT303" s="57"/>
      <c r="AU303" s="57"/>
      <c r="AV303" s="57"/>
      <c r="AW303" s="57"/>
      <c r="AX303" s="57"/>
      <c r="AY303" s="57"/>
      <c r="AZ303" s="57"/>
      <c r="BA303" s="57"/>
      <c r="BB303" s="57"/>
      <c r="BC303" s="57"/>
      <c r="BD303" s="57"/>
      <c r="BE303" s="57"/>
      <c r="BF303" s="57"/>
      <c r="BG303" s="57"/>
      <c r="BH303" s="57"/>
      <c r="BI303" s="57"/>
      <c r="BJ303" s="59">
        <f t="shared" ref="BJ303:BR303" si="802">$I303*BJ$2</f>
        <v>3093.18749999999</v>
      </c>
      <c r="BK303" s="59">
        <f t="shared" si="802"/>
        <v>3093.18749999999</v>
      </c>
      <c r="BL303" s="59">
        <f t="shared" si="802"/>
        <v>3093.18749999999</v>
      </c>
      <c r="BM303" s="59">
        <f t="shared" si="802"/>
        <v>3093.18749999999</v>
      </c>
      <c r="BN303" s="59">
        <f t="shared" si="802"/>
        <v>3093.18749999999</v>
      </c>
      <c r="BO303" s="59">
        <f t="shared" si="802"/>
        <v>3093.18749999999</v>
      </c>
      <c r="BP303" s="59">
        <f t="shared" si="802"/>
        <v>3093.18749999999</v>
      </c>
      <c r="BQ303" s="59">
        <f t="shared" si="802"/>
        <v>3093.18749999999</v>
      </c>
      <c r="BR303" s="59">
        <f t="shared" si="802"/>
        <v>526.499999999999</v>
      </c>
      <c r="BT303" s="59">
        <f t="shared" ref="BT303:CB303" si="803">BT302-BJ303</f>
        <v>39114.4114583334</v>
      </c>
      <c r="BU303" s="59">
        <f t="shared" si="803"/>
        <v>39114.4114583334</v>
      </c>
      <c r="BV303" s="59">
        <f t="shared" si="803"/>
        <v>39114.4114583334</v>
      </c>
      <c r="BW303" s="59">
        <f t="shared" si="803"/>
        <v>39114.4114583334</v>
      </c>
      <c r="BX303" s="59">
        <f t="shared" si="803"/>
        <v>39114.4114583334</v>
      </c>
      <c r="BY303" s="59">
        <f t="shared" si="803"/>
        <v>39114.4114583334</v>
      </c>
      <c r="BZ303" s="59">
        <f t="shared" si="803"/>
        <v>39114.4114583334</v>
      </c>
      <c r="CA303" s="59">
        <f t="shared" si="803"/>
        <v>39114.4114583334</v>
      </c>
      <c r="CB303" s="59">
        <f t="shared" si="803"/>
        <v>6609.70833333335</v>
      </c>
    </row>
    <row r="304" s="4" customFormat="1" ht="27" hidden="1" customHeight="1" spans="1:80">
      <c r="A304" s="47">
        <v>45996</v>
      </c>
      <c r="B304" s="48" t="s">
        <v>1587</v>
      </c>
      <c r="C304" s="49" t="s">
        <v>117</v>
      </c>
      <c r="D304" s="50">
        <v>4500188208</v>
      </c>
      <c r="E304" s="49">
        <v>4353960671</v>
      </c>
      <c r="F304" s="48" t="s">
        <v>1588</v>
      </c>
      <c r="G304" s="51" t="s">
        <v>152</v>
      </c>
      <c r="H304" s="48" t="s">
        <v>153</v>
      </c>
      <c r="I304" s="52">
        <v>1807</v>
      </c>
      <c r="J304" s="52">
        <v>0</v>
      </c>
      <c r="K304" s="52">
        <v>13</v>
      </c>
      <c r="L304" s="52">
        <f t="shared" si="719"/>
        <v>139</v>
      </c>
      <c r="M304" s="53">
        <v>46044</v>
      </c>
      <c r="N304" s="53">
        <v>46041</v>
      </c>
      <c r="O304" s="54"/>
      <c r="P304" s="54"/>
      <c r="Q304" s="54"/>
      <c r="R304" s="485">
        <v>46009</v>
      </c>
      <c r="S304" s="479" t="s">
        <v>80</v>
      </c>
      <c r="T304" s="528" t="s">
        <v>1589</v>
      </c>
      <c r="U304" s="54"/>
      <c r="V304" s="55" t="s">
        <v>1590</v>
      </c>
      <c r="W304" s="53" t="s">
        <v>1591</v>
      </c>
      <c r="X304" s="56">
        <v>0.4655</v>
      </c>
      <c r="Y304" s="52">
        <f t="shared" si="790"/>
        <v>841.1585</v>
      </c>
      <c r="Z304" s="53" t="s">
        <v>82</v>
      </c>
      <c r="AA304" s="54"/>
      <c r="AB304" s="54"/>
      <c r="AC304" s="54"/>
      <c r="AD304" s="417" t="s">
        <v>114</v>
      </c>
      <c r="AE304" s="53" t="s">
        <v>152</v>
      </c>
      <c r="AF304" s="53" t="s">
        <v>115</v>
      </c>
      <c r="AG304" s="57">
        <f t="shared" si="762"/>
        <v>1807</v>
      </c>
      <c r="AH304" s="57"/>
      <c r="AI304" s="57">
        <f t="shared" si="763"/>
        <v>1807</v>
      </c>
      <c r="AJ304" s="57"/>
      <c r="AK304" s="57">
        <f t="shared" si="796"/>
        <v>1807</v>
      </c>
      <c r="AL304" s="57"/>
      <c r="AM304" s="57"/>
      <c r="AN304" s="57"/>
      <c r="AO304" s="57">
        <f t="shared" si="787"/>
        <v>1807</v>
      </c>
      <c r="AP304" s="57"/>
      <c r="AQ304" s="57"/>
      <c r="AR304" s="57"/>
      <c r="AS304" s="57"/>
      <c r="AT304" s="57">
        <f t="shared" si="797"/>
        <v>139</v>
      </c>
      <c r="AU304" s="57"/>
      <c r="AV304" s="57"/>
      <c r="AW304" s="57"/>
      <c r="AX304" s="57"/>
      <c r="AY304" s="57"/>
      <c r="AZ304" s="57"/>
      <c r="BA304" s="57"/>
      <c r="BB304" s="57"/>
      <c r="BC304" s="57"/>
      <c r="BD304" s="57"/>
      <c r="BE304" s="57"/>
      <c r="BF304" s="57"/>
      <c r="BG304" s="57"/>
      <c r="BH304" s="57"/>
      <c r="BI304" s="57"/>
      <c r="BJ304" s="59">
        <f t="shared" ref="BJ304:BR304" si="804">$I304*BJ$2</f>
        <v>221.169270833333</v>
      </c>
      <c r="BK304" s="59">
        <f t="shared" si="804"/>
        <v>221.169270833333</v>
      </c>
      <c r="BL304" s="59">
        <f t="shared" si="804"/>
        <v>221.169270833333</v>
      </c>
      <c r="BM304" s="59">
        <f t="shared" si="804"/>
        <v>221.169270833333</v>
      </c>
      <c r="BN304" s="59">
        <f t="shared" si="804"/>
        <v>221.169270833333</v>
      </c>
      <c r="BO304" s="59">
        <f t="shared" si="804"/>
        <v>221.169270833333</v>
      </c>
      <c r="BP304" s="59">
        <f t="shared" si="804"/>
        <v>221.169270833333</v>
      </c>
      <c r="BQ304" s="59">
        <f t="shared" si="804"/>
        <v>221.169270833333</v>
      </c>
      <c r="BR304" s="59">
        <f t="shared" si="804"/>
        <v>37.6458333333333</v>
      </c>
      <c r="BT304" s="59">
        <f t="shared" ref="BT304:CB304" si="805">BT303-BJ304</f>
        <v>38893.2421875001</v>
      </c>
      <c r="BU304" s="59">
        <f t="shared" si="805"/>
        <v>38893.2421875001</v>
      </c>
      <c r="BV304" s="59">
        <f t="shared" si="805"/>
        <v>38893.2421875001</v>
      </c>
      <c r="BW304" s="59">
        <f t="shared" si="805"/>
        <v>38893.2421875001</v>
      </c>
      <c r="BX304" s="59">
        <f t="shared" si="805"/>
        <v>38893.2421875001</v>
      </c>
      <c r="BY304" s="59">
        <f t="shared" si="805"/>
        <v>38893.2421875001</v>
      </c>
      <c r="BZ304" s="59">
        <f t="shared" si="805"/>
        <v>38893.2421875001</v>
      </c>
      <c r="CA304" s="59">
        <f t="shared" si="805"/>
        <v>38893.2421875001</v>
      </c>
      <c r="CB304" s="59">
        <f t="shared" si="805"/>
        <v>6572.06250000002</v>
      </c>
    </row>
    <row r="305" s="4" customFormat="1" ht="27" hidden="1" customHeight="1" spans="1:80">
      <c r="A305" s="47">
        <v>45995</v>
      </c>
      <c r="B305" s="48" t="s">
        <v>1587</v>
      </c>
      <c r="C305" s="49" t="s">
        <v>117</v>
      </c>
      <c r="D305" s="50">
        <v>4500187984</v>
      </c>
      <c r="E305" s="49">
        <v>4353960389</v>
      </c>
      <c r="F305" s="48" t="s">
        <v>1592</v>
      </c>
      <c r="G305" s="51" t="s">
        <v>152</v>
      </c>
      <c r="H305" s="48" t="s">
        <v>153</v>
      </c>
      <c r="I305" s="52">
        <v>2223</v>
      </c>
      <c r="J305" s="52">
        <v>0</v>
      </c>
      <c r="K305" s="52">
        <v>13</v>
      </c>
      <c r="L305" s="52">
        <f t="shared" si="719"/>
        <v>171</v>
      </c>
      <c r="M305" s="53">
        <v>46044</v>
      </c>
      <c r="N305" s="53">
        <v>46041</v>
      </c>
      <c r="O305" s="54"/>
      <c r="P305" s="54"/>
      <c r="Q305" s="54"/>
      <c r="R305" s="485">
        <v>46009</v>
      </c>
      <c r="S305" s="479" t="s">
        <v>80</v>
      </c>
      <c r="T305" s="528" t="s">
        <v>1589</v>
      </c>
      <c r="U305" s="54"/>
      <c r="V305" s="55" t="s">
        <v>1590</v>
      </c>
      <c r="W305" s="53" t="s">
        <v>1591</v>
      </c>
      <c r="X305" s="56">
        <v>0.4759</v>
      </c>
      <c r="Y305" s="52">
        <f t="shared" si="790"/>
        <v>1057.9257</v>
      </c>
      <c r="Z305" s="53" t="s">
        <v>82</v>
      </c>
      <c r="AA305" s="54"/>
      <c r="AB305" s="54"/>
      <c r="AC305" s="54"/>
      <c r="AD305" s="417" t="s">
        <v>114</v>
      </c>
      <c r="AE305" s="53" t="s">
        <v>152</v>
      </c>
      <c r="AF305" s="53" t="s">
        <v>115</v>
      </c>
      <c r="AG305" s="57">
        <f t="shared" si="762"/>
        <v>2223</v>
      </c>
      <c r="AH305" s="57"/>
      <c r="AI305" s="57">
        <f t="shared" si="763"/>
        <v>2223</v>
      </c>
      <c r="AJ305" s="57"/>
      <c r="AK305" s="57">
        <f t="shared" si="796"/>
        <v>2223</v>
      </c>
      <c r="AL305" s="57"/>
      <c r="AM305" s="57"/>
      <c r="AN305" s="57"/>
      <c r="AO305" s="57">
        <f t="shared" si="787"/>
        <v>2223</v>
      </c>
      <c r="AP305" s="57"/>
      <c r="AQ305" s="57"/>
      <c r="AR305" s="57"/>
      <c r="AS305" s="57"/>
      <c r="AT305" s="57">
        <f t="shared" si="797"/>
        <v>171</v>
      </c>
      <c r="AU305" s="57"/>
      <c r="AV305" s="57"/>
      <c r="AW305" s="57"/>
      <c r="AX305" s="57"/>
      <c r="AY305" s="57"/>
      <c r="AZ305" s="57"/>
      <c r="BA305" s="57"/>
      <c r="BB305" s="57"/>
      <c r="BC305" s="57"/>
      <c r="BD305" s="57"/>
      <c r="BE305" s="57"/>
      <c r="BF305" s="57"/>
      <c r="BG305" s="57"/>
      <c r="BH305" s="57"/>
      <c r="BI305" s="57"/>
      <c r="BJ305" s="59">
        <f t="shared" ref="BJ305:BR305" si="806">$I305*BJ$2</f>
        <v>272.085937499999</v>
      </c>
      <c r="BK305" s="59">
        <f t="shared" si="806"/>
        <v>272.085937499999</v>
      </c>
      <c r="BL305" s="59">
        <f t="shared" si="806"/>
        <v>272.085937499999</v>
      </c>
      <c r="BM305" s="59">
        <f t="shared" si="806"/>
        <v>272.085937499999</v>
      </c>
      <c r="BN305" s="59">
        <f t="shared" si="806"/>
        <v>272.085937499999</v>
      </c>
      <c r="BO305" s="59">
        <f t="shared" si="806"/>
        <v>272.085937499999</v>
      </c>
      <c r="BP305" s="59">
        <f t="shared" si="806"/>
        <v>272.085937499999</v>
      </c>
      <c r="BQ305" s="59">
        <f t="shared" si="806"/>
        <v>272.085937499999</v>
      </c>
      <c r="BR305" s="59">
        <f t="shared" si="806"/>
        <v>46.3124999999999</v>
      </c>
      <c r="BT305" s="59">
        <f t="shared" ref="BT305:CB305" si="807">BT304-BJ305</f>
        <v>38621.1562500001</v>
      </c>
      <c r="BU305" s="59">
        <f t="shared" si="807"/>
        <v>38621.1562500001</v>
      </c>
      <c r="BV305" s="59">
        <f t="shared" si="807"/>
        <v>38621.1562500001</v>
      </c>
      <c r="BW305" s="59">
        <f t="shared" si="807"/>
        <v>38621.1562500001</v>
      </c>
      <c r="BX305" s="59">
        <f t="shared" si="807"/>
        <v>38621.1562500001</v>
      </c>
      <c r="BY305" s="59">
        <f t="shared" si="807"/>
        <v>38621.1562500001</v>
      </c>
      <c r="BZ305" s="59">
        <f t="shared" si="807"/>
        <v>38621.1562500001</v>
      </c>
      <c r="CA305" s="59">
        <f t="shared" si="807"/>
        <v>38621.1562500001</v>
      </c>
      <c r="CB305" s="59">
        <f t="shared" si="807"/>
        <v>6525.75000000002</v>
      </c>
    </row>
    <row r="306" s="4" customFormat="1" ht="27" hidden="1" customHeight="1" spans="1:80">
      <c r="A306" s="47">
        <v>45987</v>
      </c>
      <c r="B306" s="48" t="s">
        <v>795</v>
      </c>
      <c r="C306" s="49" t="s">
        <v>574</v>
      </c>
      <c r="D306" s="50">
        <v>4500187084</v>
      </c>
      <c r="E306" s="49">
        <v>5251218604</v>
      </c>
      <c r="F306" s="48" t="s">
        <v>1593</v>
      </c>
      <c r="G306" s="51" t="s">
        <v>131</v>
      </c>
      <c r="H306" s="48" t="s">
        <v>1533</v>
      </c>
      <c r="I306" s="52">
        <v>1269</v>
      </c>
      <c r="J306" s="52">
        <v>0</v>
      </c>
      <c r="K306" s="52">
        <v>27</v>
      </c>
      <c r="L306" s="52">
        <f t="shared" si="719"/>
        <v>47</v>
      </c>
      <c r="M306" s="53">
        <v>46045</v>
      </c>
      <c r="N306" s="53">
        <v>46041</v>
      </c>
      <c r="O306" s="54"/>
      <c r="P306" s="54"/>
      <c r="Q306" s="54"/>
      <c r="R306" s="478">
        <v>45987</v>
      </c>
      <c r="S306" s="485" t="s">
        <v>80</v>
      </c>
      <c r="T306" s="54" t="s">
        <v>1534</v>
      </c>
      <c r="U306" s="529" t="s">
        <v>1445</v>
      </c>
      <c r="V306" s="55" t="s">
        <v>1594</v>
      </c>
      <c r="W306" s="53" t="s">
        <v>581</v>
      </c>
      <c r="X306" s="56">
        <v>0.89</v>
      </c>
      <c r="Y306" s="52">
        <f t="shared" si="790"/>
        <v>1129.41</v>
      </c>
      <c r="Z306" s="53" t="s">
        <v>82</v>
      </c>
      <c r="AA306" s="54"/>
      <c r="AB306" s="54"/>
      <c r="AC306" s="54" t="s">
        <v>681</v>
      </c>
      <c r="AD306" s="417" t="s">
        <v>114</v>
      </c>
      <c r="AE306" s="53" t="s">
        <v>434</v>
      </c>
      <c r="AF306" s="53" t="s">
        <v>115</v>
      </c>
      <c r="AG306" s="57">
        <f t="shared" si="762"/>
        <v>1269</v>
      </c>
      <c r="AH306" s="57"/>
      <c r="AI306" s="57">
        <f t="shared" si="763"/>
        <v>1269</v>
      </c>
      <c r="AJ306" s="57"/>
      <c r="AK306" s="57"/>
      <c r="AL306" s="57">
        <f t="shared" ref="AL306:AL308" si="808">I306</f>
        <v>1269</v>
      </c>
      <c r="AM306" s="57"/>
      <c r="AN306" s="57"/>
      <c r="AO306" s="57">
        <f t="shared" si="787"/>
        <v>1269</v>
      </c>
      <c r="AP306" s="57"/>
      <c r="AQ306" s="57"/>
      <c r="AR306" s="57"/>
      <c r="AS306" s="57">
        <f t="shared" ref="AS306:AS308" si="809">I306/27</f>
        <v>47</v>
      </c>
      <c r="AT306" s="57"/>
      <c r="AU306" s="57"/>
      <c r="AV306" s="57"/>
      <c r="AW306" s="57"/>
      <c r="AX306" s="57"/>
      <c r="AY306" s="57"/>
      <c r="AZ306" s="57"/>
      <c r="BA306" s="57"/>
      <c r="BB306" s="57"/>
      <c r="BC306" s="57"/>
      <c r="BD306" s="57"/>
      <c r="BE306" s="57"/>
      <c r="BF306" s="57"/>
      <c r="BG306" s="57"/>
      <c r="BH306" s="57"/>
      <c r="BI306" s="57"/>
      <c r="BJ306" s="59">
        <f t="shared" ref="BJ306:BR306" si="810">$I306*BJ$2</f>
        <v>155.3203125</v>
      </c>
      <c r="BK306" s="59">
        <f t="shared" si="810"/>
        <v>155.3203125</v>
      </c>
      <c r="BL306" s="59">
        <f t="shared" si="810"/>
        <v>155.3203125</v>
      </c>
      <c r="BM306" s="59">
        <f t="shared" si="810"/>
        <v>155.3203125</v>
      </c>
      <c r="BN306" s="59">
        <f t="shared" si="810"/>
        <v>155.3203125</v>
      </c>
      <c r="BO306" s="59">
        <f t="shared" si="810"/>
        <v>155.3203125</v>
      </c>
      <c r="BP306" s="59">
        <f t="shared" si="810"/>
        <v>155.3203125</v>
      </c>
      <c r="BQ306" s="59">
        <f t="shared" si="810"/>
        <v>155.3203125</v>
      </c>
      <c r="BR306" s="59">
        <f t="shared" si="810"/>
        <v>26.4375</v>
      </c>
      <c r="BT306" s="59">
        <f t="shared" ref="BT306:CB306" si="811">BT305-BJ306</f>
        <v>38465.8359375001</v>
      </c>
      <c r="BU306" s="59">
        <f t="shared" si="811"/>
        <v>38465.8359375001</v>
      </c>
      <c r="BV306" s="59">
        <f t="shared" si="811"/>
        <v>38465.8359375001</v>
      </c>
      <c r="BW306" s="59">
        <f t="shared" si="811"/>
        <v>38465.8359375001</v>
      </c>
      <c r="BX306" s="59">
        <f t="shared" si="811"/>
        <v>38465.8359375001</v>
      </c>
      <c r="BY306" s="59">
        <f t="shared" si="811"/>
        <v>38465.8359375001</v>
      </c>
      <c r="BZ306" s="59">
        <f t="shared" si="811"/>
        <v>38465.8359375001</v>
      </c>
      <c r="CA306" s="59">
        <f t="shared" si="811"/>
        <v>38465.8359375001</v>
      </c>
      <c r="CB306" s="59">
        <f t="shared" si="811"/>
        <v>6499.31250000002</v>
      </c>
    </row>
    <row r="307" s="4" customFormat="1" ht="27" hidden="1" customHeight="1" spans="1:80">
      <c r="A307" s="47">
        <v>45999</v>
      </c>
      <c r="B307" s="48" t="s">
        <v>1148</v>
      </c>
      <c r="C307" s="49" t="s">
        <v>876</v>
      </c>
      <c r="D307" s="50">
        <v>4500188248</v>
      </c>
      <c r="E307" s="49"/>
      <c r="F307" s="48" t="s">
        <v>1595</v>
      </c>
      <c r="G307" s="51" t="s">
        <v>78</v>
      </c>
      <c r="H307" s="48" t="s">
        <v>79</v>
      </c>
      <c r="I307" s="52">
        <v>540</v>
      </c>
      <c r="J307" s="52">
        <v>0</v>
      </c>
      <c r="K307" s="52">
        <v>54</v>
      </c>
      <c r="L307" s="52">
        <f t="shared" si="719"/>
        <v>10</v>
      </c>
      <c r="M307" s="53">
        <v>46045</v>
      </c>
      <c r="N307" s="484">
        <v>46045</v>
      </c>
      <c r="O307" s="54"/>
      <c r="P307" s="54"/>
      <c r="Q307" s="54"/>
      <c r="R307" s="478">
        <v>46021</v>
      </c>
      <c r="S307" s="479" t="s">
        <v>80</v>
      </c>
      <c r="T307" s="54" t="s">
        <v>1596</v>
      </c>
      <c r="U307" s="54"/>
      <c r="V307" s="55" t="s">
        <v>1597</v>
      </c>
      <c r="W307" s="53" t="s">
        <v>881</v>
      </c>
      <c r="X307" s="56">
        <v>0.7967</v>
      </c>
      <c r="Y307" s="52">
        <f t="shared" si="790"/>
        <v>430.218</v>
      </c>
      <c r="Z307" s="53" t="s">
        <v>82</v>
      </c>
      <c r="AA307" s="55"/>
      <c r="AB307" s="54"/>
      <c r="AC307" s="54"/>
      <c r="AD307" s="417" t="s">
        <v>114</v>
      </c>
      <c r="AE307" s="53" t="s">
        <v>230</v>
      </c>
      <c r="AF307" s="53" t="s">
        <v>115</v>
      </c>
      <c r="AG307" s="57">
        <f t="shared" si="762"/>
        <v>540</v>
      </c>
      <c r="AH307" s="57"/>
      <c r="AI307" s="57">
        <f t="shared" si="763"/>
        <v>540</v>
      </c>
      <c r="AJ307" s="57"/>
      <c r="AK307" s="57"/>
      <c r="AL307" s="57">
        <f t="shared" si="808"/>
        <v>540</v>
      </c>
      <c r="AM307" s="57"/>
      <c r="AN307" s="57"/>
      <c r="AO307" s="57">
        <f t="shared" si="787"/>
        <v>540</v>
      </c>
      <c r="AP307" s="57"/>
      <c r="AQ307" s="57"/>
      <c r="AR307" s="57"/>
      <c r="AS307" s="57">
        <f t="shared" si="809"/>
        <v>20</v>
      </c>
      <c r="AT307" s="57"/>
      <c r="AU307" s="57"/>
      <c r="AV307" s="57"/>
      <c r="AW307" s="57"/>
      <c r="AX307" s="57"/>
      <c r="AY307" s="57"/>
      <c r="AZ307" s="57"/>
      <c r="BA307" s="57"/>
      <c r="BB307" s="57"/>
      <c r="BC307" s="57"/>
      <c r="BD307" s="57"/>
      <c r="BE307" s="57"/>
      <c r="BF307" s="57"/>
      <c r="BG307" s="57"/>
      <c r="BH307" s="57"/>
      <c r="BI307" s="57"/>
      <c r="BJ307" s="59">
        <f t="shared" ref="BJ307:BR307" si="812">$I307*BJ$2</f>
        <v>66.0937499999998</v>
      </c>
      <c r="BK307" s="59">
        <f t="shared" si="812"/>
        <v>66.0937499999998</v>
      </c>
      <c r="BL307" s="59">
        <f t="shared" si="812"/>
        <v>66.0937499999998</v>
      </c>
      <c r="BM307" s="59">
        <f t="shared" si="812"/>
        <v>66.0937499999998</v>
      </c>
      <c r="BN307" s="59">
        <f t="shared" si="812"/>
        <v>66.0937499999998</v>
      </c>
      <c r="BO307" s="59">
        <f t="shared" si="812"/>
        <v>66.0937499999998</v>
      </c>
      <c r="BP307" s="59">
        <f t="shared" si="812"/>
        <v>66.0937499999998</v>
      </c>
      <c r="BQ307" s="59">
        <f t="shared" si="812"/>
        <v>66.0937499999998</v>
      </c>
      <c r="BR307" s="59">
        <f t="shared" si="812"/>
        <v>11.25</v>
      </c>
      <c r="BT307" s="59">
        <f t="shared" ref="BT307:CB307" si="813">BT306-BJ307</f>
        <v>38399.7421875001</v>
      </c>
      <c r="BU307" s="59">
        <f t="shared" si="813"/>
        <v>38399.7421875001</v>
      </c>
      <c r="BV307" s="59">
        <f t="shared" si="813"/>
        <v>38399.7421875001</v>
      </c>
      <c r="BW307" s="59">
        <f t="shared" si="813"/>
        <v>38399.7421875001</v>
      </c>
      <c r="BX307" s="59">
        <f t="shared" si="813"/>
        <v>38399.7421875001</v>
      </c>
      <c r="BY307" s="59">
        <f t="shared" si="813"/>
        <v>38399.7421875001</v>
      </c>
      <c r="BZ307" s="59">
        <f t="shared" si="813"/>
        <v>38399.7421875001</v>
      </c>
      <c r="CA307" s="59">
        <f t="shared" si="813"/>
        <v>38399.7421875001</v>
      </c>
      <c r="CB307" s="59">
        <f t="shared" si="813"/>
        <v>6488.06250000002</v>
      </c>
    </row>
    <row r="308" s="4" customFormat="1" ht="27" hidden="1" customHeight="1" spans="1:80">
      <c r="A308" s="47">
        <v>46014</v>
      </c>
      <c r="B308" s="48" t="s">
        <v>1148</v>
      </c>
      <c r="C308" s="49" t="s">
        <v>876</v>
      </c>
      <c r="D308" s="50">
        <v>4500189691</v>
      </c>
      <c r="E308" s="49"/>
      <c r="F308" s="48" t="s">
        <v>1598</v>
      </c>
      <c r="G308" s="51" t="s">
        <v>78</v>
      </c>
      <c r="H308" s="48" t="s">
        <v>79</v>
      </c>
      <c r="I308" s="52">
        <v>540</v>
      </c>
      <c r="J308" s="52">
        <v>0</v>
      </c>
      <c r="K308" s="52">
        <v>54</v>
      </c>
      <c r="L308" s="52">
        <f t="shared" si="719"/>
        <v>10</v>
      </c>
      <c r="M308" s="53">
        <v>46045</v>
      </c>
      <c r="N308" s="53">
        <v>46041</v>
      </c>
      <c r="O308" s="54"/>
      <c r="P308" s="54"/>
      <c r="Q308" s="54"/>
      <c r="R308" s="478">
        <v>46021</v>
      </c>
      <c r="S308" s="485" t="s">
        <v>80</v>
      </c>
      <c r="T308" s="528" t="s">
        <v>1596</v>
      </c>
      <c r="U308" s="54"/>
      <c r="V308" s="55" t="s">
        <v>1599</v>
      </c>
      <c r="W308" s="53" t="s">
        <v>881</v>
      </c>
      <c r="X308" s="56">
        <v>0.7967</v>
      </c>
      <c r="Y308" s="52">
        <f t="shared" si="790"/>
        <v>430.218</v>
      </c>
      <c r="Z308" s="53" t="s">
        <v>82</v>
      </c>
      <c r="AA308" s="55"/>
      <c r="AB308" s="54"/>
      <c r="AC308" s="54"/>
      <c r="AD308" s="54"/>
      <c r="AE308" s="53" t="s">
        <v>230</v>
      </c>
      <c r="AF308" s="53" t="s">
        <v>115</v>
      </c>
      <c r="AG308" s="57">
        <f t="shared" si="762"/>
        <v>540</v>
      </c>
      <c r="AH308" s="57"/>
      <c r="AI308" s="57">
        <f t="shared" si="763"/>
        <v>540</v>
      </c>
      <c r="AJ308" s="57"/>
      <c r="AK308" s="57"/>
      <c r="AL308" s="57">
        <f t="shared" si="808"/>
        <v>540</v>
      </c>
      <c r="AM308" s="57"/>
      <c r="AN308" s="57"/>
      <c r="AO308" s="57">
        <f t="shared" si="787"/>
        <v>540</v>
      </c>
      <c r="AP308" s="57"/>
      <c r="AQ308" s="57"/>
      <c r="AR308" s="57"/>
      <c r="AS308" s="57">
        <f t="shared" si="809"/>
        <v>20</v>
      </c>
      <c r="AT308" s="57"/>
      <c r="AU308" s="57"/>
      <c r="AV308" s="57"/>
      <c r="AW308" s="57"/>
      <c r="AX308" s="57"/>
      <c r="AY308" s="57"/>
      <c r="AZ308" s="57"/>
      <c r="BA308" s="57"/>
      <c r="BB308" s="57"/>
      <c r="BC308" s="57"/>
      <c r="BD308" s="57"/>
      <c r="BE308" s="57"/>
      <c r="BF308" s="57"/>
      <c r="BG308" s="57"/>
      <c r="BH308" s="57"/>
      <c r="BI308" s="57"/>
      <c r="BJ308" s="58">
        <f t="shared" ref="BJ308:BR308" si="814">$I308*BJ$2</f>
        <v>66.0937499999998</v>
      </c>
      <c r="BK308" s="58">
        <f t="shared" si="814"/>
        <v>66.0937499999998</v>
      </c>
      <c r="BL308" s="58">
        <f t="shared" si="814"/>
        <v>66.0937499999998</v>
      </c>
      <c r="BM308" s="58">
        <f t="shared" si="814"/>
        <v>66.0937499999998</v>
      </c>
      <c r="BN308" s="58">
        <f t="shared" si="814"/>
        <v>66.0937499999998</v>
      </c>
      <c r="BO308" s="58">
        <f t="shared" si="814"/>
        <v>66.0937499999998</v>
      </c>
      <c r="BP308" s="58">
        <f t="shared" si="814"/>
        <v>66.0937499999998</v>
      </c>
      <c r="BQ308" s="58">
        <f t="shared" si="814"/>
        <v>66.0937499999998</v>
      </c>
      <c r="BR308" s="58">
        <f t="shared" si="814"/>
        <v>11.25</v>
      </c>
      <c r="BT308" s="59">
        <f t="shared" ref="BT308:CB308" si="815">BT307-BJ308</f>
        <v>38333.6484375001</v>
      </c>
      <c r="BU308" s="59">
        <f t="shared" si="815"/>
        <v>38333.6484375001</v>
      </c>
      <c r="BV308" s="59">
        <f t="shared" si="815"/>
        <v>38333.6484375001</v>
      </c>
      <c r="BW308" s="59">
        <f t="shared" si="815"/>
        <v>38333.6484375001</v>
      </c>
      <c r="BX308" s="59">
        <f t="shared" si="815"/>
        <v>38333.6484375001</v>
      </c>
      <c r="BY308" s="59">
        <f t="shared" si="815"/>
        <v>38333.6484375001</v>
      </c>
      <c r="BZ308" s="59">
        <f t="shared" si="815"/>
        <v>38333.6484375001</v>
      </c>
      <c r="CA308" s="59">
        <f t="shared" si="815"/>
        <v>38333.6484375001</v>
      </c>
      <c r="CB308" s="59">
        <f t="shared" si="815"/>
        <v>6476.81250000002</v>
      </c>
    </row>
    <row r="309" s="4" customFormat="1" ht="27" hidden="1" customHeight="1" spans="1:80">
      <c r="A309" s="47">
        <v>46016</v>
      </c>
      <c r="B309" s="48" t="s">
        <v>1600</v>
      </c>
      <c r="C309" s="49" t="s">
        <v>389</v>
      </c>
      <c r="D309" s="50">
        <v>4500190061</v>
      </c>
      <c r="E309" s="49" t="s">
        <v>1601</v>
      </c>
      <c r="F309" s="50" t="s">
        <v>1602</v>
      </c>
      <c r="G309" s="51" t="s">
        <v>188</v>
      </c>
      <c r="H309" s="48" t="s">
        <v>120</v>
      </c>
      <c r="I309" s="52">
        <v>12</v>
      </c>
      <c r="J309" s="52">
        <v>0</v>
      </c>
      <c r="K309" s="52">
        <v>12</v>
      </c>
      <c r="L309" s="52">
        <f t="shared" si="719"/>
        <v>1</v>
      </c>
      <c r="M309" s="53">
        <v>46059</v>
      </c>
      <c r="N309" s="53">
        <v>46055</v>
      </c>
      <c r="O309" s="54"/>
      <c r="P309" s="54"/>
      <c r="Q309" s="54"/>
      <c r="R309" s="485">
        <v>46016</v>
      </c>
      <c r="S309" s="485" t="s">
        <v>80</v>
      </c>
      <c r="T309" s="528" t="s">
        <v>1603</v>
      </c>
      <c r="U309" s="54"/>
      <c r="V309" s="55" t="s">
        <v>1604</v>
      </c>
      <c r="W309" s="53" t="s">
        <v>1605</v>
      </c>
      <c r="X309" s="56">
        <v>1.9471</v>
      </c>
      <c r="Y309" s="52">
        <f t="shared" si="790"/>
        <v>23.3652</v>
      </c>
      <c r="Z309" s="53" t="s">
        <v>82</v>
      </c>
      <c r="AA309" s="55"/>
      <c r="AB309" s="54"/>
      <c r="AC309" s="54"/>
      <c r="AD309" s="54"/>
      <c r="AE309" s="53" t="s">
        <v>188</v>
      </c>
      <c r="AF309" s="53" t="s">
        <v>115</v>
      </c>
      <c r="AG309" s="57">
        <f>I309*2</f>
        <v>24</v>
      </c>
      <c r="AH309" s="57"/>
      <c r="AI309" s="57">
        <f>I309*2</f>
        <v>24</v>
      </c>
      <c r="AJ309" s="57"/>
      <c r="AL309" s="57">
        <f>I309*2</f>
        <v>24</v>
      </c>
      <c r="AM309" s="57"/>
      <c r="AN309" s="57"/>
      <c r="AO309" s="57">
        <f>I309*2</f>
        <v>24</v>
      </c>
      <c r="AP309" s="57"/>
      <c r="AQ309" s="57"/>
      <c r="AR309" s="57"/>
      <c r="AS309" s="57"/>
      <c r="AT309" s="57"/>
      <c r="AU309" s="57"/>
      <c r="AV309" s="57"/>
      <c r="AW309" s="57"/>
      <c r="AX309" s="57"/>
      <c r="AY309" s="57"/>
      <c r="AZ309" s="57"/>
      <c r="BA309" s="57"/>
      <c r="BB309" s="57"/>
      <c r="BC309" s="57"/>
      <c r="BD309" s="57"/>
      <c r="BE309" s="57"/>
      <c r="BF309" s="57">
        <f>I309</f>
        <v>12</v>
      </c>
      <c r="BG309" s="57">
        <f>I309</f>
        <v>12</v>
      </c>
      <c r="BH309" s="57"/>
      <c r="BI309" s="57"/>
      <c r="BJ309" s="58">
        <f t="shared" ref="BJ309:BR309" si="816">$I309*BJ$2*2</f>
        <v>2.93749999999999</v>
      </c>
      <c r="BK309" s="58">
        <f t="shared" si="816"/>
        <v>2.93749999999999</v>
      </c>
      <c r="BL309" s="58">
        <f t="shared" si="816"/>
        <v>2.93749999999999</v>
      </c>
      <c r="BM309" s="58">
        <f t="shared" si="816"/>
        <v>2.93749999999999</v>
      </c>
      <c r="BN309" s="58">
        <f t="shared" si="816"/>
        <v>2.93749999999999</v>
      </c>
      <c r="BO309" s="58">
        <f t="shared" si="816"/>
        <v>2.93749999999999</v>
      </c>
      <c r="BP309" s="58">
        <f t="shared" si="816"/>
        <v>2.93749999999999</v>
      </c>
      <c r="BQ309" s="58">
        <f t="shared" si="816"/>
        <v>2.93749999999999</v>
      </c>
      <c r="BR309" s="58">
        <f t="shared" si="816"/>
        <v>0.499999999999999</v>
      </c>
      <c r="BT309" s="59">
        <f t="shared" ref="BT309:CB309" si="817">BT308-BJ309</f>
        <v>38330.7109375001</v>
      </c>
      <c r="BU309" s="59">
        <f t="shared" si="817"/>
        <v>38330.7109375001</v>
      </c>
      <c r="BV309" s="59">
        <f t="shared" si="817"/>
        <v>38330.7109375001</v>
      </c>
      <c r="BW309" s="59">
        <f t="shared" si="817"/>
        <v>38330.7109375001</v>
      </c>
      <c r="BX309" s="59">
        <f t="shared" si="817"/>
        <v>38330.7109375001</v>
      </c>
      <c r="BY309" s="59">
        <f t="shared" si="817"/>
        <v>38330.7109375001</v>
      </c>
      <c r="BZ309" s="59">
        <f t="shared" si="817"/>
        <v>38330.7109375001</v>
      </c>
      <c r="CA309" s="59">
        <f t="shared" si="817"/>
        <v>38330.7109375001</v>
      </c>
      <c r="CB309" s="59">
        <f t="shared" si="817"/>
        <v>6476.31250000002</v>
      </c>
    </row>
    <row r="310" s="4" customFormat="1" ht="27" hidden="1" customHeight="1" spans="1:80">
      <c r="A310" s="47">
        <v>46014</v>
      </c>
      <c r="B310" s="48" t="s">
        <v>1606</v>
      </c>
      <c r="C310" s="49" t="s">
        <v>521</v>
      </c>
      <c r="D310" s="50">
        <v>4500189587</v>
      </c>
      <c r="E310" s="49" t="s">
        <v>1607</v>
      </c>
      <c r="F310" s="48" t="s">
        <v>1608</v>
      </c>
      <c r="G310" s="51" t="s">
        <v>152</v>
      </c>
      <c r="H310" s="48" t="s">
        <v>153</v>
      </c>
      <c r="I310" s="52">
        <v>676</v>
      </c>
      <c r="J310" s="52">
        <v>0</v>
      </c>
      <c r="K310" s="52">
        <v>13</v>
      </c>
      <c r="L310" s="52">
        <f t="shared" si="719"/>
        <v>52</v>
      </c>
      <c r="M310" s="53">
        <v>46092</v>
      </c>
      <c r="N310" s="53">
        <v>46088</v>
      </c>
      <c r="O310" s="54"/>
      <c r="P310" s="54"/>
      <c r="Q310" s="54"/>
      <c r="R310" s="478">
        <v>46015</v>
      </c>
      <c r="S310" s="479" t="s">
        <v>191</v>
      </c>
      <c r="T310" s="54" t="s">
        <v>1609</v>
      </c>
      <c r="U310" s="54"/>
      <c r="V310" s="530" t="s">
        <v>1610</v>
      </c>
      <c r="W310" s="53" t="s">
        <v>273</v>
      </c>
      <c r="X310" s="56">
        <v>0.7985</v>
      </c>
      <c r="Y310" s="52">
        <f t="shared" si="790"/>
        <v>539.786</v>
      </c>
      <c r="Z310" s="53" t="s">
        <v>82</v>
      </c>
      <c r="AA310" s="55"/>
      <c r="AB310" s="54"/>
      <c r="AC310" s="54"/>
      <c r="AD310" s="54"/>
      <c r="AE310" s="53" t="s">
        <v>152</v>
      </c>
      <c r="AF310" s="53" t="s">
        <v>115</v>
      </c>
      <c r="AG310" s="57">
        <f>I310</f>
        <v>676</v>
      </c>
      <c r="AH310" s="57"/>
      <c r="AI310" s="57">
        <f>I310</f>
        <v>676</v>
      </c>
      <c r="AJ310" s="57"/>
      <c r="AK310" s="57">
        <f>I310</f>
        <v>676</v>
      </c>
      <c r="AL310" s="57"/>
      <c r="AM310" s="57"/>
      <c r="AN310" s="57"/>
      <c r="AO310" s="57">
        <f>I310</f>
        <v>676</v>
      </c>
      <c r="AP310" s="57"/>
      <c r="AQ310" s="57"/>
      <c r="AR310" s="57"/>
      <c r="AS310" s="57"/>
      <c r="AT310" s="57">
        <f>I310/13</f>
        <v>52</v>
      </c>
      <c r="AU310" s="57"/>
      <c r="AV310" s="57"/>
      <c r="AW310" s="57"/>
      <c r="AX310" s="57"/>
      <c r="AY310" s="57"/>
      <c r="AZ310" s="57"/>
      <c r="BA310" s="57"/>
      <c r="BB310" s="57"/>
      <c r="BC310" s="57"/>
      <c r="BD310" s="57"/>
      <c r="BE310" s="57"/>
      <c r="BF310" s="57"/>
      <c r="BG310" s="57"/>
      <c r="BH310" s="57"/>
      <c r="BI310" s="57"/>
      <c r="BJ310" s="59">
        <f t="shared" ref="BJ310:BR310" si="818">$I310*BJ$2</f>
        <v>82.7395833333331</v>
      </c>
      <c r="BK310" s="59">
        <f t="shared" si="818"/>
        <v>82.7395833333331</v>
      </c>
      <c r="BL310" s="59">
        <f t="shared" si="818"/>
        <v>82.7395833333331</v>
      </c>
      <c r="BM310" s="59">
        <f t="shared" si="818"/>
        <v>82.7395833333331</v>
      </c>
      <c r="BN310" s="59">
        <f t="shared" si="818"/>
        <v>82.7395833333331</v>
      </c>
      <c r="BO310" s="59">
        <f t="shared" si="818"/>
        <v>82.7395833333331</v>
      </c>
      <c r="BP310" s="59">
        <f t="shared" si="818"/>
        <v>82.7395833333331</v>
      </c>
      <c r="BQ310" s="59">
        <f t="shared" si="818"/>
        <v>82.7395833333331</v>
      </c>
      <c r="BR310" s="59">
        <f t="shared" si="818"/>
        <v>14.0833333333333</v>
      </c>
      <c r="BT310" s="59">
        <f t="shared" ref="BT310:CB310" si="819">BT309-BJ310</f>
        <v>38247.9713541667</v>
      </c>
      <c r="BU310" s="59">
        <f t="shared" si="819"/>
        <v>38247.9713541667</v>
      </c>
      <c r="BV310" s="59">
        <f t="shared" si="819"/>
        <v>38247.9713541667</v>
      </c>
      <c r="BW310" s="59">
        <f t="shared" si="819"/>
        <v>38247.9713541667</v>
      </c>
      <c r="BX310" s="59">
        <f t="shared" si="819"/>
        <v>38247.9713541667</v>
      </c>
      <c r="BY310" s="59">
        <f t="shared" si="819"/>
        <v>38247.9713541667</v>
      </c>
      <c r="BZ310" s="59">
        <f t="shared" si="819"/>
        <v>38247.9713541667</v>
      </c>
      <c r="CA310" s="59">
        <f t="shared" si="819"/>
        <v>38247.9713541667</v>
      </c>
      <c r="CB310" s="59">
        <f t="shared" si="819"/>
        <v>6462.22916666669</v>
      </c>
    </row>
    <row r="311" s="4" customFormat="1" ht="27" customHeight="1" spans="1:80">
      <c r="A311" s="47"/>
      <c r="B311" s="48"/>
      <c r="C311" s="49"/>
      <c r="D311" s="50"/>
      <c r="E311" s="49"/>
      <c r="F311" s="48"/>
      <c r="G311" s="51"/>
      <c r="H311" s="48"/>
      <c r="I311" s="52"/>
      <c r="J311" s="52"/>
      <c r="K311" s="52"/>
      <c r="L311" s="52"/>
      <c r="M311" s="53"/>
      <c r="N311" s="53"/>
      <c r="O311" s="54"/>
      <c r="P311" s="54"/>
      <c r="Q311" s="54"/>
      <c r="R311" s="531"/>
      <c r="S311" s="485"/>
      <c r="T311" s="54"/>
      <c r="U311" s="54"/>
      <c r="V311" s="55"/>
      <c r="W311" s="53"/>
      <c r="X311" s="56"/>
      <c r="Y311" s="52"/>
      <c r="Z311" s="53"/>
      <c r="AA311" s="54"/>
      <c r="AB311" s="54"/>
      <c r="AC311" s="54"/>
      <c r="AD311" s="417"/>
      <c r="AE311" s="53"/>
      <c r="AF311" s="53"/>
      <c r="AG311" s="57"/>
      <c r="AH311" s="57"/>
      <c r="AI311" s="57"/>
      <c r="AJ311" s="57"/>
      <c r="AK311" s="57"/>
      <c r="AL311" s="57"/>
      <c r="AM311" s="57"/>
      <c r="AN311" s="57"/>
      <c r="AO311" s="57"/>
      <c r="AP311" s="57"/>
      <c r="AQ311" s="57"/>
      <c r="AR311" s="57"/>
      <c r="AS311" s="57"/>
      <c r="AT311" s="57"/>
      <c r="AU311" s="57"/>
      <c r="AV311" s="57"/>
      <c r="AW311" s="57"/>
      <c r="AX311" s="57"/>
      <c r="AY311" s="57"/>
      <c r="AZ311" s="57"/>
      <c r="BA311" s="57"/>
      <c r="BB311" s="57"/>
      <c r="BC311" s="57"/>
      <c r="BD311" s="57"/>
      <c r="BE311" s="57"/>
      <c r="BF311" s="57"/>
      <c r="BG311" s="57"/>
      <c r="BH311" s="57"/>
      <c r="BI311" s="57"/>
      <c r="BJ311" s="58"/>
      <c r="BK311" s="58"/>
      <c r="BL311" s="58"/>
      <c r="BM311" s="58"/>
      <c r="BN311" s="58"/>
      <c r="BO311" s="58"/>
      <c r="BP311" s="58"/>
      <c r="BQ311" s="58"/>
      <c r="BR311" s="58"/>
      <c r="BT311" s="59"/>
      <c r="BU311" s="59"/>
      <c r="BV311" s="59"/>
      <c r="BW311" s="59"/>
      <c r="BX311" s="59"/>
      <c r="BY311" s="59"/>
      <c r="BZ311" s="59"/>
      <c r="CA311" s="59"/>
      <c r="CB311" s="59"/>
    </row>
    <row r="312" s="4" customFormat="1" ht="27" customHeight="1" spans="1:80">
      <c r="A312" s="47"/>
      <c r="B312" s="48"/>
      <c r="C312" s="49"/>
      <c r="D312" s="50"/>
      <c r="E312" s="49"/>
      <c r="F312" s="48"/>
      <c r="G312" s="51"/>
      <c r="H312" s="48"/>
      <c r="I312" s="52"/>
      <c r="J312" s="52"/>
      <c r="K312" s="52"/>
      <c r="L312" s="52"/>
      <c r="M312" s="53"/>
      <c r="N312" s="53"/>
      <c r="O312" s="54"/>
      <c r="P312" s="54"/>
      <c r="Q312" s="54"/>
      <c r="R312" s="54"/>
      <c r="S312" s="387"/>
      <c r="T312" s="54"/>
      <c r="U312" s="54"/>
      <c r="V312" s="55"/>
      <c r="W312" s="53"/>
      <c r="X312" s="56"/>
      <c r="Y312" s="52"/>
      <c r="Z312" s="53"/>
      <c r="AA312" s="54"/>
      <c r="AB312" s="54"/>
      <c r="AC312" s="54"/>
      <c r="AD312" s="54"/>
      <c r="AE312" s="53"/>
      <c r="AF312" s="53"/>
      <c r="AG312" s="57"/>
      <c r="AH312" s="57"/>
      <c r="AI312" s="57"/>
      <c r="AJ312" s="57"/>
      <c r="AK312" s="57"/>
      <c r="AL312" s="57"/>
      <c r="AM312" s="57"/>
      <c r="AN312" s="57"/>
      <c r="AO312" s="57"/>
      <c r="AP312" s="57"/>
      <c r="AQ312" s="57"/>
      <c r="AR312" s="57"/>
      <c r="AS312" s="57"/>
      <c r="AT312" s="57"/>
      <c r="AU312" s="57"/>
      <c r="AV312" s="57"/>
      <c r="AW312" s="57"/>
      <c r="AX312" s="57"/>
      <c r="AY312" s="57"/>
      <c r="AZ312" s="57"/>
      <c r="BA312" s="57"/>
      <c r="BB312" s="57"/>
      <c r="BC312" s="57"/>
      <c r="BD312" s="57"/>
      <c r="BE312" s="57"/>
      <c r="BF312" s="57"/>
      <c r="BG312" s="57"/>
      <c r="BH312" s="57"/>
      <c r="BI312" s="57"/>
      <c r="BJ312" s="58"/>
      <c r="BK312" s="58"/>
      <c r="BL312" s="58"/>
      <c r="BM312" s="58"/>
      <c r="BN312" s="58"/>
      <c r="BO312" s="58"/>
      <c r="BP312" s="58"/>
      <c r="BQ312" s="58"/>
      <c r="BR312" s="58"/>
      <c r="BT312" s="59"/>
      <c r="BU312" s="59"/>
      <c r="BV312" s="59"/>
      <c r="BW312" s="59"/>
      <c r="BX312" s="59"/>
      <c r="BY312" s="59"/>
      <c r="BZ312" s="59"/>
      <c r="CA312" s="59"/>
      <c r="CB312" s="59"/>
    </row>
    <row r="313" s="360" customFormat="1" ht="15" customHeight="1" spans="1:80">
      <c r="A313" s="356"/>
      <c r="B313" s="261"/>
      <c r="C313" s="261"/>
      <c r="D313" s="261"/>
      <c r="E313" s="261"/>
      <c r="F313" s="261"/>
      <c r="G313" s="261"/>
      <c r="H313" s="261"/>
      <c r="I313" s="261"/>
      <c r="J313" s="261"/>
      <c r="K313" s="261"/>
      <c r="L313" s="261"/>
      <c r="M313" s="261"/>
      <c r="N313" s="261"/>
      <c r="O313" s="261"/>
      <c r="P313" s="261"/>
      <c r="Q313" s="261"/>
      <c r="R313" s="261"/>
      <c r="S313" s="261"/>
      <c r="T313" s="261"/>
      <c r="U313" s="261"/>
      <c r="V313" s="490"/>
      <c r="W313" s="261"/>
      <c r="X313" s="261"/>
      <c r="Y313" s="261"/>
      <c r="Z313" s="261" t="s">
        <v>1611</v>
      </c>
      <c r="AA313" s="261"/>
      <c r="AB313" s="261"/>
      <c r="AC313" s="261"/>
      <c r="AD313" s="261"/>
      <c r="AE313" s="261"/>
      <c r="AF313" s="261"/>
      <c r="AG313" s="261"/>
      <c r="AH313" s="261"/>
      <c r="AI313" s="261"/>
      <c r="AJ313" s="261"/>
      <c r="AK313" s="261"/>
      <c r="AL313" s="261"/>
      <c r="AM313" s="261"/>
      <c r="AN313" s="261"/>
      <c r="AO313" s="261"/>
      <c r="AP313" s="261"/>
      <c r="AQ313" s="261"/>
      <c r="AR313" s="261"/>
      <c r="AS313" s="261"/>
      <c r="AT313" s="261"/>
      <c r="AU313" s="261"/>
      <c r="AV313" s="261"/>
      <c r="AW313" s="261"/>
      <c r="AX313" s="261"/>
      <c r="AY313" s="261"/>
      <c r="AZ313" s="261"/>
      <c r="BA313" s="261"/>
      <c r="BB313" s="261"/>
      <c r="BC313" s="261"/>
      <c r="BD313" s="261"/>
      <c r="BE313" s="261"/>
      <c r="BF313" s="261"/>
      <c r="BG313" s="261"/>
      <c r="BH313" s="261"/>
      <c r="BI313" s="261"/>
      <c r="BJ313" s="359"/>
      <c r="BK313" s="359"/>
      <c r="BL313" s="359"/>
      <c r="BM313" s="359"/>
      <c r="BN313" s="359"/>
      <c r="BO313" s="359"/>
      <c r="BP313" s="359"/>
      <c r="BQ313" s="359"/>
      <c r="BR313" s="359"/>
      <c r="BT313" s="361"/>
      <c r="BU313" s="361"/>
      <c r="BV313" s="361"/>
      <c r="BW313" s="361"/>
      <c r="BX313" s="361"/>
      <c r="BY313" s="361"/>
      <c r="BZ313" s="361"/>
      <c r="CA313" s="361"/>
      <c r="CB313" s="361"/>
    </row>
    <row r="314" s="360" customFormat="1" spans="1:80">
      <c r="A314" s="229"/>
      <c r="B314" s="230"/>
      <c r="C314" s="230"/>
      <c r="D314" s="230"/>
      <c r="E314" s="230"/>
      <c r="F314" s="230"/>
      <c r="G314" s="230"/>
      <c r="H314" s="230"/>
      <c r="I314" s="230"/>
      <c r="J314" s="230"/>
      <c r="K314" s="230"/>
      <c r="L314" s="230"/>
      <c r="M314" s="230"/>
      <c r="N314" s="230"/>
      <c r="O314" s="230"/>
      <c r="P314" s="230"/>
      <c r="Q314" s="230"/>
      <c r="R314" s="230"/>
      <c r="S314" s="230"/>
      <c r="T314" s="230"/>
      <c r="U314" s="230"/>
      <c r="V314" s="230"/>
      <c r="W314" s="230"/>
      <c r="X314" s="230"/>
      <c r="Y314" s="230"/>
      <c r="Z314" s="230"/>
      <c r="AA314" s="230"/>
      <c r="AB314" s="230"/>
      <c r="AC314" s="230"/>
      <c r="AD314" s="230"/>
      <c r="AE314" s="230"/>
      <c r="AF314" s="230"/>
      <c r="AG314" s="230"/>
      <c r="AM314" s="230"/>
      <c r="AN314" s="230"/>
      <c r="AO314" s="230"/>
      <c r="AP314" s="230"/>
      <c r="AQ314" s="230"/>
      <c r="AR314" s="230"/>
      <c r="AS314" s="230"/>
      <c r="AT314" s="230"/>
      <c r="AU314" s="230"/>
      <c r="AV314" s="230"/>
      <c r="AW314" s="230"/>
      <c r="AX314" s="230"/>
      <c r="AY314" s="230"/>
      <c r="AZ314" s="230"/>
      <c r="BA314" s="230"/>
      <c r="BB314" s="230"/>
      <c r="BC314" s="230"/>
      <c r="BD314" s="230"/>
      <c r="BE314" s="230"/>
      <c r="BF314" s="230"/>
      <c r="BG314" s="230"/>
      <c r="BH314" s="230"/>
      <c r="BI314" s="230"/>
      <c r="BJ314" s="58"/>
      <c r="BK314" s="58"/>
      <c r="BL314" s="58"/>
      <c r="BM314" s="58"/>
      <c r="BN314" s="58"/>
      <c r="BO314" s="58"/>
      <c r="BP314" s="58"/>
      <c r="BQ314" s="58"/>
      <c r="BR314" s="58"/>
      <c r="BS314" s="4"/>
      <c r="BT314" s="59"/>
      <c r="BU314" s="59"/>
      <c r="BV314" s="59"/>
      <c r="BW314" s="59"/>
      <c r="BX314" s="59"/>
      <c r="BY314" s="59"/>
      <c r="BZ314" s="59"/>
      <c r="CA314" s="59"/>
      <c r="CB314" s="59"/>
    </row>
    <row r="315" s="230" customFormat="1" spans="1:80">
      <c r="A315" s="229"/>
      <c r="AF315" s="261" t="s">
        <v>1612</v>
      </c>
      <c r="AG315" s="261">
        <f t="shared" ref="AG315:AX315" si="820">SUM(AG3:AG314)</f>
        <v>781897</v>
      </c>
      <c r="AH315" s="261">
        <f t="shared" si="820"/>
        <v>399867</v>
      </c>
      <c r="AI315" s="261">
        <f t="shared" si="820"/>
        <v>357892</v>
      </c>
      <c r="AJ315" s="261">
        <f t="shared" si="820"/>
        <v>24138</v>
      </c>
      <c r="AK315" s="261">
        <f t="shared" si="820"/>
        <v>584844</v>
      </c>
      <c r="AL315" s="261">
        <f t="shared" si="820"/>
        <v>172915</v>
      </c>
      <c r="AM315" s="261">
        <f t="shared" si="820"/>
        <v>24138</v>
      </c>
      <c r="AN315" s="261">
        <f t="shared" si="820"/>
        <v>98941</v>
      </c>
      <c r="AO315" s="261">
        <f t="shared" si="820"/>
        <v>667967</v>
      </c>
      <c r="AP315" s="261">
        <f t="shared" si="820"/>
        <v>14989</v>
      </c>
      <c r="AQ315" s="261">
        <f t="shared" si="820"/>
        <v>3030</v>
      </c>
      <c r="AR315" s="261">
        <f t="shared" si="820"/>
        <v>1980</v>
      </c>
      <c r="AS315" s="261">
        <f t="shared" si="820"/>
        <v>2719</v>
      </c>
      <c r="AT315" s="261">
        <f t="shared" si="820"/>
        <v>18168</v>
      </c>
      <c r="AU315" s="261">
        <f t="shared" si="820"/>
        <v>2535</v>
      </c>
      <c r="AV315" s="261">
        <f t="shared" si="820"/>
        <v>15613</v>
      </c>
      <c r="AW315" s="261">
        <f t="shared" si="820"/>
        <v>535</v>
      </c>
      <c r="AX315" s="261">
        <f t="shared" si="820"/>
        <v>612</v>
      </c>
      <c r="AY315" s="261"/>
      <c r="AZ315" s="261">
        <f t="shared" ref="AZ315:BR315" si="821">SUM(AZ3:AZ314)</f>
        <v>0</v>
      </c>
      <c r="BA315" s="261">
        <f t="shared" si="821"/>
        <v>50</v>
      </c>
      <c r="BB315" s="261">
        <f t="shared" si="821"/>
        <v>50</v>
      </c>
      <c r="BC315" s="261">
        <f t="shared" si="821"/>
        <v>150</v>
      </c>
      <c r="BD315" s="261">
        <f t="shared" si="821"/>
        <v>47</v>
      </c>
      <c r="BE315" s="261">
        <f t="shared" si="821"/>
        <v>197</v>
      </c>
      <c r="BF315" s="261">
        <f t="shared" si="821"/>
        <v>23688</v>
      </c>
      <c r="BG315" s="261">
        <f t="shared" si="821"/>
        <v>23688</v>
      </c>
      <c r="BH315" s="261">
        <f t="shared" si="821"/>
        <v>0</v>
      </c>
      <c r="BI315" s="261">
        <f t="shared" si="821"/>
        <v>0</v>
      </c>
      <c r="BJ315" s="359">
        <f t="shared" si="821"/>
        <v>95780.0286458332</v>
      </c>
      <c r="BK315" s="359">
        <f t="shared" si="821"/>
        <v>95780.0286458332</v>
      </c>
      <c r="BL315" s="359">
        <f t="shared" si="821"/>
        <v>95780.0286458332</v>
      </c>
      <c r="BM315" s="359">
        <f t="shared" si="821"/>
        <v>95780.0286458332</v>
      </c>
      <c r="BN315" s="359">
        <f t="shared" si="821"/>
        <v>95780.0286458332</v>
      </c>
      <c r="BO315" s="359">
        <f t="shared" si="821"/>
        <v>95780.0286458332</v>
      </c>
      <c r="BP315" s="359">
        <f t="shared" si="821"/>
        <v>95780.0286458332</v>
      </c>
      <c r="BQ315" s="359">
        <f t="shared" si="821"/>
        <v>95780.0286458332</v>
      </c>
      <c r="BR315" s="359">
        <f t="shared" si="821"/>
        <v>16352.7708333333</v>
      </c>
      <c r="BT315" s="359">
        <f t="shared" ref="BT315:CB315" si="822">MIN(BT3:BT313)</f>
        <v>38247.9713541667</v>
      </c>
      <c r="BU315" s="359">
        <f t="shared" si="822"/>
        <v>38247.9713541667</v>
      </c>
      <c r="BV315" s="359">
        <f t="shared" si="822"/>
        <v>38247.9713541667</v>
      </c>
      <c r="BW315" s="359">
        <f t="shared" si="822"/>
        <v>38247.9713541667</v>
      </c>
      <c r="BX315" s="359">
        <f t="shared" si="822"/>
        <v>38247.9713541667</v>
      </c>
      <c r="BY315" s="359">
        <f t="shared" si="822"/>
        <v>38247.9713541667</v>
      </c>
      <c r="BZ315" s="359">
        <f t="shared" si="822"/>
        <v>38247.9713541667</v>
      </c>
      <c r="CA315" s="359">
        <f t="shared" si="822"/>
        <v>38247.9713541667</v>
      </c>
      <c r="CB315" s="359">
        <f t="shared" si="822"/>
        <v>6462.22916666669</v>
      </c>
    </row>
    <row r="316" s="230" customFormat="1" spans="1:80">
      <c r="A316" s="229"/>
      <c r="X316" s="230" t="s">
        <v>1613</v>
      </c>
      <c r="Y316" s="230">
        <f>SUM(Y3:Y314)</f>
        <v>530234.813520001</v>
      </c>
    </row>
    <row r="317" s="230" customFormat="1" spans="1:80">
      <c r="A317" s="229"/>
      <c r="BT317" s="369">
        <f>BT315-生产MA!G14</f>
        <v>20324.4401041665</v>
      </c>
      <c r="BU317" s="369">
        <f>BU315-生产MA!H14</f>
        <v>20324.4401041665</v>
      </c>
      <c r="BV317" s="369">
        <f>BV315-生产MA!I14</f>
        <v>20324.4401041665</v>
      </c>
      <c r="BW317" s="369">
        <f>BW315-生产MA!J14</f>
        <v>20324.4401041665</v>
      </c>
      <c r="BX317" s="369">
        <f>BX315-生产MA!K14</f>
        <v>20324.4401041665</v>
      </c>
      <c r="BY317" s="369">
        <f>BY315-生产MA!L14</f>
        <v>20324.4401041665</v>
      </c>
      <c r="BZ317" s="369">
        <f>BZ315-生产MA!M14</f>
        <v>20324.4401041665</v>
      </c>
      <c r="CA317" s="369">
        <f>CA315-生产MA!N14</f>
        <v>20324.4401041665</v>
      </c>
      <c r="CB317" s="369">
        <f>CB315-生产MA!O14</f>
        <v>3459.47916666665</v>
      </c>
    </row>
    <row r="318" s="230" customFormat="1" spans="1:80">
      <c r="A318" s="229"/>
      <c r="Y318" s="230">
        <f>Y316*7.75</f>
        <v>4109319.80478001</v>
      </c>
      <c r="AF318" s="360" t="s">
        <v>1120</v>
      </c>
      <c r="AG318" s="360">
        <f>SUM(AG10:AG297,AG299,AG301)</f>
        <v>730330</v>
      </c>
    </row>
    <row r="319" s="230" customFormat="1" spans="1:80">
      <c r="A319" s="229"/>
      <c r="BI319" s="230" t="s">
        <v>1614</v>
      </c>
      <c r="BJ319" s="369">
        <f t="shared" ref="BJ319:BR319" si="823">SUM(BJ10:BJ297,BJ299,BJ301)</f>
        <v>89468.4427083332</v>
      </c>
      <c r="BK319" s="369">
        <f t="shared" si="823"/>
        <v>89468.4427083332</v>
      </c>
      <c r="BL319" s="369">
        <f t="shared" si="823"/>
        <v>89468.4427083332</v>
      </c>
      <c r="BM319" s="369">
        <f t="shared" si="823"/>
        <v>89468.4427083332</v>
      </c>
      <c r="BN319" s="369">
        <f t="shared" si="823"/>
        <v>89468.4427083332</v>
      </c>
      <c r="BO319" s="369">
        <f t="shared" si="823"/>
        <v>89468.4427083332</v>
      </c>
      <c r="BP319" s="369">
        <f t="shared" si="823"/>
        <v>89468.4427083332</v>
      </c>
      <c r="BQ319" s="369">
        <f t="shared" si="823"/>
        <v>89468.4427083332</v>
      </c>
      <c r="BR319" s="369">
        <f t="shared" si="823"/>
        <v>15278.4583333333</v>
      </c>
    </row>
    <row r="320" s="230" customFormat="1" spans="1:80">
      <c r="A320" s="229"/>
    </row>
    <row r="321" s="230" customFormat="1" spans="1:13">
      <c r="A321" s="229"/>
    </row>
    <row r="322" s="230" customFormat="1" spans="1:13">
      <c r="A322" s="229"/>
    </row>
    <row r="323" s="230" customFormat="1" spans="1:13">
      <c r="A323" s="229"/>
      <c r="J323" s="230" t="s">
        <v>1611</v>
      </c>
      <c r="M323" s="230" t="s">
        <v>1615</v>
      </c>
    </row>
  </sheetData>
  <sheetProtection selectLockedCells="1" autoFilter="0"/>
  <autoFilter xmlns:etc="http://www.wps.cn/officeDocument/2017/etCustomData" ref="A2:CI310" etc:filterBottomFollowUsedRange="0">
    <filterColumn colId="6">
      <customFilters>
        <customFilter operator="equal" val="77685SK-S002"/>
      </customFilters>
    </filterColumn>
    <extLst/>
  </autoFilter>
  <mergeCells count="17">
    <mergeCell ref="AH1:AJ1"/>
    <mergeCell ref="AK1:AM1"/>
    <mergeCell ref="AN1:AO1"/>
    <mergeCell ref="AQ1:AS1"/>
    <mergeCell ref="AT1:AU1"/>
    <mergeCell ref="AX1:AY1"/>
    <mergeCell ref="AZ1:BB1"/>
    <mergeCell ref="BC1:BE1"/>
    <mergeCell ref="BF1:BH1"/>
    <mergeCell ref="AC75:AC76"/>
    <mergeCell ref="AC77:AC78"/>
    <mergeCell ref="AC127:AC128"/>
    <mergeCell ref="AC129:AC132"/>
    <mergeCell ref="AC148:AC151"/>
    <mergeCell ref="AC193:AC196"/>
    <mergeCell ref="AC213:AC220"/>
    <mergeCell ref="AC257:AC258"/>
  </mergeCells>
  <conditionalFormatting sqref="R12">
    <cfRule type="cellIs" dxfId="0" priority="482" operator="equal">
      <formula>"欠"</formula>
    </cfRule>
    <cfRule type="containsText" dxfId="0" priority="481" operator="between" text="欠">
      <formula>NOT(ISERROR(SEARCH("欠",R12)))</formula>
    </cfRule>
  </conditionalFormatting>
  <conditionalFormatting sqref="T12:U12">
    <cfRule type="cellIs" dxfId="0" priority="478" operator="equal">
      <formula>"欠"</formula>
    </cfRule>
    <cfRule type="containsText" dxfId="0" priority="477" operator="between" text="欠">
      <formula>NOT(ISERROR(SEARCH("欠",T12)))</formula>
    </cfRule>
  </conditionalFormatting>
  <conditionalFormatting sqref="S17">
    <cfRule type="cellIs" dxfId="0" priority="464" operator="equal">
      <formula>"欠"</formula>
    </cfRule>
    <cfRule type="containsText" dxfId="0" priority="463" operator="between" text="欠">
      <formula>NOT(ISERROR(SEARCH("欠",S17)))</formula>
    </cfRule>
  </conditionalFormatting>
  <conditionalFormatting sqref="T17:U17">
    <cfRule type="cellIs" dxfId="0" priority="462" operator="equal">
      <formula>"欠"</formula>
    </cfRule>
    <cfRule type="containsText" dxfId="0" priority="461" operator="between" text="欠">
      <formula>NOT(ISERROR(SEARCH("欠",T17)))</formula>
    </cfRule>
  </conditionalFormatting>
  <conditionalFormatting sqref="S18">
    <cfRule type="cellIs" dxfId="0" priority="460" operator="equal">
      <formula>"欠"</formula>
    </cfRule>
    <cfRule type="containsText" dxfId="0" priority="459" operator="between" text="欠">
      <formula>NOT(ISERROR(SEARCH("欠",S18)))</formula>
    </cfRule>
  </conditionalFormatting>
  <conditionalFormatting sqref="T18:U18">
    <cfRule type="cellIs" dxfId="0" priority="458" operator="equal">
      <formula>"欠"</formula>
    </cfRule>
    <cfRule type="containsText" dxfId="0" priority="457" operator="between" text="欠">
      <formula>NOT(ISERROR(SEARCH("欠",T18)))</formula>
    </cfRule>
  </conditionalFormatting>
  <conditionalFormatting sqref="T24:U24">
    <cfRule type="containsText" dxfId="0" priority="443" operator="between" text="欠">
      <formula>NOT(ISERROR(SEARCH("欠",T24)))</formula>
    </cfRule>
    <cfRule type="cellIs" dxfId="0" priority="442" operator="equal">
      <formula>"欠"</formula>
    </cfRule>
  </conditionalFormatting>
  <conditionalFormatting sqref="R35">
    <cfRule type="cellIs" dxfId="0" priority="337" operator="equal">
      <formula>"欠"</formula>
    </cfRule>
    <cfRule type="containsText" dxfId="0" priority="336" operator="between" text="欠">
      <formula>NOT(ISERROR(SEARCH("欠",R35)))</formula>
    </cfRule>
  </conditionalFormatting>
  <conditionalFormatting sqref="S35">
    <cfRule type="cellIs" dxfId="0" priority="335" operator="equal">
      <formula>"欠"</formula>
    </cfRule>
    <cfRule type="containsText" dxfId="0" priority="334" operator="between" text="欠">
      <formula>NOT(ISERROR(SEARCH("欠",S35)))</formula>
    </cfRule>
  </conditionalFormatting>
  <conditionalFormatting sqref="T35:U35">
    <cfRule type="cellIs" dxfId="0" priority="333" operator="equal">
      <formula>"欠"</formula>
    </cfRule>
    <cfRule type="containsText" dxfId="0" priority="332" operator="between" text="欠">
      <formula>NOT(ISERROR(SEARCH("欠",T35)))</formula>
    </cfRule>
  </conditionalFormatting>
  <conditionalFormatting sqref="S38">
    <cfRule type="cellIs" dxfId="0" priority="431" operator="equal">
      <formula>"欠"</formula>
    </cfRule>
    <cfRule type="containsText" dxfId="0" priority="430" operator="between" text="欠">
      <formula>NOT(ISERROR(SEARCH("欠",S38)))</formula>
    </cfRule>
  </conditionalFormatting>
  <conditionalFormatting sqref="T38:U38">
    <cfRule type="cellIs" dxfId="0" priority="429" operator="equal">
      <formula>"欠"</formula>
    </cfRule>
    <cfRule type="containsText" dxfId="0" priority="428" operator="between" text="欠">
      <formula>NOT(ISERROR(SEARCH("欠",T38)))</formula>
    </cfRule>
  </conditionalFormatting>
  <conditionalFormatting sqref="R45">
    <cfRule type="cellIs" dxfId="0" priority="385" operator="equal">
      <formula>"欠"</formula>
    </cfRule>
    <cfRule type="containsText" dxfId="0" priority="384" operator="between" text="欠">
      <formula>NOT(ISERROR(SEARCH("欠",R45)))</formula>
    </cfRule>
  </conditionalFormatting>
  <conditionalFormatting sqref="S45">
    <cfRule type="cellIs" dxfId="0" priority="383" operator="equal">
      <formula>"欠"</formula>
    </cfRule>
    <cfRule type="containsText" dxfId="0" priority="382" operator="between" text="欠">
      <formula>NOT(ISERROR(SEARCH("欠",S45)))</formula>
    </cfRule>
  </conditionalFormatting>
  <conditionalFormatting sqref="T45:U45">
    <cfRule type="cellIs" dxfId="0" priority="387" operator="equal">
      <formula>"欠"</formula>
    </cfRule>
    <cfRule type="containsText" dxfId="0" priority="386" operator="between" text="欠">
      <formula>NOT(ISERROR(SEARCH("欠",T45)))</formula>
    </cfRule>
  </conditionalFormatting>
  <conditionalFormatting sqref="R47">
    <cfRule type="cellIs" dxfId="0" priority="486" operator="equal">
      <formula>"欠"</formula>
    </cfRule>
  </conditionalFormatting>
  <conditionalFormatting sqref="S47">
    <cfRule type="cellIs" dxfId="0" priority="427" operator="equal">
      <formula>"欠"</formula>
    </cfRule>
    <cfRule type="containsText" dxfId="0" priority="426" operator="between" text="欠">
      <formula>NOT(ISERROR(SEARCH("欠",S47)))</formula>
    </cfRule>
  </conditionalFormatting>
  <conditionalFormatting sqref="T47:U47">
    <cfRule type="cellIs" dxfId="0" priority="425" operator="equal">
      <formula>"欠"</formula>
    </cfRule>
    <cfRule type="containsText" dxfId="0" priority="424" operator="between" text="欠">
      <formula>NOT(ISERROR(SEARCH("欠",T47)))</formula>
    </cfRule>
  </conditionalFormatting>
  <conditionalFormatting sqref="S55">
    <cfRule type="cellIs" dxfId="0" priority="395" operator="equal">
      <formula>"欠"</formula>
    </cfRule>
    <cfRule type="containsText" dxfId="0" priority="394" operator="between" text="欠">
      <formula>NOT(ISERROR(SEARCH("欠",S55)))</formula>
    </cfRule>
  </conditionalFormatting>
  <conditionalFormatting sqref="T55:U55">
    <cfRule type="cellIs" dxfId="0" priority="393" operator="equal">
      <formula>"欠"</formula>
    </cfRule>
    <cfRule type="containsText" dxfId="0" priority="392" operator="between" text="欠">
      <formula>NOT(ISERROR(SEARCH("欠",T55)))</formula>
    </cfRule>
  </conditionalFormatting>
  <conditionalFormatting sqref="S57">
    <cfRule type="cellIs" dxfId="0" priority="381" operator="equal">
      <formula>"欠"</formula>
    </cfRule>
    <cfRule type="containsText" dxfId="0" priority="380" operator="between" text="欠">
      <formula>NOT(ISERROR(SEARCH("欠",S57)))</formula>
    </cfRule>
  </conditionalFormatting>
  <conditionalFormatting sqref="T57:U57">
    <cfRule type="cellIs" dxfId="0" priority="379" operator="equal">
      <formula>"欠"</formula>
    </cfRule>
    <cfRule type="containsText" dxfId="0" priority="378" operator="between" text="欠">
      <formula>NOT(ISERROR(SEARCH("欠",T57)))</formula>
    </cfRule>
  </conditionalFormatting>
  <conditionalFormatting sqref="S67">
    <cfRule type="cellIs" dxfId="0" priority="399" operator="equal">
      <formula>"欠"</formula>
    </cfRule>
    <cfRule type="containsText" dxfId="0" priority="398" operator="between" text="欠">
      <formula>NOT(ISERROR(SEARCH("欠",S67)))</formula>
    </cfRule>
  </conditionalFormatting>
  <conditionalFormatting sqref="R69">
    <cfRule type="cellIs" dxfId="0" priority="375" operator="equal">
      <formula>"欠"</formula>
    </cfRule>
    <cfRule type="containsText" dxfId="0" priority="374" operator="between" text="欠">
      <formula>NOT(ISERROR(SEARCH("欠",R69)))</formula>
    </cfRule>
  </conditionalFormatting>
  <conditionalFormatting sqref="S69">
    <cfRule type="cellIs" dxfId="0" priority="377" operator="equal">
      <formula>"欠"</formula>
    </cfRule>
    <cfRule type="containsText" dxfId="0" priority="376" operator="between" text="欠">
      <formula>NOT(ISERROR(SEARCH("欠",S69)))</formula>
    </cfRule>
  </conditionalFormatting>
  <conditionalFormatting sqref="T69:U69">
    <cfRule type="cellIs" dxfId="0" priority="373" operator="equal">
      <formula>"欠"</formula>
    </cfRule>
    <cfRule type="containsText" dxfId="0" priority="372" operator="between" text="欠">
      <formula>NOT(ISERROR(SEARCH("欠",T69)))</formula>
    </cfRule>
  </conditionalFormatting>
  <conditionalFormatting sqref="T72:U72">
    <cfRule type="cellIs" dxfId="0" priority="365" operator="equal">
      <formula>"欠"</formula>
    </cfRule>
    <cfRule type="containsText" dxfId="0" priority="364" operator="between" text="欠">
      <formula>NOT(ISERROR(SEARCH("欠",T72)))</formula>
    </cfRule>
  </conditionalFormatting>
  <conditionalFormatting sqref="T85:U85">
    <cfRule type="cellIs" dxfId="0" priority="415" operator="equal">
      <formula>"欠"</formula>
    </cfRule>
    <cfRule type="containsText" dxfId="0" priority="414" operator="between" text="欠">
      <formula>NOT(ISERROR(SEARCH("欠",T85)))</formula>
    </cfRule>
  </conditionalFormatting>
  <conditionalFormatting sqref="R90">
    <cfRule type="cellIs" dxfId="0" priority="343" operator="equal">
      <formula>"欠"</formula>
    </cfRule>
    <cfRule type="containsText" dxfId="0" priority="342" operator="between" text="欠">
      <formula>NOT(ISERROR(SEARCH("欠",R90)))</formula>
    </cfRule>
  </conditionalFormatting>
  <conditionalFormatting sqref="R93">
    <cfRule type="cellIs" dxfId="0" priority="341" operator="equal">
      <formula>"欠"</formula>
    </cfRule>
    <cfRule type="containsText" dxfId="0" priority="340" operator="between" text="欠">
      <formula>NOT(ISERROR(SEARCH("欠",R93)))</formula>
    </cfRule>
  </conditionalFormatting>
  <conditionalFormatting sqref="R104">
    <cfRule type="cellIs" dxfId="0" priority="315" operator="equal">
      <formula>"欠"</formula>
    </cfRule>
    <cfRule type="containsText" dxfId="0" priority="314" operator="between" text="欠">
      <formula>NOT(ISERROR(SEARCH("欠",R104)))</formula>
    </cfRule>
  </conditionalFormatting>
  <conditionalFormatting sqref="S104">
    <cfRule type="cellIs" dxfId="0" priority="311" operator="equal">
      <formula>"欠"</formula>
    </cfRule>
    <cfRule type="containsText" dxfId="0" priority="310" operator="between" text="欠">
      <formula>NOT(ISERROR(SEARCH("欠",S104)))</formula>
    </cfRule>
  </conditionalFormatting>
  <conditionalFormatting sqref="T104:U104">
    <cfRule type="cellIs" dxfId="0" priority="313" operator="equal">
      <formula>"欠"</formula>
    </cfRule>
    <cfRule type="containsText" dxfId="0" priority="312" operator="between" text="欠">
      <formula>NOT(ISERROR(SEARCH("欠",T104)))</formula>
    </cfRule>
  </conditionalFormatting>
  <conditionalFormatting sqref="T112:U112">
    <cfRule type="cellIs" dxfId="0" priority="321" operator="equal">
      <formula>"欠"</formula>
    </cfRule>
    <cfRule type="containsText" dxfId="0" priority="320" operator="between" text="欠">
      <formula>NOT(ISERROR(SEARCH("欠",T112)))</formula>
    </cfRule>
  </conditionalFormatting>
  <conditionalFormatting sqref="R114">
    <cfRule type="cellIs" dxfId="0" priority="295" operator="equal">
      <formula>"欠"</formula>
    </cfRule>
    <cfRule type="containsText" dxfId="0" priority="294" operator="between" text="欠">
      <formula>NOT(ISERROR(SEARCH("欠",R114)))</formula>
    </cfRule>
  </conditionalFormatting>
  <conditionalFormatting sqref="S114">
    <cfRule type="containsText" dxfId="0" priority="296" operator="between" text="欠">
      <formula>NOT(ISERROR(SEARCH("欠",S114)))</formula>
    </cfRule>
  </conditionalFormatting>
  <conditionalFormatting sqref="T114:U114">
    <cfRule type="containsText" dxfId="0" priority="293" operator="between" text="欠">
      <formula>NOT(ISERROR(SEARCH("欠",T114)))</formula>
    </cfRule>
  </conditionalFormatting>
  <conditionalFormatting sqref="R115">
    <cfRule type="cellIs" dxfId="0" priority="307" operator="equal">
      <formula>"欠"</formula>
    </cfRule>
    <cfRule type="containsText" dxfId="0" priority="306" operator="between" text="欠">
      <formula>NOT(ISERROR(SEARCH("欠",R115)))</formula>
    </cfRule>
  </conditionalFormatting>
  <conditionalFormatting sqref="S115">
    <cfRule type="cellIs" dxfId="0" priority="305" operator="equal">
      <formula>"欠"</formula>
    </cfRule>
    <cfRule type="containsText" dxfId="0" priority="304" operator="between" text="欠">
      <formula>NOT(ISERROR(SEARCH("欠",S115)))</formula>
    </cfRule>
  </conditionalFormatting>
  <conditionalFormatting sqref="T115:U115">
    <cfRule type="cellIs" dxfId="0" priority="309" operator="equal">
      <formula>"欠"</formula>
    </cfRule>
    <cfRule type="containsText" dxfId="0" priority="308" operator="between" text="欠">
      <formula>NOT(ISERROR(SEARCH("欠",T115)))</formula>
    </cfRule>
  </conditionalFormatting>
  <conditionalFormatting sqref="R116">
    <cfRule type="cellIs" dxfId="0" priority="282" operator="equal">
      <formula>"欠"</formula>
    </cfRule>
    <cfRule type="containsText" dxfId="0" priority="281" operator="between" text="欠">
      <formula>NOT(ISERROR(SEARCH("欠",R116)))</formula>
    </cfRule>
  </conditionalFormatting>
  <conditionalFormatting sqref="R117">
    <cfRule type="cellIs" dxfId="0" priority="351" operator="equal">
      <formula>"欠"</formula>
    </cfRule>
    <cfRule type="containsText" dxfId="0" priority="350" operator="between" text="欠">
      <formula>NOT(ISERROR(SEARCH("欠",R117)))</formula>
    </cfRule>
  </conditionalFormatting>
  <conditionalFormatting sqref="S117">
    <cfRule type="containsText" dxfId="0" priority="353" operator="between" text="欠">
      <formula>NOT(ISERROR(SEARCH("欠",S117)))</formula>
    </cfRule>
    <cfRule type="cellIs" dxfId="0" priority="352" operator="equal">
      <formula>"欠"</formula>
    </cfRule>
  </conditionalFormatting>
  <conditionalFormatting sqref="T117">
    <cfRule type="containsText" dxfId="0" priority="349" operator="between" text="欠">
      <formula>NOT(ISERROR(SEARCH("欠",T117)))</formula>
    </cfRule>
    <cfRule type="cellIs" dxfId="0" priority="348" operator="equal">
      <formula>"欠"</formula>
    </cfRule>
  </conditionalFormatting>
  <conditionalFormatting sqref="R123">
    <cfRule type="cellIs" dxfId="0" priority="273" operator="equal">
      <formula>"欠"</formula>
    </cfRule>
    <cfRule type="containsText" dxfId="0" priority="272" operator="between" text="欠">
      <formula>NOT(ISERROR(SEARCH("欠",R123)))</formula>
    </cfRule>
  </conditionalFormatting>
  <conditionalFormatting sqref="T123:U123">
    <cfRule type="containsText" dxfId="1" priority="275" operator="between" text="欠">
      <formula>NOT(ISERROR(SEARCH("欠",T123)))</formula>
    </cfRule>
    <cfRule type="containsText" dxfId="0" priority="274" operator="between" text="欠">
      <formula>NOT(ISERROR(SEARCH("欠",T123)))</formula>
    </cfRule>
  </conditionalFormatting>
  <conditionalFormatting sqref="R124">
    <cfRule type="cellIs" dxfId="0" priority="325" operator="equal">
      <formula>"欠"</formula>
    </cfRule>
    <cfRule type="containsText" dxfId="0" priority="324" operator="between" text="欠">
      <formula>NOT(ISERROR(SEARCH("欠",R124)))</formula>
    </cfRule>
  </conditionalFormatting>
  <conditionalFormatting sqref="S124">
    <cfRule type="cellIs" dxfId="0" priority="323" operator="equal">
      <formula>"欠"</formula>
    </cfRule>
    <cfRule type="containsText" dxfId="0" priority="322" operator="between" text="欠">
      <formula>NOT(ISERROR(SEARCH("欠",S124)))</formula>
    </cfRule>
  </conditionalFormatting>
  <conditionalFormatting sqref="T124:U124">
    <cfRule type="cellIs" dxfId="0" priority="327" operator="equal">
      <formula>"欠"</formula>
    </cfRule>
    <cfRule type="containsText" dxfId="0" priority="326" operator="between" text="欠">
      <formula>NOT(ISERROR(SEARCH("欠",T124)))</formula>
    </cfRule>
  </conditionalFormatting>
  <conditionalFormatting sqref="R125">
    <cfRule type="cellIs" dxfId="0" priority="271" operator="equal">
      <formula>"欠"</formula>
    </cfRule>
    <cfRule type="containsText" dxfId="0" priority="270" operator="between" text="欠">
      <formula>NOT(ISERROR(SEARCH("欠",R125)))</formula>
    </cfRule>
  </conditionalFormatting>
  <conditionalFormatting sqref="T135:U135">
    <cfRule type="cellIs" dxfId="0" priority="261" operator="equal">
      <formula>"欠"</formula>
    </cfRule>
    <cfRule type="containsText" dxfId="0" priority="260" operator="between" text="欠">
      <formula>NOT(ISERROR(SEARCH("欠",T135)))</formula>
    </cfRule>
  </conditionalFormatting>
  <conditionalFormatting sqref="R137">
    <cfRule type="cellIs" dxfId="0" priority="292" operator="equal">
      <formula>"欠"</formula>
    </cfRule>
    <cfRule type="containsText" dxfId="0" priority="291" operator="between" text="欠">
      <formula>NOT(ISERROR(SEARCH("欠",R137)))</formula>
    </cfRule>
  </conditionalFormatting>
  <conditionalFormatting sqref="S137">
    <cfRule type="cellIs" dxfId="0" priority="290" operator="equal">
      <formula>"欠"</formula>
    </cfRule>
    <cfRule type="containsText" dxfId="0" priority="289" operator="between" text="欠">
      <formula>NOT(ISERROR(SEARCH("欠",S137)))</formula>
    </cfRule>
  </conditionalFormatting>
  <conditionalFormatting sqref="R138">
    <cfRule type="cellIs" dxfId="0" priority="288" operator="equal">
      <formula>"欠"</formula>
    </cfRule>
    <cfRule type="containsText" dxfId="0" priority="287" operator="between" text="欠">
      <formula>NOT(ISERROR(SEARCH("欠",R138)))</formula>
    </cfRule>
  </conditionalFormatting>
  <conditionalFormatting sqref="S138">
    <cfRule type="cellIs" dxfId="0" priority="286" operator="equal">
      <formula>"欠"</formula>
    </cfRule>
    <cfRule type="containsText" dxfId="0" priority="285" operator="between" text="欠">
      <formula>NOT(ISERROR(SEARCH("欠",S138)))</formula>
    </cfRule>
  </conditionalFormatting>
  <conditionalFormatting sqref="S143">
    <cfRule type="cellIs" dxfId="0" priority="233" operator="equal">
      <formula>"欠"</formula>
    </cfRule>
    <cfRule type="containsText" dxfId="0" priority="232" operator="between" text="欠">
      <formula>NOT(ISERROR(SEARCH("欠",S143)))</formula>
    </cfRule>
  </conditionalFormatting>
  <conditionalFormatting sqref="U143">
    <cfRule type="cellIs" dxfId="0" priority="257" operator="equal">
      <formula>"欠"</formula>
    </cfRule>
    <cfRule type="containsText" dxfId="0" priority="256" operator="between" text="欠">
      <formula>NOT(ISERROR(SEARCH("欠",U143)))</formula>
    </cfRule>
  </conditionalFormatting>
  <conditionalFormatting sqref="R144">
    <cfRule type="cellIs" dxfId="0" priority="231" operator="equal">
      <formula>"欠"</formula>
    </cfRule>
    <cfRule type="containsText" dxfId="0" priority="230" operator="between" text="欠">
      <formula>NOT(ISERROR(SEARCH("欠",R144)))</formula>
    </cfRule>
  </conditionalFormatting>
  <conditionalFormatting sqref="R153">
    <cfRule type="cellIs" dxfId="0" priority="298" operator="equal">
      <formula>"欠"</formula>
    </cfRule>
    <cfRule type="containsText" dxfId="0" priority="297" operator="between" text="欠">
      <formula>NOT(ISERROR(SEARCH("欠",R153)))</formula>
    </cfRule>
  </conditionalFormatting>
  <conditionalFormatting sqref="R158">
    <cfRule type="cellIs" dxfId="0" priority="249" operator="equal">
      <formula>"欠"</formula>
    </cfRule>
    <cfRule type="containsText" dxfId="0" priority="248" operator="between" text="欠">
      <formula>NOT(ISERROR(SEARCH("欠",R158)))</formula>
    </cfRule>
  </conditionalFormatting>
  <conditionalFormatting sqref="T158:U158">
    <cfRule type="cellIs" dxfId="0" priority="251" operator="equal">
      <formula>"欠"</formula>
    </cfRule>
    <cfRule type="containsText" dxfId="0" priority="250" operator="between" text="欠">
      <formula>NOT(ISERROR(SEARCH("欠",T158)))</formula>
    </cfRule>
  </conditionalFormatting>
  <conditionalFormatting sqref="R159">
    <cfRule type="cellIs" dxfId="0" priority="278" operator="equal">
      <formula>"欠"</formula>
    </cfRule>
    <cfRule type="containsText" dxfId="0" priority="277" operator="between" text="欠">
      <formula>NOT(ISERROR(SEARCH("欠",R159)))</formula>
    </cfRule>
  </conditionalFormatting>
  <conditionalFormatting sqref="S159">
    <cfRule type="containsText" dxfId="0" priority="279" operator="between" text="欠">
      <formula>NOT(ISERROR(SEARCH("欠",S159)))</formula>
    </cfRule>
  </conditionalFormatting>
  <conditionalFormatting sqref="T159:U159">
    <cfRule type="containsText" dxfId="0" priority="280" operator="between" text="欠">
      <formula>NOT(ISERROR(SEARCH("欠",T159)))</formula>
    </cfRule>
  </conditionalFormatting>
  <conditionalFormatting sqref="T163">
    <cfRule type="cellIs" dxfId="0" priority="229" operator="equal">
      <formula>"欠"</formula>
    </cfRule>
    <cfRule type="containsText" dxfId="0" priority="228" operator="between" text="欠">
      <formula>NOT(ISERROR(SEARCH("欠",T163)))</formula>
    </cfRule>
  </conditionalFormatting>
  <conditionalFormatting sqref="R164">
    <cfRule type="cellIs" dxfId="0" priority="211" operator="equal">
      <formula>"欠"</formula>
    </cfRule>
    <cfRule type="containsText" dxfId="0" priority="210" operator="between" text="欠">
      <formula>NOT(ISERROR(SEARCH("欠",R164)))</formula>
    </cfRule>
  </conditionalFormatting>
  <conditionalFormatting sqref="S164">
    <cfRule type="cellIs" dxfId="0" priority="209" operator="equal">
      <formula>"欠"</formula>
    </cfRule>
    <cfRule type="containsText" dxfId="0" priority="208" operator="between" text="欠">
      <formula>NOT(ISERROR(SEARCH("欠",S164)))</formula>
    </cfRule>
  </conditionalFormatting>
  <conditionalFormatting sqref="T164">
    <cfRule type="cellIs" dxfId="0" priority="207" operator="equal">
      <formula>"欠"</formula>
    </cfRule>
    <cfRule type="containsText" dxfId="0" priority="206" operator="between" text="欠">
      <formula>NOT(ISERROR(SEARCH("欠",T164)))</formula>
    </cfRule>
  </conditionalFormatting>
  <conditionalFormatting sqref="R170">
    <cfRule type="cellIs" dxfId="0" priority="225" operator="equal">
      <formula>"欠"</formula>
    </cfRule>
    <cfRule type="containsText" dxfId="0" priority="224" operator="between" text="欠">
      <formula>NOT(ISERROR(SEARCH("欠",R170)))</formula>
    </cfRule>
  </conditionalFormatting>
  <conditionalFormatting sqref="U170">
    <cfRule type="cellIs" dxfId="0" priority="227" operator="equal">
      <formula>"欠"</formula>
    </cfRule>
    <cfRule type="containsText" dxfId="0" priority="226" operator="between" text="欠">
      <formula>NOT(ISERROR(SEARCH("欠",U170)))</formula>
    </cfRule>
  </conditionalFormatting>
  <conditionalFormatting sqref="R171">
    <cfRule type="cellIs" dxfId="0" priority="215" operator="equal">
      <formula>"欠"</formula>
    </cfRule>
    <cfRule type="containsText" dxfId="0" priority="214" operator="between" text="欠">
      <formula>NOT(ISERROR(SEARCH("欠",R171)))</formula>
    </cfRule>
  </conditionalFormatting>
  <conditionalFormatting sqref="S171">
    <cfRule type="cellIs" dxfId="0" priority="213" operator="equal">
      <formula>"欠"</formula>
    </cfRule>
    <cfRule type="containsText" dxfId="0" priority="212" operator="between" text="欠">
      <formula>NOT(ISERROR(SEARCH("欠",S171)))</formula>
    </cfRule>
  </conditionalFormatting>
  <conditionalFormatting sqref="S173">
    <cfRule type="cellIs" dxfId="0" priority="239" operator="equal">
      <formula>"欠"</formula>
    </cfRule>
    <cfRule type="containsText" dxfId="0" priority="238" operator="between" text="欠">
      <formula>NOT(ISERROR(SEARCH("欠",S173)))</formula>
    </cfRule>
  </conditionalFormatting>
  <conditionalFormatting sqref="R181">
    <cfRule type="cellIs" dxfId="0" priority="158" operator="equal">
      <formula>"欠"</formula>
    </cfRule>
    <cfRule type="containsText" dxfId="0" priority="157" operator="between" text="欠">
      <formula>NOT(ISERROR(SEARCH("欠",R181)))</formula>
    </cfRule>
  </conditionalFormatting>
  <conditionalFormatting sqref="U181">
    <cfRule type="cellIs" dxfId="0" priority="160" operator="equal">
      <formula>"欠"</formula>
    </cfRule>
    <cfRule type="containsText" dxfId="0" priority="159" operator="between" text="欠">
      <formula>NOT(ISERROR(SEARCH("欠",U181)))</formula>
    </cfRule>
  </conditionalFormatting>
  <conditionalFormatting sqref="R182">
    <cfRule type="cellIs" dxfId="0" priority="201" operator="equal">
      <formula>"欠"</formula>
    </cfRule>
    <cfRule type="containsText" dxfId="0" priority="200" operator="between" text="欠">
      <formula>NOT(ISERROR(SEARCH("欠",R182)))</formula>
    </cfRule>
  </conditionalFormatting>
  <conditionalFormatting sqref="S182">
    <cfRule type="cellIs" dxfId="0" priority="199" operator="equal">
      <formula>"欠"</formula>
    </cfRule>
    <cfRule type="containsText" dxfId="0" priority="198" operator="between" text="欠">
      <formula>NOT(ISERROR(SEARCH("欠",S182)))</formula>
    </cfRule>
  </conditionalFormatting>
  <conditionalFormatting sqref="T182">
    <cfRule type="cellIs" dxfId="0" priority="203" operator="equal">
      <formula>"欠"</formula>
    </cfRule>
    <cfRule type="containsText" dxfId="0" priority="202" operator="between" text="欠">
      <formula>NOT(ISERROR(SEARCH("欠",T182)))</formula>
    </cfRule>
  </conditionalFormatting>
  <conditionalFormatting sqref="U183">
    <cfRule type="cellIs" dxfId="0" priority="186" operator="equal">
      <formula>"欠"</formula>
    </cfRule>
    <cfRule type="containsText" dxfId="0" priority="185" operator="between" text="欠">
      <formula>NOT(ISERROR(SEARCH("欠",U183)))</formula>
    </cfRule>
  </conditionalFormatting>
  <conditionalFormatting sqref="U184">
    <cfRule type="cellIs" dxfId="0" priority="178" operator="equal">
      <formula>"欠"</formula>
    </cfRule>
    <cfRule type="containsText" dxfId="0" priority="177" operator="between" text="欠">
      <formula>NOT(ISERROR(SEARCH("欠",U184)))</formula>
    </cfRule>
  </conditionalFormatting>
  <conditionalFormatting sqref="U185">
    <cfRule type="cellIs" dxfId="0" priority="176" operator="equal">
      <formula>"欠"</formula>
    </cfRule>
    <cfRule type="containsText" dxfId="0" priority="175" operator="between" text="欠">
      <formula>NOT(ISERROR(SEARCH("欠",U185)))</formula>
    </cfRule>
  </conditionalFormatting>
  <conditionalFormatting sqref="U186">
    <cfRule type="cellIs" dxfId="0" priority="174" operator="equal">
      <formula>"欠"</formula>
    </cfRule>
    <cfRule type="containsText" dxfId="0" priority="173" operator="between" text="欠">
      <formula>NOT(ISERROR(SEARCH("欠",U186)))</formula>
    </cfRule>
  </conditionalFormatting>
  <conditionalFormatting sqref="U187">
    <cfRule type="cellIs" dxfId="0" priority="172" operator="equal">
      <formula>"欠"</formula>
    </cfRule>
    <cfRule type="containsText" dxfId="0" priority="171" operator="between" text="欠">
      <formula>NOT(ISERROR(SEARCH("欠",U187)))</formula>
    </cfRule>
  </conditionalFormatting>
  <conditionalFormatting sqref="U188">
    <cfRule type="cellIs" dxfId="0" priority="170" operator="equal">
      <formula>"欠"</formula>
    </cfRule>
    <cfRule type="containsText" dxfId="0" priority="169" operator="between" text="欠">
      <formula>NOT(ISERROR(SEARCH("欠",U188)))</formula>
    </cfRule>
  </conditionalFormatting>
  <conditionalFormatting sqref="U189">
    <cfRule type="cellIs" dxfId="0" priority="168" operator="equal">
      <formula>"欠"</formula>
    </cfRule>
    <cfRule type="containsText" dxfId="0" priority="167" operator="between" text="欠">
      <formula>NOT(ISERROR(SEARCH("欠",U189)))</formula>
    </cfRule>
  </conditionalFormatting>
  <conditionalFormatting sqref="U190">
    <cfRule type="cellIs" dxfId="0" priority="166" operator="equal">
      <formula>"欠"</formula>
    </cfRule>
    <cfRule type="containsText" dxfId="0" priority="165" operator="between" text="欠">
      <formula>NOT(ISERROR(SEARCH("欠",U190)))</formula>
    </cfRule>
  </conditionalFormatting>
  <conditionalFormatting sqref="U191">
    <cfRule type="cellIs" dxfId="0" priority="164" operator="equal">
      <formula>"欠"</formula>
    </cfRule>
    <cfRule type="containsText" dxfId="0" priority="163" operator="between" text="欠">
      <formula>NOT(ISERROR(SEARCH("欠",U191)))</formula>
    </cfRule>
  </conditionalFormatting>
  <conditionalFormatting sqref="U192">
    <cfRule type="cellIs" dxfId="0" priority="162" operator="equal">
      <formula>"欠"</formula>
    </cfRule>
    <cfRule type="containsText" dxfId="0" priority="161" operator="between" text="欠">
      <formula>NOT(ISERROR(SEARCH("欠",U192)))</formula>
    </cfRule>
  </conditionalFormatting>
  <conditionalFormatting sqref="U193">
    <cfRule type="cellIs" dxfId="0" priority="223" operator="equal">
      <formula>"欠"</formula>
    </cfRule>
    <cfRule type="containsText" dxfId="0" priority="222" operator="between" text="欠">
      <formula>NOT(ISERROR(SEARCH("欠",U193)))</formula>
    </cfRule>
  </conditionalFormatting>
  <conditionalFormatting sqref="S200">
    <cfRule type="containsText" dxfId="0" priority="188" operator="between" text="欠">
      <formula>NOT(ISERROR(SEARCH("欠",S200)))</formula>
    </cfRule>
  </conditionalFormatting>
  <conditionalFormatting sqref="R201">
    <cfRule type="cellIs" dxfId="0" priority="152" operator="equal">
      <formula>"欠"</formula>
    </cfRule>
    <cfRule type="containsText" dxfId="0" priority="151" operator="between" text="欠">
      <formula>NOT(ISERROR(SEARCH("欠",R201)))</formula>
    </cfRule>
  </conditionalFormatting>
  <conditionalFormatting sqref="R203">
    <cfRule type="cellIs" dxfId="0" priority="197" operator="equal">
      <formula>"欠"</formula>
    </cfRule>
    <cfRule type="containsText" dxfId="0" priority="196" operator="between" text="欠">
      <formula>NOT(ISERROR(SEARCH("欠",R203)))</formula>
    </cfRule>
  </conditionalFormatting>
  <conditionalFormatting sqref="T203:U203">
    <cfRule type="cellIs" dxfId="0" priority="195" operator="equal">
      <formula>"欠"</formula>
    </cfRule>
    <cfRule type="containsText" dxfId="0" priority="194" operator="between" text="欠">
      <formula>NOT(ISERROR(SEARCH("欠",T203)))</formula>
    </cfRule>
  </conditionalFormatting>
  <conditionalFormatting sqref="S207">
    <cfRule type="cellIs" dxfId="0" priority="146" operator="equal">
      <formula>"欠"</formula>
    </cfRule>
    <cfRule type="containsText" dxfId="0" priority="145" operator="between" text="欠">
      <formula>NOT(ISERROR(SEARCH("欠",S207)))</formula>
    </cfRule>
  </conditionalFormatting>
  <conditionalFormatting sqref="T207">
    <cfRule type="cellIs" dxfId="0" priority="148" operator="equal">
      <formula>"欠"</formula>
    </cfRule>
    <cfRule type="containsText" dxfId="0" priority="147" operator="between" text="欠">
      <formula>NOT(ISERROR(SEARCH("欠",T207)))</formula>
    </cfRule>
  </conditionalFormatting>
  <conditionalFormatting sqref="S208">
    <cfRule type="cellIs" dxfId="0" priority="142" operator="equal">
      <formula>"欠"</formula>
    </cfRule>
    <cfRule type="containsText" dxfId="0" priority="141" operator="between" text="欠">
      <formula>NOT(ISERROR(SEARCH("欠",S208)))</formula>
    </cfRule>
  </conditionalFormatting>
  <conditionalFormatting sqref="R212">
    <cfRule type="cellIs" dxfId="0" priority="140" operator="equal">
      <formula>"欠"</formula>
    </cfRule>
    <cfRule type="containsText" dxfId="0" priority="139" operator="between" text="欠">
      <formula>NOT(ISERROR(SEARCH("欠",R212)))</formula>
    </cfRule>
  </conditionalFormatting>
  <conditionalFormatting sqref="S212">
    <cfRule type="cellIs" dxfId="0" priority="137" operator="equal">
      <formula>"欠"</formula>
    </cfRule>
    <cfRule type="containsText" dxfId="0" priority="136" operator="between" text="欠">
      <formula>NOT(ISERROR(SEARCH("欠",S212)))</formula>
    </cfRule>
  </conditionalFormatting>
  <conditionalFormatting sqref="T212">
    <cfRule type="containsText" dxfId="0" priority="138" operator="between" text="欠">
      <formula>NOT(ISERROR(SEARCH("欠",T212)))</formula>
    </cfRule>
  </conditionalFormatting>
  <conditionalFormatting sqref="S222">
    <cfRule type="cellIs" dxfId="0" priority="133" operator="equal">
      <formula>"欠"</formula>
    </cfRule>
    <cfRule type="containsText" dxfId="0" priority="132" operator="between" text="欠">
      <formula>NOT(ISERROR(SEARCH("欠",S222)))</formula>
    </cfRule>
  </conditionalFormatting>
  <conditionalFormatting sqref="T222">
    <cfRule type="containsText" dxfId="0" priority="134" operator="between" text="欠">
      <formula>NOT(ISERROR(SEARCH("欠",T222)))</formula>
    </cfRule>
  </conditionalFormatting>
  <conditionalFormatting sqref="R238">
    <cfRule type="cellIs" dxfId="0" priority="131" operator="equal">
      <formula>"欠"</formula>
    </cfRule>
    <cfRule type="containsText" dxfId="0" priority="130" operator="between" text="欠">
      <formula>NOT(ISERROR(SEARCH("欠",R238)))</formula>
    </cfRule>
  </conditionalFormatting>
  <conditionalFormatting sqref="S238">
    <cfRule type="containsText" dxfId="0" priority="129" operator="between" text="欠">
      <formula>NOT(ISERROR(SEARCH("欠",S238)))</formula>
    </cfRule>
    <cfRule type="cellIs" dxfId="0" priority="128" operator="equal">
      <formula>"欠"</formula>
    </cfRule>
  </conditionalFormatting>
  <conditionalFormatting sqref="T238">
    <cfRule type="containsText" dxfId="0" priority="127" operator="between" text="欠">
      <formula>NOT(ISERROR(SEARCH("欠",T238)))</formula>
    </cfRule>
    <cfRule type="cellIs" dxfId="0" priority="126" operator="equal">
      <formula>"欠"</formula>
    </cfRule>
  </conditionalFormatting>
  <conditionalFormatting sqref="R253">
    <cfRule type="cellIs" dxfId="0" priority="119" operator="equal">
      <formula>"欠"</formula>
    </cfRule>
  </conditionalFormatting>
  <conditionalFormatting sqref="R254">
    <cfRule type="cellIs" dxfId="0" priority="116" operator="equal">
      <formula>"欠"</formula>
    </cfRule>
  </conditionalFormatting>
  <conditionalFormatting sqref="T254">
    <cfRule type="cellIs" dxfId="0" priority="118" operator="equal">
      <formula>"欠"</formula>
    </cfRule>
    <cfRule type="containsText" dxfId="0" priority="117" operator="between" text="欠">
      <formula>NOT(ISERROR(SEARCH("欠",T254)))</formula>
    </cfRule>
  </conditionalFormatting>
  <conditionalFormatting sqref="T255">
    <cfRule type="cellIs" dxfId="0" priority="114" operator="equal">
      <formula>"欠"</formula>
    </cfRule>
    <cfRule type="containsText" dxfId="0" priority="113" operator="between" text="欠">
      <formula>NOT(ISERROR(SEARCH("欠",T255)))</formula>
    </cfRule>
  </conditionalFormatting>
  <conditionalFormatting sqref="R260">
    <cfRule type="cellIs" dxfId="0" priority="95" operator="equal">
      <formula>"欠"</formula>
    </cfRule>
  </conditionalFormatting>
  <conditionalFormatting sqref="T272">
    <cfRule type="cellIs" dxfId="0" priority="89" operator="equal">
      <formula>"欠"</formula>
    </cfRule>
    <cfRule type="containsText" dxfId="0" priority="88" operator="between" text="欠">
      <formula>NOT(ISERROR(SEARCH("欠",T272)))</formula>
    </cfRule>
  </conditionalFormatting>
  <conditionalFormatting sqref="R274">
    <cfRule type="cellIs" dxfId="0" priority="87" operator="equal">
      <formula>"欠"</formula>
    </cfRule>
  </conditionalFormatting>
  <conditionalFormatting sqref="T274">
    <cfRule type="cellIs" dxfId="0" priority="86" operator="equal">
      <formula>"欠"</formula>
    </cfRule>
    <cfRule type="containsText" dxfId="0" priority="85" operator="between" text="欠">
      <formula>NOT(ISERROR(SEARCH("欠",T274)))</formula>
    </cfRule>
  </conditionalFormatting>
  <conditionalFormatting sqref="R280">
    <cfRule type="cellIs" dxfId="0" priority="94" operator="equal">
      <formula>"欠"</formula>
    </cfRule>
  </conditionalFormatting>
  <conditionalFormatting sqref="T285">
    <cfRule type="cellIs" dxfId="0" priority="74" operator="equal">
      <formula>"欠"</formula>
    </cfRule>
    <cfRule type="containsText" dxfId="0" priority="73" operator="between" text="欠">
      <formula>NOT(ISERROR(SEARCH("欠",T285)))</formula>
    </cfRule>
  </conditionalFormatting>
  <conditionalFormatting sqref="R288">
    <cfRule type="cellIs" dxfId="0" priority="38" operator="equal">
      <formula>"欠"</formula>
    </cfRule>
  </conditionalFormatting>
  <conditionalFormatting sqref="T288">
    <cfRule type="cellIs" dxfId="0" priority="44" operator="equal">
      <formula>"欠"</formula>
    </cfRule>
    <cfRule type="containsText" dxfId="0" priority="43" operator="between" text="欠">
      <formula>NOT(ISERROR(SEARCH("欠",T288)))</formula>
    </cfRule>
  </conditionalFormatting>
  <conditionalFormatting sqref="R289">
    <cfRule type="cellIs" dxfId="0" priority="70" operator="equal">
      <formula>"欠"</formula>
    </cfRule>
    <cfRule type="containsText" dxfId="0" priority="69" operator="between" text="欠">
      <formula>NOT(ISERROR(SEARCH("欠",R289)))</formula>
    </cfRule>
  </conditionalFormatting>
  <conditionalFormatting sqref="T289">
    <cfRule type="containsText" dxfId="0" priority="71" operator="between" text="欠">
      <formula>NOT(ISERROR(SEARCH("欠",T289)))</formula>
    </cfRule>
  </conditionalFormatting>
  <conditionalFormatting sqref="R290">
    <cfRule type="cellIs" dxfId="0" priority="59" operator="equal">
      <formula>"欠"</formula>
    </cfRule>
  </conditionalFormatting>
  <conditionalFormatting sqref="T290">
    <cfRule type="cellIs" dxfId="0" priority="58" operator="equal">
      <formula>"欠"</formula>
    </cfRule>
    <cfRule type="containsText" dxfId="0" priority="57" operator="between" text="欠">
      <formula>NOT(ISERROR(SEARCH("欠",T290)))</formula>
    </cfRule>
  </conditionalFormatting>
  <conditionalFormatting sqref="R291">
    <cfRule type="cellIs" dxfId="0" priority="110" operator="equal">
      <formula>"欠"</formula>
    </cfRule>
  </conditionalFormatting>
  <conditionalFormatting sqref="R292">
    <cfRule type="cellIs" dxfId="0" priority="56" operator="equal">
      <formula>"欠"</formula>
    </cfRule>
  </conditionalFormatting>
  <conditionalFormatting sqref="S292">
    <cfRule type="cellIs" dxfId="0" priority="55" operator="equal">
      <formula>"欠"</formula>
    </cfRule>
    <cfRule type="containsText" dxfId="0" priority="54" operator="between" text="欠">
      <formula>NOT(ISERROR(SEARCH("欠",S292)))</formula>
    </cfRule>
  </conditionalFormatting>
  <conditionalFormatting sqref="T292">
    <cfRule type="cellIs" dxfId="0" priority="53" operator="equal">
      <formula>"欠"</formula>
    </cfRule>
    <cfRule type="containsText" dxfId="0" priority="52" operator="between" text="欠">
      <formula>NOT(ISERROR(SEARCH("欠",T292)))</formula>
    </cfRule>
  </conditionalFormatting>
  <conditionalFormatting sqref="R297">
    <cfRule type="cellIs" dxfId="0" priority="49" operator="equal">
      <formula>"欠"</formula>
    </cfRule>
  </conditionalFormatting>
  <conditionalFormatting sqref="T299">
    <cfRule type="cellIs" dxfId="0" priority="51" operator="equal">
      <formula>"欠"</formula>
    </cfRule>
    <cfRule type="containsText" dxfId="0" priority="50" operator="between" text="欠">
      <formula>NOT(ISERROR(SEARCH("欠",T299)))</formula>
    </cfRule>
  </conditionalFormatting>
  <conditionalFormatting sqref="T302">
    <cfRule type="cellIs" dxfId="0" priority="21" operator="equal">
      <formula>"欠"</formula>
    </cfRule>
    <cfRule type="containsText" dxfId="0" priority="20" operator="between" text="欠">
      <formula>NOT(ISERROR(SEARCH("欠",T302)))</formula>
    </cfRule>
  </conditionalFormatting>
  <conditionalFormatting sqref="S303">
    <cfRule type="containsText" dxfId="0" priority="23" operator="between" text="欠">
      <formula>NOT(ISERROR(SEARCH("欠",S303)))</formula>
    </cfRule>
    <cfRule type="cellIs" dxfId="0" priority="22" operator="equal">
      <formula>"欠"</formula>
    </cfRule>
  </conditionalFormatting>
  <conditionalFormatting sqref="T303">
    <cfRule type="cellIs" dxfId="0" priority="25" operator="equal">
      <formula>"欠"</formula>
    </cfRule>
    <cfRule type="containsText" dxfId="0" priority="24" operator="between" text="欠">
      <formula>NOT(ISERROR(SEARCH("欠",T303)))</formula>
    </cfRule>
  </conditionalFormatting>
  <conditionalFormatting sqref="S307">
    <cfRule type="containsText" dxfId="0" priority="9" operator="between" text="欠">
      <formula>NOT(ISERROR(SEARCH("欠",S307)))</formula>
    </cfRule>
    <cfRule type="cellIs" dxfId="0" priority="7" operator="equal">
      <formula>"欠"</formula>
    </cfRule>
  </conditionalFormatting>
  <conditionalFormatting sqref="T307">
    <cfRule type="cellIs" dxfId="0" priority="13" operator="equal">
      <formula>"欠"</formula>
    </cfRule>
    <cfRule type="containsText" dxfId="0" priority="11" operator="between" text="欠">
      <formula>NOT(ISERROR(SEARCH("欠",T307)))</formula>
    </cfRule>
  </conditionalFormatting>
  <conditionalFormatting sqref="R309">
    <cfRule type="cellIs" dxfId="0" priority="4" operator="equal">
      <formula>"欠"</formula>
    </cfRule>
    <cfRule type="containsText" dxfId="0" priority="3" operator="between" text="欠">
      <formula>NOT(ISERROR(SEARCH("欠",R309)))</formula>
    </cfRule>
  </conditionalFormatting>
  <conditionalFormatting sqref="R310">
    <cfRule type="cellIs" dxfId="0" priority="18" operator="equal">
      <formula>"欠"</formula>
    </cfRule>
    <cfRule type="containsText" dxfId="0" priority="16" operator="between" text="欠">
      <formula>NOT(ISERROR(SEARCH("欠",R310)))</formula>
    </cfRule>
  </conditionalFormatting>
  <conditionalFormatting sqref="S310">
    <cfRule type="containsText" dxfId="0" priority="8" operator="between" text="欠">
      <formula>NOT(ISERROR(SEARCH("欠",S310)))</formula>
    </cfRule>
    <cfRule type="cellIs" dxfId="0" priority="6" operator="equal">
      <formula>"欠"</formula>
    </cfRule>
  </conditionalFormatting>
  <conditionalFormatting sqref="T310">
    <cfRule type="cellIs" dxfId="0" priority="12" operator="equal">
      <formula>"欠"</formula>
    </cfRule>
    <cfRule type="containsText" dxfId="0" priority="10" operator="between" text="欠">
      <formula>NOT(ISERROR(SEARCH("欠",T310)))</formula>
    </cfRule>
  </conditionalFormatting>
  <conditionalFormatting sqref="R24:R27">
    <cfRule type="cellIs" dxfId="0" priority="444" operator="equal">
      <formula>"欠"</formula>
    </cfRule>
  </conditionalFormatting>
  <conditionalFormatting sqref="R81:R83">
    <cfRule type="cellIs" dxfId="0" priority="361" operator="equal">
      <formula>"欠"</formula>
    </cfRule>
    <cfRule type="containsText" dxfId="0" priority="360" operator="between" text="欠">
      <formula>NOT(ISERROR(SEARCH("欠",R81)))</formula>
    </cfRule>
  </conditionalFormatting>
  <conditionalFormatting sqref="R112:R113">
    <cfRule type="cellIs" dxfId="0" priority="331" operator="equal">
      <formula>"欠"</formula>
    </cfRule>
    <cfRule type="containsText" dxfId="0" priority="330" operator="between" text="欠">
      <formula>NOT(ISERROR(SEARCH("欠",R112)))</formula>
    </cfRule>
  </conditionalFormatting>
  <conditionalFormatting sqref="R127:R128">
    <cfRule type="cellIs" dxfId="0" priority="303" operator="equal">
      <formula>"欠"</formula>
    </cfRule>
    <cfRule type="containsText" dxfId="0" priority="302" operator="between" text="欠">
      <formula>NOT(ISERROR(SEARCH("欠",R127)))</formula>
    </cfRule>
  </conditionalFormatting>
  <conditionalFormatting sqref="R183:R192">
    <cfRule type="cellIs" dxfId="0" priority="184" operator="equal">
      <formula>"欠"</formula>
    </cfRule>
    <cfRule type="containsText" dxfId="0" priority="183" operator="between" text="欠">
      <formula>NOT(ISERROR(SEARCH("欠",R183)))</formula>
    </cfRule>
  </conditionalFormatting>
  <conditionalFormatting sqref="R276:R279">
    <cfRule type="cellIs" dxfId="0" priority="107" operator="equal">
      <formula>"欠"</formula>
    </cfRule>
  </conditionalFormatting>
  <conditionalFormatting sqref="R302:R303">
    <cfRule type="cellIs" dxfId="0" priority="34" operator="equal">
      <formula>"欠"</formula>
    </cfRule>
    <cfRule type="containsText" dxfId="0" priority="33" operator="between" text="欠">
      <formula>NOT(ISERROR(SEARCH("欠",R302)))</formula>
    </cfRule>
  </conditionalFormatting>
  <conditionalFormatting sqref="R304:R305">
    <cfRule type="cellIs" dxfId="0" priority="29" operator="equal">
      <formula>"欠"</formula>
    </cfRule>
    <cfRule type="containsText" dxfId="0" priority="28" operator="between" text="欠">
      <formula>NOT(ISERROR(SEARCH("欠",R304)))</formula>
    </cfRule>
  </conditionalFormatting>
  <conditionalFormatting sqref="R307:R308">
    <cfRule type="cellIs" dxfId="0" priority="19" operator="equal">
      <formula>"欠"</formula>
    </cfRule>
    <cfRule type="containsText" dxfId="0" priority="17" operator="between" text="欠">
      <formula>NOT(ISERROR(SEARCH("欠",R307)))</formula>
    </cfRule>
  </conditionalFormatting>
  <conditionalFormatting sqref="S24:S27">
    <cfRule type="containsText" dxfId="0" priority="446" operator="between" text="欠">
      <formula>NOT(ISERROR(SEARCH("欠",S24)))</formula>
    </cfRule>
    <cfRule type="cellIs" dxfId="0" priority="445" operator="equal">
      <formula>"欠"</formula>
    </cfRule>
  </conditionalFormatting>
  <conditionalFormatting sqref="S81:S83">
    <cfRule type="cellIs" dxfId="0" priority="359" operator="equal">
      <formula>"欠"</formula>
    </cfRule>
    <cfRule type="containsText" dxfId="0" priority="358" operator="between" text="欠">
      <formula>NOT(ISERROR(SEARCH("欠",S81)))</formula>
    </cfRule>
  </conditionalFormatting>
  <conditionalFormatting sqref="S175:S177">
    <cfRule type="cellIs" dxfId="0" priority="243" operator="equal">
      <formula>"欠"</formula>
    </cfRule>
    <cfRule type="containsText" dxfId="0" priority="242" operator="between" text="欠">
      <formula>NOT(ISERROR(SEARCH("欠",S175)))</formula>
    </cfRule>
  </conditionalFormatting>
  <conditionalFormatting sqref="S276:S279">
    <cfRule type="cellIs" dxfId="0" priority="42" operator="equal">
      <formula>"欠"</formula>
    </cfRule>
    <cfRule type="containsText" dxfId="0" priority="41" operator="between" text="欠">
      <formula>NOT(ISERROR(SEARCH("欠",S276)))</formula>
    </cfRule>
  </conditionalFormatting>
  <conditionalFormatting sqref="S285:S286">
    <cfRule type="cellIs" dxfId="0" priority="76" operator="equal">
      <formula>"欠"</formula>
    </cfRule>
    <cfRule type="containsText" dxfId="0" priority="75" operator="between" text="欠">
      <formula>NOT(ISERROR(SEARCH("欠",S285)))</formula>
    </cfRule>
  </conditionalFormatting>
  <conditionalFormatting sqref="S287:S288">
    <cfRule type="cellIs" dxfId="0" priority="81" operator="equal">
      <formula>"欠"</formula>
    </cfRule>
    <cfRule type="containsText" dxfId="0" priority="80" operator="between" text="欠">
      <formula>NOT(ISERROR(SEARCH("欠",S287)))</formula>
    </cfRule>
  </conditionalFormatting>
  <conditionalFormatting sqref="S289:S290">
    <cfRule type="containsText" dxfId="0" priority="72" operator="between" text="欠">
      <formula>NOT(ISERROR(SEARCH("欠",S289)))</formula>
    </cfRule>
  </conditionalFormatting>
  <conditionalFormatting sqref="S304:S305">
    <cfRule type="containsText" dxfId="0" priority="27" operator="between" text="欠">
      <formula>NOT(ISERROR(SEARCH("欠",S304)))</formula>
    </cfRule>
    <cfRule type="cellIs" dxfId="0" priority="26" operator="equal">
      <formula>"欠"</formula>
    </cfRule>
  </conditionalFormatting>
  <conditionalFormatting sqref="S308:S309">
    <cfRule type="containsText" dxfId="0" priority="5" operator="between" text="欠">
      <formula>NOT(ISERROR(SEARCH("欠",S308)))</formula>
    </cfRule>
  </conditionalFormatting>
  <conditionalFormatting sqref="T183:T192">
    <cfRule type="cellIs" dxfId="0" priority="182" operator="equal">
      <formula>"欠"</formula>
    </cfRule>
    <cfRule type="containsText" dxfId="0" priority="181" operator="between" text="欠">
      <formula>NOT(ISERROR(SEARCH("欠",T183)))</formula>
    </cfRule>
  </conditionalFormatting>
  <conditionalFormatting sqref="T223:T231">
    <cfRule type="containsText" dxfId="0" priority="193" operator="between" text="欠">
      <formula>NOT(ISERROR(SEARCH("欠",T223)))</formula>
    </cfRule>
  </conditionalFormatting>
  <conditionalFormatting sqref="T276:T279">
    <cfRule type="cellIs" dxfId="0" priority="40" operator="equal">
      <formula>"欠"</formula>
    </cfRule>
    <cfRule type="containsText" dxfId="0" priority="39" operator="between" text="欠">
      <formula>NOT(ISERROR(SEARCH("欠",T276)))</formula>
    </cfRule>
  </conditionalFormatting>
  <conditionalFormatting sqref="T294:T296">
    <cfRule type="containsText" dxfId="0" priority="62" operator="between" text="欠">
      <formula>NOT(ISERROR(SEARCH("欠",T294)))</formula>
    </cfRule>
    <cfRule type="cellIs" dxfId="0" priority="61" operator="equal">
      <formula>"欠"</formula>
    </cfRule>
    <cfRule type="containsText" dxfId="0" priority="60" operator="between" text="欠">
      <formula>NOT(ISERROR(SEARCH("欠",T294)))</formula>
    </cfRule>
  </conditionalFormatting>
  <conditionalFormatting sqref="T304:T305">
    <cfRule type="cellIs" dxfId="0" priority="31" operator="equal">
      <formula>"欠"</formula>
    </cfRule>
    <cfRule type="containsText" dxfId="0" priority="30" operator="between" text="欠">
      <formula>NOT(ISERROR(SEARCH("欠",T304)))</formula>
    </cfRule>
  </conditionalFormatting>
  <conditionalFormatting sqref="T308:T309">
    <cfRule type="cellIs" dxfId="0" priority="2" operator="equal">
      <formula>"欠"</formula>
    </cfRule>
    <cfRule type="containsText" dxfId="0" priority="1" operator="between" text="欠">
      <formula>NOT(ISERROR(SEARCH("欠",T308)))</formula>
    </cfRule>
  </conditionalFormatting>
  <conditionalFormatting sqref="U175:U177">
    <cfRule type="cellIs" dxfId="0" priority="150" operator="equal">
      <formula>"欠"</formula>
    </cfRule>
    <cfRule type="containsText" dxfId="0" priority="149" operator="between" text="欠">
      <formula>NOT(ISERROR(SEARCH("欠",U175)))</formula>
    </cfRule>
  </conditionalFormatting>
  <conditionalFormatting sqref="R1:U2">
    <cfRule type="cellIs" dxfId="0" priority="488" operator="equal">
      <formula>"欠"</formula>
    </cfRule>
  </conditionalFormatting>
  <conditionalFormatting sqref="R3:U9 S12 S10 S23:U23 S15 R13:U14 S68 S37 R32:U32 S39:S44 S28:U28 S30:U30 S61:S66 S74:S80 S46 S48:S54 S70 S161:S162 S97:S99 R71:U71 S118:S121 S84:S86 S140:S142 S103 S133:S136 S168:S170 T61:U61 S91:S92 S152 S154 S146:S147 S166 S202">
    <cfRule type="cellIs" dxfId="0" priority="487" operator="equal">
      <formula>"欠"</formula>
    </cfRule>
  </conditionalFormatting>
  <conditionalFormatting sqref="R3:U9 S23:U23 S10 S12 S15 R13:U14 S28:U28 S30:U30 S168:S170 S70 S118:S121 S37 S61:S66 R32:U32 S39:S44 S97:S99 S84:S86 S166 S140:S142 S103 S161:S162 R71:U71 S48:S54 S74:S80 R47 S46 T61:U61 S68 S91:S92 S133:S136 S152 S146:S147 S154 S202 R313:U313">
    <cfRule type="containsText" dxfId="0" priority="485" operator="between" text="欠">
      <formula>NOT(ISERROR(SEARCH("欠",R3)))</formula>
    </cfRule>
  </conditionalFormatting>
  <conditionalFormatting sqref="R10 T10:U10 T16:U16">
    <cfRule type="cellIs" dxfId="0" priority="480" operator="equal">
      <formula>"欠"</formula>
    </cfRule>
    <cfRule type="containsText" dxfId="0" priority="479" operator="between" text="欠">
      <formula>NOT(ISERROR(SEARCH("欠",R10)))</formula>
    </cfRule>
  </conditionalFormatting>
  <conditionalFormatting sqref="R11 R34">
    <cfRule type="cellIs" dxfId="0" priority="476" operator="equal">
      <formula>"欠"</formula>
    </cfRule>
    <cfRule type="containsText" dxfId="0" priority="475" operator="between" text="欠">
      <formula>NOT(ISERROR(SEARCH("欠",R11)))</formula>
    </cfRule>
  </conditionalFormatting>
  <conditionalFormatting sqref="S11 S34">
    <cfRule type="cellIs" dxfId="0" priority="474" operator="equal">
      <formula>"欠"</formula>
    </cfRule>
    <cfRule type="containsText" dxfId="0" priority="473" operator="between" text="欠">
      <formula>NOT(ISERROR(SEARCH("欠",S11)))</formula>
    </cfRule>
  </conditionalFormatting>
  <conditionalFormatting sqref="T11:U11 T34:U34">
    <cfRule type="cellIs" dxfId="0" priority="472" operator="equal">
      <formula>"欠"</formula>
    </cfRule>
    <cfRule type="containsText" dxfId="0" priority="471" operator="between" text="欠">
      <formula>NOT(ISERROR(SEARCH("欠",T11)))</formula>
    </cfRule>
  </conditionalFormatting>
  <conditionalFormatting sqref="R15:R18 T15">
    <cfRule type="cellIs" dxfId="0" priority="470" operator="equal">
      <formula>"欠"</formula>
    </cfRule>
    <cfRule type="containsText" dxfId="0" priority="469" operator="between" text="欠">
      <formula>NOT(ISERROR(SEARCH("欠",R15)))</formula>
    </cfRule>
  </conditionalFormatting>
  <conditionalFormatting sqref="S16 S33 S36">
    <cfRule type="cellIs" dxfId="0" priority="466" operator="equal">
      <formula>"欠"</formula>
    </cfRule>
    <cfRule type="containsText" dxfId="0" priority="465" operator="between" text="欠">
      <formula>NOT(ISERROR(SEARCH("欠",S16)))</formula>
    </cfRule>
  </conditionalFormatting>
  <conditionalFormatting sqref="R23 R19:U21 R28 R57 R30 R56:U56 T58:U58 S72 R94:U94">
    <cfRule type="cellIs" dxfId="0" priority="468" operator="equal">
      <formula>"欠"</formula>
    </cfRule>
    <cfRule type="containsText" dxfId="0" priority="467" operator="between" text="欠">
      <formula>NOT(ISERROR(SEARCH("欠",R19)))</formula>
    </cfRule>
  </conditionalFormatting>
  <conditionalFormatting sqref="R22 R29 R31">
    <cfRule type="cellIs" dxfId="0" priority="441" operator="equal">
      <formula>"欠"</formula>
    </cfRule>
    <cfRule type="containsText" dxfId="0" priority="440" operator="between" text="欠">
      <formula>NOT(ISERROR(SEARCH("欠",R22)))</formula>
    </cfRule>
  </conditionalFormatting>
  <conditionalFormatting sqref="S22 S29 S31">
    <cfRule type="cellIs" dxfId="0" priority="437" operator="equal">
      <formula>"欠"</formula>
    </cfRule>
    <cfRule type="containsText" dxfId="0" priority="436" operator="between" text="欠">
      <formula>NOT(ISERROR(SEARCH("欠",S22)))</formula>
    </cfRule>
  </conditionalFormatting>
  <conditionalFormatting sqref="T22:U22 T29:U29 T31:U31">
    <cfRule type="cellIs" dxfId="0" priority="439" operator="equal">
      <formula>"欠"</formula>
    </cfRule>
    <cfRule type="containsText" dxfId="0" priority="438" operator="between" text="欠">
      <formula>NOT(ISERROR(SEARCH("欠",T22)))</formula>
    </cfRule>
  </conditionalFormatting>
  <conditionalFormatting sqref="T25:U27">
    <cfRule type="containsText" dxfId="0" priority="407" operator="between" text="欠">
      <formula>NOT(ISERROR(SEARCH("欠",T25)))</formula>
    </cfRule>
    <cfRule type="cellIs" dxfId="0" priority="406" operator="equal">
      <formula>"欠"</formula>
    </cfRule>
  </conditionalFormatting>
  <conditionalFormatting sqref="R33 R36">
    <cfRule type="cellIs" dxfId="0" priority="448" operator="equal">
      <formula>"欠"</formula>
    </cfRule>
    <cfRule type="containsText" dxfId="0" priority="447" operator="between" text="欠">
      <formula>NOT(ISERROR(SEARCH("欠",R33)))</formula>
    </cfRule>
  </conditionalFormatting>
  <conditionalFormatting sqref="T33:U33 T36:U36">
    <cfRule type="cellIs" dxfId="0" priority="450" operator="equal">
      <formula>"欠"</formula>
    </cfRule>
    <cfRule type="containsText" dxfId="0" priority="449" operator="between" text="欠">
      <formula>NOT(ISERROR(SEARCH("欠",T33)))</formula>
    </cfRule>
  </conditionalFormatting>
  <conditionalFormatting sqref="R37 R85:R86 R118:R121">
    <cfRule type="cellIs" dxfId="0" priority="435" operator="equal">
      <formula>"欠"</formula>
    </cfRule>
    <cfRule type="containsText" dxfId="0" priority="434" operator="between" text="欠">
      <formula>NOT(ISERROR(SEARCH("欠",R37)))</formula>
    </cfRule>
  </conditionalFormatting>
  <conditionalFormatting sqref="T37:U37 T86:U86">
    <cfRule type="cellIs" dxfId="0" priority="413" operator="equal">
      <formula>"欠"</formula>
    </cfRule>
    <cfRule type="containsText" dxfId="0" priority="412" operator="between" text="欠">
      <formula>NOT(ISERROR(SEARCH("欠",T37)))</formula>
    </cfRule>
  </conditionalFormatting>
  <conditionalFormatting sqref="R46 R62:R66 R38:R44 R48:R54">
    <cfRule type="cellIs" dxfId="0" priority="433" operator="equal">
      <formula>"欠"</formula>
    </cfRule>
    <cfRule type="containsText" dxfId="0" priority="432" operator="between" text="欠">
      <formula>NOT(ISERROR(SEARCH("欠",R38)))</formula>
    </cfRule>
  </conditionalFormatting>
  <conditionalFormatting sqref="T141:T143 T103:U103 T62:U65 T66 T46:U46 T48:U54 T39:U44 T111:U111 T74 T97:U99 T90:U92 T79:U80 T110 T157:U157 U141 T140:U140 T180">
    <cfRule type="cellIs" dxfId="0" priority="411" operator="equal">
      <formula>"欠"</formula>
    </cfRule>
    <cfRule type="containsText" dxfId="0" priority="410" operator="between" text="欠">
      <formula>NOT(ISERROR(SEARCH("欠",T39)))</formula>
    </cfRule>
  </conditionalFormatting>
  <conditionalFormatting sqref="R55 R74 R110:R111">
    <cfRule type="cellIs" dxfId="0" priority="405" operator="equal">
      <formula>"欠"</formula>
    </cfRule>
    <cfRule type="containsText" dxfId="0" priority="404" operator="between" text="欠">
      <formula>NOT(ISERROR(SEARCH("欠",R55)))</formula>
    </cfRule>
  </conditionalFormatting>
  <conditionalFormatting sqref="R58:R61 R88:R89">
    <cfRule type="cellIs" dxfId="0" priority="456" operator="equal">
      <formula>"欠"</formula>
    </cfRule>
    <cfRule type="containsText" dxfId="0" priority="455" operator="between" text="欠">
      <formula>NOT(ISERROR(SEARCH("欠",R58)))</formula>
    </cfRule>
  </conditionalFormatting>
  <conditionalFormatting sqref="S58:S60 S88:S90 S93">
    <cfRule type="cellIs" dxfId="0" priority="454" operator="equal">
      <formula>"欠"</formula>
    </cfRule>
    <cfRule type="containsText" dxfId="0" priority="453" operator="between" text="欠">
      <formula>NOT(ISERROR(SEARCH("欠",S58)))</formula>
    </cfRule>
  </conditionalFormatting>
  <conditionalFormatting sqref="T59 T60:U60 T88:U89">
    <cfRule type="cellIs" dxfId="0" priority="452" operator="equal">
      <formula>"欠"</formula>
    </cfRule>
    <cfRule type="containsText" dxfId="0" priority="451" operator="between" text="欠">
      <formula>NOT(ISERROR(SEARCH("欠",T59)))</formula>
    </cfRule>
  </conditionalFormatting>
  <conditionalFormatting sqref="R67:R68 R72">
    <cfRule type="cellIs" dxfId="0" priority="401" operator="equal">
      <formula>"欠"</formula>
    </cfRule>
    <cfRule type="containsText" dxfId="0" priority="400" operator="between" text="欠">
      <formula>NOT(ISERROR(SEARCH("欠",R67)))</formula>
    </cfRule>
  </conditionalFormatting>
  <conditionalFormatting sqref="T67:U68">
    <cfRule type="cellIs" dxfId="0" priority="397" operator="equal">
      <formula>"欠"</formula>
    </cfRule>
    <cfRule type="containsText" dxfId="0" priority="396" operator="between" text="欠">
      <formula>NOT(ISERROR(SEARCH("欠",T67)))</formula>
    </cfRule>
  </conditionalFormatting>
  <conditionalFormatting sqref="R84 R73 R70 R75:R78 R87">
    <cfRule type="cellIs" dxfId="0" priority="423" operator="equal">
      <formula>"欠"</formula>
    </cfRule>
    <cfRule type="containsText" dxfId="0" priority="422" operator="between" text="欠">
      <formula>NOT(ISERROR(SEARCH("欠",R70)))</formula>
    </cfRule>
  </conditionalFormatting>
  <conditionalFormatting sqref="T70:U70 T73 T75:U78 T87:U87">
    <cfRule type="cellIs" dxfId="0" priority="419" operator="equal">
      <formula>"欠"</formula>
    </cfRule>
    <cfRule type="containsText" dxfId="0" priority="418" operator="between" text="欠">
      <formula>NOT(ISERROR(SEARCH("欠",T70)))</formula>
    </cfRule>
  </conditionalFormatting>
  <conditionalFormatting sqref="S73 S87">
    <cfRule type="cellIs" dxfId="0" priority="421" operator="equal">
      <formula>"欠"</formula>
    </cfRule>
    <cfRule type="containsText" dxfId="0" priority="420" operator="between" text="欠">
      <formula>NOT(ISERROR(SEARCH("欠",S73)))</formula>
    </cfRule>
  </conditionalFormatting>
  <conditionalFormatting sqref="R103 R97:R99 R79:R80 R91:R92 R166 R146:R147 R133:R136 R161:R162 R168:R169">
    <cfRule type="cellIs" dxfId="0" priority="363" operator="equal">
      <formula>"欠"</formula>
    </cfRule>
    <cfRule type="containsText" dxfId="0" priority="362" operator="between" text="欠">
      <formula>NOT(ISERROR(SEARCH("欠",R79)))</formula>
    </cfRule>
  </conditionalFormatting>
  <conditionalFormatting sqref="T81:U83">
    <cfRule type="cellIs" dxfId="0" priority="357" operator="equal">
      <formula>"欠"</formula>
    </cfRule>
    <cfRule type="containsText" dxfId="0" priority="356" operator="between" text="欠">
      <formula>NOT(ISERROR(SEARCH("欠",T81)))</formula>
    </cfRule>
  </conditionalFormatting>
  <conditionalFormatting sqref="T118:U121 U142 T165:U165 T126 T84 T139:U139 T96:U96 T93:U93 T145:U145 T129:U132 T172:U172 T174:T177">
    <cfRule type="cellIs" dxfId="0" priority="409" operator="equal">
      <formula>"欠"</formula>
    </cfRule>
    <cfRule type="containsText" dxfId="0" priority="408" operator="between" text="欠">
      <formula>NOT(ISERROR(SEARCH("欠",T84)))</formula>
    </cfRule>
  </conditionalFormatting>
  <conditionalFormatting sqref="R95 R105">
    <cfRule type="cellIs" dxfId="0" priority="347" operator="equal">
      <formula>"欠"</formula>
    </cfRule>
    <cfRule type="containsText" dxfId="0" priority="346" operator="between" text="欠">
      <formula>NOT(ISERROR(SEARCH("欠",R95)))</formula>
    </cfRule>
  </conditionalFormatting>
  <conditionalFormatting sqref="S95 S105">
    <cfRule type="cellIs" dxfId="0" priority="345" operator="equal">
      <formula>"欠"</formula>
    </cfRule>
    <cfRule type="containsText" dxfId="0" priority="344" operator="between" text="欠">
      <formula>NOT(ISERROR(SEARCH("欠",S95)))</formula>
    </cfRule>
  </conditionalFormatting>
  <conditionalFormatting sqref="T95:U95 T105:U105">
    <cfRule type="cellIs" dxfId="0" priority="355" operator="equal">
      <formula>"欠"</formula>
    </cfRule>
    <cfRule type="containsText" dxfId="0" priority="354" operator="between" text="欠">
      <formula>NOT(ISERROR(SEARCH("欠",T95)))</formula>
    </cfRule>
  </conditionalFormatting>
  <conditionalFormatting sqref="R145 R165 R155:R157 R126 R174:R177 R180 R172 R139:R143 R96 R167 R129:R132 R209:R211 R239:R252 R257:R258 R264:R267 R213:R222 R232:R237 R262 R312">
    <cfRule type="cellIs" dxfId="0" priority="391" operator="equal">
      <formula>"欠"</formula>
    </cfRule>
    <cfRule type="containsText" dxfId="0" priority="390" operator="between" text="欠">
      <formula>NOT(ISERROR(SEARCH("欠",R96)))</formula>
    </cfRule>
  </conditionalFormatting>
  <conditionalFormatting sqref="S209 S172 S126 S96 S167 S139 S144:S145 S165 S201 S312">
    <cfRule type="cellIs" dxfId="0" priority="389" operator="equal">
      <formula>"欠"</formula>
    </cfRule>
    <cfRule type="containsText" dxfId="0" priority="388" operator="between" text="欠">
      <formula>NOT(ISERROR(SEARCH("欠",S96)))</formula>
    </cfRule>
  </conditionalFormatting>
  <conditionalFormatting sqref="R100:R102 R106:R109 R122">
    <cfRule type="cellIs" dxfId="0" priority="371" operator="equal">
      <formula>"欠"</formula>
    </cfRule>
    <cfRule type="containsText" dxfId="0" priority="370" operator="between" text="欠">
      <formula>NOT(ISERROR(SEARCH("欠",R100)))</formula>
    </cfRule>
  </conditionalFormatting>
  <conditionalFormatting sqref="S100 S106:S109 S174 S206 S203:S204">
    <cfRule type="cellIs" dxfId="0" priority="369" operator="equal">
      <formula>"欠"</formula>
    </cfRule>
    <cfRule type="containsText" dxfId="0" priority="368" operator="between" text="欠">
      <formula>NOT(ISERROR(SEARCH("欠",S100)))</formula>
    </cfRule>
  </conditionalFormatting>
  <conditionalFormatting sqref="T100:U102 T107:U109 T122:U122 U110 T106 T125:U125">
    <cfRule type="cellIs" dxfId="0" priority="367" operator="equal">
      <formula>"欠"</formula>
    </cfRule>
    <cfRule type="containsText" dxfId="0" priority="366" operator="between" text="欠">
      <formula>NOT(ISERROR(SEARCH("欠",T100)))</formula>
    </cfRule>
  </conditionalFormatting>
  <conditionalFormatting sqref="S125 S101:S102 S122 S129:S132 S155:S156 S148:S151">
    <cfRule type="cellIs" dxfId="0" priority="339" operator="equal">
      <formula>"欠"</formula>
    </cfRule>
    <cfRule type="containsText" dxfId="0" priority="338" operator="between" text="欠">
      <formula>NOT(ISERROR(SEARCH("欠",S101)))</formula>
    </cfRule>
  </conditionalFormatting>
  <conditionalFormatting sqref="S157 S110:S111 S180">
    <cfRule type="cellIs" dxfId="0" priority="403" operator="equal">
      <formula>"欠"</formula>
    </cfRule>
    <cfRule type="containsText" dxfId="0" priority="402" operator="between" text="欠">
      <formula>NOT(ISERROR(SEARCH("欠",S110)))</formula>
    </cfRule>
  </conditionalFormatting>
  <conditionalFormatting sqref="S112:S113 S116">
    <cfRule type="cellIs" dxfId="0" priority="329" operator="equal">
      <formula>"欠"</formula>
    </cfRule>
    <cfRule type="containsText" dxfId="0" priority="328" operator="between" text="欠">
      <formula>NOT(ISERROR(SEARCH("欠",S112)))</formula>
    </cfRule>
  </conditionalFormatting>
  <conditionalFormatting sqref="T113:U113 T116">
    <cfRule type="cellIs" dxfId="0" priority="319" operator="equal">
      <formula>"欠"</formula>
    </cfRule>
    <cfRule type="containsText" dxfId="0" priority="318" operator="between" text="欠">
      <formula>NOT(ISERROR(SEARCH("欠",T113)))</formula>
    </cfRule>
  </conditionalFormatting>
  <conditionalFormatting sqref="S123 S127:S128">
    <cfRule type="containsText" dxfId="0" priority="276" operator="between" text="欠">
      <formula>NOT(ISERROR(SEARCH("欠",S123)))</formula>
    </cfRule>
  </conditionalFormatting>
  <conditionalFormatting sqref="T127:U128">
    <cfRule type="cellIs" dxfId="0" priority="301" operator="equal">
      <formula>"欠"</formula>
    </cfRule>
    <cfRule type="containsText" dxfId="0" priority="300" operator="between" text="欠">
      <formula>NOT(ISERROR(SEARCH("欠",T127)))</formula>
    </cfRule>
  </conditionalFormatting>
  <conditionalFormatting sqref="T168:U169 T133:U134 T166:U166 T146:U147 T161:U162 U182 U194:U196 U199">
    <cfRule type="cellIs" dxfId="0" priority="265" operator="equal">
      <formula>"欠"</formula>
    </cfRule>
    <cfRule type="containsText" dxfId="0" priority="264" operator="between" text="欠">
      <formula>NOT(ISERROR(SEARCH("欠",T133)))</formula>
    </cfRule>
  </conditionalFormatting>
  <conditionalFormatting sqref="T136:U136 T144:U144">
    <cfRule type="cellIs" dxfId="0" priority="259" operator="equal">
      <formula>"欠"</formula>
    </cfRule>
    <cfRule type="containsText" dxfId="0" priority="258" operator="between" text="欠">
      <formula>NOT(ISERROR(SEARCH("欠",T136)))</formula>
    </cfRule>
  </conditionalFormatting>
  <conditionalFormatting sqref="T137:U138">
    <cfRule type="cellIs" dxfId="0" priority="284" operator="equal">
      <formula>"欠"</formula>
    </cfRule>
    <cfRule type="containsText" dxfId="0" priority="283" operator="between" text="欠">
      <formula>NOT(ISERROR(SEARCH("欠",T137)))</formula>
    </cfRule>
  </conditionalFormatting>
  <conditionalFormatting sqref="R154 R148:R152">
    <cfRule type="cellIs" dxfId="0" priority="267" operator="equal">
      <formula>"欠"</formula>
    </cfRule>
    <cfRule type="containsText" dxfId="0" priority="266" operator="between" text="欠">
      <formula>NOT(ISERROR(SEARCH("欠",R148)))</formula>
    </cfRule>
  </conditionalFormatting>
  <conditionalFormatting sqref="T154:U154 T148:U152 T170 T253">
    <cfRule type="cellIs" dxfId="0" priority="317" operator="equal">
      <formula>"欠"</formula>
    </cfRule>
    <cfRule type="containsText" dxfId="0" priority="316" operator="between" text="欠">
      <formula>NOT(ISERROR(SEARCH("欠",T148)))</formula>
    </cfRule>
  </conditionalFormatting>
  <conditionalFormatting sqref="S158 S179 S153:U153 S210 S223:S231 S250 S270 S291 S293 S306 S311">
    <cfRule type="containsText" dxfId="0" priority="299" operator="between" text="欠">
      <formula>NOT(ISERROR(SEARCH("欠",S153)))</formula>
    </cfRule>
  </conditionalFormatting>
  <conditionalFormatting sqref="T155:U156">
    <cfRule type="cellIs" dxfId="0" priority="269" operator="equal">
      <formula>"欠"</formula>
    </cfRule>
    <cfRule type="containsText" dxfId="0" priority="268" operator="between" text="欠">
      <formula>NOT(ISERROR(SEARCH("欠",T155)))</formula>
    </cfRule>
  </conditionalFormatting>
  <conditionalFormatting sqref="R160 R163 R178">
    <cfRule type="cellIs" dxfId="0" priority="245" operator="equal">
      <formula>"欠"</formula>
    </cfRule>
    <cfRule type="containsText" dxfId="0" priority="244" operator="between" text="欠">
      <formula>NOT(ISERROR(SEARCH("欠",R160)))</formula>
    </cfRule>
  </conditionalFormatting>
  <conditionalFormatting sqref="S160 S163 S178">
    <cfRule type="cellIs" dxfId="0" priority="237" operator="equal">
      <formula>"欠"</formula>
    </cfRule>
    <cfRule type="containsText" dxfId="0" priority="236" operator="between" text="欠">
      <formula>NOT(ISERROR(SEARCH("欠",S160)))</formula>
    </cfRule>
  </conditionalFormatting>
  <conditionalFormatting sqref="T160 T178">
    <cfRule type="cellIs" dxfId="0" priority="235" operator="equal">
      <formula>"欠"</formula>
    </cfRule>
    <cfRule type="containsText" dxfId="0" priority="234" operator="between" text="欠">
      <formula>NOT(ISERROR(SEARCH("欠",T160)))</formula>
    </cfRule>
  </conditionalFormatting>
  <conditionalFormatting sqref="U160 U163:U164 U178">
    <cfRule type="cellIs" dxfId="0" priority="247" operator="equal">
      <formula>"欠"</formula>
    </cfRule>
    <cfRule type="containsText" dxfId="0" priority="246" operator="between" text="欠">
      <formula>NOT(ISERROR(SEARCH("欠",U160)))</formula>
    </cfRule>
  </conditionalFormatting>
  <conditionalFormatting sqref="T167:U167 T209:T210 T312">
    <cfRule type="cellIs" dxfId="0" priority="263" operator="equal">
      <formula>"欠"</formula>
    </cfRule>
    <cfRule type="containsText" dxfId="0" priority="262" operator="between" text="欠">
      <formula>NOT(ISERROR(SEARCH("欠",T167)))</formula>
    </cfRule>
  </conditionalFormatting>
  <conditionalFormatting sqref="T171 T173 T179">
    <cfRule type="cellIs" dxfId="0" priority="241" operator="equal">
      <formula>"欠"</formula>
    </cfRule>
    <cfRule type="containsText" dxfId="0" priority="240" operator="between" text="欠">
      <formula>NOT(ISERROR(SEARCH("欠",T171)))</formula>
    </cfRule>
  </conditionalFormatting>
  <conditionalFormatting sqref="U171 U173 U179">
    <cfRule type="cellIs" dxfId="0" priority="255" operator="equal">
      <formula>"欠"</formula>
    </cfRule>
    <cfRule type="containsText" dxfId="0" priority="254" operator="between" text="欠">
      <formula>NOT(ISERROR(SEARCH("欠",U171)))</formula>
    </cfRule>
  </conditionalFormatting>
  <conditionalFormatting sqref="R173 R179">
    <cfRule type="cellIs" dxfId="0" priority="253" operator="equal">
      <formula>"欠"</formula>
    </cfRule>
    <cfRule type="containsText" dxfId="0" priority="252" operator="between" text="欠">
      <formula>NOT(ISERROR(SEARCH("欠",R173)))</formula>
    </cfRule>
  </conditionalFormatting>
  <conditionalFormatting sqref="S181 S261:S262 S254:S259">
    <cfRule type="cellIs" dxfId="0" priority="154" operator="equal">
      <formula>"欠"</formula>
    </cfRule>
    <cfRule type="containsText" dxfId="0" priority="153" operator="between" text="欠">
      <formula>NOT(ISERROR(SEARCH("欠",S181)))</formula>
    </cfRule>
  </conditionalFormatting>
  <conditionalFormatting sqref="T181 T257:T258 T262">
    <cfRule type="cellIs" dxfId="0" priority="156" operator="equal">
      <formula>"欠"</formula>
    </cfRule>
    <cfRule type="containsText" dxfId="0" priority="155" operator="between" text="欠">
      <formula>NOT(ISERROR(SEARCH("欠",T181)))</formula>
    </cfRule>
  </conditionalFormatting>
  <conditionalFormatting sqref="S211 S205 S183:S192 S232:S237 S213:S221 S239:S240 S197:S198 S249">
    <cfRule type="cellIs" dxfId="0" priority="180" operator="equal">
      <formula>"欠"</formula>
    </cfRule>
    <cfRule type="containsText" dxfId="0" priority="179" operator="between" text="欠">
      <formula>NOT(ISERROR(SEARCH("欠",S183)))</formula>
    </cfRule>
  </conditionalFormatting>
  <conditionalFormatting sqref="R193:R196 R199">
    <cfRule type="cellIs" dxfId="0" priority="221" operator="equal">
      <formula>"欠"</formula>
    </cfRule>
    <cfRule type="containsText" dxfId="0" priority="220" operator="between" text="欠">
      <formula>NOT(ISERROR(SEARCH("欠",R193)))</formula>
    </cfRule>
  </conditionalFormatting>
  <conditionalFormatting sqref="S193:S196 S199">
    <cfRule type="cellIs" dxfId="0" priority="205" operator="equal">
      <formula>"欠"</formula>
    </cfRule>
    <cfRule type="containsText" dxfId="0" priority="204" operator="between" text="欠">
      <formula>NOT(ISERROR(SEARCH("欠",S193)))</formula>
    </cfRule>
  </conditionalFormatting>
  <conditionalFormatting sqref="T193:T196 T199">
    <cfRule type="cellIs" dxfId="0" priority="219" operator="equal">
      <formula>"欠"</formula>
    </cfRule>
    <cfRule type="containsText" dxfId="0" priority="218" operator="between" text="欠">
      <formula>NOT(ISERROR(SEARCH("欠",T193)))</formula>
    </cfRule>
  </conditionalFormatting>
  <conditionalFormatting sqref="R197:R198 R200">
    <cfRule type="cellIs" dxfId="0" priority="190" operator="equal">
      <formula>"欠"</formula>
    </cfRule>
    <cfRule type="containsText" dxfId="0" priority="189" operator="between" text="欠">
      <formula>NOT(ISERROR(SEARCH("欠",R197)))</formula>
    </cfRule>
  </conditionalFormatting>
  <conditionalFormatting sqref="T205 T236:T237 T240 T211 T197:T198 T200:T201 T213:T221">
    <cfRule type="containsText" dxfId="0" priority="187" operator="between" text="欠">
      <formula>NOT(ISERROR(SEARCH("欠",T197)))</formula>
    </cfRule>
  </conditionalFormatting>
  <conditionalFormatting sqref="U197:U198 U200:U201">
    <cfRule type="cellIs" dxfId="0" priority="192" operator="equal">
      <formula>"欠"</formula>
    </cfRule>
    <cfRule type="containsText" dxfId="0" priority="191" operator="between" text="欠">
      <formula>NOT(ISERROR(SEARCH("欠",U197)))</formula>
    </cfRule>
  </conditionalFormatting>
  <conditionalFormatting sqref="R204:R208 R202 R223:R231">
    <cfRule type="cellIs" dxfId="0" priority="484" operator="equal">
      <formula>"欠"</formula>
    </cfRule>
    <cfRule type="containsText" dxfId="0" priority="483" operator="between" text="欠">
      <formula>NOT(ISERROR(SEARCH("欠",R202)))</formula>
    </cfRule>
  </conditionalFormatting>
  <conditionalFormatting sqref="T204 T206 T202:U202 U205:U208 U224:U231">
    <cfRule type="cellIs" dxfId="0" priority="417" operator="equal">
      <formula>"欠"</formula>
    </cfRule>
    <cfRule type="containsText" dxfId="0" priority="416" operator="between" text="欠">
      <formula>NOT(ISERROR(SEARCH("欠",T202)))</formula>
    </cfRule>
  </conditionalFormatting>
  <conditionalFormatting sqref="T208 T232:T235">
    <cfRule type="cellIs" dxfId="0" priority="144" operator="equal">
      <formula>"欠"</formula>
    </cfRule>
    <cfRule type="containsText" dxfId="0" priority="143" operator="between" text="欠">
      <formula>NOT(ISERROR(SEARCH("欠",T208)))</formula>
    </cfRule>
  </conditionalFormatting>
  <conditionalFormatting sqref="U209:U222 U232:U252 U257 U312">
    <cfRule type="cellIs" dxfId="0" priority="217" operator="equal">
      <formula>"欠"</formula>
    </cfRule>
    <cfRule type="containsText" dxfId="0" priority="216" operator="between" text="欠">
      <formula>NOT(ISERROR(SEARCH("欠",U209)))</formula>
    </cfRule>
  </conditionalFormatting>
  <conditionalFormatting sqref="T249:T250 T239">
    <cfRule type="containsText" dxfId="0" priority="135" operator="between" text="欠">
      <formula>NOT(ISERROR(SEARCH("欠",T239)))</formula>
    </cfRule>
  </conditionalFormatting>
  <conditionalFormatting sqref="S241:S248 S251:S252 S264:S267">
    <cfRule type="containsText" dxfId="0" priority="125" operator="between" text="欠">
      <formula>NOT(ISERROR(SEARCH("欠",S241)))</formula>
    </cfRule>
    <cfRule type="cellIs" dxfId="0" priority="124" operator="equal">
      <formula>"欠"</formula>
    </cfRule>
  </conditionalFormatting>
  <conditionalFormatting sqref="T241:T248 T251:T252 T264:T267">
    <cfRule type="containsText" dxfId="0" priority="123" operator="between" text="欠">
      <formula>NOT(ISERROR(SEARCH("欠",T241)))</formula>
    </cfRule>
    <cfRule type="cellIs" dxfId="0" priority="122" operator="equal">
      <formula>"欠"</formula>
    </cfRule>
  </conditionalFormatting>
  <conditionalFormatting sqref="S253 S268 S273">
    <cfRule type="cellIs" dxfId="0" priority="121" operator="equal">
      <formula>"欠"</formula>
    </cfRule>
    <cfRule type="containsText" dxfId="0" priority="120" operator="between" text="欠">
      <formula>NOT(ISERROR(SEARCH("欠",S253)))</formula>
    </cfRule>
  </conditionalFormatting>
  <conditionalFormatting sqref="R255:R256 R272:R273 R270">
    <cfRule type="cellIs" dxfId="0" priority="115" operator="equal">
      <formula>"欠"</formula>
    </cfRule>
  </conditionalFormatting>
  <conditionalFormatting sqref="T259 T261 T256 T273 T270">
    <cfRule type="cellIs" dxfId="0" priority="112" operator="equal">
      <formula>"欠"</formula>
    </cfRule>
    <cfRule type="containsText" dxfId="0" priority="111" operator="between" text="欠">
      <formula>NOT(ISERROR(SEARCH("欠",T256)))</formula>
    </cfRule>
  </conditionalFormatting>
  <conditionalFormatting sqref="R259 R261">
    <cfRule type="cellIs" dxfId="0" priority="106" operator="equal">
      <formula>"欠"</formula>
    </cfRule>
  </conditionalFormatting>
  <conditionalFormatting sqref="S260 S271:S272 S269 S301:S302">
    <cfRule type="cellIs" dxfId="0" priority="99" operator="equal">
      <formula>"欠"</formula>
    </cfRule>
    <cfRule type="containsText" dxfId="0" priority="98" operator="between" text="欠">
      <formula>NOT(ISERROR(SEARCH("欠",S260)))</formula>
    </cfRule>
  </conditionalFormatting>
  <conditionalFormatting sqref="T260 T269 T271 T301">
    <cfRule type="cellIs" dxfId="0" priority="97" operator="equal">
      <formula>"欠"</formula>
    </cfRule>
    <cfRule type="containsText" dxfId="0" priority="96" operator="between" text="欠">
      <formula>NOT(ISERROR(SEARCH("欠",T260)))</formula>
    </cfRule>
  </conditionalFormatting>
  <conditionalFormatting sqref="R263 R268:R269 R271">
    <cfRule type="cellIs" dxfId="0" priority="105" operator="equal">
      <formula>"欠"</formula>
    </cfRule>
    <cfRule type="containsText" dxfId="0" priority="104" operator="between" text="欠">
      <formula>NOT(ISERROR(SEARCH("欠",R263)))</formula>
    </cfRule>
  </conditionalFormatting>
  <conditionalFormatting sqref="S263 S274">
    <cfRule type="containsText" dxfId="0" priority="103" operator="between" text="欠">
      <formula>NOT(ISERROR(SEARCH("欠",S263)))</formula>
    </cfRule>
    <cfRule type="cellIs" dxfId="0" priority="102" operator="equal">
      <formula>"欠"</formula>
    </cfRule>
  </conditionalFormatting>
  <conditionalFormatting sqref="T263 T268">
    <cfRule type="cellIs" dxfId="0" priority="101" operator="equal">
      <formula>"欠"</formula>
    </cfRule>
    <cfRule type="containsText" dxfId="0" priority="100" operator="between" text="欠">
      <formula>NOT(ISERROR(SEARCH("欠",T263)))</formula>
    </cfRule>
  </conditionalFormatting>
  <conditionalFormatting sqref="R275 R281:R287">
    <cfRule type="cellIs" dxfId="0" priority="77" operator="equal">
      <formula>"欠"</formula>
    </cfRule>
  </conditionalFormatting>
  <conditionalFormatting sqref="S275 S280:S284">
    <cfRule type="cellIs" dxfId="0" priority="93" operator="equal">
      <formula>"欠"</formula>
    </cfRule>
    <cfRule type="containsText" dxfId="0" priority="92" operator="between" text="欠">
      <formula>NOT(ISERROR(SEARCH("欠",S275)))</formula>
    </cfRule>
  </conditionalFormatting>
  <conditionalFormatting sqref="T275 T280:T281">
    <cfRule type="cellIs" dxfId="0" priority="91" operator="equal">
      <formula>"欠"</formula>
    </cfRule>
    <cfRule type="containsText" dxfId="0" priority="90" operator="between" text="欠">
      <formula>NOT(ISERROR(SEARCH("欠",T275)))</formula>
    </cfRule>
  </conditionalFormatting>
  <conditionalFormatting sqref="T282:T284 T286:T287">
    <cfRule type="cellIs" dxfId="0" priority="79" operator="equal">
      <formula>"欠"</formula>
    </cfRule>
    <cfRule type="containsText" dxfId="0" priority="78" operator="between" text="欠">
      <formula>NOT(ISERROR(SEARCH("欠",T282)))</formula>
    </cfRule>
  </conditionalFormatting>
  <conditionalFormatting sqref="T291 T306">
    <cfRule type="cellIs" dxfId="0" priority="109" operator="equal">
      <formula>"欠"</formula>
    </cfRule>
    <cfRule type="containsText" dxfId="0" priority="108" operator="between" text="欠">
      <formula>NOT(ISERROR(SEARCH("欠",T291)))</formula>
    </cfRule>
  </conditionalFormatting>
  <conditionalFormatting sqref="R293 R311">
    <cfRule type="cellIs" dxfId="0" priority="82" operator="equal">
      <formula>"欠"</formula>
    </cfRule>
  </conditionalFormatting>
  <conditionalFormatting sqref="T293 T311">
    <cfRule type="cellIs" dxfId="0" priority="84" operator="equal">
      <formula>"欠"</formula>
    </cfRule>
    <cfRule type="containsText" dxfId="0" priority="83" operator="between" text="欠">
      <formula>NOT(ISERROR(SEARCH("欠",T293)))</formula>
    </cfRule>
  </conditionalFormatting>
  <conditionalFormatting sqref="R306 R301 R299 R294:R296">
    <cfRule type="cellIs" dxfId="0" priority="65" operator="equal">
      <formula>"欠"</formula>
    </cfRule>
    <cfRule type="containsText" dxfId="0" priority="64" operator="between" text="欠">
      <formula>NOT(ISERROR(SEARCH("欠",R294)))</formula>
    </cfRule>
  </conditionalFormatting>
  <conditionalFormatting sqref="S299 S294:S296">
    <cfRule type="containsText" dxfId="0" priority="68" operator="between" text="欠">
      <formula>NOT(ISERROR(SEARCH("欠",S294)))</formula>
    </cfRule>
    <cfRule type="cellIs" dxfId="0" priority="67" operator="equal">
      <formula>"欠"</formula>
    </cfRule>
    <cfRule type="containsText" dxfId="0" priority="66" operator="between" text="欠">
      <formula>NOT(ISERROR(SEARCH("欠",S294)))</formula>
    </cfRule>
  </conditionalFormatting>
  <conditionalFormatting sqref="S297:S298 S300">
    <cfRule type="cellIs" dxfId="0" priority="48" operator="equal">
      <formula>"欠"</formula>
    </cfRule>
    <cfRule type="containsText" dxfId="0" priority="47" operator="between" text="欠">
      <formula>NOT(ISERROR(SEARCH("欠",S297)))</formula>
    </cfRule>
  </conditionalFormatting>
  <conditionalFormatting sqref="T297:T298 T300">
    <cfRule type="cellIs" dxfId="0" priority="46" operator="equal">
      <formula>"欠"</formula>
    </cfRule>
    <cfRule type="containsText" dxfId="0" priority="45" operator="between" text="欠">
      <formula>NOT(ISERROR(SEARCH("欠",T297)))</formula>
    </cfRule>
  </conditionalFormatting>
  <conditionalFormatting sqref="R298 R300">
    <cfRule type="cellIs" dxfId="0" priority="37" operator="equal">
      <formula>"欠"</formula>
    </cfRule>
    <cfRule type="containsText" dxfId="0" priority="36" operator="between" text="欠">
      <formula>NOT(ISERROR(SEARCH("欠",R298)))</formula>
    </cfRule>
  </conditionalFormatting>
  <dataValidations count="1">
    <dataValidation type="list" allowBlank="1" showInputMessage="1" showErrorMessage="1" sqref="S303:S305 S307:S310">
      <formula1>"有,无"</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CD136"/>
  <sheetViews>
    <sheetView workbookViewId="0">
      <pane xSplit="17" ySplit="2" topLeftCell="AC84" activePane="bottomRight" state="frozen"/>
      <selection/>
      <selection pane="topRight"/>
      <selection pane="bottomLeft"/>
      <selection pane="bottomRight" activeCell="AC84" sqref="$A1:$XFD1048576"/>
    </sheetView>
  </sheetViews>
  <sheetFormatPr defaultColWidth="9" defaultRowHeight="13.5"/>
  <cols>
    <col min="1" max="1" width="8.19166666666667" style="229" customWidth="1"/>
    <col min="2" max="2" width="9.45" style="230" customWidth="1"/>
    <col min="3" max="3" width="9" style="230" customWidth="1"/>
    <col min="4" max="4" width="10.775" style="230" customWidth="1"/>
    <col min="5" max="5" width="13.05" style="230" customWidth="1"/>
    <col min="6" max="6" width="13.3666666666667" style="230" customWidth="1"/>
    <col min="7" max="7" width="13.5833333333333" style="230" customWidth="1"/>
    <col min="8" max="8" width="12.9666666666667" style="230" customWidth="1"/>
    <col min="9" max="9" width="8.975" style="230" customWidth="1"/>
    <col min="10" max="10" width="7.89166666666667" style="230" customWidth="1"/>
    <col min="11" max="11" width="10" style="230" customWidth="1"/>
    <col min="12" max="12" width="9" style="230"/>
    <col min="13" max="14" width="12.9666666666667" style="230" customWidth="1"/>
    <col min="15" max="15" width="10.3916666666667" style="230" customWidth="1"/>
    <col min="16" max="16" width="11.1583333333333" style="230" customWidth="1"/>
    <col min="17" max="17" width="9.55" style="230" customWidth="1"/>
    <col min="18" max="18" width="10.3" style="230" customWidth="1"/>
    <col min="19" max="19" width="9" style="230"/>
    <col min="20" max="21" width="11.1583333333333" style="230" customWidth="1"/>
    <col min="22" max="22" width="10.0916666666667" style="230" customWidth="1"/>
    <col min="23" max="23" width="11.1583333333333" style="230" customWidth="1"/>
    <col min="24" max="24" width="45.425" style="230" customWidth="1"/>
    <col min="25" max="26" width="9" style="230" customWidth="1"/>
    <col min="27" max="27" width="12.8" style="230" customWidth="1"/>
    <col min="28" max="28" width="9" style="230" customWidth="1"/>
    <col min="29" max="30" width="9" style="230"/>
    <col min="31" max="31" width="5.58333333333333" style="230" customWidth="1"/>
    <col min="32" max="32" width="9" style="230"/>
    <col min="33" max="33" width="18.5083333333333" style="230" customWidth="1"/>
    <col min="34" max="34" width="7.01666666666667" style="230" customWidth="1"/>
    <col min="35" max="35" width="11.1833333333333" style="230" customWidth="1"/>
    <col min="36" max="38" width="7.4" style="230" customWidth="1"/>
    <col min="39" max="47" width="9" style="230"/>
    <col min="48" max="48" width="12.8" style="230"/>
    <col min="49" max="60" width="9" style="230"/>
    <col min="61" max="61" width="13.75" style="230" customWidth="1"/>
    <col min="62" max="62" width="9" style="230"/>
    <col min="63" max="63" width="5.50833333333333" style="230" customWidth="1"/>
    <col min="64" max="71" width="11.1916666666667" style="230" customWidth="1"/>
    <col min="72" max="72" width="12.6166666666667" style="230" customWidth="1"/>
    <col min="73" max="73" width="7.1" style="230" customWidth="1"/>
    <col min="74" max="81" width="11.7583333333333" style="230" customWidth="1"/>
    <col min="82" max="82" width="14.9333333333333" style="230" customWidth="1"/>
    <col min="83" max="83" width="9" style="230"/>
    <col min="84" max="84" width="18.2083333333333" style="230" customWidth="1"/>
    <col min="85" max="16384" width="9" style="230"/>
  </cols>
  <sheetData>
    <row r="1" s="230" customFormat="1" ht="49" customHeight="1" spans="1:82">
      <c r="A1" s="232" t="s">
        <v>0</v>
      </c>
      <c r="B1" s="233"/>
      <c r="C1" s="234"/>
      <c r="D1" s="235"/>
      <c r="E1" s="235"/>
      <c r="F1" s="236"/>
      <c r="G1" s="237"/>
      <c r="H1" s="238" t="s">
        <v>1</v>
      </c>
      <c r="I1" s="239"/>
      <c r="J1" s="240"/>
      <c r="K1" s="240"/>
      <c r="L1" s="240"/>
      <c r="M1" s="240"/>
      <c r="N1" s="240"/>
      <c r="O1" s="241"/>
      <c r="P1" s="234"/>
      <c r="Q1" s="234"/>
      <c r="R1" s="240"/>
      <c r="S1" s="240"/>
      <c r="T1" s="241"/>
      <c r="U1" s="241"/>
      <c r="V1" s="241"/>
      <c r="W1" s="241"/>
      <c r="X1" s="375"/>
      <c r="AC1" s="234"/>
      <c r="AD1" s="234"/>
      <c r="AE1" s="234"/>
      <c r="AF1" s="234"/>
      <c r="AJ1" s="255" t="s">
        <v>2</v>
      </c>
      <c r="AK1" s="255"/>
      <c r="AL1" s="255"/>
      <c r="AM1" s="243" t="s">
        <v>3</v>
      </c>
      <c r="AN1" s="244"/>
      <c r="AO1" s="376"/>
      <c r="AP1" s="243" t="s">
        <v>4</v>
      </c>
      <c r="AQ1" s="376"/>
      <c r="AR1" s="377" t="s">
        <v>5</v>
      </c>
      <c r="AS1" s="243" t="s">
        <v>6</v>
      </c>
      <c r="AT1" s="244"/>
      <c r="AU1" s="376"/>
      <c r="AV1" s="246" t="s">
        <v>7</v>
      </c>
      <c r="AW1" s="246"/>
      <c r="AX1" s="246" t="s">
        <v>8</v>
      </c>
      <c r="AY1" s="246" t="s">
        <v>9</v>
      </c>
      <c r="AZ1" s="243" t="s">
        <v>10</v>
      </c>
      <c r="BA1" s="376"/>
      <c r="BB1" s="246" t="s">
        <v>11</v>
      </c>
      <c r="BC1" s="246"/>
      <c r="BD1" s="246"/>
      <c r="BE1" s="246" t="s">
        <v>12</v>
      </c>
      <c r="BF1" s="246"/>
      <c r="BG1" s="246"/>
      <c r="BH1" s="247" t="s">
        <v>13</v>
      </c>
      <c r="BI1" s="247"/>
      <c r="BJ1" s="247"/>
      <c r="BL1" s="248" t="s">
        <v>14</v>
      </c>
      <c r="BM1" s="248" t="s">
        <v>15</v>
      </c>
      <c r="BN1" s="248" t="s">
        <v>16</v>
      </c>
      <c r="BO1" s="248" t="s">
        <v>17</v>
      </c>
      <c r="BP1" s="248" t="s">
        <v>18</v>
      </c>
      <c r="BQ1" s="248" t="s">
        <v>19</v>
      </c>
      <c r="BR1" s="248" t="s">
        <v>20</v>
      </c>
      <c r="BS1" s="248" t="s">
        <v>21</v>
      </c>
      <c r="BT1" s="248" t="s">
        <v>22</v>
      </c>
      <c r="BV1" s="261" t="str">
        <f>生产MA!G4</f>
        <v>腕龙</v>
      </c>
      <c r="BW1" s="261" t="str">
        <f>生产MA!H4</f>
        <v>双脊龙</v>
      </c>
      <c r="BX1" s="261" t="str">
        <f>生产MA!I4</f>
        <v>镰刀龙</v>
      </c>
      <c r="BY1" s="261" t="str">
        <f>生产MA!J4</f>
        <v>甲龙</v>
      </c>
      <c r="BZ1" s="261" t="str">
        <f>生产MA!K4</f>
        <v>戟龙</v>
      </c>
      <c r="CA1" s="261" t="str">
        <f>生产MA!L4</f>
        <v>棘龙</v>
      </c>
      <c r="CB1" s="261" t="str">
        <f>生产MA!M4</f>
        <v>沧龙</v>
      </c>
      <c r="CC1" s="261" t="str">
        <f>生产MA!N4</f>
        <v>霸王龙</v>
      </c>
      <c r="CD1" s="261" t="str">
        <f>生产MA!O4</f>
        <v>特殊款霸王龙</v>
      </c>
    </row>
    <row r="2" s="230" customFormat="1" ht="30" customHeight="1" spans="1:82">
      <c r="A2" s="251" t="s">
        <v>23</v>
      </c>
      <c r="B2" s="252" t="s">
        <v>24</v>
      </c>
      <c r="C2" s="252" t="s">
        <v>25</v>
      </c>
      <c r="D2" s="253" t="s">
        <v>26</v>
      </c>
      <c r="E2" s="252" t="s">
        <v>27</v>
      </c>
      <c r="F2" s="253" t="s">
        <v>28</v>
      </c>
      <c r="G2" s="253" t="s">
        <v>29</v>
      </c>
      <c r="H2" s="252" t="s">
        <v>30</v>
      </c>
      <c r="I2" s="254" t="s">
        <v>31</v>
      </c>
      <c r="J2" s="252" t="s">
        <v>32</v>
      </c>
      <c r="K2" s="252" t="s">
        <v>33</v>
      </c>
      <c r="L2" s="252" t="s">
        <v>34</v>
      </c>
      <c r="M2" s="255" t="s">
        <v>35</v>
      </c>
      <c r="N2" s="255" t="s">
        <v>36</v>
      </c>
      <c r="O2" s="256" t="s">
        <v>37</v>
      </c>
      <c r="P2" s="252" t="s">
        <v>38</v>
      </c>
      <c r="Q2" s="252" t="s">
        <v>39</v>
      </c>
      <c r="R2" s="252" t="s">
        <v>40</v>
      </c>
      <c r="S2" s="252" t="s">
        <v>41</v>
      </c>
      <c r="T2" s="256" t="s">
        <v>42</v>
      </c>
      <c r="U2" s="256" t="s">
        <v>43</v>
      </c>
      <c r="V2" s="257" t="s">
        <v>1616</v>
      </c>
      <c r="W2" s="257" t="s">
        <v>1617</v>
      </c>
      <c r="X2" s="378" t="s">
        <v>44</v>
      </c>
      <c r="Y2" s="255" t="s">
        <v>45</v>
      </c>
      <c r="Z2" s="255" t="s">
        <v>46</v>
      </c>
      <c r="AA2" s="255" t="s">
        <v>47</v>
      </c>
      <c r="AB2" s="255" t="s">
        <v>48</v>
      </c>
      <c r="AC2" s="259" t="s">
        <v>49</v>
      </c>
      <c r="AD2" s="259" t="s">
        <v>50</v>
      </c>
      <c r="AE2" s="259" t="s">
        <v>51</v>
      </c>
      <c r="AF2" s="259" t="s">
        <v>52</v>
      </c>
      <c r="AG2" s="255" t="s">
        <v>53</v>
      </c>
      <c r="AH2" s="379" t="s">
        <v>74</v>
      </c>
      <c r="AI2" s="255" t="s">
        <v>55</v>
      </c>
      <c r="AJ2" s="255" t="s">
        <v>56</v>
      </c>
      <c r="AK2" s="380" t="s">
        <v>57</v>
      </c>
      <c r="AL2" s="255" t="s">
        <v>58</v>
      </c>
      <c r="AM2" s="255" t="s">
        <v>59</v>
      </c>
      <c r="AN2" s="255" t="s">
        <v>60</v>
      </c>
      <c r="AO2" s="255" t="s">
        <v>61</v>
      </c>
      <c r="AP2" s="255" t="s">
        <v>62</v>
      </c>
      <c r="AQ2" s="380" t="s">
        <v>63</v>
      </c>
      <c r="AR2" s="380" t="s">
        <v>58</v>
      </c>
      <c r="AS2" s="255" t="s">
        <v>59</v>
      </c>
      <c r="AT2" s="255" t="s">
        <v>60</v>
      </c>
      <c r="AU2" s="255" t="s">
        <v>64</v>
      </c>
      <c r="AV2" s="255" t="s">
        <v>59</v>
      </c>
      <c r="AW2" s="255" t="s">
        <v>60</v>
      </c>
      <c r="AX2" s="255" t="s">
        <v>65</v>
      </c>
      <c r="AY2" s="255" t="s">
        <v>66</v>
      </c>
      <c r="AZ2" s="255" t="s">
        <v>67</v>
      </c>
      <c r="BA2" s="255" t="s">
        <v>68</v>
      </c>
      <c r="BB2" s="255" t="s">
        <v>59</v>
      </c>
      <c r="BC2" s="255" t="s">
        <v>60</v>
      </c>
      <c r="BD2" s="255" t="s">
        <v>69</v>
      </c>
      <c r="BE2" s="255" t="s">
        <v>59</v>
      </c>
      <c r="BF2" s="255" t="s">
        <v>60</v>
      </c>
      <c r="BG2" s="255" t="s">
        <v>70</v>
      </c>
      <c r="BH2" s="255" t="s">
        <v>71</v>
      </c>
      <c r="BI2" s="255" t="s">
        <v>1618</v>
      </c>
      <c r="BJ2" s="255"/>
      <c r="BK2" s="261"/>
      <c r="BL2" s="381">
        <v>0.122395833333333</v>
      </c>
      <c r="BM2" s="381">
        <v>0.122395833333333</v>
      </c>
      <c r="BN2" s="381">
        <v>0.122395833333333</v>
      </c>
      <c r="BO2" s="381">
        <v>0.122395833333333</v>
      </c>
      <c r="BP2" s="381">
        <v>0.122395833333333</v>
      </c>
      <c r="BQ2" s="381">
        <v>0.122395833333333</v>
      </c>
      <c r="BR2" s="381">
        <v>0.122395833333333</v>
      </c>
      <c r="BS2" s="381">
        <v>0.122395833333333</v>
      </c>
      <c r="BT2" s="381">
        <v>0.0208333333333333</v>
      </c>
      <c r="BU2" s="230" t="s">
        <v>73</v>
      </c>
      <c r="BV2" s="261">
        <f>生产MA!G12</f>
        <v>134028</v>
      </c>
      <c r="BW2" s="261">
        <f>生产MA!H12</f>
        <v>134028</v>
      </c>
      <c r="BX2" s="261">
        <f>生产MA!I12</f>
        <v>134028</v>
      </c>
      <c r="BY2" s="261">
        <f>生产MA!J12</f>
        <v>134028</v>
      </c>
      <c r="BZ2" s="261">
        <f>生产MA!K12</f>
        <v>134028</v>
      </c>
      <c r="CA2" s="261">
        <f>生产MA!L12</f>
        <v>134028</v>
      </c>
      <c r="CB2" s="261">
        <f>生产MA!M12</f>
        <v>134028</v>
      </c>
      <c r="CC2" s="261">
        <f>生产MA!N12</f>
        <v>134028</v>
      </c>
      <c r="CD2" s="261">
        <f>生产MA!O12</f>
        <v>22815</v>
      </c>
    </row>
    <row r="3" s="360" customFormat="1" ht="27" customHeight="1" spans="1:82">
      <c r="A3" s="47">
        <v>45617</v>
      </c>
      <c r="B3" s="48" t="s">
        <v>74</v>
      </c>
      <c r="C3" s="49" t="s">
        <v>75</v>
      </c>
      <c r="D3" s="50" t="s">
        <v>76</v>
      </c>
      <c r="E3" s="49" t="s">
        <v>77</v>
      </c>
      <c r="F3" s="382"/>
      <c r="G3" s="383" t="s">
        <v>78</v>
      </c>
      <c r="H3" s="384" t="s">
        <v>79</v>
      </c>
      <c r="I3" s="385">
        <v>1135</v>
      </c>
      <c r="J3" s="385">
        <v>0</v>
      </c>
      <c r="K3" s="385">
        <v>54</v>
      </c>
      <c r="L3" s="385">
        <f>I3/K3</f>
        <v>21.0185185185185</v>
      </c>
      <c r="M3" s="386">
        <v>45639</v>
      </c>
      <c r="N3" s="386">
        <v>45635</v>
      </c>
      <c r="O3" s="387"/>
      <c r="P3" s="387"/>
      <c r="Q3" s="387"/>
      <c r="R3" s="387" t="s">
        <v>80</v>
      </c>
      <c r="S3" s="387" t="s">
        <v>80</v>
      </c>
      <c r="T3" s="387" t="s">
        <v>80</v>
      </c>
      <c r="U3" s="387"/>
      <c r="V3" s="387"/>
      <c r="W3" s="387"/>
      <c r="X3" s="388" t="s">
        <v>81</v>
      </c>
      <c r="Y3" s="386"/>
      <c r="Z3" s="386"/>
      <c r="AA3" s="386"/>
      <c r="AB3" s="386" t="s">
        <v>82</v>
      </c>
      <c r="AC3" s="387"/>
      <c r="AD3" s="387"/>
      <c r="AE3" s="387"/>
      <c r="AF3" s="387"/>
      <c r="AG3" s="386"/>
      <c r="AH3" s="386" t="s">
        <v>93</v>
      </c>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261"/>
      <c r="BK3" s="261"/>
      <c r="BL3" s="359"/>
      <c r="BM3" s="359"/>
      <c r="BN3" s="359"/>
      <c r="BO3" s="359"/>
      <c r="BP3" s="359"/>
      <c r="BQ3" s="359"/>
      <c r="BR3" s="359"/>
      <c r="BS3" s="359"/>
      <c r="BT3" s="359"/>
      <c r="BV3" s="359">
        <f>BV2-BL3-BL129</f>
        <v>46090.7291666668</v>
      </c>
      <c r="BW3" s="359">
        <f t="shared" ref="BW3:CD3" si="0">BW2-BM3-BM129</f>
        <v>46090.7291666668</v>
      </c>
      <c r="BX3" s="359">
        <f t="shared" si="0"/>
        <v>46090.7291666668</v>
      </c>
      <c r="BY3" s="359">
        <f t="shared" si="0"/>
        <v>46090.7291666668</v>
      </c>
      <c r="BZ3" s="359">
        <f t="shared" si="0"/>
        <v>46090.7291666668</v>
      </c>
      <c r="CA3" s="359">
        <f t="shared" si="0"/>
        <v>46090.7291666668</v>
      </c>
      <c r="CB3" s="359">
        <f t="shared" si="0"/>
        <v>46090.7291666668</v>
      </c>
      <c r="CC3" s="359">
        <f t="shared" si="0"/>
        <v>46090.7291666668</v>
      </c>
      <c r="CD3" s="359">
        <f t="shared" si="0"/>
        <v>7797.1666666667</v>
      </c>
    </row>
    <row r="4" s="370" customFormat="1" ht="27" customHeight="1" spans="1:82">
      <c r="A4" s="389">
        <v>45952</v>
      </c>
      <c r="B4" s="390" t="s">
        <v>1539</v>
      </c>
      <c r="C4" s="391" t="s">
        <v>574</v>
      </c>
      <c r="D4" s="392">
        <v>4500182578</v>
      </c>
      <c r="E4" s="391" t="s">
        <v>1540</v>
      </c>
      <c r="F4" s="390" t="s">
        <v>1541</v>
      </c>
      <c r="G4" s="393" t="s">
        <v>78</v>
      </c>
      <c r="H4" s="390" t="s">
        <v>79</v>
      </c>
      <c r="I4" s="394">
        <v>972</v>
      </c>
      <c r="J4" s="394">
        <v>0</v>
      </c>
      <c r="K4" s="394">
        <v>54</v>
      </c>
      <c r="L4" s="394">
        <f t="shared" ref="L4:L67" si="1">I4/K4</f>
        <v>18</v>
      </c>
      <c r="M4" s="395">
        <v>46006</v>
      </c>
      <c r="N4" s="395">
        <v>46004</v>
      </c>
      <c r="O4" s="396"/>
      <c r="P4" s="396" t="s">
        <v>224</v>
      </c>
      <c r="Q4" s="396" t="s">
        <v>1619</v>
      </c>
      <c r="R4" s="397">
        <v>45971</v>
      </c>
      <c r="S4" s="398" t="s">
        <v>80</v>
      </c>
      <c r="T4" s="396" t="s">
        <v>1542</v>
      </c>
      <c r="U4" s="396"/>
      <c r="V4" s="396"/>
      <c r="W4" s="396"/>
      <c r="X4" s="358" t="s">
        <v>1543</v>
      </c>
      <c r="Y4" s="395" t="s">
        <v>228</v>
      </c>
      <c r="Z4" s="399">
        <v>0.7795</v>
      </c>
      <c r="AA4" s="394">
        <f>Z4*I4</f>
        <v>757.674</v>
      </c>
      <c r="AB4" s="400" t="s">
        <v>1620</v>
      </c>
      <c r="AC4" s="358">
        <v>972</v>
      </c>
      <c r="AD4" s="358">
        <f t="shared" ref="AD4:AD22" si="2">AC4-I4</f>
        <v>0</v>
      </c>
      <c r="AE4" s="396"/>
      <c r="AF4" s="396" t="s">
        <v>114</v>
      </c>
      <c r="AG4" s="395" t="s">
        <v>230</v>
      </c>
      <c r="AH4" s="395" t="s">
        <v>115</v>
      </c>
      <c r="AI4" s="401">
        <f t="shared" ref="AI4:AI20" si="3">I4</f>
        <v>972</v>
      </c>
      <c r="AJ4" s="401"/>
      <c r="AK4" s="401">
        <f t="shared" ref="AK4:AK19" si="4">I4</f>
        <v>972</v>
      </c>
      <c r="AL4" s="401"/>
      <c r="AM4" s="401"/>
      <c r="AN4" s="401">
        <f>I4</f>
        <v>972</v>
      </c>
      <c r="AO4" s="401"/>
      <c r="AP4" s="401"/>
      <c r="AQ4" s="401">
        <f>I4</f>
        <v>972</v>
      </c>
      <c r="AR4" s="401"/>
      <c r="AS4" s="401"/>
      <c r="AT4" s="401"/>
      <c r="AU4" s="401">
        <f>I4/27</f>
        <v>36</v>
      </c>
      <c r="AV4" s="401"/>
      <c r="AW4" s="401"/>
      <c r="AX4" s="401"/>
      <c r="AY4" s="401"/>
      <c r="AZ4" s="401"/>
      <c r="BA4" s="401"/>
      <c r="BB4" s="401"/>
      <c r="BC4" s="401"/>
      <c r="BD4" s="401"/>
      <c r="BE4" s="401"/>
      <c r="BF4" s="401"/>
      <c r="BG4" s="401"/>
      <c r="BH4" s="401"/>
      <c r="BI4" s="401"/>
      <c r="BJ4" s="401"/>
      <c r="BK4" s="401"/>
      <c r="BL4" s="82">
        <f t="shared" ref="BL4:BT4" si="5">$I4*BL$2</f>
        <v>118.96875</v>
      </c>
      <c r="BM4" s="82">
        <f t="shared" si="5"/>
        <v>118.96875</v>
      </c>
      <c r="BN4" s="82">
        <f t="shared" si="5"/>
        <v>118.96875</v>
      </c>
      <c r="BO4" s="82">
        <f t="shared" si="5"/>
        <v>118.96875</v>
      </c>
      <c r="BP4" s="82">
        <f t="shared" si="5"/>
        <v>118.96875</v>
      </c>
      <c r="BQ4" s="82">
        <f t="shared" si="5"/>
        <v>118.96875</v>
      </c>
      <c r="BR4" s="82">
        <f t="shared" si="5"/>
        <v>118.96875</v>
      </c>
      <c r="BS4" s="82">
        <f t="shared" si="5"/>
        <v>118.96875</v>
      </c>
      <c r="BT4" s="82">
        <f t="shared" si="5"/>
        <v>20.25</v>
      </c>
      <c r="BV4" s="59">
        <f>BV3-BL4</f>
        <v>45971.7604166668</v>
      </c>
      <c r="BW4" s="59">
        <f>BW3-BM4</f>
        <v>45971.7604166668</v>
      </c>
      <c r="BX4" s="59">
        <f t="shared" ref="BX4:CD4" si="6">BX3-BN4</f>
        <v>45971.7604166668</v>
      </c>
      <c r="BY4" s="59">
        <f t="shared" si="6"/>
        <v>45971.7604166668</v>
      </c>
      <c r="BZ4" s="59">
        <f t="shared" si="6"/>
        <v>45971.7604166668</v>
      </c>
      <c r="CA4" s="59">
        <f t="shared" si="6"/>
        <v>45971.7604166668</v>
      </c>
      <c r="CB4" s="59">
        <f t="shared" si="6"/>
        <v>45971.7604166668</v>
      </c>
      <c r="CC4" s="59">
        <f t="shared" si="6"/>
        <v>45971.7604166668</v>
      </c>
      <c r="CD4" s="59">
        <f t="shared" si="6"/>
        <v>7776.9166666667</v>
      </c>
    </row>
    <row r="5" s="370" customFormat="1" ht="27" customHeight="1" spans="1:82">
      <c r="A5" s="389">
        <v>45964</v>
      </c>
      <c r="B5" s="390" t="s">
        <v>1544</v>
      </c>
      <c r="C5" s="391" t="s">
        <v>1545</v>
      </c>
      <c r="D5" s="392">
        <v>4500180717</v>
      </c>
      <c r="E5" s="391" t="s">
        <v>1546</v>
      </c>
      <c r="F5" s="390" t="s">
        <v>1547</v>
      </c>
      <c r="G5" s="393" t="s">
        <v>78</v>
      </c>
      <c r="H5" s="390" t="s">
        <v>79</v>
      </c>
      <c r="I5" s="394">
        <v>2916</v>
      </c>
      <c r="J5" s="394">
        <v>0</v>
      </c>
      <c r="K5" s="394">
        <v>54</v>
      </c>
      <c r="L5" s="394">
        <f t="shared" si="1"/>
        <v>54</v>
      </c>
      <c r="M5" s="395">
        <v>46006</v>
      </c>
      <c r="N5" s="395">
        <v>46006</v>
      </c>
      <c r="O5" s="396"/>
      <c r="P5" s="396" t="s">
        <v>107</v>
      </c>
      <c r="Q5" s="396"/>
      <c r="R5" s="402">
        <v>45973</v>
      </c>
      <c r="S5" s="402" t="s">
        <v>80</v>
      </c>
      <c r="T5" s="402" t="s">
        <v>1548</v>
      </c>
      <c r="U5" s="396"/>
      <c r="V5" s="396"/>
      <c r="W5" s="396"/>
      <c r="X5" s="358" t="s">
        <v>1549</v>
      </c>
      <c r="Y5" s="395" t="s">
        <v>1550</v>
      </c>
      <c r="Z5" s="399">
        <v>0.7913</v>
      </c>
      <c r="AA5" s="394">
        <f>Z5*I5</f>
        <v>2307.4308</v>
      </c>
      <c r="AB5" s="394" t="s">
        <v>1621</v>
      </c>
      <c r="AC5" s="358">
        <v>2916</v>
      </c>
      <c r="AD5" s="358">
        <f t="shared" si="2"/>
        <v>0</v>
      </c>
      <c r="AE5" s="396" t="s">
        <v>113</v>
      </c>
      <c r="AF5" s="396" t="s">
        <v>114</v>
      </c>
      <c r="AG5" s="395" t="s">
        <v>78</v>
      </c>
      <c r="AH5" s="395" t="s">
        <v>115</v>
      </c>
      <c r="AI5" s="401">
        <f t="shared" si="3"/>
        <v>2916</v>
      </c>
      <c r="AJ5" s="401"/>
      <c r="AK5" s="401">
        <f t="shared" si="4"/>
        <v>2916</v>
      </c>
      <c r="AL5" s="401"/>
      <c r="AM5" s="401">
        <f>I5</f>
        <v>2916</v>
      </c>
      <c r="AN5" s="401"/>
      <c r="AO5" s="401"/>
      <c r="AP5" s="401"/>
      <c r="AQ5" s="401">
        <f>I5</f>
        <v>2916</v>
      </c>
      <c r="AR5" s="401"/>
      <c r="AS5" s="401">
        <f>I5/27</f>
        <v>108</v>
      </c>
      <c r="AT5" s="401"/>
      <c r="AU5" s="401"/>
      <c r="AV5" s="401"/>
      <c r="AW5" s="401"/>
      <c r="AX5" s="401"/>
      <c r="AY5" s="401"/>
      <c r="AZ5" s="401"/>
      <c r="BA5" s="401"/>
      <c r="BB5" s="401"/>
      <c r="BC5" s="401"/>
      <c r="BD5" s="401"/>
      <c r="BE5" s="401"/>
      <c r="BF5" s="401"/>
      <c r="BG5" s="401"/>
      <c r="BH5" s="401"/>
      <c r="BI5" s="401"/>
      <c r="BJ5" s="401"/>
      <c r="BK5" s="401"/>
      <c r="BL5" s="82">
        <f t="shared" ref="BL5:BT5" si="7">$I5*BL$2</f>
        <v>356.906249999999</v>
      </c>
      <c r="BM5" s="82">
        <f t="shared" si="7"/>
        <v>356.906249999999</v>
      </c>
      <c r="BN5" s="82">
        <f t="shared" si="7"/>
        <v>356.906249999999</v>
      </c>
      <c r="BO5" s="82">
        <f t="shared" si="7"/>
        <v>356.906249999999</v>
      </c>
      <c r="BP5" s="82">
        <f t="shared" si="7"/>
        <v>356.906249999999</v>
      </c>
      <c r="BQ5" s="82">
        <f t="shared" si="7"/>
        <v>356.906249999999</v>
      </c>
      <c r="BR5" s="82">
        <f t="shared" si="7"/>
        <v>356.906249999999</v>
      </c>
      <c r="BS5" s="82">
        <f t="shared" si="7"/>
        <v>356.906249999999</v>
      </c>
      <c r="BT5" s="82">
        <f t="shared" si="7"/>
        <v>60.7499999999999</v>
      </c>
      <c r="BV5" s="82">
        <f t="shared" ref="BV5:CD5" si="8">BV4-BL5</f>
        <v>45614.8541666668</v>
      </c>
      <c r="BW5" s="82">
        <f t="shared" si="8"/>
        <v>45614.8541666668</v>
      </c>
      <c r="BX5" s="82">
        <f t="shared" si="8"/>
        <v>45614.8541666668</v>
      </c>
      <c r="BY5" s="82">
        <f t="shared" si="8"/>
        <v>45614.8541666668</v>
      </c>
      <c r="BZ5" s="82">
        <f t="shared" si="8"/>
        <v>45614.8541666668</v>
      </c>
      <c r="CA5" s="82">
        <f t="shared" si="8"/>
        <v>45614.8541666668</v>
      </c>
      <c r="CB5" s="82">
        <f t="shared" si="8"/>
        <v>45614.8541666668</v>
      </c>
      <c r="CC5" s="82">
        <f t="shared" si="8"/>
        <v>45614.8541666668</v>
      </c>
      <c r="CD5" s="82">
        <f t="shared" si="8"/>
        <v>7716.1666666667</v>
      </c>
    </row>
    <row r="6" s="370" customFormat="1" ht="27" customHeight="1" spans="1:82">
      <c r="A6" s="389">
        <v>45964</v>
      </c>
      <c r="B6" s="390" t="s">
        <v>1544</v>
      </c>
      <c r="C6" s="391" t="s">
        <v>1545</v>
      </c>
      <c r="D6" s="392">
        <v>4500180735</v>
      </c>
      <c r="E6" s="391" t="s">
        <v>1551</v>
      </c>
      <c r="F6" s="390" t="s">
        <v>1552</v>
      </c>
      <c r="G6" s="393" t="s">
        <v>78</v>
      </c>
      <c r="H6" s="390" t="s">
        <v>79</v>
      </c>
      <c r="I6" s="394">
        <v>1080</v>
      </c>
      <c r="J6" s="394">
        <v>0</v>
      </c>
      <c r="K6" s="394">
        <v>54</v>
      </c>
      <c r="L6" s="394">
        <f t="shared" si="1"/>
        <v>20</v>
      </c>
      <c r="M6" s="395">
        <v>46006</v>
      </c>
      <c r="N6" s="395">
        <v>46006</v>
      </c>
      <c r="O6" s="396"/>
      <c r="P6" s="396" t="s">
        <v>107</v>
      </c>
      <c r="Q6" s="396" t="s">
        <v>1622</v>
      </c>
      <c r="R6" s="402">
        <v>45973</v>
      </c>
      <c r="S6" s="402" t="s">
        <v>80</v>
      </c>
      <c r="T6" s="402" t="s">
        <v>1548</v>
      </c>
      <c r="U6" s="396"/>
      <c r="V6" s="396"/>
      <c r="W6" s="396"/>
      <c r="X6" s="358" t="s">
        <v>1553</v>
      </c>
      <c r="Y6" s="395" t="s">
        <v>1550</v>
      </c>
      <c r="Z6" s="399">
        <v>0.7913</v>
      </c>
      <c r="AA6" s="394">
        <f>Z6*I6</f>
        <v>854.604</v>
      </c>
      <c r="AB6" s="395" t="s">
        <v>1623</v>
      </c>
      <c r="AC6" s="358">
        <v>1080</v>
      </c>
      <c r="AD6" s="358">
        <f t="shared" si="2"/>
        <v>0</v>
      </c>
      <c r="AE6" s="396" t="s">
        <v>113</v>
      </c>
      <c r="AF6" s="396" t="s">
        <v>114</v>
      </c>
      <c r="AG6" s="395" t="s">
        <v>78</v>
      </c>
      <c r="AH6" s="395" t="s">
        <v>115</v>
      </c>
      <c r="AI6" s="401">
        <f t="shared" si="3"/>
        <v>1080</v>
      </c>
      <c r="AJ6" s="401"/>
      <c r="AK6" s="401">
        <f t="shared" si="4"/>
        <v>1080</v>
      </c>
      <c r="AL6" s="401"/>
      <c r="AM6" s="401">
        <f>I6</f>
        <v>1080</v>
      </c>
      <c r="AN6" s="401"/>
      <c r="AO6" s="401"/>
      <c r="AP6" s="401"/>
      <c r="AQ6" s="401">
        <f>I6</f>
        <v>1080</v>
      </c>
      <c r="AR6" s="401"/>
      <c r="AS6" s="401">
        <f>I6/27</f>
        <v>40</v>
      </c>
      <c r="AT6" s="401"/>
      <c r="AU6" s="401"/>
      <c r="AV6" s="401"/>
      <c r="AW6" s="401"/>
      <c r="AX6" s="401"/>
      <c r="AY6" s="401"/>
      <c r="AZ6" s="401"/>
      <c r="BA6" s="401"/>
      <c r="BB6" s="401"/>
      <c r="BC6" s="401"/>
      <c r="BD6" s="401"/>
      <c r="BE6" s="401"/>
      <c r="BF6" s="401"/>
      <c r="BG6" s="401"/>
      <c r="BH6" s="401"/>
      <c r="BI6" s="401"/>
      <c r="BJ6" s="401"/>
      <c r="BK6" s="401"/>
      <c r="BL6" s="82">
        <f t="shared" ref="BL6:BT6" si="9">$I6*BL$2</f>
        <v>132.1875</v>
      </c>
      <c r="BM6" s="82">
        <f t="shared" si="9"/>
        <v>132.1875</v>
      </c>
      <c r="BN6" s="82">
        <f t="shared" si="9"/>
        <v>132.1875</v>
      </c>
      <c r="BO6" s="82">
        <f t="shared" si="9"/>
        <v>132.1875</v>
      </c>
      <c r="BP6" s="82">
        <f t="shared" si="9"/>
        <v>132.1875</v>
      </c>
      <c r="BQ6" s="82">
        <f t="shared" si="9"/>
        <v>132.1875</v>
      </c>
      <c r="BR6" s="82">
        <f t="shared" si="9"/>
        <v>132.1875</v>
      </c>
      <c r="BS6" s="82">
        <f t="shared" si="9"/>
        <v>132.1875</v>
      </c>
      <c r="BT6" s="82">
        <f t="shared" si="9"/>
        <v>22.5</v>
      </c>
      <c r="BV6" s="82">
        <f t="shared" ref="BV6:CD6" si="10">BV5-BL6</f>
        <v>45482.6666666668</v>
      </c>
      <c r="BW6" s="82">
        <f t="shared" si="10"/>
        <v>45482.6666666668</v>
      </c>
      <c r="BX6" s="82">
        <f t="shared" si="10"/>
        <v>45482.6666666668</v>
      </c>
      <c r="BY6" s="82">
        <f t="shared" si="10"/>
        <v>45482.6666666668</v>
      </c>
      <c r="BZ6" s="82">
        <f t="shared" si="10"/>
        <v>45482.6666666668</v>
      </c>
      <c r="CA6" s="82">
        <f t="shared" si="10"/>
        <v>45482.6666666668</v>
      </c>
      <c r="CB6" s="82">
        <f t="shared" si="10"/>
        <v>45482.6666666668</v>
      </c>
      <c r="CC6" s="82">
        <f t="shared" si="10"/>
        <v>45482.6666666668</v>
      </c>
      <c r="CD6" s="82">
        <f t="shared" si="10"/>
        <v>7693.6666666667</v>
      </c>
    </row>
    <row r="7" s="370" customFormat="1" ht="27" customHeight="1" spans="1:82">
      <c r="A7" s="389">
        <v>45964</v>
      </c>
      <c r="B7" s="390" t="s">
        <v>1544</v>
      </c>
      <c r="C7" s="391" t="s">
        <v>1545</v>
      </c>
      <c r="D7" s="392">
        <v>4500180758</v>
      </c>
      <c r="E7" s="391" t="s">
        <v>1554</v>
      </c>
      <c r="F7" s="390" t="s">
        <v>1555</v>
      </c>
      <c r="G7" s="393" t="s">
        <v>78</v>
      </c>
      <c r="H7" s="390" t="s">
        <v>79</v>
      </c>
      <c r="I7" s="394">
        <v>1080</v>
      </c>
      <c r="J7" s="394">
        <v>0</v>
      </c>
      <c r="K7" s="394">
        <v>54</v>
      </c>
      <c r="L7" s="394">
        <f t="shared" si="1"/>
        <v>20</v>
      </c>
      <c r="M7" s="395">
        <v>46006</v>
      </c>
      <c r="N7" s="395">
        <v>46006</v>
      </c>
      <c r="O7" s="396"/>
      <c r="P7" s="396" t="s">
        <v>107</v>
      </c>
      <c r="Q7" s="396" t="s">
        <v>1624</v>
      </c>
      <c r="R7" s="402">
        <v>45973</v>
      </c>
      <c r="S7" s="402" t="s">
        <v>80</v>
      </c>
      <c r="T7" s="402" t="s">
        <v>1548</v>
      </c>
      <c r="U7" s="396"/>
      <c r="V7" s="396"/>
      <c r="W7" s="396"/>
      <c r="X7" s="358" t="s">
        <v>1549</v>
      </c>
      <c r="Y7" s="395" t="s">
        <v>1550</v>
      </c>
      <c r="Z7" s="399">
        <v>0.7913</v>
      </c>
      <c r="AA7" s="394">
        <f>Z7*I7</f>
        <v>854.604</v>
      </c>
      <c r="AB7" s="395" t="s">
        <v>82</v>
      </c>
      <c r="AC7" s="358">
        <v>1080</v>
      </c>
      <c r="AD7" s="358">
        <f t="shared" si="2"/>
        <v>0</v>
      </c>
      <c r="AE7" s="396" t="s">
        <v>113</v>
      </c>
      <c r="AF7" s="396" t="s">
        <v>114</v>
      </c>
      <c r="AG7" s="395" t="s">
        <v>78</v>
      </c>
      <c r="AH7" s="395" t="s">
        <v>115</v>
      </c>
      <c r="AI7" s="401">
        <f t="shared" si="3"/>
        <v>1080</v>
      </c>
      <c r="AJ7" s="401"/>
      <c r="AK7" s="401">
        <f t="shared" si="4"/>
        <v>1080</v>
      </c>
      <c r="AL7" s="401"/>
      <c r="AM7" s="401">
        <f>I7</f>
        <v>1080</v>
      </c>
      <c r="AN7" s="401"/>
      <c r="AO7" s="401"/>
      <c r="AP7" s="401"/>
      <c r="AQ7" s="401">
        <f>I7</f>
        <v>1080</v>
      </c>
      <c r="AR7" s="401"/>
      <c r="AS7" s="401">
        <f>I7/27</f>
        <v>40</v>
      </c>
      <c r="AT7" s="401"/>
      <c r="AU7" s="401"/>
      <c r="AV7" s="401"/>
      <c r="AW7" s="401"/>
      <c r="AX7" s="401"/>
      <c r="AY7" s="401"/>
      <c r="AZ7" s="401"/>
      <c r="BA7" s="401"/>
      <c r="BB7" s="401"/>
      <c r="BC7" s="401"/>
      <c r="BD7" s="401"/>
      <c r="BE7" s="401"/>
      <c r="BF7" s="401"/>
      <c r="BG7" s="401"/>
      <c r="BH7" s="401"/>
      <c r="BI7" s="401"/>
      <c r="BJ7" s="401"/>
      <c r="BK7" s="401"/>
      <c r="BL7" s="82">
        <f t="shared" ref="BL7:BT7" si="11">$I7*BL$2</f>
        <v>132.1875</v>
      </c>
      <c r="BM7" s="82">
        <f t="shared" si="11"/>
        <v>132.1875</v>
      </c>
      <c r="BN7" s="82">
        <f t="shared" si="11"/>
        <v>132.1875</v>
      </c>
      <c r="BO7" s="82">
        <f t="shared" si="11"/>
        <v>132.1875</v>
      </c>
      <c r="BP7" s="82">
        <f t="shared" si="11"/>
        <v>132.1875</v>
      </c>
      <c r="BQ7" s="82">
        <f t="shared" si="11"/>
        <v>132.1875</v>
      </c>
      <c r="BR7" s="82">
        <f t="shared" si="11"/>
        <v>132.1875</v>
      </c>
      <c r="BS7" s="82">
        <f t="shared" si="11"/>
        <v>132.1875</v>
      </c>
      <c r="BT7" s="82">
        <f t="shared" si="11"/>
        <v>22.5</v>
      </c>
      <c r="BV7" s="82">
        <f t="shared" ref="BV7:CD7" si="12">BV6-BL7</f>
        <v>45350.4791666668</v>
      </c>
      <c r="BW7" s="82">
        <f t="shared" si="12"/>
        <v>45350.4791666668</v>
      </c>
      <c r="BX7" s="82">
        <f t="shared" si="12"/>
        <v>45350.4791666668</v>
      </c>
      <c r="BY7" s="82">
        <f t="shared" si="12"/>
        <v>45350.4791666668</v>
      </c>
      <c r="BZ7" s="82">
        <f t="shared" si="12"/>
        <v>45350.4791666668</v>
      </c>
      <c r="CA7" s="82">
        <f t="shared" si="12"/>
        <v>45350.4791666668</v>
      </c>
      <c r="CB7" s="82">
        <f t="shared" si="12"/>
        <v>45350.4791666668</v>
      </c>
      <c r="CC7" s="82">
        <f t="shared" si="12"/>
        <v>45350.4791666668</v>
      </c>
      <c r="CD7" s="82">
        <f t="shared" si="12"/>
        <v>7671.1666666667</v>
      </c>
    </row>
    <row r="8" s="370" customFormat="1" ht="27" customHeight="1" spans="1:82">
      <c r="A8" s="389">
        <v>45972</v>
      </c>
      <c r="B8" s="390" t="s">
        <v>1384</v>
      </c>
      <c r="C8" s="391" t="s">
        <v>689</v>
      </c>
      <c r="D8" s="392">
        <v>4500185221</v>
      </c>
      <c r="E8" s="391">
        <v>5000002057</v>
      </c>
      <c r="F8" s="390" t="s">
        <v>1556</v>
      </c>
      <c r="G8" s="393" t="s">
        <v>152</v>
      </c>
      <c r="H8" s="390" t="s">
        <v>153</v>
      </c>
      <c r="I8" s="394">
        <v>2600</v>
      </c>
      <c r="J8" s="394">
        <v>0</v>
      </c>
      <c r="K8" s="394">
        <v>13</v>
      </c>
      <c r="L8" s="394">
        <f t="shared" si="1"/>
        <v>200</v>
      </c>
      <c r="M8" s="395">
        <v>46008</v>
      </c>
      <c r="N8" s="395">
        <v>46006</v>
      </c>
      <c r="O8" s="396"/>
      <c r="P8" s="396" t="s">
        <v>107</v>
      </c>
      <c r="Q8" s="396" t="s">
        <v>1557</v>
      </c>
      <c r="R8" s="397" t="s">
        <v>1558</v>
      </c>
      <c r="S8" s="396" t="s">
        <v>80</v>
      </c>
      <c r="T8" s="396" t="s">
        <v>1559</v>
      </c>
      <c r="U8" s="396"/>
      <c r="V8" s="396"/>
      <c r="W8" s="396"/>
      <c r="X8" s="358" t="s">
        <v>1560</v>
      </c>
      <c r="Y8" s="395" t="s">
        <v>1068</v>
      </c>
      <c r="Z8" s="399">
        <v>0.7758</v>
      </c>
      <c r="AA8" s="394">
        <f>Z8*I8</f>
        <v>2017.08</v>
      </c>
      <c r="AB8" s="395" t="s">
        <v>82</v>
      </c>
      <c r="AC8" s="358">
        <v>2600</v>
      </c>
      <c r="AD8" s="358">
        <f t="shared" si="2"/>
        <v>0</v>
      </c>
      <c r="AE8" s="396" t="s">
        <v>113</v>
      </c>
      <c r="AF8" s="396" t="s">
        <v>114</v>
      </c>
      <c r="AG8" s="395" t="s">
        <v>696</v>
      </c>
      <c r="AH8" s="395" t="s">
        <v>115</v>
      </c>
      <c r="AI8" s="401">
        <f t="shared" si="3"/>
        <v>2600</v>
      </c>
      <c r="AJ8" s="401"/>
      <c r="AK8" s="401">
        <f t="shared" si="4"/>
        <v>2600</v>
      </c>
      <c r="AL8" s="401"/>
      <c r="AM8" s="401">
        <f>I8</f>
        <v>2600</v>
      </c>
      <c r="AN8" s="401"/>
      <c r="AO8" s="401"/>
      <c r="AP8" s="401"/>
      <c r="AQ8" s="401"/>
      <c r="AR8" s="401">
        <f>I8</f>
        <v>2600</v>
      </c>
      <c r="AS8" s="401"/>
      <c r="AT8" s="401"/>
      <c r="AU8" s="401"/>
      <c r="AV8" s="401">
        <f>I8/13</f>
        <v>200</v>
      </c>
      <c r="AW8" s="401"/>
      <c r="AX8" s="401"/>
      <c r="AY8" s="401"/>
      <c r="AZ8" s="401"/>
      <c r="BA8" s="401"/>
      <c r="BB8" s="401"/>
      <c r="BC8" s="401"/>
      <c r="BD8" s="401"/>
      <c r="BE8" s="401"/>
      <c r="BF8" s="401"/>
      <c r="BG8" s="401"/>
      <c r="BH8" s="401"/>
      <c r="BI8" s="401"/>
      <c r="BJ8" s="401"/>
      <c r="BK8" s="401"/>
      <c r="BL8" s="82">
        <f t="shared" ref="BL8:BT8" si="13">$I8*BL$2</f>
        <v>318.229166666666</v>
      </c>
      <c r="BM8" s="82">
        <f t="shared" si="13"/>
        <v>318.229166666666</v>
      </c>
      <c r="BN8" s="82">
        <f t="shared" si="13"/>
        <v>318.229166666666</v>
      </c>
      <c r="BO8" s="82">
        <f t="shared" si="13"/>
        <v>318.229166666666</v>
      </c>
      <c r="BP8" s="82">
        <f t="shared" si="13"/>
        <v>318.229166666666</v>
      </c>
      <c r="BQ8" s="82">
        <f t="shared" si="13"/>
        <v>318.229166666666</v>
      </c>
      <c r="BR8" s="82">
        <f t="shared" si="13"/>
        <v>318.229166666666</v>
      </c>
      <c r="BS8" s="82">
        <f t="shared" si="13"/>
        <v>318.229166666666</v>
      </c>
      <c r="BT8" s="82">
        <f t="shared" si="13"/>
        <v>54.1666666666666</v>
      </c>
      <c r="BV8" s="82">
        <f t="shared" ref="BV8:CD8" si="14">BV7-BL8</f>
        <v>45032.2500000001</v>
      </c>
      <c r="BW8" s="82">
        <f t="shared" si="14"/>
        <v>45032.2500000001</v>
      </c>
      <c r="BX8" s="82">
        <f t="shared" si="14"/>
        <v>45032.2500000001</v>
      </c>
      <c r="BY8" s="82">
        <f t="shared" si="14"/>
        <v>45032.2500000001</v>
      </c>
      <c r="BZ8" s="82">
        <f t="shared" si="14"/>
        <v>45032.2500000001</v>
      </c>
      <c r="CA8" s="82">
        <f t="shared" si="14"/>
        <v>45032.2500000001</v>
      </c>
      <c r="CB8" s="82">
        <f t="shared" si="14"/>
        <v>45032.2500000001</v>
      </c>
      <c r="CC8" s="82">
        <f t="shared" si="14"/>
        <v>45032.2500000001</v>
      </c>
      <c r="CD8" s="82">
        <f t="shared" si="14"/>
        <v>7617.00000000003</v>
      </c>
    </row>
    <row r="9" s="370" customFormat="1" ht="27" customHeight="1" spans="1:82">
      <c r="A9" s="389">
        <v>45995</v>
      </c>
      <c r="B9" s="390" t="s">
        <v>326</v>
      </c>
      <c r="C9" s="391" t="s">
        <v>117</v>
      </c>
      <c r="D9" s="392">
        <v>4500188055</v>
      </c>
      <c r="E9" s="534" t="s">
        <v>1561</v>
      </c>
      <c r="F9" s="390" t="s">
        <v>1562</v>
      </c>
      <c r="G9" s="393" t="s">
        <v>258</v>
      </c>
      <c r="H9" s="390" t="s">
        <v>259</v>
      </c>
      <c r="I9" s="394">
        <v>9216</v>
      </c>
      <c r="J9" s="394">
        <v>0</v>
      </c>
      <c r="K9" s="394">
        <v>1152</v>
      </c>
      <c r="L9" s="394">
        <f t="shared" si="1"/>
        <v>8</v>
      </c>
      <c r="M9" s="395">
        <v>46027</v>
      </c>
      <c r="N9" s="395">
        <v>46027</v>
      </c>
      <c r="O9" s="396" t="s">
        <v>1563</v>
      </c>
      <c r="P9" s="396" t="s">
        <v>107</v>
      </c>
      <c r="Q9" s="396" t="s">
        <v>1625</v>
      </c>
      <c r="R9" s="402" t="s">
        <v>331</v>
      </c>
      <c r="S9" s="396" t="s">
        <v>191</v>
      </c>
      <c r="T9" s="396" t="s">
        <v>1564</v>
      </c>
      <c r="U9" s="396"/>
      <c r="V9" s="396"/>
      <c r="W9" s="396"/>
      <c r="X9" s="358" t="s">
        <v>1320</v>
      </c>
      <c r="Y9" s="395" t="s">
        <v>265</v>
      </c>
      <c r="Z9" s="399">
        <v>62.7125</v>
      </c>
      <c r="AA9" s="394">
        <f>Z9*L9</f>
        <v>501.7</v>
      </c>
      <c r="AB9" s="395" t="s">
        <v>82</v>
      </c>
      <c r="AC9" s="358">
        <f>9180+36</f>
        <v>9216</v>
      </c>
      <c r="AD9" s="358">
        <f t="shared" si="2"/>
        <v>0</v>
      </c>
      <c r="AE9" s="396" t="s">
        <v>113</v>
      </c>
      <c r="AF9" s="396" t="s">
        <v>114</v>
      </c>
      <c r="AG9" s="393" t="s">
        <v>258</v>
      </c>
      <c r="AH9" s="395" t="s">
        <v>115</v>
      </c>
      <c r="AI9" s="401">
        <f t="shared" si="3"/>
        <v>9216</v>
      </c>
      <c r="AJ9" s="401"/>
      <c r="AK9" s="401">
        <f t="shared" si="4"/>
        <v>9216</v>
      </c>
      <c r="AL9" s="401"/>
      <c r="AM9" s="401">
        <f>I9</f>
        <v>9216</v>
      </c>
      <c r="AN9" s="401"/>
      <c r="AO9" s="401"/>
      <c r="AP9" s="401"/>
      <c r="AQ9" s="401">
        <f t="shared" ref="AQ9:AQ19" si="15">I9</f>
        <v>9216</v>
      </c>
      <c r="AR9" s="401"/>
      <c r="AS9" s="401"/>
      <c r="AT9" s="401"/>
      <c r="AU9" s="401"/>
      <c r="AV9" s="401"/>
      <c r="AW9" s="401"/>
      <c r="AX9" s="401">
        <f>I9/12</f>
        <v>768</v>
      </c>
      <c r="AY9" s="401"/>
      <c r="BA9" s="401"/>
      <c r="BB9" s="401"/>
      <c r="BC9" s="401"/>
      <c r="BD9" s="401"/>
      <c r="BE9" s="401"/>
      <c r="BF9" s="401"/>
      <c r="BG9" s="401"/>
      <c r="BH9" s="401"/>
      <c r="BI9" s="401"/>
      <c r="BJ9" s="401"/>
      <c r="BK9" s="401"/>
      <c r="BL9" s="82">
        <f t="shared" ref="BL9:BT9" si="16">$I9*BL$2</f>
        <v>1128</v>
      </c>
      <c r="BM9" s="82">
        <f t="shared" si="16"/>
        <v>1128</v>
      </c>
      <c r="BN9" s="82">
        <f t="shared" si="16"/>
        <v>1128</v>
      </c>
      <c r="BO9" s="82">
        <f t="shared" si="16"/>
        <v>1128</v>
      </c>
      <c r="BP9" s="82">
        <f t="shared" si="16"/>
        <v>1128</v>
      </c>
      <c r="BQ9" s="82">
        <f t="shared" si="16"/>
        <v>1128</v>
      </c>
      <c r="BR9" s="82">
        <f t="shared" si="16"/>
        <v>1128</v>
      </c>
      <c r="BS9" s="82">
        <f t="shared" si="16"/>
        <v>1128</v>
      </c>
      <c r="BT9" s="82">
        <f t="shared" si="16"/>
        <v>192</v>
      </c>
      <c r="BV9" s="82">
        <f t="shared" ref="BV9:CD9" si="17">BV8-BL9</f>
        <v>43904.2500000001</v>
      </c>
      <c r="BW9" s="82">
        <f t="shared" si="17"/>
        <v>43904.2500000001</v>
      </c>
      <c r="BX9" s="82">
        <f t="shared" si="17"/>
        <v>43904.2500000001</v>
      </c>
      <c r="BY9" s="82">
        <f t="shared" si="17"/>
        <v>43904.2500000001</v>
      </c>
      <c r="BZ9" s="82">
        <f t="shared" si="17"/>
        <v>43904.2500000001</v>
      </c>
      <c r="CA9" s="82">
        <f t="shared" si="17"/>
        <v>43904.2500000001</v>
      </c>
      <c r="CB9" s="82">
        <f t="shared" si="17"/>
        <v>43904.2500000001</v>
      </c>
      <c r="CC9" s="82">
        <f t="shared" si="17"/>
        <v>43904.2500000001</v>
      </c>
      <c r="CD9" s="82">
        <f t="shared" si="17"/>
        <v>7425.00000000003</v>
      </c>
    </row>
    <row r="10" s="370" customFormat="1" ht="27" customHeight="1" spans="1:82">
      <c r="A10" s="389">
        <v>45968</v>
      </c>
      <c r="B10" s="390" t="s">
        <v>1565</v>
      </c>
      <c r="C10" s="391" t="s">
        <v>1566</v>
      </c>
      <c r="D10" s="392">
        <v>4500183616</v>
      </c>
      <c r="E10" s="391" t="s">
        <v>1567</v>
      </c>
      <c r="F10" s="390" t="s">
        <v>1568</v>
      </c>
      <c r="G10" s="393" t="s">
        <v>78</v>
      </c>
      <c r="H10" s="390" t="s">
        <v>79</v>
      </c>
      <c r="I10" s="394">
        <v>1782</v>
      </c>
      <c r="J10" s="394">
        <v>0</v>
      </c>
      <c r="K10" s="394">
        <v>54</v>
      </c>
      <c r="L10" s="394">
        <f t="shared" si="1"/>
        <v>33</v>
      </c>
      <c r="M10" s="395">
        <v>46031</v>
      </c>
      <c r="N10" s="395">
        <v>46027</v>
      </c>
      <c r="O10" s="396"/>
      <c r="P10" s="396" t="s">
        <v>224</v>
      </c>
      <c r="Q10" s="396" t="s">
        <v>1569</v>
      </c>
      <c r="R10" s="402">
        <v>45982</v>
      </c>
      <c r="S10" s="402" t="s">
        <v>80</v>
      </c>
      <c r="T10" s="396" t="s">
        <v>1570</v>
      </c>
      <c r="U10" s="396"/>
      <c r="V10" s="396"/>
      <c r="W10" s="396"/>
      <c r="X10" s="358" t="s">
        <v>1571</v>
      </c>
      <c r="Y10" s="395" t="s">
        <v>228</v>
      </c>
      <c r="Z10" s="399">
        <v>0.7913</v>
      </c>
      <c r="AA10" s="394">
        <f>Z10*I10</f>
        <v>1410.0966</v>
      </c>
      <c r="AB10" s="395" t="s">
        <v>82</v>
      </c>
      <c r="AC10" s="358">
        <v>1782</v>
      </c>
      <c r="AD10" s="358">
        <f t="shared" si="2"/>
        <v>0</v>
      </c>
      <c r="AE10" s="396" t="s">
        <v>113</v>
      </c>
      <c r="AF10" s="396" t="s">
        <v>114</v>
      </c>
      <c r="AG10" s="395" t="s">
        <v>230</v>
      </c>
      <c r="AH10" s="395" t="s">
        <v>115</v>
      </c>
      <c r="AI10" s="401">
        <f t="shared" si="3"/>
        <v>1782</v>
      </c>
      <c r="AJ10" s="401"/>
      <c r="AK10" s="401">
        <f t="shared" si="4"/>
        <v>1782</v>
      </c>
      <c r="AL10" s="401"/>
      <c r="AM10" s="401"/>
      <c r="AN10" s="401">
        <f>I10</f>
        <v>1782</v>
      </c>
      <c r="AO10" s="401"/>
      <c r="AP10" s="401"/>
      <c r="AQ10" s="401">
        <f t="shared" si="15"/>
        <v>1782</v>
      </c>
      <c r="AR10" s="401"/>
      <c r="AS10" s="401"/>
      <c r="AT10" s="401"/>
      <c r="AU10" s="401">
        <f>I10/27</f>
        <v>66</v>
      </c>
      <c r="AV10" s="401"/>
      <c r="AW10" s="401"/>
      <c r="AX10" s="401"/>
      <c r="AY10" s="401"/>
      <c r="AZ10" s="401"/>
      <c r="BA10" s="401"/>
      <c r="BB10" s="401"/>
      <c r="BC10" s="401"/>
      <c r="BD10" s="401"/>
      <c r="BE10" s="401"/>
      <c r="BF10" s="401"/>
      <c r="BG10" s="401"/>
      <c r="BH10" s="401"/>
      <c r="BI10" s="401"/>
      <c r="BJ10" s="401"/>
      <c r="BK10" s="401"/>
      <c r="BL10" s="82">
        <f t="shared" ref="BL10:BT10" si="18">$I10*BL$2</f>
        <v>218.109374999999</v>
      </c>
      <c r="BM10" s="82">
        <f t="shared" si="18"/>
        <v>218.109374999999</v>
      </c>
      <c r="BN10" s="82">
        <f t="shared" si="18"/>
        <v>218.109374999999</v>
      </c>
      <c r="BO10" s="82">
        <f t="shared" si="18"/>
        <v>218.109374999999</v>
      </c>
      <c r="BP10" s="82">
        <f t="shared" si="18"/>
        <v>218.109374999999</v>
      </c>
      <c r="BQ10" s="82">
        <f t="shared" si="18"/>
        <v>218.109374999999</v>
      </c>
      <c r="BR10" s="82">
        <f t="shared" si="18"/>
        <v>218.109374999999</v>
      </c>
      <c r="BS10" s="82">
        <f t="shared" si="18"/>
        <v>218.109374999999</v>
      </c>
      <c r="BT10" s="82">
        <f t="shared" si="18"/>
        <v>37.1249999999999</v>
      </c>
      <c r="BV10" s="82">
        <f t="shared" ref="BV10:BV41" si="19">BV9-BL10</f>
        <v>43686.1406250001</v>
      </c>
      <c r="BW10" s="82">
        <f t="shared" ref="BW10:BW41" si="20">BW9-BM10</f>
        <v>43686.1406250001</v>
      </c>
      <c r="BX10" s="82">
        <f t="shared" ref="BX10:BX41" si="21">BX9-BN10</f>
        <v>43686.1406250001</v>
      </c>
      <c r="BY10" s="82">
        <f t="shared" ref="BY10:BY41" si="22">BY9-BO10</f>
        <v>43686.1406250001</v>
      </c>
      <c r="BZ10" s="82">
        <f t="shared" ref="BZ10:BZ41" si="23">BZ9-BP10</f>
        <v>43686.1406250001</v>
      </c>
      <c r="CA10" s="82">
        <f t="shared" ref="CA10:CA41" si="24">CA9-BQ10</f>
        <v>43686.1406250001</v>
      </c>
      <c r="CB10" s="82">
        <f t="shared" ref="CB10:CB41" si="25">CB9-BR10</f>
        <v>43686.1406250001</v>
      </c>
      <c r="CC10" s="82">
        <f t="shared" ref="CC10:CC41" si="26">CC9-BS10</f>
        <v>43686.1406250001</v>
      </c>
      <c r="CD10" s="82">
        <f t="shared" ref="CD10:CD41" si="27">CD9-BT10</f>
        <v>7387.87500000003</v>
      </c>
    </row>
    <row r="11" s="370" customFormat="1" ht="27" customHeight="1" spans="1:82">
      <c r="A11" s="389">
        <v>45978</v>
      </c>
      <c r="B11" s="390" t="s">
        <v>1572</v>
      </c>
      <c r="C11" s="391" t="s">
        <v>1573</v>
      </c>
      <c r="D11" s="392">
        <v>4500185782</v>
      </c>
      <c r="E11" s="391"/>
      <c r="F11" s="390" t="s">
        <v>1574</v>
      </c>
      <c r="G11" s="393" t="s">
        <v>1575</v>
      </c>
      <c r="H11" s="390" t="s">
        <v>1576</v>
      </c>
      <c r="I11" s="394">
        <v>5000</v>
      </c>
      <c r="J11" s="394">
        <v>0</v>
      </c>
      <c r="K11" s="394">
        <v>8</v>
      </c>
      <c r="L11" s="394">
        <f t="shared" si="1"/>
        <v>625</v>
      </c>
      <c r="M11" s="395">
        <v>46027</v>
      </c>
      <c r="N11" s="395">
        <v>46030</v>
      </c>
      <c r="O11" s="396"/>
      <c r="P11" s="396" t="s">
        <v>107</v>
      </c>
      <c r="Q11" s="396" t="s">
        <v>1626</v>
      </c>
      <c r="R11" s="402">
        <v>45999</v>
      </c>
      <c r="S11" s="396" t="s">
        <v>80</v>
      </c>
      <c r="T11" s="396" t="s">
        <v>1577</v>
      </c>
      <c r="U11" s="396"/>
      <c r="V11" s="396"/>
      <c r="W11" s="396"/>
      <c r="X11" s="358" t="s">
        <v>1578</v>
      </c>
      <c r="Y11" s="395" t="s">
        <v>881</v>
      </c>
      <c r="Z11" s="399">
        <v>0.8485</v>
      </c>
      <c r="AA11" s="394">
        <f>Z11*I11</f>
        <v>4242.5</v>
      </c>
      <c r="AB11" s="395" t="s">
        <v>82</v>
      </c>
      <c r="AC11" s="358">
        <f>4976+24</f>
        <v>5000</v>
      </c>
      <c r="AD11" s="358">
        <f t="shared" si="2"/>
        <v>0</v>
      </c>
      <c r="AE11" s="396" t="s">
        <v>113</v>
      </c>
      <c r="AF11" s="396" t="s">
        <v>114</v>
      </c>
      <c r="AG11" s="393" t="s">
        <v>1575</v>
      </c>
      <c r="AH11" s="395" t="s">
        <v>115</v>
      </c>
      <c r="AI11" s="401">
        <f t="shared" si="3"/>
        <v>5000</v>
      </c>
      <c r="AJ11" s="401"/>
      <c r="AK11" s="401">
        <f t="shared" si="4"/>
        <v>5000</v>
      </c>
      <c r="AL11" s="401"/>
      <c r="AM11" s="401"/>
      <c r="AN11" s="401">
        <f>I11</f>
        <v>5000</v>
      </c>
      <c r="AO11" s="401"/>
      <c r="AP11" s="401"/>
      <c r="AQ11" s="401">
        <f t="shared" si="15"/>
        <v>5000</v>
      </c>
      <c r="AR11" s="401"/>
      <c r="AS11" s="401"/>
      <c r="AT11" s="401"/>
      <c r="AU11" s="401"/>
      <c r="AV11" s="401"/>
      <c r="AW11" s="401"/>
      <c r="AX11" s="401"/>
      <c r="AY11" s="401"/>
      <c r="BA11" s="401">
        <f>I11/8</f>
        <v>625</v>
      </c>
      <c r="BB11" s="401"/>
      <c r="BC11" s="401"/>
      <c r="BD11" s="401"/>
      <c r="BE11" s="401"/>
      <c r="BF11" s="401"/>
      <c r="BG11" s="401"/>
      <c r="BH11" s="401"/>
      <c r="BI11" s="401"/>
      <c r="BJ11" s="401"/>
      <c r="BK11" s="401"/>
      <c r="BL11" s="82">
        <f t="shared" ref="BL11:BT11" si="28">$I11*BL$2</f>
        <v>611.979166666665</v>
      </c>
      <c r="BM11" s="82">
        <f t="shared" si="28"/>
        <v>611.979166666665</v>
      </c>
      <c r="BN11" s="82">
        <f t="shared" si="28"/>
        <v>611.979166666665</v>
      </c>
      <c r="BO11" s="82">
        <f t="shared" si="28"/>
        <v>611.979166666665</v>
      </c>
      <c r="BP11" s="82">
        <f t="shared" si="28"/>
        <v>611.979166666665</v>
      </c>
      <c r="BQ11" s="82">
        <f t="shared" si="28"/>
        <v>611.979166666665</v>
      </c>
      <c r="BR11" s="82">
        <f t="shared" si="28"/>
        <v>611.979166666665</v>
      </c>
      <c r="BS11" s="82">
        <f t="shared" si="28"/>
        <v>611.979166666665</v>
      </c>
      <c r="BT11" s="82">
        <f t="shared" si="28"/>
        <v>104.166666666667</v>
      </c>
      <c r="BV11" s="82">
        <f t="shared" si="19"/>
        <v>43074.1614583334</v>
      </c>
      <c r="BW11" s="82">
        <f t="shared" si="20"/>
        <v>43074.1614583334</v>
      </c>
      <c r="BX11" s="82">
        <f t="shared" si="21"/>
        <v>43074.1614583334</v>
      </c>
      <c r="BY11" s="82">
        <f t="shared" si="22"/>
        <v>43074.1614583334</v>
      </c>
      <c r="BZ11" s="82">
        <f t="shared" si="23"/>
        <v>43074.1614583334</v>
      </c>
      <c r="CA11" s="82">
        <f t="shared" si="24"/>
        <v>43074.1614583334</v>
      </c>
      <c r="CB11" s="82">
        <f t="shared" si="25"/>
        <v>43074.1614583334</v>
      </c>
      <c r="CC11" s="82">
        <f t="shared" si="26"/>
        <v>43074.1614583334</v>
      </c>
      <c r="CD11" s="82">
        <f t="shared" si="27"/>
        <v>7283.70833333336</v>
      </c>
    </row>
    <row r="12" s="370" customFormat="1" ht="27" customHeight="1" spans="1:82">
      <c r="A12" s="389">
        <v>45992</v>
      </c>
      <c r="B12" s="390" t="s">
        <v>701</v>
      </c>
      <c r="C12" s="391" t="s">
        <v>396</v>
      </c>
      <c r="D12" s="392">
        <v>4500187528</v>
      </c>
      <c r="E12" s="391">
        <v>2950867457</v>
      </c>
      <c r="F12" s="390" t="s">
        <v>1579</v>
      </c>
      <c r="G12" s="393" t="s">
        <v>703</v>
      </c>
      <c r="H12" s="390" t="s">
        <v>704</v>
      </c>
      <c r="I12" s="394">
        <v>2080</v>
      </c>
      <c r="J12" s="394">
        <v>0</v>
      </c>
      <c r="K12" s="394">
        <v>1040</v>
      </c>
      <c r="L12" s="394">
        <f t="shared" si="1"/>
        <v>2</v>
      </c>
      <c r="M12" s="395">
        <v>46034</v>
      </c>
      <c r="N12" s="395">
        <v>46030</v>
      </c>
      <c r="O12" s="396"/>
      <c r="P12" s="396" t="s">
        <v>224</v>
      </c>
      <c r="Q12" s="396" t="s">
        <v>1627</v>
      </c>
      <c r="R12" s="403">
        <v>45992</v>
      </c>
      <c r="S12" s="396" t="s">
        <v>80</v>
      </c>
      <c r="T12" s="404" t="s">
        <v>706</v>
      </c>
      <c r="U12" s="396"/>
      <c r="V12" s="396"/>
      <c r="W12" s="396"/>
      <c r="X12" s="358" t="s">
        <v>1580</v>
      </c>
      <c r="Y12" s="395" t="s">
        <v>1207</v>
      </c>
      <c r="Z12" s="399">
        <v>82.6221</v>
      </c>
      <c r="AA12" s="394">
        <f>Z12*L12</f>
        <v>165.2442</v>
      </c>
      <c r="AB12" s="395" t="s">
        <v>82</v>
      </c>
      <c r="AC12" s="358">
        <v>2080</v>
      </c>
      <c r="AD12" s="358">
        <f t="shared" si="2"/>
        <v>0</v>
      </c>
      <c r="AE12" s="396" t="s">
        <v>80</v>
      </c>
      <c r="AF12" s="396" t="s">
        <v>114</v>
      </c>
      <c r="AG12" s="395" t="s">
        <v>703</v>
      </c>
      <c r="AH12" s="395" t="s">
        <v>115</v>
      </c>
      <c r="AI12" s="401">
        <f t="shared" si="3"/>
        <v>2080</v>
      </c>
      <c r="AJ12" s="401"/>
      <c r="AK12" s="401">
        <f t="shared" si="4"/>
        <v>2080</v>
      </c>
      <c r="AL12" s="401"/>
      <c r="AM12" s="401">
        <f>I12</f>
        <v>2080</v>
      </c>
      <c r="AN12" s="401"/>
      <c r="AO12" s="401"/>
      <c r="AP12" s="401"/>
      <c r="AQ12" s="401">
        <f t="shared" si="15"/>
        <v>2080</v>
      </c>
      <c r="AR12" s="401"/>
      <c r="AS12" s="401"/>
      <c r="AT12" s="401"/>
      <c r="AU12" s="401"/>
      <c r="AV12" s="401">
        <f>I12/13</f>
        <v>160</v>
      </c>
      <c r="AW12" s="401"/>
      <c r="AX12" s="401"/>
      <c r="AY12" s="401"/>
      <c r="AZ12" s="401"/>
      <c r="BA12" s="401"/>
      <c r="BB12" s="401"/>
      <c r="BC12" s="401"/>
      <c r="BD12" s="401"/>
      <c r="BE12" s="401"/>
      <c r="BF12" s="401"/>
      <c r="BG12" s="401"/>
      <c r="BH12" s="401"/>
      <c r="BI12" s="401"/>
      <c r="BJ12" s="401"/>
      <c r="BK12" s="401"/>
      <c r="BL12" s="82">
        <f t="shared" ref="BL12:BT12" si="29">$I12*BL$2</f>
        <v>254.583333333333</v>
      </c>
      <c r="BM12" s="82">
        <f t="shared" si="29"/>
        <v>254.583333333333</v>
      </c>
      <c r="BN12" s="82">
        <f t="shared" si="29"/>
        <v>254.583333333333</v>
      </c>
      <c r="BO12" s="82">
        <f t="shared" si="29"/>
        <v>254.583333333333</v>
      </c>
      <c r="BP12" s="82">
        <f t="shared" si="29"/>
        <v>254.583333333333</v>
      </c>
      <c r="BQ12" s="82">
        <f t="shared" si="29"/>
        <v>254.583333333333</v>
      </c>
      <c r="BR12" s="82">
        <f t="shared" si="29"/>
        <v>254.583333333333</v>
      </c>
      <c r="BS12" s="82">
        <f t="shared" si="29"/>
        <v>254.583333333333</v>
      </c>
      <c r="BT12" s="82">
        <f t="shared" si="29"/>
        <v>43.3333333333333</v>
      </c>
      <c r="BV12" s="82">
        <f t="shared" si="19"/>
        <v>42819.5781250001</v>
      </c>
      <c r="BW12" s="82">
        <f t="shared" si="20"/>
        <v>42819.5781250001</v>
      </c>
      <c r="BX12" s="82">
        <f t="shared" si="21"/>
        <v>42819.5781250001</v>
      </c>
      <c r="BY12" s="82">
        <f t="shared" si="22"/>
        <v>42819.5781250001</v>
      </c>
      <c r="BZ12" s="82">
        <f t="shared" si="23"/>
        <v>42819.5781250001</v>
      </c>
      <c r="CA12" s="82">
        <f t="shared" si="24"/>
        <v>42819.5781250001</v>
      </c>
      <c r="CB12" s="82">
        <f t="shared" si="25"/>
        <v>42819.5781250001</v>
      </c>
      <c r="CC12" s="82">
        <f t="shared" si="26"/>
        <v>42819.5781250001</v>
      </c>
      <c r="CD12" s="82">
        <f t="shared" si="27"/>
        <v>7240.37500000003</v>
      </c>
    </row>
    <row r="13" s="370" customFormat="1" ht="27" customHeight="1" spans="1:82">
      <c r="A13" s="389">
        <v>46003</v>
      </c>
      <c r="B13" s="390" t="s">
        <v>1584</v>
      </c>
      <c r="C13" s="391" t="s">
        <v>396</v>
      </c>
      <c r="D13" s="392">
        <v>4500188811</v>
      </c>
      <c r="E13" s="391">
        <v>11519265</v>
      </c>
      <c r="F13" s="390" t="s">
        <v>1585</v>
      </c>
      <c r="G13" s="393" t="s">
        <v>78</v>
      </c>
      <c r="H13" s="390" t="s">
        <v>79</v>
      </c>
      <c r="I13" s="394">
        <v>25272</v>
      </c>
      <c r="J13" s="394">
        <v>202901</v>
      </c>
      <c r="K13" s="394">
        <v>54</v>
      </c>
      <c r="L13" s="394">
        <f t="shared" si="1"/>
        <v>468</v>
      </c>
      <c r="M13" s="395">
        <v>46038</v>
      </c>
      <c r="N13" s="395">
        <v>46034</v>
      </c>
      <c r="O13" s="396"/>
      <c r="P13" s="396" t="s">
        <v>107</v>
      </c>
      <c r="Q13" s="396" t="s">
        <v>1628</v>
      </c>
      <c r="R13" s="403">
        <v>46003</v>
      </c>
      <c r="S13" s="405" t="s">
        <v>80</v>
      </c>
      <c r="T13" s="396" t="s">
        <v>80</v>
      </c>
      <c r="U13" s="396"/>
      <c r="V13" s="396"/>
      <c r="W13" s="396"/>
      <c r="X13" s="358" t="s">
        <v>1586</v>
      </c>
      <c r="Y13" s="395" t="s">
        <v>413</v>
      </c>
      <c r="Z13" s="399">
        <v>0.7751</v>
      </c>
      <c r="AA13" s="394">
        <f t="shared" ref="AA13:AA55" si="30">Z13*I13</f>
        <v>19588.3272</v>
      </c>
      <c r="AB13" s="395" t="s">
        <v>82</v>
      </c>
      <c r="AC13" s="358">
        <v>25272</v>
      </c>
      <c r="AD13" s="358">
        <f t="shared" si="2"/>
        <v>0</v>
      </c>
      <c r="AE13" s="396" t="s">
        <v>80</v>
      </c>
      <c r="AF13" s="396" t="s">
        <v>114</v>
      </c>
      <c r="AG13" s="395" t="s">
        <v>78</v>
      </c>
      <c r="AH13" s="395" t="s">
        <v>115</v>
      </c>
      <c r="AI13" s="401">
        <f t="shared" si="3"/>
        <v>25272</v>
      </c>
      <c r="AJ13" s="401"/>
      <c r="AK13" s="401">
        <f t="shared" si="4"/>
        <v>25272</v>
      </c>
      <c r="AL13" s="401"/>
      <c r="AM13" s="401">
        <f>I13</f>
        <v>25272</v>
      </c>
      <c r="AN13" s="401"/>
      <c r="AO13" s="401"/>
      <c r="AP13" s="401"/>
      <c r="AQ13" s="401">
        <f t="shared" si="15"/>
        <v>25272</v>
      </c>
      <c r="AR13" s="401"/>
      <c r="AS13" s="401">
        <f>I13/27</f>
        <v>936</v>
      </c>
      <c r="AT13" s="401"/>
      <c r="AU13" s="401"/>
      <c r="AV13" s="401"/>
      <c r="AW13" s="401"/>
      <c r="AX13" s="401"/>
      <c r="AY13" s="401"/>
      <c r="AZ13" s="401"/>
      <c r="BA13" s="401"/>
      <c r="BB13" s="401"/>
      <c r="BC13" s="401"/>
      <c r="BD13" s="401"/>
      <c r="BE13" s="401"/>
      <c r="BF13" s="401"/>
      <c r="BG13" s="401"/>
      <c r="BH13" s="401"/>
      <c r="BI13" s="401"/>
      <c r="BJ13" s="401"/>
      <c r="BK13" s="401"/>
      <c r="BL13" s="82">
        <f t="shared" ref="BL13:BT13" si="31">$I13*BL$2</f>
        <v>3093.18749999999</v>
      </c>
      <c r="BM13" s="82">
        <f t="shared" si="31"/>
        <v>3093.18749999999</v>
      </c>
      <c r="BN13" s="82">
        <f t="shared" si="31"/>
        <v>3093.18749999999</v>
      </c>
      <c r="BO13" s="82">
        <f t="shared" si="31"/>
        <v>3093.18749999999</v>
      </c>
      <c r="BP13" s="82">
        <f t="shared" si="31"/>
        <v>3093.18749999999</v>
      </c>
      <c r="BQ13" s="82">
        <f t="shared" si="31"/>
        <v>3093.18749999999</v>
      </c>
      <c r="BR13" s="82">
        <f t="shared" si="31"/>
        <v>3093.18749999999</v>
      </c>
      <c r="BS13" s="82">
        <f t="shared" si="31"/>
        <v>3093.18749999999</v>
      </c>
      <c r="BT13" s="82">
        <f t="shared" si="31"/>
        <v>526.499999999999</v>
      </c>
      <c r="BV13" s="82">
        <f t="shared" si="19"/>
        <v>39726.3906250001</v>
      </c>
      <c r="BW13" s="82">
        <f t="shared" si="20"/>
        <v>39726.3906250001</v>
      </c>
      <c r="BX13" s="82">
        <f t="shared" si="21"/>
        <v>39726.3906250001</v>
      </c>
      <c r="BY13" s="82">
        <f t="shared" si="22"/>
        <v>39726.3906250001</v>
      </c>
      <c r="BZ13" s="82">
        <f t="shared" si="23"/>
        <v>39726.3906250001</v>
      </c>
      <c r="CA13" s="82">
        <f t="shared" si="24"/>
        <v>39726.3906250001</v>
      </c>
      <c r="CB13" s="82">
        <f t="shared" si="25"/>
        <v>39726.3906250001</v>
      </c>
      <c r="CC13" s="82">
        <f t="shared" si="26"/>
        <v>39726.3906250001</v>
      </c>
      <c r="CD13" s="82">
        <f t="shared" si="27"/>
        <v>6713.87500000003</v>
      </c>
    </row>
    <row r="14" s="370" customFormat="1" ht="27" customHeight="1" spans="1:82">
      <c r="A14" s="389">
        <v>45996</v>
      </c>
      <c r="B14" s="390" t="s">
        <v>1587</v>
      </c>
      <c r="C14" s="391" t="s">
        <v>117</v>
      </c>
      <c r="D14" s="392">
        <v>4500188208</v>
      </c>
      <c r="E14" s="391">
        <v>4353960671</v>
      </c>
      <c r="F14" s="390" t="s">
        <v>1588</v>
      </c>
      <c r="G14" s="393" t="s">
        <v>152</v>
      </c>
      <c r="H14" s="390" t="s">
        <v>153</v>
      </c>
      <c r="I14" s="394">
        <v>1807</v>
      </c>
      <c r="J14" s="394">
        <v>0</v>
      </c>
      <c r="K14" s="394">
        <v>13</v>
      </c>
      <c r="L14" s="394">
        <f t="shared" si="1"/>
        <v>139</v>
      </c>
      <c r="M14" s="395">
        <v>46044</v>
      </c>
      <c r="N14" s="395">
        <v>46041</v>
      </c>
      <c r="O14" s="396"/>
      <c r="P14" s="396" t="s">
        <v>107</v>
      </c>
      <c r="Q14" s="396"/>
      <c r="R14" s="398">
        <v>46009</v>
      </c>
      <c r="S14" s="405" t="s">
        <v>80</v>
      </c>
      <c r="T14" s="404" t="s">
        <v>1589</v>
      </c>
      <c r="U14" s="396"/>
      <c r="V14" s="396"/>
      <c r="W14" s="396"/>
      <c r="X14" s="358" t="s">
        <v>1590</v>
      </c>
      <c r="Y14" s="395" t="s">
        <v>1591</v>
      </c>
      <c r="Z14" s="399">
        <v>0.4655</v>
      </c>
      <c r="AA14" s="394">
        <f t="shared" si="30"/>
        <v>841.1585</v>
      </c>
      <c r="AB14" s="395" t="s">
        <v>82</v>
      </c>
      <c r="AC14" s="358">
        <v>1807</v>
      </c>
      <c r="AD14" s="358">
        <f t="shared" si="2"/>
        <v>0</v>
      </c>
      <c r="AE14" s="396" t="s">
        <v>113</v>
      </c>
      <c r="AF14" s="396" t="s">
        <v>114</v>
      </c>
      <c r="AG14" s="395" t="s">
        <v>152</v>
      </c>
      <c r="AH14" s="395" t="s">
        <v>115</v>
      </c>
      <c r="AI14" s="401">
        <f t="shared" si="3"/>
        <v>1807</v>
      </c>
      <c r="AJ14" s="401"/>
      <c r="AK14" s="401">
        <f t="shared" si="4"/>
        <v>1807</v>
      </c>
      <c r="AL14" s="401"/>
      <c r="AM14" s="401">
        <f>I14</f>
        <v>1807</v>
      </c>
      <c r="AN14" s="401"/>
      <c r="AO14" s="401"/>
      <c r="AP14" s="401"/>
      <c r="AQ14" s="401">
        <f t="shared" si="15"/>
        <v>1807</v>
      </c>
      <c r="AR14" s="401"/>
      <c r="AS14" s="401"/>
      <c r="AT14" s="401"/>
      <c r="AU14" s="401"/>
      <c r="AV14" s="401">
        <f>I14/13</f>
        <v>139</v>
      </c>
      <c r="AW14" s="401"/>
      <c r="AX14" s="401"/>
      <c r="AY14" s="401"/>
      <c r="AZ14" s="401"/>
      <c r="BA14" s="401"/>
      <c r="BB14" s="401"/>
      <c r="BC14" s="401"/>
      <c r="BD14" s="401"/>
      <c r="BE14" s="401"/>
      <c r="BF14" s="401"/>
      <c r="BG14" s="401"/>
      <c r="BH14" s="401"/>
      <c r="BI14" s="401"/>
      <c r="BJ14" s="401"/>
      <c r="BK14" s="401"/>
      <c r="BL14" s="82">
        <f t="shared" ref="BL14:BT14" si="32">$I14*BL$2</f>
        <v>221.169270833333</v>
      </c>
      <c r="BM14" s="82">
        <f t="shared" si="32"/>
        <v>221.169270833333</v>
      </c>
      <c r="BN14" s="82">
        <f t="shared" si="32"/>
        <v>221.169270833333</v>
      </c>
      <c r="BO14" s="82">
        <f t="shared" si="32"/>
        <v>221.169270833333</v>
      </c>
      <c r="BP14" s="82">
        <f t="shared" si="32"/>
        <v>221.169270833333</v>
      </c>
      <c r="BQ14" s="82">
        <f t="shared" si="32"/>
        <v>221.169270833333</v>
      </c>
      <c r="BR14" s="82">
        <f t="shared" si="32"/>
        <v>221.169270833333</v>
      </c>
      <c r="BS14" s="82">
        <f t="shared" si="32"/>
        <v>221.169270833333</v>
      </c>
      <c r="BT14" s="82">
        <f t="shared" si="32"/>
        <v>37.6458333333333</v>
      </c>
      <c r="BV14" s="82">
        <f t="shared" si="19"/>
        <v>39505.2213541668</v>
      </c>
      <c r="BW14" s="82">
        <f t="shared" si="20"/>
        <v>39505.2213541668</v>
      </c>
      <c r="BX14" s="82">
        <f t="shared" si="21"/>
        <v>39505.2213541668</v>
      </c>
      <c r="BY14" s="82">
        <f t="shared" si="22"/>
        <v>39505.2213541668</v>
      </c>
      <c r="BZ14" s="82">
        <f t="shared" si="23"/>
        <v>39505.2213541668</v>
      </c>
      <c r="CA14" s="82">
        <f t="shared" si="24"/>
        <v>39505.2213541668</v>
      </c>
      <c r="CB14" s="82">
        <f t="shared" si="25"/>
        <v>39505.2213541668</v>
      </c>
      <c r="CC14" s="82">
        <f t="shared" si="26"/>
        <v>39505.2213541668</v>
      </c>
      <c r="CD14" s="82">
        <f t="shared" si="27"/>
        <v>6676.2291666667</v>
      </c>
    </row>
    <row r="15" s="370" customFormat="1" ht="27" customHeight="1" spans="1:82">
      <c r="A15" s="389">
        <v>45995</v>
      </c>
      <c r="B15" s="390" t="s">
        <v>1587</v>
      </c>
      <c r="C15" s="391" t="s">
        <v>117</v>
      </c>
      <c r="D15" s="392">
        <v>4500187984</v>
      </c>
      <c r="E15" s="391">
        <v>4353960389</v>
      </c>
      <c r="F15" s="390" t="s">
        <v>1592</v>
      </c>
      <c r="G15" s="393" t="s">
        <v>152</v>
      </c>
      <c r="H15" s="390" t="s">
        <v>153</v>
      </c>
      <c r="I15" s="394">
        <v>2223</v>
      </c>
      <c r="J15" s="394">
        <v>0</v>
      </c>
      <c r="K15" s="394">
        <v>13</v>
      </c>
      <c r="L15" s="394">
        <f t="shared" si="1"/>
        <v>171</v>
      </c>
      <c r="M15" s="395">
        <v>46044</v>
      </c>
      <c r="N15" s="395">
        <v>46041</v>
      </c>
      <c r="O15" s="396"/>
      <c r="P15" s="396" t="s">
        <v>107</v>
      </c>
      <c r="Q15" s="396" t="s">
        <v>1629</v>
      </c>
      <c r="R15" s="398">
        <v>46009</v>
      </c>
      <c r="S15" s="405" t="s">
        <v>80</v>
      </c>
      <c r="T15" s="404" t="s">
        <v>1589</v>
      </c>
      <c r="U15" s="396"/>
      <c r="V15" s="396"/>
      <c r="W15" s="396"/>
      <c r="X15" s="358" t="s">
        <v>1590</v>
      </c>
      <c r="Y15" s="395" t="s">
        <v>1591</v>
      </c>
      <c r="Z15" s="399">
        <v>0.4759</v>
      </c>
      <c r="AA15" s="394">
        <f t="shared" si="30"/>
        <v>1057.9257</v>
      </c>
      <c r="AB15" s="395" t="s">
        <v>82</v>
      </c>
      <c r="AC15" s="358">
        <f>2171+52</f>
        <v>2223</v>
      </c>
      <c r="AD15" s="358">
        <f t="shared" si="2"/>
        <v>0</v>
      </c>
      <c r="AE15" s="396" t="s">
        <v>113</v>
      </c>
      <c r="AF15" s="396" t="s">
        <v>114</v>
      </c>
      <c r="AG15" s="395" t="s">
        <v>152</v>
      </c>
      <c r="AH15" s="395" t="s">
        <v>115</v>
      </c>
      <c r="AI15" s="401">
        <f t="shared" si="3"/>
        <v>2223</v>
      </c>
      <c r="AJ15" s="401"/>
      <c r="AK15" s="401">
        <f t="shared" si="4"/>
        <v>2223</v>
      </c>
      <c r="AL15" s="401"/>
      <c r="AM15" s="401">
        <f>I15</f>
        <v>2223</v>
      </c>
      <c r="AN15" s="401"/>
      <c r="AO15" s="401"/>
      <c r="AP15" s="401"/>
      <c r="AQ15" s="401">
        <f t="shared" si="15"/>
        <v>2223</v>
      </c>
      <c r="AR15" s="401"/>
      <c r="AS15" s="401"/>
      <c r="AT15" s="401"/>
      <c r="AU15" s="401"/>
      <c r="AV15" s="401">
        <f>I15/13</f>
        <v>171</v>
      </c>
      <c r="AW15" s="401"/>
      <c r="AX15" s="401"/>
      <c r="AY15" s="401"/>
      <c r="AZ15" s="401"/>
      <c r="BA15" s="401"/>
      <c r="BB15" s="401"/>
      <c r="BC15" s="401"/>
      <c r="BD15" s="401"/>
      <c r="BE15" s="401"/>
      <c r="BF15" s="401"/>
      <c r="BG15" s="401"/>
      <c r="BH15" s="401"/>
      <c r="BI15" s="401"/>
      <c r="BJ15" s="401"/>
      <c r="BK15" s="401"/>
      <c r="BL15" s="82">
        <f t="shared" ref="BL15:BT15" si="33">$I15*BL$2</f>
        <v>272.085937499999</v>
      </c>
      <c r="BM15" s="82">
        <f t="shared" si="33"/>
        <v>272.085937499999</v>
      </c>
      <c r="BN15" s="82">
        <f t="shared" si="33"/>
        <v>272.085937499999</v>
      </c>
      <c r="BO15" s="82">
        <f t="shared" si="33"/>
        <v>272.085937499999</v>
      </c>
      <c r="BP15" s="82">
        <f t="shared" si="33"/>
        <v>272.085937499999</v>
      </c>
      <c r="BQ15" s="82">
        <f t="shared" si="33"/>
        <v>272.085937499999</v>
      </c>
      <c r="BR15" s="82">
        <f t="shared" si="33"/>
        <v>272.085937499999</v>
      </c>
      <c r="BS15" s="82">
        <f t="shared" si="33"/>
        <v>272.085937499999</v>
      </c>
      <c r="BT15" s="82">
        <f t="shared" si="33"/>
        <v>46.3124999999999</v>
      </c>
      <c r="BV15" s="82">
        <f t="shared" si="19"/>
        <v>39233.1354166668</v>
      </c>
      <c r="BW15" s="82">
        <f t="shared" si="20"/>
        <v>39233.1354166668</v>
      </c>
      <c r="BX15" s="82">
        <f t="shared" si="21"/>
        <v>39233.1354166668</v>
      </c>
      <c r="BY15" s="82">
        <f t="shared" si="22"/>
        <v>39233.1354166668</v>
      </c>
      <c r="BZ15" s="82">
        <f t="shared" si="23"/>
        <v>39233.1354166668</v>
      </c>
      <c r="CA15" s="82">
        <f t="shared" si="24"/>
        <v>39233.1354166668</v>
      </c>
      <c r="CB15" s="82">
        <f t="shared" si="25"/>
        <v>39233.1354166668</v>
      </c>
      <c r="CC15" s="82">
        <f t="shared" si="26"/>
        <v>39233.1354166668</v>
      </c>
      <c r="CD15" s="82">
        <f t="shared" si="27"/>
        <v>6629.9166666667</v>
      </c>
    </row>
    <row r="16" s="370" customFormat="1" ht="27" customHeight="1" spans="1:82">
      <c r="A16" s="389">
        <v>45987</v>
      </c>
      <c r="B16" s="390" t="s">
        <v>795</v>
      </c>
      <c r="C16" s="391" t="s">
        <v>574</v>
      </c>
      <c r="D16" s="392">
        <v>4500187084</v>
      </c>
      <c r="E16" s="391">
        <v>5251218604</v>
      </c>
      <c r="F16" s="390" t="s">
        <v>1593</v>
      </c>
      <c r="G16" s="393" t="s">
        <v>131</v>
      </c>
      <c r="H16" s="390" t="s">
        <v>1533</v>
      </c>
      <c r="I16" s="394">
        <v>1269</v>
      </c>
      <c r="J16" s="394">
        <v>0</v>
      </c>
      <c r="K16" s="394">
        <v>27</v>
      </c>
      <c r="L16" s="394">
        <f t="shared" si="1"/>
        <v>47</v>
      </c>
      <c r="M16" s="395">
        <v>46045</v>
      </c>
      <c r="N16" s="395">
        <v>46041</v>
      </c>
      <c r="O16" s="396"/>
      <c r="P16" s="396" t="s">
        <v>224</v>
      </c>
      <c r="Q16" s="396" t="s">
        <v>1630</v>
      </c>
      <c r="R16" s="403">
        <v>45987</v>
      </c>
      <c r="S16" s="398" t="s">
        <v>80</v>
      </c>
      <c r="T16" s="396" t="s">
        <v>1534</v>
      </c>
      <c r="U16" s="406" t="s">
        <v>1445</v>
      </c>
      <c r="V16" s="406"/>
      <c r="W16" s="406"/>
      <c r="X16" s="358" t="s">
        <v>1594</v>
      </c>
      <c r="Y16" s="395" t="s">
        <v>581</v>
      </c>
      <c r="Z16" s="399">
        <v>0.89</v>
      </c>
      <c r="AA16" s="394">
        <f t="shared" si="30"/>
        <v>1129.41</v>
      </c>
      <c r="AB16" s="395" t="s">
        <v>82</v>
      </c>
      <c r="AC16" s="358">
        <f>1242+27</f>
        <v>1269</v>
      </c>
      <c r="AD16" s="358">
        <f t="shared" si="2"/>
        <v>0</v>
      </c>
      <c r="AE16" s="396" t="s">
        <v>681</v>
      </c>
      <c r="AF16" s="396" t="s">
        <v>114</v>
      </c>
      <c r="AG16" s="395" t="s">
        <v>434</v>
      </c>
      <c r="AH16" s="395" t="s">
        <v>115</v>
      </c>
      <c r="AI16" s="401">
        <f t="shared" si="3"/>
        <v>1269</v>
      </c>
      <c r="AJ16" s="401"/>
      <c r="AK16" s="401">
        <f t="shared" si="4"/>
        <v>1269</v>
      </c>
      <c r="AL16" s="401"/>
      <c r="AM16" s="401"/>
      <c r="AN16" s="401">
        <f>I16</f>
        <v>1269</v>
      </c>
      <c r="AO16" s="401"/>
      <c r="AP16" s="401"/>
      <c r="AQ16" s="401">
        <f t="shared" si="15"/>
        <v>1269</v>
      </c>
      <c r="AR16" s="401"/>
      <c r="AS16" s="401"/>
      <c r="AT16" s="401"/>
      <c r="AU16" s="401">
        <f>I16/27</f>
        <v>47</v>
      </c>
      <c r="AV16" s="401"/>
      <c r="AW16" s="401"/>
      <c r="AX16" s="401"/>
      <c r="AY16" s="401"/>
      <c r="AZ16" s="401"/>
      <c r="BA16" s="401"/>
      <c r="BB16" s="401"/>
      <c r="BC16" s="401"/>
      <c r="BD16" s="401"/>
      <c r="BE16" s="401"/>
      <c r="BF16" s="401"/>
      <c r="BG16" s="401"/>
      <c r="BH16" s="401"/>
      <c r="BI16" s="401"/>
      <c r="BJ16" s="401"/>
      <c r="BK16" s="401"/>
      <c r="BL16" s="82">
        <f t="shared" ref="BL16:BT16" si="34">$I16*BL$2</f>
        <v>155.3203125</v>
      </c>
      <c r="BM16" s="82">
        <f t="shared" si="34"/>
        <v>155.3203125</v>
      </c>
      <c r="BN16" s="82">
        <f t="shared" si="34"/>
        <v>155.3203125</v>
      </c>
      <c r="BO16" s="82">
        <f t="shared" si="34"/>
        <v>155.3203125</v>
      </c>
      <c r="BP16" s="82">
        <f t="shared" si="34"/>
        <v>155.3203125</v>
      </c>
      <c r="BQ16" s="82">
        <f t="shared" si="34"/>
        <v>155.3203125</v>
      </c>
      <c r="BR16" s="82">
        <f t="shared" si="34"/>
        <v>155.3203125</v>
      </c>
      <c r="BS16" s="82">
        <f t="shared" si="34"/>
        <v>155.3203125</v>
      </c>
      <c r="BT16" s="82">
        <f t="shared" si="34"/>
        <v>26.4375</v>
      </c>
      <c r="BV16" s="82">
        <f t="shared" si="19"/>
        <v>39077.8151041668</v>
      </c>
      <c r="BW16" s="82">
        <f t="shared" si="20"/>
        <v>39077.8151041668</v>
      </c>
      <c r="BX16" s="82">
        <f t="shared" si="21"/>
        <v>39077.8151041668</v>
      </c>
      <c r="BY16" s="82">
        <f t="shared" si="22"/>
        <v>39077.8151041668</v>
      </c>
      <c r="BZ16" s="82">
        <f t="shared" si="23"/>
        <v>39077.8151041668</v>
      </c>
      <c r="CA16" s="82">
        <f t="shared" si="24"/>
        <v>39077.8151041668</v>
      </c>
      <c r="CB16" s="82">
        <f t="shared" si="25"/>
        <v>39077.8151041668</v>
      </c>
      <c r="CC16" s="82">
        <f t="shared" si="26"/>
        <v>39077.8151041668</v>
      </c>
      <c r="CD16" s="82">
        <f t="shared" si="27"/>
        <v>6603.4791666667</v>
      </c>
    </row>
    <row r="17" s="370" customFormat="1" ht="27" customHeight="1" spans="1:82">
      <c r="A17" s="389">
        <v>46014</v>
      </c>
      <c r="B17" s="390" t="s">
        <v>1148</v>
      </c>
      <c r="C17" s="391" t="s">
        <v>876</v>
      </c>
      <c r="D17" s="392">
        <v>4500189691</v>
      </c>
      <c r="E17" s="391"/>
      <c r="F17" s="390" t="s">
        <v>1598</v>
      </c>
      <c r="G17" s="393" t="s">
        <v>78</v>
      </c>
      <c r="H17" s="390" t="s">
        <v>79</v>
      </c>
      <c r="I17" s="394">
        <v>540</v>
      </c>
      <c r="J17" s="394">
        <v>0</v>
      </c>
      <c r="K17" s="394">
        <v>54</v>
      </c>
      <c r="L17" s="394">
        <f t="shared" si="1"/>
        <v>10</v>
      </c>
      <c r="M17" s="395">
        <v>46052</v>
      </c>
      <c r="N17" s="395">
        <v>46046</v>
      </c>
      <c r="O17" s="396"/>
      <c r="P17" s="396" t="s">
        <v>224</v>
      </c>
      <c r="Q17" s="396" t="s">
        <v>1626</v>
      </c>
      <c r="R17" s="403">
        <v>46021</v>
      </c>
      <c r="S17" s="398" t="s">
        <v>80</v>
      </c>
      <c r="T17" s="404" t="s">
        <v>1596</v>
      </c>
      <c r="U17" s="396"/>
      <c r="V17" s="396"/>
      <c r="W17" s="396"/>
      <c r="X17" s="358" t="s">
        <v>1599</v>
      </c>
      <c r="Y17" s="395" t="s">
        <v>881</v>
      </c>
      <c r="Z17" s="399">
        <v>0.7967</v>
      </c>
      <c r="AA17" s="394">
        <f t="shared" si="30"/>
        <v>430.218</v>
      </c>
      <c r="AB17" s="395" t="s">
        <v>82</v>
      </c>
      <c r="AC17" s="358">
        <f>486+54</f>
        <v>540</v>
      </c>
      <c r="AD17" s="358">
        <f t="shared" si="2"/>
        <v>0</v>
      </c>
      <c r="AE17" s="396" t="s">
        <v>113</v>
      </c>
      <c r="AF17" s="396" t="s">
        <v>114</v>
      </c>
      <c r="AG17" s="395" t="s">
        <v>230</v>
      </c>
      <c r="AH17" s="395" t="s">
        <v>115</v>
      </c>
      <c r="AI17" s="401">
        <f t="shared" si="3"/>
        <v>540</v>
      </c>
      <c r="AJ17" s="401"/>
      <c r="AK17" s="401">
        <f t="shared" si="4"/>
        <v>540</v>
      </c>
      <c r="AL17" s="401"/>
      <c r="AM17" s="401"/>
      <c r="AN17" s="401">
        <f>I17</f>
        <v>540</v>
      </c>
      <c r="AO17" s="401"/>
      <c r="AP17" s="401"/>
      <c r="AQ17" s="401">
        <f t="shared" si="15"/>
        <v>540</v>
      </c>
      <c r="AR17" s="401"/>
      <c r="AS17" s="401"/>
      <c r="AT17" s="401"/>
      <c r="AU17" s="401">
        <f>I17/27</f>
        <v>20</v>
      </c>
      <c r="AV17" s="401"/>
      <c r="AW17" s="401"/>
      <c r="AX17" s="401"/>
      <c r="AY17" s="401"/>
      <c r="AZ17" s="401"/>
      <c r="BA17" s="401"/>
      <c r="BB17" s="401"/>
      <c r="BC17" s="401"/>
      <c r="BD17" s="401"/>
      <c r="BE17" s="401"/>
      <c r="BF17" s="401"/>
      <c r="BG17" s="401"/>
      <c r="BH17" s="401"/>
      <c r="BI17" s="401"/>
      <c r="BJ17" s="401"/>
      <c r="BK17" s="401"/>
      <c r="BL17" s="82">
        <f t="shared" ref="BL17:BT17" si="35">$I17*BL$2</f>
        <v>66.0937499999998</v>
      </c>
      <c r="BM17" s="82">
        <f t="shared" si="35"/>
        <v>66.0937499999998</v>
      </c>
      <c r="BN17" s="82">
        <f t="shared" si="35"/>
        <v>66.0937499999998</v>
      </c>
      <c r="BO17" s="82">
        <f t="shared" si="35"/>
        <v>66.0937499999998</v>
      </c>
      <c r="BP17" s="82">
        <f t="shared" si="35"/>
        <v>66.0937499999998</v>
      </c>
      <c r="BQ17" s="82">
        <f t="shared" si="35"/>
        <v>66.0937499999998</v>
      </c>
      <c r="BR17" s="82">
        <f t="shared" si="35"/>
        <v>66.0937499999998</v>
      </c>
      <c r="BS17" s="82">
        <f t="shared" si="35"/>
        <v>66.0937499999998</v>
      </c>
      <c r="BT17" s="82">
        <f t="shared" si="35"/>
        <v>11.25</v>
      </c>
      <c r="BV17" s="82">
        <f t="shared" si="19"/>
        <v>39011.7213541668</v>
      </c>
      <c r="BW17" s="82">
        <f t="shared" si="20"/>
        <v>39011.7213541668</v>
      </c>
      <c r="BX17" s="82">
        <f t="shared" si="21"/>
        <v>39011.7213541668</v>
      </c>
      <c r="BY17" s="82">
        <f t="shared" si="22"/>
        <v>39011.7213541668</v>
      </c>
      <c r="BZ17" s="82">
        <f t="shared" si="23"/>
        <v>39011.7213541668</v>
      </c>
      <c r="CA17" s="82">
        <f t="shared" si="24"/>
        <v>39011.7213541668</v>
      </c>
      <c r="CB17" s="82">
        <f t="shared" si="25"/>
        <v>39011.7213541668</v>
      </c>
      <c r="CC17" s="82">
        <f t="shared" si="26"/>
        <v>39011.7213541668</v>
      </c>
      <c r="CD17" s="82">
        <f t="shared" si="27"/>
        <v>6592.2291666667</v>
      </c>
    </row>
    <row r="18" s="370" customFormat="1" ht="27" customHeight="1" spans="1:82">
      <c r="A18" s="389">
        <v>45999</v>
      </c>
      <c r="B18" s="390" t="s">
        <v>1148</v>
      </c>
      <c r="C18" s="391" t="s">
        <v>876</v>
      </c>
      <c r="D18" s="392">
        <v>4500188248</v>
      </c>
      <c r="E18" s="391"/>
      <c r="F18" s="390" t="s">
        <v>1595</v>
      </c>
      <c r="G18" s="393" t="s">
        <v>78</v>
      </c>
      <c r="H18" s="390" t="s">
        <v>79</v>
      </c>
      <c r="I18" s="394">
        <v>540</v>
      </c>
      <c r="J18" s="394">
        <v>0</v>
      </c>
      <c r="K18" s="394">
        <v>54</v>
      </c>
      <c r="L18" s="394">
        <f t="shared" si="1"/>
        <v>10</v>
      </c>
      <c r="M18" s="395">
        <v>46052</v>
      </c>
      <c r="N18" s="395">
        <v>46046</v>
      </c>
      <c r="O18" s="396"/>
      <c r="P18" s="396" t="s">
        <v>224</v>
      </c>
      <c r="Q18" s="396" t="s">
        <v>1631</v>
      </c>
      <c r="R18" s="403">
        <v>46021</v>
      </c>
      <c r="S18" s="405" t="s">
        <v>80</v>
      </c>
      <c r="T18" s="396" t="s">
        <v>1596</v>
      </c>
      <c r="U18" s="396"/>
      <c r="V18" s="396"/>
      <c r="W18" s="396"/>
      <c r="X18" s="358" t="s">
        <v>1632</v>
      </c>
      <c r="Y18" s="395" t="s">
        <v>881</v>
      </c>
      <c r="Z18" s="399">
        <v>0.7967</v>
      </c>
      <c r="AA18" s="394">
        <f t="shared" si="30"/>
        <v>430.218</v>
      </c>
      <c r="AB18" s="395" t="s">
        <v>82</v>
      </c>
      <c r="AC18" s="358">
        <v>540</v>
      </c>
      <c r="AD18" s="358">
        <f t="shared" si="2"/>
        <v>0</v>
      </c>
      <c r="AE18" s="396" t="s">
        <v>113</v>
      </c>
      <c r="AF18" s="396" t="s">
        <v>114</v>
      </c>
      <c r="AG18" s="395" t="s">
        <v>230</v>
      </c>
      <c r="AH18" s="395" t="s">
        <v>115</v>
      </c>
      <c r="AI18" s="401">
        <f t="shared" si="3"/>
        <v>540</v>
      </c>
      <c r="AJ18" s="401"/>
      <c r="AK18" s="401">
        <f t="shared" si="4"/>
        <v>540</v>
      </c>
      <c r="AL18" s="401"/>
      <c r="AM18" s="401"/>
      <c r="AN18" s="401">
        <f>I18</f>
        <v>540</v>
      </c>
      <c r="AO18" s="401"/>
      <c r="AP18" s="401"/>
      <c r="AQ18" s="401">
        <f t="shared" si="15"/>
        <v>540</v>
      </c>
      <c r="AR18" s="401"/>
      <c r="AS18" s="401"/>
      <c r="AT18" s="401"/>
      <c r="AU18" s="401">
        <f>I18/27</f>
        <v>20</v>
      </c>
      <c r="AV18" s="401"/>
      <c r="AW18" s="401"/>
      <c r="AX18" s="401"/>
      <c r="AY18" s="401"/>
      <c r="AZ18" s="401"/>
      <c r="BA18" s="401"/>
      <c r="BB18" s="401"/>
      <c r="BC18" s="401"/>
      <c r="BD18" s="401"/>
      <c r="BE18" s="401"/>
      <c r="BF18" s="401"/>
      <c r="BG18" s="401"/>
      <c r="BH18" s="401"/>
      <c r="BI18" s="401"/>
      <c r="BJ18" s="401"/>
      <c r="BK18" s="401"/>
      <c r="BL18" s="82">
        <f t="shared" ref="BL18:BT18" si="36">$I18*BL$2</f>
        <v>66.0937499999998</v>
      </c>
      <c r="BM18" s="82">
        <f t="shared" si="36"/>
        <v>66.0937499999998</v>
      </c>
      <c r="BN18" s="82">
        <f t="shared" si="36"/>
        <v>66.0937499999998</v>
      </c>
      <c r="BO18" s="82">
        <f t="shared" si="36"/>
        <v>66.0937499999998</v>
      </c>
      <c r="BP18" s="82">
        <f t="shared" si="36"/>
        <v>66.0937499999998</v>
      </c>
      <c r="BQ18" s="82">
        <f t="shared" si="36"/>
        <v>66.0937499999998</v>
      </c>
      <c r="BR18" s="82">
        <f t="shared" si="36"/>
        <v>66.0937499999998</v>
      </c>
      <c r="BS18" s="82">
        <f t="shared" si="36"/>
        <v>66.0937499999998</v>
      </c>
      <c r="BT18" s="82">
        <f t="shared" si="36"/>
        <v>11.25</v>
      </c>
      <c r="BV18" s="82">
        <f t="shared" si="19"/>
        <v>38945.6276041668</v>
      </c>
      <c r="BW18" s="82">
        <f t="shared" si="20"/>
        <v>38945.6276041668</v>
      </c>
      <c r="BX18" s="82">
        <f t="shared" si="21"/>
        <v>38945.6276041668</v>
      </c>
      <c r="BY18" s="82">
        <f t="shared" si="22"/>
        <v>38945.6276041668</v>
      </c>
      <c r="BZ18" s="82">
        <f t="shared" si="23"/>
        <v>38945.6276041668</v>
      </c>
      <c r="CA18" s="82">
        <f t="shared" si="24"/>
        <v>38945.6276041668</v>
      </c>
      <c r="CB18" s="82">
        <f t="shared" si="25"/>
        <v>38945.6276041668</v>
      </c>
      <c r="CC18" s="82">
        <f t="shared" si="26"/>
        <v>38945.6276041668</v>
      </c>
      <c r="CD18" s="82">
        <f t="shared" si="27"/>
        <v>6580.9791666667</v>
      </c>
    </row>
    <row r="19" s="370" customFormat="1" ht="27" customHeight="1" spans="1:82">
      <c r="A19" s="389">
        <v>46016</v>
      </c>
      <c r="B19" s="390" t="s">
        <v>1600</v>
      </c>
      <c r="C19" s="391" t="s">
        <v>389</v>
      </c>
      <c r="D19" s="392">
        <v>4500190061</v>
      </c>
      <c r="E19" s="391" t="s">
        <v>1601</v>
      </c>
      <c r="F19" s="392" t="s">
        <v>1602</v>
      </c>
      <c r="G19" s="393" t="s">
        <v>188</v>
      </c>
      <c r="H19" s="390" t="s">
        <v>120</v>
      </c>
      <c r="I19" s="394">
        <v>12</v>
      </c>
      <c r="J19" s="394">
        <v>0</v>
      </c>
      <c r="K19" s="394">
        <v>12</v>
      </c>
      <c r="L19" s="394">
        <f t="shared" si="1"/>
        <v>1</v>
      </c>
      <c r="M19" s="395">
        <v>46059</v>
      </c>
      <c r="N19" s="395">
        <v>46055</v>
      </c>
      <c r="O19" s="396"/>
      <c r="P19" s="396" t="s">
        <v>224</v>
      </c>
      <c r="Q19" s="396" t="s">
        <v>1633</v>
      </c>
      <c r="R19" s="398">
        <v>46016</v>
      </c>
      <c r="S19" s="398" t="s">
        <v>191</v>
      </c>
      <c r="T19" s="404" t="s">
        <v>1603</v>
      </c>
      <c r="U19" s="396"/>
      <c r="V19" s="396"/>
      <c r="W19" s="396"/>
      <c r="X19" s="358" t="s">
        <v>1604</v>
      </c>
      <c r="Y19" s="395" t="s">
        <v>1605</v>
      </c>
      <c r="Z19" s="399">
        <v>1.9471</v>
      </c>
      <c r="AA19" s="394">
        <f t="shared" si="30"/>
        <v>23.3652</v>
      </c>
      <c r="AB19" s="395" t="s">
        <v>82</v>
      </c>
      <c r="AC19" s="358">
        <v>12</v>
      </c>
      <c r="AD19" s="358">
        <f t="shared" si="2"/>
        <v>0</v>
      </c>
      <c r="AE19" s="396" t="s">
        <v>113</v>
      </c>
      <c r="AF19" s="396" t="s">
        <v>114</v>
      </c>
      <c r="AG19" s="395" t="s">
        <v>188</v>
      </c>
      <c r="AH19" s="395" t="s">
        <v>115</v>
      </c>
      <c r="AI19" s="401">
        <f>I19*2</f>
        <v>24</v>
      </c>
      <c r="AJ19" s="401"/>
      <c r="AK19" s="401">
        <f>I19*2</f>
        <v>24</v>
      </c>
      <c r="AL19" s="401"/>
      <c r="AN19" s="401">
        <f>I19*2</f>
        <v>24</v>
      </c>
      <c r="AO19" s="401"/>
      <c r="AP19" s="401"/>
      <c r="AQ19" s="401">
        <f>I19*2</f>
        <v>24</v>
      </c>
      <c r="AR19" s="401"/>
      <c r="AS19" s="401"/>
      <c r="AT19" s="401"/>
      <c r="AU19" s="401"/>
      <c r="AV19" s="401"/>
      <c r="AW19" s="401"/>
      <c r="AX19" s="401"/>
      <c r="AY19" s="401"/>
      <c r="AZ19" s="401"/>
      <c r="BA19" s="401"/>
      <c r="BB19" s="401"/>
      <c r="BC19" s="401"/>
      <c r="BD19" s="401"/>
      <c r="BE19" s="401"/>
      <c r="BF19" s="401"/>
      <c r="BG19" s="401"/>
      <c r="BH19" s="401">
        <f>I19</f>
        <v>12</v>
      </c>
      <c r="BI19" s="401">
        <f>I19</f>
        <v>12</v>
      </c>
      <c r="BJ19" s="401"/>
      <c r="BK19" s="401"/>
      <c r="BL19" s="82">
        <f t="shared" ref="BL19:BT19" si="37">$I19*BL$2*2</f>
        <v>2.93749999999999</v>
      </c>
      <c r="BM19" s="82">
        <f t="shared" si="37"/>
        <v>2.93749999999999</v>
      </c>
      <c r="BN19" s="82">
        <f t="shared" si="37"/>
        <v>2.93749999999999</v>
      </c>
      <c r="BO19" s="82">
        <f t="shared" si="37"/>
        <v>2.93749999999999</v>
      </c>
      <c r="BP19" s="82">
        <f t="shared" si="37"/>
        <v>2.93749999999999</v>
      </c>
      <c r="BQ19" s="82">
        <f t="shared" si="37"/>
        <v>2.93749999999999</v>
      </c>
      <c r="BR19" s="82">
        <f t="shared" si="37"/>
        <v>2.93749999999999</v>
      </c>
      <c r="BS19" s="82">
        <f t="shared" si="37"/>
        <v>2.93749999999999</v>
      </c>
      <c r="BT19" s="82">
        <f t="shared" si="37"/>
        <v>0.499999999999999</v>
      </c>
      <c r="BV19" s="82">
        <f t="shared" si="19"/>
        <v>38942.6901041668</v>
      </c>
      <c r="BW19" s="82">
        <f t="shared" si="20"/>
        <v>38942.6901041668</v>
      </c>
      <c r="BX19" s="82">
        <f t="shared" si="21"/>
        <v>38942.6901041668</v>
      </c>
      <c r="BY19" s="82">
        <f t="shared" si="22"/>
        <v>38942.6901041668</v>
      </c>
      <c r="BZ19" s="82">
        <f t="shared" si="23"/>
        <v>38942.6901041668</v>
      </c>
      <c r="CA19" s="82">
        <f t="shared" si="24"/>
        <v>38942.6901041668</v>
      </c>
      <c r="CB19" s="82">
        <f t="shared" si="25"/>
        <v>38942.6901041668</v>
      </c>
      <c r="CC19" s="82">
        <f t="shared" si="26"/>
        <v>38942.6901041668</v>
      </c>
      <c r="CD19" s="82">
        <f t="shared" si="27"/>
        <v>6580.4791666667</v>
      </c>
    </row>
    <row r="20" s="370" customFormat="1" ht="27" customHeight="1" spans="1:82">
      <c r="A20" s="389">
        <v>46035</v>
      </c>
      <c r="B20" s="390" t="s">
        <v>1219</v>
      </c>
      <c r="C20" s="391" t="s">
        <v>117</v>
      </c>
      <c r="D20" s="392">
        <v>4500191213</v>
      </c>
      <c r="E20" s="391">
        <v>33826</v>
      </c>
      <c r="F20" s="392" t="s">
        <v>1634</v>
      </c>
      <c r="G20" s="393" t="s">
        <v>345</v>
      </c>
      <c r="H20" s="390" t="s">
        <v>346</v>
      </c>
      <c r="I20" s="394">
        <v>1200</v>
      </c>
      <c r="J20" s="394">
        <v>0</v>
      </c>
      <c r="K20" s="394">
        <v>12</v>
      </c>
      <c r="L20" s="394">
        <f t="shared" si="1"/>
        <v>100</v>
      </c>
      <c r="M20" s="395">
        <v>46083</v>
      </c>
      <c r="N20" s="395">
        <f>M20-4</f>
        <v>46079</v>
      </c>
      <c r="O20" s="396"/>
      <c r="P20" s="396" t="s">
        <v>107</v>
      </c>
      <c r="Q20" s="396" t="s">
        <v>1635</v>
      </c>
      <c r="R20" s="398">
        <v>46041</v>
      </c>
      <c r="S20" s="398" t="s">
        <v>80</v>
      </c>
      <c r="T20" s="404" t="s">
        <v>80</v>
      </c>
      <c r="U20" s="396"/>
      <c r="V20" s="396"/>
      <c r="W20" s="396"/>
      <c r="X20" s="358" t="s">
        <v>1636</v>
      </c>
      <c r="Y20" s="395" t="s">
        <v>1296</v>
      </c>
      <c r="Z20" s="399">
        <v>0.4802</v>
      </c>
      <c r="AA20" s="394">
        <f t="shared" si="30"/>
        <v>576.24</v>
      </c>
      <c r="AB20" s="395"/>
      <c r="AC20" s="358">
        <f>1188+12</f>
        <v>1200</v>
      </c>
      <c r="AD20" s="358">
        <f t="shared" si="2"/>
        <v>0</v>
      </c>
      <c r="AE20" s="396" t="s">
        <v>80</v>
      </c>
      <c r="AF20" s="396" t="s">
        <v>114</v>
      </c>
      <c r="AG20" s="395" t="s">
        <v>345</v>
      </c>
      <c r="AH20" s="395" t="s">
        <v>115</v>
      </c>
      <c r="AI20" s="401">
        <f>I20</f>
        <v>1200</v>
      </c>
      <c r="AJ20" s="401"/>
      <c r="AK20" s="401">
        <f>I20</f>
        <v>1200</v>
      </c>
      <c r="AL20" s="401"/>
      <c r="AM20" s="370">
        <f>I20</f>
        <v>1200</v>
      </c>
      <c r="AN20" s="401"/>
      <c r="AO20" s="401"/>
      <c r="AP20" s="401"/>
      <c r="AQ20" s="401">
        <f>I20</f>
        <v>1200</v>
      </c>
      <c r="AR20" s="401"/>
      <c r="AS20" s="401"/>
      <c r="AT20" s="401"/>
      <c r="AU20" s="401"/>
      <c r="AV20" s="401"/>
      <c r="AW20" s="401"/>
      <c r="AX20" s="401">
        <f>I20/12</f>
        <v>100</v>
      </c>
      <c r="AY20" s="401"/>
      <c r="AZ20" s="401"/>
      <c r="BA20" s="401"/>
      <c r="BB20" s="401"/>
      <c r="BC20" s="401"/>
      <c r="BD20" s="401"/>
      <c r="BE20" s="401"/>
      <c r="BF20" s="401"/>
      <c r="BG20" s="401"/>
      <c r="BH20" s="401"/>
      <c r="BI20" s="401"/>
      <c r="BJ20" s="401"/>
      <c r="BK20" s="401"/>
      <c r="BL20" s="82">
        <f t="shared" ref="BL20:BT20" si="38">$I20*BL$2</f>
        <v>146.875</v>
      </c>
      <c r="BM20" s="82">
        <f t="shared" si="38"/>
        <v>146.875</v>
      </c>
      <c r="BN20" s="82">
        <f t="shared" si="38"/>
        <v>146.875</v>
      </c>
      <c r="BO20" s="82">
        <f t="shared" si="38"/>
        <v>146.875</v>
      </c>
      <c r="BP20" s="82">
        <f t="shared" si="38"/>
        <v>146.875</v>
      </c>
      <c r="BQ20" s="82">
        <f t="shared" si="38"/>
        <v>146.875</v>
      </c>
      <c r="BR20" s="82">
        <f t="shared" si="38"/>
        <v>146.875</v>
      </c>
      <c r="BS20" s="82">
        <f t="shared" si="38"/>
        <v>146.875</v>
      </c>
      <c r="BT20" s="82">
        <f t="shared" si="38"/>
        <v>25</v>
      </c>
      <c r="BV20" s="82">
        <f t="shared" si="19"/>
        <v>38795.8151041668</v>
      </c>
      <c r="BW20" s="82">
        <f t="shared" si="20"/>
        <v>38795.8151041668</v>
      </c>
      <c r="BX20" s="82">
        <f t="shared" si="21"/>
        <v>38795.8151041668</v>
      </c>
      <c r="BY20" s="82">
        <f t="shared" si="22"/>
        <v>38795.8151041668</v>
      </c>
      <c r="BZ20" s="82">
        <f t="shared" si="23"/>
        <v>38795.8151041668</v>
      </c>
      <c r="CA20" s="82">
        <f t="shared" si="24"/>
        <v>38795.8151041668</v>
      </c>
      <c r="CB20" s="82">
        <f t="shared" si="25"/>
        <v>38795.8151041668</v>
      </c>
      <c r="CC20" s="82">
        <f t="shared" si="26"/>
        <v>38795.8151041668</v>
      </c>
      <c r="CD20" s="82">
        <f t="shared" si="27"/>
        <v>6555.4791666667</v>
      </c>
    </row>
    <row r="21" s="370" customFormat="1" ht="27" customHeight="1" spans="1:82">
      <c r="A21" s="389">
        <v>46014</v>
      </c>
      <c r="B21" s="390" t="s">
        <v>1606</v>
      </c>
      <c r="C21" s="391" t="s">
        <v>521</v>
      </c>
      <c r="D21" s="392">
        <v>4500189587</v>
      </c>
      <c r="E21" s="391" t="s">
        <v>1607</v>
      </c>
      <c r="F21" s="390" t="s">
        <v>1608</v>
      </c>
      <c r="G21" s="393" t="s">
        <v>152</v>
      </c>
      <c r="H21" s="390" t="s">
        <v>153</v>
      </c>
      <c r="I21" s="394">
        <v>676</v>
      </c>
      <c r="J21" s="394">
        <v>0</v>
      </c>
      <c r="K21" s="394">
        <v>13</v>
      </c>
      <c r="L21" s="394">
        <f t="shared" si="1"/>
        <v>52</v>
      </c>
      <c r="M21" s="395">
        <v>46092</v>
      </c>
      <c r="N21" s="395">
        <v>46088</v>
      </c>
      <c r="O21" s="396" t="s">
        <v>1637</v>
      </c>
      <c r="P21" s="396" t="s">
        <v>224</v>
      </c>
      <c r="Q21" s="396" t="s">
        <v>1638</v>
      </c>
      <c r="R21" s="403">
        <v>46015</v>
      </c>
      <c r="S21" s="405" t="s">
        <v>191</v>
      </c>
      <c r="T21" s="396" t="s">
        <v>1639</v>
      </c>
      <c r="U21" s="396"/>
      <c r="V21" s="396"/>
      <c r="W21" s="396"/>
      <c r="X21" s="358" t="s">
        <v>1640</v>
      </c>
      <c r="Y21" s="395" t="s">
        <v>273</v>
      </c>
      <c r="Z21" s="399">
        <v>0.7985</v>
      </c>
      <c r="AA21" s="394">
        <f t="shared" si="30"/>
        <v>539.786</v>
      </c>
      <c r="AB21" s="395" t="s">
        <v>82</v>
      </c>
      <c r="AC21" s="358">
        <v>676</v>
      </c>
      <c r="AD21" s="358">
        <f t="shared" si="2"/>
        <v>0</v>
      </c>
      <c r="AE21" s="396" t="s">
        <v>113</v>
      </c>
      <c r="AF21" s="396" t="s">
        <v>114</v>
      </c>
      <c r="AG21" s="395" t="s">
        <v>152</v>
      </c>
      <c r="AH21" s="395" t="s">
        <v>115</v>
      </c>
      <c r="AI21" s="401">
        <f>I21</f>
        <v>676</v>
      </c>
      <c r="AJ21" s="401"/>
      <c r="AK21" s="401">
        <f>I21</f>
        <v>676</v>
      </c>
      <c r="AL21" s="401"/>
      <c r="AM21" s="401">
        <f>I21</f>
        <v>676</v>
      </c>
      <c r="AN21" s="401"/>
      <c r="AO21" s="401"/>
      <c r="AP21" s="401"/>
      <c r="AQ21" s="401">
        <f>I21</f>
        <v>676</v>
      </c>
      <c r="AR21" s="401"/>
      <c r="AS21" s="401"/>
      <c r="AT21" s="401"/>
      <c r="AU21" s="401"/>
      <c r="AV21" s="401">
        <f>I21/13</f>
        <v>52</v>
      </c>
      <c r="AW21" s="401"/>
      <c r="AX21" s="401"/>
      <c r="AY21" s="401"/>
      <c r="AZ21" s="401"/>
      <c r="BA21" s="401"/>
      <c r="BB21" s="401"/>
      <c r="BC21" s="401"/>
      <c r="BD21" s="401"/>
      <c r="BE21" s="401"/>
      <c r="BF21" s="401"/>
      <c r="BG21" s="401"/>
      <c r="BH21" s="401"/>
      <c r="BI21" s="401"/>
      <c r="BJ21" s="401"/>
      <c r="BK21" s="401"/>
      <c r="BL21" s="82">
        <f t="shared" ref="BL21:BT21" si="39">$I21*BL$2</f>
        <v>82.7395833333331</v>
      </c>
      <c r="BM21" s="82">
        <f t="shared" si="39"/>
        <v>82.7395833333331</v>
      </c>
      <c r="BN21" s="82">
        <f t="shared" si="39"/>
        <v>82.7395833333331</v>
      </c>
      <c r="BO21" s="82">
        <f t="shared" si="39"/>
        <v>82.7395833333331</v>
      </c>
      <c r="BP21" s="82">
        <f t="shared" si="39"/>
        <v>82.7395833333331</v>
      </c>
      <c r="BQ21" s="82">
        <f t="shared" si="39"/>
        <v>82.7395833333331</v>
      </c>
      <c r="BR21" s="82">
        <f t="shared" si="39"/>
        <v>82.7395833333331</v>
      </c>
      <c r="BS21" s="82">
        <f t="shared" si="39"/>
        <v>82.7395833333331</v>
      </c>
      <c r="BT21" s="82">
        <f t="shared" si="39"/>
        <v>14.0833333333333</v>
      </c>
      <c r="BV21" s="82">
        <f t="shared" si="19"/>
        <v>38713.0755208334</v>
      </c>
      <c r="BW21" s="82">
        <f t="shared" si="20"/>
        <v>38713.0755208334</v>
      </c>
      <c r="BX21" s="82">
        <f t="shared" si="21"/>
        <v>38713.0755208334</v>
      </c>
      <c r="BY21" s="82">
        <f t="shared" si="22"/>
        <v>38713.0755208334</v>
      </c>
      <c r="BZ21" s="82">
        <f t="shared" si="23"/>
        <v>38713.0755208334</v>
      </c>
      <c r="CA21" s="82">
        <f t="shared" si="24"/>
        <v>38713.0755208334</v>
      </c>
      <c r="CB21" s="82">
        <f t="shared" si="25"/>
        <v>38713.0755208334</v>
      </c>
      <c r="CC21" s="82">
        <f t="shared" si="26"/>
        <v>38713.0755208334</v>
      </c>
      <c r="CD21" s="82">
        <f t="shared" si="27"/>
        <v>6541.39583333336</v>
      </c>
    </row>
    <row r="22" s="370" customFormat="1" ht="27" customHeight="1" spans="1:82">
      <c r="A22" s="389">
        <v>45993</v>
      </c>
      <c r="B22" s="390" t="s">
        <v>1572</v>
      </c>
      <c r="C22" s="391" t="s">
        <v>1573</v>
      </c>
      <c r="D22" s="392">
        <v>4500187691</v>
      </c>
      <c r="E22" s="391" t="s">
        <v>1641</v>
      </c>
      <c r="F22" s="390" t="s">
        <v>1581</v>
      </c>
      <c r="G22" s="393" t="s">
        <v>1575</v>
      </c>
      <c r="H22" s="390" t="s">
        <v>1576</v>
      </c>
      <c r="I22" s="394">
        <v>5000</v>
      </c>
      <c r="J22" s="394">
        <v>0</v>
      </c>
      <c r="K22" s="394">
        <v>8</v>
      </c>
      <c r="L22" s="394">
        <f t="shared" si="1"/>
        <v>625</v>
      </c>
      <c r="M22" s="407">
        <v>46132</v>
      </c>
      <c r="N22" s="408">
        <v>46128</v>
      </c>
      <c r="O22" s="396"/>
      <c r="P22" s="396" t="s">
        <v>107</v>
      </c>
      <c r="Q22" s="396" t="s">
        <v>1642</v>
      </c>
      <c r="R22" s="402" t="s">
        <v>1582</v>
      </c>
      <c r="S22" s="396" t="s">
        <v>80</v>
      </c>
      <c r="T22" s="396" t="s">
        <v>1577</v>
      </c>
      <c r="U22" s="396"/>
      <c r="V22" s="396"/>
      <c r="W22" s="396"/>
      <c r="X22" s="358" t="s">
        <v>1583</v>
      </c>
      <c r="Y22" s="395" t="s">
        <v>881</v>
      </c>
      <c r="Z22" s="399">
        <v>0.7932</v>
      </c>
      <c r="AA22" s="394">
        <f t="shared" si="30"/>
        <v>3966</v>
      </c>
      <c r="AB22" s="395" t="s">
        <v>82</v>
      </c>
      <c r="AC22" s="358">
        <v>5000</v>
      </c>
      <c r="AD22" s="358">
        <f t="shared" si="2"/>
        <v>0</v>
      </c>
      <c r="AE22" s="396" t="s">
        <v>113</v>
      </c>
      <c r="AF22" s="396" t="s">
        <v>114</v>
      </c>
      <c r="AG22" s="393" t="s">
        <v>1575</v>
      </c>
      <c r="AH22" s="395" t="s">
        <v>115</v>
      </c>
      <c r="AI22" s="401">
        <f>I22</f>
        <v>5000</v>
      </c>
      <c r="AJ22" s="401"/>
      <c r="AK22" s="401">
        <f>I22</f>
        <v>5000</v>
      </c>
      <c r="AL22" s="401"/>
      <c r="AM22" s="401"/>
      <c r="AN22" s="401">
        <f>I22</f>
        <v>5000</v>
      </c>
      <c r="AO22" s="401"/>
      <c r="AP22" s="401"/>
      <c r="AQ22" s="401">
        <f>I22</f>
        <v>5000</v>
      </c>
      <c r="AR22" s="401"/>
      <c r="AS22" s="401"/>
      <c r="AT22" s="401"/>
      <c r="AU22" s="401"/>
      <c r="AV22" s="401"/>
      <c r="AW22" s="401"/>
      <c r="AX22" s="401"/>
      <c r="AY22" s="401"/>
      <c r="AZ22" s="401"/>
      <c r="BA22" s="401">
        <f>I22/8</f>
        <v>625</v>
      </c>
      <c r="BB22" s="401"/>
      <c r="BC22" s="401"/>
      <c r="BD22" s="401"/>
      <c r="BE22" s="401"/>
      <c r="BF22" s="401"/>
      <c r="BG22" s="401"/>
      <c r="BH22" s="401"/>
      <c r="BI22" s="401"/>
      <c r="BJ22" s="401"/>
      <c r="BK22" s="401"/>
      <c r="BL22" s="82">
        <f t="shared" ref="BL22:BT22" si="40">$I22*BL$2</f>
        <v>611.979166666665</v>
      </c>
      <c r="BM22" s="82">
        <f t="shared" si="40"/>
        <v>611.979166666665</v>
      </c>
      <c r="BN22" s="82">
        <f t="shared" si="40"/>
        <v>611.979166666665</v>
      </c>
      <c r="BO22" s="82">
        <f t="shared" si="40"/>
        <v>611.979166666665</v>
      </c>
      <c r="BP22" s="82">
        <f t="shared" si="40"/>
        <v>611.979166666665</v>
      </c>
      <c r="BQ22" s="82">
        <f t="shared" si="40"/>
        <v>611.979166666665</v>
      </c>
      <c r="BR22" s="82">
        <f t="shared" si="40"/>
        <v>611.979166666665</v>
      </c>
      <c r="BS22" s="82">
        <f t="shared" si="40"/>
        <v>611.979166666665</v>
      </c>
      <c r="BT22" s="82">
        <f t="shared" si="40"/>
        <v>104.166666666667</v>
      </c>
      <c r="BV22" s="82">
        <f t="shared" si="19"/>
        <v>38101.0963541668</v>
      </c>
      <c r="BW22" s="82">
        <f t="shared" si="20"/>
        <v>38101.0963541668</v>
      </c>
      <c r="BX22" s="82">
        <f t="shared" si="21"/>
        <v>38101.0963541668</v>
      </c>
      <c r="BY22" s="82">
        <f t="shared" si="22"/>
        <v>38101.0963541668</v>
      </c>
      <c r="BZ22" s="82">
        <f t="shared" si="23"/>
        <v>38101.0963541668</v>
      </c>
      <c r="CA22" s="82">
        <f t="shared" si="24"/>
        <v>38101.0963541668</v>
      </c>
      <c r="CB22" s="82">
        <f t="shared" si="25"/>
        <v>38101.0963541668</v>
      </c>
      <c r="CC22" s="82">
        <f t="shared" si="26"/>
        <v>38101.0963541668</v>
      </c>
      <c r="CD22" s="82">
        <f t="shared" si="27"/>
        <v>6437.2291666667</v>
      </c>
    </row>
    <row r="23" s="370" customFormat="1" ht="27" customHeight="1" spans="1:82">
      <c r="A23" s="389">
        <v>46065</v>
      </c>
      <c r="B23" s="390" t="s">
        <v>1074</v>
      </c>
      <c r="C23" s="391" t="s">
        <v>117</v>
      </c>
      <c r="D23" s="392">
        <v>4500193766</v>
      </c>
      <c r="E23" s="391">
        <v>272587</v>
      </c>
      <c r="F23" s="390" t="s">
        <v>1643</v>
      </c>
      <c r="G23" s="393" t="s">
        <v>188</v>
      </c>
      <c r="H23" s="390" t="s">
        <v>120</v>
      </c>
      <c r="I23" s="394">
        <v>4404</v>
      </c>
      <c r="J23" s="394">
        <v>0</v>
      </c>
      <c r="K23" s="394">
        <v>12</v>
      </c>
      <c r="L23" s="394">
        <f t="shared" si="1"/>
        <v>367</v>
      </c>
      <c r="M23" s="395">
        <v>46113</v>
      </c>
      <c r="N23" s="395">
        <f>M23-4</f>
        <v>46109</v>
      </c>
      <c r="O23" s="396"/>
      <c r="P23" s="396" t="s">
        <v>107</v>
      </c>
      <c r="Q23" s="396" t="s">
        <v>1644</v>
      </c>
      <c r="R23" s="403">
        <v>46081</v>
      </c>
      <c r="S23" s="405" t="s">
        <v>80</v>
      </c>
      <c r="T23" s="396" t="s">
        <v>1645</v>
      </c>
      <c r="U23" s="396"/>
      <c r="V23" s="396"/>
      <c r="W23" s="396"/>
      <c r="X23" s="358" t="s">
        <v>1646</v>
      </c>
      <c r="Y23" s="395" t="s">
        <v>1079</v>
      </c>
      <c r="Z23" s="399">
        <v>0.9082</v>
      </c>
      <c r="AA23" s="394">
        <f t="shared" si="30"/>
        <v>3999.7128</v>
      </c>
      <c r="AB23" s="395"/>
      <c r="AC23" s="358">
        <v>4404</v>
      </c>
      <c r="AD23" s="358">
        <f t="shared" ref="AD23:AD50" si="41">AC23-I23</f>
        <v>0</v>
      </c>
      <c r="AE23" s="396" t="s">
        <v>113</v>
      </c>
      <c r="AF23" s="396" t="s">
        <v>114</v>
      </c>
      <c r="AG23" s="395" t="s">
        <v>119</v>
      </c>
      <c r="AH23" s="395" t="s">
        <v>115</v>
      </c>
      <c r="AI23" s="401">
        <f>I23*2</f>
        <v>8808</v>
      </c>
      <c r="AJ23" s="401"/>
      <c r="AK23" s="401">
        <f>I23*2</f>
        <v>8808</v>
      </c>
      <c r="AL23" s="401"/>
      <c r="AM23" s="401">
        <f>I23*2</f>
        <v>8808</v>
      </c>
      <c r="AN23" s="401"/>
      <c r="AO23" s="401"/>
      <c r="AP23" s="401"/>
      <c r="AQ23" s="401">
        <f>I23*2</f>
        <v>8808</v>
      </c>
      <c r="AR23" s="401"/>
      <c r="AS23" s="401"/>
      <c r="AT23" s="401"/>
      <c r="AU23" s="401"/>
      <c r="AV23" s="401"/>
      <c r="AW23" s="401"/>
      <c r="AX23" s="401"/>
      <c r="AY23" s="401"/>
      <c r="AZ23" s="401"/>
      <c r="BA23" s="401"/>
      <c r="BB23" s="401"/>
      <c r="BC23" s="401"/>
      <c r="BD23" s="401"/>
      <c r="BE23" s="401"/>
      <c r="BF23" s="401"/>
      <c r="BG23" s="401"/>
      <c r="BH23" s="401">
        <f>I23</f>
        <v>4404</v>
      </c>
      <c r="BI23" s="401">
        <f>I23</f>
        <v>4404</v>
      </c>
      <c r="BJ23" s="401"/>
      <c r="BK23" s="401"/>
      <c r="BL23" s="82">
        <f t="shared" ref="BL23:BT23" si="42">$I23*BL$2*2</f>
        <v>1078.0625</v>
      </c>
      <c r="BM23" s="82">
        <f t="shared" si="42"/>
        <v>1078.0625</v>
      </c>
      <c r="BN23" s="82">
        <f t="shared" si="42"/>
        <v>1078.0625</v>
      </c>
      <c r="BO23" s="82">
        <f t="shared" si="42"/>
        <v>1078.0625</v>
      </c>
      <c r="BP23" s="82">
        <f t="shared" si="42"/>
        <v>1078.0625</v>
      </c>
      <c r="BQ23" s="82">
        <f t="shared" si="42"/>
        <v>1078.0625</v>
      </c>
      <c r="BR23" s="82">
        <f t="shared" si="42"/>
        <v>1078.0625</v>
      </c>
      <c r="BS23" s="82">
        <f t="shared" si="42"/>
        <v>1078.0625</v>
      </c>
      <c r="BT23" s="82">
        <f t="shared" si="42"/>
        <v>183.5</v>
      </c>
      <c r="BV23" s="82">
        <f t="shared" si="19"/>
        <v>37023.0338541668</v>
      </c>
      <c r="BW23" s="82">
        <f t="shared" si="20"/>
        <v>37023.0338541668</v>
      </c>
      <c r="BX23" s="82">
        <f t="shared" si="21"/>
        <v>37023.0338541668</v>
      </c>
      <c r="BY23" s="82">
        <f t="shared" si="22"/>
        <v>37023.0338541668</v>
      </c>
      <c r="BZ23" s="82">
        <f t="shared" si="23"/>
        <v>37023.0338541668</v>
      </c>
      <c r="CA23" s="82">
        <f t="shared" si="24"/>
        <v>37023.0338541668</v>
      </c>
      <c r="CB23" s="82">
        <f t="shared" si="25"/>
        <v>37023.0338541668</v>
      </c>
      <c r="CC23" s="82">
        <f t="shared" si="26"/>
        <v>37023.0338541668</v>
      </c>
      <c r="CD23" s="82">
        <f t="shared" si="27"/>
        <v>6253.7291666667</v>
      </c>
    </row>
    <row r="24" s="370" customFormat="1" ht="27" customHeight="1" spans="1:82">
      <c r="A24" s="389">
        <v>46065</v>
      </c>
      <c r="B24" s="409" t="s">
        <v>1074</v>
      </c>
      <c r="C24" s="409" t="s">
        <v>117</v>
      </c>
      <c r="D24" s="409">
        <v>4500193767</v>
      </c>
      <c r="E24" s="409">
        <v>272590</v>
      </c>
      <c r="F24" s="409" t="s">
        <v>1647</v>
      </c>
      <c r="G24" s="393" t="s">
        <v>188</v>
      </c>
      <c r="H24" s="390" t="s">
        <v>120</v>
      </c>
      <c r="I24" s="394">
        <v>4596</v>
      </c>
      <c r="J24" s="394">
        <v>0</v>
      </c>
      <c r="K24" s="394">
        <v>12</v>
      </c>
      <c r="L24" s="394">
        <f t="shared" si="1"/>
        <v>383</v>
      </c>
      <c r="M24" s="395">
        <v>46113</v>
      </c>
      <c r="N24" s="395">
        <f>M24-4</f>
        <v>46109</v>
      </c>
      <c r="O24" s="396"/>
      <c r="P24" s="396" t="s">
        <v>224</v>
      </c>
      <c r="Q24" s="396" t="s">
        <v>1648</v>
      </c>
      <c r="R24" s="403">
        <v>46081</v>
      </c>
      <c r="S24" s="405" t="s">
        <v>80</v>
      </c>
      <c r="T24" s="396" t="s">
        <v>1645</v>
      </c>
      <c r="U24" s="396"/>
      <c r="V24" s="396"/>
      <c r="W24" s="396"/>
      <c r="X24" s="358" t="s">
        <v>1646</v>
      </c>
      <c r="Y24" s="395" t="s">
        <v>1079</v>
      </c>
      <c r="Z24" s="399">
        <v>0.9082</v>
      </c>
      <c r="AA24" s="394">
        <f t="shared" si="30"/>
        <v>4174.0872</v>
      </c>
      <c r="AB24" s="395"/>
      <c r="AC24" s="358">
        <v>4596</v>
      </c>
      <c r="AD24" s="358">
        <f t="shared" si="41"/>
        <v>0</v>
      </c>
      <c r="AE24" s="396" t="s">
        <v>113</v>
      </c>
      <c r="AF24" s="396" t="s">
        <v>114</v>
      </c>
      <c r="AG24" s="395" t="s">
        <v>119</v>
      </c>
      <c r="AH24" s="395" t="s">
        <v>115</v>
      </c>
      <c r="AI24" s="401">
        <f>I24*2</f>
        <v>9192</v>
      </c>
      <c r="AJ24" s="401"/>
      <c r="AK24" s="401">
        <f>I24*2</f>
        <v>9192</v>
      </c>
      <c r="AL24" s="401"/>
      <c r="AM24" s="401">
        <f>I24*2</f>
        <v>9192</v>
      </c>
      <c r="AN24" s="401"/>
      <c r="AO24" s="401"/>
      <c r="AP24" s="401"/>
      <c r="AQ24" s="401">
        <f>I24*2</f>
        <v>9192</v>
      </c>
      <c r="AR24" s="401"/>
      <c r="AS24" s="401"/>
      <c r="AT24" s="401"/>
      <c r="AU24" s="401"/>
      <c r="AV24" s="401"/>
      <c r="AW24" s="401"/>
      <c r="AX24" s="401"/>
      <c r="AY24" s="401"/>
      <c r="AZ24" s="401"/>
      <c r="BA24" s="401"/>
      <c r="BB24" s="401"/>
      <c r="BC24" s="401"/>
      <c r="BD24" s="401"/>
      <c r="BE24" s="401"/>
      <c r="BF24" s="401"/>
      <c r="BG24" s="401"/>
      <c r="BH24" s="401">
        <f>I24</f>
        <v>4596</v>
      </c>
      <c r="BI24" s="401">
        <f>I24</f>
        <v>4596</v>
      </c>
      <c r="BJ24" s="401"/>
      <c r="BK24" s="401"/>
      <c r="BL24" s="82">
        <f t="shared" ref="BL24:BT24" si="43">$I24*BL$2*2</f>
        <v>1125.0625</v>
      </c>
      <c r="BM24" s="82">
        <f t="shared" si="43"/>
        <v>1125.0625</v>
      </c>
      <c r="BN24" s="82">
        <f t="shared" si="43"/>
        <v>1125.0625</v>
      </c>
      <c r="BO24" s="82">
        <f t="shared" si="43"/>
        <v>1125.0625</v>
      </c>
      <c r="BP24" s="82">
        <f t="shared" si="43"/>
        <v>1125.0625</v>
      </c>
      <c r="BQ24" s="82">
        <f t="shared" si="43"/>
        <v>1125.0625</v>
      </c>
      <c r="BR24" s="82">
        <f t="shared" si="43"/>
        <v>1125.0625</v>
      </c>
      <c r="BS24" s="82">
        <f t="shared" si="43"/>
        <v>1125.0625</v>
      </c>
      <c r="BT24" s="82">
        <f t="shared" si="43"/>
        <v>191.5</v>
      </c>
      <c r="BV24" s="82">
        <f t="shared" si="19"/>
        <v>35897.9713541668</v>
      </c>
      <c r="BW24" s="82">
        <f t="shared" si="20"/>
        <v>35897.9713541668</v>
      </c>
      <c r="BX24" s="82">
        <f t="shared" si="21"/>
        <v>35897.9713541668</v>
      </c>
      <c r="BY24" s="82">
        <f t="shared" si="22"/>
        <v>35897.9713541668</v>
      </c>
      <c r="BZ24" s="82">
        <f t="shared" si="23"/>
        <v>35897.9713541668</v>
      </c>
      <c r="CA24" s="82">
        <f t="shared" si="24"/>
        <v>35897.9713541668</v>
      </c>
      <c r="CB24" s="82">
        <f t="shared" si="25"/>
        <v>35897.9713541668</v>
      </c>
      <c r="CC24" s="82">
        <f t="shared" si="26"/>
        <v>35897.9713541668</v>
      </c>
      <c r="CD24" s="82">
        <f t="shared" si="27"/>
        <v>6062.2291666667</v>
      </c>
    </row>
    <row r="25" s="370" customFormat="1" ht="27" customHeight="1" spans="1:82">
      <c r="A25" s="389">
        <v>46065</v>
      </c>
      <c r="B25" s="390" t="s">
        <v>1074</v>
      </c>
      <c r="C25" s="391" t="s">
        <v>117</v>
      </c>
      <c r="D25" s="392">
        <v>4500193770</v>
      </c>
      <c r="E25" s="391">
        <v>272592</v>
      </c>
      <c r="F25" s="536" t="s">
        <v>1649</v>
      </c>
      <c r="G25" s="393" t="s">
        <v>188</v>
      </c>
      <c r="H25" s="390" t="s">
        <v>120</v>
      </c>
      <c r="I25" s="394">
        <v>996</v>
      </c>
      <c r="J25" s="394">
        <v>0</v>
      </c>
      <c r="K25" s="394">
        <v>12</v>
      </c>
      <c r="L25" s="394">
        <f t="shared" si="1"/>
        <v>83</v>
      </c>
      <c r="M25" s="395">
        <v>46122</v>
      </c>
      <c r="N25" s="395">
        <v>46118</v>
      </c>
      <c r="O25" s="396"/>
      <c r="P25" s="396" t="s">
        <v>107</v>
      </c>
      <c r="Q25" s="396" t="s">
        <v>1650</v>
      </c>
      <c r="R25" s="403">
        <v>46081</v>
      </c>
      <c r="S25" s="405" t="s">
        <v>80</v>
      </c>
      <c r="T25" s="396" t="s">
        <v>1645</v>
      </c>
      <c r="U25" s="396"/>
      <c r="V25" s="396"/>
      <c r="W25" s="396"/>
      <c r="X25" s="358" t="s">
        <v>1646</v>
      </c>
      <c r="Y25" s="395" t="s">
        <v>1079</v>
      </c>
      <c r="Z25" s="399">
        <v>1.1176</v>
      </c>
      <c r="AA25" s="394">
        <f t="shared" si="30"/>
        <v>1113.1296</v>
      </c>
      <c r="AB25" s="395"/>
      <c r="AC25" s="358">
        <v>996</v>
      </c>
      <c r="AD25" s="358">
        <f t="shared" si="41"/>
        <v>0</v>
      </c>
      <c r="AE25" s="396" t="s">
        <v>113</v>
      </c>
      <c r="AF25" s="396" t="s">
        <v>114</v>
      </c>
      <c r="AG25" s="395" t="s">
        <v>119</v>
      </c>
      <c r="AH25" s="395" t="s">
        <v>115</v>
      </c>
      <c r="AI25" s="401">
        <f>I25*2</f>
        <v>1992</v>
      </c>
      <c r="AJ25" s="401"/>
      <c r="AK25" s="401">
        <f>I25*2</f>
        <v>1992</v>
      </c>
      <c r="AL25" s="401"/>
      <c r="AM25" s="401">
        <f>I25*2</f>
        <v>1992</v>
      </c>
      <c r="AN25" s="401"/>
      <c r="AO25" s="401"/>
      <c r="AP25" s="401"/>
      <c r="AQ25" s="401">
        <f>I25*2</f>
        <v>1992</v>
      </c>
      <c r="AR25" s="401"/>
      <c r="AS25" s="401"/>
      <c r="AT25" s="401"/>
      <c r="AU25" s="401"/>
      <c r="AV25" s="401"/>
      <c r="AW25" s="401"/>
      <c r="AX25" s="401"/>
      <c r="AY25" s="401"/>
      <c r="AZ25" s="401"/>
      <c r="BA25" s="401"/>
      <c r="BB25" s="401"/>
      <c r="BC25" s="401"/>
      <c r="BD25" s="401"/>
      <c r="BE25" s="401"/>
      <c r="BF25" s="401"/>
      <c r="BG25" s="401"/>
      <c r="BH25" s="401">
        <f>I25</f>
        <v>996</v>
      </c>
      <c r="BI25" s="401">
        <f>I25</f>
        <v>996</v>
      </c>
      <c r="BJ25" s="401"/>
      <c r="BK25" s="401"/>
      <c r="BL25" s="82">
        <f t="shared" ref="BL25:BT25" si="44">$I25*BL$2*2</f>
        <v>243.812499999999</v>
      </c>
      <c r="BM25" s="82">
        <f t="shared" si="44"/>
        <v>243.812499999999</v>
      </c>
      <c r="BN25" s="82">
        <f t="shared" si="44"/>
        <v>243.812499999999</v>
      </c>
      <c r="BO25" s="82">
        <f t="shared" si="44"/>
        <v>243.812499999999</v>
      </c>
      <c r="BP25" s="82">
        <f t="shared" si="44"/>
        <v>243.812499999999</v>
      </c>
      <c r="BQ25" s="82">
        <f t="shared" si="44"/>
        <v>243.812499999999</v>
      </c>
      <c r="BR25" s="82">
        <f t="shared" si="44"/>
        <v>243.812499999999</v>
      </c>
      <c r="BS25" s="82">
        <f t="shared" si="44"/>
        <v>243.812499999999</v>
      </c>
      <c r="BT25" s="82">
        <f t="shared" si="44"/>
        <v>41.4999999999999</v>
      </c>
      <c r="BV25" s="82">
        <f t="shared" si="19"/>
        <v>35654.1588541668</v>
      </c>
      <c r="BW25" s="82">
        <f t="shared" si="20"/>
        <v>35654.1588541668</v>
      </c>
      <c r="BX25" s="82">
        <f t="shared" si="21"/>
        <v>35654.1588541668</v>
      </c>
      <c r="BY25" s="82">
        <f t="shared" si="22"/>
        <v>35654.1588541668</v>
      </c>
      <c r="BZ25" s="82">
        <f t="shared" si="23"/>
        <v>35654.1588541668</v>
      </c>
      <c r="CA25" s="82">
        <f t="shared" si="24"/>
        <v>35654.1588541668</v>
      </c>
      <c r="CB25" s="82">
        <f t="shared" si="25"/>
        <v>35654.1588541668</v>
      </c>
      <c r="CC25" s="82">
        <f t="shared" si="26"/>
        <v>35654.1588541668</v>
      </c>
      <c r="CD25" s="82">
        <f t="shared" si="27"/>
        <v>6020.7291666667</v>
      </c>
    </row>
    <row r="26" s="370" customFormat="1" ht="27" customHeight="1" spans="1:82">
      <c r="A26" s="389">
        <v>46065</v>
      </c>
      <c r="B26" s="390" t="s">
        <v>1074</v>
      </c>
      <c r="C26" s="391" t="s">
        <v>117</v>
      </c>
      <c r="D26" s="392">
        <v>4500193771</v>
      </c>
      <c r="E26" s="391">
        <v>272596</v>
      </c>
      <c r="F26" s="390" t="s">
        <v>1651</v>
      </c>
      <c r="G26" s="393" t="s">
        <v>188</v>
      </c>
      <c r="H26" s="390" t="s">
        <v>120</v>
      </c>
      <c r="I26" s="394">
        <v>1200</v>
      </c>
      <c r="J26" s="394">
        <v>0</v>
      </c>
      <c r="K26" s="394">
        <v>12</v>
      </c>
      <c r="L26" s="394">
        <f t="shared" si="1"/>
        <v>100</v>
      </c>
      <c r="M26" s="395">
        <v>46122</v>
      </c>
      <c r="N26" s="395">
        <v>46118</v>
      </c>
      <c r="O26" s="396"/>
      <c r="P26" s="396" t="s">
        <v>107</v>
      </c>
      <c r="Q26" s="396" t="s">
        <v>218</v>
      </c>
      <c r="R26" s="403">
        <v>46081</v>
      </c>
      <c r="S26" s="405" t="s">
        <v>80</v>
      </c>
      <c r="T26" s="396" t="s">
        <v>1645</v>
      </c>
      <c r="U26" s="396"/>
      <c r="V26" s="396"/>
      <c r="W26" s="396"/>
      <c r="X26" s="358" t="s">
        <v>1652</v>
      </c>
      <c r="Y26" s="395" t="s">
        <v>1079</v>
      </c>
      <c r="Z26" s="399">
        <v>0.9147</v>
      </c>
      <c r="AA26" s="394">
        <f t="shared" si="30"/>
        <v>1097.64</v>
      </c>
      <c r="AB26" s="395"/>
      <c r="AC26" s="358">
        <v>1200</v>
      </c>
      <c r="AD26" s="358">
        <f t="shared" si="41"/>
        <v>0</v>
      </c>
      <c r="AE26" s="396" t="s">
        <v>113</v>
      </c>
      <c r="AF26" s="396" t="s">
        <v>114</v>
      </c>
      <c r="AG26" s="395" t="s">
        <v>119</v>
      </c>
      <c r="AH26" s="395" t="s">
        <v>115</v>
      </c>
      <c r="AI26" s="401">
        <f>I26*2</f>
        <v>2400</v>
      </c>
      <c r="AJ26" s="401"/>
      <c r="AK26" s="401">
        <f>I26*2</f>
        <v>2400</v>
      </c>
      <c r="AL26" s="401"/>
      <c r="AM26" s="401">
        <f>I26*2</f>
        <v>2400</v>
      </c>
      <c r="AN26" s="401"/>
      <c r="AO26" s="401"/>
      <c r="AP26" s="401"/>
      <c r="AQ26" s="401">
        <f>I26*2</f>
        <v>2400</v>
      </c>
      <c r="AR26" s="401"/>
      <c r="AS26" s="401"/>
      <c r="AT26" s="401"/>
      <c r="AU26" s="401"/>
      <c r="AV26" s="401"/>
      <c r="AW26" s="401"/>
      <c r="AX26" s="401"/>
      <c r="AY26" s="401"/>
      <c r="AZ26" s="401"/>
      <c r="BA26" s="401"/>
      <c r="BB26" s="401"/>
      <c r="BC26" s="401"/>
      <c r="BD26" s="401"/>
      <c r="BE26" s="401"/>
      <c r="BF26" s="401"/>
      <c r="BG26" s="401"/>
      <c r="BH26" s="401">
        <f>I26</f>
        <v>1200</v>
      </c>
      <c r="BI26" s="401">
        <f>I26</f>
        <v>1200</v>
      </c>
      <c r="BJ26" s="401"/>
      <c r="BK26" s="401"/>
      <c r="BL26" s="82">
        <f t="shared" ref="BL26:BT26" si="45">$I26*BL$2*2</f>
        <v>293.749999999999</v>
      </c>
      <c r="BM26" s="82">
        <f t="shared" si="45"/>
        <v>293.749999999999</v>
      </c>
      <c r="BN26" s="82">
        <f t="shared" si="45"/>
        <v>293.749999999999</v>
      </c>
      <c r="BO26" s="82">
        <f t="shared" si="45"/>
        <v>293.749999999999</v>
      </c>
      <c r="BP26" s="82">
        <f t="shared" si="45"/>
        <v>293.749999999999</v>
      </c>
      <c r="BQ26" s="82">
        <f t="shared" si="45"/>
        <v>293.749999999999</v>
      </c>
      <c r="BR26" s="82">
        <f t="shared" si="45"/>
        <v>293.749999999999</v>
      </c>
      <c r="BS26" s="82">
        <f t="shared" si="45"/>
        <v>293.749999999999</v>
      </c>
      <c r="BT26" s="82">
        <f t="shared" si="45"/>
        <v>49.9999999999999</v>
      </c>
      <c r="BV26" s="82">
        <f t="shared" si="19"/>
        <v>35360.4088541668</v>
      </c>
      <c r="BW26" s="82">
        <f t="shared" si="20"/>
        <v>35360.4088541668</v>
      </c>
      <c r="BX26" s="82">
        <f t="shared" si="21"/>
        <v>35360.4088541668</v>
      </c>
      <c r="BY26" s="82">
        <f t="shared" si="22"/>
        <v>35360.4088541668</v>
      </c>
      <c r="BZ26" s="82">
        <f t="shared" si="23"/>
        <v>35360.4088541668</v>
      </c>
      <c r="CA26" s="82">
        <f t="shared" si="24"/>
        <v>35360.4088541668</v>
      </c>
      <c r="CB26" s="82">
        <f t="shared" si="25"/>
        <v>35360.4088541668</v>
      </c>
      <c r="CC26" s="82">
        <f t="shared" si="26"/>
        <v>35360.4088541668</v>
      </c>
      <c r="CD26" s="82">
        <f t="shared" si="27"/>
        <v>5970.7291666667</v>
      </c>
    </row>
    <row r="27" s="370" customFormat="1" ht="27" customHeight="1" spans="1:82">
      <c r="A27" s="389">
        <v>46065</v>
      </c>
      <c r="B27" s="390" t="s">
        <v>1514</v>
      </c>
      <c r="C27" s="391" t="s">
        <v>1515</v>
      </c>
      <c r="D27" s="392">
        <v>4500193874</v>
      </c>
      <c r="E27" s="391">
        <v>21214261</v>
      </c>
      <c r="F27" s="390" t="s">
        <v>1653</v>
      </c>
      <c r="G27" s="393" t="s">
        <v>152</v>
      </c>
      <c r="H27" s="390" t="s">
        <v>153</v>
      </c>
      <c r="I27" s="394">
        <v>2405</v>
      </c>
      <c r="J27" s="394">
        <v>0</v>
      </c>
      <c r="K27" s="394">
        <v>13</v>
      </c>
      <c r="L27" s="394">
        <f t="shared" si="1"/>
        <v>185</v>
      </c>
      <c r="M27" s="395">
        <v>46125</v>
      </c>
      <c r="N27" s="395">
        <v>46121</v>
      </c>
      <c r="O27" s="396"/>
      <c r="P27" s="396" t="s">
        <v>224</v>
      </c>
      <c r="Q27" s="396" t="s">
        <v>1654</v>
      </c>
      <c r="R27" s="403">
        <v>46078</v>
      </c>
      <c r="S27" s="405" t="s">
        <v>80</v>
      </c>
      <c r="T27" s="396" t="s">
        <v>1655</v>
      </c>
      <c r="U27" s="396" t="s">
        <v>1656</v>
      </c>
      <c r="V27" s="396"/>
      <c r="W27" s="396"/>
      <c r="X27" s="358" t="s">
        <v>1657</v>
      </c>
      <c r="Y27" s="395" t="s">
        <v>1410</v>
      </c>
      <c r="Z27" s="399">
        <v>0.7931</v>
      </c>
      <c r="AA27" s="394">
        <f t="shared" si="30"/>
        <v>1907.4055</v>
      </c>
      <c r="AB27" s="395"/>
      <c r="AC27" s="358">
        <f>2379+26</f>
        <v>2405</v>
      </c>
      <c r="AD27" s="358">
        <f t="shared" si="41"/>
        <v>0</v>
      </c>
      <c r="AE27" s="396" t="s">
        <v>113</v>
      </c>
      <c r="AF27" s="396" t="s">
        <v>114</v>
      </c>
      <c r="AG27" s="393" t="s">
        <v>319</v>
      </c>
      <c r="AH27" s="395" t="s">
        <v>115</v>
      </c>
      <c r="AI27" s="401">
        <f>I27</f>
        <v>2405</v>
      </c>
      <c r="AJ27" s="401"/>
      <c r="AK27" s="401">
        <f>I27</f>
        <v>2405</v>
      </c>
      <c r="AL27" s="401"/>
      <c r="AM27" s="401"/>
      <c r="AN27" s="401">
        <f>I27</f>
        <v>2405</v>
      </c>
      <c r="AO27" s="401"/>
      <c r="AP27" s="401"/>
      <c r="AQ27" s="401">
        <f>I27</f>
        <v>2405</v>
      </c>
      <c r="AR27" s="401"/>
      <c r="AS27" s="401"/>
      <c r="AT27" s="401"/>
      <c r="AU27" s="401"/>
      <c r="AV27" s="401"/>
      <c r="AW27" s="401">
        <f>I27/13</f>
        <v>185</v>
      </c>
      <c r="AX27" s="401"/>
      <c r="AY27" s="401"/>
      <c r="AZ27" s="401"/>
      <c r="BA27" s="401"/>
      <c r="BB27" s="401"/>
      <c r="BC27" s="401"/>
      <c r="BD27" s="401"/>
      <c r="BE27" s="401"/>
      <c r="BF27" s="401"/>
      <c r="BG27" s="401"/>
      <c r="BH27" s="401"/>
      <c r="BI27" s="401"/>
      <c r="BJ27" s="401"/>
      <c r="BK27" s="401"/>
      <c r="BL27" s="82">
        <f t="shared" ref="BL27:BT27" si="46">$I27*BL$2</f>
        <v>294.361979166666</v>
      </c>
      <c r="BM27" s="82">
        <f t="shared" si="46"/>
        <v>294.361979166666</v>
      </c>
      <c r="BN27" s="82">
        <f t="shared" si="46"/>
        <v>294.361979166666</v>
      </c>
      <c r="BO27" s="82">
        <f t="shared" si="46"/>
        <v>294.361979166666</v>
      </c>
      <c r="BP27" s="82">
        <f t="shared" si="46"/>
        <v>294.361979166666</v>
      </c>
      <c r="BQ27" s="82">
        <f t="shared" si="46"/>
        <v>294.361979166666</v>
      </c>
      <c r="BR27" s="82">
        <f t="shared" si="46"/>
        <v>294.361979166666</v>
      </c>
      <c r="BS27" s="82">
        <f t="shared" si="46"/>
        <v>294.361979166666</v>
      </c>
      <c r="BT27" s="82">
        <f t="shared" si="46"/>
        <v>50.1041666666666</v>
      </c>
      <c r="BV27" s="82">
        <f t="shared" si="19"/>
        <v>35066.0468750001</v>
      </c>
      <c r="BW27" s="82">
        <f t="shared" si="20"/>
        <v>35066.0468750001</v>
      </c>
      <c r="BX27" s="82">
        <f t="shared" si="21"/>
        <v>35066.0468750001</v>
      </c>
      <c r="BY27" s="82">
        <f t="shared" si="22"/>
        <v>35066.0468750001</v>
      </c>
      <c r="BZ27" s="82">
        <f t="shared" si="23"/>
        <v>35066.0468750001</v>
      </c>
      <c r="CA27" s="82">
        <f t="shared" si="24"/>
        <v>35066.0468750001</v>
      </c>
      <c r="CB27" s="82">
        <f t="shared" si="25"/>
        <v>35066.0468750001</v>
      </c>
      <c r="CC27" s="82">
        <f t="shared" si="26"/>
        <v>35066.0468750001</v>
      </c>
      <c r="CD27" s="82">
        <f t="shared" si="27"/>
        <v>5920.62500000003</v>
      </c>
    </row>
    <row r="28" s="371" customFormat="1" ht="27" customHeight="1" spans="1:82">
      <c r="A28" s="410">
        <v>46041</v>
      </c>
      <c r="B28" s="411" t="s">
        <v>1658</v>
      </c>
      <c r="C28" s="412" t="s">
        <v>203</v>
      </c>
      <c r="D28" s="413">
        <v>4500191695</v>
      </c>
      <c r="E28" s="412">
        <v>2026001079</v>
      </c>
      <c r="F28" s="413" t="s">
        <v>1659</v>
      </c>
      <c r="G28" s="414" t="s">
        <v>131</v>
      </c>
      <c r="H28" s="411" t="s">
        <v>1533</v>
      </c>
      <c r="I28" s="415">
        <v>4590</v>
      </c>
      <c r="J28" s="415">
        <v>0</v>
      </c>
      <c r="K28" s="415">
        <v>27</v>
      </c>
      <c r="L28" s="415">
        <f t="shared" si="1"/>
        <v>170</v>
      </c>
      <c r="M28" s="416">
        <v>46129</v>
      </c>
      <c r="N28" s="416">
        <v>46125</v>
      </c>
      <c r="O28" s="417"/>
      <c r="P28" s="371" t="s">
        <v>107</v>
      </c>
      <c r="Q28" s="417" t="s">
        <v>225</v>
      </c>
      <c r="R28" s="418">
        <v>46048</v>
      </c>
      <c r="S28" s="419" t="s">
        <v>80</v>
      </c>
      <c r="T28" s="417" t="s">
        <v>1660</v>
      </c>
      <c r="U28" s="417" t="s">
        <v>1656</v>
      </c>
      <c r="V28" s="417"/>
      <c r="W28" s="417"/>
      <c r="X28" s="420" t="s">
        <v>1661</v>
      </c>
      <c r="Y28" s="416" t="s">
        <v>144</v>
      </c>
      <c r="Z28" s="421">
        <v>0.7581</v>
      </c>
      <c r="AA28" s="415">
        <f t="shared" si="30"/>
        <v>3479.679</v>
      </c>
      <c r="AB28" s="416"/>
      <c r="AC28" s="420">
        <v>4590</v>
      </c>
      <c r="AD28" s="358">
        <f t="shared" si="41"/>
        <v>0</v>
      </c>
      <c r="AE28" s="417" t="s">
        <v>113</v>
      </c>
      <c r="AF28" s="417" t="s">
        <v>114</v>
      </c>
      <c r="AG28" s="416" t="s">
        <v>434</v>
      </c>
      <c r="AH28" s="416" t="s">
        <v>115</v>
      </c>
      <c r="AI28" s="422">
        <f>I28</f>
        <v>4590</v>
      </c>
      <c r="AJ28" s="422"/>
      <c r="AK28" s="422">
        <f>I28</f>
        <v>4590</v>
      </c>
      <c r="AL28" s="422"/>
      <c r="AM28" s="422"/>
      <c r="AN28" s="422">
        <f>I28</f>
        <v>4590</v>
      </c>
      <c r="AO28" s="422"/>
      <c r="AP28" s="422"/>
      <c r="AQ28" s="422">
        <f>I28</f>
        <v>4590</v>
      </c>
      <c r="AR28" s="422"/>
      <c r="AS28" s="422"/>
      <c r="AT28" s="422"/>
      <c r="AU28" s="422">
        <f>I28/27</f>
        <v>170</v>
      </c>
      <c r="AV28" s="422"/>
      <c r="AW28" s="422"/>
      <c r="AX28" s="422"/>
      <c r="AY28" s="422"/>
      <c r="AZ28" s="422"/>
      <c r="BA28" s="422"/>
      <c r="BB28" s="422"/>
      <c r="BC28" s="422"/>
      <c r="BD28" s="422"/>
      <c r="BE28" s="422"/>
      <c r="BF28" s="422"/>
      <c r="BG28" s="422"/>
      <c r="BH28" s="422"/>
      <c r="BI28" s="422"/>
      <c r="BJ28" s="422"/>
      <c r="BK28" s="422"/>
      <c r="BL28" s="423">
        <f t="shared" ref="BL28:BT28" si="47">$I28*BL$2</f>
        <v>561.796874999998</v>
      </c>
      <c r="BM28" s="423">
        <f t="shared" si="47"/>
        <v>561.796874999998</v>
      </c>
      <c r="BN28" s="423">
        <f t="shared" si="47"/>
        <v>561.796874999998</v>
      </c>
      <c r="BO28" s="423">
        <f t="shared" si="47"/>
        <v>561.796874999998</v>
      </c>
      <c r="BP28" s="423">
        <f t="shared" si="47"/>
        <v>561.796874999998</v>
      </c>
      <c r="BQ28" s="423">
        <f t="shared" si="47"/>
        <v>561.796874999998</v>
      </c>
      <c r="BR28" s="423">
        <f t="shared" si="47"/>
        <v>561.796874999998</v>
      </c>
      <c r="BS28" s="423">
        <f t="shared" si="47"/>
        <v>561.796874999998</v>
      </c>
      <c r="BT28" s="423">
        <f t="shared" si="47"/>
        <v>95.6249999999999</v>
      </c>
      <c r="BV28" s="82">
        <f t="shared" si="19"/>
        <v>34504.2500000001</v>
      </c>
      <c r="BW28" s="82">
        <f t="shared" si="20"/>
        <v>34504.2500000001</v>
      </c>
      <c r="BX28" s="82">
        <f t="shared" si="21"/>
        <v>34504.2500000001</v>
      </c>
      <c r="BY28" s="82">
        <f t="shared" si="22"/>
        <v>34504.2500000001</v>
      </c>
      <c r="BZ28" s="82">
        <f t="shared" si="23"/>
        <v>34504.2500000001</v>
      </c>
      <c r="CA28" s="82">
        <f t="shared" si="24"/>
        <v>34504.2500000001</v>
      </c>
      <c r="CB28" s="82">
        <f t="shared" si="25"/>
        <v>34504.2500000001</v>
      </c>
      <c r="CC28" s="82">
        <f t="shared" si="26"/>
        <v>34504.2500000001</v>
      </c>
      <c r="CD28" s="82">
        <f t="shared" si="27"/>
        <v>5825.00000000003</v>
      </c>
    </row>
    <row r="29" s="371" customFormat="1" ht="27" customHeight="1" spans="1:82">
      <c r="A29" s="410">
        <v>46091</v>
      </c>
      <c r="B29" s="411" t="s">
        <v>1662</v>
      </c>
      <c r="C29" s="412" t="s">
        <v>1663</v>
      </c>
      <c r="D29" s="413">
        <v>4500195981</v>
      </c>
      <c r="E29" s="412"/>
      <c r="F29" s="411" t="s">
        <v>1664</v>
      </c>
      <c r="G29" s="414" t="s">
        <v>78</v>
      </c>
      <c r="H29" s="411" t="s">
        <v>79</v>
      </c>
      <c r="I29" s="415">
        <v>540</v>
      </c>
      <c r="J29" s="415">
        <v>0</v>
      </c>
      <c r="K29" s="415">
        <v>54</v>
      </c>
      <c r="L29" s="415">
        <f t="shared" si="1"/>
        <v>10</v>
      </c>
      <c r="M29" s="416">
        <v>46126</v>
      </c>
      <c r="N29" s="416">
        <v>46126</v>
      </c>
      <c r="O29" s="417"/>
      <c r="P29" s="422" t="s">
        <v>224</v>
      </c>
      <c r="Q29" s="417" t="s">
        <v>189</v>
      </c>
      <c r="R29" s="418">
        <v>46094</v>
      </c>
      <c r="S29" s="424" t="s">
        <v>80</v>
      </c>
      <c r="T29" s="425" t="s">
        <v>1665</v>
      </c>
      <c r="U29" s="417"/>
      <c r="V29" s="417"/>
      <c r="W29" s="417"/>
      <c r="X29" s="420" t="s">
        <v>1666</v>
      </c>
      <c r="Y29" s="416" t="s">
        <v>167</v>
      </c>
      <c r="Z29" s="421">
        <v>0.8296</v>
      </c>
      <c r="AA29" s="415">
        <f t="shared" si="30"/>
        <v>447.984</v>
      </c>
      <c r="AB29" s="416"/>
      <c r="AC29" s="420">
        <v>540</v>
      </c>
      <c r="AD29" s="420">
        <f t="shared" si="41"/>
        <v>0</v>
      </c>
      <c r="AE29" s="417" t="s">
        <v>113</v>
      </c>
      <c r="AF29" s="417" t="s">
        <v>114</v>
      </c>
      <c r="AG29" s="416" t="s">
        <v>230</v>
      </c>
      <c r="AH29" s="416" t="s">
        <v>115</v>
      </c>
      <c r="AI29" s="422">
        <f>I29</f>
        <v>540</v>
      </c>
      <c r="AJ29" s="422"/>
      <c r="AK29" s="422">
        <f>I29</f>
        <v>540</v>
      </c>
      <c r="AL29" s="422"/>
      <c r="AM29" s="422"/>
      <c r="AN29" s="422">
        <f>I29</f>
        <v>540</v>
      </c>
      <c r="AO29" s="422"/>
      <c r="AP29" s="422"/>
      <c r="AQ29" s="422">
        <f>I29</f>
        <v>540</v>
      </c>
      <c r="AR29" s="422"/>
      <c r="AS29" s="422">
        <f>I29/27</f>
        <v>20</v>
      </c>
      <c r="AT29" s="422"/>
      <c r="AV29" s="422"/>
      <c r="AW29" s="422"/>
      <c r="AX29" s="422"/>
      <c r="AY29" s="422"/>
      <c r="AZ29" s="422"/>
      <c r="BA29" s="422"/>
      <c r="BB29" s="422"/>
      <c r="BC29" s="422"/>
      <c r="BD29" s="422"/>
      <c r="BE29" s="422"/>
      <c r="BF29" s="422"/>
      <c r="BG29" s="422"/>
      <c r="BH29" s="422"/>
      <c r="BI29" s="422"/>
      <c r="BJ29" s="422"/>
      <c r="BK29" s="422"/>
      <c r="BL29" s="423">
        <f t="shared" ref="BL29:BT29" si="48">$I29*BL$2</f>
        <v>66.0937499999998</v>
      </c>
      <c r="BM29" s="423">
        <f t="shared" si="48"/>
        <v>66.0937499999998</v>
      </c>
      <c r="BN29" s="423">
        <f t="shared" si="48"/>
        <v>66.0937499999998</v>
      </c>
      <c r="BO29" s="423">
        <f t="shared" si="48"/>
        <v>66.0937499999998</v>
      </c>
      <c r="BP29" s="423">
        <f t="shared" si="48"/>
        <v>66.0937499999998</v>
      </c>
      <c r="BQ29" s="423">
        <f t="shared" si="48"/>
        <v>66.0937499999998</v>
      </c>
      <c r="BR29" s="423">
        <f t="shared" si="48"/>
        <v>66.0937499999998</v>
      </c>
      <c r="BS29" s="423">
        <f t="shared" si="48"/>
        <v>66.0937499999998</v>
      </c>
      <c r="BT29" s="423">
        <f t="shared" si="48"/>
        <v>11.25</v>
      </c>
      <c r="BV29" s="82">
        <f t="shared" si="19"/>
        <v>34438.1562500001</v>
      </c>
      <c r="BW29" s="82">
        <f t="shared" si="20"/>
        <v>34438.1562500001</v>
      </c>
      <c r="BX29" s="82">
        <f t="shared" si="21"/>
        <v>34438.1562500001</v>
      </c>
      <c r="BY29" s="82">
        <f t="shared" si="22"/>
        <v>34438.1562500001</v>
      </c>
      <c r="BZ29" s="82">
        <f t="shared" si="23"/>
        <v>34438.1562500001</v>
      </c>
      <c r="CA29" s="82">
        <f t="shared" si="24"/>
        <v>34438.1562500001</v>
      </c>
      <c r="CB29" s="82">
        <f t="shared" si="25"/>
        <v>34438.1562500001</v>
      </c>
      <c r="CC29" s="82">
        <f t="shared" si="26"/>
        <v>34438.1562500001</v>
      </c>
      <c r="CD29" s="82">
        <f t="shared" si="27"/>
        <v>5813.75000000003</v>
      </c>
    </row>
    <row r="30" s="371" customFormat="1" ht="27" customHeight="1" spans="1:82">
      <c r="A30" s="410">
        <v>46087</v>
      </c>
      <c r="B30" s="411" t="s">
        <v>1074</v>
      </c>
      <c r="C30" s="412" t="s">
        <v>117</v>
      </c>
      <c r="D30" s="413">
        <v>4500195559</v>
      </c>
      <c r="E30" s="412">
        <v>332427</v>
      </c>
      <c r="F30" s="413" t="s">
        <v>1667</v>
      </c>
      <c r="G30" s="414" t="s">
        <v>188</v>
      </c>
      <c r="H30" s="411" t="s">
        <v>120</v>
      </c>
      <c r="I30" s="415">
        <v>996</v>
      </c>
      <c r="J30" s="415">
        <v>0</v>
      </c>
      <c r="K30" s="415">
        <v>12</v>
      </c>
      <c r="L30" s="415">
        <f t="shared" si="1"/>
        <v>83</v>
      </c>
      <c r="M30" s="416">
        <v>46141</v>
      </c>
      <c r="N30" s="416">
        <v>46137</v>
      </c>
      <c r="O30" s="417"/>
      <c r="P30" s="417" t="s">
        <v>224</v>
      </c>
      <c r="Q30" s="417" t="s">
        <v>1668</v>
      </c>
      <c r="R30" s="418">
        <v>46090</v>
      </c>
      <c r="S30" s="419" t="s">
        <v>80</v>
      </c>
      <c r="T30" s="417" t="s">
        <v>1669</v>
      </c>
      <c r="U30" s="417"/>
      <c r="V30" s="417"/>
      <c r="W30" s="417"/>
      <c r="X30" s="420" t="s">
        <v>1670</v>
      </c>
      <c r="Y30" s="416" t="s">
        <v>1079</v>
      </c>
      <c r="Z30" s="421">
        <v>1.1176</v>
      </c>
      <c r="AA30" s="415">
        <f t="shared" si="30"/>
        <v>1113.1296</v>
      </c>
      <c r="AB30" s="416"/>
      <c r="AC30" s="420">
        <v>996</v>
      </c>
      <c r="AD30" s="420">
        <f t="shared" si="41"/>
        <v>0</v>
      </c>
      <c r="AE30" s="417"/>
      <c r="AF30" s="417" t="s">
        <v>114</v>
      </c>
      <c r="AG30" s="416" t="s">
        <v>119</v>
      </c>
      <c r="AH30" s="416" t="s">
        <v>115</v>
      </c>
      <c r="AI30" s="422">
        <f>I30*2</f>
        <v>1992</v>
      </c>
      <c r="AJ30" s="422"/>
      <c r="AK30" s="422">
        <f>I30*2</f>
        <v>1992</v>
      </c>
      <c r="AL30" s="422"/>
      <c r="AM30" s="422">
        <f>I30*2</f>
        <v>1992</v>
      </c>
      <c r="AN30" s="422"/>
      <c r="AO30" s="422"/>
      <c r="AP30" s="422"/>
      <c r="AQ30" s="422">
        <f>I30*2</f>
        <v>1992</v>
      </c>
      <c r="AR30" s="422"/>
      <c r="AS30" s="422"/>
      <c r="AT30" s="422"/>
      <c r="AU30" s="422"/>
      <c r="AV30" s="422"/>
      <c r="AW30" s="422"/>
      <c r="AX30" s="422"/>
      <c r="AY30" s="422"/>
      <c r="AZ30" s="422"/>
      <c r="BA30" s="422"/>
      <c r="BB30" s="422"/>
      <c r="BC30" s="422"/>
      <c r="BD30" s="422"/>
      <c r="BE30" s="422"/>
      <c r="BF30" s="422"/>
      <c r="BG30" s="422"/>
      <c r="BH30" s="422">
        <f>I30</f>
        <v>996</v>
      </c>
      <c r="BI30" s="422">
        <f>I30</f>
        <v>996</v>
      </c>
      <c r="BJ30" s="422"/>
      <c r="BK30" s="422"/>
      <c r="BL30" s="423">
        <f t="shared" ref="BL30:BT30" si="49">$I30*BL$2*2</f>
        <v>243.812499999999</v>
      </c>
      <c r="BM30" s="423">
        <f t="shared" si="49"/>
        <v>243.812499999999</v>
      </c>
      <c r="BN30" s="423">
        <f t="shared" si="49"/>
        <v>243.812499999999</v>
      </c>
      <c r="BO30" s="423">
        <f t="shared" si="49"/>
        <v>243.812499999999</v>
      </c>
      <c r="BP30" s="423">
        <f t="shared" si="49"/>
        <v>243.812499999999</v>
      </c>
      <c r="BQ30" s="423">
        <f t="shared" si="49"/>
        <v>243.812499999999</v>
      </c>
      <c r="BR30" s="423">
        <f t="shared" si="49"/>
        <v>243.812499999999</v>
      </c>
      <c r="BS30" s="423">
        <f t="shared" si="49"/>
        <v>243.812499999999</v>
      </c>
      <c r="BT30" s="423">
        <f t="shared" si="49"/>
        <v>41.4999999999999</v>
      </c>
      <c r="BV30" s="82">
        <f t="shared" si="19"/>
        <v>34194.3437500001</v>
      </c>
      <c r="BW30" s="82">
        <f t="shared" si="20"/>
        <v>34194.3437500001</v>
      </c>
      <c r="BX30" s="82">
        <f t="shared" si="21"/>
        <v>34194.3437500001</v>
      </c>
      <c r="BY30" s="82">
        <f t="shared" si="22"/>
        <v>34194.3437500001</v>
      </c>
      <c r="BZ30" s="82">
        <f t="shared" si="23"/>
        <v>34194.3437500001</v>
      </c>
      <c r="CA30" s="82">
        <f t="shared" si="24"/>
        <v>34194.3437500001</v>
      </c>
      <c r="CB30" s="82">
        <f t="shared" si="25"/>
        <v>34194.3437500001</v>
      </c>
      <c r="CC30" s="82">
        <f t="shared" si="26"/>
        <v>34194.3437500001</v>
      </c>
      <c r="CD30" s="82">
        <f t="shared" si="27"/>
        <v>5772.25000000003</v>
      </c>
    </row>
    <row r="31" s="371" customFormat="1" ht="27" customHeight="1" spans="1:82">
      <c r="A31" s="410">
        <v>46087</v>
      </c>
      <c r="B31" s="411" t="s">
        <v>1074</v>
      </c>
      <c r="C31" s="412" t="s">
        <v>117</v>
      </c>
      <c r="D31" s="413">
        <v>4500195560</v>
      </c>
      <c r="E31" s="412">
        <v>332429</v>
      </c>
      <c r="F31" s="413" t="s">
        <v>1671</v>
      </c>
      <c r="G31" s="414" t="s">
        <v>188</v>
      </c>
      <c r="H31" s="411" t="s">
        <v>120</v>
      </c>
      <c r="I31" s="415">
        <v>1200</v>
      </c>
      <c r="J31" s="415">
        <v>0</v>
      </c>
      <c r="K31" s="415">
        <v>12</v>
      </c>
      <c r="L31" s="415">
        <f t="shared" si="1"/>
        <v>100</v>
      </c>
      <c r="M31" s="416">
        <v>46141</v>
      </c>
      <c r="N31" s="416">
        <v>46137</v>
      </c>
      <c r="O31" s="417"/>
      <c r="P31" s="417" t="s">
        <v>224</v>
      </c>
      <c r="Q31" s="417" t="s">
        <v>1672</v>
      </c>
      <c r="R31" s="418">
        <v>46090</v>
      </c>
      <c r="S31" s="419" t="s">
        <v>80</v>
      </c>
      <c r="T31" s="417" t="s">
        <v>1645</v>
      </c>
      <c r="U31" s="417"/>
      <c r="V31" s="417"/>
      <c r="W31" s="417"/>
      <c r="X31" s="420" t="s">
        <v>1673</v>
      </c>
      <c r="Y31" s="416" t="s">
        <v>1079</v>
      </c>
      <c r="Z31" s="421">
        <v>0.8908</v>
      </c>
      <c r="AA31" s="415">
        <f t="shared" si="30"/>
        <v>1068.96</v>
      </c>
      <c r="AB31" s="416"/>
      <c r="AC31" s="420">
        <v>1200</v>
      </c>
      <c r="AD31" s="420">
        <f t="shared" si="41"/>
        <v>0</v>
      </c>
      <c r="AE31" s="417" t="s">
        <v>113</v>
      </c>
      <c r="AF31" s="417" t="s">
        <v>114</v>
      </c>
      <c r="AG31" s="416" t="s">
        <v>119</v>
      </c>
      <c r="AH31" s="416" t="s">
        <v>115</v>
      </c>
      <c r="AI31" s="422">
        <f>I31*2</f>
        <v>2400</v>
      </c>
      <c r="AJ31" s="422"/>
      <c r="AK31" s="422">
        <f>I31*2</f>
        <v>2400</v>
      </c>
      <c r="AL31" s="422"/>
      <c r="AM31" s="422">
        <f>I31*2</f>
        <v>2400</v>
      </c>
      <c r="AN31" s="422"/>
      <c r="AO31" s="422"/>
      <c r="AP31" s="422"/>
      <c r="AQ31" s="422">
        <f>I31*2</f>
        <v>2400</v>
      </c>
      <c r="AR31" s="422"/>
      <c r="AS31" s="422"/>
      <c r="AT31" s="422"/>
      <c r="AU31" s="422"/>
      <c r="AV31" s="422"/>
      <c r="AW31" s="422"/>
      <c r="AX31" s="422"/>
      <c r="AY31" s="422"/>
      <c r="AZ31" s="422"/>
      <c r="BA31" s="422"/>
      <c r="BB31" s="422"/>
      <c r="BC31" s="422"/>
      <c r="BD31" s="422"/>
      <c r="BE31" s="422"/>
      <c r="BF31" s="422"/>
      <c r="BG31" s="422"/>
      <c r="BH31" s="422">
        <f>I31</f>
        <v>1200</v>
      </c>
      <c r="BI31" s="422">
        <f>I31</f>
        <v>1200</v>
      </c>
      <c r="BJ31" s="422"/>
      <c r="BK31" s="422"/>
      <c r="BL31" s="423">
        <f t="shared" ref="BL31:BT31" si="50">$I31*BL$2*2</f>
        <v>293.749999999999</v>
      </c>
      <c r="BM31" s="423">
        <f t="shared" si="50"/>
        <v>293.749999999999</v>
      </c>
      <c r="BN31" s="423">
        <f t="shared" si="50"/>
        <v>293.749999999999</v>
      </c>
      <c r="BO31" s="423">
        <f t="shared" si="50"/>
        <v>293.749999999999</v>
      </c>
      <c r="BP31" s="423">
        <f t="shared" si="50"/>
        <v>293.749999999999</v>
      </c>
      <c r="BQ31" s="423">
        <f t="shared" si="50"/>
        <v>293.749999999999</v>
      </c>
      <c r="BR31" s="423">
        <f t="shared" si="50"/>
        <v>293.749999999999</v>
      </c>
      <c r="BS31" s="423">
        <f t="shared" si="50"/>
        <v>293.749999999999</v>
      </c>
      <c r="BT31" s="423">
        <f t="shared" si="50"/>
        <v>49.9999999999999</v>
      </c>
      <c r="BV31" s="82">
        <f t="shared" si="19"/>
        <v>33900.5937500001</v>
      </c>
      <c r="BW31" s="82">
        <f t="shared" si="20"/>
        <v>33900.5937500001</v>
      </c>
      <c r="BX31" s="82">
        <f t="shared" si="21"/>
        <v>33900.5937500001</v>
      </c>
      <c r="BY31" s="82">
        <f t="shared" si="22"/>
        <v>33900.5937500001</v>
      </c>
      <c r="BZ31" s="82">
        <f t="shared" si="23"/>
        <v>33900.5937500001</v>
      </c>
      <c r="CA31" s="82">
        <f t="shared" si="24"/>
        <v>33900.5937500001</v>
      </c>
      <c r="CB31" s="82">
        <f t="shared" si="25"/>
        <v>33900.5937500001</v>
      </c>
      <c r="CC31" s="82">
        <f t="shared" si="26"/>
        <v>33900.5937500001</v>
      </c>
      <c r="CD31" s="82">
        <f t="shared" si="27"/>
        <v>5722.25000000003</v>
      </c>
    </row>
    <row r="32" s="371" customFormat="1" ht="25" customHeight="1" spans="1:82">
      <c r="A32" s="410">
        <v>46093</v>
      </c>
      <c r="B32" s="411" t="s">
        <v>1229</v>
      </c>
      <c r="C32" s="412" t="s">
        <v>117</v>
      </c>
      <c r="D32" s="413">
        <v>4500196264</v>
      </c>
      <c r="E32" s="412" t="s">
        <v>1674</v>
      </c>
      <c r="F32" s="413" t="s">
        <v>1675</v>
      </c>
      <c r="G32" s="414" t="s">
        <v>78</v>
      </c>
      <c r="H32" s="411" t="s">
        <v>79</v>
      </c>
      <c r="I32" s="415">
        <v>1026</v>
      </c>
      <c r="J32" s="415">
        <v>0</v>
      </c>
      <c r="K32" s="415">
        <v>54</v>
      </c>
      <c r="L32" s="415">
        <f t="shared" si="1"/>
        <v>19</v>
      </c>
      <c r="M32" s="416">
        <v>46142</v>
      </c>
      <c r="N32" s="416">
        <v>46139</v>
      </c>
      <c r="O32" s="417"/>
      <c r="P32" s="417" t="s">
        <v>224</v>
      </c>
      <c r="Q32" s="417" t="s">
        <v>306</v>
      </c>
      <c r="R32" s="418">
        <v>46098</v>
      </c>
      <c r="S32" s="419" t="s">
        <v>80</v>
      </c>
      <c r="T32" s="417" t="s">
        <v>226</v>
      </c>
      <c r="U32" s="417"/>
      <c r="V32" s="417"/>
      <c r="W32" s="417"/>
      <c r="X32" s="420" t="s">
        <v>1676</v>
      </c>
      <c r="Y32" s="416" t="s">
        <v>395</v>
      </c>
      <c r="Z32" s="421">
        <v>0.4862</v>
      </c>
      <c r="AA32" s="415">
        <f t="shared" si="30"/>
        <v>498.8412</v>
      </c>
      <c r="AB32" s="416"/>
      <c r="AC32" s="420">
        <v>1026</v>
      </c>
      <c r="AD32" s="420">
        <f t="shared" si="41"/>
        <v>0</v>
      </c>
      <c r="AE32" s="417"/>
      <c r="AF32" s="417" t="s">
        <v>114</v>
      </c>
      <c r="AG32" s="416" t="s">
        <v>230</v>
      </c>
      <c r="AH32" s="416" t="s">
        <v>115</v>
      </c>
      <c r="AI32" s="422">
        <f>I32</f>
        <v>1026</v>
      </c>
      <c r="AJ32" s="422"/>
      <c r="AK32" s="422">
        <f>I32</f>
        <v>1026</v>
      </c>
      <c r="AL32" s="422"/>
      <c r="AM32" s="422"/>
      <c r="AN32" s="422">
        <f>I32</f>
        <v>1026</v>
      </c>
      <c r="AO32" s="422"/>
      <c r="AP32" s="422"/>
      <c r="AQ32" s="422">
        <f>I32</f>
        <v>1026</v>
      </c>
      <c r="AR32" s="422"/>
      <c r="AS32" s="422"/>
      <c r="AT32" s="422"/>
      <c r="AU32" s="422">
        <f>I32/27</f>
        <v>38</v>
      </c>
      <c r="AV32" s="422"/>
      <c r="AW32" s="422"/>
      <c r="AX32" s="422"/>
      <c r="AY32" s="422"/>
      <c r="AZ32" s="422"/>
      <c r="BA32" s="422"/>
      <c r="BB32" s="422"/>
      <c r="BC32" s="422"/>
      <c r="BD32" s="422"/>
      <c r="BE32" s="422"/>
      <c r="BF32" s="422"/>
      <c r="BG32" s="422"/>
      <c r="BH32" s="422"/>
      <c r="BI32" s="422"/>
      <c r="BJ32" s="422"/>
      <c r="BK32" s="422"/>
      <c r="BL32" s="423">
        <f t="shared" ref="BL32:BT32" si="51">$I32*BL$2</f>
        <v>125.578125</v>
      </c>
      <c r="BM32" s="423">
        <f t="shared" si="51"/>
        <v>125.578125</v>
      </c>
      <c r="BN32" s="423">
        <f t="shared" si="51"/>
        <v>125.578125</v>
      </c>
      <c r="BO32" s="423">
        <f t="shared" si="51"/>
        <v>125.578125</v>
      </c>
      <c r="BP32" s="423">
        <f t="shared" si="51"/>
        <v>125.578125</v>
      </c>
      <c r="BQ32" s="423">
        <f t="shared" si="51"/>
        <v>125.578125</v>
      </c>
      <c r="BR32" s="423">
        <f t="shared" si="51"/>
        <v>125.578125</v>
      </c>
      <c r="BS32" s="423">
        <f t="shared" si="51"/>
        <v>125.578125</v>
      </c>
      <c r="BT32" s="423">
        <f t="shared" si="51"/>
        <v>21.375</v>
      </c>
      <c r="BV32" s="82">
        <f t="shared" si="19"/>
        <v>33775.0156250001</v>
      </c>
      <c r="BW32" s="82">
        <f t="shared" si="20"/>
        <v>33775.0156250001</v>
      </c>
      <c r="BX32" s="82">
        <f t="shared" si="21"/>
        <v>33775.0156250001</v>
      </c>
      <c r="BY32" s="82">
        <f t="shared" si="22"/>
        <v>33775.0156250001</v>
      </c>
      <c r="BZ32" s="82">
        <f t="shared" si="23"/>
        <v>33775.0156250001</v>
      </c>
      <c r="CA32" s="82">
        <f t="shared" si="24"/>
        <v>33775.0156250001</v>
      </c>
      <c r="CB32" s="82">
        <f t="shared" si="25"/>
        <v>33775.0156250001</v>
      </c>
      <c r="CC32" s="82">
        <f t="shared" si="26"/>
        <v>33775.0156250001</v>
      </c>
      <c r="CD32" s="82">
        <f t="shared" si="27"/>
        <v>5700.87500000003</v>
      </c>
    </row>
    <row r="33" s="371" customFormat="1" ht="27" customHeight="1" spans="1:82">
      <c r="A33" s="410">
        <v>46105</v>
      </c>
      <c r="B33" s="411" t="s">
        <v>1677</v>
      </c>
      <c r="C33" s="412" t="s">
        <v>1678</v>
      </c>
      <c r="D33" s="413">
        <v>4500198237</v>
      </c>
      <c r="E33" s="412"/>
      <c r="F33" s="413" t="s">
        <v>1679</v>
      </c>
      <c r="G33" s="414" t="s">
        <v>94</v>
      </c>
      <c r="H33" s="411" t="s">
        <v>211</v>
      </c>
      <c r="I33" s="415">
        <v>208</v>
      </c>
      <c r="J33" s="415">
        <v>0</v>
      </c>
      <c r="K33" s="415">
        <v>52</v>
      </c>
      <c r="L33" s="415">
        <f t="shared" si="1"/>
        <v>4</v>
      </c>
      <c r="M33" s="416">
        <v>46148</v>
      </c>
      <c r="N33" s="416">
        <v>46146</v>
      </c>
      <c r="O33" s="417"/>
      <c r="P33" s="417" t="s">
        <v>224</v>
      </c>
      <c r="Q33" s="417" t="s">
        <v>1680</v>
      </c>
      <c r="R33" s="424">
        <v>46106</v>
      </c>
      <c r="S33" s="419" t="s">
        <v>80</v>
      </c>
      <c r="T33" s="424" t="s">
        <v>1681</v>
      </c>
      <c r="U33" s="417"/>
      <c r="V33" s="417"/>
      <c r="W33" s="417"/>
      <c r="X33" s="420" t="s">
        <v>1682</v>
      </c>
      <c r="Y33" s="416" t="s">
        <v>657</v>
      </c>
      <c r="Z33" s="426">
        <v>0.8099</v>
      </c>
      <c r="AA33" s="415">
        <f t="shared" si="30"/>
        <v>168.4592</v>
      </c>
      <c r="AB33" s="416"/>
      <c r="AC33" s="420">
        <v>208</v>
      </c>
      <c r="AD33" s="420">
        <f t="shared" si="41"/>
        <v>0</v>
      </c>
      <c r="AE33" s="417"/>
      <c r="AF33" s="417" t="s">
        <v>114</v>
      </c>
      <c r="AG33" s="414" t="s">
        <v>94</v>
      </c>
      <c r="AH33" s="416" t="s">
        <v>115</v>
      </c>
      <c r="AI33" s="422">
        <f>I33</f>
        <v>208</v>
      </c>
      <c r="AJ33" s="422"/>
      <c r="AK33" s="422">
        <f>I33</f>
        <v>208</v>
      </c>
      <c r="AL33" s="422"/>
      <c r="AM33" s="422">
        <f>I33</f>
        <v>208</v>
      </c>
      <c r="AN33" s="422"/>
      <c r="AO33" s="422"/>
      <c r="AP33" s="422"/>
      <c r="AQ33" s="422">
        <f>I33</f>
        <v>208</v>
      </c>
      <c r="AR33" s="422"/>
      <c r="AS33" s="422"/>
      <c r="AT33" s="422"/>
      <c r="AU33" s="422"/>
      <c r="AV33" s="422">
        <f>I33/13</f>
        <v>16</v>
      </c>
      <c r="AW33" s="422"/>
      <c r="AX33" s="422"/>
      <c r="AY33" s="422"/>
      <c r="AZ33" s="422"/>
      <c r="BA33" s="422"/>
      <c r="BB33" s="422"/>
      <c r="BC33" s="422"/>
      <c r="BD33" s="422"/>
      <c r="BE33" s="422"/>
      <c r="BF33" s="422"/>
      <c r="BG33" s="422"/>
      <c r="BH33" s="422"/>
      <c r="BI33" s="422"/>
      <c r="BJ33" s="422"/>
      <c r="BK33" s="422"/>
      <c r="BL33" s="423">
        <f t="shared" ref="BL33:BT33" si="52">$I33*BL$2</f>
        <v>25.4583333333333</v>
      </c>
      <c r="BM33" s="423">
        <f t="shared" si="52"/>
        <v>25.4583333333333</v>
      </c>
      <c r="BN33" s="423">
        <f t="shared" si="52"/>
        <v>25.4583333333333</v>
      </c>
      <c r="BO33" s="423">
        <f t="shared" si="52"/>
        <v>25.4583333333333</v>
      </c>
      <c r="BP33" s="423">
        <f t="shared" si="52"/>
        <v>25.4583333333333</v>
      </c>
      <c r="BQ33" s="423">
        <f t="shared" si="52"/>
        <v>25.4583333333333</v>
      </c>
      <c r="BR33" s="423">
        <f t="shared" si="52"/>
        <v>25.4583333333333</v>
      </c>
      <c r="BS33" s="423">
        <f t="shared" si="52"/>
        <v>25.4583333333333</v>
      </c>
      <c r="BT33" s="423">
        <f t="shared" si="52"/>
        <v>4.33333333333333</v>
      </c>
      <c r="BV33" s="82">
        <f t="shared" si="19"/>
        <v>33749.5572916668</v>
      </c>
      <c r="BW33" s="82">
        <f t="shared" si="20"/>
        <v>33749.5572916668</v>
      </c>
      <c r="BX33" s="82">
        <f t="shared" si="21"/>
        <v>33749.5572916668</v>
      </c>
      <c r="BY33" s="82">
        <f t="shared" si="22"/>
        <v>33749.5572916668</v>
      </c>
      <c r="BZ33" s="82">
        <f t="shared" si="23"/>
        <v>33749.5572916668</v>
      </c>
      <c r="CA33" s="82">
        <f t="shared" si="24"/>
        <v>33749.5572916668</v>
      </c>
      <c r="CB33" s="82">
        <f t="shared" si="25"/>
        <v>33749.5572916668</v>
      </c>
      <c r="CC33" s="82">
        <f t="shared" si="26"/>
        <v>33749.5572916668</v>
      </c>
      <c r="CD33" s="82">
        <f t="shared" si="27"/>
        <v>5696.5416666667</v>
      </c>
    </row>
    <row r="34" s="371" customFormat="1" ht="27" customHeight="1" spans="1:82">
      <c r="A34" s="410">
        <v>46092</v>
      </c>
      <c r="B34" s="411" t="s">
        <v>1683</v>
      </c>
      <c r="C34" s="412" t="s">
        <v>170</v>
      </c>
      <c r="D34" s="413">
        <v>4500196294</v>
      </c>
      <c r="E34" s="412" t="s">
        <v>1684</v>
      </c>
      <c r="F34" s="413" t="s">
        <v>1685</v>
      </c>
      <c r="G34" s="414" t="s">
        <v>94</v>
      </c>
      <c r="H34" s="411" t="s">
        <v>211</v>
      </c>
      <c r="I34" s="415">
        <v>1196</v>
      </c>
      <c r="J34" s="415">
        <v>0</v>
      </c>
      <c r="K34" s="415">
        <v>52</v>
      </c>
      <c r="L34" s="415">
        <f t="shared" si="1"/>
        <v>23</v>
      </c>
      <c r="M34" s="416">
        <v>46156</v>
      </c>
      <c r="N34" s="416">
        <v>46153</v>
      </c>
      <c r="O34" s="417"/>
      <c r="P34" s="417" t="s">
        <v>224</v>
      </c>
      <c r="Q34" s="417" t="s">
        <v>1686</v>
      </c>
      <c r="R34" s="418">
        <v>46106</v>
      </c>
      <c r="S34" s="419" t="s">
        <v>80</v>
      </c>
      <c r="T34" s="417" t="s">
        <v>80</v>
      </c>
      <c r="U34" s="417"/>
      <c r="V34" s="417"/>
      <c r="W34" s="417"/>
      <c r="X34" s="420" t="s">
        <v>1687</v>
      </c>
      <c r="Y34" s="416" t="s">
        <v>1688</v>
      </c>
      <c r="Z34" s="421">
        <v>0.8233</v>
      </c>
      <c r="AA34" s="415">
        <f t="shared" si="30"/>
        <v>984.6668</v>
      </c>
      <c r="AB34" s="416"/>
      <c r="AC34" s="420">
        <v>1196</v>
      </c>
      <c r="AD34" s="420">
        <f t="shared" si="41"/>
        <v>0</v>
      </c>
      <c r="AE34" s="417"/>
      <c r="AF34" s="417" t="s">
        <v>114</v>
      </c>
      <c r="AG34" s="414" t="s">
        <v>94</v>
      </c>
      <c r="AH34" s="416" t="s">
        <v>115</v>
      </c>
      <c r="AI34" s="422">
        <f>I34</f>
        <v>1196</v>
      </c>
      <c r="AJ34" s="422"/>
      <c r="AK34" s="422">
        <f>I34</f>
        <v>1196</v>
      </c>
      <c r="AL34" s="422"/>
      <c r="AM34" s="422">
        <f>I34</f>
        <v>1196</v>
      </c>
      <c r="AN34" s="422"/>
      <c r="AO34" s="422"/>
      <c r="AP34" s="422"/>
      <c r="AQ34" s="422">
        <f>I34</f>
        <v>1196</v>
      </c>
      <c r="AR34" s="422"/>
      <c r="AS34" s="422"/>
      <c r="AT34" s="422"/>
      <c r="AU34" s="422"/>
      <c r="AV34" s="422">
        <f>I34/13</f>
        <v>92</v>
      </c>
      <c r="AW34" s="422"/>
      <c r="AX34" s="422"/>
      <c r="AY34" s="422"/>
      <c r="AZ34" s="422"/>
      <c r="BA34" s="422"/>
      <c r="BB34" s="422"/>
      <c r="BC34" s="422"/>
      <c r="BD34" s="422"/>
      <c r="BE34" s="422"/>
      <c r="BF34" s="422"/>
      <c r="BG34" s="422"/>
      <c r="BH34" s="422"/>
      <c r="BI34" s="422"/>
      <c r="BJ34" s="422"/>
      <c r="BK34" s="422"/>
      <c r="BL34" s="423">
        <f t="shared" ref="BL34:BT34" si="53">$I34*BL$2</f>
        <v>146.385416666666</v>
      </c>
      <c r="BM34" s="423">
        <f t="shared" si="53"/>
        <v>146.385416666666</v>
      </c>
      <c r="BN34" s="423">
        <f t="shared" si="53"/>
        <v>146.385416666666</v>
      </c>
      <c r="BO34" s="423">
        <f t="shared" si="53"/>
        <v>146.385416666666</v>
      </c>
      <c r="BP34" s="423">
        <f t="shared" si="53"/>
        <v>146.385416666666</v>
      </c>
      <c r="BQ34" s="423">
        <f t="shared" si="53"/>
        <v>146.385416666666</v>
      </c>
      <c r="BR34" s="423">
        <f t="shared" si="53"/>
        <v>146.385416666666</v>
      </c>
      <c r="BS34" s="423">
        <f t="shared" si="53"/>
        <v>146.385416666666</v>
      </c>
      <c r="BT34" s="423">
        <f t="shared" si="53"/>
        <v>24.9166666666666</v>
      </c>
      <c r="BV34" s="82">
        <f t="shared" si="19"/>
        <v>33603.1718750001</v>
      </c>
      <c r="BW34" s="82">
        <f t="shared" si="20"/>
        <v>33603.1718750001</v>
      </c>
      <c r="BX34" s="82">
        <f t="shared" si="21"/>
        <v>33603.1718750001</v>
      </c>
      <c r="BY34" s="82">
        <f t="shared" si="22"/>
        <v>33603.1718750001</v>
      </c>
      <c r="BZ34" s="82">
        <f t="shared" si="23"/>
        <v>33603.1718750001</v>
      </c>
      <c r="CA34" s="82">
        <f t="shared" si="24"/>
        <v>33603.1718750001</v>
      </c>
      <c r="CB34" s="82">
        <f t="shared" si="25"/>
        <v>33603.1718750001</v>
      </c>
      <c r="CC34" s="82">
        <f t="shared" si="26"/>
        <v>33603.1718750001</v>
      </c>
      <c r="CD34" s="82">
        <f t="shared" si="27"/>
        <v>5671.62500000003</v>
      </c>
    </row>
    <row r="35" s="371" customFormat="1" ht="27" customHeight="1" spans="1:82">
      <c r="A35" s="410">
        <v>46108</v>
      </c>
      <c r="B35" s="411" t="s">
        <v>1689</v>
      </c>
      <c r="C35" s="412" t="s">
        <v>203</v>
      </c>
      <c r="D35" s="413">
        <v>4500198533</v>
      </c>
      <c r="E35" s="412" t="s">
        <v>1690</v>
      </c>
      <c r="F35" s="413" t="s">
        <v>1691</v>
      </c>
      <c r="G35" s="414" t="s">
        <v>94</v>
      </c>
      <c r="H35" s="411" t="s">
        <v>211</v>
      </c>
      <c r="I35" s="415">
        <v>520</v>
      </c>
      <c r="J35" s="415">
        <v>0</v>
      </c>
      <c r="K35" s="415">
        <v>52</v>
      </c>
      <c r="L35" s="415">
        <f t="shared" si="1"/>
        <v>10</v>
      </c>
      <c r="M35" s="416">
        <v>46162</v>
      </c>
      <c r="N35" s="416">
        <v>46158</v>
      </c>
      <c r="O35" s="417"/>
      <c r="P35" s="417" t="s">
        <v>224</v>
      </c>
      <c r="Q35" s="417"/>
      <c r="R35" s="418">
        <v>46108</v>
      </c>
      <c r="S35" s="419" t="s">
        <v>80</v>
      </c>
      <c r="T35" s="417" t="s">
        <v>1692</v>
      </c>
      <c r="U35" s="417"/>
      <c r="V35" s="417"/>
      <c r="W35" s="417"/>
      <c r="X35" s="420" t="s">
        <v>1693</v>
      </c>
      <c r="Y35" s="416" t="s">
        <v>144</v>
      </c>
      <c r="Z35" s="421">
        <v>0.8099</v>
      </c>
      <c r="AA35" s="415">
        <f t="shared" si="30"/>
        <v>421.148</v>
      </c>
      <c r="AB35" s="416"/>
      <c r="AC35" s="420">
        <v>520</v>
      </c>
      <c r="AD35" s="420">
        <f t="shared" si="41"/>
        <v>0</v>
      </c>
      <c r="AE35" s="417" t="s">
        <v>113</v>
      </c>
      <c r="AF35" s="417" t="s">
        <v>114</v>
      </c>
      <c r="AG35" s="414" t="s">
        <v>414</v>
      </c>
      <c r="AH35" s="416" t="s">
        <v>115</v>
      </c>
      <c r="AI35" s="422">
        <f>I35</f>
        <v>520</v>
      </c>
      <c r="AJ35" s="422"/>
      <c r="AK35" s="422">
        <f>I35</f>
        <v>520</v>
      </c>
      <c r="AL35" s="422"/>
      <c r="AN35" s="422">
        <f>I35</f>
        <v>520</v>
      </c>
      <c r="AO35" s="422"/>
      <c r="AP35" s="422"/>
      <c r="AQ35" s="422">
        <f>I35</f>
        <v>520</v>
      </c>
      <c r="AR35" s="422"/>
      <c r="AS35" s="422"/>
      <c r="AT35" s="422"/>
      <c r="AU35" s="422"/>
      <c r="AV35" s="422"/>
      <c r="AW35" s="422">
        <f>I35/13</f>
        <v>40</v>
      </c>
      <c r="AX35" s="422"/>
      <c r="AY35" s="422"/>
      <c r="AZ35" s="422"/>
      <c r="BA35" s="422"/>
      <c r="BB35" s="422"/>
      <c r="BC35" s="422"/>
      <c r="BD35" s="422"/>
      <c r="BE35" s="422"/>
      <c r="BF35" s="422"/>
      <c r="BG35" s="422"/>
      <c r="BH35" s="422"/>
      <c r="BI35" s="422"/>
      <c r="BJ35" s="422"/>
      <c r="BK35" s="422"/>
      <c r="BL35" s="423">
        <f t="shared" ref="BL35:BT35" si="54">$I35*BL$2</f>
        <v>63.6458333333332</v>
      </c>
      <c r="BM35" s="423">
        <f t="shared" si="54"/>
        <v>63.6458333333332</v>
      </c>
      <c r="BN35" s="423">
        <f t="shared" si="54"/>
        <v>63.6458333333332</v>
      </c>
      <c r="BO35" s="423">
        <f t="shared" si="54"/>
        <v>63.6458333333332</v>
      </c>
      <c r="BP35" s="423">
        <f t="shared" si="54"/>
        <v>63.6458333333332</v>
      </c>
      <c r="BQ35" s="423">
        <f t="shared" si="54"/>
        <v>63.6458333333332</v>
      </c>
      <c r="BR35" s="423">
        <f t="shared" si="54"/>
        <v>63.6458333333332</v>
      </c>
      <c r="BS35" s="423">
        <f t="shared" si="54"/>
        <v>63.6458333333332</v>
      </c>
      <c r="BT35" s="423">
        <f t="shared" si="54"/>
        <v>10.8333333333333</v>
      </c>
      <c r="BV35" s="82">
        <f t="shared" si="19"/>
        <v>33539.5260416668</v>
      </c>
      <c r="BW35" s="82">
        <f t="shared" si="20"/>
        <v>33539.5260416668</v>
      </c>
      <c r="BX35" s="82">
        <f t="shared" si="21"/>
        <v>33539.5260416668</v>
      </c>
      <c r="BY35" s="82">
        <f t="shared" si="22"/>
        <v>33539.5260416668</v>
      </c>
      <c r="BZ35" s="82">
        <f t="shared" si="23"/>
        <v>33539.5260416668</v>
      </c>
      <c r="CA35" s="82">
        <f t="shared" si="24"/>
        <v>33539.5260416668</v>
      </c>
      <c r="CB35" s="82">
        <f t="shared" si="25"/>
        <v>33539.5260416668</v>
      </c>
      <c r="CC35" s="82">
        <f t="shared" si="26"/>
        <v>33539.5260416668</v>
      </c>
      <c r="CD35" s="82">
        <f t="shared" si="27"/>
        <v>5660.7916666667</v>
      </c>
    </row>
    <row r="36" s="371" customFormat="1" ht="27" customHeight="1" spans="1:82">
      <c r="A36" s="410">
        <v>46119</v>
      </c>
      <c r="B36" s="411" t="s">
        <v>1074</v>
      </c>
      <c r="C36" s="412" t="s">
        <v>117</v>
      </c>
      <c r="D36" s="413">
        <v>4500200298</v>
      </c>
      <c r="E36" s="412" t="s">
        <v>1694</v>
      </c>
      <c r="F36" s="411" t="s">
        <v>1695</v>
      </c>
      <c r="G36" s="414" t="s">
        <v>188</v>
      </c>
      <c r="H36" s="411" t="s">
        <v>120</v>
      </c>
      <c r="I36" s="415">
        <v>996</v>
      </c>
      <c r="J36" s="415">
        <v>0</v>
      </c>
      <c r="K36" s="415">
        <v>12</v>
      </c>
      <c r="L36" s="415">
        <f t="shared" si="1"/>
        <v>83</v>
      </c>
      <c r="M36" s="416">
        <v>46167</v>
      </c>
      <c r="N36" s="416">
        <v>46165</v>
      </c>
      <c r="O36" s="417"/>
      <c r="P36" s="417" t="s">
        <v>224</v>
      </c>
      <c r="Q36" s="417" t="s">
        <v>1696</v>
      </c>
      <c r="R36" s="418">
        <v>46121</v>
      </c>
      <c r="S36" s="419" t="s">
        <v>80</v>
      </c>
      <c r="T36" s="417" t="s">
        <v>1697</v>
      </c>
      <c r="U36" s="417"/>
      <c r="V36" s="417"/>
      <c r="W36" s="417"/>
      <c r="X36" s="420" t="s">
        <v>1698</v>
      </c>
      <c r="Y36" s="416" t="s">
        <v>1699</v>
      </c>
      <c r="Z36" s="421">
        <v>1.1176</v>
      </c>
      <c r="AA36" s="415">
        <f t="shared" si="30"/>
        <v>1113.1296</v>
      </c>
      <c r="AB36" s="416"/>
      <c r="AC36" s="420">
        <v>996</v>
      </c>
      <c r="AD36" s="420">
        <f t="shared" si="41"/>
        <v>0</v>
      </c>
      <c r="AE36" s="417" t="s">
        <v>113</v>
      </c>
      <c r="AF36" s="417" t="s">
        <v>114</v>
      </c>
      <c r="AG36" s="416" t="s">
        <v>119</v>
      </c>
      <c r="AH36" s="416" t="s">
        <v>115</v>
      </c>
      <c r="AI36" s="422">
        <f>I36*2</f>
        <v>1992</v>
      </c>
      <c r="AJ36" s="422"/>
      <c r="AK36" s="422">
        <f>I36*2</f>
        <v>1992</v>
      </c>
      <c r="AL36" s="422"/>
      <c r="AM36" s="422">
        <f>I36*2</f>
        <v>1992</v>
      </c>
      <c r="AN36" s="422"/>
      <c r="AO36" s="422"/>
      <c r="AP36" s="422"/>
      <c r="AQ36" s="422">
        <f>I36*2</f>
        <v>1992</v>
      </c>
      <c r="AR36" s="422"/>
      <c r="AS36" s="422"/>
      <c r="AT36" s="422"/>
      <c r="AU36" s="422"/>
      <c r="AV36" s="422"/>
      <c r="AW36" s="422"/>
      <c r="AX36" s="422"/>
      <c r="AY36" s="422"/>
      <c r="AZ36" s="422"/>
      <c r="BA36" s="422"/>
      <c r="BB36" s="422"/>
      <c r="BC36" s="422"/>
      <c r="BD36" s="422"/>
      <c r="BE36" s="422"/>
      <c r="BF36" s="422"/>
      <c r="BG36" s="422"/>
      <c r="BH36" s="422">
        <f>I36</f>
        <v>996</v>
      </c>
      <c r="BI36" s="422">
        <f>I36</f>
        <v>996</v>
      </c>
      <c r="BJ36" s="422"/>
      <c r="BK36" s="422"/>
      <c r="BL36" s="423">
        <f t="shared" ref="BL36:BT36" si="55">$I36*BL$2*2</f>
        <v>243.812499999999</v>
      </c>
      <c r="BM36" s="423">
        <f t="shared" si="55"/>
        <v>243.812499999999</v>
      </c>
      <c r="BN36" s="423">
        <f t="shared" si="55"/>
        <v>243.812499999999</v>
      </c>
      <c r="BO36" s="423">
        <f t="shared" si="55"/>
        <v>243.812499999999</v>
      </c>
      <c r="BP36" s="423">
        <f t="shared" si="55"/>
        <v>243.812499999999</v>
      </c>
      <c r="BQ36" s="423">
        <f t="shared" si="55"/>
        <v>243.812499999999</v>
      </c>
      <c r="BR36" s="423">
        <f t="shared" si="55"/>
        <v>243.812499999999</v>
      </c>
      <c r="BS36" s="423">
        <f t="shared" si="55"/>
        <v>243.812499999999</v>
      </c>
      <c r="BT36" s="423">
        <f t="shared" si="55"/>
        <v>41.4999999999999</v>
      </c>
      <c r="BV36" s="82">
        <f t="shared" si="19"/>
        <v>33295.7135416668</v>
      </c>
      <c r="BW36" s="82">
        <f t="shared" si="20"/>
        <v>33295.7135416668</v>
      </c>
      <c r="BX36" s="82">
        <f t="shared" si="21"/>
        <v>33295.7135416668</v>
      </c>
      <c r="BY36" s="82">
        <f t="shared" si="22"/>
        <v>33295.7135416668</v>
      </c>
      <c r="BZ36" s="82">
        <f t="shared" si="23"/>
        <v>33295.7135416668</v>
      </c>
      <c r="CA36" s="82">
        <f t="shared" si="24"/>
        <v>33295.7135416668</v>
      </c>
      <c r="CB36" s="82">
        <f t="shared" si="25"/>
        <v>33295.7135416668</v>
      </c>
      <c r="CC36" s="82">
        <f t="shared" si="26"/>
        <v>33295.7135416668</v>
      </c>
      <c r="CD36" s="82">
        <f t="shared" si="27"/>
        <v>5619.2916666667</v>
      </c>
    </row>
    <row r="37" s="371" customFormat="1" ht="27" customHeight="1" spans="1:82">
      <c r="A37" s="410">
        <v>46119</v>
      </c>
      <c r="B37" s="411" t="s">
        <v>1074</v>
      </c>
      <c r="C37" s="412" t="s">
        <v>117</v>
      </c>
      <c r="D37" s="413">
        <v>4500200299</v>
      </c>
      <c r="E37" s="412" t="s">
        <v>1700</v>
      </c>
      <c r="F37" s="411" t="s">
        <v>1701</v>
      </c>
      <c r="G37" s="414" t="s">
        <v>188</v>
      </c>
      <c r="H37" s="411" t="s">
        <v>120</v>
      </c>
      <c r="I37" s="415">
        <v>1200</v>
      </c>
      <c r="J37" s="415">
        <v>0</v>
      </c>
      <c r="K37" s="415">
        <v>12</v>
      </c>
      <c r="L37" s="415">
        <f t="shared" si="1"/>
        <v>100</v>
      </c>
      <c r="M37" s="416">
        <v>46167</v>
      </c>
      <c r="N37" s="416">
        <v>46165</v>
      </c>
      <c r="O37" s="417"/>
      <c r="P37" s="417" t="s">
        <v>224</v>
      </c>
      <c r="Q37" s="417" t="s">
        <v>360</v>
      </c>
      <c r="R37" s="418">
        <v>46121</v>
      </c>
      <c r="S37" s="419" t="s">
        <v>80</v>
      </c>
      <c r="T37" s="417" t="s">
        <v>1697</v>
      </c>
      <c r="U37" s="417"/>
      <c r="V37" s="417"/>
      <c r="W37" s="417"/>
      <c r="X37" s="420" t="s">
        <v>1702</v>
      </c>
      <c r="Y37" s="416" t="s">
        <v>1699</v>
      </c>
      <c r="Z37" s="421">
        <v>0.9147</v>
      </c>
      <c r="AA37" s="415">
        <f t="shared" si="30"/>
        <v>1097.64</v>
      </c>
      <c r="AB37" s="416"/>
      <c r="AC37" s="420">
        <v>1200</v>
      </c>
      <c r="AD37" s="420">
        <f t="shared" si="41"/>
        <v>0</v>
      </c>
      <c r="AE37" s="417" t="s">
        <v>113</v>
      </c>
      <c r="AF37" s="417" t="s">
        <v>114</v>
      </c>
      <c r="AG37" s="416" t="s">
        <v>119</v>
      </c>
      <c r="AH37" s="416" t="s">
        <v>115</v>
      </c>
      <c r="AI37" s="422">
        <f>I37*2</f>
        <v>2400</v>
      </c>
      <c r="AJ37" s="422"/>
      <c r="AK37" s="422">
        <f>I37*2</f>
        <v>2400</v>
      </c>
      <c r="AL37" s="422"/>
      <c r="AM37" s="422">
        <f>I37*2</f>
        <v>2400</v>
      </c>
      <c r="AN37" s="422"/>
      <c r="AO37" s="422"/>
      <c r="AP37" s="422"/>
      <c r="AQ37" s="422">
        <f>I37*2</f>
        <v>2400</v>
      </c>
      <c r="AR37" s="422"/>
      <c r="AS37" s="422"/>
      <c r="AT37" s="422"/>
      <c r="AU37" s="422"/>
      <c r="AV37" s="422"/>
      <c r="AW37" s="422"/>
      <c r="AX37" s="422"/>
      <c r="AY37" s="422"/>
      <c r="AZ37" s="422"/>
      <c r="BA37" s="422"/>
      <c r="BB37" s="422"/>
      <c r="BC37" s="422"/>
      <c r="BD37" s="422"/>
      <c r="BE37" s="422"/>
      <c r="BF37" s="422"/>
      <c r="BG37" s="422"/>
      <c r="BH37" s="422">
        <f>I37</f>
        <v>1200</v>
      </c>
      <c r="BI37" s="422">
        <f>I37</f>
        <v>1200</v>
      </c>
      <c r="BJ37" s="422"/>
      <c r="BK37" s="422"/>
      <c r="BL37" s="423">
        <f t="shared" ref="BL37:BT37" si="56">$I37*BL$2*2</f>
        <v>293.749999999999</v>
      </c>
      <c r="BM37" s="423">
        <f t="shared" si="56"/>
        <v>293.749999999999</v>
      </c>
      <c r="BN37" s="423">
        <f t="shared" si="56"/>
        <v>293.749999999999</v>
      </c>
      <c r="BO37" s="423">
        <f t="shared" si="56"/>
        <v>293.749999999999</v>
      </c>
      <c r="BP37" s="423">
        <f t="shared" si="56"/>
        <v>293.749999999999</v>
      </c>
      <c r="BQ37" s="423">
        <f t="shared" si="56"/>
        <v>293.749999999999</v>
      </c>
      <c r="BR37" s="423">
        <f t="shared" si="56"/>
        <v>293.749999999999</v>
      </c>
      <c r="BS37" s="423">
        <f t="shared" si="56"/>
        <v>293.749999999999</v>
      </c>
      <c r="BT37" s="423">
        <f t="shared" si="56"/>
        <v>49.9999999999999</v>
      </c>
      <c r="BV37" s="82">
        <f t="shared" ref="BV37:BV72" si="57">BV36-BL37</f>
        <v>33001.9635416668</v>
      </c>
      <c r="BW37" s="82">
        <f t="shared" ref="BW37:BW72" si="58">BW36-BM37</f>
        <v>33001.9635416668</v>
      </c>
      <c r="BX37" s="82">
        <f t="shared" ref="BX37:BX72" si="59">BX36-BN37</f>
        <v>33001.9635416668</v>
      </c>
      <c r="BY37" s="82">
        <f t="shared" ref="BY37:BY72" si="60">BY36-BO37</f>
        <v>33001.9635416668</v>
      </c>
      <c r="BZ37" s="82">
        <f t="shared" ref="BZ37:BZ72" si="61">BZ36-BP37</f>
        <v>33001.9635416668</v>
      </c>
      <c r="CA37" s="82">
        <f t="shared" ref="CA37:CA72" si="62">CA36-BQ37</f>
        <v>33001.9635416668</v>
      </c>
      <c r="CB37" s="82">
        <f t="shared" ref="CB37:CB72" si="63">CB36-BR37</f>
        <v>33001.9635416668</v>
      </c>
      <c r="CC37" s="82">
        <f t="shared" ref="CC37:CC72" si="64">CC36-BS37</f>
        <v>33001.9635416668</v>
      </c>
      <c r="CD37" s="82">
        <f t="shared" ref="CD37:CD72" si="65">CD36-BT37</f>
        <v>5569.2916666667</v>
      </c>
    </row>
    <row r="38" s="371" customFormat="1" ht="27" customHeight="1" spans="1:82">
      <c r="A38" s="410">
        <v>46128</v>
      </c>
      <c r="B38" s="411" t="s">
        <v>1460</v>
      </c>
      <c r="C38" s="412" t="s">
        <v>117</v>
      </c>
      <c r="D38" s="413">
        <v>4500202421</v>
      </c>
      <c r="E38" s="412">
        <v>223391</v>
      </c>
      <c r="F38" s="411" t="s">
        <v>1703</v>
      </c>
      <c r="G38" s="414" t="s">
        <v>78</v>
      </c>
      <c r="H38" s="411" t="s">
        <v>79</v>
      </c>
      <c r="I38" s="415">
        <v>270</v>
      </c>
      <c r="J38" s="415">
        <v>0</v>
      </c>
      <c r="K38" s="415">
        <v>54</v>
      </c>
      <c r="L38" s="415">
        <f t="shared" si="1"/>
        <v>5</v>
      </c>
      <c r="M38" s="416">
        <v>46171</v>
      </c>
      <c r="N38" s="416">
        <v>46165</v>
      </c>
      <c r="O38" s="417"/>
      <c r="P38" s="417" t="s">
        <v>224</v>
      </c>
      <c r="Q38" s="417" t="s">
        <v>1704</v>
      </c>
      <c r="R38" s="418">
        <v>46139</v>
      </c>
      <c r="S38" s="419" t="s">
        <v>80</v>
      </c>
      <c r="T38" s="417" t="s">
        <v>1705</v>
      </c>
      <c r="U38" s="417"/>
      <c r="V38" s="417"/>
      <c r="W38" s="417"/>
      <c r="X38" s="420" t="s">
        <v>1706</v>
      </c>
      <c r="Y38" s="416" t="s">
        <v>735</v>
      </c>
      <c r="Z38" s="421">
        <v>0.4895</v>
      </c>
      <c r="AA38" s="415">
        <f t="shared" si="30"/>
        <v>132.165</v>
      </c>
      <c r="AB38" s="416"/>
      <c r="AC38" s="420">
        <v>270</v>
      </c>
      <c r="AD38" s="420">
        <f t="shared" si="41"/>
        <v>0</v>
      </c>
      <c r="AE38" s="417"/>
      <c r="AF38" s="417" t="s">
        <v>114</v>
      </c>
      <c r="AG38" s="414" t="s">
        <v>94</v>
      </c>
      <c r="AH38" s="416" t="s">
        <v>115</v>
      </c>
      <c r="AI38" s="422">
        <f t="shared" ref="AI38:AI46" si="66">I38</f>
        <v>270</v>
      </c>
      <c r="AJ38" s="422"/>
      <c r="AK38" s="422">
        <f t="shared" ref="AK38:AK46" si="67">I38</f>
        <v>270</v>
      </c>
      <c r="AL38" s="422"/>
      <c r="AM38" s="422">
        <f>I38</f>
        <v>270</v>
      </c>
      <c r="AN38" s="422"/>
      <c r="AO38" s="422"/>
      <c r="AP38" s="422"/>
      <c r="AQ38" s="422">
        <f t="shared" ref="AQ38:AQ46" si="68">I38</f>
        <v>270</v>
      </c>
      <c r="AR38" s="422"/>
      <c r="AS38" s="422">
        <f>I38/27</f>
        <v>10</v>
      </c>
      <c r="AT38" s="422"/>
      <c r="AU38" s="422"/>
      <c r="AV38" s="422"/>
      <c r="AW38" s="422"/>
      <c r="AX38" s="422"/>
      <c r="AY38" s="422"/>
      <c r="AZ38" s="422"/>
      <c r="BA38" s="422"/>
      <c r="BB38" s="422"/>
      <c r="BC38" s="422"/>
      <c r="BD38" s="422"/>
      <c r="BE38" s="422"/>
      <c r="BF38" s="422"/>
      <c r="BG38" s="422"/>
      <c r="BH38" s="422"/>
      <c r="BI38" s="422"/>
      <c r="BJ38" s="422"/>
      <c r="BK38" s="422"/>
      <c r="BL38" s="423">
        <f t="shared" ref="BL38:BT38" si="69">$I38*BL$2</f>
        <v>33.0468749999999</v>
      </c>
      <c r="BM38" s="423">
        <f t="shared" si="69"/>
        <v>33.0468749999999</v>
      </c>
      <c r="BN38" s="423">
        <f t="shared" si="69"/>
        <v>33.0468749999999</v>
      </c>
      <c r="BO38" s="423">
        <f t="shared" si="69"/>
        <v>33.0468749999999</v>
      </c>
      <c r="BP38" s="423">
        <f t="shared" si="69"/>
        <v>33.0468749999999</v>
      </c>
      <c r="BQ38" s="423">
        <f t="shared" si="69"/>
        <v>33.0468749999999</v>
      </c>
      <c r="BR38" s="423">
        <f t="shared" si="69"/>
        <v>33.0468749999999</v>
      </c>
      <c r="BS38" s="423">
        <f t="shared" si="69"/>
        <v>33.0468749999999</v>
      </c>
      <c r="BT38" s="423">
        <f t="shared" si="69"/>
        <v>5.62499999999999</v>
      </c>
      <c r="BV38" s="82">
        <f t="shared" si="57"/>
        <v>32968.9166666668</v>
      </c>
      <c r="BW38" s="82">
        <f t="shared" si="58"/>
        <v>32968.9166666668</v>
      </c>
      <c r="BX38" s="82">
        <f t="shared" si="59"/>
        <v>32968.9166666668</v>
      </c>
      <c r="BY38" s="82">
        <f t="shared" si="60"/>
        <v>32968.9166666668</v>
      </c>
      <c r="BZ38" s="82">
        <f t="shared" si="61"/>
        <v>32968.9166666668</v>
      </c>
      <c r="CA38" s="82">
        <f t="shared" si="62"/>
        <v>32968.9166666668</v>
      </c>
      <c r="CB38" s="82">
        <f t="shared" si="63"/>
        <v>32968.9166666668</v>
      </c>
      <c r="CC38" s="82">
        <f t="shared" si="64"/>
        <v>32968.9166666668</v>
      </c>
      <c r="CD38" s="82">
        <f t="shared" si="65"/>
        <v>5563.6666666667</v>
      </c>
    </row>
    <row r="39" s="371" customFormat="1" ht="27" customHeight="1" spans="1:82">
      <c r="A39" s="410">
        <v>46128</v>
      </c>
      <c r="B39" s="411" t="s">
        <v>1460</v>
      </c>
      <c r="C39" s="412" t="s">
        <v>117</v>
      </c>
      <c r="D39" s="413">
        <v>4500202421</v>
      </c>
      <c r="E39" s="412">
        <v>223552</v>
      </c>
      <c r="F39" s="411" t="s">
        <v>1707</v>
      </c>
      <c r="G39" s="414" t="s">
        <v>78</v>
      </c>
      <c r="H39" s="411" t="s">
        <v>79</v>
      </c>
      <c r="I39" s="415">
        <v>270</v>
      </c>
      <c r="J39" s="415">
        <v>0</v>
      </c>
      <c r="K39" s="415">
        <v>54</v>
      </c>
      <c r="L39" s="415">
        <f t="shared" si="1"/>
        <v>5</v>
      </c>
      <c r="M39" s="416">
        <v>46171</v>
      </c>
      <c r="N39" s="416">
        <v>46165</v>
      </c>
      <c r="O39" s="417"/>
      <c r="P39" s="417" t="s">
        <v>224</v>
      </c>
      <c r="Q39" s="417" t="s">
        <v>1704</v>
      </c>
      <c r="R39" s="418">
        <v>46139</v>
      </c>
      <c r="S39" s="419" t="s">
        <v>80</v>
      </c>
      <c r="T39" s="417" t="s">
        <v>1705</v>
      </c>
      <c r="U39" s="417"/>
      <c r="V39" s="417"/>
      <c r="W39" s="417"/>
      <c r="X39" s="420" t="s">
        <v>1706</v>
      </c>
      <c r="Y39" s="416" t="s">
        <v>735</v>
      </c>
      <c r="Z39" s="421">
        <v>0.4895</v>
      </c>
      <c r="AA39" s="415">
        <f t="shared" si="30"/>
        <v>132.165</v>
      </c>
      <c r="AB39" s="416"/>
      <c r="AC39" s="420">
        <v>270</v>
      </c>
      <c r="AD39" s="420">
        <f t="shared" si="41"/>
        <v>0</v>
      </c>
      <c r="AE39" s="417"/>
      <c r="AF39" s="417" t="s">
        <v>114</v>
      </c>
      <c r="AG39" s="414" t="s">
        <v>94</v>
      </c>
      <c r="AH39" s="416" t="s">
        <v>115</v>
      </c>
      <c r="AI39" s="422">
        <f t="shared" si="66"/>
        <v>270</v>
      </c>
      <c r="AJ39" s="422"/>
      <c r="AK39" s="422">
        <f t="shared" si="67"/>
        <v>270</v>
      </c>
      <c r="AL39" s="422"/>
      <c r="AM39" s="422">
        <f>I39</f>
        <v>270</v>
      </c>
      <c r="AN39" s="422"/>
      <c r="AO39" s="422"/>
      <c r="AP39" s="422"/>
      <c r="AQ39" s="422">
        <f t="shared" si="68"/>
        <v>270</v>
      </c>
      <c r="AR39" s="422"/>
      <c r="AS39" s="422">
        <f>I39/27</f>
        <v>10</v>
      </c>
      <c r="AT39" s="422"/>
      <c r="AU39" s="422"/>
      <c r="AV39" s="422"/>
      <c r="AW39" s="422"/>
      <c r="AX39" s="422"/>
      <c r="AY39" s="422"/>
      <c r="AZ39" s="422"/>
      <c r="BA39" s="422"/>
      <c r="BB39" s="422"/>
      <c r="BC39" s="422"/>
      <c r="BD39" s="422"/>
      <c r="BE39" s="422"/>
      <c r="BF39" s="422"/>
      <c r="BG39" s="422"/>
      <c r="BH39" s="422"/>
      <c r="BI39" s="422"/>
      <c r="BJ39" s="422"/>
      <c r="BK39" s="422"/>
      <c r="BL39" s="423">
        <f t="shared" ref="BL39:BT39" si="70">$I39*BL$2</f>
        <v>33.0468749999999</v>
      </c>
      <c r="BM39" s="423">
        <f t="shared" si="70"/>
        <v>33.0468749999999</v>
      </c>
      <c r="BN39" s="423">
        <f t="shared" si="70"/>
        <v>33.0468749999999</v>
      </c>
      <c r="BO39" s="423">
        <f t="shared" si="70"/>
        <v>33.0468749999999</v>
      </c>
      <c r="BP39" s="423">
        <f t="shared" si="70"/>
        <v>33.0468749999999</v>
      </c>
      <c r="BQ39" s="423">
        <f t="shared" si="70"/>
        <v>33.0468749999999</v>
      </c>
      <c r="BR39" s="423">
        <f t="shared" si="70"/>
        <v>33.0468749999999</v>
      </c>
      <c r="BS39" s="423">
        <f t="shared" si="70"/>
        <v>33.0468749999999</v>
      </c>
      <c r="BT39" s="423">
        <f t="shared" si="70"/>
        <v>5.62499999999999</v>
      </c>
      <c r="BV39" s="82">
        <f t="shared" si="57"/>
        <v>32935.8697916668</v>
      </c>
      <c r="BW39" s="82">
        <f t="shared" si="58"/>
        <v>32935.8697916668</v>
      </c>
      <c r="BX39" s="82">
        <f t="shared" si="59"/>
        <v>32935.8697916668</v>
      </c>
      <c r="BY39" s="82">
        <f t="shared" si="60"/>
        <v>32935.8697916668</v>
      </c>
      <c r="BZ39" s="82">
        <f t="shared" si="61"/>
        <v>32935.8697916668</v>
      </c>
      <c r="CA39" s="82">
        <f t="shared" si="62"/>
        <v>32935.8697916668</v>
      </c>
      <c r="CB39" s="82">
        <f t="shared" si="63"/>
        <v>32935.8697916668</v>
      </c>
      <c r="CC39" s="82">
        <f t="shared" si="64"/>
        <v>32935.8697916668</v>
      </c>
      <c r="CD39" s="82">
        <f t="shared" si="65"/>
        <v>5558.0416666667</v>
      </c>
    </row>
    <row r="40" s="371" customFormat="1" ht="27" customHeight="1" spans="1:82">
      <c r="A40" s="410">
        <v>46111</v>
      </c>
      <c r="B40" s="411" t="s">
        <v>1708</v>
      </c>
      <c r="C40" s="412" t="s">
        <v>883</v>
      </c>
      <c r="D40" s="413" t="s">
        <v>1709</v>
      </c>
      <c r="E40" s="412" t="s">
        <v>1710</v>
      </c>
      <c r="F40" s="413" t="s">
        <v>1711</v>
      </c>
      <c r="G40" s="414" t="s">
        <v>78</v>
      </c>
      <c r="H40" s="411" t="s">
        <v>79</v>
      </c>
      <c r="I40" s="415">
        <v>2052</v>
      </c>
      <c r="J40" s="415">
        <v>0</v>
      </c>
      <c r="K40" s="415">
        <v>54</v>
      </c>
      <c r="L40" s="415">
        <f t="shared" si="1"/>
        <v>38</v>
      </c>
      <c r="M40" s="416">
        <v>46162</v>
      </c>
      <c r="N40" s="427">
        <v>46167</v>
      </c>
      <c r="O40" s="417"/>
      <c r="P40" s="417" t="s">
        <v>224</v>
      </c>
      <c r="Q40" s="417" t="s">
        <v>425</v>
      </c>
      <c r="R40" s="418">
        <v>46146</v>
      </c>
      <c r="S40" s="419" t="s">
        <v>80</v>
      </c>
      <c r="T40" s="417" t="s">
        <v>1712</v>
      </c>
      <c r="U40" s="417"/>
      <c r="V40" s="417"/>
      <c r="W40" s="417"/>
      <c r="X40" s="420" t="s">
        <v>1713</v>
      </c>
      <c r="Y40" s="416" t="s">
        <v>228</v>
      </c>
      <c r="Z40" s="421">
        <v>0.8103</v>
      </c>
      <c r="AA40" s="415">
        <f t="shared" si="30"/>
        <v>1662.7356</v>
      </c>
      <c r="AB40" s="416"/>
      <c r="AC40" s="420">
        <v>2052</v>
      </c>
      <c r="AD40" s="420">
        <f t="shared" si="41"/>
        <v>0</v>
      </c>
      <c r="AE40" s="417"/>
      <c r="AF40" s="417" t="s">
        <v>114</v>
      </c>
      <c r="AG40" s="416" t="s">
        <v>230</v>
      </c>
      <c r="AH40" s="416" t="s">
        <v>115</v>
      </c>
      <c r="AI40" s="422">
        <f t="shared" si="66"/>
        <v>2052</v>
      </c>
      <c r="AJ40" s="422"/>
      <c r="AK40" s="422">
        <f t="shared" si="67"/>
        <v>2052</v>
      </c>
      <c r="AL40" s="422"/>
      <c r="AM40" s="422"/>
      <c r="AN40" s="422">
        <f>I40</f>
        <v>2052</v>
      </c>
      <c r="AO40" s="422"/>
      <c r="AP40" s="422"/>
      <c r="AQ40" s="422">
        <f t="shared" si="68"/>
        <v>2052</v>
      </c>
      <c r="AR40" s="422"/>
      <c r="AS40" s="422"/>
      <c r="AT40" s="422"/>
      <c r="AU40" s="422">
        <f>I40/27</f>
        <v>76</v>
      </c>
      <c r="AV40" s="422"/>
      <c r="AW40" s="422"/>
      <c r="AX40" s="422"/>
      <c r="AY40" s="422"/>
      <c r="AZ40" s="422"/>
      <c r="BA40" s="422"/>
      <c r="BB40" s="422"/>
      <c r="BC40" s="422"/>
      <c r="BD40" s="422"/>
      <c r="BE40" s="422"/>
      <c r="BF40" s="422"/>
      <c r="BG40" s="422"/>
      <c r="BH40" s="422"/>
      <c r="BI40" s="422"/>
      <c r="BJ40" s="422"/>
      <c r="BK40" s="422"/>
      <c r="BL40" s="423">
        <f t="shared" ref="BL40:BT40" si="71">$I40*BL$2</f>
        <v>251.156249999999</v>
      </c>
      <c r="BM40" s="423">
        <f t="shared" si="71"/>
        <v>251.156249999999</v>
      </c>
      <c r="BN40" s="423">
        <f t="shared" si="71"/>
        <v>251.156249999999</v>
      </c>
      <c r="BO40" s="423">
        <f t="shared" si="71"/>
        <v>251.156249999999</v>
      </c>
      <c r="BP40" s="423">
        <f t="shared" si="71"/>
        <v>251.156249999999</v>
      </c>
      <c r="BQ40" s="423">
        <f t="shared" si="71"/>
        <v>251.156249999999</v>
      </c>
      <c r="BR40" s="423">
        <f t="shared" si="71"/>
        <v>251.156249999999</v>
      </c>
      <c r="BS40" s="423">
        <f t="shared" si="71"/>
        <v>251.156249999999</v>
      </c>
      <c r="BT40" s="423">
        <f t="shared" si="71"/>
        <v>42.7499999999999</v>
      </c>
      <c r="BV40" s="82">
        <f t="shared" si="57"/>
        <v>32684.7135416668</v>
      </c>
      <c r="BW40" s="82">
        <f t="shared" si="58"/>
        <v>32684.7135416668</v>
      </c>
      <c r="BX40" s="82">
        <f t="shared" si="59"/>
        <v>32684.7135416668</v>
      </c>
      <c r="BY40" s="82">
        <f t="shared" si="60"/>
        <v>32684.7135416668</v>
      </c>
      <c r="BZ40" s="82">
        <f t="shared" si="61"/>
        <v>32684.7135416668</v>
      </c>
      <c r="CA40" s="82">
        <f t="shared" si="62"/>
        <v>32684.7135416668</v>
      </c>
      <c r="CB40" s="82">
        <f t="shared" si="63"/>
        <v>32684.7135416668</v>
      </c>
      <c r="CC40" s="82">
        <f t="shared" si="64"/>
        <v>32684.7135416668</v>
      </c>
      <c r="CD40" s="82">
        <f t="shared" si="65"/>
        <v>5515.2916666667</v>
      </c>
    </row>
    <row r="41" s="371" customFormat="1" ht="27" customHeight="1" spans="1:82">
      <c r="A41" s="410">
        <v>46121</v>
      </c>
      <c r="B41" s="411" t="s">
        <v>420</v>
      </c>
      <c r="C41" s="412" t="s">
        <v>421</v>
      </c>
      <c r="D41" s="413" t="s">
        <v>1714</v>
      </c>
      <c r="E41" s="412" t="s">
        <v>1715</v>
      </c>
      <c r="F41" s="413" t="s">
        <v>1716</v>
      </c>
      <c r="G41" s="414" t="s">
        <v>78</v>
      </c>
      <c r="H41" s="411" t="s">
        <v>79</v>
      </c>
      <c r="I41" s="415">
        <v>3618</v>
      </c>
      <c r="J41" s="415">
        <v>0</v>
      </c>
      <c r="K41" s="415">
        <v>54</v>
      </c>
      <c r="L41" s="415">
        <f t="shared" si="1"/>
        <v>67</v>
      </c>
      <c r="M41" s="416">
        <v>46175</v>
      </c>
      <c r="N41" s="416">
        <v>46171</v>
      </c>
      <c r="O41" s="417" t="s">
        <v>1717</v>
      </c>
      <c r="P41" s="417" t="s">
        <v>224</v>
      </c>
      <c r="Q41" s="417" t="s">
        <v>509</v>
      </c>
      <c r="R41" s="418">
        <v>46136</v>
      </c>
      <c r="S41" s="419" t="s">
        <v>80</v>
      </c>
      <c r="T41" s="417" t="s">
        <v>80</v>
      </c>
      <c r="U41" s="417"/>
      <c r="V41" s="417"/>
      <c r="W41" s="417"/>
      <c r="X41" s="420" t="s">
        <v>1718</v>
      </c>
      <c r="Y41" s="416" t="s">
        <v>214</v>
      </c>
      <c r="Z41" s="421">
        <v>0.8103</v>
      </c>
      <c r="AA41" s="415">
        <f t="shared" si="30"/>
        <v>2931.6654</v>
      </c>
      <c r="AB41" s="416"/>
      <c r="AC41" s="420">
        <v>3618</v>
      </c>
      <c r="AD41" s="420">
        <f t="shared" si="41"/>
        <v>0</v>
      </c>
      <c r="AE41" s="417"/>
      <c r="AF41" s="417" t="s">
        <v>114</v>
      </c>
      <c r="AG41" s="414" t="s">
        <v>94</v>
      </c>
      <c r="AH41" s="416" t="s">
        <v>115</v>
      </c>
      <c r="AI41" s="422">
        <f t="shared" si="66"/>
        <v>3618</v>
      </c>
      <c r="AJ41" s="422"/>
      <c r="AK41" s="422">
        <f t="shared" si="67"/>
        <v>3618</v>
      </c>
      <c r="AL41" s="422"/>
      <c r="AM41" s="422">
        <f>I41</f>
        <v>3618</v>
      </c>
      <c r="AN41" s="422"/>
      <c r="AO41" s="422"/>
      <c r="AP41" s="422"/>
      <c r="AQ41" s="422">
        <f t="shared" si="68"/>
        <v>3618</v>
      </c>
      <c r="AR41" s="422"/>
      <c r="AS41" s="422"/>
      <c r="AT41" s="422"/>
      <c r="AU41" s="422">
        <f>I41/27</f>
        <v>134</v>
      </c>
      <c r="AV41" s="422"/>
      <c r="AW41" s="422"/>
      <c r="AX41" s="422"/>
      <c r="AY41" s="422"/>
      <c r="AZ41" s="422"/>
      <c r="BA41" s="422"/>
      <c r="BB41" s="422"/>
      <c r="BC41" s="422"/>
      <c r="BD41" s="422"/>
      <c r="BE41" s="422"/>
      <c r="BF41" s="422"/>
      <c r="BG41" s="422"/>
      <c r="BH41" s="422"/>
      <c r="BI41" s="422"/>
      <c r="BJ41" s="422"/>
      <c r="BK41" s="422"/>
      <c r="BL41" s="423">
        <f t="shared" ref="BL41:BT41" si="72">$I41*BL$2</f>
        <v>442.828124999999</v>
      </c>
      <c r="BM41" s="423">
        <f t="shared" si="72"/>
        <v>442.828124999999</v>
      </c>
      <c r="BN41" s="423">
        <f t="shared" si="72"/>
        <v>442.828124999999</v>
      </c>
      <c r="BO41" s="423">
        <f t="shared" si="72"/>
        <v>442.828124999999</v>
      </c>
      <c r="BP41" s="423">
        <f t="shared" si="72"/>
        <v>442.828124999999</v>
      </c>
      <c r="BQ41" s="423">
        <f t="shared" si="72"/>
        <v>442.828124999999</v>
      </c>
      <c r="BR41" s="423">
        <f t="shared" si="72"/>
        <v>442.828124999999</v>
      </c>
      <c r="BS41" s="423">
        <f t="shared" si="72"/>
        <v>442.828124999999</v>
      </c>
      <c r="BT41" s="423">
        <f t="shared" si="72"/>
        <v>75.3749999999999</v>
      </c>
      <c r="BV41" s="82">
        <f t="shared" si="57"/>
        <v>32241.8854166668</v>
      </c>
      <c r="BW41" s="82">
        <f t="shared" si="58"/>
        <v>32241.8854166668</v>
      </c>
      <c r="BX41" s="82">
        <f t="shared" si="59"/>
        <v>32241.8854166668</v>
      </c>
      <c r="BY41" s="82">
        <f t="shared" si="60"/>
        <v>32241.8854166668</v>
      </c>
      <c r="BZ41" s="82">
        <f t="shared" si="61"/>
        <v>32241.8854166668</v>
      </c>
      <c r="CA41" s="82">
        <f t="shared" si="62"/>
        <v>32241.8854166668</v>
      </c>
      <c r="CB41" s="82">
        <f t="shared" si="63"/>
        <v>32241.8854166668</v>
      </c>
      <c r="CC41" s="82">
        <f t="shared" si="64"/>
        <v>32241.8854166668</v>
      </c>
      <c r="CD41" s="82">
        <f t="shared" si="65"/>
        <v>5439.9166666667</v>
      </c>
    </row>
    <row r="42" s="372" customFormat="1" ht="27" customHeight="1" spans="1:82">
      <c r="A42" s="428">
        <v>46135</v>
      </c>
      <c r="B42" s="429" t="s">
        <v>1460</v>
      </c>
      <c r="C42" s="430" t="s">
        <v>117</v>
      </c>
      <c r="D42" s="431" t="s">
        <v>1719</v>
      </c>
      <c r="E42" s="430" t="s">
        <v>1720</v>
      </c>
      <c r="F42" s="429" t="s">
        <v>1721</v>
      </c>
      <c r="G42" s="432" t="s">
        <v>78</v>
      </c>
      <c r="H42" s="429" t="s">
        <v>79</v>
      </c>
      <c r="I42" s="433">
        <v>270</v>
      </c>
      <c r="J42" s="433">
        <v>0</v>
      </c>
      <c r="K42" s="433">
        <v>54</v>
      </c>
      <c r="L42" s="433">
        <f t="shared" si="1"/>
        <v>5</v>
      </c>
      <c r="M42" s="434">
        <v>46178</v>
      </c>
      <c r="N42" s="434">
        <v>46174</v>
      </c>
      <c r="O42" s="435"/>
      <c r="P42" s="435" t="s">
        <v>224</v>
      </c>
      <c r="Q42" s="435" t="s">
        <v>1722</v>
      </c>
      <c r="R42" s="436">
        <v>46139</v>
      </c>
      <c r="S42" s="437" t="s">
        <v>80</v>
      </c>
      <c r="T42" s="435" t="s">
        <v>1705</v>
      </c>
      <c r="U42" s="435"/>
      <c r="V42" s="435"/>
      <c r="W42" s="435"/>
      <c r="X42" s="438" t="s">
        <v>1706</v>
      </c>
      <c r="Y42" s="434" t="s">
        <v>735</v>
      </c>
      <c r="Z42" s="439">
        <v>0.479</v>
      </c>
      <c r="AA42" s="440">
        <f t="shared" si="30"/>
        <v>129.33</v>
      </c>
      <c r="AB42" s="434"/>
      <c r="AC42" s="55">
        <v>270</v>
      </c>
      <c r="AD42" s="438">
        <f t="shared" si="41"/>
        <v>0</v>
      </c>
      <c r="AE42" s="435"/>
      <c r="AF42" s="435" t="s">
        <v>114</v>
      </c>
      <c r="AG42" s="432" t="s">
        <v>94</v>
      </c>
      <c r="AH42" s="434" t="s">
        <v>115</v>
      </c>
      <c r="AI42" s="441">
        <f t="shared" si="66"/>
        <v>270</v>
      </c>
      <c r="AJ42" s="441"/>
      <c r="AK42" s="441">
        <f t="shared" si="67"/>
        <v>270</v>
      </c>
      <c r="AL42" s="441"/>
      <c r="AM42" s="441">
        <f>I42</f>
        <v>270</v>
      </c>
      <c r="AN42" s="441"/>
      <c r="AO42" s="441"/>
      <c r="AP42" s="441"/>
      <c r="AQ42" s="441">
        <f t="shared" si="68"/>
        <v>270</v>
      </c>
      <c r="AR42" s="441"/>
      <c r="AS42" s="441">
        <f>I42/27</f>
        <v>10</v>
      </c>
      <c r="AT42" s="441"/>
      <c r="AU42" s="441"/>
      <c r="AV42" s="441"/>
      <c r="AW42" s="441"/>
      <c r="AX42" s="441"/>
      <c r="AY42" s="441"/>
      <c r="AZ42" s="441"/>
      <c r="BA42" s="441"/>
      <c r="BB42" s="441"/>
      <c r="BC42" s="441"/>
      <c r="BD42" s="441"/>
      <c r="BE42" s="441"/>
      <c r="BF42" s="441"/>
      <c r="BG42" s="441"/>
      <c r="BH42" s="441"/>
      <c r="BI42" s="441"/>
      <c r="BJ42" s="441"/>
      <c r="BK42" s="441"/>
      <c r="BL42" s="59">
        <f t="shared" ref="BL42:BT42" si="73">$I42*BL$2</f>
        <v>33.0468749999999</v>
      </c>
      <c r="BM42" s="59">
        <f t="shared" si="73"/>
        <v>33.0468749999999</v>
      </c>
      <c r="BN42" s="59">
        <f t="shared" si="73"/>
        <v>33.0468749999999</v>
      </c>
      <c r="BO42" s="59">
        <f t="shared" si="73"/>
        <v>33.0468749999999</v>
      </c>
      <c r="BP42" s="59">
        <f t="shared" si="73"/>
        <v>33.0468749999999</v>
      </c>
      <c r="BQ42" s="59">
        <f t="shared" si="73"/>
        <v>33.0468749999999</v>
      </c>
      <c r="BR42" s="59">
        <f t="shared" si="73"/>
        <v>33.0468749999999</v>
      </c>
      <c r="BS42" s="59">
        <f t="shared" si="73"/>
        <v>33.0468749999999</v>
      </c>
      <c r="BT42" s="59">
        <f t="shared" si="73"/>
        <v>5.62499999999999</v>
      </c>
      <c r="BV42" s="82">
        <f t="shared" si="57"/>
        <v>32208.8385416668</v>
      </c>
      <c r="BW42" s="82">
        <f t="shared" si="58"/>
        <v>32208.8385416668</v>
      </c>
      <c r="BX42" s="82">
        <f t="shared" si="59"/>
        <v>32208.8385416668</v>
      </c>
      <c r="BY42" s="82">
        <f t="shared" si="60"/>
        <v>32208.8385416668</v>
      </c>
      <c r="BZ42" s="82">
        <f t="shared" si="61"/>
        <v>32208.8385416668</v>
      </c>
      <c r="CA42" s="82">
        <f t="shared" si="62"/>
        <v>32208.8385416668</v>
      </c>
      <c r="CB42" s="82">
        <f t="shared" si="63"/>
        <v>32208.8385416668</v>
      </c>
      <c r="CC42" s="82">
        <f t="shared" si="64"/>
        <v>32208.8385416668</v>
      </c>
      <c r="CD42" s="82">
        <f t="shared" si="65"/>
        <v>5434.2916666667</v>
      </c>
    </row>
    <row r="43" s="370" customFormat="1" ht="27" customHeight="1" spans="1:82">
      <c r="A43" s="389">
        <v>46041</v>
      </c>
      <c r="B43" s="390" t="s">
        <v>1658</v>
      </c>
      <c r="C43" s="391" t="s">
        <v>203</v>
      </c>
      <c r="D43" s="392">
        <v>4500191728</v>
      </c>
      <c r="E43" s="391">
        <v>2026001077</v>
      </c>
      <c r="F43" s="390" t="s">
        <v>1723</v>
      </c>
      <c r="G43" s="393" t="s">
        <v>131</v>
      </c>
      <c r="H43" s="390" t="s">
        <v>132</v>
      </c>
      <c r="I43" s="394">
        <v>4590</v>
      </c>
      <c r="J43" s="394">
        <v>0</v>
      </c>
      <c r="K43" s="394">
        <v>27</v>
      </c>
      <c r="L43" s="394">
        <f t="shared" si="1"/>
        <v>170</v>
      </c>
      <c r="M43" s="395">
        <v>46185</v>
      </c>
      <c r="N43" s="442">
        <v>46181</v>
      </c>
      <c r="O43" s="443"/>
      <c r="P43" s="444" t="s">
        <v>107</v>
      </c>
      <c r="Q43" s="396" t="s">
        <v>624</v>
      </c>
      <c r="R43" s="403">
        <v>46048</v>
      </c>
      <c r="S43" s="405" t="s">
        <v>80</v>
      </c>
      <c r="T43" s="396" t="s">
        <v>1660</v>
      </c>
      <c r="U43" s="396" t="s">
        <v>1656</v>
      </c>
      <c r="V43" s="396"/>
      <c r="W43" s="396"/>
      <c r="X43" s="358" t="s">
        <v>1724</v>
      </c>
      <c r="Y43" s="395" t="s">
        <v>144</v>
      </c>
      <c r="Z43" s="399">
        <v>0.7738</v>
      </c>
      <c r="AA43" s="394">
        <f t="shared" si="30"/>
        <v>3551.742</v>
      </c>
      <c r="AB43" s="395"/>
      <c r="AC43" s="358">
        <v>4590</v>
      </c>
      <c r="AD43" s="358">
        <f t="shared" si="41"/>
        <v>0</v>
      </c>
      <c r="AE43" s="396" t="s">
        <v>113</v>
      </c>
      <c r="AF43" s="396" t="s">
        <v>114</v>
      </c>
      <c r="AG43" s="395" t="s">
        <v>434</v>
      </c>
      <c r="AH43" s="395" t="s">
        <v>115</v>
      </c>
      <c r="AI43" s="401">
        <f t="shared" si="66"/>
        <v>4590</v>
      </c>
      <c r="AJ43" s="401"/>
      <c r="AK43" s="401">
        <f t="shared" si="67"/>
        <v>4590</v>
      </c>
      <c r="AL43" s="401"/>
      <c r="AM43" s="401"/>
      <c r="AN43" s="401">
        <f>I43</f>
        <v>4590</v>
      </c>
      <c r="AO43" s="401"/>
      <c r="AP43" s="401"/>
      <c r="AQ43" s="401">
        <f t="shared" si="68"/>
        <v>4590</v>
      </c>
      <c r="AR43" s="401"/>
      <c r="AS43" s="401"/>
      <c r="AT43" s="401"/>
      <c r="AU43" s="401">
        <f>I43/27</f>
        <v>170</v>
      </c>
      <c r="AV43" s="401"/>
      <c r="AW43" s="401"/>
      <c r="AX43" s="401"/>
      <c r="AY43" s="401"/>
      <c r="AZ43" s="401"/>
      <c r="BA43" s="401"/>
      <c r="BB43" s="401"/>
      <c r="BC43" s="401"/>
      <c r="BD43" s="401"/>
      <c r="BE43" s="401"/>
      <c r="BF43" s="401"/>
      <c r="BG43" s="401"/>
      <c r="BH43" s="401"/>
      <c r="BI43" s="401"/>
      <c r="BJ43" s="401"/>
      <c r="BK43" s="401"/>
      <c r="BL43" s="82">
        <f t="shared" ref="BL43:BT43" si="74">$I43*BL$2</f>
        <v>561.796874999998</v>
      </c>
      <c r="BM43" s="82">
        <f t="shared" si="74"/>
        <v>561.796874999998</v>
      </c>
      <c r="BN43" s="82">
        <f t="shared" si="74"/>
        <v>561.796874999998</v>
      </c>
      <c r="BO43" s="82">
        <f t="shared" si="74"/>
        <v>561.796874999998</v>
      </c>
      <c r="BP43" s="82">
        <f t="shared" si="74"/>
        <v>561.796874999998</v>
      </c>
      <c r="BQ43" s="82">
        <f t="shared" si="74"/>
        <v>561.796874999998</v>
      </c>
      <c r="BR43" s="82">
        <f t="shared" si="74"/>
        <v>561.796874999998</v>
      </c>
      <c r="BS43" s="82">
        <f t="shared" si="74"/>
        <v>561.796874999998</v>
      </c>
      <c r="BT43" s="82">
        <f t="shared" si="74"/>
        <v>95.6249999999999</v>
      </c>
      <c r="BV43" s="82">
        <f t="shared" si="57"/>
        <v>31647.0416666668</v>
      </c>
      <c r="BW43" s="82">
        <f t="shared" si="58"/>
        <v>31647.0416666668</v>
      </c>
      <c r="BX43" s="82">
        <f t="shared" si="59"/>
        <v>31647.0416666668</v>
      </c>
      <c r="BY43" s="82">
        <f t="shared" si="60"/>
        <v>31647.0416666668</v>
      </c>
      <c r="BZ43" s="82">
        <f t="shared" si="61"/>
        <v>31647.0416666668</v>
      </c>
      <c r="CA43" s="82">
        <f t="shared" si="62"/>
        <v>31647.0416666668</v>
      </c>
      <c r="CB43" s="82">
        <f t="shared" si="63"/>
        <v>31647.0416666668</v>
      </c>
      <c r="CC43" s="82">
        <f t="shared" si="64"/>
        <v>31647.0416666668</v>
      </c>
      <c r="CD43" s="82">
        <f t="shared" si="65"/>
        <v>5338.6666666667</v>
      </c>
    </row>
    <row r="44" s="370" customFormat="1" ht="27" customHeight="1" spans="1:82">
      <c r="A44" s="389">
        <v>46135</v>
      </c>
      <c r="B44" s="390" t="s">
        <v>1460</v>
      </c>
      <c r="C44" s="391" t="s">
        <v>117</v>
      </c>
      <c r="D44" s="392" t="s">
        <v>1719</v>
      </c>
      <c r="E44" s="391" t="s">
        <v>1725</v>
      </c>
      <c r="F44" s="390" t="s">
        <v>1726</v>
      </c>
      <c r="G44" s="393" t="s">
        <v>78</v>
      </c>
      <c r="H44" s="390" t="s">
        <v>79</v>
      </c>
      <c r="I44" s="394">
        <v>216</v>
      </c>
      <c r="J44" s="394">
        <v>0</v>
      </c>
      <c r="K44" s="394">
        <v>54</v>
      </c>
      <c r="L44" s="394">
        <f t="shared" si="1"/>
        <v>4</v>
      </c>
      <c r="M44" s="395">
        <v>46185</v>
      </c>
      <c r="N44" s="395">
        <v>46181</v>
      </c>
      <c r="O44" s="396"/>
      <c r="P44" s="435" t="s">
        <v>224</v>
      </c>
      <c r="Q44" s="396" t="s">
        <v>1727</v>
      </c>
      <c r="R44" s="403">
        <v>46139</v>
      </c>
      <c r="S44" s="405" t="s">
        <v>80</v>
      </c>
      <c r="T44" s="396" t="s">
        <v>1705</v>
      </c>
      <c r="U44" s="396"/>
      <c r="V44" s="396"/>
      <c r="W44" s="396"/>
      <c r="X44" s="358" t="s">
        <v>1706</v>
      </c>
      <c r="Y44" s="395" t="s">
        <v>735</v>
      </c>
      <c r="Z44" s="445">
        <v>0.4895</v>
      </c>
      <c r="AA44" s="446">
        <f t="shared" si="30"/>
        <v>105.732</v>
      </c>
      <c r="AB44" s="395"/>
      <c r="AC44" s="358">
        <v>216</v>
      </c>
      <c r="AD44" s="358">
        <f t="shared" si="41"/>
        <v>0</v>
      </c>
      <c r="AE44" s="396"/>
      <c r="AF44" s="396" t="s">
        <v>114</v>
      </c>
      <c r="AG44" s="393" t="s">
        <v>94</v>
      </c>
      <c r="AH44" s="395" t="s">
        <v>115</v>
      </c>
      <c r="AI44" s="401">
        <f t="shared" si="66"/>
        <v>216</v>
      </c>
      <c r="AJ44" s="401"/>
      <c r="AK44" s="401">
        <f t="shared" si="67"/>
        <v>216</v>
      </c>
      <c r="AL44" s="401"/>
      <c r="AM44" s="401">
        <f t="shared" ref="AM44:AM49" si="75">I44</f>
        <v>216</v>
      </c>
      <c r="AN44" s="401"/>
      <c r="AO44" s="401"/>
      <c r="AP44" s="401"/>
      <c r="AQ44" s="401">
        <f t="shared" si="68"/>
        <v>216</v>
      </c>
      <c r="AR44" s="401"/>
      <c r="AS44" s="401">
        <f>I44/27</f>
        <v>8</v>
      </c>
      <c r="AT44" s="401"/>
      <c r="AU44" s="401"/>
      <c r="AV44" s="401"/>
      <c r="AW44" s="401"/>
      <c r="AX44" s="401"/>
      <c r="AY44" s="401"/>
      <c r="AZ44" s="401"/>
      <c r="BA44" s="401"/>
      <c r="BB44" s="401"/>
      <c r="BC44" s="401"/>
      <c r="BD44" s="401"/>
      <c r="BE44" s="401"/>
      <c r="BF44" s="401"/>
      <c r="BG44" s="401"/>
      <c r="BH44" s="401"/>
      <c r="BI44" s="401"/>
      <c r="BJ44" s="401"/>
      <c r="BK44" s="401"/>
      <c r="BL44" s="82">
        <f t="shared" ref="BL44:BT44" si="76">$I44*BL$2</f>
        <v>26.4374999999999</v>
      </c>
      <c r="BM44" s="82">
        <f t="shared" si="76"/>
        <v>26.4374999999999</v>
      </c>
      <c r="BN44" s="82">
        <f t="shared" si="76"/>
        <v>26.4374999999999</v>
      </c>
      <c r="BO44" s="82">
        <f t="shared" si="76"/>
        <v>26.4374999999999</v>
      </c>
      <c r="BP44" s="82">
        <f t="shared" si="76"/>
        <v>26.4374999999999</v>
      </c>
      <c r="BQ44" s="82">
        <f t="shared" si="76"/>
        <v>26.4374999999999</v>
      </c>
      <c r="BR44" s="82">
        <f t="shared" si="76"/>
        <v>26.4374999999999</v>
      </c>
      <c r="BS44" s="82">
        <f t="shared" si="76"/>
        <v>26.4374999999999</v>
      </c>
      <c r="BT44" s="82">
        <f t="shared" si="76"/>
        <v>4.49999999999999</v>
      </c>
      <c r="BV44" s="82">
        <f t="shared" si="57"/>
        <v>31620.6041666668</v>
      </c>
      <c r="BW44" s="82">
        <f t="shared" si="58"/>
        <v>31620.6041666668</v>
      </c>
      <c r="BX44" s="82">
        <f t="shared" si="59"/>
        <v>31620.6041666668</v>
      </c>
      <c r="BY44" s="82">
        <f t="shared" si="60"/>
        <v>31620.6041666668</v>
      </c>
      <c r="BZ44" s="82">
        <f t="shared" si="61"/>
        <v>31620.6041666668</v>
      </c>
      <c r="CA44" s="82">
        <f t="shared" si="62"/>
        <v>31620.6041666668</v>
      </c>
      <c r="CB44" s="82">
        <f t="shared" si="63"/>
        <v>31620.6041666668</v>
      </c>
      <c r="CC44" s="82">
        <f t="shared" si="64"/>
        <v>31620.6041666668</v>
      </c>
      <c r="CD44" s="82">
        <f t="shared" si="65"/>
        <v>5334.1666666667</v>
      </c>
    </row>
    <row r="45" s="370" customFormat="1" ht="27" customHeight="1" spans="1:82">
      <c r="A45" s="389">
        <v>46148</v>
      </c>
      <c r="B45" s="390" t="s">
        <v>582</v>
      </c>
      <c r="C45" s="391" t="s">
        <v>117</v>
      </c>
      <c r="D45" s="392" t="s">
        <v>1728</v>
      </c>
      <c r="E45" s="391" t="s">
        <v>1729</v>
      </c>
      <c r="F45" s="390" t="s">
        <v>1730</v>
      </c>
      <c r="G45" s="393" t="s">
        <v>152</v>
      </c>
      <c r="H45" s="390" t="s">
        <v>153</v>
      </c>
      <c r="I45" s="394">
        <v>2600</v>
      </c>
      <c r="J45" s="394">
        <v>0</v>
      </c>
      <c r="K45" s="394">
        <v>13</v>
      </c>
      <c r="L45" s="394">
        <f t="shared" si="1"/>
        <v>200</v>
      </c>
      <c r="M45" s="395">
        <v>46188</v>
      </c>
      <c r="N45" s="395">
        <v>46184</v>
      </c>
      <c r="O45" s="396"/>
      <c r="P45" s="444" t="s">
        <v>107</v>
      </c>
      <c r="Q45" s="396" t="s">
        <v>296</v>
      </c>
      <c r="R45" s="403">
        <v>46148</v>
      </c>
      <c r="S45" s="405" t="s">
        <v>80</v>
      </c>
      <c r="T45" s="396" t="s">
        <v>80</v>
      </c>
      <c r="U45" s="396"/>
      <c r="V45" s="396"/>
      <c r="W45" s="396"/>
      <c r="X45" s="358" t="s">
        <v>1731</v>
      </c>
      <c r="Y45" s="395" t="s">
        <v>587</v>
      </c>
      <c r="Z45" s="445">
        <v>0.4766</v>
      </c>
      <c r="AA45" s="394">
        <f t="shared" si="30"/>
        <v>1239.16</v>
      </c>
      <c r="AB45" s="395"/>
      <c r="AC45" s="358">
        <v>2600</v>
      </c>
      <c r="AD45" s="358">
        <f t="shared" si="41"/>
        <v>0</v>
      </c>
      <c r="AE45" s="396"/>
      <c r="AF45" s="396" t="s">
        <v>114</v>
      </c>
      <c r="AG45" s="393" t="s">
        <v>152</v>
      </c>
      <c r="AH45" s="395" t="s">
        <v>115</v>
      </c>
      <c r="AI45" s="401">
        <f t="shared" si="66"/>
        <v>2600</v>
      </c>
      <c r="AJ45" s="401"/>
      <c r="AK45" s="401">
        <f t="shared" si="67"/>
        <v>2600</v>
      </c>
      <c r="AL45" s="401"/>
      <c r="AM45" s="401">
        <f t="shared" si="75"/>
        <v>2600</v>
      </c>
      <c r="AN45" s="401"/>
      <c r="AO45" s="401"/>
      <c r="AP45" s="401"/>
      <c r="AQ45" s="401">
        <f t="shared" si="68"/>
        <v>2600</v>
      </c>
      <c r="AR45" s="401"/>
      <c r="AS45" s="401"/>
      <c r="AT45" s="401"/>
      <c r="AU45" s="401"/>
      <c r="AV45" s="401">
        <f>I45/13</f>
        <v>200</v>
      </c>
      <c r="AW45" s="401"/>
      <c r="AX45" s="401"/>
      <c r="AY45" s="401"/>
      <c r="AZ45" s="401"/>
      <c r="BA45" s="401"/>
      <c r="BB45" s="401"/>
      <c r="BC45" s="401"/>
      <c r="BD45" s="401"/>
      <c r="BE45" s="401"/>
      <c r="BF45" s="401"/>
      <c r="BG45" s="401"/>
      <c r="BH45" s="401"/>
      <c r="BI45" s="401"/>
      <c r="BJ45" s="401"/>
      <c r="BK45" s="401"/>
      <c r="BL45" s="82">
        <f t="shared" ref="BL45:BT45" si="77">$I45*BL$2</f>
        <v>318.229166666666</v>
      </c>
      <c r="BM45" s="82">
        <f t="shared" si="77"/>
        <v>318.229166666666</v>
      </c>
      <c r="BN45" s="82">
        <f t="shared" si="77"/>
        <v>318.229166666666</v>
      </c>
      <c r="BO45" s="82">
        <f t="shared" si="77"/>
        <v>318.229166666666</v>
      </c>
      <c r="BP45" s="82">
        <f t="shared" si="77"/>
        <v>318.229166666666</v>
      </c>
      <c r="BQ45" s="82">
        <f t="shared" si="77"/>
        <v>318.229166666666</v>
      </c>
      <c r="BR45" s="82">
        <f t="shared" si="77"/>
        <v>318.229166666666</v>
      </c>
      <c r="BS45" s="82">
        <f t="shared" si="77"/>
        <v>318.229166666666</v>
      </c>
      <c r="BT45" s="82">
        <f t="shared" si="77"/>
        <v>54.1666666666666</v>
      </c>
      <c r="BV45" s="82">
        <f t="shared" si="57"/>
        <v>31302.3750000001</v>
      </c>
      <c r="BW45" s="82">
        <f t="shared" si="58"/>
        <v>31302.3750000001</v>
      </c>
      <c r="BX45" s="82">
        <f t="shared" si="59"/>
        <v>31302.3750000001</v>
      </c>
      <c r="BY45" s="82">
        <f t="shared" si="60"/>
        <v>31302.3750000001</v>
      </c>
      <c r="BZ45" s="82">
        <f t="shared" si="61"/>
        <v>31302.3750000001</v>
      </c>
      <c r="CA45" s="82">
        <f t="shared" si="62"/>
        <v>31302.3750000001</v>
      </c>
      <c r="CB45" s="82">
        <f t="shared" si="63"/>
        <v>31302.3750000001</v>
      </c>
      <c r="CC45" s="82">
        <f t="shared" si="64"/>
        <v>31302.3750000001</v>
      </c>
      <c r="CD45" s="82">
        <f t="shared" si="65"/>
        <v>5280.00000000003</v>
      </c>
    </row>
    <row r="46" s="370" customFormat="1" ht="27" customHeight="1" spans="1:82">
      <c r="A46" s="389">
        <v>46135</v>
      </c>
      <c r="B46" s="390" t="s">
        <v>1460</v>
      </c>
      <c r="C46" s="391" t="s">
        <v>117</v>
      </c>
      <c r="D46" s="392" t="s">
        <v>1719</v>
      </c>
      <c r="E46" s="391" t="s">
        <v>1732</v>
      </c>
      <c r="F46" s="390" t="s">
        <v>1733</v>
      </c>
      <c r="G46" s="393" t="s">
        <v>78</v>
      </c>
      <c r="H46" s="390" t="s">
        <v>79</v>
      </c>
      <c r="I46" s="394">
        <v>216</v>
      </c>
      <c r="J46" s="394">
        <v>0</v>
      </c>
      <c r="K46" s="394">
        <v>54</v>
      </c>
      <c r="L46" s="394">
        <f t="shared" si="1"/>
        <v>4</v>
      </c>
      <c r="M46" s="395">
        <v>46195</v>
      </c>
      <c r="N46" s="395">
        <v>46191</v>
      </c>
      <c r="O46" s="396"/>
      <c r="P46" s="435" t="s">
        <v>224</v>
      </c>
      <c r="Q46" s="396" t="s">
        <v>1734</v>
      </c>
      <c r="R46" s="403">
        <v>46139</v>
      </c>
      <c r="S46" s="405" t="s">
        <v>80</v>
      </c>
      <c r="T46" s="396" t="s">
        <v>1705</v>
      </c>
      <c r="U46" s="396"/>
      <c r="V46" s="396"/>
      <c r="W46" s="396"/>
      <c r="X46" s="358" t="s">
        <v>1706</v>
      </c>
      <c r="Y46" s="395" t="s">
        <v>735</v>
      </c>
      <c r="Z46" s="445">
        <v>0.4895</v>
      </c>
      <c r="AA46" s="446">
        <f t="shared" ref="AA46:AA62" si="78">Z46*I46</f>
        <v>105.732</v>
      </c>
      <c r="AB46" s="395"/>
      <c r="AC46" s="358">
        <v>216</v>
      </c>
      <c r="AD46" s="358">
        <f t="shared" si="41"/>
        <v>0</v>
      </c>
      <c r="AE46" s="396"/>
      <c r="AF46" s="396" t="s">
        <v>114</v>
      </c>
      <c r="AG46" s="393" t="s">
        <v>94</v>
      </c>
      <c r="AH46" s="395" t="s">
        <v>115</v>
      </c>
      <c r="AI46" s="401">
        <f t="shared" ref="AI46:AI55" si="79">I46</f>
        <v>216</v>
      </c>
      <c r="AJ46" s="401"/>
      <c r="AK46" s="401">
        <f t="shared" ref="AK46:AK55" si="80">I46</f>
        <v>216</v>
      </c>
      <c r="AL46" s="401"/>
      <c r="AM46" s="401">
        <f t="shared" si="75"/>
        <v>216</v>
      </c>
      <c r="AN46" s="401"/>
      <c r="AO46" s="401"/>
      <c r="AP46" s="401"/>
      <c r="AQ46" s="401">
        <f t="shared" ref="AQ46:AQ55" si="81">I46</f>
        <v>216</v>
      </c>
      <c r="AR46" s="401"/>
      <c r="AS46" s="401">
        <f>I46/27</f>
        <v>8</v>
      </c>
      <c r="AT46" s="401"/>
      <c r="AU46" s="401"/>
      <c r="AV46" s="401"/>
      <c r="AW46" s="401"/>
      <c r="AX46" s="401"/>
      <c r="AY46" s="401"/>
      <c r="AZ46" s="401"/>
      <c r="BA46" s="401"/>
      <c r="BB46" s="401"/>
      <c r="BC46" s="401"/>
      <c r="BD46" s="401"/>
      <c r="BE46" s="401"/>
      <c r="BF46" s="401"/>
      <c r="BG46" s="401"/>
      <c r="BH46" s="401"/>
      <c r="BI46" s="401"/>
      <c r="BJ46" s="401"/>
      <c r="BK46" s="401"/>
      <c r="BL46" s="82">
        <f t="shared" ref="BL46:BT46" si="82">$I46*BL$2</f>
        <v>26.4374999999999</v>
      </c>
      <c r="BM46" s="82">
        <f t="shared" si="82"/>
        <v>26.4374999999999</v>
      </c>
      <c r="BN46" s="82">
        <f t="shared" si="82"/>
        <v>26.4374999999999</v>
      </c>
      <c r="BO46" s="82">
        <f t="shared" si="82"/>
        <v>26.4374999999999</v>
      </c>
      <c r="BP46" s="82">
        <f t="shared" si="82"/>
        <v>26.4374999999999</v>
      </c>
      <c r="BQ46" s="82">
        <f t="shared" si="82"/>
        <v>26.4374999999999</v>
      </c>
      <c r="BR46" s="82">
        <f t="shared" si="82"/>
        <v>26.4374999999999</v>
      </c>
      <c r="BS46" s="82">
        <f t="shared" si="82"/>
        <v>26.4374999999999</v>
      </c>
      <c r="BT46" s="82">
        <f t="shared" si="82"/>
        <v>4.49999999999999</v>
      </c>
      <c r="BV46" s="82">
        <f t="shared" si="57"/>
        <v>31275.9375000001</v>
      </c>
      <c r="BW46" s="82">
        <f t="shared" si="58"/>
        <v>31275.9375000001</v>
      </c>
      <c r="BX46" s="82">
        <f t="shared" si="59"/>
        <v>31275.9375000001</v>
      </c>
      <c r="BY46" s="82">
        <f t="shared" si="60"/>
        <v>31275.9375000001</v>
      </c>
      <c r="BZ46" s="82">
        <f t="shared" si="61"/>
        <v>31275.9375000001</v>
      </c>
      <c r="CA46" s="82">
        <f t="shared" si="62"/>
        <v>31275.9375000001</v>
      </c>
      <c r="CB46" s="82">
        <f t="shared" si="63"/>
        <v>31275.9375000001</v>
      </c>
      <c r="CC46" s="82">
        <f t="shared" si="64"/>
        <v>31275.9375000001</v>
      </c>
      <c r="CD46" s="82">
        <f t="shared" si="65"/>
        <v>5275.50000000003</v>
      </c>
    </row>
    <row r="47" s="370" customFormat="1" ht="27" customHeight="1" spans="1:82">
      <c r="A47" s="389">
        <v>46153</v>
      </c>
      <c r="B47" s="390" t="s">
        <v>582</v>
      </c>
      <c r="C47" s="391" t="s">
        <v>117</v>
      </c>
      <c r="D47" s="392" t="s">
        <v>1735</v>
      </c>
      <c r="E47" s="391" t="s">
        <v>1736</v>
      </c>
      <c r="F47" s="390" t="s">
        <v>1737</v>
      </c>
      <c r="G47" s="393" t="s">
        <v>152</v>
      </c>
      <c r="H47" s="390" t="s">
        <v>153</v>
      </c>
      <c r="I47" s="394">
        <v>2600</v>
      </c>
      <c r="J47" s="394">
        <v>0</v>
      </c>
      <c r="K47" s="394">
        <v>13</v>
      </c>
      <c r="L47" s="394">
        <f t="shared" si="1"/>
        <v>200</v>
      </c>
      <c r="M47" s="395">
        <v>46196</v>
      </c>
      <c r="N47" s="395">
        <v>46195</v>
      </c>
      <c r="O47" s="396"/>
      <c r="P47" s="444" t="s">
        <v>107</v>
      </c>
      <c r="Q47" s="396" t="s">
        <v>1738</v>
      </c>
      <c r="R47" s="398">
        <v>46153</v>
      </c>
      <c r="S47" s="405" t="s">
        <v>80</v>
      </c>
      <c r="T47" s="396" t="s">
        <v>80</v>
      </c>
      <c r="U47" s="396"/>
      <c r="V47" s="396"/>
      <c r="W47" s="396"/>
      <c r="X47" s="358" t="s">
        <v>1739</v>
      </c>
      <c r="Y47" s="395" t="s">
        <v>587</v>
      </c>
      <c r="Z47" s="399">
        <v>0.4873</v>
      </c>
      <c r="AA47" s="394">
        <f t="shared" si="78"/>
        <v>1266.98</v>
      </c>
      <c r="AB47" s="395"/>
      <c r="AC47" s="358">
        <v>2600</v>
      </c>
      <c r="AD47" s="358">
        <f t="shared" si="41"/>
        <v>0</v>
      </c>
      <c r="AE47" s="396"/>
      <c r="AF47" s="396" t="s">
        <v>114</v>
      </c>
      <c r="AG47" s="393" t="s">
        <v>152</v>
      </c>
      <c r="AH47" s="395" t="s">
        <v>115</v>
      </c>
      <c r="AI47" s="401">
        <f t="shared" si="79"/>
        <v>2600</v>
      </c>
      <c r="AJ47" s="401"/>
      <c r="AK47" s="401">
        <f t="shared" si="80"/>
        <v>2600</v>
      </c>
      <c r="AL47" s="401"/>
      <c r="AM47" s="401">
        <f t="shared" si="75"/>
        <v>2600</v>
      </c>
      <c r="AN47" s="401"/>
      <c r="AO47" s="401"/>
      <c r="AP47" s="401"/>
      <c r="AQ47" s="401">
        <f t="shared" si="81"/>
        <v>2600</v>
      </c>
      <c r="AR47" s="401"/>
      <c r="AS47" s="401"/>
      <c r="AT47" s="401"/>
      <c r="AU47" s="401"/>
      <c r="AV47" s="401">
        <f>I47/13</f>
        <v>200</v>
      </c>
      <c r="AW47" s="401"/>
      <c r="AX47" s="401"/>
      <c r="AY47" s="401"/>
      <c r="AZ47" s="401"/>
      <c r="BA47" s="401"/>
      <c r="BB47" s="401"/>
      <c r="BC47" s="401"/>
      <c r="BD47" s="401"/>
      <c r="BE47" s="401"/>
      <c r="BF47" s="401"/>
      <c r="BG47" s="401"/>
      <c r="BH47" s="401"/>
      <c r="BI47" s="401"/>
      <c r="BJ47" s="401"/>
      <c r="BK47" s="401"/>
      <c r="BL47" s="82">
        <f t="shared" ref="BL47:BT47" si="83">$I47*BL$2</f>
        <v>318.229166666666</v>
      </c>
      <c r="BM47" s="82">
        <f t="shared" si="83"/>
        <v>318.229166666666</v>
      </c>
      <c r="BN47" s="82">
        <f t="shared" si="83"/>
        <v>318.229166666666</v>
      </c>
      <c r="BO47" s="82">
        <f t="shared" si="83"/>
        <v>318.229166666666</v>
      </c>
      <c r="BP47" s="82">
        <f t="shared" si="83"/>
        <v>318.229166666666</v>
      </c>
      <c r="BQ47" s="82">
        <f t="shared" si="83"/>
        <v>318.229166666666</v>
      </c>
      <c r="BR47" s="82">
        <f t="shared" si="83"/>
        <v>318.229166666666</v>
      </c>
      <c r="BS47" s="82">
        <f t="shared" si="83"/>
        <v>318.229166666666</v>
      </c>
      <c r="BT47" s="82">
        <f t="shared" si="83"/>
        <v>54.1666666666666</v>
      </c>
      <c r="BV47" s="82">
        <f t="shared" si="57"/>
        <v>30957.7083333335</v>
      </c>
      <c r="BW47" s="82">
        <f t="shared" si="58"/>
        <v>30957.7083333335</v>
      </c>
      <c r="BX47" s="82">
        <f t="shared" si="59"/>
        <v>30957.7083333335</v>
      </c>
      <c r="BY47" s="82">
        <f t="shared" si="60"/>
        <v>30957.7083333335</v>
      </c>
      <c r="BZ47" s="82">
        <f t="shared" si="61"/>
        <v>30957.7083333335</v>
      </c>
      <c r="CA47" s="82">
        <f t="shared" si="62"/>
        <v>30957.7083333335</v>
      </c>
      <c r="CB47" s="82">
        <f t="shared" si="63"/>
        <v>30957.7083333335</v>
      </c>
      <c r="CC47" s="82">
        <f t="shared" si="64"/>
        <v>30957.7083333335</v>
      </c>
      <c r="CD47" s="82">
        <f t="shared" si="65"/>
        <v>5221.33333333337</v>
      </c>
    </row>
    <row r="48" s="370" customFormat="1" ht="27" customHeight="1" spans="1:82">
      <c r="A48" s="389">
        <v>46153</v>
      </c>
      <c r="B48" s="390" t="s">
        <v>415</v>
      </c>
      <c r="C48" s="391" t="s">
        <v>396</v>
      </c>
      <c r="D48" s="392" t="s">
        <v>1740</v>
      </c>
      <c r="E48" s="391" t="s">
        <v>1741</v>
      </c>
      <c r="F48" s="390" t="s">
        <v>1742</v>
      </c>
      <c r="G48" s="393" t="s">
        <v>94</v>
      </c>
      <c r="H48" s="390" t="s">
        <v>211</v>
      </c>
      <c r="I48" s="394">
        <v>4004</v>
      </c>
      <c r="J48" s="394">
        <v>0</v>
      </c>
      <c r="K48" s="394">
        <v>52</v>
      </c>
      <c r="L48" s="394">
        <f t="shared" si="1"/>
        <v>77</v>
      </c>
      <c r="M48" s="395">
        <v>46199</v>
      </c>
      <c r="N48" s="395">
        <v>46195</v>
      </c>
      <c r="O48" s="396"/>
      <c r="P48" s="447" t="s">
        <v>107</v>
      </c>
      <c r="Q48" s="396" t="s">
        <v>763</v>
      </c>
      <c r="R48" s="398">
        <v>46153</v>
      </c>
      <c r="S48" s="405" t="s">
        <v>80</v>
      </c>
      <c r="T48" s="396" t="s">
        <v>80</v>
      </c>
      <c r="U48" s="396"/>
      <c r="V48" s="396"/>
      <c r="W48" s="396"/>
      <c r="X48" s="358" t="s">
        <v>1743</v>
      </c>
      <c r="Y48" s="395" t="s">
        <v>1369</v>
      </c>
      <c r="Z48" s="399">
        <v>0.8044</v>
      </c>
      <c r="AA48" s="394">
        <f t="shared" si="78"/>
        <v>3220.8176</v>
      </c>
      <c r="AB48" s="395"/>
      <c r="AC48" s="358">
        <v>4004</v>
      </c>
      <c r="AD48" s="358">
        <f t="shared" si="41"/>
        <v>0</v>
      </c>
      <c r="AE48" s="396"/>
      <c r="AF48" s="396" t="s">
        <v>114</v>
      </c>
      <c r="AG48" s="393" t="s">
        <v>94</v>
      </c>
      <c r="AH48" s="395" t="s">
        <v>115</v>
      </c>
      <c r="AI48" s="401">
        <f t="shared" si="79"/>
        <v>4004</v>
      </c>
      <c r="AJ48" s="401"/>
      <c r="AK48" s="401">
        <f t="shared" si="80"/>
        <v>4004</v>
      </c>
      <c r="AL48" s="401"/>
      <c r="AM48" s="401">
        <f t="shared" si="75"/>
        <v>4004</v>
      </c>
      <c r="AN48" s="401"/>
      <c r="AO48" s="401"/>
      <c r="AP48" s="401"/>
      <c r="AQ48" s="401">
        <f t="shared" si="81"/>
        <v>4004</v>
      </c>
      <c r="AR48" s="401"/>
      <c r="AS48" s="401"/>
      <c r="AT48" s="401"/>
      <c r="AU48" s="401"/>
      <c r="AV48" s="401">
        <f>I48/13</f>
        <v>308</v>
      </c>
      <c r="AW48" s="401"/>
      <c r="AX48" s="401"/>
      <c r="AY48" s="401"/>
      <c r="AZ48" s="401"/>
      <c r="BA48" s="401"/>
      <c r="BB48" s="401"/>
      <c r="BC48" s="401"/>
      <c r="BD48" s="401"/>
      <c r="BE48" s="401"/>
      <c r="BF48" s="401"/>
      <c r="BG48" s="401"/>
      <c r="BH48" s="401"/>
      <c r="BI48" s="401"/>
      <c r="BJ48" s="401"/>
      <c r="BK48" s="401"/>
      <c r="BL48" s="82">
        <f t="shared" ref="BL48:BT48" si="84">$I48*BL$2</f>
        <v>490.072916666665</v>
      </c>
      <c r="BM48" s="82">
        <f t="shared" si="84"/>
        <v>490.072916666665</v>
      </c>
      <c r="BN48" s="82">
        <f t="shared" si="84"/>
        <v>490.072916666665</v>
      </c>
      <c r="BO48" s="82">
        <f t="shared" si="84"/>
        <v>490.072916666665</v>
      </c>
      <c r="BP48" s="82">
        <f t="shared" si="84"/>
        <v>490.072916666665</v>
      </c>
      <c r="BQ48" s="82">
        <f t="shared" si="84"/>
        <v>490.072916666665</v>
      </c>
      <c r="BR48" s="82">
        <f t="shared" si="84"/>
        <v>490.072916666665</v>
      </c>
      <c r="BS48" s="82">
        <f t="shared" si="84"/>
        <v>490.072916666665</v>
      </c>
      <c r="BT48" s="82">
        <f t="shared" si="84"/>
        <v>83.4166666666665</v>
      </c>
      <c r="BV48" s="82">
        <f t="shared" si="57"/>
        <v>30467.6354166668</v>
      </c>
      <c r="BW48" s="82">
        <f t="shared" si="58"/>
        <v>30467.6354166668</v>
      </c>
      <c r="BX48" s="82">
        <f t="shared" si="59"/>
        <v>30467.6354166668</v>
      </c>
      <c r="BY48" s="82">
        <f t="shared" si="60"/>
        <v>30467.6354166668</v>
      </c>
      <c r="BZ48" s="82">
        <f t="shared" si="61"/>
        <v>30467.6354166668</v>
      </c>
      <c r="CA48" s="82">
        <f t="shared" si="62"/>
        <v>30467.6354166668</v>
      </c>
      <c r="CB48" s="82">
        <f t="shared" si="63"/>
        <v>30467.6354166668</v>
      </c>
      <c r="CC48" s="82">
        <f t="shared" si="64"/>
        <v>30467.6354166668</v>
      </c>
      <c r="CD48" s="82">
        <f t="shared" si="65"/>
        <v>5137.9166666667</v>
      </c>
    </row>
    <row r="49" s="370" customFormat="1" ht="27" customHeight="1" spans="1:82">
      <c r="A49" s="389">
        <v>46160</v>
      </c>
      <c r="B49" s="390" t="s">
        <v>582</v>
      </c>
      <c r="C49" s="391" t="s">
        <v>117</v>
      </c>
      <c r="D49" s="392" t="s">
        <v>1744</v>
      </c>
      <c r="E49" s="391" t="s">
        <v>1745</v>
      </c>
      <c r="F49" s="390" t="s">
        <v>1746</v>
      </c>
      <c r="G49" s="393" t="s">
        <v>152</v>
      </c>
      <c r="H49" s="390" t="s">
        <v>153</v>
      </c>
      <c r="I49" s="394">
        <v>2600</v>
      </c>
      <c r="J49" s="394">
        <v>0</v>
      </c>
      <c r="K49" s="394">
        <v>13</v>
      </c>
      <c r="L49" s="394">
        <f t="shared" si="1"/>
        <v>200</v>
      </c>
      <c r="M49" s="395">
        <v>46200</v>
      </c>
      <c r="N49" s="395">
        <v>46196</v>
      </c>
      <c r="O49" s="396"/>
      <c r="P49" s="444" t="s">
        <v>107</v>
      </c>
      <c r="Q49" s="396" t="s">
        <v>849</v>
      </c>
      <c r="R49" s="398">
        <v>46160</v>
      </c>
      <c r="S49" s="405" t="s">
        <v>80</v>
      </c>
      <c r="T49" s="396" t="s">
        <v>80</v>
      </c>
      <c r="U49" s="396"/>
      <c r="V49" s="396"/>
      <c r="W49" s="396"/>
      <c r="X49" s="358" t="s">
        <v>1739</v>
      </c>
      <c r="Y49" s="395" t="s">
        <v>587</v>
      </c>
      <c r="Z49" s="399">
        <v>0.4766</v>
      </c>
      <c r="AA49" s="394">
        <f t="shared" si="78"/>
        <v>1239.16</v>
      </c>
      <c r="AB49" s="395"/>
      <c r="AC49" s="358">
        <v>2600</v>
      </c>
      <c r="AD49" s="358">
        <f t="shared" si="41"/>
        <v>0</v>
      </c>
      <c r="AE49" s="396"/>
      <c r="AF49" s="396" t="s">
        <v>114</v>
      </c>
      <c r="AG49" s="393" t="s">
        <v>152</v>
      </c>
      <c r="AH49" s="395" t="s">
        <v>115</v>
      </c>
      <c r="AI49" s="401">
        <f t="shared" si="79"/>
        <v>2600</v>
      </c>
      <c r="AJ49" s="401"/>
      <c r="AK49" s="401">
        <f t="shared" si="80"/>
        <v>2600</v>
      </c>
      <c r="AL49" s="401"/>
      <c r="AM49" s="401">
        <f t="shared" si="75"/>
        <v>2600</v>
      </c>
      <c r="AN49" s="401"/>
      <c r="AO49" s="401"/>
      <c r="AP49" s="401"/>
      <c r="AQ49" s="401">
        <f t="shared" si="81"/>
        <v>2600</v>
      </c>
      <c r="AR49" s="401"/>
      <c r="AS49" s="401"/>
      <c r="AT49" s="401"/>
      <c r="AU49" s="401"/>
      <c r="AV49" s="401">
        <f>I49/13</f>
        <v>200</v>
      </c>
      <c r="AW49" s="401"/>
      <c r="AX49" s="401"/>
      <c r="AY49" s="401"/>
      <c r="AZ49" s="401"/>
      <c r="BA49" s="401"/>
      <c r="BB49" s="401"/>
      <c r="BC49" s="401"/>
      <c r="BD49" s="401"/>
      <c r="BE49" s="401"/>
      <c r="BF49" s="401"/>
      <c r="BG49" s="401"/>
      <c r="BH49" s="401"/>
      <c r="BI49" s="401"/>
      <c r="BJ49" s="401"/>
      <c r="BK49" s="401"/>
      <c r="BL49" s="82">
        <f t="shared" ref="BL49:BT49" si="85">$I49*BL$2</f>
        <v>318.229166666666</v>
      </c>
      <c r="BM49" s="82">
        <f t="shared" si="85"/>
        <v>318.229166666666</v>
      </c>
      <c r="BN49" s="82">
        <f t="shared" si="85"/>
        <v>318.229166666666</v>
      </c>
      <c r="BO49" s="82">
        <f t="shared" si="85"/>
        <v>318.229166666666</v>
      </c>
      <c r="BP49" s="82">
        <f t="shared" si="85"/>
        <v>318.229166666666</v>
      </c>
      <c r="BQ49" s="82">
        <f t="shared" si="85"/>
        <v>318.229166666666</v>
      </c>
      <c r="BR49" s="82">
        <f t="shared" si="85"/>
        <v>318.229166666666</v>
      </c>
      <c r="BS49" s="82">
        <f t="shared" si="85"/>
        <v>318.229166666666</v>
      </c>
      <c r="BT49" s="82">
        <f t="shared" si="85"/>
        <v>54.1666666666666</v>
      </c>
      <c r="BV49" s="82">
        <f t="shared" si="57"/>
        <v>30149.4062500001</v>
      </c>
      <c r="BW49" s="82">
        <f t="shared" si="58"/>
        <v>30149.4062500001</v>
      </c>
      <c r="BX49" s="82">
        <f t="shared" si="59"/>
        <v>30149.4062500001</v>
      </c>
      <c r="BY49" s="82">
        <f t="shared" si="60"/>
        <v>30149.4062500001</v>
      </c>
      <c r="BZ49" s="82">
        <f t="shared" si="61"/>
        <v>30149.4062500001</v>
      </c>
      <c r="CA49" s="82">
        <f t="shared" si="62"/>
        <v>30149.4062500001</v>
      </c>
      <c r="CB49" s="82">
        <f t="shared" si="63"/>
        <v>30149.4062500001</v>
      </c>
      <c r="CC49" s="82">
        <f t="shared" si="64"/>
        <v>30149.4062500001</v>
      </c>
      <c r="CD49" s="82">
        <f t="shared" si="65"/>
        <v>5083.75000000003</v>
      </c>
    </row>
    <row r="50" s="372" customFormat="1" ht="27" customHeight="1" spans="1:82">
      <c r="A50" s="428">
        <v>46171</v>
      </c>
      <c r="B50" s="429" t="s">
        <v>1747</v>
      </c>
      <c r="C50" s="430" t="s">
        <v>1748</v>
      </c>
      <c r="D50" s="431">
        <v>4500209692</v>
      </c>
      <c r="E50" s="430">
        <v>5907192509</v>
      </c>
      <c r="F50" s="429" t="s">
        <v>1749</v>
      </c>
      <c r="G50" s="432" t="s">
        <v>78</v>
      </c>
      <c r="H50" s="429" t="s">
        <v>79</v>
      </c>
      <c r="I50" s="433">
        <v>162</v>
      </c>
      <c r="J50" s="433">
        <v>0</v>
      </c>
      <c r="K50" s="433">
        <v>54</v>
      </c>
      <c r="L50" s="433">
        <f t="shared" si="1"/>
        <v>3</v>
      </c>
      <c r="M50" s="434">
        <v>46203</v>
      </c>
      <c r="N50" s="434">
        <v>46200</v>
      </c>
      <c r="O50" s="435" t="s">
        <v>1750</v>
      </c>
      <c r="P50" s="435" t="s">
        <v>224</v>
      </c>
      <c r="Q50" s="435" t="s">
        <v>763</v>
      </c>
      <c r="R50" s="448">
        <v>46172</v>
      </c>
      <c r="S50" s="449" t="s">
        <v>80</v>
      </c>
      <c r="T50" s="437" t="s">
        <v>1751</v>
      </c>
      <c r="U50" s="435"/>
      <c r="V50" s="435"/>
      <c r="W50" s="435"/>
      <c r="X50" s="438" t="s">
        <v>1752</v>
      </c>
      <c r="Y50" s="434" t="s">
        <v>581</v>
      </c>
      <c r="Z50" s="439">
        <v>0.8371</v>
      </c>
      <c r="AA50" s="440">
        <f t="shared" si="78"/>
        <v>135.6102</v>
      </c>
      <c r="AB50" s="434"/>
      <c r="AC50" s="230">
        <v>54</v>
      </c>
      <c r="AD50" s="438"/>
      <c r="AE50" s="435"/>
      <c r="AF50" s="435" t="s">
        <v>114</v>
      </c>
      <c r="AG50" s="434" t="s">
        <v>230</v>
      </c>
      <c r="AH50" s="434" t="s">
        <v>115</v>
      </c>
      <c r="AI50" s="441">
        <f t="shared" si="79"/>
        <v>162</v>
      </c>
      <c r="AJ50" s="441"/>
      <c r="AK50" s="441">
        <f t="shared" si="80"/>
        <v>162</v>
      </c>
      <c r="AL50" s="441"/>
      <c r="AM50" s="372"/>
      <c r="AN50" s="441">
        <f t="shared" ref="AN50:AN55" si="86">I50</f>
        <v>162</v>
      </c>
      <c r="AO50" s="441"/>
      <c r="AP50" s="441"/>
      <c r="AQ50" s="441">
        <f t="shared" si="81"/>
        <v>162</v>
      </c>
      <c r="AR50" s="441"/>
      <c r="AS50" s="441"/>
      <c r="AT50" s="441"/>
      <c r="AU50" s="441">
        <f t="shared" ref="AU50:AU55" si="87">I50/27</f>
        <v>6</v>
      </c>
      <c r="AV50" s="441"/>
      <c r="AW50" s="441"/>
      <c r="AX50" s="441"/>
      <c r="AY50" s="441"/>
      <c r="AZ50" s="441"/>
      <c r="BA50" s="441"/>
      <c r="BB50" s="441"/>
      <c r="BC50" s="441"/>
      <c r="BD50" s="441"/>
      <c r="BE50" s="441"/>
      <c r="BF50" s="441"/>
      <c r="BG50" s="441"/>
      <c r="BH50" s="441"/>
      <c r="BI50" s="441"/>
      <c r="BJ50" s="441"/>
      <c r="BK50" s="441"/>
      <c r="BL50" s="59">
        <f t="shared" ref="BL50:BT50" si="88">$I50*BL$2</f>
        <v>19.8281249999999</v>
      </c>
      <c r="BM50" s="59">
        <f t="shared" si="88"/>
        <v>19.8281249999999</v>
      </c>
      <c r="BN50" s="59">
        <f t="shared" si="88"/>
        <v>19.8281249999999</v>
      </c>
      <c r="BO50" s="59">
        <f t="shared" si="88"/>
        <v>19.8281249999999</v>
      </c>
      <c r="BP50" s="59">
        <f t="shared" si="88"/>
        <v>19.8281249999999</v>
      </c>
      <c r="BQ50" s="59">
        <f t="shared" si="88"/>
        <v>19.8281249999999</v>
      </c>
      <c r="BR50" s="59">
        <f t="shared" si="88"/>
        <v>19.8281249999999</v>
      </c>
      <c r="BS50" s="59">
        <f t="shared" si="88"/>
        <v>19.8281249999999</v>
      </c>
      <c r="BT50" s="59">
        <f t="shared" si="88"/>
        <v>3.37499999999999</v>
      </c>
      <c r="BV50" s="82">
        <f t="shared" si="57"/>
        <v>30129.5781250001</v>
      </c>
      <c r="BW50" s="82">
        <f t="shared" si="58"/>
        <v>30129.5781250001</v>
      </c>
      <c r="BX50" s="82">
        <f t="shared" si="59"/>
        <v>30129.5781250001</v>
      </c>
      <c r="BY50" s="82">
        <f t="shared" si="60"/>
        <v>30129.5781250001</v>
      </c>
      <c r="BZ50" s="82">
        <f t="shared" si="61"/>
        <v>30129.5781250001</v>
      </c>
      <c r="CA50" s="82">
        <f t="shared" si="62"/>
        <v>30129.5781250001</v>
      </c>
      <c r="CB50" s="82">
        <f t="shared" si="63"/>
        <v>30129.5781250001</v>
      </c>
      <c r="CC50" s="82">
        <f t="shared" si="64"/>
        <v>30129.5781250001</v>
      </c>
      <c r="CD50" s="82">
        <f t="shared" si="65"/>
        <v>5080.37500000003</v>
      </c>
    </row>
    <row r="51" s="372" customFormat="1" ht="27" customHeight="1" spans="1:82">
      <c r="A51" s="428">
        <v>46154</v>
      </c>
      <c r="B51" s="429" t="s">
        <v>1753</v>
      </c>
      <c r="C51" s="430" t="s">
        <v>1754</v>
      </c>
      <c r="D51" s="431" t="s">
        <v>1755</v>
      </c>
      <c r="E51" s="430">
        <v>4407192470</v>
      </c>
      <c r="F51" s="429" t="s">
        <v>1756</v>
      </c>
      <c r="G51" s="432" t="s">
        <v>78</v>
      </c>
      <c r="H51" s="429" t="s">
        <v>79</v>
      </c>
      <c r="I51" s="433">
        <v>324</v>
      </c>
      <c r="J51" s="433">
        <v>0</v>
      </c>
      <c r="K51" s="433">
        <v>54</v>
      </c>
      <c r="L51" s="433">
        <f t="shared" si="1"/>
        <v>6</v>
      </c>
      <c r="M51" s="434">
        <v>46203</v>
      </c>
      <c r="N51" s="434">
        <v>46203</v>
      </c>
      <c r="O51" s="435"/>
      <c r="P51" s="435" t="s">
        <v>224</v>
      </c>
      <c r="Q51" s="435" t="s">
        <v>938</v>
      </c>
      <c r="R51" s="448">
        <v>46172</v>
      </c>
      <c r="S51" s="448" t="s">
        <v>80</v>
      </c>
      <c r="T51" s="435" t="s">
        <v>1757</v>
      </c>
      <c r="U51" s="435"/>
      <c r="V51" s="435"/>
      <c r="W51" s="435"/>
      <c r="X51" s="438" t="s">
        <v>1758</v>
      </c>
      <c r="Y51" s="434" t="s">
        <v>581</v>
      </c>
      <c r="Z51" s="450">
        <v>0.7983</v>
      </c>
      <c r="AA51" s="433">
        <f t="shared" si="78"/>
        <v>258.6492</v>
      </c>
      <c r="AB51" s="434"/>
      <c r="AC51" s="438">
        <v>324</v>
      </c>
      <c r="AD51" s="438">
        <f>AC51-I51</f>
        <v>0</v>
      </c>
      <c r="AE51" s="435"/>
      <c r="AF51" s="435" t="s">
        <v>114</v>
      </c>
      <c r="AG51" s="434" t="s">
        <v>230</v>
      </c>
      <c r="AH51" s="434" t="s">
        <v>115</v>
      </c>
      <c r="AI51" s="441">
        <f t="shared" si="79"/>
        <v>324</v>
      </c>
      <c r="AJ51" s="441"/>
      <c r="AK51" s="441">
        <f t="shared" si="80"/>
        <v>324</v>
      </c>
      <c r="AL51" s="441"/>
      <c r="AN51" s="441">
        <f t="shared" si="86"/>
        <v>324</v>
      </c>
      <c r="AO51" s="441"/>
      <c r="AP51" s="441"/>
      <c r="AQ51" s="441">
        <f t="shared" si="81"/>
        <v>324</v>
      </c>
      <c r="AR51" s="441"/>
      <c r="AS51" s="441"/>
      <c r="AT51" s="441"/>
      <c r="AU51" s="441">
        <f t="shared" si="87"/>
        <v>12</v>
      </c>
      <c r="AV51" s="441"/>
      <c r="AW51" s="441"/>
      <c r="AX51" s="441"/>
      <c r="AY51" s="441"/>
      <c r="AZ51" s="441"/>
      <c r="BA51" s="441"/>
      <c r="BB51" s="441"/>
      <c r="BC51" s="441"/>
      <c r="BD51" s="441"/>
      <c r="BE51" s="441"/>
      <c r="BF51" s="441"/>
      <c r="BG51" s="441"/>
      <c r="BH51" s="441"/>
      <c r="BI51" s="441"/>
      <c r="BJ51" s="441"/>
      <c r="BK51" s="441"/>
      <c r="BL51" s="59">
        <f t="shared" ref="BL51:BT51" si="89">$I51*BL$2</f>
        <v>39.6562499999999</v>
      </c>
      <c r="BM51" s="59">
        <f t="shared" si="89"/>
        <v>39.6562499999999</v>
      </c>
      <c r="BN51" s="59">
        <f t="shared" si="89"/>
        <v>39.6562499999999</v>
      </c>
      <c r="BO51" s="59">
        <f t="shared" si="89"/>
        <v>39.6562499999999</v>
      </c>
      <c r="BP51" s="59">
        <f t="shared" si="89"/>
        <v>39.6562499999999</v>
      </c>
      <c r="BQ51" s="59">
        <f t="shared" si="89"/>
        <v>39.6562499999999</v>
      </c>
      <c r="BR51" s="59">
        <f t="shared" si="89"/>
        <v>39.6562499999999</v>
      </c>
      <c r="BS51" s="59">
        <f t="shared" si="89"/>
        <v>39.6562499999999</v>
      </c>
      <c r="BT51" s="59">
        <f t="shared" si="89"/>
        <v>6.74999999999999</v>
      </c>
      <c r="BV51" s="82">
        <f t="shared" si="57"/>
        <v>30089.9218750001</v>
      </c>
      <c r="BW51" s="82">
        <f t="shared" si="58"/>
        <v>30089.9218750001</v>
      </c>
      <c r="BX51" s="82">
        <f t="shared" si="59"/>
        <v>30089.9218750001</v>
      </c>
      <c r="BY51" s="82">
        <f t="shared" si="60"/>
        <v>30089.9218750001</v>
      </c>
      <c r="BZ51" s="82">
        <f t="shared" si="61"/>
        <v>30089.9218750001</v>
      </c>
      <c r="CA51" s="82">
        <f t="shared" si="62"/>
        <v>30089.9218750001</v>
      </c>
      <c r="CB51" s="82">
        <f t="shared" si="63"/>
        <v>30089.9218750001</v>
      </c>
      <c r="CC51" s="82">
        <f t="shared" si="64"/>
        <v>30089.9218750001</v>
      </c>
      <c r="CD51" s="82">
        <f t="shared" si="65"/>
        <v>5073.62500000003</v>
      </c>
    </row>
    <row r="52" s="372" customFormat="1" ht="27" customHeight="1" spans="1:82">
      <c r="A52" s="428">
        <v>46154</v>
      </c>
      <c r="B52" s="429" t="s">
        <v>1747</v>
      </c>
      <c r="C52" s="430" t="s">
        <v>1748</v>
      </c>
      <c r="D52" s="431" t="s">
        <v>1759</v>
      </c>
      <c r="E52" s="430">
        <v>5507192471</v>
      </c>
      <c r="F52" s="429" t="s">
        <v>1760</v>
      </c>
      <c r="G52" s="432" t="s">
        <v>78</v>
      </c>
      <c r="H52" s="429" t="s">
        <v>79</v>
      </c>
      <c r="I52" s="433">
        <v>162</v>
      </c>
      <c r="J52" s="433">
        <v>0</v>
      </c>
      <c r="K52" s="433">
        <v>54</v>
      </c>
      <c r="L52" s="433">
        <f t="shared" si="1"/>
        <v>3</v>
      </c>
      <c r="M52" s="434">
        <v>46203</v>
      </c>
      <c r="N52" s="434">
        <v>46203</v>
      </c>
      <c r="O52" s="435" t="s">
        <v>1761</v>
      </c>
      <c r="P52" s="435" t="s">
        <v>224</v>
      </c>
      <c r="Q52" s="435" t="s">
        <v>763</v>
      </c>
      <c r="R52" s="448">
        <v>46172</v>
      </c>
      <c r="S52" s="448" t="s">
        <v>80</v>
      </c>
      <c r="T52" s="437" t="s">
        <v>1751</v>
      </c>
      <c r="U52" s="435"/>
      <c r="V52" s="435"/>
      <c r="W52" s="435"/>
      <c r="X52" s="438" t="s">
        <v>1762</v>
      </c>
      <c r="Y52" s="434" t="s">
        <v>581</v>
      </c>
      <c r="Z52" s="450">
        <v>0.8158</v>
      </c>
      <c r="AA52" s="433">
        <f t="shared" si="78"/>
        <v>132.1596</v>
      </c>
      <c r="AB52" s="434"/>
      <c r="AC52" s="438">
        <v>108</v>
      </c>
      <c r="AD52" s="438">
        <f>AC52-I52</f>
        <v>-54</v>
      </c>
      <c r="AE52" s="435"/>
      <c r="AF52" s="435" t="s">
        <v>114</v>
      </c>
      <c r="AG52" s="434" t="s">
        <v>230</v>
      </c>
      <c r="AH52" s="434" t="s">
        <v>115</v>
      </c>
      <c r="AI52" s="441">
        <f t="shared" si="79"/>
        <v>162</v>
      </c>
      <c r="AJ52" s="441"/>
      <c r="AK52" s="441">
        <f t="shared" si="80"/>
        <v>162</v>
      </c>
      <c r="AL52" s="441"/>
      <c r="AN52" s="441">
        <f t="shared" si="86"/>
        <v>162</v>
      </c>
      <c r="AO52" s="441"/>
      <c r="AP52" s="441"/>
      <c r="AQ52" s="441">
        <f t="shared" si="81"/>
        <v>162</v>
      </c>
      <c r="AR52" s="441"/>
      <c r="AS52" s="441"/>
      <c r="AT52" s="441"/>
      <c r="AU52" s="441">
        <f t="shared" si="87"/>
        <v>6</v>
      </c>
      <c r="AV52" s="441"/>
      <c r="AW52" s="441"/>
      <c r="AX52" s="441"/>
      <c r="AY52" s="441"/>
      <c r="AZ52" s="441"/>
      <c r="BA52" s="441"/>
      <c r="BB52" s="441"/>
      <c r="BC52" s="441"/>
      <c r="BD52" s="441"/>
      <c r="BE52" s="441"/>
      <c r="BF52" s="441"/>
      <c r="BG52" s="441"/>
      <c r="BH52" s="441"/>
      <c r="BI52" s="441"/>
      <c r="BJ52" s="441"/>
      <c r="BK52" s="441"/>
      <c r="BL52" s="59">
        <f t="shared" ref="BL52:BT52" si="90">$I52*BL$2</f>
        <v>19.8281249999999</v>
      </c>
      <c r="BM52" s="59">
        <f t="shared" si="90"/>
        <v>19.8281249999999</v>
      </c>
      <c r="BN52" s="59">
        <f t="shared" si="90"/>
        <v>19.8281249999999</v>
      </c>
      <c r="BO52" s="59">
        <f t="shared" si="90"/>
        <v>19.8281249999999</v>
      </c>
      <c r="BP52" s="59">
        <f t="shared" si="90"/>
        <v>19.8281249999999</v>
      </c>
      <c r="BQ52" s="59">
        <f t="shared" si="90"/>
        <v>19.8281249999999</v>
      </c>
      <c r="BR52" s="59">
        <f t="shared" si="90"/>
        <v>19.8281249999999</v>
      </c>
      <c r="BS52" s="59">
        <f t="shared" si="90"/>
        <v>19.8281249999999</v>
      </c>
      <c r="BT52" s="59">
        <f t="shared" si="90"/>
        <v>3.37499999999999</v>
      </c>
      <c r="BV52" s="82">
        <f t="shared" si="57"/>
        <v>30070.0937500001</v>
      </c>
      <c r="BW52" s="82">
        <f t="shared" si="58"/>
        <v>30070.0937500001</v>
      </c>
      <c r="BX52" s="82">
        <f t="shared" si="59"/>
        <v>30070.0937500001</v>
      </c>
      <c r="BY52" s="82">
        <f t="shared" si="60"/>
        <v>30070.0937500001</v>
      </c>
      <c r="BZ52" s="82">
        <f t="shared" si="61"/>
        <v>30070.0937500001</v>
      </c>
      <c r="CA52" s="82">
        <f t="shared" si="62"/>
        <v>30070.0937500001</v>
      </c>
      <c r="CB52" s="82">
        <f t="shared" si="63"/>
        <v>30070.0937500001</v>
      </c>
      <c r="CC52" s="82">
        <f t="shared" si="64"/>
        <v>30070.0937500001</v>
      </c>
      <c r="CD52" s="82">
        <f t="shared" si="65"/>
        <v>5070.25000000003</v>
      </c>
    </row>
    <row r="53" s="372" customFormat="1" ht="27" customHeight="1" spans="1:82">
      <c r="A53" s="428">
        <v>46154</v>
      </c>
      <c r="B53" s="429" t="s">
        <v>1763</v>
      </c>
      <c r="C53" s="430" t="s">
        <v>1566</v>
      </c>
      <c r="D53" s="431" t="s">
        <v>1764</v>
      </c>
      <c r="E53" s="430" t="s">
        <v>1715</v>
      </c>
      <c r="F53" s="429" t="s">
        <v>1765</v>
      </c>
      <c r="G53" s="432" t="s">
        <v>78</v>
      </c>
      <c r="H53" s="429" t="s">
        <v>79</v>
      </c>
      <c r="I53" s="433">
        <v>432</v>
      </c>
      <c r="J53" s="433">
        <v>0</v>
      </c>
      <c r="K53" s="433">
        <v>54</v>
      </c>
      <c r="L53" s="433">
        <f t="shared" si="1"/>
        <v>8</v>
      </c>
      <c r="M53" s="434">
        <v>46203</v>
      </c>
      <c r="N53" s="434">
        <v>46203</v>
      </c>
      <c r="O53" s="435"/>
      <c r="P53" s="435" t="s">
        <v>224</v>
      </c>
      <c r="Q53" s="435" t="s">
        <v>922</v>
      </c>
      <c r="R53" s="448">
        <v>46172</v>
      </c>
      <c r="S53" s="448" t="s">
        <v>80</v>
      </c>
      <c r="T53" s="437" t="s">
        <v>1751</v>
      </c>
      <c r="U53" s="435"/>
      <c r="V53" s="435"/>
      <c r="W53" s="435"/>
      <c r="X53" s="438" t="s">
        <v>1762</v>
      </c>
      <c r="Y53" s="434" t="s">
        <v>581</v>
      </c>
      <c r="Z53" s="450">
        <v>0.8158</v>
      </c>
      <c r="AA53" s="433">
        <f t="shared" si="78"/>
        <v>352.4256</v>
      </c>
      <c r="AB53" s="434"/>
      <c r="AC53" s="438">
        <v>432</v>
      </c>
      <c r="AD53" s="438">
        <f>AC53-I53</f>
        <v>0</v>
      </c>
      <c r="AE53" s="435"/>
      <c r="AF53" s="435" t="s">
        <v>114</v>
      </c>
      <c r="AG53" s="434" t="s">
        <v>230</v>
      </c>
      <c r="AH53" s="434" t="s">
        <v>115</v>
      </c>
      <c r="AI53" s="441">
        <f t="shared" si="79"/>
        <v>432</v>
      </c>
      <c r="AJ53" s="441"/>
      <c r="AK53" s="441">
        <f t="shared" si="80"/>
        <v>432</v>
      </c>
      <c r="AL53" s="441"/>
      <c r="AN53" s="441">
        <f t="shared" si="86"/>
        <v>432</v>
      </c>
      <c r="AO53" s="441"/>
      <c r="AP53" s="441"/>
      <c r="AQ53" s="441">
        <f t="shared" si="81"/>
        <v>432</v>
      </c>
      <c r="AR53" s="441"/>
      <c r="AS53" s="441"/>
      <c r="AT53" s="441"/>
      <c r="AU53" s="441">
        <f t="shared" si="87"/>
        <v>16</v>
      </c>
      <c r="AV53" s="441"/>
      <c r="AW53" s="441"/>
      <c r="AX53" s="441"/>
      <c r="AY53" s="441"/>
      <c r="AZ53" s="441"/>
      <c r="BA53" s="441"/>
      <c r="BB53" s="441"/>
      <c r="BC53" s="441"/>
      <c r="BD53" s="441"/>
      <c r="BE53" s="441"/>
      <c r="BF53" s="441"/>
      <c r="BG53" s="441"/>
      <c r="BH53" s="441"/>
      <c r="BI53" s="441"/>
      <c r="BJ53" s="441"/>
      <c r="BK53" s="441"/>
      <c r="BL53" s="59">
        <f t="shared" ref="BL53:BT53" si="91">$I53*BL$2</f>
        <v>52.8749999999999</v>
      </c>
      <c r="BM53" s="59">
        <f t="shared" si="91"/>
        <v>52.8749999999999</v>
      </c>
      <c r="BN53" s="59">
        <f t="shared" si="91"/>
        <v>52.8749999999999</v>
      </c>
      <c r="BO53" s="59">
        <f t="shared" si="91"/>
        <v>52.8749999999999</v>
      </c>
      <c r="BP53" s="59">
        <f t="shared" si="91"/>
        <v>52.8749999999999</v>
      </c>
      <c r="BQ53" s="59">
        <f t="shared" si="91"/>
        <v>52.8749999999999</v>
      </c>
      <c r="BR53" s="59">
        <f t="shared" si="91"/>
        <v>52.8749999999999</v>
      </c>
      <c r="BS53" s="59">
        <f t="shared" si="91"/>
        <v>52.8749999999999</v>
      </c>
      <c r="BT53" s="59">
        <f t="shared" si="91"/>
        <v>8.99999999999999</v>
      </c>
      <c r="BV53" s="82">
        <f t="shared" si="57"/>
        <v>30017.2187500001</v>
      </c>
      <c r="BW53" s="82">
        <f t="shared" si="58"/>
        <v>30017.2187500001</v>
      </c>
      <c r="BX53" s="82">
        <f t="shared" si="59"/>
        <v>30017.2187500001</v>
      </c>
      <c r="BY53" s="82">
        <f t="shared" si="60"/>
        <v>30017.2187500001</v>
      </c>
      <c r="BZ53" s="82">
        <f t="shared" si="61"/>
        <v>30017.2187500001</v>
      </c>
      <c r="CA53" s="82">
        <f t="shared" si="62"/>
        <v>30017.2187500001</v>
      </c>
      <c r="CB53" s="82">
        <f t="shared" si="63"/>
        <v>30017.2187500001</v>
      </c>
      <c r="CC53" s="82">
        <f t="shared" si="64"/>
        <v>30017.2187500001</v>
      </c>
      <c r="CD53" s="82">
        <f t="shared" si="65"/>
        <v>5061.25000000003</v>
      </c>
    </row>
    <row r="54" s="370" customFormat="1" ht="27" customHeight="1" spans="1:82">
      <c r="A54" s="389">
        <v>46168</v>
      </c>
      <c r="B54" s="390" t="s">
        <v>1148</v>
      </c>
      <c r="C54" s="391" t="s">
        <v>876</v>
      </c>
      <c r="D54" s="392" t="s">
        <v>1766</v>
      </c>
      <c r="E54" s="391" t="s">
        <v>1715</v>
      </c>
      <c r="F54" s="390" t="s">
        <v>1767</v>
      </c>
      <c r="G54" s="393" t="s">
        <v>78</v>
      </c>
      <c r="H54" s="390" t="s">
        <v>79</v>
      </c>
      <c r="I54" s="394">
        <v>756</v>
      </c>
      <c r="J54" s="394">
        <v>0</v>
      </c>
      <c r="K54" s="394">
        <v>54</v>
      </c>
      <c r="L54" s="394">
        <f t="shared" si="1"/>
        <v>14</v>
      </c>
      <c r="M54" s="395">
        <v>46212</v>
      </c>
      <c r="N54" s="395">
        <v>46209</v>
      </c>
      <c r="O54" s="396"/>
      <c r="P54" s="447" t="s">
        <v>224</v>
      </c>
      <c r="Q54" s="451" t="s">
        <v>1177</v>
      </c>
      <c r="R54" s="398">
        <v>46178</v>
      </c>
      <c r="S54" s="398" t="s">
        <v>80</v>
      </c>
      <c r="T54" s="396" t="s">
        <v>1768</v>
      </c>
      <c r="U54" s="396"/>
      <c r="V54" s="396"/>
      <c r="W54" s="396"/>
      <c r="X54" s="358" t="s">
        <v>1769</v>
      </c>
      <c r="Y54" s="395" t="s">
        <v>881</v>
      </c>
      <c r="Z54" s="399">
        <v>0.8371</v>
      </c>
      <c r="AA54" s="394">
        <f t="shared" si="78"/>
        <v>632.8476</v>
      </c>
      <c r="AB54" s="395"/>
      <c r="AC54" s="358">
        <v>756</v>
      </c>
      <c r="AD54" s="438">
        <f>AC54-I54</f>
        <v>0</v>
      </c>
      <c r="AE54" s="396"/>
      <c r="AF54" s="396" t="s">
        <v>114</v>
      </c>
      <c r="AG54" s="395" t="s">
        <v>230</v>
      </c>
      <c r="AH54" s="395" t="s">
        <v>115</v>
      </c>
      <c r="AI54" s="401">
        <f t="shared" si="79"/>
        <v>756</v>
      </c>
      <c r="AJ54" s="401"/>
      <c r="AK54" s="401">
        <f t="shared" si="80"/>
        <v>756</v>
      </c>
      <c r="AL54" s="401"/>
      <c r="AM54" s="401"/>
      <c r="AN54" s="401">
        <f t="shared" si="86"/>
        <v>756</v>
      </c>
      <c r="AO54" s="401"/>
      <c r="AP54" s="401"/>
      <c r="AQ54" s="401">
        <f t="shared" si="81"/>
        <v>756</v>
      </c>
      <c r="AR54" s="401"/>
      <c r="AS54" s="401"/>
      <c r="AT54" s="401"/>
      <c r="AU54" s="401">
        <f t="shared" si="87"/>
        <v>28</v>
      </c>
      <c r="AV54" s="401"/>
      <c r="AW54" s="401"/>
      <c r="AX54" s="401"/>
      <c r="AY54" s="401"/>
      <c r="AZ54" s="401"/>
      <c r="BA54" s="401"/>
      <c r="BB54" s="401"/>
      <c r="BC54" s="401"/>
      <c r="BD54" s="401"/>
      <c r="BE54" s="401"/>
      <c r="BF54" s="401"/>
      <c r="BG54" s="401"/>
      <c r="BH54" s="401"/>
      <c r="BI54" s="401"/>
      <c r="BJ54" s="401"/>
      <c r="BK54" s="401"/>
      <c r="BL54" s="82">
        <f t="shared" ref="BL54:BT54" si="92">$I54*BL$2</f>
        <v>92.5312499999997</v>
      </c>
      <c r="BM54" s="82">
        <f t="shared" si="92"/>
        <v>92.5312499999997</v>
      </c>
      <c r="BN54" s="82">
        <f t="shared" si="92"/>
        <v>92.5312499999997</v>
      </c>
      <c r="BO54" s="82">
        <f t="shared" si="92"/>
        <v>92.5312499999997</v>
      </c>
      <c r="BP54" s="82">
        <f t="shared" si="92"/>
        <v>92.5312499999997</v>
      </c>
      <c r="BQ54" s="82">
        <f t="shared" si="92"/>
        <v>92.5312499999997</v>
      </c>
      <c r="BR54" s="82">
        <f t="shared" si="92"/>
        <v>92.5312499999997</v>
      </c>
      <c r="BS54" s="82">
        <f t="shared" si="92"/>
        <v>92.5312499999997</v>
      </c>
      <c r="BT54" s="82">
        <f t="shared" si="92"/>
        <v>15.75</v>
      </c>
      <c r="BV54" s="82">
        <f t="shared" si="57"/>
        <v>29924.6875000001</v>
      </c>
      <c r="BW54" s="82">
        <f t="shared" si="58"/>
        <v>29924.6875000001</v>
      </c>
      <c r="BX54" s="82">
        <f t="shared" si="59"/>
        <v>29924.6875000001</v>
      </c>
      <c r="BY54" s="82">
        <f t="shared" si="60"/>
        <v>29924.6875000001</v>
      </c>
      <c r="BZ54" s="82">
        <f t="shared" si="61"/>
        <v>29924.6875000001</v>
      </c>
      <c r="CA54" s="82">
        <f t="shared" si="62"/>
        <v>29924.6875000001</v>
      </c>
      <c r="CB54" s="82">
        <f t="shared" si="63"/>
        <v>29924.6875000001</v>
      </c>
      <c r="CC54" s="82">
        <f t="shared" si="64"/>
        <v>29924.6875000001</v>
      </c>
      <c r="CD54" s="82">
        <f t="shared" si="65"/>
        <v>5045.50000000003</v>
      </c>
    </row>
    <row r="55" s="372" customFormat="1" ht="27" customHeight="1" spans="1:82">
      <c r="A55" s="428">
        <v>46143</v>
      </c>
      <c r="B55" s="429" t="s">
        <v>795</v>
      </c>
      <c r="C55" s="430" t="s">
        <v>574</v>
      </c>
      <c r="D55" s="431" t="s">
        <v>1770</v>
      </c>
      <c r="E55" s="430" t="s">
        <v>1771</v>
      </c>
      <c r="F55" s="429" t="s">
        <v>1772</v>
      </c>
      <c r="G55" s="432" t="s">
        <v>131</v>
      </c>
      <c r="H55" s="429" t="s">
        <v>79</v>
      </c>
      <c r="I55" s="433">
        <v>11070</v>
      </c>
      <c r="J55" s="433">
        <v>0</v>
      </c>
      <c r="K55" s="433">
        <v>27</v>
      </c>
      <c r="L55" s="433">
        <f t="shared" si="1"/>
        <v>410</v>
      </c>
      <c r="M55" s="434">
        <v>46217</v>
      </c>
      <c r="N55" s="434">
        <f>M55-4</f>
        <v>46213</v>
      </c>
      <c r="O55" s="435" t="s">
        <v>1773</v>
      </c>
      <c r="P55" s="435" t="s">
        <v>107</v>
      </c>
      <c r="Q55" s="435" t="s">
        <v>1774</v>
      </c>
      <c r="R55" s="448">
        <v>46167</v>
      </c>
      <c r="S55" s="452" t="s">
        <v>80</v>
      </c>
      <c r="T55" s="435" t="s">
        <v>1775</v>
      </c>
      <c r="U55" s="435" t="s">
        <v>1776</v>
      </c>
      <c r="V55" s="435"/>
      <c r="W55" s="435"/>
      <c r="X55" s="438" t="s">
        <v>1777</v>
      </c>
      <c r="Y55" s="434" t="s">
        <v>581</v>
      </c>
      <c r="Z55" s="439">
        <v>0.7813</v>
      </c>
      <c r="AA55" s="440">
        <f t="shared" si="78"/>
        <v>8648.991</v>
      </c>
      <c r="AB55" s="434"/>
      <c r="AC55" s="438">
        <v>11070</v>
      </c>
      <c r="AD55" s="438">
        <v>0</v>
      </c>
      <c r="AE55" s="435"/>
      <c r="AF55" s="435" t="s">
        <v>114</v>
      </c>
      <c r="AG55" s="434" t="s">
        <v>434</v>
      </c>
      <c r="AH55" s="434" t="s">
        <v>115</v>
      </c>
      <c r="AI55" s="441">
        <f t="shared" si="79"/>
        <v>11070</v>
      </c>
      <c r="AJ55" s="441"/>
      <c r="AK55" s="441">
        <f t="shared" si="80"/>
        <v>11070</v>
      </c>
      <c r="AL55" s="441"/>
      <c r="AM55" s="441"/>
      <c r="AN55" s="441">
        <f t="shared" si="86"/>
        <v>11070</v>
      </c>
      <c r="AO55" s="441"/>
      <c r="AP55" s="441"/>
      <c r="AQ55" s="441">
        <f t="shared" si="81"/>
        <v>11070</v>
      </c>
      <c r="AR55" s="441"/>
      <c r="AS55" s="441"/>
      <c r="AT55" s="441"/>
      <c r="AU55" s="441">
        <f t="shared" si="87"/>
        <v>410</v>
      </c>
      <c r="AV55" s="441"/>
      <c r="AW55" s="441"/>
      <c r="AX55" s="441"/>
      <c r="AY55" s="441"/>
      <c r="AZ55" s="441"/>
      <c r="BA55" s="441"/>
      <c r="BB55" s="441"/>
      <c r="BC55" s="441"/>
      <c r="BD55" s="441"/>
      <c r="BE55" s="441"/>
      <c r="BF55" s="441"/>
      <c r="BG55" s="441"/>
      <c r="BH55" s="441"/>
      <c r="BI55" s="441"/>
      <c r="BJ55" s="441"/>
      <c r="BK55" s="441"/>
      <c r="BL55" s="59">
        <f t="shared" ref="BL55:BT55" si="93">$I55*BL$2</f>
        <v>1354.921875</v>
      </c>
      <c r="BM55" s="59">
        <f t="shared" si="93"/>
        <v>1354.921875</v>
      </c>
      <c r="BN55" s="59">
        <f t="shared" si="93"/>
        <v>1354.921875</v>
      </c>
      <c r="BO55" s="59">
        <f t="shared" si="93"/>
        <v>1354.921875</v>
      </c>
      <c r="BP55" s="59">
        <f t="shared" si="93"/>
        <v>1354.921875</v>
      </c>
      <c r="BQ55" s="59">
        <f t="shared" si="93"/>
        <v>1354.921875</v>
      </c>
      <c r="BR55" s="59">
        <f t="shared" si="93"/>
        <v>1354.921875</v>
      </c>
      <c r="BS55" s="59">
        <f t="shared" si="93"/>
        <v>1354.921875</v>
      </c>
      <c r="BT55" s="59">
        <f t="shared" si="93"/>
        <v>230.625</v>
      </c>
      <c r="BV55" s="82">
        <f t="shared" si="57"/>
        <v>28569.7656250001</v>
      </c>
      <c r="BW55" s="82">
        <f t="shared" si="58"/>
        <v>28569.7656250001</v>
      </c>
      <c r="BX55" s="82">
        <f t="shared" si="59"/>
        <v>28569.7656250001</v>
      </c>
      <c r="BY55" s="82">
        <f t="shared" si="60"/>
        <v>28569.7656250001</v>
      </c>
      <c r="BZ55" s="82">
        <f t="shared" si="61"/>
        <v>28569.7656250001</v>
      </c>
      <c r="CA55" s="82">
        <f t="shared" si="62"/>
        <v>28569.7656250001</v>
      </c>
      <c r="CB55" s="82">
        <f t="shared" si="63"/>
        <v>28569.7656250001</v>
      </c>
      <c r="CC55" s="82">
        <f t="shared" si="64"/>
        <v>28569.7656250001</v>
      </c>
      <c r="CD55" s="82">
        <f t="shared" si="65"/>
        <v>4814.87500000003</v>
      </c>
    </row>
    <row r="56" s="371" customFormat="1" ht="27" customHeight="1" spans="1:82">
      <c r="A56" s="410">
        <v>46154</v>
      </c>
      <c r="B56" s="411" t="s">
        <v>1600</v>
      </c>
      <c r="C56" s="412" t="s">
        <v>389</v>
      </c>
      <c r="D56" s="413" t="s">
        <v>1778</v>
      </c>
      <c r="E56" s="412" t="s">
        <v>1779</v>
      </c>
      <c r="F56" s="411" t="s">
        <v>1780</v>
      </c>
      <c r="G56" s="414" t="s">
        <v>188</v>
      </c>
      <c r="H56" s="411" t="s">
        <v>120</v>
      </c>
      <c r="I56" s="415">
        <v>12</v>
      </c>
      <c r="J56" s="415">
        <v>0</v>
      </c>
      <c r="K56" s="415">
        <v>12</v>
      </c>
      <c r="L56" s="415">
        <f t="shared" si="1"/>
        <v>1</v>
      </c>
      <c r="M56" s="416">
        <v>46204</v>
      </c>
      <c r="N56" s="416">
        <v>46205</v>
      </c>
      <c r="O56" s="417"/>
      <c r="P56" s="447" t="s">
        <v>224</v>
      </c>
      <c r="Q56" s="417" t="s">
        <v>1738</v>
      </c>
      <c r="R56" s="453">
        <v>46154</v>
      </c>
      <c r="S56" s="417" t="s">
        <v>191</v>
      </c>
      <c r="T56" s="417" t="s">
        <v>1781</v>
      </c>
      <c r="U56" s="417"/>
      <c r="V56" s="417"/>
      <c r="W56" s="417"/>
      <c r="X56" s="420" t="s">
        <v>1782</v>
      </c>
      <c r="Y56" s="416" t="s">
        <v>1605</v>
      </c>
      <c r="Z56" s="421">
        <v>1.9073</v>
      </c>
      <c r="AA56" s="415">
        <f t="shared" si="78"/>
        <v>22.8876</v>
      </c>
      <c r="AB56" s="416"/>
      <c r="AC56" s="420">
        <v>12</v>
      </c>
      <c r="AD56" s="420">
        <f t="shared" ref="AD56:AD61" si="94">AC56-I56</f>
        <v>0</v>
      </c>
      <c r="AE56" s="417"/>
      <c r="AF56" s="417" t="s">
        <v>114</v>
      </c>
      <c r="AG56" s="414" t="s">
        <v>188</v>
      </c>
      <c r="AH56" s="416" t="s">
        <v>115</v>
      </c>
      <c r="AI56" s="422">
        <f t="shared" ref="AI56:AI61" si="95">I56*2</f>
        <v>24</v>
      </c>
      <c r="AJ56" s="422"/>
      <c r="AK56" s="422">
        <f t="shared" ref="AK56:AK61" si="96">I56*2</f>
        <v>24</v>
      </c>
      <c r="AL56" s="422"/>
      <c r="AN56" s="422">
        <f t="shared" ref="AN56:AN61" si="97">I56*2</f>
        <v>24</v>
      </c>
      <c r="AO56" s="422"/>
      <c r="AP56" s="422"/>
      <c r="AQ56" s="422">
        <f t="shared" ref="AQ56:AQ61" si="98">I56*2</f>
        <v>24</v>
      </c>
      <c r="AR56" s="422"/>
      <c r="AS56" s="422"/>
      <c r="AT56" s="422"/>
      <c r="AU56" s="422"/>
      <c r="AV56" s="422"/>
      <c r="AW56" s="422"/>
      <c r="AX56" s="422"/>
      <c r="AY56" s="422"/>
      <c r="AZ56" s="422"/>
      <c r="BA56" s="422"/>
      <c r="BB56" s="422"/>
      <c r="BC56" s="422"/>
      <c r="BD56" s="422"/>
      <c r="BE56" s="422"/>
      <c r="BF56" s="422"/>
      <c r="BG56" s="422"/>
      <c r="BH56" s="422">
        <f t="shared" ref="BH56:BH61" si="99">I56</f>
        <v>12</v>
      </c>
      <c r="BI56" s="422">
        <f t="shared" ref="BI56:BI61" si="100">I56</f>
        <v>12</v>
      </c>
      <c r="BJ56" s="422"/>
      <c r="BK56" s="422"/>
      <c r="BL56" s="423">
        <f t="shared" ref="BL56:BL61" si="101">$I56*BL$2*2</f>
        <v>2.93749999999999</v>
      </c>
      <c r="BM56" s="423">
        <f t="shared" ref="BM56:BM61" si="102">$I56*BM$2*2</f>
        <v>2.93749999999999</v>
      </c>
      <c r="BN56" s="423">
        <f t="shared" ref="BN56:BN61" si="103">$I56*BN$2*2</f>
        <v>2.93749999999999</v>
      </c>
      <c r="BO56" s="423">
        <f t="shared" ref="BO56:BO61" si="104">$I56*BO$2*2</f>
        <v>2.93749999999999</v>
      </c>
      <c r="BP56" s="423">
        <f t="shared" ref="BP56:BP61" si="105">$I56*BP$2*2</f>
        <v>2.93749999999999</v>
      </c>
      <c r="BQ56" s="423">
        <f t="shared" ref="BQ56:BQ61" si="106">$I56*BQ$2*2</f>
        <v>2.93749999999999</v>
      </c>
      <c r="BR56" s="423">
        <f t="shared" ref="BR56:BR61" si="107">$I56*BR$2*2</f>
        <v>2.93749999999999</v>
      </c>
      <c r="BS56" s="423">
        <f t="shared" ref="BS56:BS61" si="108">$I56*BS$2*2</f>
        <v>2.93749999999999</v>
      </c>
      <c r="BT56" s="423">
        <f t="shared" ref="BT56:BT61" si="109">$I56*BT$2*2</f>
        <v>0.499999999999999</v>
      </c>
      <c r="BV56" s="82">
        <f t="shared" si="57"/>
        <v>28566.8281250001</v>
      </c>
      <c r="BW56" s="82">
        <f t="shared" si="58"/>
        <v>28566.8281250001</v>
      </c>
      <c r="BX56" s="82">
        <f t="shared" si="59"/>
        <v>28566.8281250001</v>
      </c>
      <c r="BY56" s="82">
        <f t="shared" si="60"/>
        <v>28566.8281250001</v>
      </c>
      <c r="BZ56" s="82">
        <f t="shared" si="61"/>
        <v>28566.8281250001</v>
      </c>
      <c r="CA56" s="82">
        <f t="shared" si="62"/>
        <v>28566.8281250001</v>
      </c>
      <c r="CB56" s="82">
        <f t="shared" si="63"/>
        <v>28566.8281250001</v>
      </c>
      <c r="CC56" s="82">
        <f t="shared" si="64"/>
        <v>28566.8281250001</v>
      </c>
      <c r="CD56" s="82">
        <f t="shared" si="65"/>
        <v>4814.37500000003</v>
      </c>
    </row>
    <row r="57" s="371" customFormat="1" ht="27" customHeight="1" spans="1:82">
      <c r="A57" s="410">
        <v>46154</v>
      </c>
      <c r="B57" s="411" t="s">
        <v>1600</v>
      </c>
      <c r="C57" s="412" t="s">
        <v>389</v>
      </c>
      <c r="D57" s="413" t="s">
        <v>1778</v>
      </c>
      <c r="E57" s="412" t="s">
        <v>1783</v>
      </c>
      <c r="F57" s="411" t="s">
        <v>1784</v>
      </c>
      <c r="G57" s="414" t="s">
        <v>188</v>
      </c>
      <c r="H57" s="411" t="s">
        <v>120</v>
      </c>
      <c r="I57" s="415">
        <v>12</v>
      </c>
      <c r="J57" s="415">
        <v>0</v>
      </c>
      <c r="K57" s="415">
        <v>12</v>
      </c>
      <c r="L57" s="415">
        <f t="shared" si="1"/>
        <v>1</v>
      </c>
      <c r="M57" s="416">
        <v>46204</v>
      </c>
      <c r="N57" s="416">
        <v>46205</v>
      </c>
      <c r="O57" s="417"/>
      <c r="P57" s="447" t="s">
        <v>224</v>
      </c>
      <c r="Q57" s="417" t="s">
        <v>1738</v>
      </c>
      <c r="R57" s="453">
        <v>46154</v>
      </c>
      <c r="S57" s="417" t="s">
        <v>191</v>
      </c>
      <c r="T57" s="417" t="s">
        <v>1781</v>
      </c>
      <c r="U57" s="417"/>
      <c r="V57" s="417"/>
      <c r="W57" s="417"/>
      <c r="X57" s="420" t="s">
        <v>1782</v>
      </c>
      <c r="Y57" s="416" t="s">
        <v>1605</v>
      </c>
      <c r="Z57" s="421">
        <v>1.9073</v>
      </c>
      <c r="AA57" s="415">
        <f t="shared" si="78"/>
        <v>22.8876</v>
      </c>
      <c r="AB57" s="416"/>
      <c r="AC57" s="420">
        <v>12</v>
      </c>
      <c r="AD57" s="420">
        <f t="shared" si="94"/>
        <v>0</v>
      </c>
      <c r="AE57" s="417"/>
      <c r="AF57" s="417" t="s">
        <v>114</v>
      </c>
      <c r="AG57" s="414" t="s">
        <v>188</v>
      </c>
      <c r="AH57" s="416" t="s">
        <v>115</v>
      </c>
      <c r="AI57" s="422">
        <f t="shared" si="95"/>
        <v>24</v>
      </c>
      <c r="AJ57" s="422"/>
      <c r="AK57" s="422">
        <f t="shared" si="96"/>
        <v>24</v>
      </c>
      <c r="AL57" s="422"/>
      <c r="AN57" s="422">
        <f t="shared" si="97"/>
        <v>24</v>
      </c>
      <c r="AO57" s="422"/>
      <c r="AP57" s="422"/>
      <c r="AQ57" s="422">
        <f t="shared" si="98"/>
        <v>24</v>
      </c>
      <c r="AR57" s="422"/>
      <c r="AS57" s="422"/>
      <c r="AT57" s="422"/>
      <c r="AU57" s="422"/>
      <c r="AV57" s="422"/>
      <c r="AW57" s="422"/>
      <c r="AX57" s="422"/>
      <c r="AY57" s="422"/>
      <c r="AZ57" s="422"/>
      <c r="BA57" s="422"/>
      <c r="BB57" s="422"/>
      <c r="BC57" s="422"/>
      <c r="BD57" s="422"/>
      <c r="BE57" s="422"/>
      <c r="BF57" s="422"/>
      <c r="BG57" s="422"/>
      <c r="BH57" s="422">
        <f t="shared" si="99"/>
        <v>12</v>
      </c>
      <c r="BI57" s="422">
        <f t="shared" si="100"/>
        <v>12</v>
      </c>
      <c r="BJ57" s="422"/>
      <c r="BK57" s="422"/>
      <c r="BL57" s="423">
        <f t="shared" si="101"/>
        <v>2.93749999999999</v>
      </c>
      <c r="BM57" s="423">
        <f t="shared" si="102"/>
        <v>2.93749999999999</v>
      </c>
      <c r="BN57" s="423">
        <f t="shared" si="103"/>
        <v>2.93749999999999</v>
      </c>
      <c r="BO57" s="423">
        <f t="shared" si="104"/>
        <v>2.93749999999999</v>
      </c>
      <c r="BP57" s="423">
        <f t="shared" si="105"/>
        <v>2.93749999999999</v>
      </c>
      <c r="BQ57" s="423">
        <f t="shared" si="106"/>
        <v>2.93749999999999</v>
      </c>
      <c r="BR57" s="423">
        <f t="shared" si="107"/>
        <v>2.93749999999999</v>
      </c>
      <c r="BS57" s="423">
        <f t="shared" si="108"/>
        <v>2.93749999999999</v>
      </c>
      <c r="BT57" s="423">
        <f t="shared" si="109"/>
        <v>0.499999999999999</v>
      </c>
      <c r="BV57" s="82">
        <f t="shared" si="57"/>
        <v>28563.8906250001</v>
      </c>
      <c r="BW57" s="82">
        <f t="shared" si="58"/>
        <v>28563.8906250001</v>
      </c>
      <c r="BX57" s="82">
        <f t="shared" si="59"/>
        <v>28563.8906250001</v>
      </c>
      <c r="BY57" s="82">
        <f t="shared" si="60"/>
        <v>28563.8906250001</v>
      </c>
      <c r="BZ57" s="82">
        <f t="shared" si="61"/>
        <v>28563.8906250001</v>
      </c>
      <c r="CA57" s="82">
        <f t="shared" si="62"/>
        <v>28563.8906250001</v>
      </c>
      <c r="CB57" s="82">
        <f t="shared" si="63"/>
        <v>28563.8906250001</v>
      </c>
      <c r="CC57" s="82">
        <f t="shared" si="64"/>
        <v>28563.8906250001</v>
      </c>
      <c r="CD57" s="82">
        <f t="shared" si="65"/>
        <v>4813.87500000003</v>
      </c>
    </row>
    <row r="58" s="371" customFormat="1" ht="27" customHeight="1" spans="1:82">
      <c r="A58" s="410">
        <v>46154</v>
      </c>
      <c r="B58" s="411" t="s">
        <v>1600</v>
      </c>
      <c r="C58" s="412" t="s">
        <v>389</v>
      </c>
      <c r="D58" s="413" t="s">
        <v>1778</v>
      </c>
      <c r="E58" s="412" t="s">
        <v>1785</v>
      </c>
      <c r="F58" s="411" t="s">
        <v>1786</v>
      </c>
      <c r="G58" s="414" t="s">
        <v>188</v>
      </c>
      <c r="H58" s="411" t="s">
        <v>120</v>
      </c>
      <c r="I58" s="415">
        <v>36</v>
      </c>
      <c r="J58" s="415">
        <v>0</v>
      </c>
      <c r="K58" s="415">
        <v>12</v>
      </c>
      <c r="L58" s="415">
        <f t="shared" si="1"/>
        <v>3</v>
      </c>
      <c r="M58" s="416">
        <v>46204</v>
      </c>
      <c r="N58" s="416">
        <v>46205</v>
      </c>
      <c r="O58" s="417"/>
      <c r="P58" s="447" t="s">
        <v>224</v>
      </c>
      <c r="Q58" s="417" t="s">
        <v>1738</v>
      </c>
      <c r="R58" s="453">
        <v>46154</v>
      </c>
      <c r="S58" s="417" t="s">
        <v>191</v>
      </c>
      <c r="T58" s="417" t="s">
        <v>1781</v>
      </c>
      <c r="U58" s="417"/>
      <c r="V58" s="417"/>
      <c r="W58" s="417"/>
      <c r="X58" s="420" t="s">
        <v>1782</v>
      </c>
      <c r="Y58" s="416" t="s">
        <v>1605</v>
      </c>
      <c r="Z58" s="421">
        <v>1.9073</v>
      </c>
      <c r="AA58" s="415">
        <f t="shared" si="78"/>
        <v>68.6628</v>
      </c>
      <c r="AB58" s="416"/>
      <c r="AC58" s="420">
        <v>36</v>
      </c>
      <c r="AD58" s="420">
        <f t="shared" si="94"/>
        <v>0</v>
      </c>
      <c r="AE58" s="417"/>
      <c r="AF58" s="417" t="s">
        <v>114</v>
      </c>
      <c r="AG58" s="414" t="s">
        <v>188</v>
      </c>
      <c r="AH58" s="416" t="s">
        <v>115</v>
      </c>
      <c r="AI58" s="422">
        <f t="shared" si="95"/>
        <v>72</v>
      </c>
      <c r="AJ58" s="422"/>
      <c r="AK58" s="422">
        <f t="shared" si="96"/>
        <v>72</v>
      </c>
      <c r="AL58" s="422"/>
      <c r="AN58" s="422">
        <f t="shared" si="97"/>
        <v>72</v>
      </c>
      <c r="AO58" s="422"/>
      <c r="AP58" s="422"/>
      <c r="AQ58" s="422">
        <f t="shared" si="98"/>
        <v>72</v>
      </c>
      <c r="AR58" s="422"/>
      <c r="AS58" s="422"/>
      <c r="AT58" s="422"/>
      <c r="AU58" s="422"/>
      <c r="AV58" s="422"/>
      <c r="AW58" s="422"/>
      <c r="AX58" s="422"/>
      <c r="AY58" s="422"/>
      <c r="AZ58" s="422"/>
      <c r="BA58" s="422"/>
      <c r="BB58" s="422"/>
      <c r="BC58" s="422"/>
      <c r="BD58" s="422"/>
      <c r="BE58" s="422"/>
      <c r="BF58" s="422"/>
      <c r="BG58" s="422"/>
      <c r="BH58" s="422">
        <f t="shared" si="99"/>
        <v>36</v>
      </c>
      <c r="BI58" s="422">
        <f t="shared" si="100"/>
        <v>36</v>
      </c>
      <c r="BJ58" s="422"/>
      <c r="BK58" s="422"/>
      <c r="BL58" s="423">
        <f t="shared" si="101"/>
        <v>8.81249999999998</v>
      </c>
      <c r="BM58" s="423">
        <f t="shared" si="102"/>
        <v>8.81249999999998</v>
      </c>
      <c r="BN58" s="423">
        <f t="shared" si="103"/>
        <v>8.81249999999998</v>
      </c>
      <c r="BO58" s="423">
        <f t="shared" si="104"/>
        <v>8.81249999999998</v>
      </c>
      <c r="BP58" s="423">
        <f t="shared" si="105"/>
        <v>8.81249999999998</v>
      </c>
      <c r="BQ58" s="423">
        <f t="shared" si="106"/>
        <v>8.81249999999998</v>
      </c>
      <c r="BR58" s="423">
        <f t="shared" si="107"/>
        <v>8.81249999999998</v>
      </c>
      <c r="BS58" s="423">
        <f t="shared" si="108"/>
        <v>8.81249999999998</v>
      </c>
      <c r="BT58" s="423">
        <f t="shared" si="109"/>
        <v>1.5</v>
      </c>
      <c r="BV58" s="82">
        <f t="shared" si="57"/>
        <v>28555.0781250001</v>
      </c>
      <c r="BW58" s="82">
        <f t="shared" si="58"/>
        <v>28555.0781250001</v>
      </c>
      <c r="BX58" s="82">
        <f t="shared" si="59"/>
        <v>28555.0781250001</v>
      </c>
      <c r="BY58" s="82">
        <f t="shared" si="60"/>
        <v>28555.0781250001</v>
      </c>
      <c r="BZ58" s="82">
        <f t="shared" si="61"/>
        <v>28555.0781250001</v>
      </c>
      <c r="CA58" s="82">
        <f t="shared" si="62"/>
        <v>28555.0781250001</v>
      </c>
      <c r="CB58" s="82">
        <f t="shared" si="63"/>
        <v>28555.0781250001</v>
      </c>
      <c r="CC58" s="82">
        <f t="shared" si="64"/>
        <v>28555.0781250001</v>
      </c>
      <c r="CD58" s="82">
        <f t="shared" si="65"/>
        <v>4812.37500000003</v>
      </c>
    </row>
    <row r="59" s="371" customFormat="1" ht="27" customHeight="1" spans="1:82">
      <c r="A59" s="410">
        <v>46154</v>
      </c>
      <c r="B59" s="411" t="s">
        <v>1600</v>
      </c>
      <c r="C59" s="412" t="s">
        <v>389</v>
      </c>
      <c r="D59" s="413" t="s">
        <v>1778</v>
      </c>
      <c r="E59" s="412" t="s">
        <v>1787</v>
      </c>
      <c r="F59" s="411" t="s">
        <v>1788</v>
      </c>
      <c r="G59" s="414" t="s">
        <v>188</v>
      </c>
      <c r="H59" s="411" t="s">
        <v>120</v>
      </c>
      <c r="I59" s="415">
        <v>12</v>
      </c>
      <c r="J59" s="415">
        <v>0</v>
      </c>
      <c r="K59" s="415">
        <v>12</v>
      </c>
      <c r="L59" s="415">
        <f t="shared" si="1"/>
        <v>1</v>
      </c>
      <c r="M59" s="416">
        <v>46204</v>
      </c>
      <c r="N59" s="416">
        <v>46205</v>
      </c>
      <c r="O59" s="417"/>
      <c r="P59" s="447" t="s">
        <v>224</v>
      </c>
      <c r="Q59" s="417" t="s">
        <v>1738</v>
      </c>
      <c r="R59" s="453">
        <v>46154</v>
      </c>
      <c r="S59" s="417" t="s">
        <v>191</v>
      </c>
      <c r="T59" s="417" t="s">
        <v>1781</v>
      </c>
      <c r="U59" s="417"/>
      <c r="V59" s="417"/>
      <c r="W59" s="417"/>
      <c r="X59" s="420" t="s">
        <v>1782</v>
      </c>
      <c r="Y59" s="416" t="s">
        <v>1605</v>
      </c>
      <c r="Z59" s="421">
        <v>1.9073</v>
      </c>
      <c r="AA59" s="415">
        <f t="shared" si="78"/>
        <v>22.8876</v>
      </c>
      <c r="AB59" s="416"/>
      <c r="AC59" s="420">
        <v>12</v>
      </c>
      <c r="AD59" s="420">
        <f t="shared" si="94"/>
        <v>0</v>
      </c>
      <c r="AE59" s="417"/>
      <c r="AF59" s="417" t="s">
        <v>114</v>
      </c>
      <c r="AG59" s="414" t="s">
        <v>188</v>
      </c>
      <c r="AH59" s="416" t="s">
        <v>115</v>
      </c>
      <c r="AI59" s="422">
        <f t="shared" si="95"/>
        <v>24</v>
      </c>
      <c r="AJ59" s="422"/>
      <c r="AK59" s="422">
        <f t="shared" si="96"/>
        <v>24</v>
      </c>
      <c r="AL59" s="422"/>
      <c r="AN59" s="422">
        <f t="shared" si="97"/>
        <v>24</v>
      </c>
      <c r="AO59" s="422"/>
      <c r="AP59" s="422"/>
      <c r="AQ59" s="422">
        <f t="shared" si="98"/>
        <v>24</v>
      </c>
      <c r="AR59" s="422"/>
      <c r="AS59" s="422"/>
      <c r="AT59" s="422"/>
      <c r="AU59" s="422"/>
      <c r="AV59" s="422"/>
      <c r="AW59" s="422"/>
      <c r="AX59" s="422"/>
      <c r="AY59" s="422"/>
      <c r="AZ59" s="422"/>
      <c r="BA59" s="422"/>
      <c r="BB59" s="422"/>
      <c r="BC59" s="422"/>
      <c r="BD59" s="422"/>
      <c r="BE59" s="422"/>
      <c r="BF59" s="422"/>
      <c r="BG59" s="422"/>
      <c r="BH59" s="422">
        <f t="shared" si="99"/>
        <v>12</v>
      </c>
      <c r="BI59" s="422">
        <f t="shared" si="100"/>
        <v>12</v>
      </c>
      <c r="BJ59" s="422"/>
      <c r="BK59" s="422"/>
      <c r="BL59" s="423">
        <f t="shared" si="101"/>
        <v>2.93749999999999</v>
      </c>
      <c r="BM59" s="423">
        <f t="shared" si="102"/>
        <v>2.93749999999999</v>
      </c>
      <c r="BN59" s="423">
        <f t="shared" si="103"/>
        <v>2.93749999999999</v>
      </c>
      <c r="BO59" s="423">
        <f t="shared" si="104"/>
        <v>2.93749999999999</v>
      </c>
      <c r="BP59" s="423">
        <f t="shared" si="105"/>
        <v>2.93749999999999</v>
      </c>
      <c r="BQ59" s="423">
        <f t="shared" si="106"/>
        <v>2.93749999999999</v>
      </c>
      <c r="BR59" s="423">
        <f t="shared" si="107"/>
        <v>2.93749999999999</v>
      </c>
      <c r="BS59" s="423">
        <f t="shared" si="108"/>
        <v>2.93749999999999</v>
      </c>
      <c r="BT59" s="423">
        <f t="shared" si="109"/>
        <v>0.499999999999999</v>
      </c>
      <c r="BV59" s="82">
        <f t="shared" si="57"/>
        <v>28552.1406250001</v>
      </c>
      <c r="BW59" s="82">
        <f t="shared" si="58"/>
        <v>28552.1406250001</v>
      </c>
      <c r="BX59" s="82">
        <f t="shared" si="59"/>
        <v>28552.1406250001</v>
      </c>
      <c r="BY59" s="82">
        <f t="shared" si="60"/>
        <v>28552.1406250001</v>
      </c>
      <c r="BZ59" s="82">
        <f t="shared" si="61"/>
        <v>28552.1406250001</v>
      </c>
      <c r="CA59" s="82">
        <f t="shared" si="62"/>
        <v>28552.1406250001</v>
      </c>
      <c r="CB59" s="82">
        <f t="shared" si="63"/>
        <v>28552.1406250001</v>
      </c>
      <c r="CC59" s="82">
        <f t="shared" si="64"/>
        <v>28552.1406250001</v>
      </c>
      <c r="CD59" s="82">
        <f t="shared" si="65"/>
        <v>4811.87500000003</v>
      </c>
    </row>
    <row r="60" s="371" customFormat="1" ht="27" customHeight="1" spans="1:82">
      <c r="A60" s="410">
        <v>46154</v>
      </c>
      <c r="B60" s="411" t="s">
        <v>1600</v>
      </c>
      <c r="C60" s="412" t="s">
        <v>389</v>
      </c>
      <c r="D60" s="413" t="s">
        <v>1778</v>
      </c>
      <c r="E60" s="412" t="s">
        <v>1789</v>
      </c>
      <c r="F60" s="411" t="s">
        <v>1790</v>
      </c>
      <c r="G60" s="414" t="s">
        <v>188</v>
      </c>
      <c r="H60" s="411" t="s">
        <v>120</v>
      </c>
      <c r="I60" s="415">
        <v>12</v>
      </c>
      <c r="J60" s="415">
        <v>0</v>
      </c>
      <c r="K60" s="415">
        <v>12</v>
      </c>
      <c r="L60" s="415">
        <f t="shared" si="1"/>
        <v>1</v>
      </c>
      <c r="M60" s="416">
        <v>46204</v>
      </c>
      <c r="N60" s="416">
        <v>46205</v>
      </c>
      <c r="O60" s="417"/>
      <c r="P60" s="447" t="s">
        <v>224</v>
      </c>
      <c r="Q60" s="417" t="s">
        <v>1738</v>
      </c>
      <c r="R60" s="453">
        <v>46154</v>
      </c>
      <c r="S60" s="417" t="s">
        <v>191</v>
      </c>
      <c r="T60" s="417" t="s">
        <v>1781</v>
      </c>
      <c r="U60" s="417"/>
      <c r="V60" s="417"/>
      <c r="W60" s="417"/>
      <c r="X60" s="420" t="s">
        <v>1782</v>
      </c>
      <c r="Y60" s="416" t="s">
        <v>1605</v>
      </c>
      <c r="Z60" s="421">
        <v>1.9073</v>
      </c>
      <c r="AA60" s="415">
        <f t="shared" si="78"/>
        <v>22.8876</v>
      </c>
      <c r="AB60" s="416"/>
      <c r="AC60" s="420">
        <v>12</v>
      </c>
      <c r="AD60" s="420">
        <f t="shared" si="94"/>
        <v>0</v>
      </c>
      <c r="AE60" s="417"/>
      <c r="AF60" s="417" t="s">
        <v>114</v>
      </c>
      <c r="AG60" s="414" t="s">
        <v>188</v>
      </c>
      <c r="AH60" s="416" t="s">
        <v>115</v>
      </c>
      <c r="AI60" s="422">
        <f t="shared" si="95"/>
        <v>24</v>
      </c>
      <c r="AJ60" s="422"/>
      <c r="AK60" s="422">
        <f t="shared" si="96"/>
        <v>24</v>
      </c>
      <c r="AL60" s="422"/>
      <c r="AN60" s="422">
        <f t="shared" si="97"/>
        <v>24</v>
      </c>
      <c r="AO60" s="422"/>
      <c r="AP60" s="422"/>
      <c r="AQ60" s="422">
        <f t="shared" si="98"/>
        <v>24</v>
      </c>
      <c r="AR60" s="422"/>
      <c r="AS60" s="422"/>
      <c r="AT60" s="422"/>
      <c r="AU60" s="422"/>
      <c r="AV60" s="422"/>
      <c r="AW60" s="422"/>
      <c r="AX60" s="422"/>
      <c r="AY60" s="422"/>
      <c r="AZ60" s="422"/>
      <c r="BA60" s="422"/>
      <c r="BB60" s="422"/>
      <c r="BC60" s="422"/>
      <c r="BD60" s="422"/>
      <c r="BE60" s="422"/>
      <c r="BF60" s="422"/>
      <c r="BG60" s="422"/>
      <c r="BH60" s="422">
        <f t="shared" si="99"/>
        <v>12</v>
      </c>
      <c r="BI60" s="422">
        <f t="shared" si="100"/>
        <v>12</v>
      </c>
      <c r="BJ60" s="422"/>
      <c r="BK60" s="422"/>
      <c r="BL60" s="423">
        <f t="shared" si="101"/>
        <v>2.93749999999999</v>
      </c>
      <c r="BM60" s="423">
        <f t="shared" si="102"/>
        <v>2.93749999999999</v>
      </c>
      <c r="BN60" s="423">
        <f t="shared" si="103"/>
        <v>2.93749999999999</v>
      </c>
      <c r="BO60" s="423">
        <f t="shared" si="104"/>
        <v>2.93749999999999</v>
      </c>
      <c r="BP60" s="423">
        <f t="shared" si="105"/>
        <v>2.93749999999999</v>
      </c>
      <c r="BQ60" s="423">
        <f t="shared" si="106"/>
        <v>2.93749999999999</v>
      </c>
      <c r="BR60" s="423">
        <f t="shared" si="107"/>
        <v>2.93749999999999</v>
      </c>
      <c r="BS60" s="423">
        <f t="shared" si="108"/>
        <v>2.93749999999999</v>
      </c>
      <c r="BT60" s="423">
        <f t="shared" si="109"/>
        <v>0.499999999999999</v>
      </c>
      <c r="BV60" s="82">
        <f t="shared" si="57"/>
        <v>28549.2031250001</v>
      </c>
      <c r="BW60" s="82">
        <f t="shared" si="58"/>
        <v>28549.2031250001</v>
      </c>
      <c r="BX60" s="82">
        <f t="shared" si="59"/>
        <v>28549.2031250001</v>
      </c>
      <c r="BY60" s="82">
        <f t="shared" si="60"/>
        <v>28549.2031250001</v>
      </c>
      <c r="BZ60" s="82">
        <f t="shared" si="61"/>
        <v>28549.2031250001</v>
      </c>
      <c r="CA60" s="82">
        <f t="shared" si="62"/>
        <v>28549.2031250001</v>
      </c>
      <c r="CB60" s="82">
        <f t="shared" si="63"/>
        <v>28549.2031250001</v>
      </c>
      <c r="CC60" s="82">
        <f t="shared" si="64"/>
        <v>28549.2031250001</v>
      </c>
      <c r="CD60" s="82">
        <f t="shared" si="65"/>
        <v>4811.37500000003</v>
      </c>
    </row>
    <row r="61" s="371" customFormat="1" ht="27" customHeight="1" spans="1:82">
      <c r="A61" s="410">
        <v>46154</v>
      </c>
      <c r="B61" s="411" t="s">
        <v>1600</v>
      </c>
      <c r="C61" s="412" t="s">
        <v>389</v>
      </c>
      <c r="D61" s="413" t="s">
        <v>1778</v>
      </c>
      <c r="E61" s="412" t="s">
        <v>1791</v>
      </c>
      <c r="F61" s="411" t="s">
        <v>1792</v>
      </c>
      <c r="G61" s="414" t="s">
        <v>188</v>
      </c>
      <c r="H61" s="411" t="s">
        <v>120</v>
      </c>
      <c r="I61" s="415">
        <v>12</v>
      </c>
      <c r="J61" s="415">
        <v>0</v>
      </c>
      <c r="K61" s="415">
        <v>12</v>
      </c>
      <c r="L61" s="415">
        <f t="shared" si="1"/>
        <v>1</v>
      </c>
      <c r="M61" s="416">
        <v>46204</v>
      </c>
      <c r="N61" s="416">
        <v>46205</v>
      </c>
      <c r="O61" s="417"/>
      <c r="P61" s="447" t="s">
        <v>224</v>
      </c>
      <c r="Q61" s="417" t="s">
        <v>1738</v>
      </c>
      <c r="R61" s="453">
        <v>46154</v>
      </c>
      <c r="S61" s="417" t="s">
        <v>191</v>
      </c>
      <c r="T61" s="417" t="s">
        <v>1781</v>
      </c>
      <c r="U61" s="417"/>
      <c r="V61" s="417"/>
      <c r="W61" s="417"/>
      <c r="X61" s="420" t="s">
        <v>1782</v>
      </c>
      <c r="Y61" s="416" t="s">
        <v>1605</v>
      </c>
      <c r="Z61" s="421">
        <v>1.9073</v>
      </c>
      <c r="AA61" s="415">
        <f t="shared" si="78"/>
        <v>22.8876</v>
      </c>
      <c r="AB61" s="416"/>
      <c r="AC61" s="420">
        <v>12</v>
      </c>
      <c r="AD61" s="420">
        <f t="shared" si="94"/>
        <v>0</v>
      </c>
      <c r="AE61" s="417"/>
      <c r="AF61" s="417" t="s">
        <v>114</v>
      </c>
      <c r="AG61" s="414" t="s">
        <v>188</v>
      </c>
      <c r="AH61" s="416" t="s">
        <v>115</v>
      </c>
      <c r="AI61" s="422">
        <f t="shared" si="95"/>
        <v>24</v>
      </c>
      <c r="AJ61" s="422"/>
      <c r="AK61" s="422">
        <f t="shared" si="96"/>
        <v>24</v>
      </c>
      <c r="AL61" s="422"/>
      <c r="AN61" s="422">
        <f t="shared" si="97"/>
        <v>24</v>
      </c>
      <c r="AO61" s="422"/>
      <c r="AP61" s="422"/>
      <c r="AQ61" s="422">
        <f t="shared" si="98"/>
        <v>24</v>
      </c>
      <c r="AR61" s="422"/>
      <c r="AS61" s="422"/>
      <c r="AT61" s="422"/>
      <c r="AU61" s="422"/>
      <c r="AV61" s="422"/>
      <c r="AW61" s="422"/>
      <c r="AX61" s="422"/>
      <c r="AY61" s="422"/>
      <c r="AZ61" s="422"/>
      <c r="BA61" s="422"/>
      <c r="BB61" s="422"/>
      <c r="BC61" s="422"/>
      <c r="BD61" s="422"/>
      <c r="BE61" s="422"/>
      <c r="BF61" s="422"/>
      <c r="BG61" s="422"/>
      <c r="BH61" s="422">
        <f t="shared" si="99"/>
        <v>12</v>
      </c>
      <c r="BI61" s="422">
        <f t="shared" si="100"/>
        <v>12</v>
      </c>
      <c r="BJ61" s="422"/>
      <c r="BK61" s="422"/>
      <c r="BL61" s="423">
        <f t="shared" si="101"/>
        <v>2.93749999999999</v>
      </c>
      <c r="BM61" s="423">
        <f t="shared" si="102"/>
        <v>2.93749999999999</v>
      </c>
      <c r="BN61" s="423">
        <f t="shared" si="103"/>
        <v>2.93749999999999</v>
      </c>
      <c r="BO61" s="423">
        <f t="shared" si="104"/>
        <v>2.93749999999999</v>
      </c>
      <c r="BP61" s="423">
        <f t="shared" si="105"/>
        <v>2.93749999999999</v>
      </c>
      <c r="BQ61" s="423">
        <f t="shared" si="106"/>
        <v>2.93749999999999</v>
      </c>
      <c r="BR61" s="423">
        <f t="shared" si="107"/>
        <v>2.93749999999999</v>
      </c>
      <c r="BS61" s="423">
        <f t="shared" si="108"/>
        <v>2.93749999999999</v>
      </c>
      <c r="BT61" s="423">
        <f t="shared" si="109"/>
        <v>0.499999999999999</v>
      </c>
      <c r="BV61" s="82">
        <f t="shared" si="57"/>
        <v>28546.2656250001</v>
      </c>
      <c r="BW61" s="82">
        <f t="shared" si="58"/>
        <v>28546.2656250001</v>
      </c>
      <c r="BX61" s="82">
        <f t="shared" si="59"/>
        <v>28546.2656250001</v>
      </c>
      <c r="BY61" s="82">
        <f t="shared" si="60"/>
        <v>28546.2656250001</v>
      </c>
      <c r="BZ61" s="82">
        <f t="shared" si="61"/>
        <v>28546.2656250001</v>
      </c>
      <c r="CA61" s="82">
        <f t="shared" si="62"/>
        <v>28546.2656250001</v>
      </c>
      <c r="CB61" s="82">
        <f t="shared" si="63"/>
        <v>28546.2656250001</v>
      </c>
      <c r="CC61" s="82">
        <f t="shared" si="64"/>
        <v>28546.2656250001</v>
      </c>
      <c r="CD61" s="82">
        <f t="shared" si="65"/>
        <v>4810.87500000003</v>
      </c>
    </row>
    <row r="62" s="372" customFormat="1" ht="27" customHeight="1" spans="1:82">
      <c r="A62" s="428">
        <v>46182</v>
      </c>
      <c r="B62" s="429" t="s">
        <v>1793</v>
      </c>
      <c r="C62" s="430" t="s">
        <v>1794</v>
      </c>
      <c r="D62" s="431" t="s">
        <v>1795</v>
      </c>
      <c r="E62" s="430"/>
      <c r="F62" s="429" t="s">
        <v>1796</v>
      </c>
      <c r="G62" s="432" t="s">
        <v>173</v>
      </c>
      <c r="H62" s="429" t="s">
        <v>174</v>
      </c>
      <c r="I62" s="433">
        <v>1188</v>
      </c>
      <c r="J62" s="433">
        <v>0</v>
      </c>
      <c r="K62" s="433">
        <v>66</v>
      </c>
      <c r="L62" s="433">
        <f t="shared" si="1"/>
        <v>18</v>
      </c>
      <c r="M62" s="434">
        <v>46218</v>
      </c>
      <c r="N62" s="434">
        <v>46214</v>
      </c>
      <c r="O62" s="435"/>
      <c r="P62" s="447" t="s">
        <v>224</v>
      </c>
      <c r="Q62" s="435" t="s">
        <v>1797</v>
      </c>
      <c r="R62" s="448">
        <v>46182</v>
      </c>
      <c r="S62" s="437" t="s">
        <v>80</v>
      </c>
      <c r="T62" s="435" t="s">
        <v>80</v>
      </c>
      <c r="U62" s="435"/>
      <c r="V62" s="435"/>
      <c r="W62" s="435"/>
      <c r="X62" s="438" t="s">
        <v>1798</v>
      </c>
      <c r="Y62" s="434" t="s">
        <v>1799</v>
      </c>
      <c r="Z62" s="450">
        <v>65.1361</v>
      </c>
      <c r="AA62" s="433">
        <v>1172.4498</v>
      </c>
      <c r="AB62" s="434"/>
      <c r="AC62" s="438"/>
      <c r="AD62" s="438"/>
      <c r="AE62" s="435" t="s">
        <v>80</v>
      </c>
      <c r="AF62" s="435" t="s">
        <v>114</v>
      </c>
      <c r="AG62" s="432" t="s">
        <v>173</v>
      </c>
      <c r="AH62" s="434" t="s">
        <v>115</v>
      </c>
      <c r="AI62" s="441">
        <f>I62</f>
        <v>1188</v>
      </c>
      <c r="AJ62" s="441"/>
      <c r="AK62" s="441">
        <f>I62</f>
        <v>1188</v>
      </c>
      <c r="AL62" s="441"/>
      <c r="AM62" s="441">
        <f>I62</f>
        <v>1188</v>
      </c>
      <c r="AN62" s="441"/>
      <c r="AO62" s="441"/>
      <c r="AP62" s="441"/>
      <c r="AQ62" s="441">
        <f>I62</f>
        <v>1188</v>
      </c>
      <c r="AR62" s="441"/>
      <c r="AS62" s="441"/>
      <c r="AT62" s="441"/>
      <c r="AU62" s="441"/>
      <c r="AV62" s="441"/>
      <c r="AW62" s="441"/>
      <c r="AX62" s="441"/>
      <c r="AY62" s="441"/>
      <c r="AZ62" s="441"/>
      <c r="BA62" s="441"/>
      <c r="BB62" s="441"/>
      <c r="BC62" s="441">
        <f>I62/66</f>
        <v>18</v>
      </c>
      <c r="BD62" s="441">
        <f>I62/66</f>
        <v>18</v>
      </c>
      <c r="BE62" s="441"/>
      <c r="BF62" s="441"/>
      <c r="BG62" s="441"/>
      <c r="BH62" s="441"/>
      <c r="BI62" s="441"/>
      <c r="BJ62" s="441"/>
      <c r="BK62" s="441"/>
      <c r="BL62" s="59">
        <f t="shared" ref="BL62:BT62" si="110">$I62*BL$2</f>
        <v>145.40625</v>
      </c>
      <c r="BM62" s="59">
        <f t="shared" si="110"/>
        <v>145.40625</v>
      </c>
      <c r="BN62" s="59">
        <f t="shared" si="110"/>
        <v>145.40625</v>
      </c>
      <c r="BO62" s="59">
        <f t="shared" si="110"/>
        <v>145.40625</v>
      </c>
      <c r="BP62" s="59">
        <f t="shared" si="110"/>
        <v>145.40625</v>
      </c>
      <c r="BQ62" s="59">
        <f t="shared" si="110"/>
        <v>145.40625</v>
      </c>
      <c r="BR62" s="59">
        <f t="shared" si="110"/>
        <v>145.40625</v>
      </c>
      <c r="BS62" s="59">
        <f t="shared" si="110"/>
        <v>145.40625</v>
      </c>
      <c r="BT62" s="59">
        <f t="shared" si="110"/>
        <v>24.75</v>
      </c>
      <c r="BV62" s="82">
        <f t="shared" si="57"/>
        <v>28400.8593750001</v>
      </c>
      <c r="BW62" s="82">
        <f t="shared" si="58"/>
        <v>28400.8593750001</v>
      </c>
      <c r="BX62" s="82">
        <f t="shared" si="59"/>
        <v>28400.8593750001</v>
      </c>
      <c r="BY62" s="82">
        <f t="shared" si="60"/>
        <v>28400.8593750001</v>
      </c>
      <c r="BZ62" s="82">
        <f t="shared" si="61"/>
        <v>28400.8593750001</v>
      </c>
      <c r="CA62" s="82">
        <f t="shared" si="62"/>
        <v>28400.8593750001</v>
      </c>
      <c r="CB62" s="82">
        <f t="shared" si="63"/>
        <v>28400.8593750001</v>
      </c>
      <c r="CC62" s="82">
        <f t="shared" si="64"/>
        <v>28400.8593750001</v>
      </c>
      <c r="CD62" s="82">
        <f t="shared" si="65"/>
        <v>4786.12500000003</v>
      </c>
    </row>
    <row r="63" s="371" customFormat="1" ht="27" customHeight="1" spans="1:82">
      <c r="A63" s="410">
        <v>46188</v>
      </c>
      <c r="B63" s="411" t="s">
        <v>1800</v>
      </c>
      <c r="C63" s="412" t="s">
        <v>574</v>
      </c>
      <c r="D63" s="413">
        <v>4500212375</v>
      </c>
      <c r="E63" s="412"/>
      <c r="F63" s="411" t="s">
        <v>1801</v>
      </c>
      <c r="G63" s="414" t="s">
        <v>78</v>
      </c>
      <c r="H63" s="411" t="s">
        <v>79</v>
      </c>
      <c r="I63" s="415">
        <v>540</v>
      </c>
      <c r="J63" s="415">
        <v>0</v>
      </c>
      <c r="K63" s="415">
        <v>54</v>
      </c>
      <c r="L63" s="415">
        <f t="shared" si="1"/>
        <v>10</v>
      </c>
      <c r="M63" s="416">
        <v>46223</v>
      </c>
      <c r="N63" s="416">
        <v>46219</v>
      </c>
      <c r="O63" s="417"/>
      <c r="P63" s="417" t="s">
        <v>224</v>
      </c>
      <c r="Q63" s="417" t="s">
        <v>1802</v>
      </c>
      <c r="R63" s="453">
        <v>46189</v>
      </c>
      <c r="S63" s="424" t="s">
        <v>80</v>
      </c>
      <c r="T63" s="417" t="s">
        <v>1803</v>
      </c>
      <c r="U63" s="417"/>
      <c r="V63" s="417"/>
      <c r="W63" s="417"/>
      <c r="X63" s="420" t="s">
        <v>1804</v>
      </c>
      <c r="Y63" s="416" t="s">
        <v>581</v>
      </c>
      <c r="Z63" s="454">
        <v>0.8191</v>
      </c>
      <c r="AA63" s="455">
        <f t="shared" ref="AA63:AA71" si="111">Z63*I63</f>
        <v>442.314</v>
      </c>
      <c r="AB63" s="416"/>
      <c r="AC63" s="420">
        <v>540</v>
      </c>
      <c r="AD63" s="420"/>
      <c r="AE63" s="417" t="s">
        <v>113</v>
      </c>
      <c r="AF63" s="435" t="s">
        <v>114</v>
      </c>
      <c r="AG63" s="416" t="s">
        <v>230</v>
      </c>
      <c r="AH63" s="416" t="s">
        <v>115</v>
      </c>
      <c r="AI63" s="422">
        <f>I63</f>
        <v>540</v>
      </c>
      <c r="AJ63" s="422"/>
      <c r="AK63" s="422">
        <f>I63</f>
        <v>540</v>
      </c>
      <c r="AL63" s="422"/>
      <c r="AM63" s="422"/>
      <c r="AN63" s="422">
        <f>I63</f>
        <v>540</v>
      </c>
      <c r="AO63" s="422"/>
      <c r="AP63" s="422"/>
      <c r="AQ63" s="422">
        <f>I63</f>
        <v>540</v>
      </c>
      <c r="AR63" s="422"/>
      <c r="AS63" s="422"/>
      <c r="AT63" s="422"/>
      <c r="AU63" s="422">
        <f>I63/27</f>
        <v>20</v>
      </c>
      <c r="AV63" s="422"/>
      <c r="AW63" s="422"/>
      <c r="AX63" s="422"/>
      <c r="AY63" s="422"/>
      <c r="AZ63" s="422"/>
      <c r="BA63" s="422"/>
      <c r="BB63" s="422"/>
      <c r="BC63" s="422"/>
      <c r="BD63" s="422"/>
      <c r="BE63" s="422"/>
      <c r="BF63" s="422"/>
      <c r="BG63" s="422"/>
      <c r="BH63" s="422"/>
      <c r="BI63" s="422"/>
      <c r="BJ63" s="422"/>
      <c r="BK63" s="422"/>
      <c r="BL63" s="423">
        <f t="shared" ref="BL63:BT63" si="112">$I63*BL$2</f>
        <v>66.0937499999998</v>
      </c>
      <c r="BM63" s="423">
        <f t="shared" si="112"/>
        <v>66.0937499999998</v>
      </c>
      <c r="BN63" s="423">
        <f t="shared" si="112"/>
        <v>66.0937499999998</v>
      </c>
      <c r="BO63" s="423">
        <f t="shared" si="112"/>
        <v>66.0937499999998</v>
      </c>
      <c r="BP63" s="423">
        <f t="shared" si="112"/>
        <v>66.0937499999998</v>
      </c>
      <c r="BQ63" s="423">
        <f t="shared" si="112"/>
        <v>66.0937499999998</v>
      </c>
      <c r="BR63" s="423">
        <f t="shared" si="112"/>
        <v>66.0937499999998</v>
      </c>
      <c r="BS63" s="423">
        <f t="shared" si="112"/>
        <v>66.0937499999998</v>
      </c>
      <c r="BT63" s="423">
        <f t="shared" si="112"/>
        <v>11.25</v>
      </c>
      <c r="BV63" s="82">
        <f t="shared" si="57"/>
        <v>28334.7656250001</v>
      </c>
      <c r="BW63" s="82">
        <f t="shared" si="58"/>
        <v>28334.7656250001</v>
      </c>
      <c r="BX63" s="82">
        <f t="shared" si="59"/>
        <v>28334.7656250001</v>
      </c>
      <c r="BY63" s="82">
        <f t="shared" si="60"/>
        <v>28334.7656250001</v>
      </c>
      <c r="BZ63" s="82">
        <f t="shared" si="61"/>
        <v>28334.7656250001</v>
      </c>
      <c r="CA63" s="82">
        <f t="shared" si="62"/>
        <v>28334.7656250001</v>
      </c>
      <c r="CB63" s="82">
        <f t="shared" si="63"/>
        <v>28334.7656250001</v>
      </c>
      <c r="CC63" s="82">
        <f t="shared" si="64"/>
        <v>28334.7656250001</v>
      </c>
      <c r="CD63" s="82">
        <f t="shared" si="65"/>
        <v>4774.87500000003</v>
      </c>
    </row>
    <row r="64" s="371" customFormat="1" ht="27" customHeight="1" spans="1:82">
      <c r="A64" s="410">
        <v>46132</v>
      </c>
      <c r="B64" s="411" t="s">
        <v>1539</v>
      </c>
      <c r="C64" s="412" t="s">
        <v>574</v>
      </c>
      <c r="D64" s="413" t="s">
        <v>1805</v>
      </c>
      <c r="E64" s="412" t="s">
        <v>1715</v>
      </c>
      <c r="F64" s="411" t="s">
        <v>1806</v>
      </c>
      <c r="G64" s="414" t="s">
        <v>78</v>
      </c>
      <c r="H64" s="411" t="s">
        <v>79</v>
      </c>
      <c r="I64" s="415">
        <v>1512</v>
      </c>
      <c r="J64" s="415">
        <v>0</v>
      </c>
      <c r="K64" s="415">
        <v>54</v>
      </c>
      <c r="L64" s="415">
        <f t="shared" si="1"/>
        <v>28</v>
      </c>
      <c r="M64" s="416">
        <v>46191</v>
      </c>
      <c r="N64" s="416">
        <v>46216</v>
      </c>
      <c r="O64" s="417" t="s">
        <v>1807</v>
      </c>
      <c r="P64" s="417" t="s">
        <v>224</v>
      </c>
      <c r="Q64" s="417" t="s">
        <v>1808</v>
      </c>
      <c r="R64" s="453">
        <v>46162</v>
      </c>
      <c r="S64" s="424" t="s">
        <v>80</v>
      </c>
      <c r="T64" s="417" t="s">
        <v>1809</v>
      </c>
      <c r="U64" s="417"/>
      <c r="V64" s="417"/>
      <c r="W64" s="417"/>
      <c r="X64" s="420" t="s">
        <v>1810</v>
      </c>
      <c r="Y64" s="416" t="s">
        <v>228</v>
      </c>
      <c r="Z64" s="454">
        <v>0.8103</v>
      </c>
      <c r="AA64" s="455">
        <f t="shared" si="111"/>
        <v>1225.1736</v>
      </c>
      <c r="AB64" s="416"/>
      <c r="AC64" s="415">
        <v>1512</v>
      </c>
      <c r="AD64" s="420">
        <f>AC64-I64</f>
        <v>0</v>
      </c>
      <c r="AE64" s="417" t="s">
        <v>113</v>
      </c>
      <c r="AF64" s="417" t="s">
        <v>114</v>
      </c>
      <c r="AG64" s="416" t="s">
        <v>230</v>
      </c>
      <c r="AH64" s="416" t="s">
        <v>115</v>
      </c>
      <c r="AI64" s="422">
        <f>I64</f>
        <v>1512</v>
      </c>
      <c r="AJ64" s="422"/>
      <c r="AK64" s="422">
        <f>I64</f>
        <v>1512</v>
      </c>
      <c r="AL64" s="422"/>
      <c r="AN64" s="422">
        <f>I64</f>
        <v>1512</v>
      </c>
      <c r="AO64" s="422"/>
      <c r="AP64" s="422"/>
      <c r="AQ64" s="422">
        <f>I64</f>
        <v>1512</v>
      </c>
      <c r="AR64" s="422"/>
      <c r="AS64" s="422"/>
      <c r="AT64" s="422"/>
      <c r="AU64" s="422">
        <f>I64/27</f>
        <v>56</v>
      </c>
      <c r="AV64" s="422"/>
      <c r="AW64" s="422"/>
      <c r="AX64" s="422"/>
      <c r="AY64" s="422"/>
      <c r="AZ64" s="422"/>
      <c r="BA64" s="422"/>
      <c r="BB64" s="422"/>
      <c r="BC64" s="422"/>
      <c r="BD64" s="422"/>
      <c r="BE64" s="422"/>
      <c r="BF64" s="422"/>
      <c r="BG64" s="422"/>
      <c r="BH64" s="422"/>
      <c r="BI64" s="422"/>
      <c r="BJ64" s="422"/>
      <c r="BK64" s="422"/>
      <c r="BL64" s="423">
        <f t="shared" ref="BL64:BT64" si="113">$I64*BL$2</f>
        <v>185.062499999999</v>
      </c>
      <c r="BM64" s="423">
        <f t="shared" si="113"/>
        <v>185.062499999999</v>
      </c>
      <c r="BN64" s="423">
        <f t="shared" si="113"/>
        <v>185.062499999999</v>
      </c>
      <c r="BO64" s="423">
        <f t="shared" si="113"/>
        <v>185.062499999999</v>
      </c>
      <c r="BP64" s="423">
        <f t="shared" si="113"/>
        <v>185.062499999999</v>
      </c>
      <c r="BQ64" s="423">
        <f t="shared" si="113"/>
        <v>185.062499999999</v>
      </c>
      <c r="BR64" s="423">
        <f t="shared" si="113"/>
        <v>185.062499999999</v>
      </c>
      <c r="BS64" s="423">
        <f t="shared" si="113"/>
        <v>185.062499999999</v>
      </c>
      <c r="BT64" s="423">
        <f t="shared" si="113"/>
        <v>31.5</v>
      </c>
      <c r="BV64" s="82">
        <f t="shared" si="57"/>
        <v>28149.7031250001</v>
      </c>
      <c r="BW64" s="82">
        <f t="shared" si="58"/>
        <v>28149.7031250001</v>
      </c>
      <c r="BX64" s="82">
        <f t="shared" si="59"/>
        <v>28149.7031250001</v>
      </c>
      <c r="BY64" s="82">
        <f t="shared" si="60"/>
        <v>28149.7031250001</v>
      </c>
      <c r="BZ64" s="82">
        <f t="shared" si="61"/>
        <v>28149.7031250001</v>
      </c>
      <c r="CA64" s="82">
        <f t="shared" si="62"/>
        <v>28149.7031250001</v>
      </c>
      <c r="CB64" s="82">
        <f t="shared" si="63"/>
        <v>28149.7031250001</v>
      </c>
      <c r="CC64" s="82">
        <f t="shared" si="64"/>
        <v>28149.7031250001</v>
      </c>
      <c r="CD64" s="82">
        <f t="shared" si="65"/>
        <v>4743.37500000003</v>
      </c>
    </row>
    <row r="65" s="372" customFormat="1" ht="27" customHeight="1" spans="1:82">
      <c r="A65" s="428">
        <v>46171</v>
      </c>
      <c r="B65" s="429" t="s">
        <v>1811</v>
      </c>
      <c r="C65" s="430" t="s">
        <v>389</v>
      </c>
      <c r="D65" s="431" t="s">
        <v>1812</v>
      </c>
      <c r="E65" s="430" t="s">
        <v>1813</v>
      </c>
      <c r="F65" s="429" t="s">
        <v>1814</v>
      </c>
      <c r="G65" s="432" t="s">
        <v>188</v>
      </c>
      <c r="H65" s="429" t="s">
        <v>120</v>
      </c>
      <c r="I65" s="433">
        <v>12</v>
      </c>
      <c r="J65" s="433">
        <v>0</v>
      </c>
      <c r="K65" s="433">
        <v>12</v>
      </c>
      <c r="L65" s="433">
        <f t="shared" si="1"/>
        <v>1</v>
      </c>
      <c r="M65" s="434">
        <v>46225</v>
      </c>
      <c r="N65" s="434">
        <v>46225</v>
      </c>
      <c r="O65" s="435"/>
      <c r="P65" s="417" t="s">
        <v>224</v>
      </c>
      <c r="Q65" s="435"/>
      <c r="R65" s="448">
        <v>46171</v>
      </c>
      <c r="S65" s="435" t="s">
        <v>191</v>
      </c>
      <c r="T65" s="435" t="s">
        <v>1815</v>
      </c>
      <c r="U65" s="435"/>
      <c r="V65" s="435"/>
      <c r="W65" s="435"/>
      <c r="X65" s="438" t="s">
        <v>1816</v>
      </c>
      <c r="Y65" s="434" t="s">
        <v>1817</v>
      </c>
      <c r="Z65" s="450">
        <v>1.9571</v>
      </c>
      <c r="AA65" s="433">
        <f t="shared" si="111"/>
        <v>23.4852</v>
      </c>
      <c r="AB65" s="434"/>
      <c r="AC65" s="438">
        <v>12</v>
      </c>
      <c r="AD65" s="420">
        <f t="shared" ref="AD65:AD100" si="114">AC65-I65</f>
        <v>0</v>
      </c>
      <c r="AE65" s="435"/>
      <c r="AF65" s="435" t="s">
        <v>114</v>
      </c>
      <c r="AG65" s="432" t="s">
        <v>188</v>
      </c>
      <c r="AH65" s="434" t="s">
        <v>115</v>
      </c>
      <c r="AI65" s="441">
        <f>I65*2</f>
        <v>24</v>
      </c>
      <c r="AJ65" s="441"/>
      <c r="AK65" s="441">
        <f>I65*2</f>
        <v>24</v>
      </c>
      <c r="AL65" s="441"/>
      <c r="AM65" s="441"/>
      <c r="AN65" s="441">
        <f>I65*2</f>
        <v>24</v>
      </c>
      <c r="AO65" s="441"/>
      <c r="AP65" s="441"/>
      <c r="AQ65" s="441">
        <f>I65*2</f>
        <v>24</v>
      </c>
      <c r="AR65" s="441"/>
      <c r="AS65" s="441"/>
      <c r="AT65" s="441"/>
      <c r="AU65" s="441"/>
      <c r="AV65" s="441"/>
      <c r="AW65" s="441"/>
      <c r="AX65" s="441"/>
      <c r="AY65" s="441"/>
      <c r="AZ65" s="441"/>
      <c r="BA65" s="441"/>
      <c r="BB65" s="441"/>
      <c r="BC65" s="441"/>
      <c r="BD65" s="441"/>
      <c r="BE65" s="441"/>
      <c r="BF65" s="441"/>
      <c r="BG65" s="441"/>
      <c r="BH65" s="441">
        <f>I65</f>
        <v>12</v>
      </c>
      <c r="BI65" s="441">
        <f>I65</f>
        <v>12</v>
      </c>
      <c r="BJ65" s="441"/>
      <c r="BK65" s="441"/>
      <c r="BL65" s="59">
        <f t="shared" ref="BL65:BT65" si="115">$I65*BL$2*2</f>
        <v>2.93749999999999</v>
      </c>
      <c r="BM65" s="59">
        <f t="shared" si="115"/>
        <v>2.93749999999999</v>
      </c>
      <c r="BN65" s="59">
        <f t="shared" si="115"/>
        <v>2.93749999999999</v>
      </c>
      <c r="BO65" s="59">
        <f t="shared" si="115"/>
        <v>2.93749999999999</v>
      </c>
      <c r="BP65" s="59">
        <f t="shared" si="115"/>
        <v>2.93749999999999</v>
      </c>
      <c r="BQ65" s="59">
        <f t="shared" si="115"/>
        <v>2.93749999999999</v>
      </c>
      <c r="BR65" s="59">
        <f t="shared" si="115"/>
        <v>2.93749999999999</v>
      </c>
      <c r="BS65" s="59">
        <f t="shared" si="115"/>
        <v>2.93749999999999</v>
      </c>
      <c r="BT65" s="59">
        <f t="shared" si="115"/>
        <v>0.499999999999999</v>
      </c>
      <c r="BV65" s="59">
        <f t="shared" si="57"/>
        <v>28146.7656250001</v>
      </c>
      <c r="BW65" s="59">
        <f t="shared" si="58"/>
        <v>28146.7656250001</v>
      </c>
      <c r="BX65" s="59">
        <f t="shared" si="59"/>
        <v>28146.7656250001</v>
      </c>
      <c r="BY65" s="59">
        <f t="shared" si="60"/>
        <v>28146.7656250001</v>
      </c>
      <c r="BZ65" s="59">
        <f t="shared" si="61"/>
        <v>28146.7656250001</v>
      </c>
      <c r="CA65" s="59">
        <f t="shared" si="62"/>
        <v>28146.7656250001</v>
      </c>
      <c r="CB65" s="59">
        <f t="shared" si="63"/>
        <v>28146.7656250001</v>
      </c>
      <c r="CC65" s="59">
        <f t="shared" si="64"/>
        <v>28146.7656250001</v>
      </c>
      <c r="CD65" s="59">
        <f t="shared" si="65"/>
        <v>4742.87500000003</v>
      </c>
    </row>
    <row r="66" s="372" customFormat="1" ht="27" customHeight="1" spans="1:82">
      <c r="A66" s="428">
        <v>46171</v>
      </c>
      <c r="B66" s="429" t="s">
        <v>1811</v>
      </c>
      <c r="C66" s="430" t="s">
        <v>389</v>
      </c>
      <c r="D66" s="431" t="s">
        <v>1812</v>
      </c>
      <c r="E66" s="430" t="s">
        <v>1818</v>
      </c>
      <c r="F66" s="429" t="s">
        <v>1819</v>
      </c>
      <c r="G66" s="432" t="s">
        <v>188</v>
      </c>
      <c r="H66" s="429" t="s">
        <v>120</v>
      </c>
      <c r="I66" s="433">
        <v>12</v>
      </c>
      <c r="J66" s="433">
        <v>0</v>
      </c>
      <c r="K66" s="433">
        <v>12</v>
      </c>
      <c r="L66" s="433">
        <f t="shared" si="1"/>
        <v>1</v>
      </c>
      <c r="M66" s="434">
        <v>46225</v>
      </c>
      <c r="N66" s="434">
        <v>46225</v>
      </c>
      <c r="O66" s="435"/>
      <c r="P66" s="417" t="s">
        <v>224</v>
      </c>
      <c r="Q66" s="435"/>
      <c r="R66" s="448">
        <v>46171</v>
      </c>
      <c r="S66" s="435" t="s">
        <v>191</v>
      </c>
      <c r="T66" s="435" t="s">
        <v>1815</v>
      </c>
      <c r="U66" s="435"/>
      <c r="V66" s="435"/>
      <c r="W66" s="435"/>
      <c r="X66" s="438" t="s">
        <v>1816</v>
      </c>
      <c r="Y66" s="434" t="s">
        <v>1817</v>
      </c>
      <c r="Z66" s="450">
        <v>1.9571</v>
      </c>
      <c r="AA66" s="433">
        <f t="shared" si="111"/>
        <v>23.4852</v>
      </c>
      <c r="AB66" s="434"/>
      <c r="AC66" s="438">
        <v>12</v>
      </c>
      <c r="AD66" s="420">
        <f t="shared" si="114"/>
        <v>0</v>
      </c>
      <c r="AE66" s="435"/>
      <c r="AF66" s="435" t="s">
        <v>114</v>
      </c>
      <c r="AG66" s="432" t="s">
        <v>188</v>
      </c>
      <c r="AH66" s="434" t="s">
        <v>115</v>
      </c>
      <c r="AI66" s="441">
        <f>I66*2</f>
        <v>24</v>
      </c>
      <c r="AJ66" s="441"/>
      <c r="AK66" s="441">
        <f>I66*2</f>
        <v>24</v>
      </c>
      <c r="AL66" s="441"/>
      <c r="AM66" s="441"/>
      <c r="AN66" s="441">
        <f>I66*2</f>
        <v>24</v>
      </c>
      <c r="AO66" s="441"/>
      <c r="AP66" s="441"/>
      <c r="AQ66" s="441">
        <f>I66*2</f>
        <v>24</v>
      </c>
      <c r="AR66" s="441"/>
      <c r="AS66" s="441"/>
      <c r="AT66" s="441"/>
      <c r="AU66" s="441"/>
      <c r="AV66" s="441"/>
      <c r="AW66" s="441"/>
      <c r="AX66" s="441"/>
      <c r="AY66" s="441"/>
      <c r="AZ66" s="441"/>
      <c r="BA66" s="441"/>
      <c r="BB66" s="441"/>
      <c r="BC66" s="441"/>
      <c r="BD66" s="441"/>
      <c r="BE66" s="441"/>
      <c r="BF66" s="441"/>
      <c r="BG66" s="441"/>
      <c r="BH66" s="441">
        <f>I66</f>
        <v>12</v>
      </c>
      <c r="BI66" s="441">
        <f>I66</f>
        <v>12</v>
      </c>
      <c r="BJ66" s="441"/>
      <c r="BK66" s="441"/>
      <c r="BL66" s="59">
        <f t="shared" ref="BL66:BT66" si="116">$I66*BL$2*2</f>
        <v>2.93749999999999</v>
      </c>
      <c r="BM66" s="59">
        <f t="shared" si="116"/>
        <v>2.93749999999999</v>
      </c>
      <c r="BN66" s="59">
        <f t="shared" si="116"/>
        <v>2.93749999999999</v>
      </c>
      <c r="BO66" s="59">
        <f t="shared" si="116"/>
        <v>2.93749999999999</v>
      </c>
      <c r="BP66" s="59">
        <f t="shared" si="116"/>
        <v>2.93749999999999</v>
      </c>
      <c r="BQ66" s="59">
        <f t="shared" si="116"/>
        <v>2.93749999999999</v>
      </c>
      <c r="BR66" s="59">
        <f t="shared" si="116"/>
        <v>2.93749999999999</v>
      </c>
      <c r="BS66" s="59">
        <f t="shared" si="116"/>
        <v>2.93749999999999</v>
      </c>
      <c r="BT66" s="59">
        <f t="shared" si="116"/>
        <v>0.499999999999999</v>
      </c>
      <c r="BV66" s="59">
        <f t="shared" si="57"/>
        <v>28143.8281250001</v>
      </c>
      <c r="BW66" s="59">
        <f t="shared" si="58"/>
        <v>28143.8281250001</v>
      </c>
      <c r="BX66" s="59">
        <f t="shared" si="59"/>
        <v>28143.8281250001</v>
      </c>
      <c r="BY66" s="59">
        <f t="shared" si="60"/>
        <v>28143.8281250001</v>
      </c>
      <c r="BZ66" s="59">
        <f t="shared" si="61"/>
        <v>28143.8281250001</v>
      </c>
      <c r="CA66" s="59">
        <f t="shared" si="62"/>
        <v>28143.8281250001</v>
      </c>
      <c r="CB66" s="59">
        <f t="shared" si="63"/>
        <v>28143.8281250001</v>
      </c>
      <c r="CC66" s="59">
        <f t="shared" si="64"/>
        <v>28143.8281250001</v>
      </c>
      <c r="CD66" s="59">
        <f t="shared" si="65"/>
        <v>4742.37500000003</v>
      </c>
    </row>
    <row r="67" s="372" customFormat="1" ht="27" customHeight="1" spans="1:82">
      <c r="A67" s="428">
        <v>46171</v>
      </c>
      <c r="B67" s="429" t="s">
        <v>1811</v>
      </c>
      <c r="C67" s="430" t="s">
        <v>389</v>
      </c>
      <c r="D67" s="431" t="s">
        <v>1812</v>
      </c>
      <c r="E67" s="430" t="s">
        <v>1820</v>
      </c>
      <c r="F67" s="429" t="s">
        <v>1821</v>
      </c>
      <c r="G67" s="432" t="s">
        <v>188</v>
      </c>
      <c r="H67" s="429" t="s">
        <v>120</v>
      </c>
      <c r="I67" s="433">
        <v>12</v>
      </c>
      <c r="J67" s="433">
        <v>0</v>
      </c>
      <c r="K67" s="433">
        <v>12</v>
      </c>
      <c r="L67" s="433">
        <f t="shared" si="1"/>
        <v>1</v>
      </c>
      <c r="M67" s="434">
        <v>46225</v>
      </c>
      <c r="N67" s="434">
        <v>46225</v>
      </c>
      <c r="O67" s="435"/>
      <c r="P67" s="417" t="s">
        <v>224</v>
      </c>
      <c r="Q67" s="435"/>
      <c r="R67" s="448">
        <v>46171</v>
      </c>
      <c r="S67" s="435" t="s">
        <v>191</v>
      </c>
      <c r="T67" s="435" t="s">
        <v>1815</v>
      </c>
      <c r="U67" s="435"/>
      <c r="V67" s="435"/>
      <c r="W67" s="435"/>
      <c r="X67" s="438" t="s">
        <v>1816</v>
      </c>
      <c r="Y67" s="434" t="s">
        <v>1817</v>
      </c>
      <c r="Z67" s="450">
        <v>1.9571</v>
      </c>
      <c r="AA67" s="433">
        <f t="shared" si="111"/>
        <v>23.4852</v>
      </c>
      <c r="AB67" s="434"/>
      <c r="AC67" s="438">
        <v>12</v>
      </c>
      <c r="AD67" s="420">
        <f t="shared" si="114"/>
        <v>0</v>
      </c>
      <c r="AE67" s="435"/>
      <c r="AF67" s="435" t="s">
        <v>114</v>
      </c>
      <c r="AG67" s="432" t="s">
        <v>188</v>
      </c>
      <c r="AH67" s="434" t="s">
        <v>115</v>
      </c>
      <c r="AI67" s="441">
        <f>I67*2</f>
        <v>24</v>
      </c>
      <c r="AJ67" s="441"/>
      <c r="AK67" s="441">
        <f>I67*2</f>
        <v>24</v>
      </c>
      <c r="AL67" s="441"/>
      <c r="AM67" s="441"/>
      <c r="AN67" s="441">
        <f>I67*2</f>
        <v>24</v>
      </c>
      <c r="AO67" s="441"/>
      <c r="AP67" s="441"/>
      <c r="AQ67" s="441">
        <f>I67*2</f>
        <v>24</v>
      </c>
      <c r="AR67" s="441"/>
      <c r="AS67" s="441"/>
      <c r="AT67" s="441"/>
      <c r="AU67" s="441"/>
      <c r="AV67" s="441"/>
      <c r="AW67" s="441"/>
      <c r="AX67" s="441"/>
      <c r="AY67" s="441"/>
      <c r="AZ67" s="441"/>
      <c r="BA67" s="441"/>
      <c r="BB67" s="441"/>
      <c r="BC67" s="441"/>
      <c r="BD67" s="441"/>
      <c r="BE67" s="441"/>
      <c r="BF67" s="441"/>
      <c r="BG67" s="441"/>
      <c r="BH67" s="441">
        <f>I67</f>
        <v>12</v>
      </c>
      <c r="BI67" s="441">
        <f>I67</f>
        <v>12</v>
      </c>
      <c r="BJ67" s="441"/>
      <c r="BK67" s="441"/>
      <c r="BL67" s="59">
        <f t="shared" ref="BL67:BT67" si="117">$I67*BL$2*2</f>
        <v>2.93749999999999</v>
      </c>
      <c r="BM67" s="59">
        <f t="shared" si="117"/>
        <v>2.93749999999999</v>
      </c>
      <c r="BN67" s="59">
        <f t="shared" si="117"/>
        <v>2.93749999999999</v>
      </c>
      <c r="BO67" s="59">
        <f t="shared" si="117"/>
        <v>2.93749999999999</v>
      </c>
      <c r="BP67" s="59">
        <f t="shared" si="117"/>
        <v>2.93749999999999</v>
      </c>
      <c r="BQ67" s="59">
        <f t="shared" si="117"/>
        <v>2.93749999999999</v>
      </c>
      <c r="BR67" s="59">
        <f t="shared" si="117"/>
        <v>2.93749999999999</v>
      </c>
      <c r="BS67" s="59">
        <f t="shared" si="117"/>
        <v>2.93749999999999</v>
      </c>
      <c r="BT67" s="59">
        <f t="shared" si="117"/>
        <v>0.499999999999999</v>
      </c>
      <c r="BV67" s="59">
        <f t="shared" si="57"/>
        <v>28140.8906250001</v>
      </c>
      <c r="BW67" s="59">
        <f t="shared" si="58"/>
        <v>28140.8906250001</v>
      </c>
      <c r="BX67" s="59">
        <f t="shared" si="59"/>
        <v>28140.8906250001</v>
      </c>
      <c r="BY67" s="59">
        <f t="shared" si="60"/>
        <v>28140.8906250001</v>
      </c>
      <c r="BZ67" s="59">
        <f t="shared" si="61"/>
        <v>28140.8906250001</v>
      </c>
      <c r="CA67" s="59">
        <f t="shared" si="62"/>
        <v>28140.8906250001</v>
      </c>
      <c r="CB67" s="59">
        <f t="shared" si="63"/>
        <v>28140.8906250001</v>
      </c>
      <c r="CC67" s="59">
        <f t="shared" si="64"/>
        <v>28140.8906250001</v>
      </c>
      <c r="CD67" s="59">
        <f t="shared" si="65"/>
        <v>4741.87500000003</v>
      </c>
    </row>
    <row r="68" s="372" customFormat="1" ht="27" customHeight="1" spans="1:82">
      <c r="A68" s="428">
        <v>46171</v>
      </c>
      <c r="B68" s="429" t="s">
        <v>1811</v>
      </c>
      <c r="C68" s="430" t="s">
        <v>389</v>
      </c>
      <c r="D68" s="431" t="s">
        <v>1812</v>
      </c>
      <c r="E68" s="430" t="s">
        <v>1822</v>
      </c>
      <c r="F68" s="429" t="s">
        <v>1823</v>
      </c>
      <c r="G68" s="432" t="s">
        <v>188</v>
      </c>
      <c r="H68" s="429" t="s">
        <v>120</v>
      </c>
      <c r="I68" s="433">
        <v>12</v>
      </c>
      <c r="J68" s="433">
        <v>0</v>
      </c>
      <c r="K68" s="433">
        <v>12</v>
      </c>
      <c r="L68" s="433">
        <f>I68/K68</f>
        <v>1</v>
      </c>
      <c r="M68" s="434">
        <v>46225</v>
      </c>
      <c r="N68" s="434">
        <v>46225</v>
      </c>
      <c r="O68" s="435"/>
      <c r="P68" s="417" t="s">
        <v>224</v>
      </c>
      <c r="Q68" s="435"/>
      <c r="R68" s="448">
        <v>46171</v>
      </c>
      <c r="S68" s="435" t="s">
        <v>191</v>
      </c>
      <c r="T68" s="435" t="s">
        <v>1815</v>
      </c>
      <c r="U68" s="435"/>
      <c r="V68" s="435"/>
      <c r="W68" s="435"/>
      <c r="X68" s="438" t="s">
        <v>1816</v>
      </c>
      <c r="Y68" s="434" t="s">
        <v>1817</v>
      </c>
      <c r="Z68" s="450">
        <v>1.9571</v>
      </c>
      <c r="AA68" s="433">
        <f t="shared" si="111"/>
        <v>23.4852</v>
      </c>
      <c r="AB68" s="434"/>
      <c r="AC68" s="438">
        <v>12</v>
      </c>
      <c r="AD68" s="420">
        <f t="shared" si="114"/>
        <v>0</v>
      </c>
      <c r="AE68" s="435"/>
      <c r="AF68" s="435" t="s">
        <v>114</v>
      </c>
      <c r="AG68" s="432" t="s">
        <v>188</v>
      </c>
      <c r="AH68" s="434" t="s">
        <v>115</v>
      </c>
      <c r="AI68" s="441">
        <f>I68*2</f>
        <v>24</v>
      </c>
      <c r="AJ68" s="441"/>
      <c r="AK68" s="441">
        <f>I68*2</f>
        <v>24</v>
      </c>
      <c r="AL68" s="441"/>
      <c r="AM68" s="441"/>
      <c r="AN68" s="441">
        <f>I68*2</f>
        <v>24</v>
      </c>
      <c r="AO68" s="441"/>
      <c r="AP68" s="441"/>
      <c r="AQ68" s="441">
        <f>I68*2</f>
        <v>24</v>
      </c>
      <c r="AR68" s="441"/>
      <c r="AS68" s="441"/>
      <c r="AT68" s="441"/>
      <c r="AU68" s="441"/>
      <c r="AV68" s="441"/>
      <c r="AW68" s="441"/>
      <c r="AX68" s="441"/>
      <c r="AY68" s="441"/>
      <c r="AZ68" s="441"/>
      <c r="BA68" s="441"/>
      <c r="BB68" s="441"/>
      <c r="BC68" s="441"/>
      <c r="BD68" s="441"/>
      <c r="BE68" s="441"/>
      <c r="BF68" s="441"/>
      <c r="BG68" s="441"/>
      <c r="BH68" s="441">
        <f>I68</f>
        <v>12</v>
      </c>
      <c r="BI68" s="441">
        <f>I68</f>
        <v>12</v>
      </c>
      <c r="BJ68" s="441"/>
      <c r="BK68" s="441"/>
      <c r="BL68" s="59">
        <f t="shared" ref="BL68:BT68" si="118">$I68*BL$2*2</f>
        <v>2.93749999999999</v>
      </c>
      <c r="BM68" s="59">
        <f t="shared" si="118"/>
        <v>2.93749999999999</v>
      </c>
      <c r="BN68" s="59">
        <f t="shared" si="118"/>
        <v>2.93749999999999</v>
      </c>
      <c r="BO68" s="59">
        <f t="shared" si="118"/>
        <v>2.93749999999999</v>
      </c>
      <c r="BP68" s="59">
        <f t="shared" si="118"/>
        <v>2.93749999999999</v>
      </c>
      <c r="BQ68" s="59">
        <f t="shared" si="118"/>
        <v>2.93749999999999</v>
      </c>
      <c r="BR68" s="59">
        <f t="shared" si="118"/>
        <v>2.93749999999999</v>
      </c>
      <c r="BS68" s="59">
        <f t="shared" si="118"/>
        <v>2.93749999999999</v>
      </c>
      <c r="BT68" s="59">
        <f t="shared" si="118"/>
        <v>0.499999999999999</v>
      </c>
      <c r="BV68" s="59">
        <f t="shared" si="57"/>
        <v>28137.9531250001</v>
      </c>
      <c r="BW68" s="59">
        <f t="shared" si="58"/>
        <v>28137.9531250001</v>
      </c>
      <c r="BX68" s="59">
        <f t="shared" si="59"/>
        <v>28137.9531250001</v>
      </c>
      <c r="BY68" s="59">
        <f t="shared" si="60"/>
        <v>28137.9531250001</v>
      </c>
      <c r="BZ68" s="59">
        <f t="shared" si="61"/>
        <v>28137.9531250001</v>
      </c>
      <c r="CA68" s="59">
        <f t="shared" si="62"/>
        <v>28137.9531250001</v>
      </c>
      <c r="CB68" s="59">
        <f t="shared" si="63"/>
        <v>28137.9531250001</v>
      </c>
      <c r="CC68" s="59">
        <f t="shared" si="64"/>
        <v>28137.9531250001</v>
      </c>
      <c r="CD68" s="59">
        <f t="shared" si="65"/>
        <v>4741.37500000003</v>
      </c>
    </row>
    <row r="69" s="372" customFormat="1" ht="27" customHeight="1" spans="1:82">
      <c r="A69" s="428">
        <v>46171</v>
      </c>
      <c r="B69" s="429" t="s">
        <v>1811</v>
      </c>
      <c r="C69" s="430" t="s">
        <v>389</v>
      </c>
      <c r="D69" s="431" t="s">
        <v>1812</v>
      </c>
      <c r="E69" s="430" t="s">
        <v>1824</v>
      </c>
      <c r="F69" s="429" t="s">
        <v>1825</v>
      </c>
      <c r="G69" s="432" t="s">
        <v>188</v>
      </c>
      <c r="H69" s="429" t="s">
        <v>120</v>
      </c>
      <c r="I69" s="433">
        <v>12</v>
      </c>
      <c r="J69" s="433">
        <v>0</v>
      </c>
      <c r="K69" s="433">
        <v>12</v>
      </c>
      <c r="L69" s="433">
        <f>I69/K69</f>
        <v>1</v>
      </c>
      <c r="M69" s="434">
        <v>46225</v>
      </c>
      <c r="N69" s="434">
        <v>46225</v>
      </c>
      <c r="O69" s="435"/>
      <c r="P69" s="417" t="s">
        <v>224</v>
      </c>
      <c r="Q69" s="435"/>
      <c r="R69" s="448">
        <v>46171</v>
      </c>
      <c r="S69" s="435" t="s">
        <v>191</v>
      </c>
      <c r="T69" s="435" t="s">
        <v>1815</v>
      </c>
      <c r="U69" s="435"/>
      <c r="V69" s="435"/>
      <c r="W69" s="435"/>
      <c r="X69" s="438" t="s">
        <v>1816</v>
      </c>
      <c r="Y69" s="434" t="s">
        <v>1817</v>
      </c>
      <c r="Z69" s="450">
        <v>1.9571</v>
      </c>
      <c r="AA69" s="433">
        <f t="shared" si="111"/>
        <v>23.4852</v>
      </c>
      <c r="AB69" s="434"/>
      <c r="AC69" s="438">
        <v>12</v>
      </c>
      <c r="AD69" s="420">
        <f t="shared" si="114"/>
        <v>0</v>
      </c>
      <c r="AE69" s="435"/>
      <c r="AF69" s="435" t="s">
        <v>114</v>
      </c>
      <c r="AG69" s="432" t="s">
        <v>188</v>
      </c>
      <c r="AH69" s="434" t="s">
        <v>115</v>
      </c>
      <c r="AI69" s="441">
        <f>I69*2</f>
        <v>24</v>
      </c>
      <c r="AJ69" s="441"/>
      <c r="AK69" s="441">
        <f>I69*2</f>
        <v>24</v>
      </c>
      <c r="AL69" s="441"/>
      <c r="AM69" s="441"/>
      <c r="AN69" s="441">
        <f>I69*2</f>
        <v>24</v>
      </c>
      <c r="AO69" s="441"/>
      <c r="AP69" s="441"/>
      <c r="AQ69" s="441">
        <f>I69*2</f>
        <v>24</v>
      </c>
      <c r="AR69" s="441"/>
      <c r="AS69" s="441"/>
      <c r="AT69" s="441"/>
      <c r="AU69" s="441"/>
      <c r="AV69" s="441"/>
      <c r="AW69" s="441"/>
      <c r="AX69" s="441"/>
      <c r="AY69" s="441"/>
      <c r="AZ69" s="441"/>
      <c r="BA69" s="441"/>
      <c r="BB69" s="441"/>
      <c r="BC69" s="441"/>
      <c r="BD69" s="441"/>
      <c r="BE69" s="441"/>
      <c r="BF69" s="441"/>
      <c r="BG69" s="441"/>
      <c r="BH69" s="441">
        <f>I69</f>
        <v>12</v>
      </c>
      <c r="BI69" s="441">
        <f>I69</f>
        <v>12</v>
      </c>
      <c r="BJ69" s="441"/>
      <c r="BK69" s="441"/>
      <c r="BL69" s="59">
        <f t="shared" ref="BL69:BT69" si="119">$I69*BL$2*2</f>
        <v>2.93749999999999</v>
      </c>
      <c r="BM69" s="59">
        <f t="shared" si="119"/>
        <v>2.93749999999999</v>
      </c>
      <c r="BN69" s="59">
        <f t="shared" si="119"/>
        <v>2.93749999999999</v>
      </c>
      <c r="BO69" s="59">
        <f t="shared" si="119"/>
        <v>2.93749999999999</v>
      </c>
      <c r="BP69" s="59">
        <f t="shared" si="119"/>
        <v>2.93749999999999</v>
      </c>
      <c r="BQ69" s="59">
        <f t="shared" si="119"/>
        <v>2.93749999999999</v>
      </c>
      <c r="BR69" s="59">
        <f t="shared" si="119"/>
        <v>2.93749999999999</v>
      </c>
      <c r="BS69" s="59">
        <f t="shared" si="119"/>
        <v>2.93749999999999</v>
      </c>
      <c r="BT69" s="59">
        <f t="shared" si="119"/>
        <v>0.499999999999999</v>
      </c>
      <c r="BV69" s="59">
        <f t="shared" si="57"/>
        <v>28135.0156250001</v>
      </c>
      <c r="BW69" s="59">
        <f t="shared" si="58"/>
        <v>28135.0156250001</v>
      </c>
      <c r="BX69" s="59">
        <f t="shared" si="59"/>
        <v>28135.0156250001</v>
      </c>
      <c r="BY69" s="59">
        <f t="shared" si="60"/>
        <v>28135.0156250001</v>
      </c>
      <c r="BZ69" s="59">
        <f t="shared" si="61"/>
        <v>28135.0156250001</v>
      </c>
      <c r="CA69" s="59">
        <f t="shared" si="62"/>
        <v>28135.0156250001</v>
      </c>
      <c r="CB69" s="59">
        <f t="shared" si="63"/>
        <v>28135.0156250001</v>
      </c>
      <c r="CC69" s="59">
        <f t="shared" si="64"/>
        <v>28135.0156250001</v>
      </c>
      <c r="CD69" s="59">
        <f t="shared" si="65"/>
        <v>4740.87500000003</v>
      </c>
    </row>
    <row r="70" s="371" customFormat="1" ht="27" customHeight="1" spans="1:82">
      <c r="A70" s="410">
        <v>46185</v>
      </c>
      <c r="B70" s="411" t="s">
        <v>1514</v>
      </c>
      <c r="C70" s="412" t="s">
        <v>1515</v>
      </c>
      <c r="D70" s="413">
        <v>4500211896</v>
      </c>
      <c r="E70" s="412">
        <v>21216524</v>
      </c>
      <c r="F70" s="411" t="s">
        <v>1826</v>
      </c>
      <c r="G70" s="414" t="s">
        <v>152</v>
      </c>
      <c r="H70" s="411" t="s">
        <v>153</v>
      </c>
      <c r="I70" s="415">
        <v>507</v>
      </c>
      <c r="J70" s="415">
        <v>0</v>
      </c>
      <c r="K70" s="415">
        <v>13</v>
      </c>
      <c r="L70" s="415">
        <f>I70/K70</f>
        <v>39</v>
      </c>
      <c r="M70" s="416">
        <v>46237</v>
      </c>
      <c r="N70" s="416">
        <v>46234</v>
      </c>
      <c r="O70" s="417"/>
      <c r="P70" s="417" t="s">
        <v>224</v>
      </c>
      <c r="Q70" s="424" t="s">
        <v>1827</v>
      </c>
      <c r="R70" s="453">
        <v>46196</v>
      </c>
      <c r="S70" s="419" t="s">
        <v>80</v>
      </c>
      <c r="T70" s="417" t="s">
        <v>1655</v>
      </c>
      <c r="U70" s="417" t="s">
        <v>156</v>
      </c>
      <c r="V70" s="417"/>
      <c r="W70" s="417"/>
      <c r="X70" s="420" t="s">
        <v>1828</v>
      </c>
      <c r="Y70" s="416" t="s">
        <v>1520</v>
      </c>
      <c r="Z70" s="421">
        <v>0.8177</v>
      </c>
      <c r="AA70" s="415">
        <f t="shared" si="111"/>
        <v>414.5739</v>
      </c>
      <c r="AB70" s="416"/>
      <c r="AC70" s="420">
        <v>507</v>
      </c>
      <c r="AD70" s="420">
        <f t="shared" si="114"/>
        <v>0</v>
      </c>
      <c r="AE70" s="417" t="s">
        <v>113</v>
      </c>
      <c r="AF70" s="435" t="s">
        <v>114</v>
      </c>
      <c r="AG70" s="414" t="s">
        <v>319</v>
      </c>
      <c r="AH70" s="416" t="s">
        <v>115</v>
      </c>
      <c r="AI70" s="422">
        <f>I70</f>
        <v>507</v>
      </c>
      <c r="AJ70" s="422"/>
      <c r="AK70" s="422">
        <f>I70</f>
        <v>507</v>
      </c>
      <c r="AL70" s="422"/>
      <c r="AN70" s="422">
        <f>I70</f>
        <v>507</v>
      </c>
      <c r="AO70" s="422"/>
      <c r="AP70" s="422"/>
      <c r="AQ70" s="422">
        <f>I70</f>
        <v>507</v>
      </c>
      <c r="AR70" s="422"/>
      <c r="AS70" s="422"/>
      <c r="AT70" s="422"/>
      <c r="AU70" s="422"/>
      <c r="AW70" s="422">
        <f>I70/13</f>
        <v>39</v>
      </c>
      <c r="AX70" s="422"/>
      <c r="AY70" s="422"/>
      <c r="AZ70" s="422"/>
      <c r="BA70" s="422"/>
      <c r="BB70" s="422"/>
      <c r="BC70" s="422"/>
      <c r="BD70" s="422"/>
      <c r="BE70" s="422"/>
      <c r="BF70" s="422"/>
      <c r="BG70" s="422"/>
      <c r="BH70" s="422"/>
      <c r="BI70" s="422"/>
      <c r="BJ70" s="422"/>
      <c r="BK70" s="422"/>
      <c r="BL70" s="423">
        <f t="shared" ref="BL70:BT70" si="120">$I70*BL$2</f>
        <v>62.0546874999998</v>
      </c>
      <c r="BM70" s="423">
        <f t="shared" si="120"/>
        <v>62.0546874999998</v>
      </c>
      <c r="BN70" s="423">
        <f t="shared" si="120"/>
        <v>62.0546874999998</v>
      </c>
      <c r="BO70" s="423">
        <f t="shared" si="120"/>
        <v>62.0546874999998</v>
      </c>
      <c r="BP70" s="423">
        <f t="shared" si="120"/>
        <v>62.0546874999998</v>
      </c>
      <c r="BQ70" s="423">
        <f t="shared" si="120"/>
        <v>62.0546874999998</v>
      </c>
      <c r="BR70" s="423">
        <f t="shared" si="120"/>
        <v>62.0546874999998</v>
      </c>
      <c r="BS70" s="423">
        <f t="shared" si="120"/>
        <v>62.0546874999998</v>
      </c>
      <c r="BT70" s="423">
        <f t="shared" si="120"/>
        <v>10.5625</v>
      </c>
      <c r="BV70" s="423">
        <f t="shared" si="57"/>
        <v>28072.9609375001</v>
      </c>
      <c r="BW70" s="423">
        <f t="shared" si="58"/>
        <v>28072.9609375001</v>
      </c>
      <c r="BX70" s="423">
        <f t="shared" si="59"/>
        <v>28072.9609375001</v>
      </c>
      <c r="BY70" s="423">
        <f t="shared" si="60"/>
        <v>28072.9609375001</v>
      </c>
      <c r="BZ70" s="423">
        <f t="shared" si="61"/>
        <v>28072.9609375001</v>
      </c>
      <c r="CA70" s="423">
        <f t="shared" si="62"/>
        <v>28072.9609375001</v>
      </c>
      <c r="CB70" s="423">
        <f t="shared" si="63"/>
        <v>28072.9609375001</v>
      </c>
      <c r="CC70" s="423">
        <f t="shared" si="64"/>
        <v>28072.9609375001</v>
      </c>
      <c r="CD70" s="423">
        <f t="shared" si="65"/>
        <v>4730.31250000003</v>
      </c>
    </row>
    <row r="71" s="372" customFormat="1" ht="27" customHeight="1" spans="1:82">
      <c r="A71" s="428">
        <v>46204</v>
      </c>
      <c r="B71" s="429" t="s">
        <v>1829</v>
      </c>
      <c r="C71" s="430" t="s">
        <v>1830</v>
      </c>
      <c r="D71" s="431" t="s">
        <v>1831</v>
      </c>
      <c r="E71" s="430" t="s">
        <v>1715</v>
      </c>
      <c r="F71" s="429" t="s">
        <v>1832</v>
      </c>
      <c r="G71" s="432" t="s">
        <v>78</v>
      </c>
      <c r="H71" s="429" t="s">
        <v>79</v>
      </c>
      <c r="I71" s="433">
        <v>540</v>
      </c>
      <c r="J71" s="433">
        <v>0</v>
      </c>
      <c r="K71" s="433">
        <v>54</v>
      </c>
      <c r="L71" s="433">
        <f>I71/K71</f>
        <v>10</v>
      </c>
      <c r="M71" s="434">
        <v>46241</v>
      </c>
      <c r="N71" s="434">
        <v>46237</v>
      </c>
      <c r="O71" s="435"/>
      <c r="P71" s="417" t="s">
        <v>224</v>
      </c>
      <c r="Q71" s="435" t="s">
        <v>1833</v>
      </c>
      <c r="R71" s="448">
        <v>46204</v>
      </c>
      <c r="S71" s="437" t="s">
        <v>80</v>
      </c>
      <c r="T71" s="435" t="s">
        <v>1834</v>
      </c>
      <c r="U71" s="435"/>
      <c r="V71" s="435"/>
      <c r="W71" s="435"/>
      <c r="X71" s="456" t="s">
        <v>1835</v>
      </c>
      <c r="Y71" s="434" t="s">
        <v>1836</v>
      </c>
      <c r="Z71" s="439">
        <v>0.8371</v>
      </c>
      <c r="AA71" s="440">
        <f t="shared" si="111"/>
        <v>452.034</v>
      </c>
      <c r="AB71" s="434"/>
      <c r="AC71" s="457">
        <v>540</v>
      </c>
      <c r="AD71" s="420">
        <f t="shared" si="114"/>
        <v>0</v>
      </c>
      <c r="AE71" s="435"/>
      <c r="AF71" s="435" t="s">
        <v>114</v>
      </c>
      <c r="AG71" s="434" t="s">
        <v>230</v>
      </c>
      <c r="AH71" s="434" t="s">
        <v>115</v>
      </c>
      <c r="AI71" s="441">
        <f>I71</f>
        <v>540</v>
      </c>
      <c r="AJ71" s="441"/>
      <c r="AK71" s="441">
        <f>I71</f>
        <v>540</v>
      </c>
      <c r="AL71" s="441"/>
      <c r="AM71" s="441"/>
      <c r="AN71" s="441">
        <f>I71</f>
        <v>540</v>
      </c>
      <c r="AO71" s="441"/>
      <c r="AP71" s="441"/>
      <c r="AQ71" s="441">
        <f>I71</f>
        <v>540</v>
      </c>
      <c r="AR71" s="441"/>
      <c r="AS71" s="441"/>
      <c r="AT71" s="441"/>
      <c r="AU71" s="441">
        <f>I71/27</f>
        <v>20</v>
      </c>
      <c r="AV71" s="441"/>
      <c r="AW71" s="441"/>
      <c r="AX71" s="441"/>
      <c r="AY71" s="441"/>
      <c r="AZ71" s="441"/>
      <c r="BA71" s="441"/>
      <c r="BB71" s="441"/>
      <c r="BC71" s="441"/>
      <c r="BD71" s="441"/>
      <c r="BE71" s="441"/>
      <c r="BF71" s="441"/>
      <c r="BG71" s="441"/>
      <c r="BH71" s="441"/>
      <c r="BI71" s="441"/>
      <c r="BJ71" s="441"/>
      <c r="BK71" s="441"/>
      <c r="BL71" s="59">
        <f t="shared" ref="BL71:BT71" si="121">$I71*BL$2</f>
        <v>66.0937499999998</v>
      </c>
      <c r="BM71" s="59">
        <f t="shared" si="121"/>
        <v>66.0937499999998</v>
      </c>
      <c r="BN71" s="59">
        <f t="shared" si="121"/>
        <v>66.0937499999998</v>
      </c>
      <c r="BO71" s="59">
        <f t="shared" si="121"/>
        <v>66.0937499999998</v>
      </c>
      <c r="BP71" s="59">
        <f t="shared" si="121"/>
        <v>66.0937499999998</v>
      </c>
      <c r="BQ71" s="59">
        <f t="shared" si="121"/>
        <v>66.0937499999998</v>
      </c>
      <c r="BR71" s="59">
        <f t="shared" si="121"/>
        <v>66.0937499999998</v>
      </c>
      <c r="BS71" s="59">
        <f t="shared" si="121"/>
        <v>66.0937499999998</v>
      </c>
      <c r="BT71" s="59">
        <f t="shared" si="121"/>
        <v>11.25</v>
      </c>
      <c r="BV71" s="59">
        <f t="shared" si="57"/>
        <v>28006.8671875001</v>
      </c>
      <c r="BW71" s="59">
        <f t="shared" si="58"/>
        <v>28006.8671875001</v>
      </c>
      <c r="BX71" s="59">
        <f t="shared" si="59"/>
        <v>28006.8671875001</v>
      </c>
      <c r="BY71" s="59">
        <f t="shared" si="60"/>
        <v>28006.8671875001</v>
      </c>
      <c r="BZ71" s="59">
        <f t="shared" si="61"/>
        <v>28006.8671875001</v>
      </c>
      <c r="CA71" s="59">
        <f t="shared" si="62"/>
        <v>28006.8671875001</v>
      </c>
      <c r="CB71" s="59">
        <f t="shared" si="63"/>
        <v>28006.8671875001</v>
      </c>
      <c r="CC71" s="59">
        <f t="shared" si="64"/>
        <v>28006.8671875001</v>
      </c>
      <c r="CD71" s="59">
        <f t="shared" si="65"/>
        <v>4719.06250000003</v>
      </c>
    </row>
    <row r="72" s="372" customFormat="1" ht="27" customHeight="1" spans="1:82">
      <c r="A72" s="428">
        <v>46203</v>
      </c>
      <c r="B72" s="429" t="s">
        <v>1837</v>
      </c>
      <c r="C72" s="430" t="s">
        <v>396</v>
      </c>
      <c r="D72" s="431">
        <v>4500214285</v>
      </c>
      <c r="E72" s="430" t="s">
        <v>1838</v>
      </c>
      <c r="F72" s="429" t="s">
        <v>1839</v>
      </c>
      <c r="G72" s="432" t="s">
        <v>188</v>
      </c>
      <c r="H72" s="429" t="s">
        <v>120</v>
      </c>
      <c r="I72" s="433">
        <v>1020</v>
      </c>
      <c r="J72" s="433">
        <v>0</v>
      </c>
      <c r="K72" s="433">
        <v>12</v>
      </c>
      <c r="L72" s="433">
        <f t="shared" ref="L71:L115" si="122">I72/K72</f>
        <v>85</v>
      </c>
      <c r="M72" s="434">
        <v>46241</v>
      </c>
      <c r="N72" s="434">
        <v>46242</v>
      </c>
      <c r="O72" s="435"/>
      <c r="P72" s="458" t="s">
        <v>107</v>
      </c>
      <c r="Q72" s="435"/>
      <c r="R72" s="448">
        <v>46213</v>
      </c>
      <c r="S72" s="437" t="s">
        <v>80</v>
      </c>
      <c r="T72" s="435" t="s">
        <v>1840</v>
      </c>
      <c r="U72" s="435"/>
      <c r="V72" s="435"/>
      <c r="W72" s="435"/>
      <c r="X72" s="438" t="s">
        <v>1841</v>
      </c>
      <c r="Y72" s="434" t="s">
        <v>1842</v>
      </c>
      <c r="Z72" s="450">
        <v>1.6018</v>
      </c>
      <c r="AA72" s="433">
        <f t="shared" ref="AA71:AA95" si="123">Z72*I72</f>
        <v>1633.836</v>
      </c>
      <c r="AB72" s="459"/>
      <c r="AC72" s="460">
        <f>1008+12</f>
        <v>1020</v>
      </c>
      <c r="AD72" s="420">
        <f t="shared" si="114"/>
        <v>0</v>
      </c>
      <c r="AE72" s="435"/>
      <c r="AF72" s="435" t="s">
        <v>114</v>
      </c>
      <c r="AG72" s="432" t="s">
        <v>188</v>
      </c>
      <c r="AH72" s="434" t="s">
        <v>115</v>
      </c>
      <c r="AI72" s="441">
        <f t="shared" ref="AI72:AI81" si="124">I72*2</f>
        <v>2040</v>
      </c>
      <c r="AJ72" s="441"/>
      <c r="AK72" s="441">
        <f t="shared" ref="AK72:AK81" si="125">I72*2</f>
        <v>2040</v>
      </c>
      <c r="AL72" s="441"/>
      <c r="AM72" s="441"/>
      <c r="AN72" s="441">
        <f t="shared" ref="AN72:AN81" si="126">I72*2</f>
        <v>2040</v>
      </c>
      <c r="AO72" s="441"/>
      <c r="AP72" s="441"/>
      <c r="AQ72" s="441">
        <f t="shared" ref="AQ72:AQ81" si="127">I72*2</f>
        <v>2040</v>
      </c>
      <c r="AR72" s="441"/>
      <c r="AS72" s="441"/>
      <c r="AT72" s="441"/>
      <c r="AU72" s="441"/>
      <c r="AV72" s="441"/>
      <c r="AW72" s="441"/>
      <c r="AX72" s="441"/>
      <c r="AY72" s="441"/>
      <c r="AZ72" s="441"/>
      <c r="BA72" s="441"/>
      <c r="BB72" s="441"/>
      <c r="BC72" s="441"/>
      <c r="BD72" s="441"/>
      <c r="BE72" s="441"/>
      <c r="BF72" s="441"/>
      <c r="BG72" s="441"/>
      <c r="BH72" s="441">
        <f t="shared" ref="BH72:BH81" si="128">I72</f>
        <v>1020</v>
      </c>
      <c r="BI72" s="441">
        <f t="shared" ref="BI72:BI81" si="129">I72</f>
        <v>1020</v>
      </c>
      <c r="BJ72" s="441"/>
      <c r="BK72" s="441"/>
      <c r="BL72" s="59">
        <f t="shared" ref="BL72:BL81" si="130">$I72*BL$2*2</f>
        <v>249.687499999999</v>
      </c>
      <c r="BM72" s="59">
        <f t="shared" ref="BM72:BM81" si="131">$I72*BM$2*2</f>
        <v>249.687499999999</v>
      </c>
      <c r="BN72" s="59">
        <f t="shared" ref="BN72:BN81" si="132">$I72*BN$2*2</f>
        <v>249.687499999999</v>
      </c>
      <c r="BO72" s="59">
        <f t="shared" ref="BO72:BO81" si="133">$I72*BO$2*2</f>
        <v>249.687499999999</v>
      </c>
      <c r="BP72" s="59">
        <f t="shared" ref="BP72:BP81" si="134">$I72*BP$2*2</f>
        <v>249.687499999999</v>
      </c>
      <c r="BQ72" s="59">
        <f t="shared" ref="BQ72:BQ81" si="135">$I72*BQ$2*2</f>
        <v>249.687499999999</v>
      </c>
      <c r="BR72" s="59">
        <f t="shared" ref="BR72:BR81" si="136">$I72*BR$2*2</f>
        <v>249.687499999999</v>
      </c>
      <c r="BS72" s="59">
        <f t="shared" ref="BS72:BS81" si="137">$I72*BS$2*2</f>
        <v>249.687499999999</v>
      </c>
      <c r="BT72" s="59">
        <f t="shared" ref="BT72:BT81" si="138">$I72*BT$2*2</f>
        <v>42.4999999999999</v>
      </c>
      <c r="BV72" s="59">
        <f t="shared" si="57"/>
        <v>27757.1796875001</v>
      </c>
      <c r="BW72" s="59">
        <f t="shared" si="58"/>
        <v>27757.1796875001</v>
      </c>
      <c r="BX72" s="59">
        <f t="shared" si="59"/>
        <v>27757.1796875001</v>
      </c>
      <c r="BY72" s="59">
        <f t="shared" si="60"/>
        <v>27757.1796875001</v>
      </c>
      <c r="BZ72" s="59">
        <f t="shared" si="61"/>
        <v>27757.1796875001</v>
      </c>
      <c r="CA72" s="59">
        <f t="shared" si="62"/>
        <v>27757.1796875001</v>
      </c>
      <c r="CB72" s="59">
        <f t="shared" si="63"/>
        <v>27757.1796875001</v>
      </c>
      <c r="CC72" s="59">
        <f t="shared" si="64"/>
        <v>27757.1796875001</v>
      </c>
      <c r="CD72" s="59">
        <f t="shared" si="65"/>
        <v>4676.56250000003</v>
      </c>
    </row>
    <row r="73" s="372" customFormat="1" ht="27" customHeight="1" spans="1:82">
      <c r="A73" s="428">
        <v>46203</v>
      </c>
      <c r="B73" s="429" t="s">
        <v>1837</v>
      </c>
      <c r="C73" s="430" t="s">
        <v>396</v>
      </c>
      <c r="D73" s="431">
        <v>4500214285</v>
      </c>
      <c r="E73" s="430" t="s">
        <v>1843</v>
      </c>
      <c r="F73" s="429" t="s">
        <v>1844</v>
      </c>
      <c r="G73" s="432" t="s">
        <v>188</v>
      </c>
      <c r="H73" s="429" t="s">
        <v>120</v>
      </c>
      <c r="I73" s="433">
        <v>792</v>
      </c>
      <c r="J73" s="433">
        <v>0</v>
      </c>
      <c r="K73" s="433">
        <v>12</v>
      </c>
      <c r="L73" s="433">
        <f t="shared" si="122"/>
        <v>66</v>
      </c>
      <c r="M73" s="434">
        <v>46241</v>
      </c>
      <c r="N73" s="434">
        <v>46242</v>
      </c>
      <c r="O73" s="435"/>
      <c r="P73" s="458" t="s">
        <v>107</v>
      </c>
      <c r="Q73" s="435"/>
      <c r="R73" s="448">
        <v>46213</v>
      </c>
      <c r="S73" s="437" t="s">
        <v>80</v>
      </c>
      <c r="T73" s="435" t="s">
        <v>1840</v>
      </c>
      <c r="U73" s="435"/>
      <c r="V73" s="435"/>
      <c r="W73" s="435"/>
      <c r="X73" s="438" t="s">
        <v>1841</v>
      </c>
      <c r="Y73" s="434" t="s">
        <v>1842</v>
      </c>
      <c r="Z73" s="450">
        <v>1.9571</v>
      </c>
      <c r="AA73" s="433">
        <f t="shared" si="123"/>
        <v>1550.0232</v>
      </c>
      <c r="AB73" s="459"/>
      <c r="AC73" s="460">
        <v>792</v>
      </c>
      <c r="AD73" s="420">
        <f t="shared" si="114"/>
        <v>0</v>
      </c>
      <c r="AE73" s="435"/>
      <c r="AF73" s="435" t="s">
        <v>114</v>
      </c>
      <c r="AG73" s="432" t="s">
        <v>188</v>
      </c>
      <c r="AH73" s="434" t="s">
        <v>115</v>
      </c>
      <c r="AI73" s="441">
        <f t="shared" si="124"/>
        <v>1584</v>
      </c>
      <c r="AJ73" s="441"/>
      <c r="AK73" s="441">
        <f t="shared" si="125"/>
        <v>1584</v>
      </c>
      <c r="AL73" s="441"/>
      <c r="AM73" s="441"/>
      <c r="AN73" s="441">
        <f t="shared" si="126"/>
        <v>1584</v>
      </c>
      <c r="AO73" s="441"/>
      <c r="AP73" s="441"/>
      <c r="AQ73" s="441">
        <f t="shared" si="127"/>
        <v>1584</v>
      </c>
      <c r="AR73" s="441"/>
      <c r="AS73" s="441"/>
      <c r="AT73" s="441"/>
      <c r="AU73" s="441"/>
      <c r="AV73" s="441"/>
      <c r="AW73" s="441"/>
      <c r="AX73" s="441"/>
      <c r="AY73" s="441"/>
      <c r="AZ73" s="441"/>
      <c r="BA73" s="441"/>
      <c r="BB73" s="441"/>
      <c r="BC73" s="441"/>
      <c r="BD73" s="441"/>
      <c r="BE73" s="441"/>
      <c r="BF73" s="441"/>
      <c r="BG73" s="441"/>
      <c r="BH73" s="441">
        <f t="shared" si="128"/>
        <v>792</v>
      </c>
      <c r="BI73" s="441">
        <f t="shared" si="129"/>
        <v>792</v>
      </c>
      <c r="BJ73" s="441"/>
      <c r="BK73" s="441"/>
      <c r="BL73" s="59">
        <f t="shared" si="130"/>
        <v>193.874999999999</v>
      </c>
      <c r="BM73" s="59">
        <f t="shared" si="131"/>
        <v>193.874999999999</v>
      </c>
      <c r="BN73" s="59">
        <f t="shared" si="132"/>
        <v>193.874999999999</v>
      </c>
      <c r="BO73" s="59">
        <f t="shared" si="133"/>
        <v>193.874999999999</v>
      </c>
      <c r="BP73" s="59">
        <f t="shared" si="134"/>
        <v>193.874999999999</v>
      </c>
      <c r="BQ73" s="59">
        <f t="shared" si="135"/>
        <v>193.874999999999</v>
      </c>
      <c r="BR73" s="59">
        <f t="shared" si="136"/>
        <v>193.874999999999</v>
      </c>
      <c r="BS73" s="59">
        <f t="shared" si="137"/>
        <v>193.874999999999</v>
      </c>
      <c r="BT73" s="59">
        <f t="shared" si="138"/>
        <v>33</v>
      </c>
      <c r="BV73" s="59">
        <f t="shared" ref="BV69:BV115" si="139">BV72-BL73</f>
        <v>27563.3046875001</v>
      </c>
      <c r="BW73" s="59">
        <f t="shared" ref="BW69:BW115" si="140">BW72-BM73</f>
        <v>27563.3046875001</v>
      </c>
      <c r="BX73" s="59">
        <f t="shared" ref="BX69:BX115" si="141">BX72-BN73</f>
        <v>27563.3046875001</v>
      </c>
      <c r="BY73" s="59">
        <f t="shared" ref="BY69:BY115" si="142">BY72-BO73</f>
        <v>27563.3046875001</v>
      </c>
      <c r="BZ73" s="59">
        <f t="shared" ref="BZ69:BZ115" si="143">BZ72-BP73</f>
        <v>27563.3046875001</v>
      </c>
      <c r="CA73" s="59">
        <f t="shared" ref="CA69:CA115" si="144">CA72-BQ73</f>
        <v>27563.3046875001</v>
      </c>
      <c r="CB73" s="59">
        <f t="shared" ref="CB69:CB115" si="145">CB72-BR73</f>
        <v>27563.3046875001</v>
      </c>
      <c r="CC73" s="59">
        <f t="shared" ref="CC69:CC115" si="146">CC72-BS73</f>
        <v>27563.3046875001</v>
      </c>
      <c r="CD73" s="59">
        <f t="shared" ref="CD69:CD115" si="147">CD72-BT73</f>
        <v>4643.56250000003</v>
      </c>
    </row>
    <row r="74" s="372" customFormat="1" ht="27" customHeight="1" spans="1:82">
      <c r="A74" s="428">
        <v>46203</v>
      </c>
      <c r="B74" s="429" t="s">
        <v>1837</v>
      </c>
      <c r="C74" s="430" t="s">
        <v>396</v>
      </c>
      <c r="D74" s="431">
        <v>4500214285</v>
      </c>
      <c r="E74" s="430" t="s">
        <v>1845</v>
      </c>
      <c r="F74" s="429" t="s">
        <v>1846</v>
      </c>
      <c r="G74" s="432" t="s">
        <v>188</v>
      </c>
      <c r="H74" s="429" t="s">
        <v>120</v>
      </c>
      <c r="I74" s="433">
        <v>684</v>
      </c>
      <c r="J74" s="433">
        <v>0</v>
      </c>
      <c r="K74" s="433">
        <v>12</v>
      </c>
      <c r="L74" s="433">
        <f t="shared" si="122"/>
        <v>57</v>
      </c>
      <c r="M74" s="434">
        <v>46241</v>
      </c>
      <c r="N74" s="434">
        <v>46242</v>
      </c>
      <c r="O74" s="435"/>
      <c r="P74" s="458" t="s">
        <v>107</v>
      </c>
      <c r="Q74" s="435"/>
      <c r="R74" s="448">
        <v>46213</v>
      </c>
      <c r="S74" s="437" t="s">
        <v>80</v>
      </c>
      <c r="T74" s="435" t="s">
        <v>1840</v>
      </c>
      <c r="U74" s="435"/>
      <c r="V74" s="435"/>
      <c r="W74" s="435"/>
      <c r="X74" s="438" t="s">
        <v>1841</v>
      </c>
      <c r="Y74" s="434" t="s">
        <v>1842</v>
      </c>
      <c r="Z74" s="450">
        <v>1.9571</v>
      </c>
      <c r="AA74" s="433">
        <f t="shared" si="123"/>
        <v>1338.6564</v>
      </c>
      <c r="AB74" s="459"/>
      <c r="AC74" s="460">
        <v>684</v>
      </c>
      <c r="AD74" s="420">
        <f t="shared" si="114"/>
        <v>0</v>
      </c>
      <c r="AE74" s="435"/>
      <c r="AF74" s="435" t="s">
        <v>114</v>
      </c>
      <c r="AG74" s="432" t="s">
        <v>188</v>
      </c>
      <c r="AH74" s="434" t="s">
        <v>115</v>
      </c>
      <c r="AI74" s="441">
        <f t="shared" si="124"/>
        <v>1368</v>
      </c>
      <c r="AJ74" s="441"/>
      <c r="AK74" s="441">
        <f t="shared" si="125"/>
        <v>1368</v>
      </c>
      <c r="AL74" s="441"/>
      <c r="AM74" s="441"/>
      <c r="AN74" s="441">
        <f t="shared" si="126"/>
        <v>1368</v>
      </c>
      <c r="AO74" s="441"/>
      <c r="AP74" s="441"/>
      <c r="AQ74" s="441">
        <f t="shared" si="127"/>
        <v>1368</v>
      </c>
      <c r="AR74" s="441"/>
      <c r="AS74" s="441"/>
      <c r="AT74" s="441"/>
      <c r="AU74" s="441"/>
      <c r="AV74" s="441"/>
      <c r="AW74" s="441"/>
      <c r="AX74" s="441"/>
      <c r="AY74" s="441"/>
      <c r="AZ74" s="441"/>
      <c r="BA74" s="441"/>
      <c r="BB74" s="441"/>
      <c r="BC74" s="441"/>
      <c r="BD74" s="441"/>
      <c r="BE74" s="441"/>
      <c r="BF74" s="441"/>
      <c r="BG74" s="441"/>
      <c r="BH74" s="441">
        <f t="shared" si="128"/>
        <v>684</v>
      </c>
      <c r="BI74" s="441">
        <f t="shared" si="129"/>
        <v>684</v>
      </c>
      <c r="BJ74" s="441"/>
      <c r="BK74" s="441"/>
      <c r="BL74" s="59">
        <f t="shared" si="130"/>
        <v>167.4375</v>
      </c>
      <c r="BM74" s="59">
        <f t="shared" si="131"/>
        <v>167.4375</v>
      </c>
      <c r="BN74" s="59">
        <f t="shared" si="132"/>
        <v>167.4375</v>
      </c>
      <c r="BO74" s="59">
        <f t="shared" si="133"/>
        <v>167.4375</v>
      </c>
      <c r="BP74" s="59">
        <f t="shared" si="134"/>
        <v>167.4375</v>
      </c>
      <c r="BQ74" s="59">
        <f t="shared" si="135"/>
        <v>167.4375</v>
      </c>
      <c r="BR74" s="59">
        <f t="shared" si="136"/>
        <v>167.4375</v>
      </c>
      <c r="BS74" s="59">
        <f t="shared" si="137"/>
        <v>167.4375</v>
      </c>
      <c r="BT74" s="59">
        <f t="shared" si="138"/>
        <v>28.5</v>
      </c>
      <c r="BV74" s="59">
        <f t="shared" si="139"/>
        <v>27395.8671875001</v>
      </c>
      <c r="BW74" s="59">
        <f t="shared" si="140"/>
        <v>27395.8671875001</v>
      </c>
      <c r="BX74" s="59">
        <f t="shared" si="141"/>
        <v>27395.8671875001</v>
      </c>
      <c r="BY74" s="59">
        <f t="shared" si="142"/>
        <v>27395.8671875001</v>
      </c>
      <c r="BZ74" s="59">
        <f t="shared" si="143"/>
        <v>27395.8671875001</v>
      </c>
      <c r="CA74" s="59">
        <f t="shared" si="144"/>
        <v>27395.8671875001</v>
      </c>
      <c r="CB74" s="59">
        <f t="shared" si="145"/>
        <v>27395.8671875001</v>
      </c>
      <c r="CC74" s="59">
        <f t="shared" si="146"/>
        <v>27395.8671875001</v>
      </c>
      <c r="CD74" s="59">
        <f t="shared" si="147"/>
        <v>4615.06250000003</v>
      </c>
    </row>
    <row r="75" s="372" customFormat="1" ht="27" customHeight="1" spans="1:82">
      <c r="A75" s="428">
        <v>46203</v>
      </c>
      <c r="B75" s="429" t="s">
        <v>1837</v>
      </c>
      <c r="C75" s="430" t="s">
        <v>396</v>
      </c>
      <c r="D75" s="431">
        <v>4500214285</v>
      </c>
      <c r="E75" s="430" t="s">
        <v>1847</v>
      </c>
      <c r="F75" s="429" t="s">
        <v>1848</v>
      </c>
      <c r="G75" s="432" t="s">
        <v>188</v>
      </c>
      <c r="H75" s="429" t="s">
        <v>120</v>
      </c>
      <c r="I75" s="433">
        <v>1488</v>
      </c>
      <c r="J75" s="433">
        <v>0</v>
      </c>
      <c r="K75" s="433">
        <v>12</v>
      </c>
      <c r="L75" s="433">
        <f t="shared" si="122"/>
        <v>124</v>
      </c>
      <c r="M75" s="434">
        <v>46241</v>
      </c>
      <c r="N75" s="434">
        <v>46242</v>
      </c>
      <c r="O75" s="435"/>
      <c r="P75" s="458" t="s">
        <v>107</v>
      </c>
      <c r="Q75" s="435"/>
      <c r="R75" s="448">
        <v>46213</v>
      </c>
      <c r="S75" s="437" t="s">
        <v>80</v>
      </c>
      <c r="T75" s="435" t="s">
        <v>1840</v>
      </c>
      <c r="U75" s="435"/>
      <c r="V75" s="435"/>
      <c r="W75" s="435"/>
      <c r="X75" s="438" t="s">
        <v>1841</v>
      </c>
      <c r="Y75" s="434" t="s">
        <v>1842</v>
      </c>
      <c r="Z75" s="450">
        <v>1.6018</v>
      </c>
      <c r="AA75" s="433">
        <f t="shared" si="123"/>
        <v>2383.4784</v>
      </c>
      <c r="AB75" s="459"/>
      <c r="AC75" s="460">
        <v>1488</v>
      </c>
      <c r="AD75" s="420">
        <f t="shared" si="114"/>
        <v>0</v>
      </c>
      <c r="AE75" s="435"/>
      <c r="AF75" s="435" t="s">
        <v>114</v>
      </c>
      <c r="AG75" s="432" t="s">
        <v>188</v>
      </c>
      <c r="AH75" s="434" t="s">
        <v>115</v>
      </c>
      <c r="AI75" s="441">
        <f t="shared" si="124"/>
        <v>2976</v>
      </c>
      <c r="AJ75" s="441"/>
      <c r="AK75" s="441">
        <f t="shared" si="125"/>
        <v>2976</v>
      </c>
      <c r="AL75" s="441"/>
      <c r="AM75" s="441"/>
      <c r="AN75" s="441">
        <f t="shared" si="126"/>
        <v>2976</v>
      </c>
      <c r="AO75" s="441"/>
      <c r="AP75" s="441"/>
      <c r="AQ75" s="441">
        <f t="shared" si="127"/>
        <v>2976</v>
      </c>
      <c r="AR75" s="441"/>
      <c r="AS75" s="441"/>
      <c r="AT75" s="441"/>
      <c r="AU75" s="441"/>
      <c r="AV75" s="441"/>
      <c r="AW75" s="441"/>
      <c r="AX75" s="441"/>
      <c r="AY75" s="441"/>
      <c r="AZ75" s="441"/>
      <c r="BA75" s="441"/>
      <c r="BB75" s="441"/>
      <c r="BC75" s="441"/>
      <c r="BD75" s="441"/>
      <c r="BE75" s="441"/>
      <c r="BF75" s="441"/>
      <c r="BG75" s="441"/>
      <c r="BH75" s="441">
        <f t="shared" si="128"/>
        <v>1488</v>
      </c>
      <c r="BI75" s="441">
        <f t="shared" si="129"/>
        <v>1488</v>
      </c>
      <c r="BJ75" s="441"/>
      <c r="BK75" s="441"/>
      <c r="BL75" s="59">
        <f t="shared" si="130"/>
        <v>364.249999999999</v>
      </c>
      <c r="BM75" s="59">
        <f t="shared" si="131"/>
        <v>364.249999999999</v>
      </c>
      <c r="BN75" s="59">
        <f t="shared" si="132"/>
        <v>364.249999999999</v>
      </c>
      <c r="BO75" s="59">
        <f t="shared" si="133"/>
        <v>364.249999999999</v>
      </c>
      <c r="BP75" s="59">
        <f t="shared" si="134"/>
        <v>364.249999999999</v>
      </c>
      <c r="BQ75" s="59">
        <f t="shared" si="135"/>
        <v>364.249999999999</v>
      </c>
      <c r="BR75" s="59">
        <f t="shared" si="136"/>
        <v>364.249999999999</v>
      </c>
      <c r="BS75" s="59">
        <f t="shared" si="137"/>
        <v>364.249999999999</v>
      </c>
      <c r="BT75" s="59">
        <f t="shared" si="138"/>
        <v>61.9999999999999</v>
      </c>
      <c r="BV75" s="59">
        <f t="shared" si="139"/>
        <v>27031.6171875001</v>
      </c>
      <c r="BW75" s="59">
        <f t="shared" si="140"/>
        <v>27031.6171875001</v>
      </c>
      <c r="BX75" s="59">
        <f t="shared" si="141"/>
        <v>27031.6171875001</v>
      </c>
      <c r="BY75" s="59">
        <f t="shared" si="142"/>
        <v>27031.6171875001</v>
      </c>
      <c r="BZ75" s="59">
        <f t="shared" si="143"/>
        <v>27031.6171875001</v>
      </c>
      <c r="CA75" s="59">
        <f t="shared" si="144"/>
        <v>27031.6171875001</v>
      </c>
      <c r="CB75" s="59">
        <f t="shared" si="145"/>
        <v>27031.6171875001</v>
      </c>
      <c r="CC75" s="59">
        <f t="shared" si="146"/>
        <v>27031.6171875001</v>
      </c>
      <c r="CD75" s="59">
        <f t="shared" si="147"/>
        <v>4553.06250000003</v>
      </c>
    </row>
    <row r="76" s="372" customFormat="1" ht="27" customHeight="1" spans="1:82">
      <c r="A76" s="428">
        <v>46203</v>
      </c>
      <c r="B76" s="429" t="s">
        <v>1837</v>
      </c>
      <c r="C76" s="430" t="s">
        <v>396</v>
      </c>
      <c r="D76" s="431">
        <v>4500214285</v>
      </c>
      <c r="E76" s="430" t="s">
        <v>1849</v>
      </c>
      <c r="F76" s="429" t="s">
        <v>1850</v>
      </c>
      <c r="G76" s="432" t="s">
        <v>188</v>
      </c>
      <c r="H76" s="429" t="s">
        <v>120</v>
      </c>
      <c r="I76" s="433">
        <v>804</v>
      </c>
      <c r="J76" s="433">
        <v>0</v>
      </c>
      <c r="K76" s="433">
        <v>12</v>
      </c>
      <c r="L76" s="433">
        <f t="shared" si="122"/>
        <v>67</v>
      </c>
      <c r="M76" s="434">
        <v>46241</v>
      </c>
      <c r="N76" s="434">
        <v>46242</v>
      </c>
      <c r="O76" s="435"/>
      <c r="P76" s="458" t="s">
        <v>107</v>
      </c>
      <c r="Q76" s="435"/>
      <c r="R76" s="448">
        <v>46213</v>
      </c>
      <c r="S76" s="437" t="s">
        <v>80</v>
      </c>
      <c r="T76" s="435" t="s">
        <v>1840</v>
      </c>
      <c r="U76" s="435"/>
      <c r="V76" s="435"/>
      <c r="W76" s="435"/>
      <c r="X76" s="438" t="s">
        <v>1841</v>
      </c>
      <c r="Y76" s="434" t="s">
        <v>1842</v>
      </c>
      <c r="Z76" s="450">
        <v>1.9571</v>
      </c>
      <c r="AA76" s="433">
        <f t="shared" si="123"/>
        <v>1573.5084</v>
      </c>
      <c r="AB76" s="459"/>
      <c r="AC76" s="460">
        <v>804</v>
      </c>
      <c r="AD76" s="420">
        <f t="shared" si="114"/>
        <v>0</v>
      </c>
      <c r="AE76" s="435"/>
      <c r="AF76" s="435" t="s">
        <v>114</v>
      </c>
      <c r="AG76" s="432" t="s">
        <v>188</v>
      </c>
      <c r="AH76" s="434" t="s">
        <v>115</v>
      </c>
      <c r="AI76" s="441">
        <f t="shared" si="124"/>
        <v>1608</v>
      </c>
      <c r="AJ76" s="441"/>
      <c r="AK76" s="441">
        <f t="shared" si="125"/>
        <v>1608</v>
      </c>
      <c r="AL76" s="441"/>
      <c r="AM76" s="441"/>
      <c r="AN76" s="441">
        <f t="shared" si="126"/>
        <v>1608</v>
      </c>
      <c r="AO76" s="441"/>
      <c r="AP76" s="441"/>
      <c r="AQ76" s="441">
        <f t="shared" si="127"/>
        <v>1608</v>
      </c>
      <c r="AR76" s="441"/>
      <c r="AS76" s="441"/>
      <c r="AT76" s="441"/>
      <c r="AU76" s="441"/>
      <c r="AV76" s="441"/>
      <c r="AW76" s="441"/>
      <c r="AX76" s="441"/>
      <c r="AY76" s="441"/>
      <c r="AZ76" s="441"/>
      <c r="BA76" s="441"/>
      <c r="BB76" s="441"/>
      <c r="BC76" s="441"/>
      <c r="BD76" s="441"/>
      <c r="BE76" s="441"/>
      <c r="BF76" s="441"/>
      <c r="BG76" s="441"/>
      <c r="BH76" s="441">
        <f t="shared" si="128"/>
        <v>804</v>
      </c>
      <c r="BI76" s="441">
        <f t="shared" si="129"/>
        <v>804</v>
      </c>
      <c r="BJ76" s="441"/>
      <c r="BK76" s="441"/>
      <c r="BL76" s="59">
        <f t="shared" si="130"/>
        <v>196.812499999999</v>
      </c>
      <c r="BM76" s="59">
        <f t="shared" si="131"/>
        <v>196.812499999999</v>
      </c>
      <c r="BN76" s="59">
        <f t="shared" si="132"/>
        <v>196.812499999999</v>
      </c>
      <c r="BO76" s="59">
        <f t="shared" si="133"/>
        <v>196.812499999999</v>
      </c>
      <c r="BP76" s="59">
        <f t="shared" si="134"/>
        <v>196.812499999999</v>
      </c>
      <c r="BQ76" s="59">
        <f t="shared" si="135"/>
        <v>196.812499999999</v>
      </c>
      <c r="BR76" s="59">
        <f t="shared" si="136"/>
        <v>196.812499999999</v>
      </c>
      <c r="BS76" s="59">
        <f t="shared" si="137"/>
        <v>196.812499999999</v>
      </c>
      <c r="BT76" s="59">
        <f t="shared" si="138"/>
        <v>33.5</v>
      </c>
      <c r="BV76" s="59">
        <f t="shared" si="139"/>
        <v>26834.8046875001</v>
      </c>
      <c r="BW76" s="59">
        <f t="shared" si="140"/>
        <v>26834.8046875001</v>
      </c>
      <c r="BX76" s="59">
        <f t="shared" si="141"/>
        <v>26834.8046875001</v>
      </c>
      <c r="BY76" s="59">
        <f t="shared" si="142"/>
        <v>26834.8046875001</v>
      </c>
      <c r="BZ76" s="59">
        <f t="shared" si="143"/>
        <v>26834.8046875001</v>
      </c>
      <c r="CA76" s="59">
        <f t="shared" si="144"/>
        <v>26834.8046875001</v>
      </c>
      <c r="CB76" s="59">
        <f t="shared" si="145"/>
        <v>26834.8046875001</v>
      </c>
      <c r="CC76" s="59">
        <f t="shared" si="146"/>
        <v>26834.8046875001</v>
      </c>
      <c r="CD76" s="59">
        <f t="shared" si="147"/>
        <v>4519.56250000003</v>
      </c>
    </row>
    <row r="77" s="372" customFormat="1" ht="27" customHeight="1" spans="1:82">
      <c r="A77" s="428">
        <v>46203</v>
      </c>
      <c r="B77" s="429" t="s">
        <v>1837</v>
      </c>
      <c r="C77" s="430" t="s">
        <v>396</v>
      </c>
      <c r="D77" s="431">
        <v>4500214285</v>
      </c>
      <c r="E77" s="430" t="s">
        <v>1851</v>
      </c>
      <c r="F77" s="429" t="s">
        <v>1852</v>
      </c>
      <c r="G77" s="432" t="s">
        <v>188</v>
      </c>
      <c r="H77" s="429" t="s">
        <v>120</v>
      </c>
      <c r="I77" s="433">
        <v>1344</v>
      </c>
      <c r="J77" s="433">
        <v>0</v>
      </c>
      <c r="K77" s="433">
        <v>12</v>
      </c>
      <c r="L77" s="433">
        <f t="shared" si="122"/>
        <v>112</v>
      </c>
      <c r="M77" s="434">
        <v>46241</v>
      </c>
      <c r="N77" s="434">
        <v>46242</v>
      </c>
      <c r="O77" s="435"/>
      <c r="P77" s="458" t="s">
        <v>107</v>
      </c>
      <c r="Q77" s="435"/>
      <c r="R77" s="448">
        <v>46213</v>
      </c>
      <c r="S77" s="437" t="s">
        <v>80</v>
      </c>
      <c r="T77" s="435" t="s">
        <v>1840</v>
      </c>
      <c r="U77" s="435"/>
      <c r="V77" s="435"/>
      <c r="W77" s="435"/>
      <c r="X77" s="438" t="s">
        <v>1841</v>
      </c>
      <c r="Y77" s="434" t="s">
        <v>1842</v>
      </c>
      <c r="Z77" s="450">
        <v>1.6018</v>
      </c>
      <c r="AA77" s="433">
        <f t="shared" si="123"/>
        <v>2152.8192</v>
      </c>
      <c r="AB77" s="459"/>
      <c r="AC77" s="460">
        <v>1344</v>
      </c>
      <c r="AD77" s="420">
        <f t="shared" si="114"/>
        <v>0</v>
      </c>
      <c r="AE77" s="435"/>
      <c r="AF77" s="435" t="s">
        <v>114</v>
      </c>
      <c r="AG77" s="432" t="s">
        <v>188</v>
      </c>
      <c r="AH77" s="434" t="s">
        <v>115</v>
      </c>
      <c r="AI77" s="441">
        <f t="shared" si="124"/>
        <v>2688</v>
      </c>
      <c r="AJ77" s="441"/>
      <c r="AK77" s="441">
        <f t="shared" si="125"/>
        <v>2688</v>
      </c>
      <c r="AL77" s="441"/>
      <c r="AM77" s="441"/>
      <c r="AN77" s="441">
        <f t="shared" si="126"/>
        <v>2688</v>
      </c>
      <c r="AO77" s="441"/>
      <c r="AP77" s="441"/>
      <c r="AQ77" s="441">
        <f t="shared" si="127"/>
        <v>2688</v>
      </c>
      <c r="AR77" s="441"/>
      <c r="AS77" s="441"/>
      <c r="AT77" s="441"/>
      <c r="AU77" s="441"/>
      <c r="AV77" s="441"/>
      <c r="AW77" s="441"/>
      <c r="AX77" s="441"/>
      <c r="AY77" s="441"/>
      <c r="AZ77" s="441"/>
      <c r="BA77" s="441"/>
      <c r="BB77" s="441"/>
      <c r="BC77" s="441"/>
      <c r="BD77" s="441"/>
      <c r="BE77" s="441"/>
      <c r="BF77" s="441"/>
      <c r="BG77" s="441"/>
      <c r="BH77" s="441">
        <f t="shared" si="128"/>
        <v>1344</v>
      </c>
      <c r="BI77" s="441">
        <f t="shared" si="129"/>
        <v>1344</v>
      </c>
      <c r="BJ77" s="441"/>
      <c r="BK77" s="441"/>
      <c r="BL77" s="59">
        <f t="shared" si="130"/>
        <v>328.999999999999</v>
      </c>
      <c r="BM77" s="59">
        <f t="shared" si="131"/>
        <v>328.999999999999</v>
      </c>
      <c r="BN77" s="59">
        <f t="shared" si="132"/>
        <v>328.999999999999</v>
      </c>
      <c r="BO77" s="59">
        <f t="shared" si="133"/>
        <v>328.999999999999</v>
      </c>
      <c r="BP77" s="59">
        <f t="shared" si="134"/>
        <v>328.999999999999</v>
      </c>
      <c r="BQ77" s="59">
        <f t="shared" si="135"/>
        <v>328.999999999999</v>
      </c>
      <c r="BR77" s="59">
        <f t="shared" si="136"/>
        <v>328.999999999999</v>
      </c>
      <c r="BS77" s="59">
        <f t="shared" si="137"/>
        <v>328.999999999999</v>
      </c>
      <c r="BT77" s="59">
        <f t="shared" si="138"/>
        <v>55.9999999999999</v>
      </c>
      <c r="BV77" s="59">
        <f t="shared" si="139"/>
        <v>26505.8046875001</v>
      </c>
      <c r="BW77" s="59">
        <f t="shared" si="140"/>
        <v>26505.8046875001</v>
      </c>
      <c r="BX77" s="59">
        <f t="shared" si="141"/>
        <v>26505.8046875001</v>
      </c>
      <c r="BY77" s="59">
        <f t="shared" si="142"/>
        <v>26505.8046875001</v>
      </c>
      <c r="BZ77" s="59">
        <f t="shared" si="143"/>
        <v>26505.8046875001</v>
      </c>
      <c r="CA77" s="59">
        <f t="shared" si="144"/>
        <v>26505.8046875001</v>
      </c>
      <c r="CB77" s="59">
        <f t="shared" si="145"/>
        <v>26505.8046875001</v>
      </c>
      <c r="CC77" s="59">
        <f t="shared" si="146"/>
        <v>26505.8046875001</v>
      </c>
      <c r="CD77" s="59">
        <f t="shared" si="147"/>
        <v>4463.56250000003</v>
      </c>
    </row>
    <row r="78" s="372" customFormat="1" ht="27" customHeight="1" spans="1:82">
      <c r="A78" s="428">
        <v>46203</v>
      </c>
      <c r="B78" s="429" t="s">
        <v>1837</v>
      </c>
      <c r="C78" s="430" t="s">
        <v>396</v>
      </c>
      <c r="D78" s="431">
        <v>4500214285</v>
      </c>
      <c r="E78" s="430" t="s">
        <v>1853</v>
      </c>
      <c r="F78" s="429" t="s">
        <v>1854</v>
      </c>
      <c r="G78" s="432" t="s">
        <v>188</v>
      </c>
      <c r="H78" s="429" t="s">
        <v>120</v>
      </c>
      <c r="I78" s="433">
        <v>300</v>
      </c>
      <c r="J78" s="433">
        <v>0</v>
      </c>
      <c r="K78" s="433">
        <v>12</v>
      </c>
      <c r="L78" s="433">
        <f t="shared" si="122"/>
        <v>25</v>
      </c>
      <c r="M78" s="434">
        <v>46241</v>
      </c>
      <c r="N78" s="434">
        <v>46242</v>
      </c>
      <c r="O78" s="435"/>
      <c r="P78" s="458" t="s">
        <v>107</v>
      </c>
      <c r="Q78" s="435"/>
      <c r="R78" s="448">
        <v>46213</v>
      </c>
      <c r="S78" s="437" t="s">
        <v>80</v>
      </c>
      <c r="T78" s="435" t="s">
        <v>1840</v>
      </c>
      <c r="U78" s="435"/>
      <c r="V78" s="435"/>
      <c r="W78" s="435"/>
      <c r="X78" s="438" t="s">
        <v>1841</v>
      </c>
      <c r="Y78" s="434" t="s">
        <v>1842</v>
      </c>
      <c r="Z78" s="450">
        <v>1.9571</v>
      </c>
      <c r="AA78" s="433">
        <f t="shared" si="123"/>
        <v>587.13</v>
      </c>
      <c r="AB78" s="459"/>
      <c r="AC78" s="460">
        <v>300</v>
      </c>
      <c r="AD78" s="420">
        <f t="shared" si="114"/>
        <v>0</v>
      </c>
      <c r="AE78" s="435"/>
      <c r="AF78" s="435" t="s">
        <v>114</v>
      </c>
      <c r="AG78" s="432" t="s">
        <v>188</v>
      </c>
      <c r="AH78" s="434" t="s">
        <v>115</v>
      </c>
      <c r="AI78" s="441">
        <f t="shared" si="124"/>
        <v>600</v>
      </c>
      <c r="AJ78" s="441"/>
      <c r="AK78" s="441">
        <f t="shared" si="125"/>
        <v>600</v>
      </c>
      <c r="AL78" s="441"/>
      <c r="AM78" s="441"/>
      <c r="AN78" s="441">
        <f t="shared" si="126"/>
        <v>600</v>
      </c>
      <c r="AO78" s="441"/>
      <c r="AP78" s="441"/>
      <c r="AQ78" s="441">
        <f t="shared" si="127"/>
        <v>600</v>
      </c>
      <c r="AR78" s="441"/>
      <c r="AS78" s="441"/>
      <c r="AT78" s="441"/>
      <c r="AU78" s="441"/>
      <c r="AV78" s="441"/>
      <c r="AW78" s="441"/>
      <c r="AX78" s="441"/>
      <c r="AY78" s="441"/>
      <c r="AZ78" s="441"/>
      <c r="BA78" s="441"/>
      <c r="BB78" s="441"/>
      <c r="BC78" s="441"/>
      <c r="BD78" s="441"/>
      <c r="BE78" s="441"/>
      <c r="BF78" s="441"/>
      <c r="BG78" s="441"/>
      <c r="BH78" s="441">
        <f t="shared" si="128"/>
        <v>300</v>
      </c>
      <c r="BI78" s="441">
        <f t="shared" si="129"/>
        <v>300</v>
      </c>
      <c r="BJ78" s="441"/>
      <c r="BK78" s="441"/>
      <c r="BL78" s="59">
        <f t="shared" si="130"/>
        <v>73.4374999999998</v>
      </c>
      <c r="BM78" s="59">
        <f t="shared" si="131"/>
        <v>73.4374999999998</v>
      </c>
      <c r="BN78" s="59">
        <f t="shared" si="132"/>
        <v>73.4374999999998</v>
      </c>
      <c r="BO78" s="59">
        <f t="shared" si="133"/>
        <v>73.4374999999998</v>
      </c>
      <c r="BP78" s="59">
        <f t="shared" si="134"/>
        <v>73.4374999999998</v>
      </c>
      <c r="BQ78" s="59">
        <f t="shared" si="135"/>
        <v>73.4374999999998</v>
      </c>
      <c r="BR78" s="59">
        <f t="shared" si="136"/>
        <v>73.4374999999998</v>
      </c>
      <c r="BS78" s="59">
        <f t="shared" si="137"/>
        <v>73.4374999999998</v>
      </c>
      <c r="BT78" s="59">
        <f t="shared" si="138"/>
        <v>12.5</v>
      </c>
      <c r="BV78" s="59">
        <f t="shared" si="139"/>
        <v>26432.3671875001</v>
      </c>
      <c r="BW78" s="59">
        <f t="shared" si="140"/>
        <v>26432.3671875001</v>
      </c>
      <c r="BX78" s="59">
        <f t="shared" si="141"/>
        <v>26432.3671875001</v>
      </c>
      <c r="BY78" s="59">
        <f t="shared" si="142"/>
        <v>26432.3671875001</v>
      </c>
      <c r="BZ78" s="59">
        <f t="shared" si="143"/>
        <v>26432.3671875001</v>
      </c>
      <c r="CA78" s="59">
        <f t="shared" si="144"/>
        <v>26432.3671875001</v>
      </c>
      <c r="CB78" s="59">
        <f t="shared" si="145"/>
        <v>26432.3671875001</v>
      </c>
      <c r="CC78" s="59">
        <f t="shared" si="146"/>
        <v>26432.3671875001</v>
      </c>
      <c r="CD78" s="59">
        <f t="shared" si="147"/>
        <v>4451.06250000003</v>
      </c>
    </row>
    <row r="79" s="372" customFormat="1" ht="27" customHeight="1" spans="1:82">
      <c r="A79" s="428">
        <v>46203</v>
      </c>
      <c r="B79" s="429" t="s">
        <v>1837</v>
      </c>
      <c r="C79" s="430" t="s">
        <v>396</v>
      </c>
      <c r="D79" s="431">
        <v>4500214285</v>
      </c>
      <c r="E79" s="430" t="s">
        <v>1855</v>
      </c>
      <c r="F79" s="429" t="s">
        <v>1856</v>
      </c>
      <c r="G79" s="432" t="s">
        <v>188</v>
      </c>
      <c r="H79" s="429" t="s">
        <v>120</v>
      </c>
      <c r="I79" s="433">
        <v>1380</v>
      </c>
      <c r="J79" s="433">
        <v>0</v>
      </c>
      <c r="K79" s="433">
        <v>12</v>
      </c>
      <c r="L79" s="433">
        <f t="shared" si="122"/>
        <v>115</v>
      </c>
      <c r="M79" s="434">
        <v>46241</v>
      </c>
      <c r="N79" s="434">
        <v>46242</v>
      </c>
      <c r="O79" s="435"/>
      <c r="P79" s="458" t="s">
        <v>107</v>
      </c>
      <c r="Q79" s="435"/>
      <c r="R79" s="448">
        <v>46213</v>
      </c>
      <c r="S79" s="437" t="s">
        <v>80</v>
      </c>
      <c r="T79" s="435" t="s">
        <v>1840</v>
      </c>
      <c r="U79" s="435"/>
      <c r="V79" s="435"/>
      <c r="W79" s="435"/>
      <c r="X79" s="438" t="s">
        <v>1841</v>
      </c>
      <c r="Y79" s="434" t="s">
        <v>1842</v>
      </c>
      <c r="Z79" s="450">
        <v>1.6018</v>
      </c>
      <c r="AA79" s="433">
        <f t="shared" si="123"/>
        <v>2210.484</v>
      </c>
      <c r="AB79" s="459"/>
      <c r="AC79" s="460">
        <v>1380</v>
      </c>
      <c r="AD79" s="420">
        <f t="shared" si="114"/>
        <v>0</v>
      </c>
      <c r="AE79" s="435"/>
      <c r="AF79" s="435" t="s">
        <v>114</v>
      </c>
      <c r="AG79" s="432" t="s">
        <v>188</v>
      </c>
      <c r="AH79" s="434" t="s">
        <v>115</v>
      </c>
      <c r="AI79" s="441">
        <f t="shared" si="124"/>
        <v>2760</v>
      </c>
      <c r="AJ79" s="441"/>
      <c r="AK79" s="441">
        <f t="shared" si="125"/>
        <v>2760</v>
      </c>
      <c r="AL79" s="441"/>
      <c r="AM79" s="441"/>
      <c r="AN79" s="441">
        <f t="shared" si="126"/>
        <v>2760</v>
      </c>
      <c r="AO79" s="441"/>
      <c r="AP79" s="441"/>
      <c r="AQ79" s="441">
        <f t="shared" si="127"/>
        <v>2760</v>
      </c>
      <c r="AR79" s="441"/>
      <c r="AS79" s="441"/>
      <c r="AT79" s="441"/>
      <c r="AU79" s="441"/>
      <c r="AV79" s="441"/>
      <c r="AW79" s="441"/>
      <c r="AX79" s="441"/>
      <c r="AY79" s="441"/>
      <c r="AZ79" s="441"/>
      <c r="BA79" s="441"/>
      <c r="BB79" s="441"/>
      <c r="BC79" s="441"/>
      <c r="BD79" s="441"/>
      <c r="BE79" s="441"/>
      <c r="BF79" s="441"/>
      <c r="BG79" s="441"/>
      <c r="BH79" s="441">
        <f t="shared" si="128"/>
        <v>1380</v>
      </c>
      <c r="BI79" s="441">
        <f t="shared" si="129"/>
        <v>1380</v>
      </c>
      <c r="BJ79" s="441"/>
      <c r="BK79" s="441"/>
      <c r="BL79" s="59">
        <f t="shared" si="130"/>
        <v>337.812499999999</v>
      </c>
      <c r="BM79" s="59">
        <f t="shared" si="131"/>
        <v>337.812499999999</v>
      </c>
      <c r="BN79" s="59">
        <f t="shared" si="132"/>
        <v>337.812499999999</v>
      </c>
      <c r="BO79" s="59">
        <f t="shared" si="133"/>
        <v>337.812499999999</v>
      </c>
      <c r="BP79" s="59">
        <f t="shared" si="134"/>
        <v>337.812499999999</v>
      </c>
      <c r="BQ79" s="59">
        <f t="shared" si="135"/>
        <v>337.812499999999</v>
      </c>
      <c r="BR79" s="59">
        <f t="shared" si="136"/>
        <v>337.812499999999</v>
      </c>
      <c r="BS79" s="59">
        <f t="shared" si="137"/>
        <v>337.812499999999</v>
      </c>
      <c r="BT79" s="59">
        <f t="shared" si="138"/>
        <v>57.4999999999999</v>
      </c>
      <c r="BV79" s="59">
        <f t="shared" si="139"/>
        <v>26094.5546875001</v>
      </c>
      <c r="BW79" s="59">
        <f t="shared" si="140"/>
        <v>26094.5546875001</v>
      </c>
      <c r="BX79" s="59">
        <f t="shared" si="141"/>
        <v>26094.5546875001</v>
      </c>
      <c r="BY79" s="59">
        <f t="shared" si="142"/>
        <v>26094.5546875001</v>
      </c>
      <c r="BZ79" s="59">
        <f t="shared" si="143"/>
        <v>26094.5546875001</v>
      </c>
      <c r="CA79" s="59">
        <f t="shared" si="144"/>
        <v>26094.5546875001</v>
      </c>
      <c r="CB79" s="59">
        <f t="shared" si="145"/>
        <v>26094.5546875001</v>
      </c>
      <c r="CC79" s="59">
        <f t="shared" si="146"/>
        <v>26094.5546875001</v>
      </c>
      <c r="CD79" s="59">
        <f t="shared" si="147"/>
        <v>4393.56250000003</v>
      </c>
    </row>
    <row r="80" s="372" customFormat="1" ht="27" customHeight="1" spans="1:82">
      <c r="A80" s="428">
        <v>46203</v>
      </c>
      <c r="B80" s="429" t="s">
        <v>1837</v>
      </c>
      <c r="C80" s="430" t="s">
        <v>396</v>
      </c>
      <c r="D80" s="431">
        <v>4500214285</v>
      </c>
      <c r="E80" s="430" t="s">
        <v>1857</v>
      </c>
      <c r="F80" s="429" t="s">
        <v>1858</v>
      </c>
      <c r="G80" s="432" t="s">
        <v>188</v>
      </c>
      <c r="H80" s="429" t="s">
        <v>120</v>
      </c>
      <c r="I80" s="433">
        <v>1212</v>
      </c>
      <c r="J80" s="433">
        <v>0</v>
      </c>
      <c r="K80" s="433">
        <v>12</v>
      </c>
      <c r="L80" s="433">
        <f t="shared" si="122"/>
        <v>101</v>
      </c>
      <c r="M80" s="434">
        <v>46241</v>
      </c>
      <c r="N80" s="434">
        <v>46242</v>
      </c>
      <c r="O80" s="435"/>
      <c r="P80" s="458" t="s">
        <v>107</v>
      </c>
      <c r="Q80" s="435"/>
      <c r="R80" s="448">
        <v>46213</v>
      </c>
      <c r="S80" s="437" t="s">
        <v>80</v>
      </c>
      <c r="T80" s="435" t="s">
        <v>1840</v>
      </c>
      <c r="U80" s="435"/>
      <c r="V80" s="435"/>
      <c r="W80" s="435"/>
      <c r="X80" s="438" t="s">
        <v>1841</v>
      </c>
      <c r="Y80" s="434" t="s">
        <v>1842</v>
      </c>
      <c r="Z80" s="450">
        <v>1.6018</v>
      </c>
      <c r="AA80" s="433">
        <f t="shared" si="123"/>
        <v>1941.3816</v>
      </c>
      <c r="AB80" s="459"/>
      <c r="AC80" s="460">
        <v>1212</v>
      </c>
      <c r="AD80" s="420">
        <f t="shared" si="114"/>
        <v>0</v>
      </c>
      <c r="AE80" s="435"/>
      <c r="AF80" s="435" t="s">
        <v>114</v>
      </c>
      <c r="AG80" s="432" t="s">
        <v>188</v>
      </c>
      <c r="AH80" s="434" t="s">
        <v>115</v>
      </c>
      <c r="AI80" s="441">
        <f t="shared" si="124"/>
        <v>2424</v>
      </c>
      <c r="AJ80" s="441"/>
      <c r="AK80" s="441">
        <f t="shared" si="125"/>
        <v>2424</v>
      </c>
      <c r="AL80" s="441"/>
      <c r="AM80" s="441"/>
      <c r="AN80" s="441">
        <f t="shared" si="126"/>
        <v>2424</v>
      </c>
      <c r="AO80" s="441"/>
      <c r="AP80" s="441"/>
      <c r="AQ80" s="441">
        <f t="shared" si="127"/>
        <v>2424</v>
      </c>
      <c r="AR80" s="441"/>
      <c r="AS80" s="441"/>
      <c r="AT80" s="441"/>
      <c r="AU80" s="441"/>
      <c r="AV80" s="441"/>
      <c r="AW80" s="441"/>
      <c r="AX80" s="441"/>
      <c r="AY80" s="441"/>
      <c r="AZ80" s="441"/>
      <c r="BA80" s="441"/>
      <c r="BB80" s="441"/>
      <c r="BC80" s="441"/>
      <c r="BD80" s="441"/>
      <c r="BE80" s="441"/>
      <c r="BF80" s="441"/>
      <c r="BG80" s="441"/>
      <c r="BH80" s="441">
        <f t="shared" si="128"/>
        <v>1212</v>
      </c>
      <c r="BI80" s="441">
        <f t="shared" si="129"/>
        <v>1212</v>
      </c>
      <c r="BJ80" s="441"/>
      <c r="BK80" s="441"/>
      <c r="BL80" s="59">
        <f t="shared" si="130"/>
        <v>296.687499999999</v>
      </c>
      <c r="BM80" s="59">
        <f t="shared" si="131"/>
        <v>296.687499999999</v>
      </c>
      <c r="BN80" s="59">
        <f t="shared" si="132"/>
        <v>296.687499999999</v>
      </c>
      <c r="BO80" s="59">
        <f t="shared" si="133"/>
        <v>296.687499999999</v>
      </c>
      <c r="BP80" s="59">
        <f t="shared" si="134"/>
        <v>296.687499999999</v>
      </c>
      <c r="BQ80" s="59">
        <f t="shared" si="135"/>
        <v>296.687499999999</v>
      </c>
      <c r="BR80" s="59">
        <f t="shared" si="136"/>
        <v>296.687499999999</v>
      </c>
      <c r="BS80" s="59">
        <f t="shared" si="137"/>
        <v>296.687499999999</v>
      </c>
      <c r="BT80" s="59">
        <f t="shared" si="138"/>
        <v>50.4999999999999</v>
      </c>
      <c r="BV80" s="59">
        <f t="shared" si="139"/>
        <v>25797.8671875001</v>
      </c>
      <c r="BW80" s="59">
        <f t="shared" si="140"/>
        <v>25797.8671875001</v>
      </c>
      <c r="BX80" s="59">
        <f t="shared" si="141"/>
        <v>25797.8671875001</v>
      </c>
      <c r="BY80" s="59">
        <f t="shared" si="142"/>
        <v>25797.8671875001</v>
      </c>
      <c r="BZ80" s="59">
        <f t="shared" si="143"/>
        <v>25797.8671875001</v>
      </c>
      <c r="CA80" s="59">
        <f t="shared" si="144"/>
        <v>25797.8671875001</v>
      </c>
      <c r="CB80" s="59">
        <f t="shared" si="145"/>
        <v>25797.8671875001</v>
      </c>
      <c r="CC80" s="59">
        <f t="shared" si="146"/>
        <v>25797.8671875001</v>
      </c>
      <c r="CD80" s="59">
        <f t="shared" si="147"/>
        <v>4343.06250000003</v>
      </c>
    </row>
    <row r="81" s="372" customFormat="1" ht="27" customHeight="1" spans="1:82">
      <c r="A81" s="428">
        <v>46203</v>
      </c>
      <c r="B81" s="429" t="s">
        <v>1837</v>
      </c>
      <c r="C81" s="430" t="s">
        <v>396</v>
      </c>
      <c r="D81" s="431">
        <v>4500214285</v>
      </c>
      <c r="E81" s="430" t="s">
        <v>1859</v>
      </c>
      <c r="F81" s="429" t="s">
        <v>1860</v>
      </c>
      <c r="G81" s="432" t="s">
        <v>188</v>
      </c>
      <c r="H81" s="429" t="s">
        <v>120</v>
      </c>
      <c r="I81" s="433">
        <v>180</v>
      </c>
      <c r="J81" s="433">
        <v>0</v>
      </c>
      <c r="K81" s="433">
        <v>12</v>
      </c>
      <c r="L81" s="433">
        <f t="shared" si="122"/>
        <v>15</v>
      </c>
      <c r="M81" s="434">
        <v>46241</v>
      </c>
      <c r="N81" s="434">
        <v>46242</v>
      </c>
      <c r="O81" s="435"/>
      <c r="P81" s="458" t="s">
        <v>107</v>
      </c>
      <c r="Q81" s="435"/>
      <c r="R81" s="448">
        <v>46213</v>
      </c>
      <c r="S81" s="437" t="s">
        <v>80</v>
      </c>
      <c r="T81" s="435" t="s">
        <v>1840</v>
      </c>
      <c r="U81" s="435"/>
      <c r="V81" s="435"/>
      <c r="W81" s="435"/>
      <c r="X81" s="438" t="s">
        <v>1841</v>
      </c>
      <c r="Y81" s="434" t="s">
        <v>1842</v>
      </c>
      <c r="Z81" s="450">
        <v>1.9571</v>
      </c>
      <c r="AA81" s="433">
        <f t="shared" si="123"/>
        <v>352.278</v>
      </c>
      <c r="AB81" s="459"/>
      <c r="AC81" s="460">
        <v>180</v>
      </c>
      <c r="AD81" s="420">
        <f t="shared" si="114"/>
        <v>0</v>
      </c>
      <c r="AE81" s="435"/>
      <c r="AF81" s="435" t="s">
        <v>114</v>
      </c>
      <c r="AG81" s="432" t="s">
        <v>188</v>
      </c>
      <c r="AH81" s="434" t="s">
        <v>115</v>
      </c>
      <c r="AI81" s="441">
        <f t="shared" si="124"/>
        <v>360</v>
      </c>
      <c r="AJ81" s="441"/>
      <c r="AK81" s="441">
        <f t="shared" si="125"/>
        <v>360</v>
      </c>
      <c r="AL81" s="441"/>
      <c r="AM81" s="441"/>
      <c r="AN81" s="441">
        <f t="shared" si="126"/>
        <v>360</v>
      </c>
      <c r="AO81" s="441"/>
      <c r="AP81" s="441"/>
      <c r="AQ81" s="441">
        <f t="shared" si="127"/>
        <v>360</v>
      </c>
      <c r="AR81" s="441"/>
      <c r="AS81" s="441"/>
      <c r="AT81" s="441"/>
      <c r="AU81" s="441"/>
      <c r="AV81" s="441"/>
      <c r="AW81" s="441"/>
      <c r="AX81" s="441"/>
      <c r="AY81" s="441"/>
      <c r="AZ81" s="441"/>
      <c r="BA81" s="441"/>
      <c r="BB81" s="441"/>
      <c r="BC81" s="441"/>
      <c r="BD81" s="441"/>
      <c r="BE81" s="441"/>
      <c r="BF81" s="441"/>
      <c r="BG81" s="441"/>
      <c r="BH81" s="441">
        <f t="shared" si="128"/>
        <v>180</v>
      </c>
      <c r="BI81" s="441">
        <f t="shared" si="129"/>
        <v>180</v>
      </c>
      <c r="BJ81" s="441"/>
      <c r="BK81" s="441"/>
      <c r="BL81" s="59">
        <f t="shared" si="130"/>
        <v>44.0624999999999</v>
      </c>
      <c r="BM81" s="59">
        <f t="shared" si="131"/>
        <v>44.0624999999999</v>
      </c>
      <c r="BN81" s="59">
        <f t="shared" si="132"/>
        <v>44.0624999999999</v>
      </c>
      <c r="BO81" s="59">
        <f t="shared" si="133"/>
        <v>44.0624999999999</v>
      </c>
      <c r="BP81" s="59">
        <f t="shared" si="134"/>
        <v>44.0624999999999</v>
      </c>
      <c r="BQ81" s="59">
        <f t="shared" si="135"/>
        <v>44.0624999999999</v>
      </c>
      <c r="BR81" s="59">
        <f t="shared" si="136"/>
        <v>44.0624999999999</v>
      </c>
      <c r="BS81" s="59">
        <f t="shared" si="137"/>
        <v>44.0624999999999</v>
      </c>
      <c r="BT81" s="59">
        <f t="shared" si="138"/>
        <v>7.49999999999999</v>
      </c>
      <c r="BV81" s="59">
        <f t="shared" si="139"/>
        <v>25753.8046875001</v>
      </c>
      <c r="BW81" s="59">
        <f t="shared" si="140"/>
        <v>25753.8046875001</v>
      </c>
      <c r="BX81" s="59">
        <f t="shared" si="141"/>
        <v>25753.8046875001</v>
      </c>
      <c r="BY81" s="59">
        <f t="shared" si="142"/>
        <v>25753.8046875001</v>
      </c>
      <c r="BZ81" s="59">
        <f t="shared" si="143"/>
        <v>25753.8046875001</v>
      </c>
      <c r="CA81" s="59">
        <f t="shared" si="144"/>
        <v>25753.8046875001</v>
      </c>
      <c r="CB81" s="59">
        <f t="shared" si="145"/>
        <v>25753.8046875001</v>
      </c>
      <c r="CC81" s="59">
        <f t="shared" si="146"/>
        <v>25753.8046875001</v>
      </c>
      <c r="CD81" s="59">
        <f t="shared" si="147"/>
        <v>4335.56250000003</v>
      </c>
    </row>
    <row r="82" s="372" customFormat="1" ht="27" customHeight="1" spans="1:82">
      <c r="A82" s="428">
        <v>46142</v>
      </c>
      <c r="B82" s="429" t="s">
        <v>1861</v>
      </c>
      <c r="C82" s="430" t="s">
        <v>1862</v>
      </c>
      <c r="D82" s="431" t="s">
        <v>1863</v>
      </c>
      <c r="E82" s="430" t="s">
        <v>1715</v>
      </c>
      <c r="F82" s="429" t="s">
        <v>1864</v>
      </c>
      <c r="G82" s="432" t="s">
        <v>78</v>
      </c>
      <c r="H82" s="429" t="s">
        <v>79</v>
      </c>
      <c r="I82" s="433">
        <v>1080</v>
      </c>
      <c r="J82" s="433">
        <v>0</v>
      </c>
      <c r="K82" s="433">
        <v>54</v>
      </c>
      <c r="L82" s="433">
        <f t="shared" si="122"/>
        <v>20</v>
      </c>
      <c r="M82" s="434">
        <v>46246</v>
      </c>
      <c r="N82" s="434">
        <v>46244</v>
      </c>
      <c r="O82" s="435"/>
      <c r="P82" s="458" t="s">
        <v>107</v>
      </c>
      <c r="Q82" s="435"/>
      <c r="R82" s="448">
        <v>46171</v>
      </c>
      <c r="S82" s="437" t="s">
        <v>80</v>
      </c>
      <c r="T82" s="435" t="s">
        <v>1865</v>
      </c>
      <c r="U82" s="435"/>
      <c r="V82" s="435"/>
      <c r="W82" s="435"/>
      <c r="X82" s="438" t="s">
        <v>1866</v>
      </c>
      <c r="Y82" s="434" t="s">
        <v>214</v>
      </c>
      <c r="Z82" s="450">
        <v>0.7927</v>
      </c>
      <c r="AA82" s="433">
        <f t="shared" si="123"/>
        <v>856.116</v>
      </c>
      <c r="AB82" s="434"/>
      <c r="AC82" s="461">
        <v>1080</v>
      </c>
      <c r="AD82" s="420">
        <f t="shared" si="114"/>
        <v>0</v>
      </c>
      <c r="AE82" s="435"/>
      <c r="AF82" s="435" t="s">
        <v>114</v>
      </c>
      <c r="AG82" s="432" t="s">
        <v>94</v>
      </c>
      <c r="AH82" s="434" t="s">
        <v>115</v>
      </c>
      <c r="AI82" s="441">
        <f t="shared" ref="AI82:AI93" si="148">I82</f>
        <v>1080</v>
      </c>
      <c r="AJ82" s="441"/>
      <c r="AK82" s="441">
        <f t="shared" ref="AK82:AK93" si="149">I82</f>
        <v>1080</v>
      </c>
      <c r="AL82" s="441"/>
      <c r="AM82" s="441">
        <f t="shared" ref="AM82:AM87" si="150">I82</f>
        <v>1080</v>
      </c>
      <c r="AN82" s="441"/>
      <c r="AO82" s="441"/>
      <c r="AP82" s="441"/>
      <c r="AQ82" s="441">
        <f t="shared" ref="AQ82:AQ93" si="151">I82</f>
        <v>1080</v>
      </c>
      <c r="AR82" s="441"/>
      <c r="AS82" s="441">
        <f>I82/27</f>
        <v>40</v>
      </c>
      <c r="AT82" s="441"/>
      <c r="AU82" s="441"/>
      <c r="AV82" s="441"/>
      <c r="AW82" s="441"/>
      <c r="AX82" s="441"/>
      <c r="AY82" s="441"/>
      <c r="AZ82" s="441"/>
      <c r="BA82" s="441"/>
      <c r="BB82" s="441"/>
      <c r="BC82" s="441"/>
      <c r="BD82" s="441"/>
      <c r="BE82" s="441"/>
      <c r="BF82" s="441"/>
      <c r="BG82" s="441"/>
      <c r="BH82" s="441"/>
      <c r="BI82" s="441"/>
      <c r="BJ82" s="441"/>
      <c r="BK82" s="441"/>
      <c r="BL82" s="59">
        <f t="shared" ref="BL82:BT82" si="152">$I82*BL$2</f>
        <v>132.1875</v>
      </c>
      <c r="BM82" s="59">
        <f t="shared" si="152"/>
        <v>132.1875</v>
      </c>
      <c r="BN82" s="59">
        <f t="shared" si="152"/>
        <v>132.1875</v>
      </c>
      <c r="BO82" s="59">
        <f t="shared" si="152"/>
        <v>132.1875</v>
      </c>
      <c r="BP82" s="59">
        <f t="shared" si="152"/>
        <v>132.1875</v>
      </c>
      <c r="BQ82" s="59">
        <f t="shared" si="152"/>
        <v>132.1875</v>
      </c>
      <c r="BR82" s="59">
        <f t="shared" si="152"/>
        <v>132.1875</v>
      </c>
      <c r="BS82" s="59">
        <f t="shared" si="152"/>
        <v>132.1875</v>
      </c>
      <c r="BT82" s="59">
        <f t="shared" si="152"/>
        <v>22.5</v>
      </c>
      <c r="BV82" s="59">
        <f t="shared" si="139"/>
        <v>25621.6171875001</v>
      </c>
      <c r="BW82" s="59">
        <f t="shared" si="140"/>
        <v>25621.6171875001</v>
      </c>
      <c r="BX82" s="59">
        <f t="shared" si="141"/>
        <v>25621.6171875001</v>
      </c>
      <c r="BY82" s="59">
        <f t="shared" si="142"/>
        <v>25621.6171875001</v>
      </c>
      <c r="BZ82" s="59">
        <f t="shared" si="143"/>
        <v>25621.6171875001</v>
      </c>
      <c r="CA82" s="59">
        <f t="shared" si="144"/>
        <v>25621.6171875001</v>
      </c>
      <c r="CB82" s="59">
        <f t="shared" si="145"/>
        <v>25621.6171875001</v>
      </c>
      <c r="CC82" s="59">
        <f t="shared" si="146"/>
        <v>25621.6171875001</v>
      </c>
      <c r="CD82" s="59">
        <f t="shared" si="147"/>
        <v>4313.06250000003</v>
      </c>
    </row>
    <row r="83" s="372" customFormat="1" ht="27" customHeight="1" spans="1:82">
      <c r="A83" s="428">
        <v>46142</v>
      </c>
      <c r="B83" s="429" t="s">
        <v>1861</v>
      </c>
      <c r="C83" s="430" t="s">
        <v>1867</v>
      </c>
      <c r="D83" s="431" t="s">
        <v>1868</v>
      </c>
      <c r="E83" s="430" t="s">
        <v>1715</v>
      </c>
      <c r="F83" s="429" t="s">
        <v>1869</v>
      </c>
      <c r="G83" s="432" t="s">
        <v>78</v>
      </c>
      <c r="H83" s="429" t="s">
        <v>79</v>
      </c>
      <c r="I83" s="433">
        <v>1080</v>
      </c>
      <c r="J83" s="433">
        <v>0</v>
      </c>
      <c r="K83" s="433">
        <v>54</v>
      </c>
      <c r="L83" s="433">
        <f t="shared" si="122"/>
        <v>20</v>
      </c>
      <c r="M83" s="434">
        <v>46246</v>
      </c>
      <c r="N83" s="434">
        <v>46244</v>
      </c>
      <c r="O83" s="435"/>
      <c r="P83" s="458" t="s">
        <v>107</v>
      </c>
      <c r="Q83" s="435"/>
      <c r="R83" s="448">
        <v>46171</v>
      </c>
      <c r="S83" s="437" t="s">
        <v>80</v>
      </c>
      <c r="T83" s="435" t="s">
        <v>1865</v>
      </c>
      <c r="U83" s="435"/>
      <c r="V83" s="435"/>
      <c r="W83" s="435"/>
      <c r="X83" s="438" t="s">
        <v>1870</v>
      </c>
      <c r="Y83" s="434" t="s">
        <v>214</v>
      </c>
      <c r="Z83" s="450">
        <v>0.7927</v>
      </c>
      <c r="AA83" s="433">
        <f t="shared" si="123"/>
        <v>856.116</v>
      </c>
      <c r="AB83" s="434"/>
      <c r="AC83" s="438">
        <f>1026+54</f>
        <v>1080</v>
      </c>
      <c r="AD83" s="420">
        <f t="shared" si="114"/>
        <v>0</v>
      </c>
      <c r="AE83" s="435"/>
      <c r="AF83" s="435" t="s">
        <v>114</v>
      </c>
      <c r="AG83" s="432" t="s">
        <v>94</v>
      </c>
      <c r="AH83" s="434" t="s">
        <v>115</v>
      </c>
      <c r="AI83" s="441">
        <f t="shared" si="148"/>
        <v>1080</v>
      </c>
      <c r="AJ83" s="441"/>
      <c r="AK83" s="441">
        <f t="shared" si="149"/>
        <v>1080</v>
      </c>
      <c r="AL83" s="441"/>
      <c r="AM83" s="441">
        <f t="shared" si="150"/>
        <v>1080</v>
      </c>
      <c r="AN83" s="441"/>
      <c r="AO83" s="441"/>
      <c r="AP83" s="441"/>
      <c r="AQ83" s="441">
        <f t="shared" si="151"/>
        <v>1080</v>
      </c>
      <c r="AR83" s="441"/>
      <c r="AS83" s="441">
        <f>I83/27</f>
        <v>40</v>
      </c>
      <c r="AT83" s="441"/>
      <c r="AU83" s="441"/>
      <c r="AV83" s="441"/>
      <c r="AW83" s="441"/>
      <c r="AX83" s="441"/>
      <c r="AY83" s="441"/>
      <c r="AZ83" s="441"/>
      <c r="BA83" s="441"/>
      <c r="BB83" s="441"/>
      <c r="BC83" s="441"/>
      <c r="BD83" s="441"/>
      <c r="BE83" s="441"/>
      <c r="BF83" s="441"/>
      <c r="BG83" s="441"/>
      <c r="BH83" s="441"/>
      <c r="BI83" s="441"/>
      <c r="BJ83" s="441"/>
      <c r="BK83" s="441"/>
      <c r="BL83" s="59">
        <f t="shared" ref="BL83:BT83" si="153">$I83*BL$2</f>
        <v>132.1875</v>
      </c>
      <c r="BM83" s="59">
        <f t="shared" si="153"/>
        <v>132.1875</v>
      </c>
      <c r="BN83" s="59">
        <f t="shared" si="153"/>
        <v>132.1875</v>
      </c>
      <c r="BO83" s="59">
        <f t="shared" si="153"/>
        <v>132.1875</v>
      </c>
      <c r="BP83" s="59">
        <f t="shared" si="153"/>
        <v>132.1875</v>
      </c>
      <c r="BQ83" s="59">
        <f t="shared" si="153"/>
        <v>132.1875</v>
      </c>
      <c r="BR83" s="59">
        <f t="shared" si="153"/>
        <v>132.1875</v>
      </c>
      <c r="BS83" s="59">
        <f t="shared" si="153"/>
        <v>132.1875</v>
      </c>
      <c r="BT83" s="59">
        <f t="shared" si="153"/>
        <v>22.5</v>
      </c>
      <c r="BV83" s="59">
        <f t="shared" si="139"/>
        <v>25489.4296875001</v>
      </c>
      <c r="BW83" s="59">
        <f t="shared" si="140"/>
        <v>25489.4296875001</v>
      </c>
      <c r="BX83" s="59">
        <f t="shared" si="141"/>
        <v>25489.4296875001</v>
      </c>
      <c r="BY83" s="59">
        <f t="shared" si="142"/>
        <v>25489.4296875001</v>
      </c>
      <c r="BZ83" s="59">
        <f t="shared" si="143"/>
        <v>25489.4296875001</v>
      </c>
      <c r="CA83" s="59">
        <f t="shared" si="144"/>
        <v>25489.4296875001</v>
      </c>
      <c r="CB83" s="59">
        <f t="shared" si="145"/>
        <v>25489.4296875001</v>
      </c>
      <c r="CC83" s="59">
        <f t="shared" si="146"/>
        <v>25489.4296875001</v>
      </c>
      <c r="CD83" s="59">
        <f t="shared" si="147"/>
        <v>4290.56250000003</v>
      </c>
    </row>
    <row r="84" s="372" customFormat="1" ht="27" customHeight="1" spans="1:82">
      <c r="A84" s="428">
        <v>46142</v>
      </c>
      <c r="B84" s="429" t="s">
        <v>1544</v>
      </c>
      <c r="C84" s="430" t="s">
        <v>1871</v>
      </c>
      <c r="D84" s="431">
        <v>4500204716</v>
      </c>
      <c r="E84" s="430" t="s">
        <v>1715</v>
      </c>
      <c r="F84" s="429" t="s">
        <v>1872</v>
      </c>
      <c r="G84" s="432" t="s">
        <v>78</v>
      </c>
      <c r="H84" s="429" t="s">
        <v>79</v>
      </c>
      <c r="I84" s="433">
        <v>2916</v>
      </c>
      <c r="J84" s="433">
        <v>0</v>
      </c>
      <c r="K84" s="433">
        <v>54</v>
      </c>
      <c r="L84" s="433">
        <f t="shared" si="122"/>
        <v>54</v>
      </c>
      <c r="M84" s="434">
        <v>46246</v>
      </c>
      <c r="N84" s="434">
        <v>46244</v>
      </c>
      <c r="O84" s="435"/>
      <c r="P84" s="458" t="s">
        <v>107</v>
      </c>
      <c r="Q84" s="435"/>
      <c r="R84" s="448">
        <v>46171</v>
      </c>
      <c r="S84" s="437" t="s">
        <v>80</v>
      </c>
      <c r="T84" s="435" t="s">
        <v>1865</v>
      </c>
      <c r="U84" s="435" t="s">
        <v>156</v>
      </c>
      <c r="V84" s="435"/>
      <c r="W84" s="435"/>
      <c r="X84" s="456" t="s">
        <v>1873</v>
      </c>
      <c r="Y84" s="434" t="s">
        <v>214</v>
      </c>
      <c r="Z84" s="462">
        <v>0.8315</v>
      </c>
      <c r="AA84" s="433">
        <f t="shared" si="123"/>
        <v>2424.654</v>
      </c>
      <c r="AB84" s="434"/>
      <c r="AC84" s="438">
        <v>2916</v>
      </c>
      <c r="AD84" s="420">
        <f t="shared" si="114"/>
        <v>0</v>
      </c>
      <c r="AE84" s="435"/>
      <c r="AF84" s="435" t="s">
        <v>114</v>
      </c>
      <c r="AG84" s="432" t="s">
        <v>94</v>
      </c>
      <c r="AH84" s="434" t="s">
        <v>115</v>
      </c>
      <c r="AI84" s="441">
        <f t="shared" si="148"/>
        <v>2916</v>
      </c>
      <c r="AJ84" s="441"/>
      <c r="AK84" s="441">
        <f t="shared" si="149"/>
        <v>2916</v>
      </c>
      <c r="AL84" s="441"/>
      <c r="AM84" s="441">
        <f t="shared" si="150"/>
        <v>2916</v>
      </c>
      <c r="AN84" s="441"/>
      <c r="AO84" s="441"/>
      <c r="AP84" s="441"/>
      <c r="AQ84" s="441">
        <f t="shared" si="151"/>
        <v>2916</v>
      </c>
      <c r="AR84" s="441"/>
      <c r="AS84" s="441">
        <f>I84/27</f>
        <v>108</v>
      </c>
      <c r="AT84" s="441"/>
      <c r="AU84" s="441"/>
      <c r="AV84" s="441"/>
      <c r="AW84" s="441"/>
      <c r="AX84" s="441"/>
      <c r="AY84" s="441"/>
      <c r="AZ84" s="441"/>
      <c r="BA84" s="441"/>
      <c r="BB84" s="441"/>
      <c r="BC84" s="441"/>
      <c r="BD84" s="441"/>
      <c r="BE84" s="441"/>
      <c r="BF84" s="441"/>
      <c r="BG84" s="441"/>
      <c r="BH84" s="441"/>
      <c r="BI84" s="441"/>
      <c r="BJ84" s="441"/>
      <c r="BK84" s="441"/>
      <c r="BL84" s="59">
        <f t="shared" ref="BL84:BT84" si="154">$I84*BL$2</f>
        <v>356.906249999999</v>
      </c>
      <c r="BM84" s="59">
        <f t="shared" si="154"/>
        <v>356.906249999999</v>
      </c>
      <c r="BN84" s="59">
        <f t="shared" si="154"/>
        <v>356.906249999999</v>
      </c>
      <c r="BO84" s="59">
        <f t="shared" si="154"/>
        <v>356.906249999999</v>
      </c>
      <c r="BP84" s="59">
        <f t="shared" si="154"/>
        <v>356.906249999999</v>
      </c>
      <c r="BQ84" s="59">
        <f t="shared" si="154"/>
        <v>356.906249999999</v>
      </c>
      <c r="BR84" s="59">
        <f t="shared" si="154"/>
        <v>356.906249999999</v>
      </c>
      <c r="BS84" s="59">
        <f t="shared" si="154"/>
        <v>356.906249999999</v>
      </c>
      <c r="BT84" s="59">
        <f t="shared" si="154"/>
        <v>60.7499999999999</v>
      </c>
      <c r="BV84" s="59">
        <f t="shared" si="139"/>
        <v>25132.5234375001</v>
      </c>
      <c r="BW84" s="59">
        <f t="shared" si="140"/>
        <v>25132.5234375001</v>
      </c>
      <c r="BX84" s="59">
        <f t="shared" si="141"/>
        <v>25132.5234375001</v>
      </c>
      <c r="BY84" s="59">
        <f t="shared" si="142"/>
        <v>25132.5234375001</v>
      </c>
      <c r="BZ84" s="59">
        <f t="shared" si="143"/>
        <v>25132.5234375001</v>
      </c>
      <c r="CA84" s="59">
        <f t="shared" si="144"/>
        <v>25132.5234375001</v>
      </c>
      <c r="CB84" s="59">
        <f t="shared" si="145"/>
        <v>25132.5234375001</v>
      </c>
      <c r="CC84" s="59">
        <f t="shared" si="146"/>
        <v>25132.5234375001</v>
      </c>
      <c r="CD84" s="59">
        <f t="shared" si="147"/>
        <v>4229.81250000003</v>
      </c>
    </row>
    <row r="85" s="372" customFormat="1" ht="27" customHeight="1" spans="1:82">
      <c r="A85" s="428">
        <v>46184</v>
      </c>
      <c r="B85" s="429" t="s">
        <v>1861</v>
      </c>
      <c r="C85" s="430" t="s">
        <v>1874</v>
      </c>
      <c r="D85" s="431" t="s">
        <v>1875</v>
      </c>
      <c r="E85" s="430"/>
      <c r="F85" s="429" t="s">
        <v>1876</v>
      </c>
      <c r="G85" s="432" t="s">
        <v>78</v>
      </c>
      <c r="H85" s="429" t="s">
        <v>79</v>
      </c>
      <c r="I85" s="433">
        <v>270</v>
      </c>
      <c r="J85" s="433">
        <v>0</v>
      </c>
      <c r="K85" s="433">
        <v>54</v>
      </c>
      <c r="L85" s="433">
        <f t="shared" si="122"/>
        <v>5</v>
      </c>
      <c r="M85" s="463">
        <v>46248</v>
      </c>
      <c r="N85" s="463">
        <v>46244</v>
      </c>
      <c r="O85" s="435"/>
      <c r="P85" s="435" t="s">
        <v>224</v>
      </c>
      <c r="Q85" s="435"/>
      <c r="R85" s="448">
        <v>46210</v>
      </c>
      <c r="S85" s="437" t="s">
        <v>80</v>
      </c>
      <c r="T85" s="435" t="s">
        <v>1877</v>
      </c>
      <c r="U85" s="435"/>
      <c r="V85" s="435"/>
      <c r="W85" s="435"/>
      <c r="X85" s="456" t="s">
        <v>1878</v>
      </c>
      <c r="Y85" s="434" t="s">
        <v>214</v>
      </c>
      <c r="Z85" s="439">
        <v>0.8191</v>
      </c>
      <c r="AA85" s="440">
        <f t="shared" si="123"/>
        <v>221.157</v>
      </c>
      <c r="AB85" s="434"/>
      <c r="AC85" s="435"/>
      <c r="AD85" s="438">
        <f t="shared" si="114"/>
        <v>-270</v>
      </c>
      <c r="AE85" s="435"/>
      <c r="AF85" s="435" t="s">
        <v>114</v>
      </c>
      <c r="AG85" s="432" t="s">
        <v>94</v>
      </c>
      <c r="AH85" s="434" t="s">
        <v>115</v>
      </c>
      <c r="AI85" s="441">
        <f t="shared" si="148"/>
        <v>270</v>
      </c>
      <c r="AJ85" s="441"/>
      <c r="AK85" s="441">
        <f t="shared" si="149"/>
        <v>270</v>
      </c>
      <c r="AL85" s="441"/>
      <c r="AM85" s="441">
        <f t="shared" si="150"/>
        <v>270</v>
      </c>
      <c r="AN85" s="441"/>
      <c r="AO85" s="441"/>
      <c r="AP85" s="441"/>
      <c r="AQ85" s="441">
        <f t="shared" si="151"/>
        <v>270</v>
      </c>
      <c r="AR85" s="441"/>
      <c r="AS85" s="441">
        <f>I85/27</f>
        <v>10</v>
      </c>
      <c r="AT85" s="441"/>
      <c r="AU85" s="441"/>
      <c r="AV85" s="441"/>
      <c r="AW85" s="441"/>
      <c r="AX85" s="441"/>
      <c r="AY85" s="441"/>
      <c r="AZ85" s="441"/>
      <c r="BA85" s="441"/>
      <c r="BB85" s="441"/>
      <c r="BC85" s="441"/>
      <c r="BD85" s="441"/>
      <c r="BE85" s="441"/>
      <c r="BF85" s="441"/>
      <c r="BG85" s="441"/>
      <c r="BH85" s="441"/>
      <c r="BI85" s="441"/>
      <c r="BJ85" s="441"/>
      <c r="BK85" s="441"/>
      <c r="BL85" s="59">
        <f t="shared" ref="BL85:BT85" si="155">$I85*BL$2</f>
        <v>33.0468749999999</v>
      </c>
      <c r="BM85" s="59">
        <f t="shared" si="155"/>
        <v>33.0468749999999</v>
      </c>
      <c r="BN85" s="59">
        <f t="shared" si="155"/>
        <v>33.0468749999999</v>
      </c>
      <c r="BO85" s="59">
        <f t="shared" si="155"/>
        <v>33.0468749999999</v>
      </c>
      <c r="BP85" s="59">
        <f t="shared" si="155"/>
        <v>33.0468749999999</v>
      </c>
      <c r="BQ85" s="59">
        <f t="shared" si="155"/>
        <v>33.0468749999999</v>
      </c>
      <c r="BR85" s="59">
        <f t="shared" si="155"/>
        <v>33.0468749999999</v>
      </c>
      <c r="BS85" s="59">
        <f t="shared" si="155"/>
        <v>33.0468749999999</v>
      </c>
      <c r="BT85" s="59">
        <f t="shared" si="155"/>
        <v>5.62499999999999</v>
      </c>
      <c r="BV85" s="59">
        <f t="shared" si="139"/>
        <v>25099.4765625001</v>
      </c>
      <c r="BW85" s="59">
        <f t="shared" si="140"/>
        <v>25099.4765625001</v>
      </c>
      <c r="BX85" s="59">
        <f t="shared" si="141"/>
        <v>25099.4765625001</v>
      </c>
      <c r="BY85" s="59">
        <f t="shared" si="142"/>
        <v>25099.4765625001</v>
      </c>
      <c r="BZ85" s="59">
        <f t="shared" si="143"/>
        <v>25099.4765625001</v>
      </c>
      <c r="CA85" s="59">
        <f t="shared" si="144"/>
        <v>25099.4765625001</v>
      </c>
      <c r="CB85" s="59">
        <f t="shared" si="145"/>
        <v>25099.4765625001</v>
      </c>
      <c r="CC85" s="59">
        <f t="shared" si="146"/>
        <v>25099.4765625001</v>
      </c>
      <c r="CD85" s="59">
        <f t="shared" si="147"/>
        <v>4224.18750000003</v>
      </c>
    </row>
    <row r="86" s="372" customFormat="1" ht="27" customHeight="1" spans="1:82">
      <c r="A86" s="428">
        <v>46184</v>
      </c>
      <c r="B86" s="429" t="s">
        <v>1861</v>
      </c>
      <c r="C86" s="430" t="s">
        <v>1879</v>
      </c>
      <c r="D86" s="431" t="s">
        <v>1880</v>
      </c>
      <c r="E86" s="430"/>
      <c r="F86" s="429" t="s">
        <v>1881</v>
      </c>
      <c r="G86" s="432" t="s">
        <v>78</v>
      </c>
      <c r="H86" s="429" t="s">
        <v>79</v>
      </c>
      <c r="I86" s="433">
        <v>162</v>
      </c>
      <c r="J86" s="433">
        <v>0</v>
      </c>
      <c r="K86" s="433">
        <v>54</v>
      </c>
      <c r="L86" s="433">
        <f t="shared" si="122"/>
        <v>3</v>
      </c>
      <c r="M86" s="463">
        <v>46248</v>
      </c>
      <c r="N86" s="463">
        <v>46244</v>
      </c>
      <c r="O86" s="435"/>
      <c r="P86" s="435" t="s">
        <v>224</v>
      </c>
      <c r="Q86" s="435"/>
      <c r="R86" s="448">
        <v>46184</v>
      </c>
      <c r="S86" s="437" t="s">
        <v>80</v>
      </c>
      <c r="T86" s="435" t="s">
        <v>1882</v>
      </c>
      <c r="U86" s="435"/>
      <c r="V86" s="435"/>
      <c r="W86" s="435"/>
      <c r="X86" s="456" t="s">
        <v>1883</v>
      </c>
      <c r="Y86" s="434" t="s">
        <v>214</v>
      </c>
      <c r="Z86" s="439">
        <v>0.8191</v>
      </c>
      <c r="AA86" s="440">
        <f t="shared" si="123"/>
        <v>132.6942</v>
      </c>
      <c r="AB86" s="434"/>
      <c r="AC86" s="435"/>
      <c r="AD86" s="438">
        <f t="shared" si="114"/>
        <v>-162</v>
      </c>
      <c r="AE86" s="435"/>
      <c r="AF86" s="435" t="s">
        <v>114</v>
      </c>
      <c r="AG86" s="432" t="s">
        <v>94</v>
      </c>
      <c r="AH86" s="434" t="s">
        <v>115</v>
      </c>
      <c r="AI86" s="441">
        <f t="shared" si="148"/>
        <v>162</v>
      </c>
      <c r="AJ86" s="441"/>
      <c r="AK86" s="441">
        <f t="shared" si="149"/>
        <v>162</v>
      </c>
      <c r="AL86" s="441"/>
      <c r="AM86" s="441">
        <f t="shared" si="150"/>
        <v>162</v>
      </c>
      <c r="AN86" s="441"/>
      <c r="AO86" s="441"/>
      <c r="AP86" s="441"/>
      <c r="AQ86" s="441">
        <f t="shared" si="151"/>
        <v>162</v>
      </c>
      <c r="AR86" s="441"/>
      <c r="AS86" s="441">
        <f>I86/27</f>
        <v>6</v>
      </c>
      <c r="AT86" s="441"/>
      <c r="AU86" s="441"/>
      <c r="AV86" s="441"/>
      <c r="AW86" s="441"/>
      <c r="AX86" s="441"/>
      <c r="AY86" s="441"/>
      <c r="AZ86" s="441"/>
      <c r="BA86" s="441"/>
      <c r="BB86" s="441"/>
      <c r="BC86" s="441"/>
      <c r="BD86" s="441"/>
      <c r="BE86" s="441"/>
      <c r="BF86" s="441"/>
      <c r="BG86" s="441"/>
      <c r="BH86" s="441"/>
      <c r="BI86" s="441"/>
      <c r="BJ86" s="441"/>
      <c r="BK86" s="441"/>
      <c r="BL86" s="59">
        <f t="shared" ref="BL86:BT86" si="156">$I86*BL$2</f>
        <v>19.8281249999999</v>
      </c>
      <c r="BM86" s="59">
        <f t="shared" si="156"/>
        <v>19.8281249999999</v>
      </c>
      <c r="BN86" s="59">
        <f t="shared" si="156"/>
        <v>19.8281249999999</v>
      </c>
      <c r="BO86" s="59">
        <f t="shared" si="156"/>
        <v>19.8281249999999</v>
      </c>
      <c r="BP86" s="59">
        <f t="shared" si="156"/>
        <v>19.8281249999999</v>
      </c>
      <c r="BQ86" s="59">
        <f t="shared" si="156"/>
        <v>19.8281249999999</v>
      </c>
      <c r="BR86" s="59">
        <f t="shared" si="156"/>
        <v>19.8281249999999</v>
      </c>
      <c r="BS86" s="59">
        <f t="shared" si="156"/>
        <v>19.8281249999999</v>
      </c>
      <c r="BT86" s="59">
        <f t="shared" si="156"/>
        <v>3.37499999999999</v>
      </c>
      <c r="BV86" s="59">
        <f t="shared" si="139"/>
        <v>25079.6484375001</v>
      </c>
      <c r="BW86" s="59">
        <f t="shared" si="140"/>
        <v>25079.6484375001</v>
      </c>
      <c r="BX86" s="59">
        <f t="shared" si="141"/>
        <v>25079.6484375001</v>
      </c>
      <c r="BY86" s="59">
        <f t="shared" si="142"/>
        <v>25079.6484375001</v>
      </c>
      <c r="BZ86" s="59">
        <f t="shared" si="143"/>
        <v>25079.6484375001</v>
      </c>
      <c r="CA86" s="59">
        <f t="shared" si="144"/>
        <v>25079.6484375001</v>
      </c>
      <c r="CB86" s="59">
        <f t="shared" si="145"/>
        <v>25079.6484375001</v>
      </c>
      <c r="CC86" s="59">
        <f t="shared" si="146"/>
        <v>25079.6484375001</v>
      </c>
      <c r="CD86" s="59">
        <f t="shared" si="147"/>
        <v>4220.81250000003</v>
      </c>
    </row>
    <row r="87" s="373" customFormat="1" ht="27" customHeight="1" spans="1:82">
      <c r="A87" s="464">
        <v>46210</v>
      </c>
      <c r="B87" s="382" t="s">
        <v>1884</v>
      </c>
      <c r="C87" s="465" t="s">
        <v>1794</v>
      </c>
      <c r="D87" s="466">
        <v>4500215367</v>
      </c>
      <c r="E87" s="465"/>
      <c r="F87" s="382" t="s">
        <v>1885</v>
      </c>
      <c r="G87" s="467" t="s">
        <v>94</v>
      </c>
      <c r="H87" s="382" t="s">
        <v>211</v>
      </c>
      <c r="I87" s="468">
        <v>312</v>
      </c>
      <c r="J87" s="468">
        <v>0</v>
      </c>
      <c r="K87" s="468">
        <v>52</v>
      </c>
      <c r="L87" s="468">
        <f t="shared" si="122"/>
        <v>6</v>
      </c>
      <c r="M87" s="469">
        <v>46252</v>
      </c>
      <c r="N87" s="469">
        <v>46248</v>
      </c>
      <c r="O87" s="470"/>
      <c r="P87" s="471"/>
      <c r="Q87" s="470"/>
      <c r="R87" s="472">
        <v>46210</v>
      </c>
      <c r="S87" s="473" t="s">
        <v>80</v>
      </c>
      <c r="T87" s="470" t="s">
        <v>80</v>
      </c>
      <c r="U87" s="470"/>
      <c r="V87" s="470"/>
      <c r="W87" s="470"/>
      <c r="X87" s="474" t="s">
        <v>1886</v>
      </c>
      <c r="Y87" s="469" t="s">
        <v>1887</v>
      </c>
      <c r="Z87" s="475">
        <v>0.831</v>
      </c>
      <c r="AA87" s="468">
        <f t="shared" si="123"/>
        <v>259.272</v>
      </c>
      <c r="AB87" s="469"/>
      <c r="AC87" s="474"/>
      <c r="AD87" s="420">
        <f t="shared" si="114"/>
        <v>-312</v>
      </c>
      <c r="AE87" s="470"/>
      <c r="AF87" s="435" t="s">
        <v>114</v>
      </c>
      <c r="AG87" s="467" t="s">
        <v>94</v>
      </c>
      <c r="AH87" s="469" t="s">
        <v>115</v>
      </c>
      <c r="AI87" s="471">
        <f t="shared" si="148"/>
        <v>312</v>
      </c>
      <c r="AJ87" s="471"/>
      <c r="AK87" s="57">
        <f t="shared" si="149"/>
        <v>312</v>
      </c>
      <c r="AL87" s="471"/>
      <c r="AM87" s="57">
        <f t="shared" si="150"/>
        <v>312</v>
      </c>
      <c r="AO87" s="471"/>
      <c r="AP87" s="471"/>
      <c r="AQ87" s="57">
        <f t="shared" si="151"/>
        <v>312</v>
      </c>
      <c r="AR87" s="471"/>
      <c r="AS87" s="471"/>
      <c r="AT87" s="471"/>
      <c r="AU87" s="471"/>
      <c r="AV87" s="57">
        <f>I87/13</f>
        <v>24</v>
      </c>
      <c r="AX87" s="471"/>
      <c r="AY87" s="471"/>
      <c r="AZ87" s="471"/>
      <c r="BA87" s="471"/>
      <c r="BB87" s="471"/>
      <c r="BC87" s="471"/>
      <c r="BD87" s="471"/>
      <c r="BE87" s="471"/>
      <c r="BF87" s="471"/>
      <c r="BG87" s="471"/>
      <c r="BH87" s="471"/>
      <c r="BI87" s="471"/>
      <c r="BJ87" s="471"/>
      <c r="BK87" s="471"/>
      <c r="BL87" s="476">
        <f t="shared" ref="BL87:BT87" si="157">$I87*BL$2</f>
        <v>38.1874999999999</v>
      </c>
      <c r="BM87" s="476">
        <f t="shared" si="157"/>
        <v>38.1874999999999</v>
      </c>
      <c r="BN87" s="476">
        <f t="shared" si="157"/>
        <v>38.1874999999999</v>
      </c>
      <c r="BO87" s="476">
        <f t="shared" si="157"/>
        <v>38.1874999999999</v>
      </c>
      <c r="BP87" s="476">
        <f t="shared" si="157"/>
        <v>38.1874999999999</v>
      </c>
      <c r="BQ87" s="476">
        <f t="shared" si="157"/>
        <v>38.1874999999999</v>
      </c>
      <c r="BR87" s="476">
        <f t="shared" si="157"/>
        <v>38.1874999999999</v>
      </c>
      <c r="BS87" s="476">
        <f t="shared" si="157"/>
        <v>38.1874999999999</v>
      </c>
      <c r="BT87" s="476">
        <f t="shared" si="157"/>
        <v>6.49999999999999</v>
      </c>
      <c r="BV87" s="82">
        <f t="shared" si="139"/>
        <v>25041.4609375001</v>
      </c>
      <c r="BW87" s="82">
        <f t="shared" si="140"/>
        <v>25041.4609375001</v>
      </c>
      <c r="BX87" s="82">
        <f t="shared" si="141"/>
        <v>25041.4609375001</v>
      </c>
      <c r="BY87" s="82">
        <f t="shared" si="142"/>
        <v>25041.4609375001</v>
      </c>
      <c r="BZ87" s="82">
        <f t="shared" si="143"/>
        <v>25041.4609375001</v>
      </c>
      <c r="CA87" s="82">
        <f t="shared" si="144"/>
        <v>25041.4609375001</v>
      </c>
      <c r="CB87" s="82">
        <f t="shared" si="145"/>
        <v>25041.4609375001</v>
      </c>
      <c r="CC87" s="82">
        <f t="shared" si="146"/>
        <v>25041.4609375001</v>
      </c>
      <c r="CD87" s="82">
        <f t="shared" si="147"/>
        <v>4214.31250000003</v>
      </c>
    </row>
    <row r="88" s="4" customFormat="1" ht="27" customHeight="1" spans="1:82">
      <c r="A88" s="464">
        <v>46101</v>
      </c>
      <c r="B88" s="382" t="s">
        <v>1888</v>
      </c>
      <c r="C88" s="465" t="s">
        <v>408</v>
      </c>
      <c r="D88" s="466">
        <v>4500197940</v>
      </c>
      <c r="E88" s="465"/>
      <c r="F88" s="382" t="s">
        <v>1889</v>
      </c>
      <c r="G88" s="467" t="s">
        <v>78</v>
      </c>
      <c r="H88" s="382" t="s">
        <v>79</v>
      </c>
      <c r="I88" s="468">
        <v>2052</v>
      </c>
      <c r="J88" s="468">
        <v>0</v>
      </c>
      <c r="K88" s="468">
        <v>54</v>
      </c>
      <c r="L88" s="468">
        <f t="shared" si="122"/>
        <v>38</v>
      </c>
      <c r="M88" s="477">
        <v>46252</v>
      </c>
      <c r="N88" s="477">
        <v>46249</v>
      </c>
      <c r="O88" s="41"/>
      <c r="P88" s="41"/>
      <c r="Q88" s="470" t="s">
        <v>1890</v>
      </c>
      <c r="R88" s="478">
        <v>46108</v>
      </c>
      <c r="S88" s="479" t="s">
        <v>80</v>
      </c>
      <c r="T88" s="479" t="s">
        <v>1891</v>
      </c>
      <c r="U88" s="470"/>
      <c r="V88" s="470"/>
      <c r="W88" s="470"/>
      <c r="X88" s="480" t="s">
        <v>1892</v>
      </c>
      <c r="Y88" s="469" t="s">
        <v>1893</v>
      </c>
      <c r="Z88" s="481">
        <v>0.7927</v>
      </c>
      <c r="AA88" s="482">
        <f t="shared" si="123"/>
        <v>1626.6204</v>
      </c>
      <c r="AB88" s="386"/>
      <c r="AC88" s="387"/>
      <c r="AD88" s="420">
        <f t="shared" si="114"/>
        <v>-2052</v>
      </c>
      <c r="AE88" s="387"/>
      <c r="AF88" s="396" t="s">
        <v>114</v>
      </c>
      <c r="AG88" s="395" t="s">
        <v>230</v>
      </c>
      <c r="AH88" s="386" t="s">
        <v>115</v>
      </c>
      <c r="AI88" s="401">
        <f t="shared" si="148"/>
        <v>2052</v>
      </c>
      <c r="AJ88" s="401"/>
      <c r="AK88" s="401">
        <f t="shared" si="149"/>
        <v>2052</v>
      </c>
      <c r="AL88" s="57"/>
      <c r="AM88" s="57"/>
      <c r="AN88" s="401">
        <f>I88</f>
        <v>2052</v>
      </c>
      <c r="AO88" s="261"/>
      <c r="AP88" s="261"/>
      <c r="AQ88" s="401">
        <f t="shared" si="151"/>
        <v>2052</v>
      </c>
      <c r="AR88" s="261"/>
      <c r="AS88" s="261"/>
      <c r="AT88" s="261"/>
      <c r="AU88" s="401">
        <f>I88/27</f>
        <v>76</v>
      </c>
      <c r="AV88" s="261"/>
      <c r="AW88" s="261"/>
      <c r="AX88" s="261"/>
      <c r="AY88" s="261"/>
      <c r="AZ88" s="261"/>
      <c r="BA88" s="57"/>
      <c r="BB88" s="57"/>
      <c r="BC88" s="57"/>
      <c r="BD88" s="57"/>
      <c r="BE88" s="57"/>
      <c r="BF88" s="57"/>
      <c r="BG88" s="57"/>
      <c r="BH88" s="57"/>
      <c r="BI88" s="57"/>
      <c r="BJ88" s="57"/>
      <c r="BK88" s="57"/>
      <c r="BL88" s="58">
        <f t="shared" ref="BL88:BT88" si="158">$I88*BL$2</f>
        <v>251.156249999999</v>
      </c>
      <c r="BM88" s="58">
        <f t="shared" si="158"/>
        <v>251.156249999999</v>
      </c>
      <c r="BN88" s="58">
        <f t="shared" si="158"/>
        <v>251.156249999999</v>
      </c>
      <c r="BO88" s="58">
        <f t="shared" si="158"/>
        <v>251.156249999999</v>
      </c>
      <c r="BP88" s="58">
        <f t="shared" si="158"/>
        <v>251.156249999999</v>
      </c>
      <c r="BQ88" s="58">
        <f t="shared" si="158"/>
        <v>251.156249999999</v>
      </c>
      <c r="BR88" s="58">
        <f t="shared" si="158"/>
        <v>251.156249999999</v>
      </c>
      <c r="BS88" s="58">
        <f t="shared" si="158"/>
        <v>251.156249999999</v>
      </c>
      <c r="BT88" s="58">
        <f t="shared" si="158"/>
        <v>42.7499999999999</v>
      </c>
      <c r="BV88" s="82">
        <f t="shared" si="139"/>
        <v>24790.3046875001</v>
      </c>
      <c r="BW88" s="82">
        <f t="shared" si="140"/>
        <v>24790.3046875001</v>
      </c>
      <c r="BX88" s="82">
        <f t="shared" si="141"/>
        <v>24790.3046875001</v>
      </c>
      <c r="BY88" s="82">
        <f t="shared" si="142"/>
        <v>24790.3046875001</v>
      </c>
      <c r="BZ88" s="82">
        <f t="shared" si="143"/>
        <v>24790.3046875001</v>
      </c>
      <c r="CA88" s="82">
        <f t="shared" si="144"/>
        <v>24790.3046875001</v>
      </c>
      <c r="CB88" s="82">
        <f t="shared" si="145"/>
        <v>24790.3046875001</v>
      </c>
      <c r="CC88" s="82">
        <f t="shared" si="146"/>
        <v>24790.3046875001</v>
      </c>
      <c r="CD88" s="82">
        <f t="shared" si="147"/>
        <v>4171.56250000003</v>
      </c>
    </row>
    <row r="89" s="373" customFormat="1" ht="27" customHeight="1" spans="1:82">
      <c r="A89" s="464">
        <v>46190</v>
      </c>
      <c r="B89" s="382" t="s">
        <v>1894</v>
      </c>
      <c r="C89" s="465" t="s">
        <v>1895</v>
      </c>
      <c r="D89" s="466">
        <v>4500212758</v>
      </c>
      <c r="E89" s="465"/>
      <c r="F89" s="382" t="s">
        <v>1896</v>
      </c>
      <c r="G89" s="467" t="s">
        <v>94</v>
      </c>
      <c r="H89" s="382" t="s">
        <v>211</v>
      </c>
      <c r="I89" s="468">
        <v>208</v>
      </c>
      <c r="J89" s="468">
        <v>0</v>
      </c>
      <c r="K89" s="468">
        <v>52</v>
      </c>
      <c r="L89" s="468">
        <f t="shared" si="122"/>
        <v>4</v>
      </c>
      <c r="M89" s="477">
        <v>46254</v>
      </c>
      <c r="N89" s="477">
        <v>46249</v>
      </c>
      <c r="O89" s="470"/>
      <c r="P89" s="471"/>
      <c r="Q89" s="470"/>
      <c r="R89" s="472">
        <v>46205</v>
      </c>
      <c r="S89" s="473" t="s">
        <v>80</v>
      </c>
      <c r="T89" s="470" t="s">
        <v>1897</v>
      </c>
      <c r="U89" s="470" t="s">
        <v>156</v>
      </c>
      <c r="V89" s="470"/>
      <c r="W89" s="470"/>
      <c r="X89" s="483" t="s">
        <v>1898</v>
      </c>
      <c r="Y89" s="469" t="s">
        <v>1899</v>
      </c>
      <c r="Z89" s="475">
        <v>0.8505</v>
      </c>
      <c r="AA89" s="468">
        <f t="shared" si="123"/>
        <v>176.904</v>
      </c>
      <c r="AB89" s="469"/>
      <c r="AC89" s="474"/>
      <c r="AD89" s="420">
        <f t="shared" si="114"/>
        <v>-208</v>
      </c>
      <c r="AE89" s="470"/>
      <c r="AF89" s="396" t="s">
        <v>114</v>
      </c>
      <c r="AG89" s="467" t="s">
        <v>414</v>
      </c>
      <c r="AH89" s="469" t="s">
        <v>115</v>
      </c>
      <c r="AI89" s="471">
        <f t="shared" si="148"/>
        <v>208</v>
      </c>
      <c r="AJ89" s="471"/>
      <c r="AK89" s="57">
        <f t="shared" si="149"/>
        <v>208</v>
      </c>
      <c r="AL89" s="57"/>
      <c r="AM89" s="373"/>
      <c r="AN89" s="57">
        <f>I89</f>
        <v>208</v>
      </c>
      <c r="AO89" s="471"/>
      <c r="AP89" s="471"/>
      <c r="AQ89" s="57">
        <f t="shared" si="151"/>
        <v>208</v>
      </c>
      <c r="AR89" s="471"/>
      <c r="AS89" s="471"/>
      <c r="AT89" s="471"/>
      <c r="AU89" s="471"/>
      <c r="AV89" s="373"/>
      <c r="AW89" s="57">
        <f>I89/13</f>
        <v>16</v>
      </c>
      <c r="AX89" s="471"/>
      <c r="AY89" s="471"/>
      <c r="AZ89" s="471"/>
      <c r="BA89" s="471"/>
      <c r="BB89" s="471"/>
      <c r="BC89" s="471"/>
      <c r="BD89" s="471"/>
      <c r="BE89" s="471"/>
      <c r="BF89" s="471"/>
      <c r="BG89" s="471"/>
      <c r="BH89" s="471"/>
      <c r="BI89" s="471"/>
      <c r="BJ89" s="471"/>
      <c r="BK89" s="471"/>
      <c r="BL89" s="476">
        <f t="shared" ref="BL89:BT89" si="159">$I89*BL$2</f>
        <v>25.4583333333333</v>
      </c>
      <c r="BM89" s="476">
        <f t="shared" si="159"/>
        <v>25.4583333333333</v>
      </c>
      <c r="BN89" s="476">
        <f t="shared" si="159"/>
        <v>25.4583333333333</v>
      </c>
      <c r="BO89" s="476">
        <f t="shared" si="159"/>
        <v>25.4583333333333</v>
      </c>
      <c r="BP89" s="476">
        <f t="shared" si="159"/>
        <v>25.4583333333333</v>
      </c>
      <c r="BQ89" s="476">
        <f t="shared" si="159"/>
        <v>25.4583333333333</v>
      </c>
      <c r="BR89" s="476">
        <f t="shared" si="159"/>
        <v>25.4583333333333</v>
      </c>
      <c r="BS89" s="476">
        <f t="shared" si="159"/>
        <v>25.4583333333333</v>
      </c>
      <c r="BT89" s="476">
        <f t="shared" si="159"/>
        <v>4.33333333333333</v>
      </c>
      <c r="BV89" s="82">
        <f t="shared" si="139"/>
        <v>24764.8463541668</v>
      </c>
      <c r="BW89" s="82">
        <f t="shared" si="140"/>
        <v>24764.8463541668</v>
      </c>
      <c r="BX89" s="82">
        <f t="shared" si="141"/>
        <v>24764.8463541668</v>
      </c>
      <c r="BY89" s="82">
        <f t="shared" si="142"/>
        <v>24764.8463541668</v>
      </c>
      <c r="BZ89" s="82">
        <f t="shared" si="143"/>
        <v>24764.8463541668</v>
      </c>
      <c r="CA89" s="82">
        <f t="shared" si="144"/>
        <v>24764.8463541668</v>
      </c>
      <c r="CB89" s="82">
        <f t="shared" si="145"/>
        <v>24764.8463541668</v>
      </c>
      <c r="CC89" s="82">
        <f t="shared" si="146"/>
        <v>24764.8463541668</v>
      </c>
      <c r="CD89" s="82">
        <f t="shared" si="147"/>
        <v>4167.2291666667</v>
      </c>
    </row>
    <row r="90" s="373" customFormat="1" ht="27" customHeight="1" spans="1:82">
      <c r="A90" s="464">
        <v>46190</v>
      </c>
      <c r="B90" s="382" t="s">
        <v>1894</v>
      </c>
      <c r="C90" s="465" t="s">
        <v>1895</v>
      </c>
      <c r="D90" s="466">
        <v>4500212758</v>
      </c>
      <c r="E90" s="465">
        <v>476</v>
      </c>
      <c r="F90" s="382" t="s">
        <v>1900</v>
      </c>
      <c r="G90" s="467" t="s">
        <v>78</v>
      </c>
      <c r="H90" s="382" t="s">
        <v>79</v>
      </c>
      <c r="I90" s="468">
        <v>270</v>
      </c>
      <c r="J90" s="468">
        <v>0</v>
      </c>
      <c r="K90" s="468">
        <v>54</v>
      </c>
      <c r="L90" s="468">
        <f t="shared" si="122"/>
        <v>5</v>
      </c>
      <c r="M90" s="477">
        <v>46254</v>
      </c>
      <c r="N90" s="477">
        <v>46249</v>
      </c>
      <c r="O90" s="470"/>
      <c r="P90" s="470"/>
      <c r="Q90" s="470"/>
      <c r="R90" s="472">
        <v>46205</v>
      </c>
      <c r="S90" s="473" t="s">
        <v>80</v>
      </c>
      <c r="T90" s="470" t="s">
        <v>1897</v>
      </c>
      <c r="U90" s="470"/>
      <c r="V90" s="470"/>
      <c r="W90" s="470"/>
      <c r="X90" s="483" t="s">
        <v>1901</v>
      </c>
      <c r="Y90" s="469" t="s">
        <v>1899</v>
      </c>
      <c r="Z90" s="481">
        <v>0.8371</v>
      </c>
      <c r="AA90" s="482">
        <f t="shared" si="123"/>
        <v>226.017</v>
      </c>
      <c r="AB90" s="469"/>
      <c r="AC90" s="470"/>
      <c r="AD90" s="420">
        <f t="shared" si="114"/>
        <v>-270</v>
      </c>
      <c r="AE90" s="470"/>
      <c r="AF90" s="396" t="s">
        <v>114</v>
      </c>
      <c r="AG90" s="53" t="s">
        <v>230</v>
      </c>
      <c r="AH90" s="469" t="s">
        <v>115</v>
      </c>
      <c r="AI90" s="471">
        <f t="shared" si="148"/>
        <v>270</v>
      </c>
      <c r="AJ90" s="471"/>
      <c r="AK90" s="57">
        <f t="shared" si="149"/>
        <v>270</v>
      </c>
      <c r="AL90" s="471"/>
      <c r="AM90" s="471"/>
      <c r="AN90" s="57">
        <f>I90</f>
        <v>270</v>
      </c>
      <c r="AO90" s="57"/>
      <c r="AP90" s="57"/>
      <c r="AQ90" s="57">
        <f t="shared" si="151"/>
        <v>270</v>
      </c>
      <c r="AR90" s="471"/>
      <c r="AS90" s="471"/>
      <c r="AT90" s="471"/>
      <c r="AU90" s="57">
        <f>I90/27</f>
        <v>10</v>
      </c>
      <c r="AV90" s="471"/>
      <c r="AW90" s="471"/>
      <c r="AX90" s="471"/>
      <c r="AY90" s="471"/>
      <c r="AZ90" s="471"/>
      <c r="BA90" s="471"/>
      <c r="BB90" s="471"/>
      <c r="BC90" s="471"/>
      <c r="BD90" s="471"/>
      <c r="BE90" s="471"/>
      <c r="BF90" s="471"/>
      <c r="BG90" s="471"/>
      <c r="BH90" s="471"/>
      <c r="BI90" s="471"/>
      <c r="BJ90" s="471"/>
      <c r="BK90" s="471"/>
      <c r="BL90" s="476">
        <f t="shared" ref="BL90:BT90" si="160">$I90*BL$2</f>
        <v>33.0468749999999</v>
      </c>
      <c r="BM90" s="476">
        <f t="shared" si="160"/>
        <v>33.0468749999999</v>
      </c>
      <c r="BN90" s="476">
        <f t="shared" si="160"/>
        <v>33.0468749999999</v>
      </c>
      <c r="BO90" s="476">
        <f t="shared" si="160"/>
        <v>33.0468749999999</v>
      </c>
      <c r="BP90" s="476">
        <f t="shared" si="160"/>
        <v>33.0468749999999</v>
      </c>
      <c r="BQ90" s="476">
        <f t="shared" si="160"/>
        <v>33.0468749999999</v>
      </c>
      <c r="BR90" s="476">
        <f t="shared" si="160"/>
        <v>33.0468749999999</v>
      </c>
      <c r="BS90" s="476">
        <f t="shared" si="160"/>
        <v>33.0468749999999</v>
      </c>
      <c r="BT90" s="476">
        <f t="shared" si="160"/>
        <v>5.62499999999999</v>
      </c>
      <c r="BV90" s="82">
        <f t="shared" si="139"/>
        <v>24731.7994791668</v>
      </c>
      <c r="BW90" s="82">
        <f t="shared" si="140"/>
        <v>24731.7994791668</v>
      </c>
      <c r="BX90" s="82">
        <f t="shared" si="141"/>
        <v>24731.7994791668</v>
      </c>
      <c r="BY90" s="82">
        <f t="shared" si="142"/>
        <v>24731.7994791668</v>
      </c>
      <c r="BZ90" s="82">
        <f t="shared" si="143"/>
        <v>24731.7994791668</v>
      </c>
      <c r="CA90" s="82">
        <f t="shared" si="144"/>
        <v>24731.7994791668</v>
      </c>
      <c r="CB90" s="82">
        <f t="shared" si="145"/>
        <v>24731.7994791668</v>
      </c>
      <c r="CC90" s="82">
        <f t="shared" si="146"/>
        <v>24731.7994791668</v>
      </c>
      <c r="CD90" s="82">
        <f t="shared" si="147"/>
        <v>4161.6041666667</v>
      </c>
    </row>
    <row r="91" s="4" customFormat="1" ht="27" customHeight="1" spans="1:82">
      <c r="A91" s="47">
        <v>46163</v>
      </c>
      <c r="B91" s="48" t="s">
        <v>1902</v>
      </c>
      <c r="C91" s="49" t="s">
        <v>1903</v>
      </c>
      <c r="D91" s="50" t="s">
        <v>1904</v>
      </c>
      <c r="E91" s="49" t="s">
        <v>1905</v>
      </c>
      <c r="F91" s="48" t="s">
        <v>1906</v>
      </c>
      <c r="G91" s="51" t="s">
        <v>152</v>
      </c>
      <c r="H91" s="48" t="s">
        <v>211</v>
      </c>
      <c r="I91" s="52">
        <v>312</v>
      </c>
      <c r="J91" s="52">
        <v>0</v>
      </c>
      <c r="K91" s="52">
        <v>13</v>
      </c>
      <c r="L91" s="52">
        <f t="shared" si="122"/>
        <v>24</v>
      </c>
      <c r="M91" s="53">
        <v>46251</v>
      </c>
      <c r="N91" s="484">
        <v>46251</v>
      </c>
      <c r="O91" s="54"/>
      <c r="P91" s="57"/>
      <c r="Q91" s="54"/>
      <c r="R91" s="485">
        <v>46167</v>
      </c>
      <c r="S91" s="479" t="s">
        <v>191</v>
      </c>
      <c r="T91" s="470" t="s">
        <v>1907</v>
      </c>
      <c r="U91" s="470" t="s">
        <v>156</v>
      </c>
      <c r="V91" s="470"/>
      <c r="W91" s="470"/>
      <c r="X91" s="483" t="s">
        <v>1908</v>
      </c>
      <c r="Y91" s="53" t="s">
        <v>1909</v>
      </c>
      <c r="Z91" s="56">
        <v>0.8177</v>
      </c>
      <c r="AA91" s="52">
        <f t="shared" si="123"/>
        <v>255.1224</v>
      </c>
      <c r="AB91" s="53"/>
      <c r="AC91" s="55"/>
      <c r="AD91" s="420">
        <f t="shared" si="114"/>
        <v>-312</v>
      </c>
      <c r="AE91" s="54"/>
      <c r="AF91" s="396" t="s">
        <v>114</v>
      </c>
      <c r="AG91" s="51" t="s">
        <v>152</v>
      </c>
      <c r="AH91" s="469" t="s">
        <v>115</v>
      </c>
      <c r="AI91" s="57">
        <f t="shared" si="148"/>
        <v>312</v>
      </c>
      <c r="AJ91" s="57"/>
      <c r="AK91" s="57">
        <f t="shared" si="149"/>
        <v>312</v>
      </c>
      <c r="AL91" s="57"/>
      <c r="AM91" s="57">
        <f>I91</f>
        <v>312</v>
      </c>
      <c r="AN91" s="57"/>
      <c r="AO91" s="57"/>
      <c r="AP91" s="57"/>
      <c r="AQ91" s="57">
        <f t="shared" si="151"/>
        <v>312</v>
      </c>
      <c r="AR91" s="57"/>
      <c r="AS91" s="57"/>
      <c r="AT91" s="57"/>
      <c r="AU91" s="57"/>
      <c r="AV91" s="57">
        <f>I91/13</f>
        <v>24</v>
      </c>
      <c r="AW91" s="57"/>
      <c r="AX91" s="57"/>
      <c r="AY91" s="57"/>
      <c r="AZ91" s="57"/>
      <c r="BA91" s="57"/>
      <c r="BB91" s="57"/>
      <c r="BC91" s="57"/>
      <c r="BD91" s="57"/>
      <c r="BE91" s="57"/>
      <c r="BF91" s="57"/>
      <c r="BG91" s="57"/>
      <c r="BH91" s="57"/>
      <c r="BI91" s="57"/>
      <c r="BJ91" s="57"/>
      <c r="BK91" s="57"/>
      <c r="BL91" s="58">
        <f t="shared" ref="BL91:BT91" si="161">$I91*BL$2</f>
        <v>38.1874999999999</v>
      </c>
      <c r="BM91" s="58">
        <f t="shared" si="161"/>
        <v>38.1874999999999</v>
      </c>
      <c r="BN91" s="58">
        <f t="shared" si="161"/>
        <v>38.1874999999999</v>
      </c>
      <c r="BO91" s="58">
        <f t="shared" si="161"/>
        <v>38.1874999999999</v>
      </c>
      <c r="BP91" s="58">
        <f t="shared" si="161"/>
        <v>38.1874999999999</v>
      </c>
      <c r="BQ91" s="58">
        <f t="shared" si="161"/>
        <v>38.1874999999999</v>
      </c>
      <c r="BR91" s="58">
        <f t="shared" si="161"/>
        <v>38.1874999999999</v>
      </c>
      <c r="BS91" s="58">
        <f t="shared" si="161"/>
        <v>38.1874999999999</v>
      </c>
      <c r="BT91" s="58">
        <f t="shared" si="161"/>
        <v>6.49999999999999</v>
      </c>
      <c r="BV91" s="82">
        <f t="shared" si="139"/>
        <v>24693.6119791668</v>
      </c>
      <c r="BW91" s="82">
        <f t="shared" si="140"/>
        <v>24693.6119791668</v>
      </c>
      <c r="BX91" s="82">
        <f t="shared" si="141"/>
        <v>24693.6119791668</v>
      </c>
      <c r="BY91" s="82">
        <f t="shared" si="142"/>
        <v>24693.6119791668</v>
      </c>
      <c r="BZ91" s="82">
        <f t="shared" si="143"/>
        <v>24693.6119791668</v>
      </c>
      <c r="CA91" s="82">
        <f t="shared" si="144"/>
        <v>24693.6119791668</v>
      </c>
      <c r="CB91" s="82">
        <f t="shared" si="145"/>
        <v>24693.6119791668</v>
      </c>
      <c r="CC91" s="82">
        <f t="shared" si="146"/>
        <v>24693.6119791668</v>
      </c>
      <c r="CD91" s="82">
        <f t="shared" si="147"/>
        <v>4155.1041666667</v>
      </c>
    </row>
    <row r="92" s="373" customFormat="1" ht="27" customHeight="1" spans="1:82">
      <c r="A92" s="464">
        <v>46213</v>
      </c>
      <c r="B92" s="382" t="s">
        <v>1910</v>
      </c>
      <c r="C92" s="465" t="s">
        <v>117</v>
      </c>
      <c r="D92" s="466" t="s">
        <v>1911</v>
      </c>
      <c r="E92" s="465" t="s">
        <v>1912</v>
      </c>
      <c r="F92" s="382" t="s">
        <v>1913</v>
      </c>
      <c r="G92" s="467" t="s">
        <v>78</v>
      </c>
      <c r="H92" s="382" t="s">
        <v>79</v>
      </c>
      <c r="I92" s="468">
        <v>1458</v>
      </c>
      <c r="J92" s="468">
        <v>0</v>
      </c>
      <c r="K92" s="468">
        <v>54</v>
      </c>
      <c r="L92" s="468">
        <f t="shared" si="122"/>
        <v>27</v>
      </c>
      <c r="M92" s="469">
        <v>46254</v>
      </c>
      <c r="N92" s="469">
        <v>46251</v>
      </c>
      <c r="O92" s="470"/>
      <c r="P92" s="471"/>
      <c r="Q92" s="470" t="s">
        <v>1680</v>
      </c>
      <c r="R92" s="472">
        <v>46220</v>
      </c>
      <c r="S92" s="473" t="s">
        <v>80</v>
      </c>
      <c r="T92" s="470" t="s">
        <v>80</v>
      </c>
      <c r="U92" s="470"/>
      <c r="V92" s="470"/>
      <c r="W92" s="470"/>
      <c r="X92" s="474" t="s">
        <v>1295</v>
      </c>
      <c r="Y92" s="469" t="s">
        <v>1914</v>
      </c>
      <c r="Z92" s="475">
        <v>0.4989</v>
      </c>
      <c r="AA92" s="468">
        <f t="shared" si="123"/>
        <v>727.3962</v>
      </c>
      <c r="AB92" s="469"/>
      <c r="AC92" s="474"/>
      <c r="AD92" s="420">
        <f t="shared" si="114"/>
        <v>-1458</v>
      </c>
      <c r="AE92" s="470"/>
      <c r="AF92" s="396" t="s">
        <v>114</v>
      </c>
      <c r="AG92" s="467" t="s">
        <v>94</v>
      </c>
      <c r="AH92" s="469" t="s">
        <v>115</v>
      </c>
      <c r="AI92" s="471">
        <f t="shared" si="148"/>
        <v>1458</v>
      </c>
      <c r="AJ92" s="471"/>
      <c r="AK92" s="57">
        <f t="shared" si="149"/>
        <v>1458</v>
      </c>
      <c r="AL92" s="471"/>
      <c r="AM92" s="57">
        <f>I92</f>
        <v>1458</v>
      </c>
      <c r="AO92" s="471"/>
      <c r="AP92" s="471"/>
      <c r="AQ92" s="57">
        <f t="shared" si="151"/>
        <v>1458</v>
      </c>
      <c r="AR92" s="471"/>
      <c r="AS92" s="471">
        <f>I92/27</f>
        <v>54</v>
      </c>
      <c r="AT92" s="471"/>
      <c r="AU92" s="471"/>
      <c r="AV92" s="57"/>
      <c r="AW92" s="373"/>
      <c r="AX92" s="471"/>
      <c r="AY92" s="471"/>
      <c r="AZ92" s="471"/>
      <c r="BA92" s="471"/>
      <c r="BB92" s="471"/>
      <c r="BC92" s="471"/>
      <c r="BD92" s="471"/>
      <c r="BE92" s="471"/>
      <c r="BF92" s="471"/>
      <c r="BG92" s="471"/>
      <c r="BH92" s="471"/>
      <c r="BI92" s="471"/>
      <c r="BJ92" s="471"/>
      <c r="BK92" s="471"/>
      <c r="BL92" s="476">
        <f t="shared" ref="BL92:BT92" si="162">$I92*BL$2</f>
        <v>178.453125</v>
      </c>
      <c r="BM92" s="476">
        <f t="shared" si="162"/>
        <v>178.453125</v>
      </c>
      <c r="BN92" s="476">
        <f t="shared" si="162"/>
        <v>178.453125</v>
      </c>
      <c r="BO92" s="476">
        <f t="shared" si="162"/>
        <v>178.453125</v>
      </c>
      <c r="BP92" s="476">
        <f t="shared" si="162"/>
        <v>178.453125</v>
      </c>
      <c r="BQ92" s="476">
        <f t="shared" si="162"/>
        <v>178.453125</v>
      </c>
      <c r="BR92" s="476">
        <f t="shared" si="162"/>
        <v>178.453125</v>
      </c>
      <c r="BS92" s="476">
        <f t="shared" si="162"/>
        <v>178.453125</v>
      </c>
      <c r="BT92" s="476">
        <f t="shared" si="162"/>
        <v>30.375</v>
      </c>
      <c r="BV92" s="82">
        <f t="shared" si="139"/>
        <v>24515.1588541668</v>
      </c>
      <c r="BW92" s="82">
        <f t="shared" si="140"/>
        <v>24515.1588541668</v>
      </c>
      <c r="BX92" s="82">
        <f t="shared" si="141"/>
        <v>24515.1588541668</v>
      </c>
      <c r="BY92" s="82">
        <f t="shared" si="142"/>
        <v>24515.1588541668</v>
      </c>
      <c r="BZ92" s="82">
        <f t="shared" si="143"/>
        <v>24515.1588541668</v>
      </c>
      <c r="CA92" s="82">
        <f t="shared" si="144"/>
        <v>24515.1588541668</v>
      </c>
      <c r="CB92" s="82">
        <f t="shared" si="145"/>
        <v>24515.1588541668</v>
      </c>
      <c r="CC92" s="82">
        <f t="shared" si="146"/>
        <v>24515.1588541668</v>
      </c>
      <c r="CD92" s="82">
        <f t="shared" si="147"/>
        <v>4124.7291666667</v>
      </c>
    </row>
    <row r="93" s="373" customFormat="1" ht="27" customHeight="1" spans="1:82">
      <c r="A93" s="464">
        <v>46203</v>
      </c>
      <c r="B93" s="382" t="s">
        <v>1837</v>
      </c>
      <c r="C93" s="465" t="s">
        <v>396</v>
      </c>
      <c r="D93" s="466">
        <v>4500214285</v>
      </c>
      <c r="E93" s="465" t="s">
        <v>1915</v>
      </c>
      <c r="F93" s="382" t="s">
        <v>1916</v>
      </c>
      <c r="G93" s="467" t="s">
        <v>188</v>
      </c>
      <c r="H93" s="382" t="s">
        <v>120</v>
      </c>
      <c r="I93" s="468">
        <v>792</v>
      </c>
      <c r="J93" s="468">
        <v>0</v>
      </c>
      <c r="K93" s="468">
        <v>12</v>
      </c>
      <c r="L93" s="468">
        <f t="shared" si="122"/>
        <v>66</v>
      </c>
      <c r="M93" s="469">
        <v>46258</v>
      </c>
      <c r="N93" s="469">
        <v>46254</v>
      </c>
      <c r="O93" s="470"/>
      <c r="P93" s="471"/>
      <c r="Q93" s="470"/>
      <c r="R93" s="472">
        <v>46213</v>
      </c>
      <c r="S93" s="473" t="s">
        <v>80</v>
      </c>
      <c r="T93" s="470" t="s">
        <v>1840</v>
      </c>
      <c r="U93" s="470"/>
      <c r="V93" s="470"/>
      <c r="W93" s="470"/>
      <c r="X93" s="474" t="s">
        <v>1841</v>
      </c>
      <c r="Y93" s="469" t="s">
        <v>1917</v>
      </c>
      <c r="Z93" s="475">
        <v>1.9571</v>
      </c>
      <c r="AA93" s="468">
        <f t="shared" si="123"/>
        <v>1550.0232</v>
      </c>
      <c r="AB93" s="469"/>
      <c r="AC93" s="474"/>
      <c r="AD93" s="420">
        <f t="shared" si="114"/>
        <v>-792</v>
      </c>
      <c r="AE93" s="470"/>
      <c r="AF93" s="396" t="s">
        <v>114</v>
      </c>
      <c r="AG93" s="51" t="s">
        <v>188</v>
      </c>
      <c r="AH93" s="469" t="s">
        <v>115</v>
      </c>
      <c r="AI93" s="57">
        <f>I93*2</f>
        <v>1584</v>
      </c>
      <c r="AJ93" s="57"/>
      <c r="AK93" s="57">
        <f>I93*2</f>
        <v>1584</v>
      </c>
      <c r="AL93" s="471"/>
      <c r="AM93" s="471"/>
      <c r="AN93" s="57">
        <f>I93*2</f>
        <v>1584</v>
      </c>
      <c r="AO93" s="57"/>
      <c r="AP93" s="57"/>
      <c r="AQ93" s="57">
        <f>I93*2</f>
        <v>1584</v>
      </c>
      <c r="AR93" s="471"/>
      <c r="AS93" s="471"/>
      <c r="AT93" s="471"/>
      <c r="AU93" s="471"/>
      <c r="AV93" s="471"/>
      <c r="AW93" s="471"/>
      <c r="AX93" s="471"/>
      <c r="AY93" s="471"/>
      <c r="AZ93" s="471"/>
      <c r="BA93" s="471"/>
      <c r="BB93" s="471"/>
      <c r="BC93" s="471"/>
      <c r="BD93" s="471"/>
      <c r="BE93" s="471"/>
      <c r="BF93" s="471"/>
      <c r="BG93" s="471"/>
      <c r="BH93" s="57">
        <f>I93</f>
        <v>792</v>
      </c>
      <c r="BI93" s="57">
        <f>I93</f>
        <v>792</v>
      </c>
      <c r="BJ93" s="471"/>
      <c r="BK93" s="471"/>
      <c r="BL93" s="476">
        <f t="shared" ref="BL93:BT93" si="163">$I93*BL$2*2</f>
        <v>193.874999999999</v>
      </c>
      <c r="BM93" s="476">
        <f t="shared" si="163"/>
        <v>193.874999999999</v>
      </c>
      <c r="BN93" s="476">
        <f t="shared" si="163"/>
        <v>193.874999999999</v>
      </c>
      <c r="BO93" s="476">
        <f t="shared" si="163"/>
        <v>193.874999999999</v>
      </c>
      <c r="BP93" s="476">
        <f t="shared" si="163"/>
        <v>193.874999999999</v>
      </c>
      <c r="BQ93" s="476">
        <f t="shared" si="163"/>
        <v>193.874999999999</v>
      </c>
      <c r="BR93" s="476">
        <f t="shared" si="163"/>
        <v>193.874999999999</v>
      </c>
      <c r="BS93" s="476">
        <f t="shared" si="163"/>
        <v>193.874999999999</v>
      </c>
      <c r="BT93" s="476">
        <f t="shared" si="163"/>
        <v>33</v>
      </c>
      <c r="BV93" s="82">
        <f t="shared" si="139"/>
        <v>24321.2838541668</v>
      </c>
      <c r="BW93" s="82">
        <f t="shared" si="140"/>
        <v>24321.2838541668</v>
      </c>
      <c r="BX93" s="82">
        <f t="shared" si="141"/>
        <v>24321.2838541668</v>
      </c>
      <c r="BY93" s="82">
        <f t="shared" si="142"/>
        <v>24321.2838541668</v>
      </c>
      <c r="BZ93" s="82">
        <f t="shared" si="143"/>
        <v>24321.2838541668</v>
      </c>
      <c r="CA93" s="82">
        <f t="shared" si="144"/>
        <v>24321.2838541668</v>
      </c>
      <c r="CB93" s="82">
        <f t="shared" si="145"/>
        <v>24321.2838541668</v>
      </c>
      <c r="CC93" s="82">
        <f t="shared" si="146"/>
        <v>24321.2838541668</v>
      </c>
      <c r="CD93" s="82">
        <f t="shared" si="147"/>
        <v>4091.7291666667</v>
      </c>
    </row>
    <row r="94" s="373" customFormat="1" ht="27" customHeight="1" spans="1:82">
      <c r="A94" s="464">
        <v>46212</v>
      </c>
      <c r="B94" s="382" t="s">
        <v>1793</v>
      </c>
      <c r="C94" s="465" t="s">
        <v>1794</v>
      </c>
      <c r="D94" s="466" t="s">
        <v>1918</v>
      </c>
      <c r="E94" s="465"/>
      <c r="F94" s="382" t="s">
        <v>1919</v>
      </c>
      <c r="G94" s="467" t="s">
        <v>94</v>
      </c>
      <c r="H94" s="382" t="s">
        <v>211</v>
      </c>
      <c r="I94" s="468">
        <v>1040</v>
      </c>
      <c r="J94" s="468">
        <v>0</v>
      </c>
      <c r="K94" s="468">
        <v>52</v>
      </c>
      <c r="L94" s="468">
        <f t="shared" si="122"/>
        <v>20</v>
      </c>
      <c r="M94" s="469">
        <v>46262</v>
      </c>
      <c r="N94" s="469">
        <v>46258</v>
      </c>
      <c r="O94" s="470"/>
      <c r="P94" s="471"/>
      <c r="Q94" s="470"/>
      <c r="R94" s="472">
        <v>46212</v>
      </c>
      <c r="S94" s="473" t="s">
        <v>80</v>
      </c>
      <c r="T94" s="470" t="s">
        <v>80</v>
      </c>
      <c r="U94" s="470"/>
      <c r="V94" s="470"/>
      <c r="W94" s="470"/>
      <c r="X94" s="474" t="s">
        <v>1920</v>
      </c>
      <c r="Y94" s="469" t="s">
        <v>1799</v>
      </c>
      <c r="Z94" s="475">
        <v>0.8253</v>
      </c>
      <c r="AA94" s="468">
        <f t="shared" si="123"/>
        <v>858.312</v>
      </c>
      <c r="AB94" s="469"/>
      <c r="AC94" s="474"/>
      <c r="AD94" s="420">
        <f t="shared" si="114"/>
        <v>-1040</v>
      </c>
      <c r="AE94" s="470"/>
      <c r="AF94" s="396" t="s">
        <v>114</v>
      </c>
      <c r="AG94" s="467" t="s">
        <v>94</v>
      </c>
      <c r="AH94" s="469" t="s">
        <v>115</v>
      </c>
      <c r="AI94" s="471">
        <f>I94</f>
        <v>1040</v>
      </c>
      <c r="AJ94" s="471"/>
      <c r="AK94" s="57">
        <f>I94</f>
        <v>1040</v>
      </c>
      <c r="AL94" s="471"/>
      <c r="AM94" s="57">
        <f>I94</f>
        <v>1040</v>
      </c>
      <c r="AO94" s="471"/>
      <c r="AP94" s="471"/>
      <c r="AQ94" s="57">
        <f>I94</f>
        <v>1040</v>
      </c>
      <c r="AR94" s="471"/>
      <c r="AS94" s="471"/>
      <c r="AT94" s="471"/>
      <c r="AU94" s="471"/>
      <c r="AV94" s="57">
        <f>I94/13</f>
        <v>80</v>
      </c>
      <c r="AX94" s="471"/>
      <c r="AY94" s="471"/>
      <c r="AZ94" s="471"/>
      <c r="BA94" s="471"/>
      <c r="BB94" s="471"/>
      <c r="BC94" s="471"/>
      <c r="BD94" s="471"/>
      <c r="BE94" s="471"/>
      <c r="BF94" s="471"/>
      <c r="BG94" s="471"/>
      <c r="BH94" s="471"/>
      <c r="BI94" s="471"/>
      <c r="BJ94" s="471"/>
      <c r="BK94" s="471"/>
      <c r="BL94" s="476">
        <f t="shared" ref="BL94:BT94" si="164">$I94*BL$2</f>
        <v>127.291666666666</v>
      </c>
      <c r="BM94" s="476">
        <f t="shared" si="164"/>
        <v>127.291666666666</v>
      </c>
      <c r="BN94" s="476">
        <f t="shared" si="164"/>
        <v>127.291666666666</v>
      </c>
      <c r="BO94" s="476">
        <f t="shared" si="164"/>
        <v>127.291666666666</v>
      </c>
      <c r="BP94" s="476">
        <f t="shared" si="164"/>
        <v>127.291666666666</v>
      </c>
      <c r="BQ94" s="476">
        <f t="shared" si="164"/>
        <v>127.291666666666</v>
      </c>
      <c r="BR94" s="476">
        <f t="shared" si="164"/>
        <v>127.291666666666</v>
      </c>
      <c r="BS94" s="476">
        <f t="shared" si="164"/>
        <v>127.291666666666</v>
      </c>
      <c r="BT94" s="476">
        <f t="shared" si="164"/>
        <v>21.6666666666666</v>
      </c>
      <c r="BV94" s="82">
        <f t="shared" si="139"/>
        <v>24193.9921875001</v>
      </c>
      <c r="BW94" s="82">
        <f t="shared" si="140"/>
        <v>24193.9921875001</v>
      </c>
      <c r="BX94" s="82">
        <f t="shared" si="141"/>
        <v>24193.9921875001</v>
      </c>
      <c r="BY94" s="82">
        <f t="shared" si="142"/>
        <v>24193.9921875001</v>
      </c>
      <c r="BZ94" s="82">
        <f t="shared" si="143"/>
        <v>24193.9921875001</v>
      </c>
      <c r="CA94" s="82">
        <f t="shared" si="144"/>
        <v>24193.9921875001</v>
      </c>
      <c r="CB94" s="82">
        <f t="shared" si="145"/>
        <v>24193.9921875001</v>
      </c>
      <c r="CC94" s="82">
        <f t="shared" si="146"/>
        <v>24193.9921875001</v>
      </c>
      <c r="CD94" s="82">
        <f t="shared" si="147"/>
        <v>4070.06250000003</v>
      </c>
    </row>
    <row r="95" s="374" customFormat="1" ht="27" customHeight="1" spans="1:82">
      <c r="A95" s="464">
        <v>46218</v>
      </c>
      <c r="B95" s="382" t="s">
        <v>1148</v>
      </c>
      <c r="C95" s="465" t="s">
        <v>876</v>
      </c>
      <c r="D95" s="466">
        <v>4500216583</v>
      </c>
      <c r="E95" s="465" t="s">
        <v>1921</v>
      </c>
      <c r="F95" s="382" t="s">
        <v>1922</v>
      </c>
      <c r="G95" s="467" t="s">
        <v>78</v>
      </c>
      <c r="H95" s="382" t="s">
        <v>79</v>
      </c>
      <c r="I95" s="468">
        <v>1458</v>
      </c>
      <c r="J95" s="468">
        <v>0</v>
      </c>
      <c r="K95" s="468">
        <v>54</v>
      </c>
      <c r="L95" s="468">
        <f t="shared" si="122"/>
        <v>27</v>
      </c>
      <c r="M95" s="469">
        <v>46262</v>
      </c>
      <c r="N95" s="477">
        <v>46261</v>
      </c>
      <c r="O95" s="470"/>
      <c r="P95" s="471"/>
      <c r="Q95" s="470"/>
      <c r="R95" s="472">
        <v>46231</v>
      </c>
      <c r="S95" s="473" t="s">
        <v>80</v>
      </c>
      <c r="T95" s="470" t="s">
        <v>1923</v>
      </c>
      <c r="U95" s="470"/>
      <c r="V95" s="470"/>
      <c r="W95" s="470"/>
      <c r="X95" s="474" t="s">
        <v>1924</v>
      </c>
      <c r="Y95" s="469" t="s">
        <v>881</v>
      </c>
      <c r="Z95" s="475">
        <v>0.8134</v>
      </c>
      <c r="AA95" s="468">
        <f t="shared" si="123"/>
        <v>1185.9372</v>
      </c>
      <c r="AB95" s="469"/>
      <c r="AC95" s="474"/>
      <c r="AD95" s="420">
        <f t="shared" si="114"/>
        <v>-1458</v>
      </c>
      <c r="AE95" s="470"/>
      <c r="AF95" s="396" t="s">
        <v>114</v>
      </c>
      <c r="AG95" s="53" t="s">
        <v>230</v>
      </c>
      <c r="AH95" s="469" t="s">
        <v>115</v>
      </c>
      <c r="AI95" s="471">
        <f>I95</f>
        <v>1458</v>
      </c>
      <c r="AJ95" s="471"/>
      <c r="AK95" s="57">
        <f>I95</f>
        <v>1458</v>
      </c>
      <c r="AL95" s="471"/>
      <c r="AM95" s="471"/>
      <c r="AN95" s="57">
        <f>I95</f>
        <v>1458</v>
      </c>
      <c r="AO95" s="57"/>
      <c r="AP95" s="57"/>
      <c r="AQ95" s="57">
        <f>I95</f>
        <v>1458</v>
      </c>
      <c r="AR95" s="471"/>
      <c r="AS95" s="471"/>
      <c r="AT95" s="471"/>
      <c r="AU95" s="57">
        <f>I95/27</f>
        <v>54</v>
      </c>
      <c r="AV95" s="57"/>
      <c r="AW95" s="373"/>
      <c r="AX95" s="471"/>
      <c r="AY95" s="471"/>
      <c r="AZ95" s="471"/>
      <c r="BA95" s="471"/>
      <c r="BB95" s="471"/>
      <c r="BC95" s="471"/>
      <c r="BD95" s="471"/>
      <c r="BE95" s="471"/>
      <c r="BF95" s="471"/>
      <c r="BG95" s="471"/>
      <c r="BH95" s="471"/>
      <c r="BI95" s="471"/>
      <c r="BJ95" s="471"/>
      <c r="BK95" s="486"/>
      <c r="BL95" s="487">
        <f t="shared" ref="BL95:BT95" si="165">$I95*BL$2</f>
        <v>178.453125</v>
      </c>
      <c r="BM95" s="487">
        <f t="shared" si="165"/>
        <v>178.453125</v>
      </c>
      <c r="BN95" s="487">
        <f t="shared" si="165"/>
        <v>178.453125</v>
      </c>
      <c r="BO95" s="487">
        <f t="shared" si="165"/>
        <v>178.453125</v>
      </c>
      <c r="BP95" s="487">
        <f t="shared" si="165"/>
        <v>178.453125</v>
      </c>
      <c r="BQ95" s="487">
        <f t="shared" si="165"/>
        <v>178.453125</v>
      </c>
      <c r="BR95" s="487">
        <f t="shared" si="165"/>
        <v>178.453125</v>
      </c>
      <c r="BS95" s="487">
        <f t="shared" si="165"/>
        <v>178.453125</v>
      </c>
      <c r="BT95" s="487">
        <f t="shared" si="165"/>
        <v>30.375</v>
      </c>
      <c r="BV95" s="82">
        <f t="shared" ref="BV95:CD95" si="166">BV96-BL95</f>
        <v>23765.1171875001</v>
      </c>
      <c r="BW95" s="82">
        <f t="shared" si="166"/>
        <v>23765.1171875001</v>
      </c>
      <c r="BX95" s="82">
        <f t="shared" si="166"/>
        <v>23765.1171875001</v>
      </c>
      <c r="BY95" s="82">
        <f t="shared" si="166"/>
        <v>23765.1171875001</v>
      </c>
      <c r="BZ95" s="82">
        <f t="shared" si="166"/>
        <v>23765.1171875001</v>
      </c>
      <c r="CA95" s="82">
        <f t="shared" si="166"/>
        <v>23765.1171875001</v>
      </c>
      <c r="CB95" s="82">
        <f t="shared" si="166"/>
        <v>23765.1171875001</v>
      </c>
      <c r="CC95" s="82">
        <f t="shared" si="166"/>
        <v>23765.1171875001</v>
      </c>
      <c r="CD95" s="82">
        <f t="shared" si="166"/>
        <v>3997.06250000003</v>
      </c>
    </row>
    <row r="96" s="4" customFormat="1" ht="27" customHeight="1" spans="1:82">
      <c r="A96" s="47">
        <v>46185</v>
      </c>
      <c r="B96" s="48" t="s">
        <v>1925</v>
      </c>
      <c r="C96" s="49" t="s">
        <v>883</v>
      </c>
      <c r="D96" s="50" t="s">
        <v>1926</v>
      </c>
      <c r="E96" s="49"/>
      <c r="F96" s="48" t="s">
        <v>1927</v>
      </c>
      <c r="G96" s="51" t="s">
        <v>173</v>
      </c>
      <c r="H96" s="48" t="s">
        <v>174</v>
      </c>
      <c r="I96" s="52">
        <v>2046</v>
      </c>
      <c r="J96" s="52">
        <v>0</v>
      </c>
      <c r="K96" s="52">
        <v>66</v>
      </c>
      <c r="L96" s="52">
        <f t="shared" si="122"/>
        <v>31</v>
      </c>
      <c r="M96" s="53">
        <v>46223</v>
      </c>
      <c r="N96" s="40">
        <v>46265</v>
      </c>
      <c r="O96" s="54"/>
      <c r="P96" s="41" t="s">
        <v>1928</v>
      </c>
      <c r="Q96" s="54"/>
      <c r="R96" s="472">
        <v>46205</v>
      </c>
      <c r="S96" s="479" t="s">
        <v>80</v>
      </c>
      <c r="T96" s="470" t="s">
        <v>1929</v>
      </c>
      <c r="U96" s="470"/>
      <c r="V96" s="470"/>
      <c r="W96" s="470"/>
      <c r="X96" s="55" t="s">
        <v>1930</v>
      </c>
      <c r="Y96" s="53" t="s">
        <v>1931</v>
      </c>
      <c r="Z96" s="56">
        <v>66.5816</v>
      </c>
      <c r="AA96" s="52">
        <v>2064.0296</v>
      </c>
      <c r="AB96" s="53"/>
      <c r="AC96" s="55"/>
      <c r="AD96" s="420">
        <f t="shared" si="114"/>
        <v>-2046</v>
      </c>
      <c r="AE96" s="54"/>
      <c r="AF96" s="396" t="s">
        <v>114</v>
      </c>
      <c r="AG96" s="51" t="s">
        <v>1932</v>
      </c>
      <c r="AH96" s="469" t="s">
        <v>115</v>
      </c>
      <c r="AI96" s="57">
        <f>I96</f>
        <v>2046</v>
      </c>
      <c r="AJ96" s="57"/>
      <c r="AK96" s="57">
        <f>I96</f>
        <v>2046</v>
      </c>
      <c r="AL96" s="57"/>
      <c r="AM96" s="57"/>
      <c r="AN96" s="57">
        <f>I96</f>
        <v>2046</v>
      </c>
      <c r="AO96" s="57"/>
      <c r="AP96" s="57"/>
      <c r="AQ96" s="57">
        <f>I96</f>
        <v>2046</v>
      </c>
      <c r="AR96" s="57"/>
      <c r="AS96" s="57"/>
      <c r="AT96" s="57"/>
      <c r="AU96" s="57"/>
      <c r="AV96" s="57"/>
      <c r="AW96" s="57"/>
      <c r="AX96" s="57"/>
      <c r="AY96" s="57"/>
      <c r="AZ96" s="57"/>
      <c r="BA96" s="57"/>
      <c r="BB96" s="57"/>
      <c r="BC96" s="57">
        <f>I96/66</f>
        <v>31</v>
      </c>
      <c r="BD96" s="57">
        <f>I96/66</f>
        <v>31</v>
      </c>
      <c r="BE96" s="57"/>
      <c r="BF96" s="57"/>
      <c r="BG96" s="57"/>
      <c r="BH96" s="57"/>
      <c r="BI96" s="57"/>
      <c r="BJ96" s="57"/>
      <c r="BK96" s="57"/>
      <c r="BL96" s="58">
        <f t="shared" ref="BL96:BT96" si="167">$I96*BL$2</f>
        <v>250.421874999999</v>
      </c>
      <c r="BM96" s="58">
        <f t="shared" si="167"/>
        <v>250.421874999999</v>
      </c>
      <c r="BN96" s="58">
        <f t="shared" si="167"/>
        <v>250.421874999999</v>
      </c>
      <c r="BO96" s="58">
        <f t="shared" si="167"/>
        <v>250.421874999999</v>
      </c>
      <c r="BP96" s="58">
        <f t="shared" si="167"/>
        <v>250.421874999999</v>
      </c>
      <c r="BQ96" s="58">
        <f t="shared" si="167"/>
        <v>250.421874999999</v>
      </c>
      <c r="BR96" s="58">
        <f t="shared" si="167"/>
        <v>250.421874999999</v>
      </c>
      <c r="BS96" s="58">
        <f t="shared" si="167"/>
        <v>250.421874999999</v>
      </c>
      <c r="BT96" s="58">
        <f t="shared" si="167"/>
        <v>42.6249999999999</v>
      </c>
      <c r="BV96" s="82">
        <f t="shared" ref="BV96:CD96" si="168">BV94-BL96</f>
        <v>23943.5703125001</v>
      </c>
      <c r="BW96" s="82">
        <f t="shared" si="168"/>
        <v>23943.5703125001</v>
      </c>
      <c r="BX96" s="82">
        <f t="shared" si="168"/>
        <v>23943.5703125001</v>
      </c>
      <c r="BY96" s="82">
        <f t="shared" si="168"/>
        <v>23943.5703125001</v>
      </c>
      <c r="BZ96" s="82">
        <f t="shared" si="168"/>
        <v>23943.5703125001</v>
      </c>
      <c r="CA96" s="82">
        <f t="shared" si="168"/>
        <v>23943.5703125001</v>
      </c>
      <c r="CB96" s="82">
        <f t="shared" si="168"/>
        <v>23943.5703125001</v>
      </c>
      <c r="CC96" s="82">
        <f t="shared" si="168"/>
        <v>23943.5703125001</v>
      </c>
      <c r="CD96" s="82">
        <f t="shared" si="168"/>
        <v>4027.43750000003</v>
      </c>
    </row>
    <row r="97" s="373" customFormat="1" ht="27" customHeight="1" spans="1:82">
      <c r="A97" s="464">
        <v>46227</v>
      </c>
      <c r="B97" s="382" t="s">
        <v>1933</v>
      </c>
      <c r="C97" s="465" t="s">
        <v>396</v>
      </c>
      <c r="D97" s="466">
        <v>4500217674</v>
      </c>
      <c r="E97" s="465" t="s">
        <v>1934</v>
      </c>
      <c r="F97" s="382" t="s">
        <v>1935</v>
      </c>
      <c r="G97" s="467" t="s">
        <v>188</v>
      </c>
      <c r="H97" s="382" t="s">
        <v>120</v>
      </c>
      <c r="I97" s="468">
        <v>1344</v>
      </c>
      <c r="J97" s="468">
        <v>0</v>
      </c>
      <c r="K97" s="468">
        <v>12</v>
      </c>
      <c r="L97" s="468">
        <f t="shared" si="122"/>
        <v>112</v>
      </c>
      <c r="M97" s="469">
        <v>46266</v>
      </c>
      <c r="N97" s="477">
        <v>46266</v>
      </c>
      <c r="O97" s="470"/>
      <c r="P97" s="471"/>
      <c r="Q97" s="470"/>
      <c r="R97" s="472">
        <v>46237</v>
      </c>
      <c r="S97" s="470" t="s">
        <v>80</v>
      </c>
      <c r="T97" s="470" t="s">
        <v>1936</v>
      </c>
      <c r="U97" s="470"/>
      <c r="V97" s="470"/>
      <c r="W97" s="470"/>
      <c r="X97" s="480" t="s">
        <v>1937</v>
      </c>
      <c r="Y97" s="469" t="s">
        <v>1531</v>
      </c>
      <c r="Z97" s="475">
        <v>1.6018</v>
      </c>
      <c r="AA97" s="468">
        <f t="shared" ref="AA97:AA115" si="169">Z97*I97</f>
        <v>2152.8192</v>
      </c>
      <c r="AB97" s="469"/>
      <c r="AC97" s="474"/>
      <c r="AD97" s="420">
        <f t="shared" si="114"/>
        <v>-1344</v>
      </c>
      <c r="AE97" s="470"/>
      <c r="AF97" s="396" t="s">
        <v>114</v>
      </c>
      <c r="AG97" s="51" t="s">
        <v>119</v>
      </c>
      <c r="AH97" s="469" t="s">
        <v>115</v>
      </c>
      <c r="AI97" s="57">
        <f t="shared" ref="AI97:AI111" si="170">I97*2</f>
        <v>2688</v>
      </c>
      <c r="AJ97" s="57"/>
      <c r="AK97" s="57">
        <f t="shared" ref="AK97:AK111" si="171">I97*2</f>
        <v>2688</v>
      </c>
      <c r="AL97" s="471"/>
      <c r="AM97" s="471">
        <f>I97*2</f>
        <v>2688</v>
      </c>
      <c r="AN97" s="471"/>
      <c r="AO97" s="471"/>
      <c r="AP97" s="471"/>
      <c r="AQ97" s="471">
        <f t="shared" ref="AQ97:AQ111" si="172">I97*2</f>
        <v>2688</v>
      </c>
      <c r="AR97" s="471"/>
      <c r="AS97" s="471"/>
      <c r="AT97" s="471"/>
      <c r="AU97" s="57"/>
      <c r="AV97" s="57"/>
      <c r="AW97" s="373"/>
      <c r="AX97" s="471"/>
      <c r="AY97" s="471"/>
      <c r="AZ97" s="471"/>
      <c r="BA97" s="471"/>
      <c r="BB97" s="471"/>
      <c r="BC97" s="471"/>
      <c r="BD97" s="471"/>
      <c r="BE97" s="471"/>
      <c r="BF97" s="471"/>
      <c r="BG97" s="471"/>
      <c r="BH97" s="57">
        <f t="shared" ref="BH97:BH111" si="173">I97</f>
        <v>1344</v>
      </c>
      <c r="BI97" s="57">
        <f t="shared" ref="BI97:BI111" si="174">I97</f>
        <v>1344</v>
      </c>
      <c r="BJ97" s="471"/>
      <c r="BK97" s="471"/>
      <c r="BL97" s="476">
        <f t="shared" ref="BL97:BT97" si="175">$I97*BL$2*2</f>
        <v>328.999999999999</v>
      </c>
      <c r="BM97" s="476">
        <f t="shared" si="175"/>
        <v>328.999999999999</v>
      </c>
      <c r="BN97" s="476">
        <f t="shared" si="175"/>
        <v>328.999999999999</v>
      </c>
      <c r="BO97" s="476">
        <f t="shared" si="175"/>
        <v>328.999999999999</v>
      </c>
      <c r="BP97" s="476">
        <f t="shared" si="175"/>
        <v>328.999999999999</v>
      </c>
      <c r="BQ97" s="476">
        <f t="shared" si="175"/>
        <v>328.999999999999</v>
      </c>
      <c r="BR97" s="476">
        <f t="shared" si="175"/>
        <v>328.999999999999</v>
      </c>
      <c r="BS97" s="476">
        <f t="shared" si="175"/>
        <v>328.999999999999</v>
      </c>
      <c r="BT97" s="476">
        <f t="shared" si="175"/>
        <v>55.9999999999999</v>
      </c>
      <c r="BV97" s="82">
        <f t="shared" ref="BV97:CD97" si="176">BV95-BL97</f>
        <v>23436.1171875001</v>
      </c>
      <c r="BW97" s="82">
        <f t="shared" si="176"/>
        <v>23436.1171875001</v>
      </c>
      <c r="BX97" s="82">
        <f t="shared" si="176"/>
        <v>23436.1171875001</v>
      </c>
      <c r="BY97" s="82">
        <f t="shared" si="176"/>
        <v>23436.1171875001</v>
      </c>
      <c r="BZ97" s="82">
        <f t="shared" si="176"/>
        <v>23436.1171875001</v>
      </c>
      <c r="CA97" s="82">
        <f t="shared" si="176"/>
        <v>23436.1171875001</v>
      </c>
      <c r="CB97" s="82">
        <f t="shared" si="176"/>
        <v>23436.1171875001</v>
      </c>
      <c r="CC97" s="82">
        <f t="shared" si="176"/>
        <v>23436.1171875001</v>
      </c>
      <c r="CD97" s="82">
        <f t="shared" si="176"/>
        <v>3941.06250000003</v>
      </c>
    </row>
    <row r="98" s="373" customFormat="1" ht="27" customHeight="1" spans="1:82">
      <c r="A98" s="464">
        <v>46227</v>
      </c>
      <c r="B98" s="382" t="s">
        <v>1933</v>
      </c>
      <c r="C98" s="465" t="s">
        <v>396</v>
      </c>
      <c r="D98" s="466">
        <v>4500217674</v>
      </c>
      <c r="E98" s="465" t="s">
        <v>1938</v>
      </c>
      <c r="F98" s="382" t="s">
        <v>1939</v>
      </c>
      <c r="G98" s="467" t="s">
        <v>188</v>
      </c>
      <c r="H98" s="382" t="s">
        <v>120</v>
      </c>
      <c r="I98" s="468">
        <v>972</v>
      </c>
      <c r="J98" s="468">
        <v>0</v>
      </c>
      <c r="K98" s="468">
        <v>12</v>
      </c>
      <c r="L98" s="468">
        <f t="shared" si="122"/>
        <v>81</v>
      </c>
      <c r="M98" s="469">
        <v>46266</v>
      </c>
      <c r="N98" s="477">
        <v>46266</v>
      </c>
      <c r="O98" s="470"/>
      <c r="P98" s="471"/>
      <c r="Q98" s="470"/>
      <c r="R98" s="472">
        <v>46237</v>
      </c>
      <c r="S98" s="470" t="s">
        <v>80</v>
      </c>
      <c r="T98" s="470" t="s">
        <v>1936</v>
      </c>
      <c r="U98" s="470"/>
      <c r="V98" s="470"/>
      <c r="W98" s="470"/>
      <c r="X98" s="480" t="s">
        <v>1937</v>
      </c>
      <c r="Y98" s="469" t="s">
        <v>1531</v>
      </c>
      <c r="Z98" s="475">
        <v>1.9571</v>
      </c>
      <c r="AA98" s="468">
        <f t="shared" si="169"/>
        <v>1902.3012</v>
      </c>
      <c r="AB98" s="469"/>
      <c r="AC98" s="474"/>
      <c r="AD98" s="420">
        <f t="shared" si="114"/>
        <v>-972</v>
      </c>
      <c r="AE98" s="470"/>
      <c r="AF98" s="396" t="s">
        <v>114</v>
      </c>
      <c r="AG98" s="51" t="s">
        <v>119</v>
      </c>
      <c r="AH98" s="469" t="s">
        <v>115</v>
      </c>
      <c r="AI98" s="57">
        <f t="shared" si="170"/>
        <v>1944</v>
      </c>
      <c r="AJ98" s="57"/>
      <c r="AK98" s="57">
        <f t="shared" si="171"/>
        <v>1944</v>
      </c>
      <c r="AL98" s="471"/>
      <c r="AM98" s="471">
        <f t="shared" ref="AM98:AM105" si="177">I98*2</f>
        <v>1944</v>
      </c>
      <c r="AN98" s="471"/>
      <c r="AO98" s="471"/>
      <c r="AP98" s="471"/>
      <c r="AQ98" s="471">
        <f t="shared" si="172"/>
        <v>1944</v>
      </c>
      <c r="AR98" s="471"/>
      <c r="AS98" s="471"/>
      <c r="AT98" s="471"/>
      <c r="AU98" s="57"/>
      <c r="AV98" s="57"/>
      <c r="AW98" s="373"/>
      <c r="AX98" s="471"/>
      <c r="AY98" s="471"/>
      <c r="AZ98" s="471"/>
      <c r="BA98" s="471"/>
      <c r="BB98" s="471"/>
      <c r="BC98" s="471"/>
      <c r="BD98" s="471"/>
      <c r="BE98" s="471"/>
      <c r="BF98" s="471"/>
      <c r="BG98" s="471"/>
      <c r="BH98" s="57">
        <f t="shared" si="173"/>
        <v>972</v>
      </c>
      <c r="BI98" s="57">
        <f t="shared" si="174"/>
        <v>972</v>
      </c>
      <c r="BJ98" s="471"/>
      <c r="BK98" s="471"/>
      <c r="BL98" s="476">
        <f t="shared" ref="BL98:BT98" si="178">$I98*BL$2*2</f>
        <v>237.937499999999</v>
      </c>
      <c r="BM98" s="476">
        <f t="shared" si="178"/>
        <v>237.937499999999</v>
      </c>
      <c r="BN98" s="476">
        <f t="shared" si="178"/>
        <v>237.937499999999</v>
      </c>
      <c r="BO98" s="476">
        <f t="shared" si="178"/>
        <v>237.937499999999</v>
      </c>
      <c r="BP98" s="476">
        <f t="shared" si="178"/>
        <v>237.937499999999</v>
      </c>
      <c r="BQ98" s="476">
        <f t="shared" si="178"/>
        <v>237.937499999999</v>
      </c>
      <c r="BR98" s="476">
        <f t="shared" si="178"/>
        <v>237.937499999999</v>
      </c>
      <c r="BS98" s="476">
        <f t="shared" si="178"/>
        <v>237.937499999999</v>
      </c>
      <c r="BT98" s="476">
        <f t="shared" si="178"/>
        <v>40.4999999999999</v>
      </c>
      <c r="BV98" s="82">
        <f t="shared" ref="BV98:CD98" si="179">BV97-BL98</f>
        <v>23198.1796875001</v>
      </c>
      <c r="BW98" s="82">
        <f t="shared" si="179"/>
        <v>23198.1796875001</v>
      </c>
      <c r="BX98" s="82">
        <f t="shared" si="179"/>
        <v>23198.1796875001</v>
      </c>
      <c r="BY98" s="82">
        <f t="shared" si="179"/>
        <v>23198.1796875001</v>
      </c>
      <c r="BZ98" s="82">
        <f t="shared" si="179"/>
        <v>23198.1796875001</v>
      </c>
      <c r="CA98" s="82">
        <f t="shared" si="179"/>
        <v>23198.1796875001</v>
      </c>
      <c r="CB98" s="82">
        <f t="shared" si="179"/>
        <v>23198.1796875001</v>
      </c>
      <c r="CC98" s="82">
        <f t="shared" si="179"/>
        <v>23198.1796875001</v>
      </c>
      <c r="CD98" s="82">
        <f t="shared" si="179"/>
        <v>3900.56250000003</v>
      </c>
    </row>
    <row r="99" s="373" customFormat="1" ht="27" customHeight="1" spans="1:82">
      <c r="A99" s="464">
        <v>46227</v>
      </c>
      <c r="B99" s="382" t="s">
        <v>1933</v>
      </c>
      <c r="C99" s="465" t="s">
        <v>396</v>
      </c>
      <c r="D99" s="466">
        <v>4500217674</v>
      </c>
      <c r="E99" s="465" t="s">
        <v>1940</v>
      </c>
      <c r="F99" s="382" t="s">
        <v>1941</v>
      </c>
      <c r="G99" s="467" t="s">
        <v>188</v>
      </c>
      <c r="H99" s="382" t="s">
        <v>120</v>
      </c>
      <c r="I99" s="468">
        <v>1632</v>
      </c>
      <c r="J99" s="468">
        <v>0</v>
      </c>
      <c r="K99" s="468">
        <v>12</v>
      </c>
      <c r="L99" s="468">
        <f t="shared" si="122"/>
        <v>136</v>
      </c>
      <c r="M99" s="469">
        <v>46266</v>
      </c>
      <c r="N99" s="477">
        <v>46266</v>
      </c>
      <c r="O99" s="470"/>
      <c r="P99" s="471"/>
      <c r="Q99" s="470"/>
      <c r="R99" s="472">
        <v>46237</v>
      </c>
      <c r="S99" s="470" t="s">
        <v>80</v>
      </c>
      <c r="T99" s="470" t="s">
        <v>1936</v>
      </c>
      <c r="U99" s="470"/>
      <c r="V99" s="470"/>
      <c r="W99" s="470"/>
      <c r="X99" s="480" t="s">
        <v>1937</v>
      </c>
      <c r="Y99" s="469" t="s">
        <v>1531</v>
      </c>
      <c r="Z99" s="475">
        <v>1.6018</v>
      </c>
      <c r="AA99" s="468">
        <f t="shared" si="169"/>
        <v>2614.1376</v>
      </c>
      <c r="AB99" s="469"/>
      <c r="AC99" s="474"/>
      <c r="AD99" s="420">
        <f t="shared" si="114"/>
        <v>-1632</v>
      </c>
      <c r="AE99" s="470"/>
      <c r="AF99" s="396" t="s">
        <v>114</v>
      </c>
      <c r="AG99" s="51" t="s">
        <v>119</v>
      </c>
      <c r="AH99" s="469" t="s">
        <v>115</v>
      </c>
      <c r="AI99" s="57">
        <f t="shared" si="170"/>
        <v>3264</v>
      </c>
      <c r="AJ99" s="57"/>
      <c r="AK99" s="57">
        <f t="shared" si="171"/>
        <v>3264</v>
      </c>
      <c r="AL99" s="471"/>
      <c r="AM99" s="471">
        <f t="shared" si="177"/>
        <v>3264</v>
      </c>
      <c r="AN99" s="471"/>
      <c r="AO99" s="471"/>
      <c r="AP99" s="471"/>
      <c r="AQ99" s="471">
        <f t="shared" si="172"/>
        <v>3264</v>
      </c>
      <c r="AR99" s="471"/>
      <c r="AS99" s="471"/>
      <c r="AT99" s="471"/>
      <c r="AU99" s="57"/>
      <c r="AV99" s="57"/>
      <c r="AW99" s="373"/>
      <c r="AX99" s="471"/>
      <c r="AY99" s="471"/>
      <c r="AZ99" s="471"/>
      <c r="BA99" s="471"/>
      <c r="BB99" s="471"/>
      <c r="BC99" s="471"/>
      <c r="BD99" s="471"/>
      <c r="BE99" s="471"/>
      <c r="BF99" s="471"/>
      <c r="BG99" s="471"/>
      <c r="BH99" s="57">
        <f t="shared" si="173"/>
        <v>1632</v>
      </c>
      <c r="BI99" s="57">
        <f t="shared" si="174"/>
        <v>1632</v>
      </c>
      <c r="BJ99" s="471"/>
      <c r="BK99" s="471"/>
      <c r="BL99" s="476">
        <f t="shared" ref="BL99:BT99" si="180">$I99*BL$2*2</f>
        <v>399.499999999999</v>
      </c>
      <c r="BM99" s="476">
        <f t="shared" si="180"/>
        <v>399.499999999999</v>
      </c>
      <c r="BN99" s="476">
        <f t="shared" si="180"/>
        <v>399.499999999999</v>
      </c>
      <c r="BO99" s="476">
        <f t="shared" si="180"/>
        <v>399.499999999999</v>
      </c>
      <c r="BP99" s="476">
        <f t="shared" si="180"/>
        <v>399.499999999999</v>
      </c>
      <c r="BQ99" s="476">
        <f t="shared" si="180"/>
        <v>399.499999999999</v>
      </c>
      <c r="BR99" s="476">
        <f t="shared" si="180"/>
        <v>399.499999999999</v>
      </c>
      <c r="BS99" s="476">
        <f t="shared" si="180"/>
        <v>399.499999999999</v>
      </c>
      <c r="BT99" s="476">
        <f t="shared" si="180"/>
        <v>67.9999999999999</v>
      </c>
      <c r="BV99" s="82">
        <f t="shared" ref="BV99:CD99" si="181">BV98-BL99</f>
        <v>22798.6796875001</v>
      </c>
      <c r="BW99" s="82">
        <f t="shared" si="181"/>
        <v>22798.6796875001</v>
      </c>
      <c r="BX99" s="82">
        <f t="shared" si="181"/>
        <v>22798.6796875001</v>
      </c>
      <c r="BY99" s="82">
        <f t="shared" si="181"/>
        <v>22798.6796875001</v>
      </c>
      <c r="BZ99" s="82">
        <f t="shared" si="181"/>
        <v>22798.6796875001</v>
      </c>
      <c r="CA99" s="82">
        <f t="shared" si="181"/>
        <v>22798.6796875001</v>
      </c>
      <c r="CB99" s="82">
        <f t="shared" si="181"/>
        <v>22798.6796875001</v>
      </c>
      <c r="CC99" s="82">
        <f t="shared" si="181"/>
        <v>22798.6796875001</v>
      </c>
      <c r="CD99" s="82">
        <f t="shared" si="181"/>
        <v>3832.56250000003</v>
      </c>
    </row>
    <row r="100" s="373" customFormat="1" ht="27" customHeight="1" spans="1:82">
      <c r="A100" s="464">
        <v>46227</v>
      </c>
      <c r="B100" s="382" t="s">
        <v>1933</v>
      </c>
      <c r="C100" s="465" t="s">
        <v>396</v>
      </c>
      <c r="D100" s="466">
        <v>4500217674</v>
      </c>
      <c r="E100" s="465" t="s">
        <v>1942</v>
      </c>
      <c r="F100" s="382" t="s">
        <v>1943</v>
      </c>
      <c r="G100" s="467" t="s">
        <v>188</v>
      </c>
      <c r="H100" s="382" t="s">
        <v>120</v>
      </c>
      <c r="I100" s="468">
        <v>1008</v>
      </c>
      <c r="J100" s="468">
        <v>0</v>
      </c>
      <c r="K100" s="468">
        <v>12</v>
      </c>
      <c r="L100" s="468">
        <f t="shared" si="122"/>
        <v>84</v>
      </c>
      <c r="M100" s="469">
        <v>46266</v>
      </c>
      <c r="N100" s="477">
        <v>46266</v>
      </c>
      <c r="O100" s="470"/>
      <c r="P100" s="471"/>
      <c r="Q100" s="470"/>
      <c r="R100" s="472">
        <v>46237</v>
      </c>
      <c r="S100" s="470" t="s">
        <v>80</v>
      </c>
      <c r="T100" s="470" t="s">
        <v>1936</v>
      </c>
      <c r="U100" s="470"/>
      <c r="V100" s="470"/>
      <c r="W100" s="470"/>
      <c r="X100" s="480" t="s">
        <v>1937</v>
      </c>
      <c r="Y100" s="469" t="s">
        <v>1531</v>
      </c>
      <c r="Z100" s="475">
        <v>1.6018</v>
      </c>
      <c r="AA100" s="468">
        <f t="shared" si="169"/>
        <v>1614.6144</v>
      </c>
      <c r="AB100" s="469"/>
      <c r="AC100" s="474"/>
      <c r="AD100" s="420">
        <f t="shared" si="114"/>
        <v>-1008</v>
      </c>
      <c r="AE100" s="470"/>
      <c r="AF100" s="396" t="s">
        <v>114</v>
      </c>
      <c r="AG100" s="51" t="s">
        <v>119</v>
      </c>
      <c r="AH100" s="469" t="s">
        <v>115</v>
      </c>
      <c r="AI100" s="57">
        <f t="shared" si="170"/>
        <v>2016</v>
      </c>
      <c r="AJ100" s="57"/>
      <c r="AK100" s="57">
        <f t="shared" si="171"/>
        <v>2016</v>
      </c>
      <c r="AL100" s="471"/>
      <c r="AM100" s="471">
        <f t="shared" si="177"/>
        <v>2016</v>
      </c>
      <c r="AN100" s="471"/>
      <c r="AO100" s="471"/>
      <c r="AP100" s="471"/>
      <c r="AQ100" s="471">
        <f t="shared" si="172"/>
        <v>2016</v>
      </c>
      <c r="AR100" s="471"/>
      <c r="AS100" s="471"/>
      <c r="AT100" s="471"/>
      <c r="AU100" s="57"/>
      <c r="AV100" s="57"/>
      <c r="AW100" s="373"/>
      <c r="AX100" s="471"/>
      <c r="AY100" s="471"/>
      <c r="AZ100" s="471"/>
      <c r="BA100" s="471"/>
      <c r="BB100" s="471"/>
      <c r="BC100" s="471"/>
      <c r="BD100" s="471"/>
      <c r="BE100" s="471"/>
      <c r="BF100" s="471"/>
      <c r="BG100" s="471"/>
      <c r="BH100" s="57">
        <f t="shared" si="173"/>
        <v>1008</v>
      </c>
      <c r="BI100" s="57">
        <f t="shared" si="174"/>
        <v>1008</v>
      </c>
      <c r="BJ100" s="471"/>
      <c r="BK100" s="471"/>
      <c r="BL100" s="476">
        <f t="shared" ref="BL100:BT100" si="182">$I100*BL$2*2</f>
        <v>246.749999999999</v>
      </c>
      <c r="BM100" s="476">
        <f t="shared" si="182"/>
        <v>246.749999999999</v>
      </c>
      <c r="BN100" s="476">
        <f t="shared" si="182"/>
        <v>246.749999999999</v>
      </c>
      <c r="BO100" s="476">
        <f t="shared" si="182"/>
        <v>246.749999999999</v>
      </c>
      <c r="BP100" s="476">
        <f t="shared" si="182"/>
        <v>246.749999999999</v>
      </c>
      <c r="BQ100" s="476">
        <f t="shared" si="182"/>
        <v>246.749999999999</v>
      </c>
      <c r="BR100" s="476">
        <f t="shared" si="182"/>
        <v>246.749999999999</v>
      </c>
      <c r="BS100" s="476">
        <f t="shared" si="182"/>
        <v>246.749999999999</v>
      </c>
      <c r="BT100" s="476">
        <f t="shared" si="182"/>
        <v>41.9999999999999</v>
      </c>
      <c r="BV100" s="82">
        <f t="shared" ref="BV100:CD100" si="183">BV99-BL100</f>
        <v>22551.9296875001</v>
      </c>
      <c r="BW100" s="82">
        <f t="shared" si="183"/>
        <v>22551.9296875001</v>
      </c>
      <c r="BX100" s="82">
        <f t="shared" si="183"/>
        <v>22551.9296875001</v>
      </c>
      <c r="BY100" s="82">
        <f t="shared" si="183"/>
        <v>22551.9296875001</v>
      </c>
      <c r="BZ100" s="82">
        <f t="shared" si="183"/>
        <v>22551.9296875001</v>
      </c>
      <c r="CA100" s="82">
        <f t="shared" si="183"/>
        <v>22551.9296875001</v>
      </c>
      <c r="CB100" s="82">
        <f t="shared" si="183"/>
        <v>22551.9296875001</v>
      </c>
      <c r="CC100" s="82">
        <f t="shared" si="183"/>
        <v>22551.9296875001</v>
      </c>
      <c r="CD100" s="82">
        <f t="shared" si="183"/>
        <v>3790.56250000003</v>
      </c>
    </row>
    <row r="101" s="373" customFormat="1" ht="27" customHeight="1" spans="1:82">
      <c r="A101" s="464">
        <v>46227</v>
      </c>
      <c r="B101" s="382" t="s">
        <v>1933</v>
      </c>
      <c r="C101" s="465" t="s">
        <v>396</v>
      </c>
      <c r="D101" s="466">
        <v>4500217674</v>
      </c>
      <c r="E101" s="465" t="s">
        <v>1944</v>
      </c>
      <c r="F101" s="382" t="s">
        <v>1945</v>
      </c>
      <c r="G101" s="467" t="s">
        <v>188</v>
      </c>
      <c r="H101" s="382" t="s">
        <v>120</v>
      </c>
      <c r="I101" s="468">
        <v>1188</v>
      </c>
      <c r="J101" s="468">
        <v>0</v>
      </c>
      <c r="K101" s="468">
        <v>12</v>
      </c>
      <c r="L101" s="468">
        <f t="shared" si="122"/>
        <v>99</v>
      </c>
      <c r="M101" s="469">
        <v>46266</v>
      </c>
      <c r="N101" s="477">
        <v>46266</v>
      </c>
      <c r="O101" s="470"/>
      <c r="P101" s="471"/>
      <c r="Q101" s="470"/>
      <c r="R101" s="472">
        <v>46237</v>
      </c>
      <c r="S101" s="470" t="s">
        <v>80</v>
      </c>
      <c r="T101" s="470" t="s">
        <v>1936</v>
      </c>
      <c r="U101" s="470"/>
      <c r="V101" s="470"/>
      <c r="W101" s="470"/>
      <c r="X101" s="480" t="s">
        <v>1937</v>
      </c>
      <c r="Y101" s="469" t="s">
        <v>1531</v>
      </c>
      <c r="Z101" s="475">
        <v>1.6018</v>
      </c>
      <c r="AA101" s="468">
        <f t="shared" si="169"/>
        <v>1902.9384</v>
      </c>
      <c r="AB101" s="469"/>
      <c r="AC101" s="474"/>
      <c r="AD101" s="420">
        <f t="shared" ref="AD101:AD115" si="184">AC101-I101</f>
        <v>-1188</v>
      </c>
      <c r="AE101" s="470"/>
      <c r="AF101" s="396" t="s">
        <v>114</v>
      </c>
      <c r="AG101" s="51" t="s">
        <v>119</v>
      </c>
      <c r="AH101" s="469" t="s">
        <v>115</v>
      </c>
      <c r="AI101" s="57">
        <f t="shared" si="170"/>
        <v>2376</v>
      </c>
      <c r="AJ101" s="57"/>
      <c r="AK101" s="57">
        <f t="shared" si="171"/>
        <v>2376</v>
      </c>
      <c r="AL101" s="471"/>
      <c r="AM101" s="471">
        <f t="shared" si="177"/>
        <v>2376</v>
      </c>
      <c r="AN101" s="471"/>
      <c r="AO101" s="471"/>
      <c r="AP101" s="471"/>
      <c r="AQ101" s="471">
        <f t="shared" si="172"/>
        <v>2376</v>
      </c>
      <c r="AR101" s="471"/>
      <c r="AS101" s="471"/>
      <c r="AT101" s="471"/>
      <c r="AU101" s="57"/>
      <c r="AV101" s="57"/>
      <c r="AW101" s="373"/>
      <c r="AX101" s="471"/>
      <c r="AY101" s="471"/>
      <c r="AZ101" s="471"/>
      <c r="BA101" s="471"/>
      <c r="BB101" s="471"/>
      <c r="BC101" s="471"/>
      <c r="BD101" s="471"/>
      <c r="BE101" s="471"/>
      <c r="BF101" s="471"/>
      <c r="BG101" s="471"/>
      <c r="BH101" s="57">
        <f t="shared" si="173"/>
        <v>1188</v>
      </c>
      <c r="BI101" s="57">
        <f t="shared" si="174"/>
        <v>1188</v>
      </c>
      <c r="BJ101" s="471"/>
      <c r="BK101" s="471"/>
      <c r="BL101" s="476">
        <f t="shared" ref="BL101:BT101" si="185">$I101*BL$2*2</f>
        <v>290.812499999999</v>
      </c>
      <c r="BM101" s="476">
        <f t="shared" si="185"/>
        <v>290.812499999999</v>
      </c>
      <c r="BN101" s="476">
        <f t="shared" si="185"/>
        <v>290.812499999999</v>
      </c>
      <c r="BO101" s="476">
        <f t="shared" si="185"/>
        <v>290.812499999999</v>
      </c>
      <c r="BP101" s="476">
        <f t="shared" si="185"/>
        <v>290.812499999999</v>
      </c>
      <c r="BQ101" s="476">
        <f t="shared" si="185"/>
        <v>290.812499999999</v>
      </c>
      <c r="BR101" s="476">
        <f t="shared" si="185"/>
        <v>290.812499999999</v>
      </c>
      <c r="BS101" s="476">
        <f t="shared" si="185"/>
        <v>290.812499999999</v>
      </c>
      <c r="BT101" s="476">
        <f t="shared" si="185"/>
        <v>49.4999999999999</v>
      </c>
      <c r="BV101" s="82">
        <f t="shared" ref="BV101:CD101" si="186">BV100-BL101</f>
        <v>22261.1171875001</v>
      </c>
      <c r="BW101" s="82">
        <f t="shared" si="186"/>
        <v>22261.1171875001</v>
      </c>
      <c r="BX101" s="82">
        <f t="shared" si="186"/>
        <v>22261.1171875001</v>
      </c>
      <c r="BY101" s="82">
        <f t="shared" si="186"/>
        <v>22261.1171875001</v>
      </c>
      <c r="BZ101" s="82">
        <f t="shared" si="186"/>
        <v>22261.1171875001</v>
      </c>
      <c r="CA101" s="82">
        <f t="shared" si="186"/>
        <v>22261.1171875001</v>
      </c>
      <c r="CB101" s="82">
        <f t="shared" si="186"/>
        <v>22261.1171875001</v>
      </c>
      <c r="CC101" s="82">
        <f t="shared" si="186"/>
        <v>22261.1171875001</v>
      </c>
      <c r="CD101" s="82">
        <f t="shared" si="186"/>
        <v>3741.06250000003</v>
      </c>
    </row>
    <row r="102" s="373" customFormat="1" ht="27" customHeight="1" spans="1:82">
      <c r="A102" s="464">
        <v>46227</v>
      </c>
      <c r="B102" s="382" t="s">
        <v>1933</v>
      </c>
      <c r="C102" s="465" t="s">
        <v>396</v>
      </c>
      <c r="D102" s="466">
        <v>4500217674</v>
      </c>
      <c r="E102" s="465" t="s">
        <v>1946</v>
      </c>
      <c r="F102" s="382" t="s">
        <v>1947</v>
      </c>
      <c r="G102" s="467" t="s">
        <v>188</v>
      </c>
      <c r="H102" s="382" t="s">
        <v>120</v>
      </c>
      <c r="I102" s="468">
        <v>816</v>
      </c>
      <c r="J102" s="468">
        <v>0</v>
      </c>
      <c r="K102" s="468">
        <v>12</v>
      </c>
      <c r="L102" s="468">
        <f t="shared" si="122"/>
        <v>68</v>
      </c>
      <c r="M102" s="469">
        <v>46266</v>
      </c>
      <c r="N102" s="477">
        <v>46266</v>
      </c>
      <c r="O102" s="470"/>
      <c r="P102" s="471"/>
      <c r="Q102" s="470"/>
      <c r="R102" s="472">
        <v>46237</v>
      </c>
      <c r="S102" s="470" t="s">
        <v>80</v>
      </c>
      <c r="T102" s="470" t="s">
        <v>1936</v>
      </c>
      <c r="U102" s="470"/>
      <c r="V102" s="470"/>
      <c r="W102" s="470"/>
      <c r="X102" s="480" t="s">
        <v>1937</v>
      </c>
      <c r="Y102" s="469" t="s">
        <v>1531</v>
      </c>
      <c r="Z102" s="475">
        <v>1.9571</v>
      </c>
      <c r="AA102" s="468">
        <f t="shared" si="169"/>
        <v>1596.9936</v>
      </c>
      <c r="AB102" s="469"/>
      <c r="AC102" s="474"/>
      <c r="AD102" s="420">
        <f t="shared" si="184"/>
        <v>-816</v>
      </c>
      <c r="AE102" s="470"/>
      <c r="AF102" s="396" t="s">
        <v>114</v>
      </c>
      <c r="AG102" s="51" t="s">
        <v>119</v>
      </c>
      <c r="AH102" s="469" t="s">
        <v>115</v>
      </c>
      <c r="AI102" s="57">
        <f t="shared" si="170"/>
        <v>1632</v>
      </c>
      <c r="AJ102" s="57"/>
      <c r="AK102" s="57">
        <f t="shared" si="171"/>
        <v>1632</v>
      </c>
      <c r="AL102" s="471"/>
      <c r="AM102" s="471">
        <f t="shared" si="177"/>
        <v>1632</v>
      </c>
      <c r="AN102" s="471"/>
      <c r="AO102" s="471"/>
      <c r="AP102" s="471"/>
      <c r="AQ102" s="471">
        <f t="shared" si="172"/>
        <v>1632</v>
      </c>
      <c r="AR102" s="471"/>
      <c r="AS102" s="471"/>
      <c r="AT102" s="471"/>
      <c r="AU102" s="57"/>
      <c r="AV102" s="57"/>
      <c r="AW102" s="373"/>
      <c r="AX102" s="471"/>
      <c r="AY102" s="471"/>
      <c r="AZ102" s="471"/>
      <c r="BA102" s="471"/>
      <c r="BB102" s="471"/>
      <c r="BC102" s="471"/>
      <c r="BD102" s="471"/>
      <c r="BE102" s="471"/>
      <c r="BF102" s="471"/>
      <c r="BG102" s="471"/>
      <c r="BH102" s="57">
        <f t="shared" si="173"/>
        <v>816</v>
      </c>
      <c r="BI102" s="57">
        <f t="shared" si="174"/>
        <v>816</v>
      </c>
      <c r="BJ102" s="471"/>
      <c r="BK102" s="471"/>
      <c r="BL102" s="476">
        <f t="shared" ref="BL102:BT102" si="187">$I102*BL$2*2</f>
        <v>199.749999999999</v>
      </c>
      <c r="BM102" s="476">
        <f t="shared" si="187"/>
        <v>199.749999999999</v>
      </c>
      <c r="BN102" s="476">
        <f t="shared" si="187"/>
        <v>199.749999999999</v>
      </c>
      <c r="BO102" s="476">
        <f t="shared" si="187"/>
        <v>199.749999999999</v>
      </c>
      <c r="BP102" s="476">
        <f t="shared" si="187"/>
        <v>199.749999999999</v>
      </c>
      <c r="BQ102" s="476">
        <f t="shared" si="187"/>
        <v>199.749999999999</v>
      </c>
      <c r="BR102" s="476">
        <f t="shared" si="187"/>
        <v>199.749999999999</v>
      </c>
      <c r="BS102" s="476">
        <f t="shared" si="187"/>
        <v>199.749999999999</v>
      </c>
      <c r="BT102" s="476">
        <f t="shared" si="187"/>
        <v>34</v>
      </c>
      <c r="BV102" s="82">
        <f t="shared" ref="BV102:CD102" si="188">BV101-BL102</f>
        <v>22061.3671875001</v>
      </c>
      <c r="BW102" s="82">
        <f t="shared" si="188"/>
        <v>22061.3671875001</v>
      </c>
      <c r="BX102" s="82">
        <f t="shared" si="188"/>
        <v>22061.3671875001</v>
      </c>
      <c r="BY102" s="82">
        <f t="shared" si="188"/>
        <v>22061.3671875001</v>
      </c>
      <c r="BZ102" s="82">
        <f t="shared" si="188"/>
        <v>22061.3671875001</v>
      </c>
      <c r="CA102" s="82">
        <f t="shared" si="188"/>
        <v>22061.3671875001</v>
      </c>
      <c r="CB102" s="82">
        <f t="shared" si="188"/>
        <v>22061.3671875001</v>
      </c>
      <c r="CC102" s="82">
        <f t="shared" si="188"/>
        <v>22061.3671875001</v>
      </c>
      <c r="CD102" s="82">
        <f t="shared" si="188"/>
        <v>3707.06250000003</v>
      </c>
    </row>
    <row r="103" s="373" customFormat="1" ht="27" customHeight="1" spans="1:82">
      <c r="A103" s="464">
        <v>46227</v>
      </c>
      <c r="B103" s="382" t="s">
        <v>1933</v>
      </c>
      <c r="C103" s="465" t="s">
        <v>396</v>
      </c>
      <c r="D103" s="466">
        <v>4500217674</v>
      </c>
      <c r="E103" s="465" t="s">
        <v>1948</v>
      </c>
      <c r="F103" s="382" t="s">
        <v>1949</v>
      </c>
      <c r="G103" s="467" t="s">
        <v>188</v>
      </c>
      <c r="H103" s="382" t="s">
        <v>120</v>
      </c>
      <c r="I103" s="468">
        <v>1068</v>
      </c>
      <c r="J103" s="468">
        <v>0</v>
      </c>
      <c r="K103" s="468">
        <v>12</v>
      </c>
      <c r="L103" s="468">
        <f t="shared" si="122"/>
        <v>89</v>
      </c>
      <c r="M103" s="469">
        <v>46266</v>
      </c>
      <c r="N103" s="477">
        <v>46266</v>
      </c>
      <c r="O103" s="470"/>
      <c r="P103" s="471"/>
      <c r="Q103" s="470"/>
      <c r="R103" s="472">
        <v>46237</v>
      </c>
      <c r="S103" s="470" t="s">
        <v>80</v>
      </c>
      <c r="T103" s="470" t="s">
        <v>1936</v>
      </c>
      <c r="U103" s="470"/>
      <c r="V103" s="470"/>
      <c r="W103" s="470"/>
      <c r="X103" s="480" t="s">
        <v>1937</v>
      </c>
      <c r="Y103" s="469" t="s">
        <v>1531</v>
      </c>
      <c r="Z103" s="475">
        <v>1.6018</v>
      </c>
      <c r="AA103" s="468">
        <f t="shared" si="169"/>
        <v>1710.7224</v>
      </c>
      <c r="AB103" s="469"/>
      <c r="AC103" s="474"/>
      <c r="AD103" s="420">
        <f t="shared" si="184"/>
        <v>-1068</v>
      </c>
      <c r="AE103" s="470"/>
      <c r="AF103" s="396" t="s">
        <v>114</v>
      </c>
      <c r="AG103" s="51" t="s">
        <v>119</v>
      </c>
      <c r="AH103" s="469" t="s">
        <v>115</v>
      </c>
      <c r="AI103" s="57">
        <f t="shared" si="170"/>
        <v>2136</v>
      </c>
      <c r="AJ103" s="57"/>
      <c r="AK103" s="57">
        <f t="shared" si="171"/>
        <v>2136</v>
      </c>
      <c r="AL103" s="471"/>
      <c r="AM103" s="471">
        <f t="shared" si="177"/>
        <v>2136</v>
      </c>
      <c r="AN103" s="471"/>
      <c r="AO103" s="471"/>
      <c r="AP103" s="471"/>
      <c r="AQ103" s="471">
        <f t="shared" si="172"/>
        <v>2136</v>
      </c>
      <c r="AR103" s="471"/>
      <c r="AS103" s="471"/>
      <c r="AT103" s="471"/>
      <c r="AU103" s="57"/>
      <c r="AV103" s="57"/>
      <c r="AW103" s="373"/>
      <c r="AX103" s="471"/>
      <c r="AY103" s="471"/>
      <c r="AZ103" s="471"/>
      <c r="BA103" s="471"/>
      <c r="BB103" s="471"/>
      <c r="BC103" s="471"/>
      <c r="BD103" s="471"/>
      <c r="BE103" s="471"/>
      <c r="BF103" s="471"/>
      <c r="BG103" s="471"/>
      <c r="BH103" s="57">
        <f t="shared" si="173"/>
        <v>1068</v>
      </c>
      <c r="BI103" s="57">
        <f t="shared" si="174"/>
        <v>1068</v>
      </c>
      <c r="BJ103" s="471"/>
      <c r="BK103" s="471"/>
      <c r="BL103" s="476">
        <f t="shared" ref="BL103:BT103" si="189">$I103*BL$2*2</f>
        <v>261.437499999999</v>
      </c>
      <c r="BM103" s="476">
        <f t="shared" si="189"/>
        <v>261.437499999999</v>
      </c>
      <c r="BN103" s="476">
        <f t="shared" si="189"/>
        <v>261.437499999999</v>
      </c>
      <c r="BO103" s="476">
        <f t="shared" si="189"/>
        <v>261.437499999999</v>
      </c>
      <c r="BP103" s="476">
        <f t="shared" si="189"/>
        <v>261.437499999999</v>
      </c>
      <c r="BQ103" s="476">
        <f t="shared" si="189"/>
        <v>261.437499999999</v>
      </c>
      <c r="BR103" s="476">
        <f t="shared" si="189"/>
        <v>261.437499999999</v>
      </c>
      <c r="BS103" s="476">
        <f t="shared" si="189"/>
        <v>261.437499999999</v>
      </c>
      <c r="BT103" s="476">
        <f t="shared" si="189"/>
        <v>44.4999999999999</v>
      </c>
      <c r="BV103" s="82">
        <f t="shared" ref="BV103:CD103" si="190">BV102-BL103</f>
        <v>21799.9296875001</v>
      </c>
      <c r="BW103" s="82">
        <f t="shared" si="190"/>
        <v>21799.9296875001</v>
      </c>
      <c r="BX103" s="82">
        <f t="shared" si="190"/>
        <v>21799.9296875001</v>
      </c>
      <c r="BY103" s="82">
        <f t="shared" si="190"/>
        <v>21799.9296875001</v>
      </c>
      <c r="BZ103" s="82">
        <f t="shared" si="190"/>
        <v>21799.9296875001</v>
      </c>
      <c r="CA103" s="82">
        <f t="shared" si="190"/>
        <v>21799.9296875001</v>
      </c>
      <c r="CB103" s="82">
        <f t="shared" si="190"/>
        <v>21799.9296875001</v>
      </c>
      <c r="CC103" s="82">
        <f t="shared" si="190"/>
        <v>21799.9296875001</v>
      </c>
      <c r="CD103" s="82">
        <f t="shared" si="190"/>
        <v>3662.56250000003</v>
      </c>
    </row>
    <row r="104" s="373" customFormat="1" ht="27" customHeight="1" spans="1:82">
      <c r="A104" s="464">
        <v>46227</v>
      </c>
      <c r="B104" s="382" t="s">
        <v>1933</v>
      </c>
      <c r="C104" s="465" t="s">
        <v>396</v>
      </c>
      <c r="D104" s="466">
        <v>4500217674</v>
      </c>
      <c r="E104" s="465" t="s">
        <v>1950</v>
      </c>
      <c r="F104" s="382" t="s">
        <v>1951</v>
      </c>
      <c r="G104" s="467" t="s">
        <v>188</v>
      </c>
      <c r="H104" s="382" t="s">
        <v>120</v>
      </c>
      <c r="I104" s="468">
        <v>1140</v>
      </c>
      <c r="J104" s="468">
        <v>0</v>
      </c>
      <c r="K104" s="468">
        <v>12</v>
      </c>
      <c r="L104" s="468">
        <f t="shared" si="122"/>
        <v>95</v>
      </c>
      <c r="M104" s="469">
        <v>46266</v>
      </c>
      <c r="N104" s="477">
        <v>46266</v>
      </c>
      <c r="O104" s="470"/>
      <c r="P104" s="471"/>
      <c r="Q104" s="470"/>
      <c r="R104" s="472">
        <v>46237</v>
      </c>
      <c r="S104" s="470" t="s">
        <v>80</v>
      </c>
      <c r="T104" s="470" t="s">
        <v>1936</v>
      </c>
      <c r="U104" s="470"/>
      <c r="V104" s="470"/>
      <c r="W104" s="470"/>
      <c r="X104" s="480" t="s">
        <v>1937</v>
      </c>
      <c r="Y104" s="469" t="s">
        <v>1531</v>
      </c>
      <c r="Z104" s="475">
        <v>1.6018</v>
      </c>
      <c r="AA104" s="468">
        <f t="shared" si="169"/>
        <v>1826.052</v>
      </c>
      <c r="AB104" s="469"/>
      <c r="AC104" s="474"/>
      <c r="AD104" s="420">
        <f t="shared" si="184"/>
        <v>-1140</v>
      </c>
      <c r="AE104" s="470"/>
      <c r="AF104" s="396" t="s">
        <v>114</v>
      </c>
      <c r="AG104" s="51" t="s">
        <v>119</v>
      </c>
      <c r="AH104" s="469" t="s">
        <v>115</v>
      </c>
      <c r="AI104" s="57">
        <f t="shared" si="170"/>
        <v>2280</v>
      </c>
      <c r="AJ104" s="57"/>
      <c r="AK104" s="57">
        <f t="shared" si="171"/>
        <v>2280</v>
      </c>
      <c r="AL104" s="471"/>
      <c r="AM104" s="471">
        <f t="shared" si="177"/>
        <v>2280</v>
      </c>
      <c r="AN104" s="471"/>
      <c r="AO104" s="471"/>
      <c r="AP104" s="471"/>
      <c r="AQ104" s="471">
        <f t="shared" si="172"/>
        <v>2280</v>
      </c>
      <c r="AR104" s="471"/>
      <c r="AS104" s="471"/>
      <c r="AT104" s="471"/>
      <c r="AU104" s="57"/>
      <c r="AV104" s="57"/>
      <c r="AW104" s="373"/>
      <c r="AX104" s="471"/>
      <c r="AY104" s="471"/>
      <c r="AZ104" s="471"/>
      <c r="BA104" s="471"/>
      <c r="BB104" s="471"/>
      <c r="BC104" s="471"/>
      <c r="BD104" s="471"/>
      <c r="BE104" s="471"/>
      <c r="BF104" s="471"/>
      <c r="BG104" s="471"/>
      <c r="BH104" s="57">
        <f t="shared" si="173"/>
        <v>1140</v>
      </c>
      <c r="BI104" s="57">
        <f t="shared" si="174"/>
        <v>1140</v>
      </c>
      <c r="BJ104" s="471"/>
      <c r="BK104" s="471"/>
      <c r="BL104" s="476">
        <f t="shared" ref="BL104:BT104" si="191">$I104*BL$2*2</f>
        <v>279.062499999999</v>
      </c>
      <c r="BM104" s="476">
        <f t="shared" si="191"/>
        <v>279.062499999999</v>
      </c>
      <c r="BN104" s="476">
        <f t="shared" si="191"/>
        <v>279.062499999999</v>
      </c>
      <c r="BO104" s="476">
        <f t="shared" si="191"/>
        <v>279.062499999999</v>
      </c>
      <c r="BP104" s="476">
        <f t="shared" si="191"/>
        <v>279.062499999999</v>
      </c>
      <c r="BQ104" s="476">
        <f t="shared" si="191"/>
        <v>279.062499999999</v>
      </c>
      <c r="BR104" s="476">
        <f t="shared" si="191"/>
        <v>279.062499999999</v>
      </c>
      <c r="BS104" s="476">
        <f t="shared" si="191"/>
        <v>279.062499999999</v>
      </c>
      <c r="BT104" s="476">
        <f t="shared" si="191"/>
        <v>47.4999999999999</v>
      </c>
      <c r="BV104" s="82">
        <f t="shared" ref="BV104:CD104" si="192">BV103-BL104</f>
        <v>21520.8671875001</v>
      </c>
      <c r="BW104" s="82">
        <f t="shared" si="192"/>
        <v>21520.8671875001</v>
      </c>
      <c r="BX104" s="82">
        <f t="shared" si="192"/>
        <v>21520.8671875001</v>
      </c>
      <c r="BY104" s="82">
        <f t="shared" si="192"/>
        <v>21520.8671875001</v>
      </c>
      <c r="BZ104" s="82">
        <f t="shared" si="192"/>
        <v>21520.8671875001</v>
      </c>
      <c r="CA104" s="82">
        <f t="shared" si="192"/>
        <v>21520.8671875001</v>
      </c>
      <c r="CB104" s="82">
        <f t="shared" si="192"/>
        <v>21520.8671875001</v>
      </c>
      <c r="CC104" s="82">
        <f t="shared" si="192"/>
        <v>21520.8671875001</v>
      </c>
      <c r="CD104" s="82">
        <f t="shared" si="192"/>
        <v>3615.06250000003</v>
      </c>
    </row>
    <row r="105" s="373" customFormat="1" ht="27" customHeight="1" spans="1:82">
      <c r="A105" s="464">
        <v>46227</v>
      </c>
      <c r="B105" s="382" t="s">
        <v>1933</v>
      </c>
      <c r="C105" s="465" t="s">
        <v>396</v>
      </c>
      <c r="D105" s="466">
        <v>4500217674</v>
      </c>
      <c r="E105" s="465" t="s">
        <v>1952</v>
      </c>
      <c r="F105" s="382" t="s">
        <v>1953</v>
      </c>
      <c r="G105" s="467" t="s">
        <v>188</v>
      </c>
      <c r="H105" s="382" t="s">
        <v>120</v>
      </c>
      <c r="I105" s="468">
        <v>1092</v>
      </c>
      <c r="J105" s="468">
        <v>0</v>
      </c>
      <c r="K105" s="468">
        <v>12</v>
      </c>
      <c r="L105" s="468">
        <f t="shared" si="122"/>
        <v>91</v>
      </c>
      <c r="M105" s="469">
        <v>46266</v>
      </c>
      <c r="N105" s="477">
        <v>46266</v>
      </c>
      <c r="O105" s="470"/>
      <c r="P105" s="471"/>
      <c r="Q105" s="470"/>
      <c r="R105" s="472">
        <v>46237</v>
      </c>
      <c r="S105" s="470" t="s">
        <v>80</v>
      </c>
      <c r="T105" s="470" t="s">
        <v>1936</v>
      </c>
      <c r="U105" s="470"/>
      <c r="V105" s="470"/>
      <c r="W105" s="470"/>
      <c r="X105" s="480" t="s">
        <v>1937</v>
      </c>
      <c r="Y105" s="469" t="s">
        <v>1531</v>
      </c>
      <c r="Z105" s="475">
        <v>1.6018</v>
      </c>
      <c r="AA105" s="468">
        <f t="shared" si="169"/>
        <v>1749.1656</v>
      </c>
      <c r="AB105" s="469"/>
      <c r="AC105" s="474"/>
      <c r="AD105" s="420">
        <f t="shared" si="184"/>
        <v>-1092</v>
      </c>
      <c r="AE105" s="470"/>
      <c r="AF105" s="396" t="s">
        <v>114</v>
      </c>
      <c r="AG105" s="51" t="s">
        <v>119</v>
      </c>
      <c r="AH105" s="469" t="s">
        <v>115</v>
      </c>
      <c r="AI105" s="57">
        <f t="shared" si="170"/>
        <v>2184</v>
      </c>
      <c r="AJ105" s="57"/>
      <c r="AK105" s="57">
        <f t="shared" si="171"/>
        <v>2184</v>
      </c>
      <c r="AL105" s="471"/>
      <c r="AM105" s="471">
        <f t="shared" si="177"/>
        <v>2184</v>
      </c>
      <c r="AN105" s="471"/>
      <c r="AO105" s="471"/>
      <c r="AP105" s="471"/>
      <c r="AQ105" s="471">
        <f t="shared" si="172"/>
        <v>2184</v>
      </c>
      <c r="AR105" s="471"/>
      <c r="AS105" s="471"/>
      <c r="AT105" s="471"/>
      <c r="AU105" s="57"/>
      <c r="AV105" s="57"/>
      <c r="AW105" s="373"/>
      <c r="AX105" s="471"/>
      <c r="AY105" s="471"/>
      <c r="AZ105" s="471"/>
      <c r="BA105" s="471"/>
      <c r="BB105" s="471"/>
      <c r="BC105" s="471"/>
      <c r="BD105" s="471"/>
      <c r="BE105" s="471"/>
      <c r="BF105" s="471"/>
      <c r="BG105" s="471"/>
      <c r="BH105" s="57">
        <f t="shared" si="173"/>
        <v>1092</v>
      </c>
      <c r="BI105" s="57">
        <f t="shared" si="174"/>
        <v>1092</v>
      </c>
      <c r="BJ105" s="471"/>
      <c r="BK105" s="471"/>
      <c r="BL105" s="476">
        <f t="shared" ref="BL105:BT105" si="193">$I105*BL$2*2</f>
        <v>267.312499999999</v>
      </c>
      <c r="BM105" s="476">
        <f t="shared" si="193"/>
        <v>267.312499999999</v>
      </c>
      <c r="BN105" s="476">
        <f t="shared" si="193"/>
        <v>267.312499999999</v>
      </c>
      <c r="BO105" s="476">
        <f t="shared" si="193"/>
        <v>267.312499999999</v>
      </c>
      <c r="BP105" s="476">
        <f t="shared" si="193"/>
        <v>267.312499999999</v>
      </c>
      <c r="BQ105" s="476">
        <f t="shared" si="193"/>
        <v>267.312499999999</v>
      </c>
      <c r="BR105" s="476">
        <f t="shared" si="193"/>
        <v>267.312499999999</v>
      </c>
      <c r="BS105" s="476">
        <f t="shared" si="193"/>
        <v>267.312499999999</v>
      </c>
      <c r="BT105" s="476">
        <f t="shared" si="193"/>
        <v>45.4999999999999</v>
      </c>
      <c r="BV105" s="82">
        <f t="shared" ref="BV105:CD105" si="194">BV104-BL105</f>
        <v>21253.5546875001</v>
      </c>
      <c r="BW105" s="82">
        <f t="shared" si="194"/>
        <v>21253.5546875001</v>
      </c>
      <c r="BX105" s="82">
        <f t="shared" si="194"/>
        <v>21253.5546875001</v>
      </c>
      <c r="BY105" s="82">
        <f t="shared" si="194"/>
        <v>21253.5546875001</v>
      </c>
      <c r="BZ105" s="82">
        <f t="shared" si="194"/>
        <v>21253.5546875001</v>
      </c>
      <c r="CA105" s="82">
        <f t="shared" si="194"/>
        <v>21253.5546875001</v>
      </c>
      <c r="CB105" s="82">
        <f t="shared" si="194"/>
        <v>21253.5546875001</v>
      </c>
      <c r="CC105" s="82">
        <f t="shared" si="194"/>
        <v>21253.5546875001</v>
      </c>
      <c r="CD105" s="82">
        <f t="shared" si="194"/>
        <v>3569.56250000003</v>
      </c>
    </row>
    <row r="106" s="373" customFormat="1" ht="27" customHeight="1" spans="1:82">
      <c r="A106" s="464">
        <v>46227</v>
      </c>
      <c r="B106" s="382" t="s">
        <v>1600</v>
      </c>
      <c r="C106" s="465" t="s">
        <v>389</v>
      </c>
      <c r="D106" s="466">
        <v>4500217641</v>
      </c>
      <c r="E106" s="465" t="s">
        <v>1954</v>
      </c>
      <c r="F106" s="382" t="s">
        <v>1955</v>
      </c>
      <c r="G106" s="467" t="s">
        <v>188</v>
      </c>
      <c r="H106" s="382" t="s">
        <v>120</v>
      </c>
      <c r="I106" s="468">
        <v>36</v>
      </c>
      <c r="J106" s="468">
        <v>0</v>
      </c>
      <c r="K106" s="468">
        <v>12</v>
      </c>
      <c r="L106" s="468">
        <f t="shared" si="122"/>
        <v>3</v>
      </c>
      <c r="M106" s="469">
        <v>46269</v>
      </c>
      <c r="N106" s="477">
        <v>46269</v>
      </c>
      <c r="O106" s="470"/>
      <c r="P106" s="488"/>
      <c r="Q106" s="470"/>
      <c r="R106" s="472">
        <v>46226</v>
      </c>
      <c r="S106" s="470" t="s">
        <v>191</v>
      </c>
      <c r="T106" s="470" t="s">
        <v>1956</v>
      </c>
      <c r="U106" s="470"/>
      <c r="V106" s="470"/>
      <c r="W106" s="470"/>
      <c r="X106" s="474" t="s">
        <v>1957</v>
      </c>
      <c r="Y106" s="469" t="s">
        <v>1605</v>
      </c>
      <c r="Z106" s="475">
        <v>1.9571</v>
      </c>
      <c r="AA106" s="468">
        <f t="shared" si="169"/>
        <v>70.4556</v>
      </c>
      <c r="AB106" s="469"/>
      <c r="AC106" s="474"/>
      <c r="AD106" s="420">
        <f t="shared" si="184"/>
        <v>-36</v>
      </c>
      <c r="AE106" s="470"/>
      <c r="AF106" s="396" t="s">
        <v>114</v>
      </c>
      <c r="AG106" s="51" t="s">
        <v>188</v>
      </c>
      <c r="AH106" s="469" t="s">
        <v>115</v>
      </c>
      <c r="AI106" s="57">
        <f t="shared" si="170"/>
        <v>72</v>
      </c>
      <c r="AJ106" s="57"/>
      <c r="AK106" s="57">
        <f t="shared" si="171"/>
        <v>72</v>
      </c>
      <c r="AL106" s="471"/>
      <c r="AM106" s="471"/>
      <c r="AN106" s="57">
        <f>I106*2</f>
        <v>72</v>
      </c>
      <c r="AO106" s="57"/>
      <c r="AP106" s="57"/>
      <c r="AQ106" s="471">
        <f t="shared" si="172"/>
        <v>72</v>
      </c>
      <c r="AR106" s="471"/>
      <c r="AS106" s="471"/>
      <c r="AT106" s="471"/>
      <c r="AU106" s="57"/>
      <c r="AV106" s="57"/>
      <c r="AW106" s="373"/>
      <c r="AX106" s="471"/>
      <c r="AY106" s="471"/>
      <c r="AZ106" s="471"/>
      <c r="BA106" s="471"/>
      <c r="BB106" s="471"/>
      <c r="BC106" s="471"/>
      <c r="BD106" s="471"/>
      <c r="BE106" s="471"/>
      <c r="BF106" s="471"/>
      <c r="BG106" s="471"/>
      <c r="BH106" s="57">
        <f t="shared" si="173"/>
        <v>36</v>
      </c>
      <c r="BI106" s="57">
        <f t="shared" si="174"/>
        <v>36</v>
      </c>
      <c r="BJ106" s="471"/>
      <c r="BK106" s="471"/>
      <c r="BL106" s="476">
        <f t="shared" ref="BL106:BT106" si="195">$I106*BL$2*2</f>
        <v>8.81249999999998</v>
      </c>
      <c r="BM106" s="476">
        <f t="shared" si="195"/>
        <v>8.81249999999998</v>
      </c>
      <c r="BN106" s="476">
        <f t="shared" si="195"/>
        <v>8.81249999999998</v>
      </c>
      <c r="BO106" s="476">
        <f t="shared" si="195"/>
        <v>8.81249999999998</v>
      </c>
      <c r="BP106" s="476">
        <f t="shared" si="195"/>
        <v>8.81249999999998</v>
      </c>
      <c r="BQ106" s="476">
        <f t="shared" si="195"/>
        <v>8.81249999999998</v>
      </c>
      <c r="BR106" s="476">
        <f t="shared" si="195"/>
        <v>8.81249999999998</v>
      </c>
      <c r="BS106" s="476">
        <f t="shared" si="195"/>
        <v>8.81249999999998</v>
      </c>
      <c r="BT106" s="476">
        <f t="shared" si="195"/>
        <v>1.5</v>
      </c>
      <c r="BV106" s="82">
        <f t="shared" ref="BV106:CD106" si="196">BV105-BL106</f>
        <v>21244.7421875001</v>
      </c>
      <c r="BW106" s="82">
        <f t="shared" si="196"/>
        <v>21244.7421875001</v>
      </c>
      <c r="BX106" s="82">
        <f t="shared" si="196"/>
        <v>21244.7421875001</v>
      </c>
      <c r="BY106" s="82">
        <f t="shared" si="196"/>
        <v>21244.7421875001</v>
      </c>
      <c r="BZ106" s="82">
        <f t="shared" si="196"/>
        <v>21244.7421875001</v>
      </c>
      <c r="CA106" s="82">
        <f t="shared" si="196"/>
        <v>21244.7421875001</v>
      </c>
      <c r="CB106" s="82">
        <f t="shared" si="196"/>
        <v>21244.7421875001</v>
      </c>
      <c r="CC106" s="82">
        <f t="shared" si="196"/>
        <v>21244.7421875001</v>
      </c>
      <c r="CD106" s="82">
        <f t="shared" si="196"/>
        <v>3568.06250000003</v>
      </c>
    </row>
    <row r="107" s="373" customFormat="1" ht="27" customHeight="1" spans="1:82">
      <c r="A107" s="464">
        <v>46227</v>
      </c>
      <c r="B107" s="382" t="s">
        <v>1600</v>
      </c>
      <c r="C107" s="465" t="s">
        <v>389</v>
      </c>
      <c r="D107" s="466">
        <v>4500217641</v>
      </c>
      <c r="E107" s="465" t="s">
        <v>1958</v>
      </c>
      <c r="F107" s="382" t="s">
        <v>1959</v>
      </c>
      <c r="G107" s="467" t="s">
        <v>188</v>
      </c>
      <c r="H107" s="382" t="s">
        <v>120</v>
      </c>
      <c r="I107" s="468">
        <v>12</v>
      </c>
      <c r="J107" s="468">
        <v>0</v>
      </c>
      <c r="K107" s="468">
        <v>12</v>
      </c>
      <c r="L107" s="468">
        <f t="shared" si="122"/>
        <v>1</v>
      </c>
      <c r="M107" s="469">
        <v>46269</v>
      </c>
      <c r="N107" s="477">
        <v>46269</v>
      </c>
      <c r="O107" s="470"/>
      <c r="P107" s="488"/>
      <c r="Q107" s="470"/>
      <c r="R107" s="472">
        <v>46226</v>
      </c>
      <c r="S107" s="470" t="s">
        <v>191</v>
      </c>
      <c r="T107" s="470" t="s">
        <v>1956</v>
      </c>
      <c r="U107" s="470"/>
      <c r="V107" s="470"/>
      <c r="W107" s="470"/>
      <c r="X107" s="474" t="s">
        <v>1957</v>
      </c>
      <c r="Y107" s="469" t="s">
        <v>1605</v>
      </c>
      <c r="Z107" s="475">
        <v>1.9571</v>
      </c>
      <c r="AA107" s="468">
        <f t="shared" si="169"/>
        <v>23.4852</v>
      </c>
      <c r="AB107" s="469"/>
      <c r="AC107" s="474"/>
      <c r="AD107" s="420">
        <f t="shared" si="184"/>
        <v>-12</v>
      </c>
      <c r="AE107" s="470"/>
      <c r="AF107" s="396" t="s">
        <v>114</v>
      </c>
      <c r="AG107" s="51" t="s">
        <v>188</v>
      </c>
      <c r="AH107" s="469" t="s">
        <v>115</v>
      </c>
      <c r="AI107" s="57">
        <f t="shared" si="170"/>
        <v>24</v>
      </c>
      <c r="AJ107" s="57"/>
      <c r="AK107" s="57">
        <f t="shared" si="171"/>
        <v>24</v>
      </c>
      <c r="AL107" s="471"/>
      <c r="AM107" s="471"/>
      <c r="AN107" s="57">
        <f>I107*2</f>
        <v>24</v>
      </c>
      <c r="AO107" s="57"/>
      <c r="AP107" s="57"/>
      <c r="AQ107" s="471">
        <f t="shared" si="172"/>
        <v>24</v>
      </c>
      <c r="AR107" s="471"/>
      <c r="AS107" s="471"/>
      <c r="AT107" s="471"/>
      <c r="AU107" s="57"/>
      <c r="AV107" s="57"/>
      <c r="AW107" s="373"/>
      <c r="AX107" s="471"/>
      <c r="AY107" s="471"/>
      <c r="AZ107" s="471"/>
      <c r="BA107" s="471"/>
      <c r="BB107" s="471"/>
      <c r="BC107" s="471"/>
      <c r="BD107" s="471"/>
      <c r="BE107" s="471"/>
      <c r="BF107" s="471"/>
      <c r="BG107" s="471"/>
      <c r="BH107" s="57">
        <f t="shared" si="173"/>
        <v>12</v>
      </c>
      <c r="BI107" s="57">
        <f t="shared" si="174"/>
        <v>12</v>
      </c>
      <c r="BJ107" s="471"/>
      <c r="BK107" s="471"/>
      <c r="BL107" s="476">
        <f t="shared" ref="BL107:BT107" si="197">$I107*BL$2*2</f>
        <v>2.93749999999999</v>
      </c>
      <c r="BM107" s="476">
        <f t="shared" si="197"/>
        <v>2.93749999999999</v>
      </c>
      <c r="BN107" s="476">
        <f t="shared" si="197"/>
        <v>2.93749999999999</v>
      </c>
      <c r="BO107" s="476">
        <f t="shared" si="197"/>
        <v>2.93749999999999</v>
      </c>
      <c r="BP107" s="476">
        <f t="shared" si="197"/>
        <v>2.93749999999999</v>
      </c>
      <c r="BQ107" s="476">
        <f t="shared" si="197"/>
        <v>2.93749999999999</v>
      </c>
      <c r="BR107" s="476">
        <f t="shared" si="197"/>
        <v>2.93749999999999</v>
      </c>
      <c r="BS107" s="476">
        <f t="shared" si="197"/>
        <v>2.93749999999999</v>
      </c>
      <c r="BT107" s="476">
        <f t="shared" si="197"/>
        <v>0.499999999999999</v>
      </c>
      <c r="BV107" s="82">
        <f t="shared" ref="BV107:CD107" si="198">BV106-BL107</f>
        <v>21241.8046875001</v>
      </c>
      <c r="BW107" s="82">
        <f t="shared" si="198"/>
        <v>21241.8046875001</v>
      </c>
      <c r="BX107" s="82">
        <f t="shared" si="198"/>
        <v>21241.8046875001</v>
      </c>
      <c r="BY107" s="82">
        <f t="shared" si="198"/>
        <v>21241.8046875001</v>
      </c>
      <c r="BZ107" s="82">
        <f t="shared" si="198"/>
        <v>21241.8046875001</v>
      </c>
      <c r="CA107" s="82">
        <f t="shared" si="198"/>
        <v>21241.8046875001</v>
      </c>
      <c r="CB107" s="82">
        <f t="shared" si="198"/>
        <v>21241.8046875001</v>
      </c>
      <c r="CC107" s="82">
        <f t="shared" si="198"/>
        <v>21241.8046875001</v>
      </c>
      <c r="CD107" s="82">
        <f t="shared" si="198"/>
        <v>3567.56250000003</v>
      </c>
    </row>
    <row r="108" s="373" customFormat="1" ht="27" customHeight="1" spans="1:82">
      <c r="A108" s="464">
        <v>46227</v>
      </c>
      <c r="B108" s="382" t="s">
        <v>1600</v>
      </c>
      <c r="C108" s="465" t="s">
        <v>389</v>
      </c>
      <c r="D108" s="466">
        <v>4500217641</v>
      </c>
      <c r="E108" s="465" t="s">
        <v>1960</v>
      </c>
      <c r="F108" s="382" t="s">
        <v>1961</v>
      </c>
      <c r="G108" s="467" t="s">
        <v>188</v>
      </c>
      <c r="H108" s="382" t="s">
        <v>120</v>
      </c>
      <c r="I108" s="468">
        <v>12</v>
      </c>
      <c r="J108" s="468">
        <v>0</v>
      </c>
      <c r="K108" s="468">
        <v>12</v>
      </c>
      <c r="L108" s="468">
        <f t="shared" si="122"/>
        <v>1</v>
      </c>
      <c r="M108" s="469">
        <v>46269</v>
      </c>
      <c r="N108" s="477">
        <v>46269</v>
      </c>
      <c r="O108" s="470"/>
      <c r="P108" s="488"/>
      <c r="Q108" s="470"/>
      <c r="R108" s="472">
        <v>46226</v>
      </c>
      <c r="S108" s="470" t="s">
        <v>191</v>
      </c>
      <c r="T108" s="470" t="s">
        <v>1956</v>
      </c>
      <c r="U108" s="470"/>
      <c r="V108" s="470"/>
      <c r="W108" s="470"/>
      <c r="X108" s="474" t="s">
        <v>1957</v>
      </c>
      <c r="Y108" s="469" t="s">
        <v>1605</v>
      </c>
      <c r="Z108" s="475">
        <v>1.9571</v>
      </c>
      <c r="AA108" s="468">
        <f t="shared" si="169"/>
        <v>23.4852</v>
      </c>
      <c r="AB108" s="469"/>
      <c r="AC108" s="474"/>
      <c r="AD108" s="420">
        <f t="shared" si="184"/>
        <v>-12</v>
      </c>
      <c r="AE108" s="470"/>
      <c r="AF108" s="396" t="s">
        <v>114</v>
      </c>
      <c r="AG108" s="51" t="s">
        <v>188</v>
      </c>
      <c r="AH108" s="469" t="s">
        <v>115</v>
      </c>
      <c r="AI108" s="57">
        <f t="shared" si="170"/>
        <v>24</v>
      </c>
      <c r="AJ108" s="57"/>
      <c r="AK108" s="57">
        <f t="shared" si="171"/>
        <v>24</v>
      </c>
      <c r="AL108" s="471"/>
      <c r="AM108" s="471"/>
      <c r="AN108" s="57">
        <f>I108*2</f>
        <v>24</v>
      </c>
      <c r="AO108" s="57"/>
      <c r="AP108" s="57"/>
      <c r="AQ108" s="471">
        <f t="shared" si="172"/>
        <v>24</v>
      </c>
      <c r="AR108" s="471"/>
      <c r="AS108" s="471"/>
      <c r="AT108" s="471"/>
      <c r="AU108" s="57"/>
      <c r="AV108" s="57"/>
      <c r="AW108" s="373"/>
      <c r="AX108" s="471"/>
      <c r="AY108" s="471"/>
      <c r="AZ108" s="471"/>
      <c r="BA108" s="471"/>
      <c r="BB108" s="471"/>
      <c r="BC108" s="471"/>
      <c r="BD108" s="471"/>
      <c r="BE108" s="471"/>
      <c r="BF108" s="471"/>
      <c r="BG108" s="471"/>
      <c r="BH108" s="57">
        <f t="shared" si="173"/>
        <v>12</v>
      </c>
      <c r="BI108" s="57">
        <f t="shared" si="174"/>
        <v>12</v>
      </c>
      <c r="BJ108" s="471"/>
      <c r="BK108" s="471"/>
      <c r="BL108" s="476">
        <f t="shared" ref="BL108:BT108" si="199">$I108*BL$2*2</f>
        <v>2.93749999999999</v>
      </c>
      <c r="BM108" s="476">
        <f t="shared" si="199"/>
        <v>2.93749999999999</v>
      </c>
      <c r="BN108" s="476">
        <f t="shared" si="199"/>
        <v>2.93749999999999</v>
      </c>
      <c r="BO108" s="476">
        <f t="shared" si="199"/>
        <v>2.93749999999999</v>
      </c>
      <c r="BP108" s="476">
        <f t="shared" si="199"/>
        <v>2.93749999999999</v>
      </c>
      <c r="BQ108" s="476">
        <f t="shared" si="199"/>
        <v>2.93749999999999</v>
      </c>
      <c r="BR108" s="476">
        <f t="shared" si="199"/>
        <v>2.93749999999999</v>
      </c>
      <c r="BS108" s="476">
        <f t="shared" si="199"/>
        <v>2.93749999999999</v>
      </c>
      <c r="BT108" s="476">
        <f t="shared" si="199"/>
        <v>0.499999999999999</v>
      </c>
      <c r="BV108" s="82">
        <f t="shared" ref="BV108:CD108" si="200">BV107-BL108</f>
        <v>21238.8671875001</v>
      </c>
      <c r="BW108" s="82">
        <f t="shared" si="200"/>
        <v>21238.8671875001</v>
      </c>
      <c r="BX108" s="82">
        <f t="shared" si="200"/>
        <v>21238.8671875001</v>
      </c>
      <c r="BY108" s="82">
        <f t="shared" si="200"/>
        <v>21238.8671875001</v>
      </c>
      <c r="BZ108" s="82">
        <f t="shared" si="200"/>
        <v>21238.8671875001</v>
      </c>
      <c r="CA108" s="82">
        <f t="shared" si="200"/>
        <v>21238.8671875001</v>
      </c>
      <c r="CB108" s="82">
        <f t="shared" si="200"/>
        <v>21238.8671875001</v>
      </c>
      <c r="CC108" s="82">
        <f t="shared" si="200"/>
        <v>21238.8671875001</v>
      </c>
      <c r="CD108" s="82">
        <f t="shared" si="200"/>
        <v>3567.06250000003</v>
      </c>
    </row>
    <row r="109" s="373" customFormat="1" ht="27" customHeight="1" spans="1:82">
      <c r="A109" s="464">
        <v>46227</v>
      </c>
      <c r="B109" s="382" t="s">
        <v>1600</v>
      </c>
      <c r="C109" s="465" t="s">
        <v>389</v>
      </c>
      <c r="D109" s="466">
        <v>4500217641</v>
      </c>
      <c r="E109" s="465" t="s">
        <v>1962</v>
      </c>
      <c r="F109" s="382" t="s">
        <v>1963</v>
      </c>
      <c r="G109" s="467" t="s">
        <v>188</v>
      </c>
      <c r="H109" s="382" t="s">
        <v>120</v>
      </c>
      <c r="I109" s="468">
        <v>12</v>
      </c>
      <c r="J109" s="468">
        <v>0</v>
      </c>
      <c r="K109" s="468">
        <v>12</v>
      </c>
      <c r="L109" s="468">
        <f t="shared" si="122"/>
        <v>1</v>
      </c>
      <c r="M109" s="469">
        <v>46269</v>
      </c>
      <c r="N109" s="477">
        <v>46269</v>
      </c>
      <c r="O109" s="470"/>
      <c r="P109" s="488"/>
      <c r="Q109" s="470"/>
      <c r="R109" s="472">
        <v>46226</v>
      </c>
      <c r="S109" s="470" t="s">
        <v>191</v>
      </c>
      <c r="T109" s="470" t="s">
        <v>1956</v>
      </c>
      <c r="U109" s="470"/>
      <c r="V109" s="470"/>
      <c r="W109" s="470"/>
      <c r="X109" s="474" t="s">
        <v>1957</v>
      </c>
      <c r="Y109" s="469" t="s">
        <v>1605</v>
      </c>
      <c r="Z109" s="475">
        <v>1.9571</v>
      </c>
      <c r="AA109" s="468">
        <f t="shared" si="169"/>
        <v>23.4852</v>
      </c>
      <c r="AB109" s="469"/>
      <c r="AC109" s="474"/>
      <c r="AD109" s="420">
        <f t="shared" si="184"/>
        <v>-12</v>
      </c>
      <c r="AE109" s="470"/>
      <c r="AF109" s="396" t="s">
        <v>114</v>
      </c>
      <c r="AG109" s="51" t="s">
        <v>188</v>
      </c>
      <c r="AH109" s="469" t="s">
        <v>115</v>
      </c>
      <c r="AI109" s="57">
        <f t="shared" si="170"/>
        <v>24</v>
      </c>
      <c r="AJ109" s="57"/>
      <c r="AK109" s="57">
        <f t="shared" si="171"/>
        <v>24</v>
      </c>
      <c r="AL109" s="471"/>
      <c r="AM109" s="471"/>
      <c r="AN109" s="57">
        <f>I109*2</f>
        <v>24</v>
      </c>
      <c r="AO109" s="57"/>
      <c r="AP109" s="57"/>
      <c r="AQ109" s="471">
        <f t="shared" si="172"/>
        <v>24</v>
      </c>
      <c r="AR109" s="471"/>
      <c r="AS109" s="471"/>
      <c r="AT109" s="471"/>
      <c r="AU109" s="57"/>
      <c r="AV109" s="57"/>
      <c r="AW109" s="373"/>
      <c r="AX109" s="471"/>
      <c r="AY109" s="471"/>
      <c r="AZ109" s="471"/>
      <c r="BA109" s="471"/>
      <c r="BB109" s="471"/>
      <c r="BC109" s="471"/>
      <c r="BD109" s="471"/>
      <c r="BE109" s="471"/>
      <c r="BF109" s="471"/>
      <c r="BG109" s="471"/>
      <c r="BH109" s="57">
        <f t="shared" si="173"/>
        <v>12</v>
      </c>
      <c r="BI109" s="57">
        <f t="shared" si="174"/>
        <v>12</v>
      </c>
      <c r="BJ109" s="471"/>
      <c r="BK109" s="471"/>
      <c r="BL109" s="476">
        <f t="shared" ref="BL109:BT109" si="201">$I109*BL$2*2</f>
        <v>2.93749999999999</v>
      </c>
      <c r="BM109" s="476">
        <f t="shared" si="201"/>
        <v>2.93749999999999</v>
      </c>
      <c r="BN109" s="476">
        <f t="shared" si="201"/>
        <v>2.93749999999999</v>
      </c>
      <c r="BO109" s="476">
        <f t="shared" si="201"/>
        <v>2.93749999999999</v>
      </c>
      <c r="BP109" s="476">
        <f t="shared" si="201"/>
        <v>2.93749999999999</v>
      </c>
      <c r="BQ109" s="476">
        <f t="shared" si="201"/>
        <v>2.93749999999999</v>
      </c>
      <c r="BR109" s="476">
        <f t="shared" si="201"/>
        <v>2.93749999999999</v>
      </c>
      <c r="BS109" s="476">
        <f t="shared" si="201"/>
        <v>2.93749999999999</v>
      </c>
      <c r="BT109" s="476">
        <f t="shared" si="201"/>
        <v>0.499999999999999</v>
      </c>
      <c r="BV109" s="82">
        <f t="shared" ref="BV109:CD109" si="202">BV108-BL109</f>
        <v>21235.9296875001</v>
      </c>
      <c r="BW109" s="82">
        <f t="shared" si="202"/>
        <v>21235.9296875001</v>
      </c>
      <c r="BX109" s="82">
        <f t="shared" si="202"/>
        <v>21235.9296875001</v>
      </c>
      <c r="BY109" s="82">
        <f t="shared" si="202"/>
        <v>21235.9296875001</v>
      </c>
      <c r="BZ109" s="82">
        <f t="shared" si="202"/>
        <v>21235.9296875001</v>
      </c>
      <c r="CA109" s="82">
        <f t="shared" si="202"/>
        <v>21235.9296875001</v>
      </c>
      <c r="CB109" s="82">
        <f t="shared" si="202"/>
        <v>21235.9296875001</v>
      </c>
      <c r="CC109" s="82">
        <f t="shared" si="202"/>
        <v>21235.9296875001</v>
      </c>
      <c r="CD109" s="82">
        <f t="shared" si="202"/>
        <v>3566.56250000003</v>
      </c>
    </row>
    <row r="110" s="373" customFormat="1" ht="27" customHeight="1" spans="1:82">
      <c r="A110" s="464">
        <v>46227</v>
      </c>
      <c r="B110" s="382" t="s">
        <v>1600</v>
      </c>
      <c r="C110" s="465" t="s">
        <v>389</v>
      </c>
      <c r="D110" s="466">
        <v>4500217641</v>
      </c>
      <c r="E110" s="465" t="s">
        <v>1964</v>
      </c>
      <c r="F110" s="382" t="s">
        <v>1965</v>
      </c>
      <c r="G110" s="467" t="s">
        <v>188</v>
      </c>
      <c r="H110" s="382" t="s">
        <v>120</v>
      </c>
      <c r="I110" s="468">
        <v>12</v>
      </c>
      <c r="J110" s="468">
        <v>0</v>
      </c>
      <c r="K110" s="468">
        <v>12</v>
      </c>
      <c r="L110" s="468">
        <f t="shared" si="122"/>
        <v>1</v>
      </c>
      <c r="M110" s="469">
        <v>46269</v>
      </c>
      <c r="N110" s="477">
        <v>46269</v>
      </c>
      <c r="O110" s="470"/>
      <c r="P110" s="488"/>
      <c r="Q110" s="470"/>
      <c r="R110" s="472">
        <v>46226</v>
      </c>
      <c r="S110" s="470" t="s">
        <v>191</v>
      </c>
      <c r="T110" s="470" t="s">
        <v>1956</v>
      </c>
      <c r="U110" s="470"/>
      <c r="V110" s="470"/>
      <c r="W110" s="470"/>
      <c r="X110" s="474" t="s">
        <v>1957</v>
      </c>
      <c r="Y110" s="469" t="s">
        <v>1605</v>
      </c>
      <c r="Z110" s="475">
        <v>1.9571</v>
      </c>
      <c r="AA110" s="468">
        <f t="shared" si="169"/>
        <v>23.4852</v>
      </c>
      <c r="AB110" s="469"/>
      <c r="AC110" s="474"/>
      <c r="AD110" s="420">
        <f t="shared" si="184"/>
        <v>-12</v>
      </c>
      <c r="AE110" s="470"/>
      <c r="AF110" s="396" t="s">
        <v>114</v>
      </c>
      <c r="AG110" s="51" t="s">
        <v>188</v>
      </c>
      <c r="AH110" s="469" t="s">
        <v>115</v>
      </c>
      <c r="AI110" s="57">
        <f t="shared" si="170"/>
        <v>24</v>
      </c>
      <c r="AJ110" s="57"/>
      <c r="AK110" s="57">
        <f t="shared" si="171"/>
        <v>24</v>
      </c>
      <c r="AL110" s="471"/>
      <c r="AM110" s="471"/>
      <c r="AN110" s="57">
        <f>I110*2</f>
        <v>24</v>
      </c>
      <c r="AO110" s="57"/>
      <c r="AP110" s="57"/>
      <c r="AQ110" s="471">
        <f t="shared" si="172"/>
        <v>24</v>
      </c>
      <c r="AR110" s="471"/>
      <c r="AS110" s="471"/>
      <c r="AT110" s="471"/>
      <c r="AU110" s="57"/>
      <c r="AV110" s="57"/>
      <c r="AW110" s="373"/>
      <c r="AX110" s="471"/>
      <c r="AY110" s="471"/>
      <c r="AZ110" s="471"/>
      <c r="BA110" s="471"/>
      <c r="BB110" s="471"/>
      <c r="BC110" s="471"/>
      <c r="BD110" s="471"/>
      <c r="BE110" s="471"/>
      <c r="BF110" s="471"/>
      <c r="BG110" s="471"/>
      <c r="BH110" s="57">
        <f t="shared" si="173"/>
        <v>12</v>
      </c>
      <c r="BI110" s="57">
        <f t="shared" si="174"/>
        <v>12</v>
      </c>
      <c r="BJ110" s="471"/>
      <c r="BK110" s="471"/>
      <c r="BL110" s="476">
        <f t="shared" ref="BL110:BT110" si="203">$I110*BL$2*2</f>
        <v>2.93749999999999</v>
      </c>
      <c r="BM110" s="476">
        <f t="shared" si="203"/>
        <v>2.93749999999999</v>
      </c>
      <c r="BN110" s="476">
        <f t="shared" si="203"/>
        <v>2.93749999999999</v>
      </c>
      <c r="BO110" s="476">
        <f t="shared" si="203"/>
        <v>2.93749999999999</v>
      </c>
      <c r="BP110" s="476">
        <f t="shared" si="203"/>
        <v>2.93749999999999</v>
      </c>
      <c r="BQ110" s="476">
        <f t="shared" si="203"/>
        <v>2.93749999999999</v>
      </c>
      <c r="BR110" s="476">
        <f t="shared" si="203"/>
        <v>2.93749999999999</v>
      </c>
      <c r="BS110" s="476">
        <f t="shared" si="203"/>
        <v>2.93749999999999</v>
      </c>
      <c r="BT110" s="476">
        <f t="shared" si="203"/>
        <v>0.499999999999999</v>
      </c>
      <c r="BV110" s="82">
        <f t="shared" ref="BV110:CD110" si="204">BV109-BL110</f>
        <v>21232.9921875001</v>
      </c>
      <c r="BW110" s="82">
        <f t="shared" si="204"/>
        <v>21232.9921875001</v>
      </c>
      <c r="BX110" s="82">
        <f t="shared" si="204"/>
        <v>21232.9921875001</v>
      </c>
      <c r="BY110" s="82">
        <f t="shared" si="204"/>
        <v>21232.9921875001</v>
      </c>
      <c r="BZ110" s="82">
        <f t="shared" si="204"/>
        <v>21232.9921875001</v>
      </c>
      <c r="CA110" s="82">
        <f t="shared" si="204"/>
        <v>21232.9921875001</v>
      </c>
      <c r="CB110" s="82">
        <f t="shared" si="204"/>
        <v>21232.9921875001</v>
      </c>
      <c r="CC110" s="82">
        <f t="shared" si="204"/>
        <v>21232.9921875001</v>
      </c>
      <c r="CD110" s="82">
        <f t="shared" si="204"/>
        <v>3566.06250000003</v>
      </c>
    </row>
    <row r="111" s="373" customFormat="1" ht="27" customHeight="1" spans="1:82">
      <c r="A111" s="464">
        <v>46227</v>
      </c>
      <c r="B111" s="382" t="s">
        <v>1837</v>
      </c>
      <c r="C111" s="465" t="s">
        <v>396</v>
      </c>
      <c r="D111" s="466">
        <v>4500217769</v>
      </c>
      <c r="E111" s="465" t="s">
        <v>1966</v>
      </c>
      <c r="F111" s="382" t="s">
        <v>1967</v>
      </c>
      <c r="G111" s="467" t="s">
        <v>188</v>
      </c>
      <c r="H111" s="382" t="s">
        <v>120</v>
      </c>
      <c r="I111" s="468">
        <v>4992</v>
      </c>
      <c r="J111" s="468">
        <v>0</v>
      </c>
      <c r="K111" s="468">
        <v>12</v>
      </c>
      <c r="L111" s="468">
        <f t="shared" si="122"/>
        <v>416</v>
      </c>
      <c r="M111" s="469">
        <v>46276</v>
      </c>
      <c r="N111" s="469">
        <v>46272</v>
      </c>
      <c r="O111" s="470"/>
      <c r="P111" s="471"/>
      <c r="Q111" s="470"/>
      <c r="R111" s="472" t="s">
        <v>1968</v>
      </c>
      <c r="S111" s="470" t="s">
        <v>80</v>
      </c>
      <c r="T111" s="470" t="s">
        <v>1936</v>
      </c>
      <c r="U111" s="470"/>
      <c r="V111" s="470"/>
      <c r="W111" s="470"/>
      <c r="X111" s="474" t="s">
        <v>1969</v>
      </c>
      <c r="Y111" s="469" t="s">
        <v>1970</v>
      </c>
      <c r="Z111" s="475">
        <v>1.5905</v>
      </c>
      <c r="AA111" s="468">
        <f t="shared" si="169"/>
        <v>7939.776</v>
      </c>
      <c r="AB111" s="469"/>
      <c r="AC111" s="474"/>
      <c r="AD111" s="420">
        <f t="shared" si="184"/>
        <v>-4992</v>
      </c>
      <c r="AE111" s="470"/>
      <c r="AF111" s="396" t="s">
        <v>114</v>
      </c>
      <c r="AG111" s="51" t="s">
        <v>119</v>
      </c>
      <c r="AH111" s="469" t="s">
        <v>115</v>
      </c>
      <c r="AI111" s="57">
        <f t="shared" si="170"/>
        <v>9984</v>
      </c>
      <c r="AJ111" s="57"/>
      <c r="AK111" s="57">
        <f t="shared" si="171"/>
        <v>9984</v>
      </c>
      <c r="AL111" s="471"/>
      <c r="AM111" s="471">
        <f t="shared" ref="AM111:AM114" si="205">I111*2</f>
        <v>9984</v>
      </c>
      <c r="AN111" s="57"/>
      <c r="AO111" s="57"/>
      <c r="AP111" s="57"/>
      <c r="AQ111" s="471">
        <f t="shared" si="172"/>
        <v>9984</v>
      </c>
      <c r="AR111" s="471"/>
      <c r="AS111" s="471"/>
      <c r="AT111" s="471"/>
      <c r="AU111" s="57"/>
      <c r="AV111" s="57"/>
      <c r="AW111" s="373"/>
      <c r="AX111" s="471"/>
      <c r="AY111" s="471"/>
      <c r="AZ111" s="471"/>
      <c r="BA111" s="471"/>
      <c r="BB111" s="471"/>
      <c r="BC111" s="471"/>
      <c r="BD111" s="471"/>
      <c r="BE111" s="471"/>
      <c r="BF111" s="471"/>
      <c r="BG111" s="471"/>
      <c r="BH111" s="57">
        <f t="shared" si="173"/>
        <v>4992</v>
      </c>
      <c r="BI111" s="57">
        <f t="shared" si="174"/>
        <v>4992</v>
      </c>
      <c r="BJ111" s="471"/>
      <c r="BK111" s="471"/>
      <c r="BL111" s="476">
        <f t="shared" ref="BL111:BT111" si="206">$I111*BL$2*2</f>
        <v>1222</v>
      </c>
      <c r="BM111" s="476">
        <f t="shared" si="206"/>
        <v>1222</v>
      </c>
      <c r="BN111" s="476">
        <f t="shared" si="206"/>
        <v>1222</v>
      </c>
      <c r="BO111" s="476">
        <f t="shared" si="206"/>
        <v>1222</v>
      </c>
      <c r="BP111" s="476">
        <f t="shared" si="206"/>
        <v>1222</v>
      </c>
      <c r="BQ111" s="476">
        <f t="shared" si="206"/>
        <v>1222</v>
      </c>
      <c r="BR111" s="476">
        <f t="shared" si="206"/>
        <v>1222</v>
      </c>
      <c r="BS111" s="476">
        <f t="shared" si="206"/>
        <v>1222</v>
      </c>
      <c r="BT111" s="476">
        <f t="shared" si="206"/>
        <v>208</v>
      </c>
      <c r="BV111" s="82">
        <f t="shared" ref="BV111:CD111" si="207">BV110-BL111</f>
        <v>20010.9921875001</v>
      </c>
      <c r="BW111" s="82">
        <f t="shared" si="207"/>
        <v>20010.9921875001</v>
      </c>
      <c r="BX111" s="82">
        <f t="shared" si="207"/>
        <v>20010.9921875001</v>
      </c>
      <c r="BY111" s="82">
        <f t="shared" si="207"/>
        <v>20010.9921875001</v>
      </c>
      <c r="BZ111" s="82">
        <f t="shared" si="207"/>
        <v>20010.9921875001</v>
      </c>
      <c r="CA111" s="82">
        <f t="shared" si="207"/>
        <v>20010.9921875001</v>
      </c>
      <c r="CB111" s="82">
        <f t="shared" si="207"/>
        <v>20010.9921875001</v>
      </c>
      <c r="CC111" s="82">
        <f t="shared" si="207"/>
        <v>20010.9921875001</v>
      </c>
      <c r="CD111" s="82">
        <f t="shared" si="207"/>
        <v>3358.06250000003</v>
      </c>
    </row>
    <row r="112" s="373" customFormat="1" ht="27" customHeight="1" spans="1:82">
      <c r="A112" s="464">
        <v>46227</v>
      </c>
      <c r="B112" s="382" t="s">
        <v>1971</v>
      </c>
      <c r="C112" s="465" t="s">
        <v>396</v>
      </c>
      <c r="D112" s="466" t="s">
        <v>1972</v>
      </c>
      <c r="E112" s="465" t="s">
        <v>1973</v>
      </c>
      <c r="F112" s="382" t="s">
        <v>1974</v>
      </c>
      <c r="G112" s="467" t="s">
        <v>131</v>
      </c>
      <c r="H112" s="382" t="s">
        <v>79</v>
      </c>
      <c r="I112" s="468">
        <v>4995</v>
      </c>
      <c r="J112" s="468">
        <v>0</v>
      </c>
      <c r="K112" s="468">
        <v>27</v>
      </c>
      <c r="L112" s="468">
        <f t="shared" si="122"/>
        <v>185</v>
      </c>
      <c r="M112" s="469">
        <v>46276</v>
      </c>
      <c r="N112" s="469">
        <v>46272</v>
      </c>
      <c r="O112" s="470"/>
      <c r="P112" s="471"/>
      <c r="Q112" s="470"/>
      <c r="R112" s="472" t="s">
        <v>1968</v>
      </c>
      <c r="S112" s="470" t="s">
        <v>80</v>
      </c>
      <c r="T112" s="470" t="s">
        <v>80</v>
      </c>
      <c r="U112" s="470"/>
      <c r="V112" s="470"/>
      <c r="W112" s="470"/>
      <c r="X112" s="474" t="s">
        <v>1975</v>
      </c>
      <c r="Y112" s="469" t="s">
        <v>1976</v>
      </c>
      <c r="Z112" s="475">
        <v>0.7924</v>
      </c>
      <c r="AA112" s="468">
        <f t="shared" si="169"/>
        <v>3958.038</v>
      </c>
      <c r="AB112" s="469"/>
      <c r="AC112" s="474"/>
      <c r="AD112" s="420">
        <f t="shared" si="184"/>
        <v>-4995</v>
      </c>
      <c r="AE112" s="470"/>
      <c r="AF112" s="396" t="s">
        <v>114</v>
      </c>
      <c r="AG112" s="469" t="s">
        <v>131</v>
      </c>
      <c r="AH112" s="469" t="s">
        <v>115</v>
      </c>
      <c r="AI112" s="471">
        <f>I112</f>
        <v>4995</v>
      </c>
      <c r="AJ112" s="471"/>
      <c r="AK112" s="471">
        <f>I112</f>
        <v>4995</v>
      </c>
      <c r="AL112" s="471"/>
      <c r="AM112" s="471">
        <f>I112</f>
        <v>4995</v>
      </c>
      <c r="AN112" s="471"/>
      <c r="AO112" s="471"/>
      <c r="AP112" s="471"/>
      <c r="AQ112" s="471">
        <f>I112</f>
        <v>4995</v>
      </c>
      <c r="AR112" s="471"/>
      <c r="AS112" s="471">
        <f>I112/27</f>
        <v>185</v>
      </c>
      <c r="AT112" s="471"/>
      <c r="AU112" s="471"/>
      <c r="AV112" s="471"/>
      <c r="AW112" s="373"/>
      <c r="AX112" s="471"/>
      <c r="AY112" s="471"/>
      <c r="AZ112" s="471"/>
      <c r="BA112" s="471"/>
      <c r="BB112" s="471"/>
      <c r="BC112" s="471"/>
      <c r="BD112" s="471"/>
      <c r="BE112" s="471"/>
      <c r="BF112" s="471"/>
      <c r="BG112" s="471"/>
      <c r="BH112" s="471"/>
      <c r="BI112" s="471"/>
      <c r="BJ112" s="471"/>
      <c r="BK112" s="471"/>
      <c r="BL112" s="476">
        <f t="shared" ref="BL112:BT112" si="208">$I112*BL$2</f>
        <v>611.367187499998</v>
      </c>
      <c r="BM112" s="476">
        <f t="shared" si="208"/>
        <v>611.367187499998</v>
      </c>
      <c r="BN112" s="476">
        <f t="shared" si="208"/>
        <v>611.367187499998</v>
      </c>
      <c r="BO112" s="476">
        <f t="shared" si="208"/>
        <v>611.367187499998</v>
      </c>
      <c r="BP112" s="476">
        <f t="shared" si="208"/>
        <v>611.367187499998</v>
      </c>
      <c r="BQ112" s="476">
        <f t="shared" si="208"/>
        <v>611.367187499998</v>
      </c>
      <c r="BR112" s="476">
        <f t="shared" si="208"/>
        <v>611.367187499998</v>
      </c>
      <c r="BS112" s="476">
        <f t="shared" si="208"/>
        <v>611.367187499998</v>
      </c>
      <c r="BT112" s="476">
        <f t="shared" si="208"/>
        <v>104.0625</v>
      </c>
      <c r="BV112" s="82">
        <f t="shared" si="139"/>
        <v>19399.6250000001</v>
      </c>
      <c r="BW112" s="82">
        <f t="shared" si="140"/>
        <v>19399.6250000001</v>
      </c>
      <c r="BX112" s="82">
        <f t="shared" si="141"/>
        <v>19399.6250000001</v>
      </c>
      <c r="BY112" s="82">
        <f t="shared" si="142"/>
        <v>19399.6250000001</v>
      </c>
      <c r="BZ112" s="82">
        <f t="shared" si="143"/>
        <v>19399.6250000001</v>
      </c>
      <c r="CA112" s="82">
        <f t="shared" si="144"/>
        <v>19399.6250000001</v>
      </c>
      <c r="CB112" s="82">
        <f t="shared" si="145"/>
        <v>19399.6250000001</v>
      </c>
      <c r="CC112" s="82">
        <f t="shared" si="146"/>
        <v>19399.6250000001</v>
      </c>
      <c r="CD112" s="82">
        <f t="shared" si="147"/>
        <v>3254.00000000003</v>
      </c>
    </row>
    <row r="113" s="373" customFormat="1" ht="27" customHeight="1" spans="1:82">
      <c r="A113" s="464">
        <v>46230</v>
      </c>
      <c r="B113" s="382" t="s">
        <v>1977</v>
      </c>
      <c r="C113" s="465" t="s">
        <v>117</v>
      </c>
      <c r="D113" s="466" t="s">
        <v>1978</v>
      </c>
      <c r="E113" s="465" t="s">
        <v>1979</v>
      </c>
      <c r="F113" s="382" t="s">
        <v>1980</v>
      </c>
      <c r="G113" s="467" t="s">
        <v>188</v>
      </c>
      <c r="H113" s="382" t="s">
        <v>120</v>
      </c>
      <c r="I113" s="468">
        <v>2508</v>
      </c>
      <c r="J113" s="468">
        <v>0</v>
      </c>
      <c r="K113" s="468">
        <v>12</v>
      </c>
      <c r="L113" s="468">
        <f t="shared" si="122"/>
        <v>209</v>
      </c>
      <c r="M113" s="469">
        <v>46279</v>
      </c>
      <c r="N113" s="469">
        <v>46275</v>
      </c>
      <c r="O113" s="470"/>
      <c r="P113" s="471"/>
      <c r="Q113" s="470"/>
      <c r="R113" s="472">
        <v>46233</v>
      </c>
      <c r="S113" s="470" t="s">
        <v>191</v>
      </c>
      <c r="T113" s="470" t="s">
        <v>1981</v>
      </c>
      <c r="U113" s="470"/>
      <c r="V113" s="470"/>
      <c r="W113" s="470"/>
      <c r="X113" s="474" t="s">
        <v>1982</v>
      </c>
      <c r="Y113" s="469" t="s">
        <v>727</v>
      </c>
      <c r="Z113" s="475">
        <v>0.9611</v>
      </c>
      <c r="AA113" s="468">
        <f t="shared" si="169"/>
        <v>2410.4388</v>
      </c>
      <c r="AB113" s="469"/>
      <c r="AC113" s="474"/>
      <c r="AD113" s="420">
        <f t="shared" si="184"/>
        <v>-2508</v>
      </c>
      <c r="AE113" s="470"/>
      <c r="AF113" s="396" t="s">
        <v>114</v>
      </c>
      <c r="AG113" s="51" t="s">
        <v>119</v>
      </c>
      <c r="AH113" s="469" t="s">
        <v>115</v>
      </c>
      <c r="AI113" s="57">
        <f>I113*2</f>
        <v>5016</v>
      </c>
      <c r="AJ113" s="57"/>
      <c r="AK113" s="57">
        <f>I113*2</f>
        <v>5016</v>
      </c>
      <c r="AL113" s="471"/>
      <c r="AM113" s="471">
        <f t="shared" si="205"/>
        <v>5016</v>
      </c>
      <c r="AN113" s="471"/>
      <c r="AO113" s="471"/>
      <c r="AP113" s="471"/>
      <c r="AQ113" s="471">
        <f>I113*2</f>
        <v>5016</v>
      </c>
      <c r="AR113" s="471"/>
      <c r="AS113" s="471"/>
      <c r="AT113" s="471"/>
      <c r="AU113" s="471"/>
      <c r="AV113" s="471"/>
      <c r="AX113" s="471"/>
      <c r="AY113" s="471"/>
      <c r="AZ113" s="471"/>
      <c r="BA113" s="471"/>
      <c r="BB113" s="471"/>
      <c r="BC113" s="471"/>
      <c r="BD113" s="471"/>
      <c r="BE113" s="471"/>
      <c r="BF113" s="471"/>
      <c r="BG113" s="471"/>
      <c r="BH113" s="57">
        <f>I113</f>
        <v>2508</v>
      </c>
      <c r="BI113" s="57">
        <f>I113</f>
        <v>2508</v>
      </c>
      <c r="BJ113" s="471"/>
      <c r="BK113" s="471"/>
      <c r="BL113" s="476">
        <f t="shared" ref="BL113:BT113" si="209">$I113*BL$2*2</f>
        <v>613.937499999998</v>
      </c>
      <c r="BM113" s="476">
        <f t="shared" si="209"/>
        <v>613.937499999998</v>
      </c>
      <c r="BN113" s="476">
        <f t="shared" si="209"/>
        <v>613.937499999998</v>
      </c>
      <c r="BO113" s="476">
        <f t="shared" si="209"/>
        <v>613.937499999998</v>
      </c>
      <c r="BP113" s="476">
        <f t="shared" si="209"/>
        <v>613.937499999998</v>
      </c>
      <c r="BQ113" s="476">
        <f t="shared" si="209"/>
        <v>613.937499999998</v>
      </c>
      <c r="BR113" s="476">
        <f t="shared" si="209"/>
        <v>613.937499999998</v>
      </c>
      <c r="BS113" s="476">
        <f t="shared" si="209"/>
        <v>613.937499999998</v>
      </c>
      <c r="BT113" s="476">
        <f t="shared" si="209"/>
        <v>104.5</v>
      </c>
      <c r="BV113" s="82">
        <f t="shared" si="139"/>
        <v>18785.6875000001</v>
      </c>
      <c r="BW113" s="82">
        <f t="shared" si="140"/>
        <v>18785.6875000001</v>
      </c>
      <c r="BX113" s="82">
        <f t="shared" si="141"/>
        <v>18785.6875000001</v>
      </c>
      <c r="BY113" s="82">
        <f t="shared" si="142"/>
        <v>18785.6875000001</v>
      </c>
      <c r="BZ113" s="82">
        <f t="shared" si="143"/>
        <v>18785.6875000001</v>
      </c>
      <c r="CA113" s="82">
        <f t="shared" si="144"/>
        <v>18785.6875000001</v>
      </c>
      <c r="CB113" s="82">
        <f t="shared" si="145"/>
        <v>18785.6875000001</v>
      </c>
      <c r="CC113" s="82">
        <f t="shared" si="146"/>
        <v>18785.6875000001</v>
      </c>
      <c r="CD113" s="82">
        <f t="shared" si="147"/>
        <v>3149.50000000003</v>
      </c>
    </row>
    <row r="114" s="373" customFormat="1" ht="27" customHeight="1" spans="1:82">
      <c r="A114" s="464">
        <v>46230</v>
      </c>
      <c r="B114" s="382" t="s">
        <v>1977</v>
      </c>
      <c r="C114" s="465" t="s">
        <v>117</v>
      </c>
      <c r="D114" s="466" t="s">
        <v>1978</v>
      </c>
      <c r="E114" s="465" t="s">
        <v>1983</v>
      </c>
      <c r="F114" s="382" t="s">
        <v>1984</v>
      </c>
      <c r="G114" s="467" t="s">
        <v>188</v>
      </c>
      <c r="H114" s="382" t="s">
        <v>120</v>
      </c>
      <c r="I114" s="468">
        <v>2496</v>
      </c>
      <c r="J114" s="468">
        <v>0</v>
      </c>
      <c r="K114" s="468">
        <v>12</v>
      </c>
      <c r="L114" s="468">
        <f t="shared" si="122"/>
        <v>208</v>
      </c>
      <c r="M114" s="469">
        <v>46279</v>
      </c>
      <c r="N114" s="469">
        <v>46275</v>
      </c>
      <c r="O114" s="470"/>
      <c r="P114" s="471"/>
      <c r="Q114" s="470"/>
      <c r="R114" s="472">
        <v>46233</v>
      </c>
      <c r="S114" s="470" t="s">
        <v>191</v>
      </c>
      <c r="T114" s="470" t="s">
        <v>1981</v>
      </c>
      <c r="U114" s="470"/>
      <c r="V114" s="470"/>
      <c r="W114" s="470"/>
      <c r="X114" s="474" t="s">
        <v>1982</v>
      </c>
      <c r="Y114" s="469" t="s">
        <v>727</v>
      </c>
      <c r="Z114" s="475">
        <v>0.9611</v>
      </c>
      <c r="AA114" s="468">
        <f t="shared" si="169"/>
        <v>2398.9056</v>
      </c>
      <c r="AB114" s="469"/>
      <c r="AC114" s="474"/>
      <c r="AD114" s="420">
        <f t="shared" si="184"/>
        <v>-2496</v>
      </c>
      <c r="AE114" s="470"/>
      <c r="AF114" s="396" t="s">
        <v>114</v>
      </c>
      <c r="AG114" s="51" t="s">
        <v>119</v>
      </c>
      <c r="AH114" s="469" t="s">
        <v>115</v>
      </c>
      <c r="AI114" s="57">
        <f>I114*2</f>
        <v>4992</v>
      </c>
      <c r="AJ114" s="57"/>
      <c r="AK114" s="57">
        <f>I114*2</f>
        <v>4992</v>
      </c>
      <c r="AL114" s="471"/>
      <c r="AM114" s="471">
        <f t="shared" si="205"/>
        <v>4992</v>
      </c>
      <c r="AN114" s="471"/>
      <c r="AO114" s="471"/>
      <c r="AP114" s="471"/>
      <c r="AQ114" s="471">
        <f>I114*2</f>
        <v>4992</v>
      </c>
      <c r="AR114" s="471"/>
      <c r="AS114" s="471"/>
      <c r="AT114" s="471"/>
      <c r="AU114" s="471"/>
      <c r="AV114" s="471"/>
      <c r="AX114" s="471"/>
      <c r="AY114" s="471"/>
      <c r="AZ114" s="471"/>
      <c r="BA114" s="471"/>
      <c r="BB114" s="471"/>
      <c r="BC114" s="471"/>
      <c r="BD114" s="471"/>
      <c r="BE114" s="471"/>
      <c r="BF114" s="471"/>
      <c r="BG114" s="471"/>
      <c r="BH114" s="57">
        <f>I114</f>
        <v>2496</v>
      </c>
      <c r="BI114" s="57">
        <f>I114</f>
        <v>2496</v>
      </c>
      <c r="BJ114" s="471"/>
      <c r="BK114" s="471"/>
      <c r="BL114" s="476">
        <f t="shared" ref="BL114:BT114" si="210">$I114*BL$2*2</f>
        <v>610.999999999998</v>
      </c>
      <c r="BM114" s="476">
        <f t="shared" si="210"/>
        <v>610.999999999998</v>
      </c>
      <c r="BN114" s="476">
        <f t="shared" si="210"/>
        <v>610.999999999998</v>
      </c>
      <c r="BO114" s="476">
        <f t="shared" si="210"/>
        <v>610.999999999998</v>
      </c>
      <c r="BP114" s="476">
        <f t="shared" si="210"/>
        <v>610.999999999998</v>
      </c>
      <c r="BQ114" s="476">
        <f t="shared" si="210"/>
        <v>610.999999999998</v>
      </c>
      <c r="BR114" s="476">
        <f t="shared" si="210"/>
        <v>610.999999999998</v>
      </c>
      <c r="BS114" s="476">
        <f t="shared" si="210"/>
        <v>610.999999999998</v>
      </c>
      <c r="BT114" s="476">
        <f t="shared" si="210"/>
        <v>104</v>
      </c>
      <c r="BV114" s="82">
        <f t="shared" si="139"/>
        <v>18174.6875000001</v>
      </c>
      <c r="BW114" s="82">
        <f t="shared" si="140"/>
        <v>18174.6875000001</v>
      </c>
      <c r="BX114" s="82">
        <f t="shared" si="141"/>
        <v>18174.6875000001</v>
      </c>
      <c r="BY114" s="82">
        <f t="shared" si="142"/>
        <v>18174.6875000001</v>
      </c>
      <c r="BZ114" s="82">
        <f t="shared" si="143"/>
        <v>18174.6875000001</v>
      </c>
      <c r="CA114" s="82">
        <f t="shared" si="144"/>
        <v>18174.6875000001</v>
      </c>
      <c r="CB114" s="82">
        <f t="shared" si="145"/>
        <v>18174.6875000001</v>
      </c>
      <c r="CC114" s="82">
        <f t="shared" si="146"/>
        <v>18174.6875000001</v>
      </c>
      <c r="CD114" s="82">
        <f t="shared" si="147"/>
        <v>3045.50000000003</v>
      </c>
    </row>
    <row r="115" s="374" customFormat="1" ht="27" customHeight="1" spans="1:82">
      <c r="A115" s="464">
        <v>46219</v>
      </c>
      <c r="B115" s="382" t="s">
        <v>1985</v>
      </c>
      <c r="C115" s="465" t="s">
        <v>1986</v>
      </c>
      <c r="D115" s="466" t="s">
        <v>1987</v>
      </c>
      <c r="E115" s="465" t="s">
        <v>1988</v>
      </c>
      <c r="F115" s="382" t="s">
        <v>1989</v>
      </c>
      <c r="G115" s="467" t="s">
        <v>78</v>
      </c>
      <c r="H115" s="382" t="s">
        <v>79</v>
      </c>
      <c r="I115" s="489">
        <v>2052</v>
      </c>
      <c r="J115" s="468">
        <v>0</v>
      </c>
      <c r="K115" s="468">
        <v>54</v>
      </c>
      <c r="L115" s="468">
        <f t="shared" si="122"/>
        <v>38</v>
      </c>
      <c r="M115" s="469">
        <v>46283</v>
      </c>
      <c r="N115" s="469">
        <v>46279</v>
      </c>
      <c r="O115" s="470"/>
      <c r="P115" s="471"/>
      <c r="Q115" s="470"/>
      <c r="R115" s="472" t="s">
        <v>1990</v>
      </c>
      <c r="S115" s="473" t="s">
        <v>80</v>
      </c>
      <c r="T115" s="470" t="s">
        <v>1991</v>
      </c>
      <c r="U115" s="373"/>
      <c r="V115" s="470" t="s">
        <v>1992</v>
      </c>
      <c r="W115" s="470"/>
      <c r="X115" s="474" t="s">
        <v>1993</v>
      </c>
      <c r="Y115" s="469" t="s">
        <v>228</v>
      </c>
      <c r="Z115" s="475">
        <v>0.8315</v>
      </c>
      <c r="AA115" s="468">
        <f t="shared" si="169"/>
        <v>1706.238</v>
      </c>
      <c r="AB115" s="469"/>
      <c r="AC115" s="474"/>
      <c r="AD115" s="420">
        <f t="shared" si="184"/>
        <v>-2052</v>
      </c>
      <c r="AE115" s="470"/>
      <c r="AF115" s="396" t="s">
        <v>114</v>
      </c>
      <c r="AG115" s="53" t="s">
        <v>230</v>
      </c>
      <c r="AH115" s="469" t="s">
        <v>115</v>
      </c>
      <c r="AI115" s="471">
        <f>I115</f>
        <v>2052</v>
      </c>
      <c r="AJ115" s="471"/>
      <c r="AK115" s="57">
        <f>I115</f>
        <v>2052</v>
      </c>
      <c r="AL115" s="471"/>
      <c r="AM115" s="471"/>
      <c r="AN115" s="57">
        <f>I115</f>
        <v>2052</v>
      </c>
      <c r="AO115" s="57"/>
      <c r="AP115" s="57"/>
      <c r="AQ115" s="57">
        <f>I115</f>
        <v>2052</v>
      </c>
      <c r="AR115" s="471"/>
      <c r="AS115" s="471"/>
      <c r="AT115" s="471"/>
      <c r="AU115" s="57">
        <f>I115/27</f>
        <v>76</v>
      </c>
      <c r="AV115" s="57"/>
      <c r="AW115" s="373"/>
      <c r="AX115" s="471"/>
      <c r="AY115" s="471"/>
      <c r="AZ115" s="471"/>
      <c r="BA115" s="471"/>
      <c r="BB115" s="471"/>
      <c r="BC115" s="471"/>
      <c r="BD115" s="471"/>
      <c r="BE115" s="471"/>
      <c r="BF115" s="471"/>
      <c r="BG115" s="471"/>
      <c r="BH115" s="471"/>
      <c r="BI115" s="471"/>
      <c r="BJ115" s="471"/>
      <c r="BK115" s="486"/>
      <c r="BL115" s="487">
        <f t="shared" ref="BL115:BT115" si="211">$I115*BL$2</f>
        <v>251.156249999999</v>
      </c>
      <c r="BM115" s="487">
        <f t="shared" si="211"/>
        <v>251.156249999999</v>
      </c>
      <c r="BN115" s="487">
        <f t="shared" si="211"/>
        <v>251.156249999999</v>
      </c>
      <c r="BO115" s="487">
        <f t="shared" si="211"/>
        <v>251.156249999999</v>
      </c>
      <c r="BP115" s="487">
        <f t="shared" si="211"/>
        <v>251.156249999999</v>
      </c>
      <c r="BQ115" s="487">
        <f t="shared" si="211"/>
        <v>251.156249999999</v>
      </c>
      <c r="BR115" s="487">
        <f t="shared" si="211"/>
        <v>251.156249999999</v>
      </c>
      <c r="BS115" s="487">
        <f t="shared" si="211"/>
        <v>251.156249999999</v>
      </c>
      <c r="BT115" s="487">
        <f t="shared" si="211"/>
        <v>42.7499999999999</v>
      </c>
      <c r="BV115" s="82">
        <f t="shared" si="139"/>
        <v>17923.5312500001</v>
      </c>
      <c r="BW115" s="82">
        <f t="shared" si="140"/>
        <v>17923.5312500001</v>
      </c>
      <c r="BX115" s="82">
        <f t="shared" si="141"/>
        <v>17923.5312500001</v>
      </c>
      <c r="BY115" s="82">
        <f t="shared" si="142"/>
        <v>17923.5312500001</v>
      </c>
      <c r="BZ115" s="82">
        <f t="shared" si="143"/>
        <v>17923.5312500001</v>
      </c>
      <c r="CA115" s="82">
        <f t="shared" si="144"/>
        <v>17923.5312500001</v>
      </c>
      <c r="CB115" s="82">
        <f t="shared" si="145"/>
        <v>17923.5312500001</v>
      </c>
      <c r="CC115" s="82">
        <f t="shared" si="146"/>
        <v>17923.5312500001</v>
      </c>
      <c r="CD115" s="82">
        <f t="shared" si="147"/>
        <v>3002.75000000003</v>
      </c>
    </row>
    <row r="116" s="373" customFormat="1" ht="27" customHeight="1" spans="1:82">
      <c r="A116" s="464"/>
      <c r="B116" s="382"/>
      <c r="C116" s="465"/>
      <c r="D116" s="466"/>
      <c r="E116" s="465"/>
      <c r="F116" s="382"/>
      <c r="G116" s="467"/>
      <c r="H116" s="382"/>
      <c r="I116" s="468"/>
      <c r="J116" s="468"/>
      <c r="K116" s="468"/>
      <c r="L116" s="468"/>
      <c r="M116" s="469"/>
      <c r="N116" s="43"/>
      <c r="O116" s="470"/>
      <c r="P116" s="470"/>
      <c r="Q116" s="470"/>
      <c r="R116" s="472"/>
      <c r="S116" s="479"/>
      <c r="T116" s="470"/>
      <c r="U116" s="470"/>
      <c r="V116" s="470"/>
      <c r="W116" s="470"/>
      <c r="X116" s="474"/>
      <c r="Y116" s="469"/>
      <c r="Z116" s="481"/>
      <c r="AA116" s="482"/>
      <c r="AB116" s="469"/>
      <c r="AC116" s="470"/>
      <c r="AD116" s="474"/>
      <c r="AE116" s="470"/>
      <c r="AF116" s="470"/>
      <c r="AG116" s="51"/>
      <c r="AH116" s="469"/>
      <c r="AI116" s="471"/>
      <c r="AJ116" s="471"/>
      <c r="AK116" s="57"/>
      <c r="AL116" s="57"/>
      <c r="AM116" s="57"/>
      <c r="AN116" s="471"/>
      <c r="AO116" s="471"/>
      <c r="AP116" s="471"/>
      <c r="AQ116" s="57"/>
      <c r="AR116" s="57"/>
      <c r="AS116" s="57"/>
      <c r="AT116" s="471"/>
      <c r="AU116" s="471"/>
      <c r="AV116" s="471"/>
      <c r="AW116" s="471"/>
      <c r="AX116" s="471"/>
      <c r="AY116" s="471"/>
      <c r="AZ116" s="471"/>
      <c r="BA116" s="471"/>
      <c r="BB116" s="471"/>
      <c r="BC116" s="471"/>
      <c r="BD116" s="471"/>
      <c r="BE116" s="471"/>
      <c r="BF116" s="471"/>
      <c r="BG116" s="471"/>
      <c r="BH116" s="471"/>
      <c r="BI116" s="471"/>
      <c r="BJ116" s="471"/>
      <c r="BK116" s="471"/>
      <c r="BL116" s="476"/>
      <c r="BM116" s="476"/>
      <c r="BN116" s="476"/>
      <c r="BO116" s="476"/>
      <c r="BP116" s="476"/>
      <c r="BQ116" s="476"/>
      <c r="BR116" s="476"/>
      <c r="BS116" s="476"/>
      <c r="BT116" s="476"/>
      <c r="BV116" s="82"/>
      <c r="BW116" s="82"/>
      <c r="BX116" s="82"/>
      <c r="BY116" s="82"/>
      <c r="BZ116" s="82"/>
      <c r="CA116" s="82"/>
      <c r="CB116" s="82"/>
      <c r="CC116" s="82"/>
      <c r="CD116" s="82"/>
    </row>
    <row r="117" s="373" customFormat="1" ht="27" customHeight="1" spans="1:82">
      <c r="A117" s="464"/>
      <c r="B117" s="382"/>
      <c r="C117" s="465"/>
      <c r="D117" s="466"/>
      <c r="E117" s="465"/>
      <c r="F117" s="382"/>
      <c r="G117" s="467"/>
      <c r="H117" s="382"/>
      <c r="I117" s="468"/>
      <c r="J117" s="468"/>
      <c r="K117" s="468"/>
      <c r="L117" s="468"/>
      <c r="M117" s="469"/>
      <c r="N117" s="43"/>
      <c r="O117" s="470"/>
      <c r="P117" s="470"/>
      <c r="Q117" s="470"/>
      <c r="R117" s="472"/>
      <c r="S117" s="479"/>
      <c r="T117" s="470"/>
      <c r="U117" s="470"/>
      <c r="V117" s="470"/>
      <c r="W117" s="470"/>
      <c r="X117" s="474"/>
      <c r="Y117" s="469"/>
      <c r="Z117" s="481"/>
      <c r="AA117" s="482"/>
      <c r="AB117" s="469"/>
      <c r="AC117" s="470"/>
      <c r="AD117" s="474"/>
      <c r="AE117" s="470"/>
      <c r="AF117" s="470"/>
      <c r="AG117" s="51"/>
      <c r="AH117" s="469"/>
      <c r="AI117" s="471"/>
      <c r="AJ117" s="471"/>
      <c r="AK117" s="57"/>
      <c r="AL117" s="57"/>
      <c r="AM117" s="57"/>
      <c r="AN117" s="471"/>
      <c r="AO117" s="471"/>
      <c r="AP117" s="471"/>
      <c r="AQ117" s="57"/>
      <c r="AR117" s="57"/>
      <c r="AS117" s="57"/>
      <c r="AT117" s="471"/>
      <c r="AU117" s="471"/>
      <c r="AV117" s="471"/>
      <c r="AW117" s="471"/>
      <c r="AX117" s="471"/>
      <c r="AY117" s="471"/>
      <c r="AZ117" s="471"/>
      <c r="BA117" s="471"/>
      <c r="BB117" s="471"/>
      <c r="BC117" s="471"/>
      <c r="BD117" s="471"/>
      <c r="BE117" s="471"/>
      <c r="BF117" s="471"/>
      <c r="BG117" s="471"/>
      <c r="BH117" s="471"/>
      <c r="BI117" s="471"/>
      <c r="BJ117" s="471"/>
      <c r="BK117" s="471"/>
      <c r="BL117" s="476"/>
      <c r="BM117" s="476"/>
      <c r="BN117" s="476"/>
      <c r="BO117" s="476"/>
      <c r="BP117" s="476"/>
      <c r="BQ117" s="476"/>
      <c r="BR117" s="476"/>
      <c r="BS117" s="476"/>
      <c r="BT117" s="476"/>
      <c r="BV117" s="82"/>
      <c r="BW117" s="82"/>
      <c r="BX117" s="82"/>
      <c r="BY117" s="82"/>
      <c r="BZ117" s="82"/>
      <c r="CA117" s="82"/>
      <c r="CB117" s="82"/>
      <c r="CC117" s="82"/>
      <c r="CD117" s="82"/>
    </row>
    <row r="118" s="373" customFormat="1" ht="27" customHeight="1" spans="1:82">
      <c r="A118" s="464"/>
      <c r="B118" s="382"/>
      <c r="C118" s="465"/>
      <c r="D118" s="466"/>
      <c r="E118" s="465"/>
      <c r="F118" s="382"/>
      <c r="G118" s="467"/>
      <c r="H118" s="382"/>
      <c r="I118" s="468"/>
      <c r="J118" s="468"/>
      <c r="K118" s="468"/>
      <c r="L118" s="468"/>
      <c r="M118" s="469"/>
      <c r="N118" s="43"/>
      <c r="O118" s="470"/>
      <c r="P118" s="470"/>
      <c r="Q118" s="470"/>
      <c r="R118" s="472"/>
      <c r="S118" s="479"/>
      <c r="T118" s="470"/>
      <c r="U118" s="470"/>
      <c r="V118" s="470"/>
      <c r="W118" s="470"/>
      <c r="X118" s="474"/>
      <c r="Y118" s="469"/>
      <c r="Z118" s="481"/>
      <c r="AA118" s="482"/>
      <c r="AB118" s="469"/>
      <c r="AC118" s="470"/>
      <c r="AD118" s="474"/>
      <c r="AE118" s="470"/>
      <c r="AF118" s="470"/>
      <c r="AG118" s="51"/>
      <c r="AH118" s="469"/>
      <c r="AI118" s="471"/>
      <c r="AJ118" s="471"/>
      <c r="AK118" s="57"/>
      <c r="AL118" s="57"/>
      <c r="AM118" s="57"/>
      <c r="AN118" s="471"/>
      <c r="AO118" s="471"/>
      <c r="AP118" s="471"/>
      <c r="AQ118" s="57"/>
      <c r="AR118" s="57"/>
      <c r="AS118" s="57"/>
      <c r="AT118" s="471"/>
      <c r="AU118" s="471"/>
      <c r="AV118" s="471"/>
      <c r="AW118" s="471"/>
      <c r="AX118" s="471"/>
      <c r="AY118" s="471"/>
      <c r="AZ118" s="471"/>
      <c r="BA118" s="471"/>
      <c r="BB118" s="471"/>
      <c r="BC118" s="471"/>
      <c r="BD118" s="471"/>
      <c r="BE118" s="471"/>
      <c r="BF118" s="471"/>
      <c r="BG118" s="471"/>
      <c r="BH118" s="471"/>
      <c r="BI118" s="471"/>
      <c r="BJ118" s="471"/>
      <c r="BK118" s="471"/>
      <c r="BL118" s="476"/>
      <c r="BM118" s="476"/>
      <c r="BN118" s="476"/>
      <c r="BO118" s="476"/>
      <c r="BP118" s="476"/>
      <c r="BQ118" s="476"/>
      <c r="BR118" s="476"/>
      <c r="BS118" s="476"/>
      <c r="BT118" s="476"/>
      <c r="BV118" s="82"/>
      <c r="BW118" s="82"/>
      <c r="BX118" s="82"/>
      <c r="BY118" s="82"/>
      <c r="BZ118" s="82"/>
      <c r="CA118" s="82"/>
      <c r="CB118" s="82"/>
      <c r="CC118" s="82"/>
      <c r="CD118" s="82"/>
    </row>
    <row r="119" s="373" customFormat="1" ht="27" customHeight="1" spans="1:82">
      <c r="A119" s="464"/>
      <c r="B119" s="382"/>
      <c r="C119" s="465"/>
      <c r="D119" s="466"/>
      <c r="E119" s="465"/>
      <c r="F119" s="382"/>
      <c r="G119" s="467"/>
      <c r="H119" s="382"/>
      <c r="I119" s="468"/>
      <c r="J119" s="468"/>
      <c r="K119" s="468"/>
      <c r="L119" s="468"/>
      <c r="M119" s="469"/>
      <c r="N119" s="43"/>
      <c r="O119" s="470"/>
      <c r="P119" s="470"/>
      <c r="Q119" s="470"/>
      <c r="R119" s="472"/>
      <c r="S119" s="479"/>
      <c r="T119" s="470"/>
      <c r="U119" s="470"/>
      <c r="V119" s="470"/>
      <c r="W119" s="470"/>
      <c r="X119" s="474"/>
      <c r="Y119" s="469"/>
      <c r="Z119" s="481"/>
      <c r="AA119" s="482"/>
      <c r="AB119" s="469"/>
      <c r="AC119" s="470"/>
      <c r="AD119" s="474"/>
      <c r="AE119" s="470"/>
      <c r="AF119" s="470"/>
      <c r="AG119" s="51"/>
      <c r="AH119" s="469"/>
      <c r="AI119" s="471"/>
      <c r="AJ119" s="471"/>
      <c r="AK119" s="57"/>
      <c r="AL119" s="57"/>
      <c r="AM119" s="57"/>
      <c r="AN119" s="471"/>
      <c r="AO119" s="471"/>
      <c r="AP119" s="471"/>
      <c r="AQ119" s="57"/>
      <c r="AR119" s="57"/>
      <c r="AS119" s="57"/>
      <c r="AT119" s="471"/>
      <c r="AU119" s="471"/>
      <c r="AV119" s="471"/>
      <c r="AW119" s="471"/>
      <c r="AX119" s="471"/>
      <c r="AY119" s="471"/>
      <c r="AZ119" s="471"/>
      <c r="BA119" s="471"/>
      <c r="BB119" s="471"/>
      <c r="BC119" s="471"/>
      <c r="BD119" s="471"/>
      <c r="BE119" s="471"/>
      <c r="BF119" s="471"/>
      <c r="BG119" s="471"/>
      <c r="BH119" s="471"/>
      <c r="BI119" s="471"/>
      <c r="BJ119" s="471"/>
      <c r="BK119" s="471"/>
      <c r="BL119" s="476"/>
      <c r="BM119" s="476"/>
      <c r="BN119" s="476"/>
      <c r="BO119" s="476"/>
      <c r="BP119" s="476"/>
      <c r="BQ119" s="476"/>
      <c r="BR119" s="476"/>
      <c r="BS119" s="476"/>
      <c r="BT119" s="476"/>
      <c r="BV119" s="82"/>
      <c r="BW119" s="82"/>
      <c r="BX119" s="82"/>
      <c r="BY119" s="82"/>
      <c r="BZ119" s="82"/>
      <c r="CA119" s="82"/>
      <c r="CB119" s="82"/>
      <c r="CC119" s="82"/>
      <c r="CD119" s="82"/>
    </row>
    <row r="120" s="373" customFormat="1" ht="27" customHeight="1" spans="1:82">
      <c r="A120" s="464"/>
      <c r="B120" s="382"/>
      <c r="C120" s="465"/>
      <c r="D120" s="466"/>
      <c r="E120" s="465"/>
      <c r="F120" s="382"/>
      <c r="G120" s="467"/>
      <c r="H120" s="382"/>
      <c r="I120" s="468"/>
      <c r="J120" s="468"/>
      <c r="K120" s="468"/>
      <c r="L120" s="468"/>
      <c r="M120" s="469"/>
      <c r="N120" s="43"/>
      <c r="O120" s="470"/>
      <c r="P120" s="470"/>
      <c r="Q120" s="470"/>
      <c r="R120" s="472"/>
      <c r="S120" s="479"/>
      <c r="T120" s="470"/>
      <c r="U120" s="470"/>
      <c r="V120" s="470"/>
      <c r="W120" s="470"/>
      <c r="X120" s="474"/>
      <c r="Y120" s="469"/>
      <c r="Z120" s="481"/>
      <c r="AA120" s="482"/>
      <c r="AB120" s="469"/>
      <c r="AC120" s="470"/>
      <c r="AD120" s="474"/>
      <c r="AE120" s="470"/>
      <c r="AF120" s="470"/>
      <c r="AG120" s="51"/>
      <c r="AH120" s="469"/>
      <c r="AI120" s="471"/>
      <c r="AJ120" s="471"/>
      <c r="AK120" s="57"/>
      <c r="AL120" s="57"/>
      <c r="AM120" s="57"/>
      <c r="AN120" s="471"/>
      <c r="AO120" s="471"/>
      <c r="AP120" s="471"/>
      <c r="AQ120" s="57"/>
      <c r="AR120" s="57"/>
      <c r="AS120" s="57"/>
      <c r="AT120" s="471"/>
      <c r="AU120" s="471"/>
      <c r="AV120" s="471"/>
      <c r="AW120" s="471"/>
      <c r="AX120" s="471"/>
      <c r="AY120" s="471"/>
      <c r="AZ120" s="471"/>
      <c r="BA120" s="471"/>
      <c r="BB120" s="471"/>
      <c r="BC120" s="471"/>
      <c r="BD120" s="471"/>
      <c r="BE120" s="471"/>
      <c r="BF120" s="471"/>
      <c r="BG120" s="471"/>
      <c r="BH120" s="471"/>
      <c r="BI120" s="471"/>
      <c r="BJ120" s="471"/>
      <c r="BK120" s="471"/>
      <c r="BL120" s="476"/>
      <c r="BM120" s="476"/>
      <c r="BN120" s="476"/>
      <c r="BO120" s="476"/>
      <c r="BP120" s="476"/>
      <c r="BQ120" s="476"/>
      <c r="BR120" s="476"/>
      <c r="BS120" s="476"/>
      <c r="BT120" s="476"/>
      <c r="BV120" s="82"/>
      <c r="BW120" s="82"/>
      <c r="BX120" s="82"/>
      <c r="BY120" s="82"/>
      <c r="BZ120" s="82"/>
      <c r="CA120" s="82"/>
      <c r="CB120" s="82"/>
      <c r="CC120" s="82"/>
      <c r="CD120" s="82"/>
    </row>
    <row r="121" s="373" customFormat="1" ht="27" customHeight="1" spans="1:82">
      <c r="A121" s="464"/>
      <c r="B121" s="382"/>
      <c r="C121" s="465"/>
      <c r="D121" s="466"/>
      <c r="E121" s="465"/>
      <c r="F121" s="382"/>
      <c r="G121" s="467"/>
      <c r="H121" s="382"/>
      <c r="I121" s="468"/>
      <c r="J121" s="468"/>
      <c r="K121" s="468"/>
      <c r="L121" s="468"/>
      <c r="M121" s="469"/>
      <c r="N121" s="43"/>
      <c r="O121" s="470"/>
      <c r="P121" s="470"/>
      <c r="Q121" s="470"/>
      <c r="R121" s="472"/>
      <c r="S121" s="479"/>
      <c r="T121" s="470"/>
      <c r="U121" s="470"/>
      <c r="V121" s="470"/>
      <c r="W121" s="470"/>
      <c r="X121" s="474"/>
      <c r="Y121" s="469"/>
      <c r="Z121" s="481"/>
      <c r="AA121" s="482"/>
      <c r="AB121" s="469"/>
      <c r="AC121" s="470"/>
      <c r="AD121" s="474"/>
      <c r="AE121" s="470"/>
      <c r="AF121" s="470"/>
      <c r="AG121" s="51"/>
      <c r="AH121" s="469"/>
      <c r="AI121" s="471"/>
      <c r="AJ121" s="471"/>
      <c r="AK121" s="57"/>
      <c r="AL121" s="57"/>
      <c r="AM121" s="57"/>
      <c r="AN121" s="471"/>
      <c r="AO121" s="471"/>
      <c r="AP121" s="471"/>
      <c r="AQ121" s="57"/>
      <c r="AR121" s="57"/>
      <c r="AS121" s="57"/>
      <c r="AT121" s="471"/>
      <c r="AU121" s="471"/>
      <c r="AV121" s="471"/>
      <c r="AW121" s="471"/>
      <c r="AX121" s="471"/>
      <c r="AY121" s="471"/>
      <c r="AZ121" s="471"/>
      <c r="BA121" s="471"/>
      <c r="BB121" s="471"/>
      <c r="BC121" s="471"/>
      <c r="BD121" s="471"/>
      <c r="BE121" s="471"/>
      <c r="BF121" s="471"/>
      <c r="BG121" s="471"/>
      <c r="BH121" s="471"/>
      <c r="BI121" s="471"/>
      <c r="BJ121" s="471"/>
      <c r="BK121" s="471"/>
      <c r="BL121" s="476"/>
      <c r="BM121" s="476"/>
      <c r="BN121" s="476"/>
      <c r="BO121" s="476"/>
      <c r="BP121" s="476"/>
      <c r="BQ121" s="476"/>
      <c r="BR121" s="476"/>
      <c r="BS121" s="476"/>
      <c r="BT121" s="476"/>
      <c r="BV121" s="82"/>
      <c r="BW121" s="82"/>
      <c r="BX121" s="82"/>
      <c r="BY121" s="82"/>
      <c r="BZ121" s="82"/>
      <c r="CA121" s="82"/>
      <c r="CB121" s="82"/>
      <c r="CC121" s="82"/>
      <c r="CD121" s="82"/>
    </row>
    <row r="122" s="373" customFormat="1" ht="27" customHeight="1" spans="1:82">
      <c r="A122" s="464"/>
      <c r="B122" s="382"/>
      <c r="C122" s="465"/>
      <c r="D122" s="466"/>
      <c r="E122" s="465"/>
      <c r="F122" s="382"/>
      <c r="G122" s="467"/>
      <c r="H122" s="382"/>
      <c r="I122" s="468"/>
      <c r="J122" s="468"/>
      <c r="K122" s="468"/>
      <c r="L122" s="468"/>
      <c r="M122" s="469"/>
      <c r="N122" s="43"/>
      <c r="O122" s="470"/>
      <c r="P122" s="470"/>
      <c r="Q122" s="470"/>
      <c r="R122" s="472"/>
      <c r="S122" s="479"/>
      <c r="T122" s="470"/>
      <c r="U122" s="470"/>
      <c r="V122" s="470"/>
      <c r="W122" s="470"/>
      <c r="X122" s="474"/>
      <c r="Y122" s="469"/>
      <c r="Z122" s="481"/>
      <c r="AA122" s="482"/>
      <c r="AB122" s="469"/>
      <c r="AC122" s="470"/>
      <c r="AD122" s="474"/>
      <c r="AE122" s="470"/>
      <c r="AF122" s="470"/>
      <c r="AG122" s="51"/>
      <c r="AH122" s="469"/>
      <c r="AI122" s="471"/>
      <c r="AJ122" s="471"/>
      <c r="AK122" s="57"/>
      <c r="AL122" s="57"/>
      <c r="AM122" s="57"/>
      <c r="AN122" s="471"/>
      <c r="AO122" s="471"/>
      <c r="AP122" s="471"/>
      <c r="AQ122" s="57"/>
      <c r="AR122" s="57"/>
      <c r="AS122" s="57"/>
      <c r="AT122" s="471"/>
      <c r="AU122" s="471"/>
      <c r="AV122" s="471"/>
      <c r="AW122" s="471"/>
      <c r="AX122" s="471"/>
      <c r="AY122" s="471"/>
      <c r="AZ122" s="471"/>
      <c r="BA122" s="471"/>
      <c r="BB122" s="471"/>
      <c r="BC122" s="471"/>
      <c r="BD122" s="471"/>
      <c r="BE122" s="471"/>
      <c r="BF122" s="471"/>
      <c r="BG122" s="471"/>
      <c r="BH122" s="471"/>
      <c r="BI122" s="471"/>
      <c r="BJ122" s="471"/>
      <c r="BK122" s="471"/>
      <c r="BL122" s="476"/>
      <c r="BM122" s="476"/>
      <c r="BN122" s="476"/>
      <c r="BO122" s="476"/>
      <c r="BP122" s="476"/>
      <c r="BQ122" s="476"/>
      <c r="BR122" s="476"/>
      <c r="BS122" s="476"/>
      <c r="BT122" s="476"/>
      <c r="BV122" s="82"/>
      <c r="BW122" s="82"/>
      <c r="BX122" s="82"/>
      <c r="BY122" s="82"/>
      <c r="BZ122" s="82"/>
      <c r="CA122" s="82"/>
      <c r="CB122" s="82"/>
      <c r="CC122" s="82"/>
      <c r="CD122" s="82"/>
    </row>
    <row r="123" s="4" customFormat="1" ht="27" customHeight="1" spans="1:82">
      <c r="A123" s="47"/>
      <c r="B123" s="48"/>
      <c r="C123" s="49"/>
      <c r="D123" s="50"/>
      <c r="E123" s="49"/>
      <c r="F123" s="48"/>
      <c r="G123" s="51"/>
      <c r="H123" s="48"/>
      <c r="I123" s="52"/>
      <c r="J123" s="52"/>
      <c r="K123" s="52"/>
      <c r="L123" s="52"/>
      <c r="M123" s="53"/>
      <c r="N123" s="53"/>
      <c r="O123" s="54"/>
      <c r="P123" s="57"/>
      <c r="Q123" s="54"/>
      <c r="R123" s="485"/>
      <c r="S123" s="479"/>
      <c r="T123" s="54"/>
      <c r="U123" s="54"/>
      <c r="V123" s="54"/>
      <c r="W123" s="54"/>
      <c r="X123" s="55"/>
      <c r="Y123" s="53"/>
      <c r="Z123" s="56"/>
      <c r="AA123" s="52"/>
      <c r="AB123" s="53"/>
      <c r="AC123" s="55"/>
      <c r="AD123" s="358"/>
      <c r="AE123" s="54"/>
      <c r="AF123" s="396"/>
      <c r="AG123" s="51"/>
      <c r="AH123" s="53"/>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8"/>
      <c r="BM123" s="58"/>
      <c r="BN123" s="58"/>
      <c r="BO123" s="58"/>
      <c r="BP123" s="58"/>
      <c r="BQ123" s="58"/>
      <c r="BR123" s="58"/>
      <c r="BS123" s="58"/>
      <c r="BT123" s="58"/>
      <c r="BV123" s="82"/>
      <c r="BW123" s="82"/>
      <c r="BX123" s="82"/>
      <c r="BY123" s="82"/>
      <c r="BZ123" s="82"/>
      <c r="CA123" s="82"/>
      <c r="CB123" s="82"/>
      <c r="CC123" s="82"/>
      <c r="CD123" s="82"/>
    </row>
    <row r="124" s="4" customFormat="1" ht="27" customHeight="1" spans="1:82">
      <c r="A124" s="47"/>
      <c r="B124" s="48"/>
      <c r="C124" s="49"/>
      <c r="D124" s="50"/>
      <c r="E124" s="49"/>
      <c r="F124" s="48"/>
      <c r="G124" s="51"/>
      <c r="H124" s="48"/>
      <c r="I124" s="52"/>
      <c r="J124" s="52"/>
      <c r="K124" s="52"/>
      <c r="L124" s="52"/>
      <c r="M124" s="53"/>
      <c r="N124" s="53"/>
      <c r="O124" s="54"/>
      <c r="P124" s="54"/>
      <c r="Q124" s="54"/>
      <c r="R124" s="54"/>
      <c r="S124" s="387"/>
      <c r="T124" s="54"/>
      <c r="U124" s="54"/>
      <c r="V124" s="54"/>
      <c r="W124" s="54"/>
      <c r="X124" s="55"/>
      <c r="Y124" s="53"/>
      <c r="Z124" s="56"/>
      <c r="AA124" s="52"/>
      <c r="AB124" s="53"/>
      <c r="AC124" s="54"/>
      <c r="AD124" s="358">
        <f>AC124-I124</f>
        <v>0</v>
      </c>
      <c r="AE124" s="54"/>
      <c r="AF124" s="54"/>
      <c r="AG124" s="53"/>
      <c r="AH124" s="53"/>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8"/>
      <c r="BM124" s="58"/>
      <c r="BN124" s="58"/>
      <c r="BO124" s="58"/>
      <c r="BP124" s="58"/>
      <c r="BQ124" s="58"/>
      <c r="BR124" s="58"/>
      <c r="BS124" s="58"/>
      <c r="BT124" s="58"/>
      <c r="BV124" s="59"/>
      <c r="BW124" s="59"/>
      <c r="BX124" s="59"/>
      <c r="BY124" s="59"/>
      <c r="BZ124" s="59"/>
      <c r="CA124" s="59"/>
      <c r="CB124" s="59"/>
      <c r="CC124" s="59"/>
      <c r="CD124" s="59"/>
    </row>
    <row r="125" s="360" customFormat="1" ht="15" customHeight="1" spans="1:82">
      <c r="A125" s="356"/>
      <c r="B125" s="261"/>
      <c r="C125" s="261"/>
      <c r="D125" s="261"/>
      <c r="E125" s="261"/>
      <c r="F125" s="261"/>
      <c r="G125" s="261"/>
      <c r="H125" s="261"/>
      <c r="I125" s="261"/>
      <c r="J125" s="261"/>
      <c r="K125" s="261"/>
      <c r="L125" s="261"/>
      <c r="M125" s="261"/>
      <c r="N125" s="261"/>
      <c r="O125" s="261"/>
      <c r="P125" s="261"/>
      <c r="Q125" s="261"/>
      <c r="R125" s="261"/>
      <c r="S125" s="261"/>
      <c r="T125" s="261"/>
      <c r="U125" s="261"/>
      <c r="V125" s="261"/>
      <c r="W125" s="261"/>
      <c r="X125" s="490"/>
      <c r="Y125" s="261"/>
      <c r="Z125" s="261"/>
      <c r="AA125" s="261"/>
      <c r="AB125" s="261" t="s">
        <v>1611</v>
      </c>
      <c r="AC125" s="261"/>
      <c r="AD125" s="358">
        <f>AC125-I125</f>
        <v>0</v>
      </c>
      <c r="AE125" s="261"/>
      <c r="AF125" s="261"/>
      <c r="AG125" s="261"/>
      <c r="AH125" s="261"/>
      <c r="AI125" s="261"/>
      <c r="AJ125" s="261"/>
      <c r="AK125" s="261"/>
      <c r="AL125" s="261"/>
      <c r="AM125" s="261"/>
      <c r="AN125" s="261"/>
      <c r="AO125" s="261"/>
      <c r="AP125" s="261"/>
      <c r="AQ125" s="261"/>
      <c r="AR125" s="261"/>
      <c r="AS125" s="261"/>
      <c r="AT125" s="261"/>
      <c r="AU125" s="261"/>
      <c r="AV125" s="261"/>
      <c r="AW125" s="261"/>
      <c r="AX125" s="261"/>
      <c r="AY125" s="261"/>
      <c r="AZ125" s="261"/>
      <c r="BA125" s="261"/>
      <c r="BB125" s="261"/>
      <c r="BC125" s="261"/>
      <c r="BD125" s="261"/>
      <c r="BE125" s="261"/>
      <c r="BF125" s="261"/>
      <c r="BG125" s="261"/>
      <c r="BH125" s="261"/>
      <c r="BI125" s="261"/>
      <c r="BJ125" s="261"/>
      <c r="BK125" s="261"/>
      <c r="BL125" s="359"/>
      <c r="BM125" s="359"/>
      <c r="BN125" s="359"/>
      <c r="BO125" s="359"/>
      <c r="BP125" s="359"/>
      <c r="BQ125" s="359"/>
      <c r="BR125" s="359"/>
      <c r="BS125" s="359"/>
      <c r="BT125" s="359"/>
      <c r="BV125" s="361"/>
      <c r="BW125" s="361"/>
      <c r="BX125" s="361"/>
      <c r="BY125" s="361"/>
      <c r="BZ125" s="361"/>
      <c r="CA125" s="361"/>
      <c r="CB125" s="361"/>
      <c r="CC125" s="361"/>
      <c r="CD125" s="361"/>
    </row>
    <row r="126" s="360" customFormat="1" spans="1:82">
      <c r="A126" s="229"/>
      <c r="B126" s="230"/>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c r="AA126" s="230"/>
      <c r="AB126" s="230"/>
      <c r="AC126" s="230"/>
      <c r="AD126" s="230"/>
      <c r="AE126" s="230"/>
      <c r="AF126" s="230"/>
      <c r="AG126" s="230"/>
      <c r="AH126" s="230"/>
      <c r="AI126" s="230"/>
      <c r="AO126" s="230"/>
      <c r="AP126" s="230"/>
      <c r="AQ126" s="230"/>
      <c r="AR126" s="230"/>
      <c r="AS126" s="230"/>
      <c r="AT126" s="230"/>
      <c r="AU126" s="230"/>
      <c r="AV126" s="230"/>
      <c r="AW126" s="230"/>
      <c r="AX126" s="230"/>
      <c r="AY126" s="230"/>
      <c r="AZ126" s="230"/>
      <c r="BA126" s="230"/>
      <c r="BB126" s="230"/>
      <c r="BC126" s="230"/>
      <c r="BD126" s="230"/>
      <c r="BE126" s="230"/>
      <c r="BF126" s="230"/>
      <c r="BG126" s="230"/>
      <c r="BH126" s="230"/>
      <c r="BI126" s="230"/>
      <c r="BJ126" s="230"/>
      <c r="BK126" s="230"/>
      <c r="BL126" s="58"/>
      <c r="BM126" s="58"/>
      <c r="BN126" s="58"/>
      <c r="BO126" s="58"/>
      <c r="BP126" s="58"/>
      <c r="BQ126" s="58"/>
      <c r="BR126" s="58"/>
      <c r="BS126" s="58"/>
      <c r="BT126" s="58"/>
      <c r="BU126" s="4"/>
      <c r="BV126" s="59"/>
      <c r="BW126" s="59"/>
      <c r="BX126" s="59"/>
      <c r="BY126" s="59"/>
      <c r="BZ126" s="59"/>
      <c r="CA126" s="59"/>
      <c r="CB126" s="59"/>
      <c r="CC126" s="59"/>
      <c r="CD126" s="59"/>
    </row>
    <row r="127" s="230" customFormat="1" spans="1:82">
      <c r="A127" s="229"/>
      <c r="AH127" s="261" t="s">
        <v>1612</v>
      </c>
      <c r="AI127" s="261">
        <f t="shared" ref="AI127:BJ127" si="212">SUM(AI3:AI126)+AI129</f>
        <v>947358</v>
      </c>
      <c r="AJ127" s="261">
        <f t="shared" si="212"/>
        <v>399867</v>
      </c>
      <c r="AK127" s="261">
        <f t="shared" si="212"/>
        <v>523353</v>
      </c>
      <c r="AL127" s="261">
        <f t="shared" si="212"/>
        <v>24138</v>
      </c>
      <c r="AM127" s="261">
        <f t="shared" si="212"/>
        <v>690613</v>
      </c>
      <c r="AN127" s="261">
        <f t="shared" si="212"/>
        <v>233201</v>
      </c>
      <c r="AO127" s="261">
        <f t="shared" si="212"/>
        <v>24138</v>
      </c>
      <c r="AP127" s="261">
        <f t="shared" si="212"/>
        <v>98941</v>
      </c>
      <c r="AQ127" s="261">
        <f t="shared" si="212"/>
        <v>834022</v>
      </c>
      <c r="AR127" s="261">
        <f t="shared" si="212"/>
        <v>14989</v>
      </c>
      <c r="AS127" s="261">
        <f t="shared" si="212"/>
        <v>3539</v>
      </c>
      <c r="AT127" s="261">
        <f t="shared" si="212"/>
        <v>1980</v>
      </c>
      <c r="AU127" s="261">
        <f t="shared" si="212"/>
        <v>4097</v>
      </c>
      <c r="AV127" s="261">
        <f t="shared" si="212"/>
        <v>19312</v>
      </c>
      <c r="AW127" s="261">
        <f t="shared" si="212"/>
        <v>2815</v>
      </c>
      <c r="AX127" s="261">
        <f t="shared" si="212"/>
        <v>15713</v>
      </c>
      <c r="AY127" s="261">
        <f t="shared" si="212"/>
        <v>535</v>
      </c>
      <c r="AZ127" s="261">
        <f t="shared" si="212"/>
        <v>612</v>
      </c>
      <c r="BA127" s="261">
        <f t="shared" si="212"/>
        <v>1250</v>
      </c>
      <c r="BB127" s="261">
        <f t="shared" si="212"/>
        <v>0</v>
      </c>
      <c r="BC127" s="261">
        <f t="shared" si="212"/>
        <v>99</v>
      </c>
      <c r="BD127" s="261">
        <f t="shared" si="212"/>
        <v>99</v>
      </c>
      <c r="BE127" s="261">
        <f t="shared" si="212"/>
        <v>150</v>
      </c>
      <c r="BF127" s="261">
        <f t="shared" si="212"/>
        <v>47</v>
      </c>
      <c r="BG127" s="261">
        <f t="shared" si="212"/>
        <v>197</v>
      </c>
      <c r="BH127" s="261">
        <f t="shared" si="212"/>
        <v>69768</v>
      </c>
      <c r="BI127" s="261">
        <f t="shared" si="212"/>
        <v>69768</v>
      </c>
      <c r="BJ127" s="261">
        <f t="shared" si="212"/>
        <v>0</v>
      </c>
      <c r="BK127" s="261">
        <f>SUM(BK3:BK126)</f>
        <v>0</v>
      </c>
      <c r="BL127" s="491">
        <f t="shared" ref="BL127:BT127" si="213">SUM(BL3:BL126)+BL129</f>
        <v>116104.46875</v>
      </c>
      <c r="BM127" s="491">
        <f t="shared" si="213"/>
        <v>116104.46875</v>
      </c>
      <c r="BN127" s="491">
        <f t="shared" si="213"/>
        <v>116104.46875</v>
      </c>
      <c r="BO127" s="491">
        <f t="shared" si="213"/>
        <v>116104.46875</v>
      </c>
      <c r="BP127" s="491">
        <f t="shared" si="213"/>
        <v>116104.46875</v>
      </c>
      <c r="BQ127" s="491">
        <f t="shared" si="213"/>
        <v>116104.46875</v>
      </c>
      <c r="BR127" s="491">
        <f t="shared" si="213"/>
        <v>116104.46875</v>
      </c>
      <c r="BS127" s="491">
        <f t="shared" si="213"/>
        <v>116104.46875</v>
      </c>
      <c r="BT127" s="491">
        <f t="shared" si="213"/>
        <v>19812.25</v>
      </c>
      <c r="BV127" s="359">
        <f t="shared" ref="BV127:CD127" si="214">MIN(BV3:BV125)</f>
        <v>17923.5312500001</v>
      </c>
      <c r="BW127" s="359">
        <f t="shared" si="214"/>
        <v>17923.5312500001</v>
      </c>
      <c r="BX127" s="359">
        <f t="shared" si="214"/>
        <v>17923.5312500001</v>
      </c>
      <c r="BY127" s="359">
        <f t="shared" si="214"/>
        <v>17923.5312500001</v>
      </c>
      <c r="BZ127" s="359">
        <f t="shared" si="214"/>
        <v>17923.5312500001</v>
      </c>
      <c r="CA127" s="359">
        <f t="shared" si="214"/>
        <v>17923.5312500001</v>
      </c>
      <c r="CB127" s="359">
        <f t="shared" si="214"/>
        <v>17923.5312500001</v>
      </c>
      <c r="CC127" s="359">
        <f t="shared" si="214"/>
        <v>17923.5312500001</v>
      </c>
      <c r="CD127" s="359">
        <f t="shared" si="214"/>
        <v>3002.75000000003</v>
      </c>
    </row>
    <row r="128" s="230" customFormat="1" spans="1:82">
      <c r="A128" s="229"/>
      <c r="E128" s="230" t="s">
        <v>1994</v>
      </c>
      <c r="Z128" s="230" t="s">
        <v>1613</v>
      </c>
      <c r="AA128" s="230">
        <f>SUM(AA3:AA126)</f>
        <v>159055.8382</v>
      </c>
    </row>
    <row r="129" s="230" customFormat="1" spans="1:82">
      <c r="A129" s="229"/>
      <c r="E129" s="230">
        <f>AI127-AI129</f>
        <v>230132</v>
      </c>
      <c r="AH129" s="261" t="s">
        <v>1995</v>
      </c>
      <c r="AI129" s="261">
        <v>717226</v>
      </c>
      <c r="AJ129" s="261">
        <v>399867</v>
      </c>
      <c r="AK129" s="261">
        <v>293221</v>
      </c>
      <c r="AL129" s="261">
        <v>24138</v>
      </c>
      <c r="AM129" s="261">
        <v>535894</v>
      </c>
      <c r="AN129" s="261">
        <v>157788</v>
      </c>
      <c r="AO129" s="261">
        <v>24138</v>
      </c>
      <c r="AP129" s="261">
        <v>98941</v>
      </c>
      <c r="AQ129" s="261">
        <v>606490</v>
      </c>
      <c r="AR129" s="261">
        <v>12389</v>
      </c>
      <c r="AS129" s="261">
        <v>1906</v>
      </c>
      <c r="AT129" s="261">
        <v>1980</v>
      </c>
      <c r="AU129" s="261">
        <v>2530</v>
      </c>
      <c r="AV129" s="261">
        <v>17446</v>
      </c>
      <c r="AW129" s="261">
        <v>2535</v>
      </c>
      <c r="AX129" s="261">
        <v>14845</v>
      </c>
      <c r="AY129" s="261">
        <v>535</v>
      </c>
      <c r="AZ129" s="261">
        <v>612</v>
      </c>
      <c r="BA129" s="261">
        <v>0</v>
      </c>
      <c r="BB129" s="261">
        <v>0</v>
      </c>
      <c r="BC129" s="261">
        <v>50</v>
      </c>
      <c r="BD129" s="261">
        <v>50</v>
      </c>
      <c r="BE129" s="261">
        <v>150</v>
      </c>
      <c r="BF129" s="261">
        <v>47</v>
      </c>
      <c r="BG129" s="261">
        <v>197</v>
      </c>
      <c r="BH129" s="261">
        <v>23676</v>
      </c>
      <c r="BI129" s="261">
        <v>23676</v>
      </c>
      <c r="BJ129" s="261">
        <v>0</v>
      </c>
      <c r="BK129" s="261">
        <v>0</v>
      </c>
      <c r="BL129" s="359">
        <v>87937.2708333332</v>
      </c>
      <c r="BM129" s="359">
        <v>87937.2708333332</v>
      </c>
      <c r="BN129" s="359">
        <v>87937.2708333332</v>
      </c>
      <c r="BO129" s="359">
        <v>87937.2708333332</v>
      </c>
      <c r="BP129" s="359">
        <v>87937.2708333332</v>
      </c>
      <c r="BQ129" s="359">
        <v>87937.2708333332</v>
      </c>
      <c r="BR129" s="359">
        <v>87937.2708333332</v>
      </c>
      <c r="BS129" s="359">
        <v>87937.2708333332</v>
      </c>
      <c r="BT129" s="359">
        <v>15017.8333333333</v>
      </c>
      <c r="BV129" s="359">
        <f>BV127-生产MA!G14</f>
        <v>-7.6397554948926e-11</v>
      </c>
      <c r="BW129" s="359"/>
      <c r="BX129" s="359"/>
      <c r="BY129" s="359"/>
      <c r="BZ129" s="359"/>
      <c r="CA129" s="359"/>
      <c r="CB129" s="359"/>
      <c r="CC129" s="359"/>
      <c r="CD129" s="359"/>
    </row>
    <row r="130" s="230" customFormat="1" spans="1:82">
      <c r="A130" s="229"/>
      <c r="BV130" s="369"/>
      <c r="BW130" s="369"/>
      <c r="BX130" s="369"/>
      <c r="BY130" s="369"/>
      <c r="BZ130" s="369"/>
      <c r="CA130" s="369"/>
      <c r="CB130" s="369"/>
      <c r="CC130" s="369"/>
      <c r="CD130" s="369"/>
    </row>
    <row r="131" s="230" customFormat="1" spans="1:82">
      <c r="A131" s="229"/>
      <c r="E131" s="230">
        <f>E129-AI133</f>
        <v>0</v>
      </c>
      <c r="AA131" s="230">
        <f>AA128*7.75</f>
        <v>1232682.74605</v>
      </c>
      <c r="AH131" s="360" t="s">
        <v>1120</v>
      </c>
      <c r="AI131" s="360">
        <f>SUM(AI129,AI4:AI69)</f>
        <v>863928</v>
      </c>
    </row>
    <row r="132" s="230" customFormat="1" spans="1:82">
      <c r="A132" s="229"/>
      <c r="BK132" s="230" t="s">
        <v>1614</v>
      </c>
      <c r="BL132" s="369">
        <f>SUM(BL129,BL3:BL86)</f>
        <v>108948.3515625</v>
      </c>
      <c r="BM132" s="369">
        <f t="shared" ref="BM132:BT132" si="215">SUM(BM129,BM3:BM86)</f>
        <v>108948.3515625</v>
      </c>
      <c r="BN132" s="369">
        <f t="shared" si="215"/>
        <v>108948.3515625</v>
      </c>
      <c r="BO132" s="369">
        <f t="shared" si="215"/>
        <v>108948.3515625</v>
      </c>
      <c r="BP132" s="369">
        <f t="shared" si="215"/>
        <v>108948.3515625</v>
      </c>
      <c r="BQ132" s="369">
        <f t="shared" si="215"/>
        <v>108948.3515625</v>
      </c>
      <c r="BR132" s="369">
        <f t="shared" si="215"/>
        <v>108948.3515625</v>
      </c>
      <c r="BS132" s="369">
        <f t="shared" si="215"/>
        <v>108948.3515625</v>
      </c>
      <c r="BT132" s="369">
        <f t="shared" si="215"/>
        <v>18594.1875</v>
      </c>
    </row>
    <row r="133" spans="1:82">
      <c r="AI133" s="230">
        <f>SUM(AI3:AI125)</f>
        <v>230132</v>
      </c>
    </row>
    <row r="136" spans="1:82">
      <c r="J136" s="230" t="s">
        <v>1611</v>
      </c>
      <c r="M136" s="230" t="s">
        <v>1615</v>
      </c>
    </row>
  </sheetData>
  <sheetProtection formatCells="0" formatColumns="0" formatRows="0" insertRows="0" insertColumns="0" insertHyperlinks="0" deleteColumns="0" deleteRows="0" sort="0" autoFilter="0" pivotTables="0"/>
  <protectedRanges>
    <protectedRange sqref="AC$1:AF$1048576" name="Range1"/>
    <protectedRange sqref="A$1:AB$1048576 AG$1:CD$1048576" name="Range2"/>
  </protectedRanges>
  <autoFilter xmlns:etc="http://www.wps.cn/officeDocument/2017/etCustomData" ref="A2:CD136" etc:filterBottomFollowUsedRange="1">
    <extLst/>
  </autoFilter>
  <mergeCells count="9">
    <mergeCell ref="AJ1:AL1"/>
    <mergeCell ref="AM1:AO1"/>
    <mergeCell ref="AP1:AQ1"/>
    <mergeCell ref="AS1:AU1"/>
    <mergeCell ref="AV1:AW1"/>
    <mergeCell ref="AZ1:BA1"/>
    <mergeCell ref="BB1:BD1"/>
    <mergeCell ref="BE1:BG1"/>
    <mergeCell ref="BH1:BJ1"/>
  </mergeCells>
  <conditionalFormatting sqref="R3:W3">
    <cfRule type="cellIs" dxfId="0" priority="1131" operator="equal">
      <formula>"欠"</formula>
    </cfRule>
  </conditionalFormatting>
  <conditionalFormatting sqref="R4">
    <cfRule type="cellIs" dxfId="0" priority="452" operator="equal">
      <formula>"欠"</formula>
    </cfRule>
  </conditionalFormatting>
  <conditionalFormatting sqref="T4">
    <cfRule type="containsText" dxfId="0" priority="453" operator="between" text="欠">
      <formula>NOT(ISERROR(SEARCH("欠",T4)))</formula>
    </cfRule>
    <cfRule type="cellIs" dxfId="0" priority="454" operator="equal">
      <formula>"欠"</formula>
    </cfRule>
  </conditionalFormatting>
  <conditionalFormatting sqref="R8">
    <cfRule type="cellIs" dxfId="0" priority="410" operator="equal">
      <formula>"欠"</formula>
    </cfRule>
  </conditionalFormatting>
  <conditionalFormatting sqref="T10">
    <cfRule type="containsText" dxfId="0" priority="411" operator="between" text="欠">
      <formula>NOT(ISERROR(SEARCH("欠",T10)))</formula>
    </cfRule>
    <cfRule type="cellIs" dxfId="0" priority="412" operator="equal">
      <formula>"欠"</formula>
    </cfRule>
  </conditionalFormatting>
  <conditionalFormatting sqref="T12">
    <cfRule type="containsText" dxfId="0" priority="483" operator="between" text="欠">
      <formula>NOT(ISERROR(SEARCH("欠",T12)))</formula>
    </cfRule>
    <cfRule type="cellIs" dxfId="0" priority="484" operator="equal">
      <formula>"欠"</formula>
    </cfRule>
  </conditionalFormatting>
  <conditionalFormatting sqref="S13">
    <cfRule type="cellIs" dxfId="0" priority="369" operator="equal">
      <formula>"欠"</formula>
    </cfRule>
    <cfRule type="containsText" dxfId="0" priority="370" operator="between" text="欠">
      <formula>NOT(ISERROR(SEARCH("欠",S13)))</formula>
    </cfRule>
  </conditionalFormatting>
  <conditionalFormatting sqref="T13">
    <cfRule type="containsText" dxfId="0" priority="371" operator="between" text="欠">
      <formula>NOT(ISERROR(SEARCH("欠",T13)))</formula>
    </cfRule>
    <cfRule type="cellIs" dxfId="0" priority="372" operator="equal">
      <formula>"欠"</formula>
    </cfRule>
  </conditionalFormatting>
  <conditionalFormatting sqref="T16">
    <cfRule type="containsText" dxfId="0" priority="502" operator="between" text="欠">
      <formula>NOT(ISERROR(SEARCH("欠",T16)))</formula>
    </cfRule>
    <cfRule type="cellIs" dxfId="0" priority="503" operator="equal">
      <formula>"欠"</formula>
    </cfRule>
  </conditionalFormatting>
  <conditionalFormatting sqref="S18">
    <cfRule type="cellIs" dxfId="0" priority="348" operator="equal">
      <formula>"欠"</formula>
    </cfRule>
    <cfRule type="containsText" dxfId="0" priority="350" operator="between" text="欠">
      <formula>NOT(ISERROR(SEARCH("欠",S18)))</formula>
    </cfRule>
  </conditionalFormatting>
  <conditionalFormatting sqref="T18">
    <cfRule type="containsText" dxfId="0" priority="352" operator="between" text="欠">
      <formula>NOT(ISERROR(SEARCH("欠",T18)))</formula>
    </cfRule>
    <cfRule type="cellIs" dxfId="0" priority="354" operator="equal">
      <formula>"欠"</formula>
    </cfRule>
  </conditionalFormatting>
  <conditionalFormatting sqref="R19">
    <cfRule type="containsText" dxfId="0" priority="337" operator="between" text="欠">
      <formula>NOT(ISERROR(SEARCH("欠",R19)))</formula>
    </cfRule>
    <cfRule type="cellIs" dxfId="0" priority="338" operator="equal">
      <formula>"欠"</formula>
    </cfRule>
  </conditionalFormatting>
  <conditionalFormatting sqref="R20">
    <cfRule type="containsText" dxfId="0" priority="332" operator="between" text="欠">
      <formula>NOT(ISERROR(SEARCH("欠",R20)))</formula>
    </cfRule>
    <cfRule type="cellIs" dxfId="0" priority="333" operator="equal">
      <formula>"欠"</formula>
    </cfRule>
  </conditionalFormatting>
  <conditionalFormatting sqref="S20">
    <cfRule type="containsText" dxfId="0" priority="334" operator="between" text="欠">
      <formula>NOT(ISERROR(SEARCH("欠",S20)))</formula>
    </cfRule>
  </conditionalFormatting>
  <conditionalFormatting sqref="T20">
    <cfRule type="containsText" dxfId="0" priority="330" operator="between" text="欠">
      <formula>NOT(ISERROR(SEARCH("欠",T20)))</formula>
    </cfRule>
    <cfRule type="cellIs" dxfId="0" priority="331" operator="equal">
      <formula>"欠"</formula>
    </cfRule>
  </conditionalFormatting>
  <conditionalFormatting sqref="T22">
    <cfRule type="containsText" dxfId="0" priority="367" operator="between" text="欠">
      <formula>NOT(ISERROR(SEARCH("欠",T22)))</formula>
    </cfRule>
    <cfRule type="cellIs" dxfId="0" priority="368" operator="equal">
      <formula>"欠"</formula>
    </cfRule>
  </conditionalFormatting>
  <conditionalFormatting sqref="S29">
    <cfRule type="containsText" dxfId="0" priority="298" operator="between" text="欠">
      <formula>NOT(ISERROR(SEARCH("欠",S29)))</formula>
    </cfRule>
    <cfRule type="cellIs" dxfId="0" priority="299" operator="equal">
      <formula>"欠"</formula>
    </cfRule>
  </conditionalFormatting>
  <conditionalFormatting sqref="T29">
    <cfRule type="containsText" dxfId="0" priority="300" operator="between" text="欠">
      <formula>NOT(ISERROR(SEARCH("欠",T29)))</formula>
    </cfRule>
    <cfRule type="cellIs" dxfId="0" priority="301" operator="equal">
      <formula>"欠"</formula>
    </cfRule>
  </conditionalFormatting>
  <conditionalFormatting sqref="T32">
    <cfRule type="containsText" dxfId="0" priority="296" operator="between" text="欠">
      <formula>NOT(ISERROR(SEARCH("欠",T32)))</formula>
    </cfRule>
    <cfRule type="cellIs" dxfId="0" priority="297" operator="equal">
      <formula>"欠"</formula>
    </cfRule>
  </conditionalFormatting>
  <conditionalFormatting sqref="R33">
    <cfRule type="containsText" dxfId="0" priority="268" operator="between" text="欠">
      <formula>NOT(ISERROR(SEARCH("欠",R33)))</formula>
    </cfRule>
    <cfRule type="cellIs" dxfId="0" priority="269" operator="equal">
      <formula>"欠"</formula>
    </cfRule>
  </conditionalFormatting>
  <conditionalFormatting sqref="T33">
    <cfRule type="containsText" dxfId="0" priority="270" operator="between" text="欠">
      <formula>NOT(ISERROR(SEARCH("欠",T33)))</formula>
    </cfRule>
    <cfRule type="cellIs" dxfId="0" priority="271" operator="equal">
      <formula>"欠"</formula>
    </cfRule>
  </conditionalFormatting>
  <conditionalFormatting sqref="T34">
    <cfRule type="containsText" dxfId="0" priority="304" operator="between" text="欠">
      <formula>NOT(ISERROR(SEARCH("欠",T34)))</formula>
    </cfRule>
    <cfRule type="cellIs" dxfId="0" priority="305" operator="equal">
      <formula>"欠"</formula>
    </cfRule>
  </conditionalFormatting>
  <conditionalFormatting sqref="R35">
    <cfRule type="containsText" dxfId="0" priority="266" operator="between" text="欠">
      <formula>NOT(ISERROR(SEARCH("欠",R35)))</formula>
    </cfRule>
    <cfRule type="cellIs" dxfId="0" priority="267" operator="equal">
      <formula>"欠"</formula>
    </cfRule>
  </conditionalFormatting>
  <conditionalFormatting sqref="T35">
    <cfRule type="containsText" dxfId="0" priority="264" operator="between" text="欠">
      <formula>NOT(ISERROR(SEARCH("欠",T35)))</formula>
    </cfRule>
    <cfRule type="cellIs" dxfId="0" priority="265" operator="equal">
      <formula>"欠"</formula>
    </cfRule>
  </conditionalFormatting>
  <conditionalFormatting sqref="T40">
    <cfRule type="containsText" dxfId="0" priority="256" operator="between" text="欠">
      <formula>NOT(ISERROR(SEARCH("欠",T40)))</formula>
    </cfRule>
    <cfRule type="cellIs" dxfId="0" priority="257" operator="equal">
      <formula>"欠"</formula>
    </cfRule>
  </conditionalFormatting>
  <conditionalFormatting sqref="T41">
    <cfRule type="containsText" dxfId="0" priority="248" operator="between" text="欠">
      <formula>NOT(ISERROR(SEARCH("欠",T41)))</formula>
    </cfRule>
    <cfRule type="cellIs" dxfId="0" priority="249" operator="equal">
      <formula>"欠"</formula>
    </cfRule>
  </conditionalFormatting>
  <conditionalFormatting sqref="T42">
    <cfRule type="containsText" dxfId="0" priority="180" operator="between" text="欠">
      <formula>NOT(ISERROR(SEARCH("欠",T42)))</formula>
    </cfRule>
    <cfRule type="cellIs" dxfId="0" priority="181" operator="equal">
      <formula>"欠"</formula>
    </cfRule>
  </conditionalFormatting>
  <conditionalFormatting sqref="U42:W42">
    <cfRule type="containsText" dxfId="0" priority="210" operator="between" text="欠">
      <formula>NOT(ISERROR(SEARCH("欠",U42)))</formula>
    </cfRule>
    <cfRule type="cellIs" dxfId="0" priority="213" operator="equal">
      <formula>"欠"</formula>
    </cfRule>
  </conditionalFormatting>
  <conditionalFormatting sqref="S44">
    <cfRule type="cellIs" dxfId="0" priority="188" operator="equal">
      <formula>"欠"</formula>
    </cfRule>
    <cfRule type="containsText" dxfId="0" priority="189" operator="between" text="欠">
      <formula>NOT(ISERROR(SEARCH("欠",S44)))</formula>
    </cfRule>
  </conditionalFormatting>
  <conditionalFormatting sqref="T44">
    <cfRule type="containsText" dxfId="0" priority="178" operator="between" text="欠">
      <formula>NOT(ISERROR(SEARCH("欠",T44)))</formula>
    </cfRule>
    <cfRule type="cellIs" dxfId="0" priority="179" operator="equal">
      <formula>"欠"</formula>
    </cfRule>
  </conditionalFormatting>
  <conditionalFormatting sqref="U44:W44">
    <cfRule type="containsText" dxfId="0" priority="209" operator="between" text="欠">
      <formula>NOT(ISERROR(SEARCH("欠",U44)))</formula>
    </cfRule>
    <cfRule type="cellIs" dxfId="0" priority="212" operator="equal">
      <formula>"欠"</formula>
    </cfRule>
  </conditionalFormatting>
  <conditionalFormatting sqref="R45">
    <cfRule type="containsText" dxfId="0" priority="134" operator="between" text="欠">
      <formula>NOT(ISERROR(SEARCH("欠",R45)))</formula>
    </cfRule>
    <cfRule type="cellIs" dxfId="0" priority="135" operator="equal">
      <formula>"欠"</formula>
    </cfRule>
  </conditionalFormatting>
  <conditionalFormatting sqref="U45:W45">
    <cfRule type="containsText" dxfId="0" priority="138" operator="between" text="欠">
      <formula>NOT(ISERROR(SEARCH("欠",U45)))</formula>
    </cfRule>
    <cfRule type="cellIs" dxfId="0" priority="139" operator="equal">
      <formula>"欠"</formula>
    </cfRule>
  </conditionalFormatting>
  <conditionalFormatting sqref="T46">
    <cfRule type="containsText" dxfId="0" priority="176" operator="between" text="欠">
      <formula>NOT(ISERROR(SEARCH("欠",T46)))</formula>
    </cfRule>
    <cfRule type="cellIs" dxfId="0" priority="177" operator="equal">
      <formula>"欠"</formula>
    </cfRule>
  </conditionalFormatting>
  <conditionalFormatting sqref="U46:W46">
    <cfRule type="containsText" dxfId="0" priority="208" operator="between" text="欠">
      <formula>NOT(ISERROR(SEARCH("欠",U46)))</formula>
    </cfRule>
    <cfRule type="cellIs" dxfId="0" priority="211" operator="equal">
      <formula>"欠"</formula>
    </cfRule>
  </conditionalFormatting>
  <conditionalFormatting sqref="R49">
    <cfRule type="containsText" dxfId="0" priority="44" operator="between" text="欠">
      <formula>NOT(ISERROR(SEARCH("欠",R49)))</formula>
    </cfRule>
    <cfRule type="cellIs" dxfId="0" priority="45" operator="equal">
      <formula>"欠"</formula>
    </cfRule>
  </conditionalFormatting>
  <conditionalFormatting sqref="T54">
    <cfRule type="containsText" dxfId="0" priority="4" operator="between" text="欠">
      <formula>NOT(ISERROR(SEARCH("欠",T54)))</formula>
    </cfRule>
    <cfRule type="cellIs" dxfId="0" priority="5" operator="equal">
      <formula>"欠"</formula>
    </cfRule>
  </conditionalFormatting>
  <conditionalFormatting sqref="R64">
    <cfRule type="containsText" dxfId="0" priority="214" operator="between" text="欠">
      <formula>NOT(ISERROR(SEARCH("欠",R64)))</formula>
    </cfRule>
    <cfRule type="cellIs" dxfId="0" priority="215" operator="equal">
      <formula>"欠"</formula>
    </cfRule>
  </conditionalFormatting>
  <conditionalFormatting sqref="S64">
    <cfRule type="containsText" dxfId="0" priority="216" operator="between" text="欠">
      <formula>NOT(ISERROR(SEARCH("欠",S64)))</formula>
    </cfRule>
    <cfRule type="cellIs" dxfId="0" priority="217" operator="equal">
      <formula>"欠"</formula>
    </cfRule>
  </conditionalFormatting>
  <conditionalFormatting sqref="T64">
    <cfRule type="containsText" dxfId="0" priority="218" operator="between" text="欠">
      <formula>NOT(ISERROR(SEARCH("欠",T64)))</formula>
    </cfRule>
    <cfRule type="cellIs" dxfId="0" priority="219" operator="equal">
      <formula>"欠"</formula>
    </cfRule>
  </conditionalFormatting>
  <conditionalFormatting sqref="U64:W64">
    <cfRule type="containsText" dxfId="0" priority="226" operator="between" text="欠">
      <formula>NOT(ISERROR(SEARCH("欠",U64)))</formula>
    </cfRule>
    <cfRule type="cellIs" dxfId="0" priority="227" operator="equal">
      <formula>"欠"</formula>
    </cfRule>
  </conditionalFormatting>
  <conditionalFormatting sqref="R124">
    <cfRule type="containsText" dxfId="0" priority="992" operator="between" text="欠">
      <formula>NOT(ISERROR(SEARCH("欠",R124)))</formula>
    </cfRule>
    <cfRule type="cellIs" dxfId="0" priority="993" operator="equal">
      <formula>"欠"</formula>
    </cfRule>
  </conditionalFormatting>
  <conditionalFormatting sqref="S124">
    <cfRule type="containsText" dxfId="0" priority="990" operator="between" text="欠">
      <formula>NOT(ISERROR(SEARCH("欠",S124)))</formula>
    </cfRule>
    <cfRule type="cellIs" dxfId="0" priority="991" operator="equal">
      <formula>"欠"</formula>
    </cfRule>
  </conditionalFormatting>
  <conditionalFormatting sqref="T124">
    <cfRule type="containsText" dxfId="0" priority="795" operator="between" text="欠">
      <formula>NOT(ISERROR(SEARCH("欠",T124)))</formula>
    </cfRule>
    <cfRule type="cellIs" dxfId="0" priority="796" operator="equal">
      <formula>"欠"</formula>
    </cfRule>
  </conditionalFormatting>
  <conditionalFormatting sqref="U124:W124">
    <cfRule type="containsText" dxfId="0" priority="703" operator="between" text="欠">
      <formula>NOT(ISERROR(SEARCH("欠",U124)))</formula>
    </cfRule>
    <cfRule type="cellIs" dxfId="0" priority="704" operator="equal">
      <formula>"欠"</formula>
    </cfRule>
  </conditionalFormatting>
  <conditionalFormatting sqref="R14:R15">
    <cfRule type="containsText" dxfId="0" priority="379" operator="between" text="欠">
      <formula>NOT(ISERROR(SEARCH("欠",R14)))</formula>
    </cfRule>
    <cfRule type="cellIs" dxfId="0" priority="380" operator="equal">
      <formula>"欠"</formula>
    </cfRule>
  </conditionalFormatting>
  <conditionalFormatting sqref="R17:R18">
    <cfRule type="containsText" dxfId="0" priority="356" operator="between" text="欠">
      <formula>NOT(ISERROR(SEARCH("欠",R17)))</formula>
    </cfRule>
    <cfRule type="cellIs" dxfId="0" priority="360" operator="equal">
      <formula>"欠"</formula>
    </cfRule>
  </conditionalFormatting>
  <conditionalFormatting sqref="R23:R26">
    <cfRule type="containsText" dxfId="0" priority="322" operator="between" text="欠">
      <formula>NOT(ISERROR(SEARCH("欠",R23)))</formula>
    </cfRule>
    <cfRule type="cellIs" dxfId="0" priority="323" operator="equal">
      <formula>"欠"</formula>
    </cfRule>
  </conditionalFormatting>
  <conditionalFormatting sqref="R38:R42">
    <cfRule type="containsText" dxfId="0" priority="258" operator="between" text="欠">
      <formula>NOT(ISERROR(SEARCH("欠",R38)))</formula>
    </cfRule>
    <cfRule type="cellIs" dxfId="0" priority="259" operator="equal">
      <formula>"欠"</formula>
    </cfRule>
  </conditionalFormatting>
  <conditionalFormatting sqref="R47:R48">
    <cfRule type="containsText" dxfId="0" priority="116" operator="between" text="欠">
      <formula>NOT(ISERROR(SEARCH("欠",R47)))</formula>
    </cfRule>
    <cfRule type="cellIs" dxfId="0" priority="118" operator="equal">
      <formula>"欠"</formula>
    </cfRule>
  </conditionalFormatting>
  <conditionalFormatting sqref="R56:R61">
    <cfRule type="containsText" dxfId="0" priority="56" operator="between" text="欠">
      <formula>NOT(ISERROR(SEARCH("欠",R56)))</formula>
    </cfRule>
    <cfRule type="cellIs" dxfId="0" priority="57" operator="equal">
      <formula>"欠"</formula>
    </cfRule>
  </conditionalFormatting>
  <conditionalFormatting sqref="R57:R60">
    <cfRule type="containsText" dxfId="0" priority="52" operator="between" text="欠">
      <formula>NOT(ISERROR(SEARCH("欠",R57)))</formula>
    </cfRule>
    <cfRule type="cellIs" dxfId="0" priority="53" operator="equal">
      <formula>"欠"</formula>
    </cfRule>
  </conditionalFormatting>
  <conditionalFormatting sqref="R62:R65">
    <cfRule type="containsText" dxfId="0" priority="128" operator="between" text="欠">
      <formula>NOT(ISERROR(SEARCH("欠",R62)))</formula>
    </cfRule>
    <cfRule type="cellIs" dxfId="0" priority="129" operator="equal">
      <formula>"欠"</formula>
    </cfRule>
  </conditionalFormatting>
  <conditionalFormatting sqref="R71:R85">
    <cfRule type="containsText" dxfId="0" priority="290" operator="between" text="欠">
      <formula>NOT(ISERROR(SEARCH("欠",R71)))</formula>
    </cfRule>
    <cfRule type="cellIs" dxfId="0" priority="291" operator="equal">
      <formula>"欠"</formula>
    </cfRule>
  </conditionalFormatting>
  <conditionalFormatting sqref="S14:S15">
    <cfRule type="cellIs" dxfId="0" priority="377" operator="equal">
      <formula>"欠"</formula>
    </cfRule>
    <cfRule type="containsText" dxfId="0" priority="378" operator="between" text="欠">
      <formula>NOT(ISERROR(SEARCH("欠",S14)))</formula>
    </cfRule>
  </conditionalFormatting>
  <conditionalFormatting sqref="S34:S35">
    <cfRule type="cellIs" dxfId="0" priority="302" operator="equal">
      <formula>"欠"</formula>
    </cfRule>
    <cfRule type="containsText" dxfId="0" priority="303" operator="between" text="欠">
      <formula>NOT(ISERROR(SEARCH("欠",S34)))</formula>
    </cfRule>
  </conditionalFormatting>
  <conditionalFormatting sqref="S48:S49">
    <cfRule type="cellIs" dxfId="0" priority="125" operator="equal">
      <formula>"欠"</formula>
    </cfRule>
    <cfRule type="containsText" dxfId="0" priority="127" operator="between" text="欠">
      <formula>NOT(ISERROR(SEARCH("欠",S48)))</formula>
    </cfRule>
  </conditionalFormatting>
  <conditionalFormatting sqref="S57:S60">
    <cfRule type="containsText" dxfId="0" priority="54" operator="between" text="欠">
      <formula>NOT(ISERROR(SEARCH("欠",S57)))</formula>
    </cfRule>
    <cfRule type="cellIs" dxfId="0" priority="55" operator="equal">
      <formula>"欠"</formula>
    </cfRule>
  </conditionalFormatting>
  <conditionalFormatting sqref="S62:S65">
    <cfRule type="containsText" dxfId="0" priority="130" operator="between" text="欠">
      <formula>NOT(ISERROR(SEARCH("欠",S62)))</formula>
    </cfRule>
    <cfRule type="cellIs" dxfId="0" priority="131" operator="equal">
      <formula>"欠"</formula>
    </cfRule>
  </conditionalFormatting>
  <conditionalFormatting sqref="S69:S122">
    <cfRule type="cellIs" dxfId="0" priority="42" operator="equal">
      <formula>"欠"</formula>
    </cfRule>
    <cfRule type="containsText" dxfId="0" priority="43" operator="between" text="欠">
      <formula>NOT(ISERROR(SEARCH("欠",S69)))</formula>
    </cfRule>
  </conditionalFormatting>
  <conditionalFormatting sqref="T5:T7">
    <cfRule type="containsText" dxfId="0" priority="424" operator="between" text="欠">
      <formula>NOT(ISERROR(SEARCH("欠",T5)))</formula>
    </cfRule>
    <cfRule type="cellIs" dxfId="0" priority="425" operator="equal">
      <formula>"欠"</formula>
    </cfRule>
    <cfRule type="containsText" dxfId="0" priority="426" operator="between" text="欠">
      <formula>NOT(ISERROR(SEARCH("欠",T5)))</formula>
    </cfRule>
  </conditionalFormatting>
  <conditionalFormatting sqref="T14:T15">
    <cfRule type="containsText" dxfId="0" priority="381" operator="between" text="欠">
      <formula>NOT(ISERROR(SEARCH("欠",T14)))</formula>
    </cfRule>
    <cfRule type="cellIs" dxfId="0" priority="382" operator="equal">
      <formula>"欠"</formula>
    </cfRule>
  </conditionalFormatting>
  <conditionalFormatting sqref="T38:T39">
    <cfRule type="containsText" dxfId="0" priority="233" operator="between" text="欠">
      <formula>NOT(ISERROR(SEARCH("欠",T38)))</formula>
    </cfRule>
    <cfRule type="cellIs" dxfId="0" priority="235" operator="equal">
      <formula>"欠"</formula>
    </cfRule>
  </conditionalFormatting>
  <conditionalFormatting sqref="T48:T49">
    <cfRule type="containsText" dxfId="0" priority="121" operator="between" text="欠">
      <formula>NOT(ISERROR(SEARCH("欠",T48)))</formula>
    </cfRule>
    <cfRule type="cellIs" dxfId="0" priority="123" operator="equal">
      <formula>"欠"</formula>
    </cfRule>
  </conditionalFormatting>
  <conditionalFormatting sqref="T51:T53">
    <cfRule type="containsText" dxfId="0" priority="50" operator="between" text="欠">
      <formula>NOT(ISERROR(SEARCH("欠",T51)))</formula>
    </cfRule>
    <cfRule type="cellIs" dxfId="0" priority="51" operator="equal">
      <formula>"欠"</formula>
    </cfRule>
  </conditionalFormatting>
  <conditionalFormatting sqref="T62:T69">
    <cfRule type="containsText" dxfId="0" priority="148" operator="between" text="欠">
      <formula>NOT(ISERROR(SEARCH("欠",T62)))</formula>
    </cfRule>
    <cfRule type="cellIs" dxfId="0" priority="149" operator="equal">
      <formula>"欠"</formula>
    </cfRule>
  </conditionalFormatting>
  <conditionalFormatting sqref="T70:T122">
    <cfRule type="containsText" dxfId="0" priority="40" operator="between" text="欠">
      <formula>NOT(ISERROR(SEARCH("欠",T70)))</formula>
    </cfRule>
    <cfRule type="cellIs" dxfId="0" priority="41" operator="equal">
      <formula>"欠"</formula>
    </cfRule>
  </conditionalFormatting>
  <conditionalFormatting sqref="R1:W2">
    <cfRule type="cellIs" dxfId="0" priority="1132" operator="equal">
      <formula>"欠"</formula>
    </cfRule>
  </conditionalFormatting>
  <conditionalFormatting sqref="R2:T71 S72:T83 R84:T122">
    <cfRule type="containsText" dxfId="2" priority="3" operator="between" text="欠">
      <formula>NOT(ISERROR(SEARCH("欠",R2)))</formula>
    </cfRule>
  </conditionalFormatting>
  <conditionalFormatting sqref="R3:W3 R125:W125">
    <cfRule type="containsText" dxfId="0" priority="1122" operator="between" text="欠">
      <formula>NOT(ISERROR(SEARCH("欠",R3)))</formula>
    </cfRule>
  </conditionalFormatting>
  <conditionalFormatting sqref="S16 S4">
    <cfRule type="containsText" dxfId="0" priority="841" operator="between" text="欠">
      <formula>NOT(ISERROR(SEARCH("欠",S4)))</formula>
    </cfRule>
  </conditionalFormatting>
  <conditionalFormatting sqref="R12 R5:R7 R10 R16">
    <cfRule type="containsText" dxfId="0" priority="427" operator="between" text="欠">
      <formula>NOT(ISERROR(SEARCH("欠",R5)))</formula>
    </cfRule>
    <cfRule type="cellIs" dxfId="0" priority="429" operator="equal">
      <formula>"欠"</formula>
    </cfRule>
  </conditionalFormatting>
  <conditionalFormatting sqref="S10 S5:S7">
    <cfRule type="containsText" dxfId="0" priority="430" operator="between" text="欠">
      <formula>NOT(ISERROR(SEARCH("欠",S5)))</formula>
    </cfRule>
    <cfRule type="cellIs" dxfId="0" priority="431" operator="equal">
      <formula>"欠"</formula>
    </cfRule>
    <cfRule type="containsText" dxfId="0" priority="432" operator="between" text="欠">
      <formula>NOT(ISERROR(SEARCH("欠",S5)))</formula>
    </cfRule>
  </conditionalFormatting>
  <conditionalFormatting sqref="S8:S9 S11">
    <cfRule type="containsText" dxfId="0" priority="408" operator="between" text="欠">
      <formula>NOT(ISERROR(SEARCH("欠",S8)))</formula>
    </cfRule>
    <cfRule type="cellIs" dxfId="0" priority="409" operator="equal">
      <formula>"欠"</formula>
    </cfRule>
  </conditionalFormatting>
  <conditionalFormatting sqref="T8:T9 T11">
    <cfRule type="containsText" dxfId="0" priority="406" operator="between" text="欠">
      <formula>NOT(ISERROR(SEARCH("欠",T8)))</formula>
    </cfRule>
    <cfRule type="cellIs" dxfId="0" priority="407" operator="equal">
      <formula>"欠"</formula>
    </cfRule>
  </conditionalFormatting>
  <conditionalFormatting sqref="R9 R11">
    <cfRule type="containsText" dxfId="0" priority="393" operator="between" text="欠">
      <formula>NOT(ISERROR(SEARCH("欠",R9)))</formula>
    </cfRule>
    <cfRule type="cellIs" dxfId="0" priority="395" operator="equal">
      <formula>"欠"</formula>
    </cfRule>
  </conditionalFormatting>
  <conditionalFormatting sqref="S12 S22">
    <cfRule type="containsText" dxfId="0" priority="485" operator="between" text="欠">
      <formula>NOT(ISERROR(SEARCH("欠",S12)))</formula>
    </cfRule>
    <cfRule type="cellIs" dxfId="0" priority="486" operator="equal">
      <formula>"欠"</formula>
    </cfRule>
  </conditionalFormatting>
  <conditionalFormatting sqref="R13 R22">
    <cfRule type="containsText" dxfId="0" priority="390" operator="between" text="欠">
      <formula>NOT(ISERROR(SEARCH("欠",R13)))</formula>
    </cfRule>
    <cfRule type="cellIs" dxfId="0" priority="392" operator="equal">
      <formula>"欠"</formula>
    </cfRule>
  </conditionalFormatting>
  <conditionalFormatting sqref="S17 S19">
    <cfRule type="containsText" dxfId="0" priority="339" operator="between" text="欠">
      <formula>NOT(ISERROR(SEARCH("欠",S17)))</formula>
    </cfRule>
  </conditionalFormatting>
  <conditionalFormatting sqref="T17 T19">
    <cfRule type="containsText" dxfId="0" priority="335" operator="between" text="欠">
      <formula>NOT(ISERROR(SEARCH("欠",T17)))</formula>
    </cfRule>
    <cfRule type="cellIs" dxfId="0" priority="336" operator="equal">
      <formula>"欠"</formula>
    </cfRule>
  </conditionalFormatting>
  <conditionalFormatting sqref="R21 R27:R29 R36:R37 R43">
    <cfRule type="containsText" dxfId="0" priority="355" operator="between" text="欠">
      <formula>NOT(ISERROR(SEARCH("欠",R21)))</formula>
    </cfRule>
    <cfRule type="cellIs" dxfId="0" priority="359" operator="equal">
      <formula>"欠"</formula>
    </cfRule>
  </conditionalFormatting>
  <conditionalFormatting sqref="S21 S27:S28 S43">
    <cfRule type="cellIs" dxfId="0" priority="347" operator="equal">
      <formula>"欠"</formula>
    </cfRule>
    <cfRule type="containsText" dxfId="0" priority="349" operator="between" text="欠">
      <formula>NOT(ISERROR(SEARCH("欠",S21)))</formula>
    </cfRule>
  </conditionalFormatting>
  <conditionalFormatting sqref="T21 T27:T28 T43">
    <cfRule type="containsText" dxfId="0" priority="351" operator="between" text="欠">
      <formula>NOT(ISERROR(SEARCH("欠",T21)))</formula>
    </cfRule>
    <cfRule type="cellIs" dxfId="0" priority="353" operator="equal">
      <formula>"欠"</formula>
    </cfRule>
  </conditionalFormatting>
  <conditionalFormatting sqref="S23:S26 S30:S31 S36:S37">
    <cfRule type="cellIs" dxfId="0" priority="318" operator="equal">
      <formula>"欠"</formula>
    </cfRule>
    <cfRule type="containsText" dxfId="0" priority="319" operator="between" text="欠">
      <formula>NOT(ISERROR(SEARCH("欠",S23)))</formula>
    </cfRule>
  </conditionalFormatting>
  <conditionalFormatting sqref="T23:T26 T30:T31 T36:T37">
    <cfRule type="containsText" dxfId="0" priority="320" operator="between" text="欠">
      <formula>NOT(ISERROR(SEARCH("欠",T23)))</formula>
    </cfRule>
    <cfRule type="cellIs" dxfId="0" priority="321" operator="equal">
      <formula>"欠"</formula>
    </cfRule>
  </conditionalFormatting>
  <conditionalFormatting sqref="R30:R32 R34">
    <cfRule type="containsText" dxfId="0" priority="306" operator="between" text="欠">
      <formula>NOT(ISERROR(SEARCH("欠",R30)))</formula>
    </cfRule>
    <cfRule type="cellIs" dxfId="0" priority="307" operator="equal">
      <formula>"欠"</formula>
    </cfRule>
  </conditionalFormatting>
  <conditionalFormatting sqref="S32:S33 S38:S42">
    <cfRule type="cellIs" dxfId="0" priority="294" operator="equal">
      <formula>"欠"</formula>
    </cfRule>
    <cfRule type="containsText" dxfId="0" priority="295" operator="between" text="欠">
      <formula>NOT(ISERROR(SEARCH("欠",S32)))</formula>
    </cfRule>
  </conditionalFormatting>
  <conditionalFormatting sqref="R44 R46">
    <cfRule type="containsText" dxfId="0" priority="186" operator="between" text="欠">
      <formula>NOT(ISERROR(SEARCH("欠",R44)))</formula>
    </cfRule>
    <cfRule type="cellIs" dxfId="0" priority="187" operator="equal">
      <formula>"欠"</formula>
    </cfRule>
  </conditionalFormatting>
  <conditionalFormatting sqref="S45 S47">
    <cfRule type="cellIs" dxfId="0" priority="136" operator="equal">
      <formula>"欠"</formula>
    </cfRule>
    <cfRule type="containsText" dxfId="0" priority="137" operator="between" text="欠">
      <formula>NOT(ISERROR(SEARCH("欠",S45)))</formula>
    </cfRule>
  </conditionalFormatting>
  <conditionalFormatting sqref="T45 T47">
    <cfRule type="containsText" dxfId="0" priority="132" operator="between" text="欠">
      <formula>NOT(ISERROR(SEARCH("欠",T45)))</formula>
    </cfRule>
    <cfRule type="cellIs" dxfId="0" priority="133" operator="equal">
      <formula>"欠"</formula>
    </cfRule>
  </conditionalFormatting>
  <conditionalFormatting sqref="S46 S65:S67 S123">
    <cfRule type="cellIs" dxfId="0" priority="184" operator="equal">
      <formula>"欠"</formula>
    </cfRule>
    <cfRule type="containsText" dxfId="0" priority="185" operator="between" text="欠">
      <formula>NOT(ISERROR(SEARCH("欠",S46)))</formula>
    </cfRule>
  </conditionalFormatting>
  <conditionalFormatting sqref="S56:S61 S65:S69">
    <cfRule type="containsText" dxfId="0" priority="60" operator="between" text="欠">
      <formula>NOT(ISERROR(SEARCH("欠",S56)))</formula>
    </cfRule>
    <cfRule type="cellIs" dxfId="0" priority="61" operator="equal">
      <formula>"欠"</formula>
    </cfRule>
  </conditionalFormatting>
  <conditionalFormatting sqref="T56:T61 T65:T69">
    <cfRule type="cellIs" dxfId="0" priority="58" operator="equal">
      <formula>"欠"</formula>
    </cfRule>
    <cfRule type="containsText" dxfId="0" priority="59" operator="between" text="欠">
      <formula>NOT(ISERROR(SEARCH("欠",T56)))</formula>
    </cfRule>
  </conditionalFormatting>
  <conditionalFormatting sqref="U62:W65">
    <cfRule type="containsText" dxfId="0" priority="154" operator="between" text="欠">
      <formula>NOT(ISERROR(SEARCH("欠",U62)))</formula>
    </cfRule>
    <cfRule type="cellIs" dxfId="0" priority="155" operator="equal">
      <formula>"欠"</formula>
    </cfRule>
  </conditionalFormatting>
  <conditionalFormatting sqref="R65:R67 R123">
    <cfRule type="containsText" dxfId="0" priority="156" operator="between" text="欠">
      <formula>NOT(ISERROR(SEARCH("欠",R65)))</formula>
    </cfRule>
    <cfRule type="cellIs" dxfId="0" priority="157" operator="equal">
      <formula>"欠"</formula>
    </cfRule>
  </conditionalFormatting>
  <conditionalFormatting sqref="T65:T69 T123">
    <cfRule type="containsText" dxfId="0" priority="166" operator="between" text="欠">
      <formula>NOT(ISERROR(SEARCH("欠",T65)))</formula>
    </cfRule>
    <cfRule type="cellIs" dxfId="0" priority="169" operator="equal">
      <formula>"欠"</formula>
    </cfRule>
  </conditionalFormatting>
  <conditionalFormatting sqref="R69:R82 R84:R93">
    <cfRule type="containsText" dxfId="0" priority="38" operator="between" text="欠">
      <formula>NOT(ISERROR(SEARCH("欠",R69)))</formula>
    </cfRule>
    <cfRule type="cellIs" dxfId="0" priority="39" operator="equal">
      <formula>"欠"</formula>
    </cfRule>
  </conditionalFormatting>
  <conditionalFormatting sqref="R71 U71:W71">
    <cfRule type="containsText" dxfId="0" priority="1" operator="between" text="欠">
      <formula>NOT(ISERROR(SEARCH("欠",R71)))</formula>
    </cfRule>
    <cfRule type="cellIs" dxfId="0" priority="2" operator="equal">
      <formula>"欠"</formula>
    </cfRule>
  </conditionalFormatting>
  <conditionalFormatting sqref="S71:S86 S91">
    <cfRule type="cellIs" dxfId="0" priority="286" operator="equal">
      <formula>"欠"</formula>
    </cfRule>
    <cfRule type="containsText" dxfId="0" priority="287" operator="between" text="欠">
      <formula>NOT(ISERROR(SEARCH("欠",S71)))</formula>
    </cfRule>
  </conditionalFormatting>
  <conditionalFormatting sqref="T71:T86 T93">
    <cfRule type="containsText" dxfId="0" priority="288" operator="between" text="欠">
      <formula>NOT(ISERROR(SEARCH("欠",T71)))</formula>
    </cfRule>
    <cfRule type="cellIs" dxfId="0" priority="289" operator="equal">
      <formula>"欠"</formula>
    </cfRule>
  </conditionalFormatting>
  <conditionalFormatting sqref="U71:W85">
    <cfRule type="containsText" dxfId="0" priority="292" operator="between" text="欠">
      <formula>NOT(ISERROR(SEARCH("欠",U71)))</formula>
    </cfRule>
    <cfRule type="cellIs" dxfId="0" priority="293" operator="equal">
      <formula>"欠"</formula>
    </cfRule>
  </conditionalFormatting>
  <dataValidations count="1">
    <dataValidation type="list" allowBlank="1" showInputMessage="1" showErrorMessage="1" sqref="S13:S15 S17:S21 S23:S123">
      <formula1>"有,无"</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F58"/>
  <sheetViews>
    <sheetView tabSelected="1" workbookViewId="0">
      <pane xSplit="17" ySplit="2" topLeftCell="R3" activePane="bottomRight" state="frozen"/>
      <selection/>
      <selection pane="topRight"/>
      <selection pane="bottomLeft"/>
      <selection pane="bottomRight" activeCell="A18" sqref="$A18:$XFD18"/>
    </sheetView>
  </sheetViews>
  <sheetFormatPr defaultColWidth="9" defaultRowHeight="13.5"/>
  <cols>
    <col min="1" max="1" width="10.7166666666667" style="229" customWidth="1"/>
    <col min="2" max="2" width="9.45" style="230" customWidth="1"/>
    <col min="3" max="3" width="9" style="230" customWidth="1"/>
    <col min="4" max="4" width="10.775" style="230" customWidth="1"/>
    <col min="5" max="5" width="13.05" style="230" customWidth="1"/>
    <col min="6" max="6" width="13.3666666666667" style="230" customWidth="1"/>
    <col min="7" max="7" width="17.8333333333333" style="230" customWidth="1"/>
    <col min="8" max="8" width="16.875" style="230" customWidth="1"/>
    <col min="9" max="9" width="8.975" style="230" customWidth="1"/>
    <col min="10" max="10" width="9" style="230"/>
    <col min="11" max="11" width="9.275" style="230" customWidth="1"/>
    <col min="12" max="12" width="9" style="230"/>
    <col min="13" max="13" width="15.35" style="230" customWidth="1"/>
    <col min="14" max="14" width="13.5083333333333" style="230" customWidth="1"/>
    <col min="15" max="15" width="10.1583333333333" style="230" customWidth="1"/>
    <col min="16" max="16" width="9" style="230"/>
    <col min="17" max="17" width="9.55" style="230" customWidth="1"/>
    <col min="18" max="18" width="10.3" style="230" customWidth="1"/>
    <col min="19" max="19" width="9" style="230"/>
    <col min="20" max="20" width="11.1583333333333" style="230" customWidth="1"/>
    <col min="21" max="21" width="8.125" style="230" customWidth="1"/>
    <col min="22" max="23" width="11.1583333333333" style="230" customWidth="1"/>
    <col min="24" max="24" width="45.425" style="231" customWidth="1"/>
    <col min="25" max="25" width="9.95833333333333" style="230" customWidth="1"/>
    <col min="26" max="26" width="9" style="230" customWidth="1"/>
    <col min="27" max="27" width="12.8" style="230" customWidth="1"/>
    <col min="28" max="28" width="10.525" style="230" customWidth="1"/>
    <col min="29" max="29" width="18.5083333333333" style="230" customWidth="1"/>
    <col min="30" max="30" width="5.975" style="230" customWidth="1"/>
    <col min="31" max="31" width="9" style="230"/>
    <col min="32" max="32" width="8.21666666666667" style="230" customWidth="1"/>
    <col min="33" max="33" width="5.58333333333333" style="230" customWidth="1"/>
    <col min="34" max="34" width="8.53333333333333" style="230" customWidth="1"/>
    <col min="35" max="35" width="2.14166666666667" style="230" customWidth="1"/>
    <col min="36" max="36" width="11.1833333333333" style="230" customWidth="1"/>
    <col min="37" max="42" width="9" style="230"/>
    <col min="43" max="43" width="12.8" style="230"/>
    <col min="44" max="52" width="9" style="230"/>
    <col min="53" max="53" width="13.75" style="230" customWidth="1"/>
    <col min="54" max="54" width="9" style="230"/>
    <col min="55" max="55" width="5.50833333333333" style="230" customWidth="1"/>
    <col min="56" max="61" width="11.1916666666667" style="230" customWidth="1"/>
    <col min="62" max="62" width="7.1" style="230" customWidth="1"/>
    <col min="63" max="68" width="11.7583333333333" style="230" customWidth="1"/>
    <col min="69" max="69" width="9" style="222"/>
    <col min="70" max="70" width="18.2083333333333" style="222" customWidth="1"/>
    <col min="71" max="16384" width="9" style="222"/>
  </cols>
  <sheetData>
    <row r="1" s="222" customFormat="1" ht="49" customHeight="1" spans="1:84">
      <c r="A1" s="232" t="s">
        <v>1996</v>
      </c>
      <c r="B1" s="233"/>
      <c r="C1" s="234"/>
      <c r="D1" s="235"/>
      <c r="E1" s="235"/>
      <c r="F1" s="236"/>
      <c r="G1" s="237"/>
      <c r="H1" s="238"/>
      <c r="I1" s="239"/>
      <c r="J1" s="240"/>
      <c r="K1" s="240"/>
      <c r="L1" s="240"/>
      <c r="M1" s="240"/>
      <c r="N1" s="240"/>
      <c r="O1" s="241"/>
      <c r="P1" s="234"/>
      <c r="Q1" s="234"/>
      <c r="R1" s="240"/>
      <c r="S1" s="240"/>
      <c r="T1" s="241"/>
      <c r="U1" s="241"/>
      <c r="V1" s="241"/>
      <c r="W1" s="241"/>
      <c r="X1" s="242"/>
      <c r="Y1" s="230"/>
      <c r="Z1" s="230"/>
      <c r="AA1" s="230"/>
      <c r="AB1" s="230"/>
      <c r="AC1" s="230"/>
      <c r="AD1" s="230"/>
      <c r="AE1" s="234"/>
      <c r="AF1" s="234"/>
      <c r="AG1" s="234"/>
      <c r="AH1" s="234"/>
      <c r="AI1" s="234"/>
      <c r="AJ1" s="230"/>
      <c r="AK1" s="243" t="s">
        <v>3</v>
      </c>
      <c r="AL1" s="244"/>
      <c r="AM1" s="245" t="s">
        <v>1997</v>
      </c>
      <c r="AN1" s="243" t="s">
        <v>4</v>
      </c>
      <c r="AO1" s="243" t="s">
        <v>6</v>
      </c>
      <c r="AP1" s="244"/>
      <c r="AQ1" s="246" t="s">
        <v>7</v>
      </c>
      <c r="AR1" s="246"/>
      <c r="AS1" s="245" t="s">
        <v>1998</v>
      </c>
      <c r="AT1" s="246" t="s">
        <v>11</v>
      </c>
      <c r="AU1" s="246"/>
      <c r="AV1" s="246"/>
      <c r="AW1" s="246" t="s">
        <v>12</v>
      </c>
      <c r="AX1" s="246"/>
      <c r="AY1" s="246"/>
      <c r="AZ1" s="247" t="s">
        <v>13</v>
      </c>
      <c r="BA1" s="247"/>
      <c r="BB1" s="247"/>
      <c r="BC1" s="230"/>
      <c r="BD1" s="248" t="s">
        <v>1999</v>
      </c>
      <c r="BE1" s="248" t="s">
        <v>2000</v>
      </c>
      <c r="BF1" s="248" t="s">
        <v>2001</v>
      </c>
      <c r="BG1" s="248" t="s">
        <v>2002</v>
      </c>
      <c r="BH1" s="248" t="s">
        <v>2003</v>
      </c>
      <c r="BI1" s="248" t="s">
        <v>2004</v>
      </c>
      <c r="BJ1" s="230"/>
      <c r="BK1" s="248" t="s">
        <v>1999</v>
      </c>
      <c r="BL1" s="248" t="s">
        <v>2000</v>
      </c>
      <c r="BM1" s="248" t="s">
        <v>2001</v>
      </c>
      <c r="BN1" s="248" t="s">
        <v>2002</v>
      </c>
      <c r="BO1" s="249" t="s">
        <v>2003</v>
      </c>
      <c r="BP1" s="250" t="s">
        <v>2004</v>
      </c>
    </row>
    <row r="2" s="222" customFormat="1" ht="30" customHeight="1" spans="1:84">
      <c r="A2" s="251" t="s">
        <v>23</v>
      </c>
      <c r="B2" s="252" t="s">
        <v>24</v>
      </c>
      <c r="C2" s="252" t="s">
        <v>25</v>
      </c>
      <c r="D2" s="253" t="s">
        <v>26</v>
      </c>
      <c r="E2" s="252" t="s">
        <v>27</v>
      </c>
      <c r="F2" s="253" t="s">
        <v>28</v>
      </c>
      <c r="G2" s="253" t="s">
        <v>29</v>
      </c>
      <c r="H2" s="252" t="s">
        <v>30</v>
      </c>
      <c r="I2" s="254" t="s">
        <v>31</v>
      </c>
      <c r="J2" s="252" t="s">
        <v>32</v>
      </c>
      <c r="K2" s="252" t="s">
        <v>33</v>
      </c>
      <c r="L2" s="252" t="s">
        <v>34</v>
      </c>
      <c r="M2" s="255" t="s">
        <v>35</v>
      </c>
      <c r="N2" s="255" t="s">
        <v>36</v>
      </c>
      <c r="O2" s="256" t="s">
        <v>37</v>
      </c>
      <c r="P2" s="252" t="s">
        <v>38</v>
      </c>
      <c r="Q2" s="252" t="s">
        <v>39</v>
      </c>
      <c r="R2" s="252" t="s">
        <v>40</v>
      </c>
      <c r="S2" s="252" t="s">
        <v>41</v>
      </c>
      <c r="T2" s="256" t="s">
        <v>42</v>
      </c>
      <c r="U2" s="256" t="s">
        <v>43</v>
      </c>
      <c r="V2" s="257" t="s">
        <v>1616</v>
      </c>
      <c r="W2" s="257" t="s">
        <v>1617</v>
      </c>
      <c r="X2" s="258" t="s">
        <v>44</v>
      </c>
      <c r="Y2" s="255" t="s">
        <v>45</v>
      </c>
      <c r="Z2" s="255" t="s">
        <v>46</v>
      </c>
      <c r="AA2" s="255" t="s">
        <v>47</v>
      </c>
      <c r="AB2" s="255" t="s">
        <v>48</v>
      </c>
      <c r="AC2" s="255" t="s">
        <v>53</v>
      </c>
      <c r="AD2" s="255" t="s">
        <v>54</v>
      </c>
      <c r="AE2" s="259" t="s">
        <v>49</v>
      </c>
      <c r="AF2" s="259" t="s">
        <v>50</v>
      </c>
      <c r="AG2" s="259" t="s">
        <v>51</v>
      </c>
      <c r="AH2" s="259" t="s">
        <v>52</v>
      </c>
      <c r="AI2" s="259"/>
      <c r="AJ2" s="255" t="s">
        <v>55</v>
      </c>
      <c r="AK2" s="255" t="s">
        <v>59</v>
      </c>
      <c r="AL2" s="255" t="s">
        <v>60</v>
      </c>
      <c r="AM2" s="260" t="s">
        <v>2005</v>
      </c>
      <c r="AN2" s="255" t="s">
        <v>62</v>
      </c>
      <c r="AO2" s="255" t="s">
        <v>59</v>
      </c>
      <c r="AP2" s="255" t="s">
        <v>60</v>
      </c>
      <c r="AQ2" s="255" t="s">
        <v>59</v>
      </c>
      <c r="AR2" s="255" t="s">
        <v>60</v>
      </c>
      <c r="AS2" s="260" t="s">
        <v>2005</v>
      </c>
      <c r="AT2" s="255" t="s">
        <v>59</v>
      </c>
      <c r="AU2" s="255" t="s">
        <v>60</v>
      </c>
      <c r="AV2" s="255" t="s">
        <v>69</v>
      </c>
      <c r="AW2" s="255" t="s">
        <v>59</v>
      </c>
      <c r="AX2" s="255" t="s">
        <v>60</v>
      </c>
      <c r="AY2" s="255" t="s">
        <v>70</v>
      </c>
      <c r="AZ2" s="255" t="s">
        <v>71</v>
      </c>
      <c r="BA2" s="255" t="s">
        <v>1618</v>
      </c>
      <c r="BB2" s="255"/>
      <c r="BC2" s="261"/>
      <c r="BD2" s="262">
        <v>0.166666666666667</v>
      </c>
      <c r="BE2" s="262">
        <v>0.166666666666667</v>
      </c>
      <c r="BF2" s="262">
        <v>0.166666666666667</v>
      </c>
      <c r="BG2" s="262">
        <v>0.166666666666667</v>
      </c>
      <c r="BH2" s="262">
        <v>0.166666666666667</v>
      </c>
      <c r="BI2" s="262">
        <v>0.166666666666667</v>
      </c>
      <c r="BJ2" s="230" t="s">
        <v>73</v>
      </c>
      <c r="BK2" s="261">
        <f>生产MA!O24</f>
        <v>116667</v>
      </c>
      <c r="BL2" s="261">
        <f>生产MA!O25</f>
        <v>116667</v>
      </c>
      <c r="BM2" s="261">
        <f>生产MA!O26</f>
        <v>116667</v>
      </c>
      <c r="BN2" s="261">
        <f>生产MA!O27</f>
        <v>116667</v>
      </c>
      <c r="BO2" s="263">
        <f>生产MA!O28</f>
        <v>116667</v>
      </c>
      <c r="BP2" s="264">
        <f>生产MA!O29</f>
        <v>116667</v>
      </c>
      <c r="BR2" s="265" t="s">
        <v>2006</v>
      </c>
    </row>
    <row r="3" s="223" customFormat="1" ht="27" customHeight="1" spans="1:84">
      <c r="A3" s="47">
        <v>46168</v>
      </c>
      <c r="B3" s="266"/>
      <c r="C3" s="267" t="s">
        <v>83</v>
      </c>
      <c r="D3" s="268" t="s">
        <v>2007</v>
      </c>
      <c r="E3" s="267" t="s">
        <v>2008</v>
      </c>
      <c r="F3" s="266" t="s">
        <v>2009</v>
      </c>
      <c r="G3" s="269" t="s">
        <v>2010</v>
      </c>
      <c r="H3" s="270" t="s">
        <v>2011</v>
      </c>
      <c r="I3" s="270">
        <v>1008</v>
      </c>
      <c r="J3" s="270">
        <v>0</v>
      </c>
      <c r="K3" s="270">
        <v>24</v>
      </c>
      <c r="L3" s="270">
        <f t="shared" ref="L3:L10" si="0">I3/K3</f>
        <v>42</v>
      </c>
      <c r="M3" s="271">
        <v>46181</v>
      </c>
      <c r="N3" s="271">
        <v>46181</v>
      </c>
      <c r="O3" s="272"/>
      <c r="P3" s="273" t="s">
        <v>2012</v>
      </c>
      <c r="Q3" s="272"/>
      <c r="R3" s="272">
        <v>46168</v>
      </c>
      <c r="S3" s="272" t="s">
        <v>80</v>
      </c>
      <c r="T3" s="272" t="s">
        <v>80</v>
      </c>
      <c r="U3" s="272"/>
      <c r="V3" s="272"/>
      <c r="W3" s="272"/>
      <c r="X3" s="274" t="s">
        <v>2013</v>
      </c>
      <c r="Y3" s="271"/>
      <c r="Z3" s="275"/>
      <c r="AA3" s="270"/>
      <c r="AB3" s="271"/>
      <c r="AC3" s="276" t="s">
        <v>93</v>
      </c>
      <c r="AD3" s="277" t="s">
        <v>93</v>
      </c>
      <c r="AE3" s="278"/>
      <c r="AF3" s="279"/>
      <c r="AG3" s="272"/>
      <c r="AH3" s="280"/>
      <c r="AI3" s="280"/>
      <c r="AJ3" s="268">
        <f>I3</f>
        <v>1008</v>
      </c>
      <c r="AK3" s="268">
        <f>I3</f>
        <v>1008</v>
      </c>
      <c r="AL3" s="268"/>
      <c r="AM3" s="268"/>
      <c r="AN3" s="268">
        <f>I3</f>
        <v>1008</v>
      </c>
      <c r="AO3" s="268"/>
      <c r="AP3" s="268"/>
      <c r="AQ3" s="268"/>
      <c r="AR3" s="268"/>
      <c r="AS3" s="268"/>
      <c r="AT3" s="268"/>
      <c r="AU3" s="268"/>
      <c r="AV3" s="268"/>
      <c r="AW3" s="268"/>
      <c r="AX3" s="268"/>
      <c r="AY3" s="268"/>
      <c r="AZ3" s="268"/>
      <c r="BA3" s="268"/>
      <c r="BB3" s="268"/>
      <c r="BC3" s="268"/>
      <c r="BD3" s="268"/>
      <c r="BE3" s="268"/>
      <c r="BF3" s="268"/>
      <c r="BG3" s="268"/>
      <c r="BH3" s="268"/>
      <c r="BI3" s="268"/>
      <c r="BJ3" s="268"/>
      <c r="BK3" s="281">
        <f t="shared" ref="BK3:BP3" si="1">BK2-BD3</f>
        <v>116667</v>
      </c>
      <c r="BL3" s="281">
        <f t="shared" si="1"/>
        <v>116667</v>
      </c>
      <c r="BM3" s="281">
        <f t="shared" si="1"/>
        <v>116667</v>
      </c>
      <c r="BN3" s="281">
        <f t="shared" si="1"/>
        <v>116667</v>
      </c>
      <c r="BO3" s="282">
        <f t="shared" si="1"/>
        <v>116667</v>
      </c>
      <c r="BP3" s="283">
        <f t="shared" si="1"/>
        <v>116667</v>
      </c>
      <c r="BQ3" s="284"/>
      <c r="BR3" s="284"/>
      <c r="BS3" s="284"/>
      <c r="BT3" s="284"/>
      <c r="BU3" s="284"/>
      <c r="BV3" s="284"/>
      <c r="BX3" s="285"/>
      <c r="BY3" s="285"/>
      <c r="BZ3" s="285"/>
      <c r="CA3" s="285"/>
      <c r="CB3" s="285"/>
      <c r="CC3" s="285"/>
      <c r="CD3" s="285"/>
      <c r="CE3" s="285"/>
      <c r="CF3" s="285"/>
    </row>
    <row r="4" s="223" customFormat="1" ht="27" customHeight="1" spans="1:84">
      <c r="A4" s="61">
        <v>46168</v>
      </c>
      <c r="B4" s="62"/>
      <c r="C4" s="65" t="s">
        <v>83</v>
      </c>
      <c r="D4" s="64" t="s">
        <v>2007</v>
      </c>
      <c r="E4" s="65" t="s">
        <v>2008</v>
      </c>
      <c r="F4" s="62" t="s">
        <v>2014</v>
      </c>
      <c r="G4" s="66" t="s">
        <v>2010</v>
      </c>
      <c r="H4" s="68" t="s">
        <v>2015</v>
      </c>
      <c r="I4" s="68">
        <v>50</v>
      </c>
      <c r="J4" s="68">
        <v>0</v>
      </c>
      <c r="K4" s="68">
        <v>25</v>
      </c>
      <c r="L4" s="68">
        <f t="shared" si="0"/>
        <v>2</v>
      </c>
      <c r="M4" s="69">
        <v>46181</v>
      </c>
      <c r="N4" s="69">
        <v>46181</v>
      </c>
      <c r="O4" s="72"/>
      <c r="P4" s="64"/>
      <c r="Q4" s="72"/>
      <c r="R4" s="72">
        <v>46168</v>
      </c>
      <c r="S4" s="72" t="s">
        <v>80</v>
      </c>
      <c r="T4" s="72" t="s">
        <v>80</v>
      </c>
      <c r="U4" s="72"/>
      <c r="V4" s="72"/>
      <c r="W4" s="72"/>
      <c r="X4" s="286" t="s">
        <v>2016</v>
      </c>
      <c r="Y4" s="69"/>
      <c r="Z4" s="287"/>
      <c r="AA4" s="68"/>
      <c r="AB4" s="69"/>
      <c r="AC4" s="276" t="s">
        <v>93</v>
      </c>
      <c r="AD4" s="277" t="s">
        <v>93</v>
      </c>
      <c r="AE4" s="77"/>
      <c r="AF4" s="78"/>
      <c r="AG4" s="72"/>
      <c r="AH4" s="79"/>
      <c r="AI4" s="79"/>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281">
        <f t="shared" ref="BK4:BP4" si="2">BK3-BD4</f>
        <v>116667</v>
      </c>
      <c r="BL4" s="281">
        <f t="shared" si="2"/>
        <v>116667</v>
      </c>
      <c r="BM4" s="281">
        <f t="shared" si="2"/>
        <v>116667</v>
      </c>
      <c r="BN4" s="281">
        <f t="shared" si="2"/>
        <v>116667</v>
      </c>
      <c r="BO4" s="282">
        <f t="shared" si="2"/>
        <v>116667</v>
      </c>
      <c r="BP4" s="283">
        <f t="shared" si="2"/>
        <v>116667</v>
      </c>
      <c r="BQ4" s="284"/>
      <c r="BR4" s="284"/>
      <c r="BS4" s="284"/>
      <c r="BT4" s="284"/>
      <c r="BU4" s="284"/>
      <c r="BV4" s="284"/>
      <c r="BX4" s="285"/>
      <c r="BY4" s="285"/>
      <c r="BZ4" s="285"/>
      <c r="CA4" s="285"/>
      <c r="CB4" s="285"/>
      <c r="CC4" s="285"/>
      <c r="CD4" s="285"/>
      <c r="CE4" s="285"/>
      <c r="CF4" s="285"/>
    </row>
    <row r="5" s="223" customFormat="1" ht="27" customHeight="1" spans="1:84">
      <c r="A5" s="61">
        <v>46168</v>
      </c>
      <c r="B5" s="62"/>
      <c r="C5" s="65" t="s">
        <v>83</v>
      </c>
      <c r="D5" s="64" t="s">
        <v>2007</v>
      </c>
      <c r="E5" s="65" t="s">
        <v>2008</v>
      </c>
      <c r="F5" s="62" t="s">
        <v>2017</v>
      </c>
      <c r="G5" s="66" t="s">
        <v>2018</v>
      </c>
      <c r="H5" s="68" t="s">
        <v>2019</v>
      </c>
      <c r="I5" s="68">
        <v>50</v>
      </c>
      <c r="J5" s="68">
        <v>0</v>
      </c>
      <c r="K5" s="68">
        <v>25</v>
      </c>
      <c r="L5" s="68">
        <f t="shared" si="0"/>
        <v>2</v>
      </c>
      <c r="M5" s="69">
        <v>46181</v>
      </c>
      <c r="N5" s="69">
        <v>46181</v>
      </c>
      <c r="O5" s="72"/>
      <c r="P5" s="273" t="s">
        <v>2012</v>
      </c>
      <c r="Q5" s="72"/>
      <c r="R5" s="72">
        <v>46168</v>
      </c>
      <c r="S5" s="72" t="s">
        <v>80</v>
      </c>
      <c r="T5" s="72" t="s">
        <v>80</v>
      </c>
      <c r="U5" s="72"/>
      <c r="V5" s="72"/>
      <c r="W5" s="72"/>
      <c r="X5" s="286" t="s">
        <v>2020</v>
      </c>
      <c r="Y5" s="69"/>
      <c r="Z5" s="287"/>
      <c r="AA5" s="68"/>
      <c r="AB5" s="69"/>
      <c r="AC5" s="276" t="s">
        <v>93</v>
      </c>
      <c r="AD5" s="277" t="s">
        <v>93</v>
      </c>
      <c r="AE5" s="77"/>
      <c r="AF5" s="78"/>
      <c r="AG5" s="72"/>
      <c r="AH5" s="79"/>
      <c r="AI5" s="79"/>
      <c r="AJ5" s="64"/>
      <c r="AK5" s="64"/>
      <c r="AL5" s="64"/>
      <c r="AM5" s="64"/>
      <c r="AN5" s="64"/>
      <c r="AO5" s="64"/>
      <c r="AP5" s="64"/>
      <c r="AQ5" s="64">
        <f>I5</f>
        <v>50</v>
      </c>
      <c r="AR5" s="64"/>
      <c r="AS5" s="64"/>
      <c r="AT5" s="64"/>
      <c r="AU5" s="64"/>
      <c r="AV5" s="64"/>
      <c r="AW5" s="64"/>
      <c r="AX5" s="64"/>
      <c r="AY5" s="64"/>
      <c r="AZ5" s="64"/>
      <c r="BA5" s="64"/>
      <c r="BB5" s="64"/>
      <c r="BC5" s="64"/>
      <c r="BD5" s="64"/>
      <c r="BE5" s="64"/>
      <c r="BF5" s="64"/>
      <c r="BG5" s="64"/>
      <c r="BH5" s="64"/>
      <c r="BI5" s="64"/>
      <c r="BJ5" s="64"/>
      <c r="BK5" s="281">
        <f t="shared" ref="BK5:BP5" si="3">BK4-BD5</f>
        <v>116667</v>
      </c>
      <c r="BL5" s="281">
        <f t="shared" si="3"/>
        <v>116667</v>
      </c>
      <c r="BM5" s="281">
        <f t="shared" si="3"/>
        <v>116667</v>
      </c>
      <c r="BN5" s="281">
        <f t="shared" si="3"/>
        <v>116667</v>
      </c>
      <c r="BO5" s="282">
        <f t="shared" si="3"/>
        <v>116667</v>
      </c>
      <c r="BP5" s="283">
        <f t="shared" si="3"/>
        <v>116667</v>
      </c>
      <c r="BQ5" s="284"/>
      <c r="BR5" s="284"/>
      <c r="BS5" s="284"/>
      <c r="BT5" s="284"/>
      <c r="BU5" s="284"/>
      <c r="BV5" s="284"/>
      <c r="BX5" s="285"/>
      <c r="BY5" s="285"/>
      <c r="BZ5" s="285"/>
      <c r="CA5" s="285"/>
      <c r="CB5" s="285"/>
      <c r="CC5" s="285"/>
      <c r="CD5" s="285"/>
      <c r="CE5" s="285"/>
      <c r="CF5" s="285"/>
    </row>
    <row r="6" s="223" customFormat="1" ht="27" customHeight="1" spans="1:84">
      <c r="A6" s="61">
        <v>46168</v>
      </c>
      <c r="B6" s="62"/>
      <c r="C6" s="65" t="s">
        <v>83</v>
      </c>
      <c r="D6" s="64" t="s">
        <v>2007</v>
      </c>
      <c r="E6" s="65" t="s">
        <v>2008</v>
      </c>
      <c r="F6" s="62" t="s">
        <v>2021</v>
      </c>
      <c r="G6" s="66" t="s">
        <v>2022</v>
      </c>
      <c r="H6" s="68" t="s">
        <v>2023</v>
      </c>
      <c r="I6" s="68">
        <v>100</v>
      </c>
      <c r="J6" s="68">
        <v>0</v>
      </c>
      <c r="K6" s="68">
        <v>25</v>
      </c>
      <c r="L6" s="68">
        <f t="shared" si="0"/>
        <v>4</v>
      </c>
      <c r="M6" s="69">
        <v>46181</v>
      </c>
      <c r="N6" s="69">
        <v>46181</v>
      </c>
      <c r="O6" s="72"/>
      <c r="P6" s="64"/>
      <c r="Q6" s="72"/>
      <c r="R6" s="72">
        <v>46168</v>
      </c>
      <c r="S6" s="72" t="s">
        <v>80</v>
      </c>
      <c r="T6" s="72" t="s">
        <v>80</v>
      </c>
      <c r="U6" s="72"/>
      <c r="V6" s="72"/>
      <c r="W6" s="72"/>
      <c r="X6" s="286" t="s">
        <v>2024</v>
      </c>
      <c r="Y6" s="69"/>
      <c r="Z6" s="287"/>
      <c r="AA6" s="68"/>
      <c r="AB6" s="69"/>
      <c r="AC6" s="276" t="s">
        <v>93</v>
      </c>
      <c r="AD6" s="277" t="s">
        <v>93</v>
      </c>
      <c r="AE6" s="77"/>
      <c r="AF6" s="78"/>
      <c r="AG6" s="72"/>
      <c r="AH6" s="79"/>
      <c r="AI6" s="79"/>
      <c r="AJ6" s="64"/>
      <c r="AK6" s="64"/>
      <c r="AL6" s="64"/>
      <c r="AM6" s="64"/>
      <c r="AN6" s="64"/>
      <c r="AO6" s="64">
        <f>I6</f>
        <v>100</v>
      </c>
      <c r="AP6" s="64"/>
      <c r="AQ6" s="64"/>
      <c r="AR6" s="64"/>
      <c r="AS6" s="64"/>
      <c r="AT6" s="64"/>
      <c r="AU6" s="64"/>
      <c r="AV6" s="64"/>
      <c r="AW6" s="64"/>
      <c r="AX6" s="64"/>
      <c r="AY6" s="64"/>
      <c r="AZ6" s="64"/>
      <c r="BA6" s="64"/>
      <c r="BB6" s="64"/>
      <c r="BC6" s="64"/>
      <c r="BD6" s="64"/>
      <c r="BE6" s="64"/>
      <c r="BF6" s="64"/>
      <c r="BG6" s="64"/>
      <c r="BH6" s="64"/>
      <c r="BI6" s="64"/>
      <c r="BJ6" s="64"/>
      <c r="BK6" s="281">
        <f t="shared" ref="BK6:BP6" si="4">BK5-BD6</f>
        <v>116667</v>
      </c>
      <c r="BL6" s="281">
        <f t="shared" si="4"/>
        <v>116667</v>
      </c>
      <c r="BM6" s="281">
        <f t="shared" si="4"/>
        <v>116667</v>
      </c>
      <c r="BN6" s="281">
        <f t="shared" si="4"/>
        <v>116667</v>
      </c>
      <c r="BO6" s="282">
        <f t="shared" si="4"/>
        <v>116667</v>
      </c>
      <c r="BP6" s="283">
        <f t="shared" si="4"/>
        <v>116667</v>
      </c>
      <c r="BQ6" s="284"/>
      <c r="BR6" s="284"/>
      <c r="BS6" s="284"/>
      <c r="BT6" s="284"/>
      <c r="BU6" s="284"/>
      <c r="BV6" s="284"/>
      <c r="BX6" s="285"/>
      <c r="BY6" s="285"/>
      <c r="BZ6" s="285"/>
      <c r="CA6" s="285"/>
      <c r="CB6" s="285"/>
      <c r="CC6" s="285"/>
      <c r="CD6" s="285"/>
      <c r="CE6" s="285"/>
      <c r="CF6" s="285"/>
    </row>
    <row r="7" s="223" customFormat="1" ht="27" customHeight="1" spans="1:84">
      <c r="A7" s="61">
        <v>46177</v>
      </c>
      <c r="B7" s="62"/>
      <c r="C7" s="63" t="s">
        <v>77</v>
      </c>
      <c r="D7" s="288" t="s">
        <v>2025</v>
      </c>
      <c r="E7" s="65"/>
      <c r="F7" s="62" t="s">
        <v>2026</v>
      </c>
      <c r="G7" s="66" t="s">
        <v>2010</v>
      </c>
      <c r="H7" s="68" t="s">
        <v>2011</v>
      </c>
      <c r="I7" s="68">
        <v>567</v>
      </c>
      <c r="J7" s="68">
        <v>0</v>
      </c>
      <c r="K7" s="68">
        <v>24</v>
      </c>
      <c r="L7" s="68">
        <f t="shared" si="0"/>
        <v>23.625</v>
      </c>
      <c r="M7" s="69">
        <v>46183</v>
      </c>
      <c r="N7" s="69">
        <v>46179</v>
      </c>
      <c r="O7" s="72"/>
      <c r="P7" s="273" t="s">
        <v>2012</v>
      </c>
      <c r="Q7" s="72"/>
      <c r="R7" s="70" t="s">
        <v>2027</v>
      </c>
      <c r="S7" s="72" t="s">
        <v>80</v>
      </c>
      <c r="T7" s="72" t="s">
        <v>80</v>
      </c>
      <c r="U7" s="72"/>
      <c r="V7" s="72"/>
      <c r="W7" s="72"/>
      <c r="X7" s="289" t="s">
        <v>2028</v>
      </c>
      <c r="Y7" s="69" t="s">
        <v>2029</v>
      </c>
      <c r="Z7" s="287"/>
      <c r="AA7" s="68"/>
      <c r="AB7" s="69"/>
      <c r="AC7" s="276" t="s">
        <v>93</v>
      </c>
      <c r="AD7" s="277" t="s">
        <v>93</v>
      </c>
      <c r="AE7" s="77"/>
      <c r="AF7" s="78"/>
      <c r="AG7" s="72"/>
      <c r="AH7" s="79"/>
      <c r="AI7" s="79"/>
      <c r="AJ7" s="64">
        <f t="shared" ref="AJ7:AJ18" si="5">I7</f>
        <v>567</v>
      </c>
      <c r="AK7" s="64">
        <f>I7</f>
        <v>567</v>
      </c>
      <c r="AL7" s="64"/>
      <c r="AM7" s="64"/>
      <c r="AN7" s="64">
        <f t="shared" ref="AN7:AN23" si="6">I7</f>
        <v>567</v>
      </c>
      <c r="AO7" s="64"/>
      <c r="AP7" s="64"/>
      <c r="AQ7" s="64"/>
      <c r="AR7" s="64"/>
      <c r="AS7" s="64"/>
      <c r="AT7" s="64"/>
      <c r="AU7" s="64"/>
      <c r="AV7" s="64"/>
      <c r="AW7" s="64"/>
      <c r="AX7" s="64"/>
      <c r="AY7" s="64"/>
      <c r="AZ7" s="64"/>
      <c r="BA7" s="64"/>
      <c r="BB7" s="64"/>
      <c r="BC7" s="64"/>
      <c r="BD7" s="64"/>
      <c r="BE7" s="64"/>
      <c r="BF7" s="64"/>
      <c r="BG7" s="64"/>
      <c r="BH7" s="64"/>
      <c r="BI7" s="64"/>
      <c r="BJ7" s="64"/>
      <c r="BK7" s="281">
        <f t="shared" ref="BK7:BP7" si="7">BK6-BD7</f>
        <v>116667</v>
      </c>
      <c r="BL7" s="281">
        <f t="shared" si="7"/>
        <v>116667</v>
      </c>
      <c r="BM7" s="281">
        <f t="shared" si="7"/>
        <v>116667</v>
      </c>
      <c r="BN7" s="281">
        <f t="shared" si="7"/>
        <v>116667</v>
      </c>
      <c r="BO7" s="282">
        <f t="shared" si="7"/>
        <v>116667</v>
      </c>
      <c r="BP7" s="283">
        <f t="shared" si="7"/>
        <v>116667</v>
      </c>
      <c r="BQ7" s="284"/>
      <c r="BR7" s="284"/>
      <c r="BS7" s="284"/>
      <c r="BT7" s="284"/>
      <c r="BU7" s="284"/>
      <c r="BV7" s="284"/>
      <c r="BX7" s="285"/>
      <c r="BY7" s="285"/>
      <c r="BZ7" s="285"/>
      <c r="CA7" s="285"/>
      <c r="CB7" s="285"/>
      <c r="CC7" s="285"/>
      <c r="CD7" s="285"/>
      <c r="CE7" s="285"/>
      <c r="CF7" s="285"/>
    </row>
    <row r="8" s="223" customFormat="1" ht="27" customHeight="1" spans="1:84">
      <c r="A8" s="61">
        <v>46177</v>
      </c>
      <c r="B8" s="62"/>
      <c r="C8" s="63" t="s">
        <v>77</v>
      </c>
      <c r="D8" s="288" t="s">
        <v>2025</v>
      </c>
      <c r="E8" s="65"/>
      <c r="F8" s="62" t="s">
        <v>2030</v>
      </c>
      <c r="G8" s="66" t="s">
        <v>2031</v>
      </c>
      <c r="H8" s="67" t="s">
        <v>2032</v>
      </c>
      <c r="I8" s="68">
        <v>300</v>
      </c>
      <c r="J8" s="68">
        <v>0</v>
      </c>
      <c r="K8" s="68">
        <v>48</v>
      </c>
      <c r="L8" s="68">
        <f t="shared" si="0"/>
        <v>6.25</v>
      </c>
      <c r="M8" s="69">
        <v>46183</v>
      </c>
      <c r="N8" s="69">
        <v>46179</v>
      </c>
      <c r="O8" s="70"/>
      <c r="P8" s="64"/>
      <c r="Q8" s="72"/>
      <c r="R8" s="70" t="s">
        <v>2027</v>
      </c>
      <c r="S8" s="72" t="s">
        <v>80</v>
      </c>
      <c r="T8" s="72" t="s">
        <v>80</v>
      </c>
      <c r="U8" s="72"/>
      <c r="V8" s="70" t="s">
        <v>2033</v>
      </c>
      <c r="W8" s="72"/>
      <c r="X8" s="289" t="s">
        <v>2028</v>
      </c>
      <c r="Y8" s="69" t="s">
        <v>2029</v>
      </c>
      <c r="Z8" s="287"/>
      <c r="AA8" s="68"/>
      <c r="AB8" s="69"/>
      <c r="AC8" s="276" t="s">
        <v>93</v>
      </c>
      <c r="AD8" s="277" t="s">
        <v>93</v>
      </c>
      <c r="AE8" s="77"/>
      <c r="AF8" s="78"/>
      <c r="AG8" s="72"/>
      <c r="AH8" s="79"/>
      <c r="AI8" s="79"/>
      <c r="AJ8" s="64">
        <f t="shared" si="5"/>
        <v>300</v>
      </c>
      <c r="AK8" s="64">
        <f>I8</f>
        <v>300</v>
      </c>
      <c r="AL8" s="64"/>
      <c r="AM8" s="64"/>
      <c r="AN8" s="64">
        <f t="shared" si="6"/>
        <v>300</v>
      </c>
      <c r="AO8" s="290">
        <f>I8/24</f>
        <v>12.5</v>
      </c>
      <c r="AP8" s="64"/>
      <c r="AQ8" s="64"/>
      <c r="AR8" s="64"/>
      <c r="AS8" s="64"/>
      <c r="AT8" s="64"/>
      <c r="AU8" s="64"/>
      <c r="AV8" s="64"/>
      <c r="AW8" s="64"/>
      <c r="AX8" s="64"/>
      <c r="AY8" s="64"/>
      <c r="AZ8" s="64"/>
      <c r="BA8" s="64"/>
      <c r="BB8" s="64"/>
      <c r="BC8" s="64"/>
      <c r="BD8" s="64"/>
      <c r="BE8" s="64"/>
      <c r="BF8" s="64"/>
      <c r="BG8" s="64"/>
      <c r="BH8" s="64"/>
      <c r="BI8" s="64"/>
      <c r="BJ8" s="64"/>
      <c r="BK8" s="281">
        <f t="shared" ref="BK8:BP8" si="8">BK7-BD8</f>
        <v>116667</v>
      </c>
      <c r="BL8" s="281">
        <f t="shared" si="8"/>
        <v>116667</v>
      </c>
      <c r="BM8" s="281">
        <f t="shared" si="8"/>
        <v>116667</v>
      </c>
      <c r="BN8" s="281">
        <f t="shared" si="8"/>
        <v>116667</v>
      </c>
      <c r="BO8" s="282">
        <f t="shared" si="8"/>
        <v>116667</v>
      </c>
      <c r="BP8" s="283">
        <f t="shared" si="8"/>
        <v>116667</v>
      </c>
      <c r="BQ8" s="284"/>
      <c r="BR8" s="284"/>
      <c r="BS8" s="284"/>
      <c r="BT8" s="284"/>
      <c r="BU8" s="284"/>
      <c r="BV8" s="284"/>
      <c r="BX8" s="285"/>
      <c r="BY8" s="285"/>
      <c r="BZ8" s="285"/>
      <c r="CA8" s="285"/>
      <c r="CB8" s="285"/>
      <c r="CC8" s="285"/>
      <c r="CD8" s="285"/>
      <c r="CE8" s="285"/>
      <c r="CF8" s="285"/>
    </row>
    <row r="9" s="224" customFormat="1" ht="27" customHeight="1" spans="1:84">
      <c r="A9" s="291">
        <v>46197</v>
      </c>
      <c r="B9" s="292" t="s">
        <v>2034</v>
      </c>
      <c r="C9" s="293" t="s">
        <v>170</v>
      </c>
      <c r="D9" s="294" t="s">
        <v>2035</v>
      </c>
      <c r="E9" s="293" t="s">
        <v>2036</v>
      </c>
      <c r="F9" s="292" t="s">
        <v>2037</v>
      </c>
      <c r="G9" s="295" t="s">
        <v>2031</v>
      </c>
      <c r="H9" s="296" t="s">
        <v>2032</v>
      </c>
      <c r="I9" s="297">
        <v>384</v>
      </c>
      <c r="J9" s="297">
        <v>0</v>
      </c>
      <c r="K9" s="297">
        <v>48</v>
      </c>
      <c r="L9" s="297">
        <f t="shared" si="0"/>
        <v>8</v>
      </c>
      <c r="M9" s="298">
        <v>46203</v>
      </c>
      <c r="N9" s="298">
        <v>46199</v>
      </c>
      <c r="O9" s="79"/>
      <c r="P9" s="294" t="s">
        <v>224</v>
      </c>
      <c r="Q9" s="79" t="s">
        <v>2038</v>
      </c>
      <c r="R9" s="79">
        <v>46197</v>
      </c>
      <c r="S9" s="79" t="s">
        <v>191</v>
      </c>
      <c r="T9" s="79" t="s">
        <v>2039</v>
      </c>
      <c r="U9" s="79"/>
      <c r="V9" s="79" t="s">
        <v>2040</v>
      </c>
      <c r="W9" s="79"/>
      <c r="X9" s="299" t="s">
        <v>2041</v>
      </c>
      <c r="Y9" s="298" t="s">
        <v>2042</v>
      </c>
      <c r="Z9" s="300">
        <v>1.58</v>
      </c>
      <c r="AA9" s="297">
        <f t="shared" ref="AA9:AA23" si="9">Z9*I9</f>
        <v>606.72</v>
      </c>
      <c r="AB9" s="298"/>
      <c r="AC9" s="295" t="s">
        <v>2043</v>
      </c>
      <c r="AD9" s="277" t="s">
        <v>93</v>
      </c>
      <c r="AE9" s="301"/>
      <c r="AF9" s="301"/>
      <c r="AG9" s="79"/>
      <c r="AH9" s="79" t="s">
        <v>2044</v>
      </c>
      <c r="AI9" s="79"/>
      <c r="AJ9" s="294">
        <f t="shared" si="5"/>
        <v>384</v>
      </c>
      <c r="AK9" s="294">
        <f>I9</f>
        <v>384</v>
      </c>
      <c r="AL9" s="294"/>
      <c r="AM9" s="294"/>
      <c r="AN9" s="294">
        <f t="shared" si="6"/>
        <v>384</v>
      </c>
      <c r="AO9" s="302">
        <f>I9/24</f>
        <v>16</v>
      </c>
      <c r="AP9" s="294"/>
      <c r="AQ9" s="294"/>
      <c r="AR9" s="294"/>
      <c r="AS9" s="294"/>
      <c r="AT9" s="294"/>
      <c r="AU9" s="294"/>
      <c r="AV9" s="294"/>
      <c r="AW9" s="294"/>
      <c r="AX9" s="294"/>
      <c r="AY9" s="294"/>
      <c r="AZ9" s="294"/>
      <c r="BA9" s="294"/>
      <c r="BB9" s="294"/>
      <c r="BC9" s="294"/>
      <c r="BD9" s="294">
        <f t="shared" ref="BD9:BI9" si="10">$I9/6</f>
        <v>64</v>
      </c>
      <c r="BE9" s="294">
        <f t="shared" si="10"/>
        <v>64</v>
      </c>
      <c r="BF9" s="294">
        <f t="shared" si="10"/>
        <v>64</v>
      </c>
      <c r="BG9" s="294">
        <f t="shared" si="10"/>
        <v>64</v>
      </c>
      <c r="BH9" s="294">
        <f t="shared" si="10"/>
        <v>64</v>
      </c>
      <c r="BI9" s="294">
        <f t="shared" si="10"/>
        <v>64</v>
      </c>
      <c r="BJ9" s="294"/>
      <c r="BK9" s="281">
        <f t="shared" ref="BK9:BP9" si="11">BK8-BD9</f>
        <v>116603</v>
      </c>
      <c r="BL9" s="281">
        <f t="shared" si="11"/>
        <v>116603</v>
      </c>
      <c r="BM9" s="281">
        <f t="shared" si="11"/>
        <v>116603</v>
      </c>
      <c r="BN9" s="281">
        <f t="shared" si="11"/>
        <v>116603</v>
      </c>
      <c r="BO9" s="282">
        <f t="shared" si="11"/>
        <v>116603</v>
      </c>
      <c r="BP9" s="283">
        <f t="shared" si="11"/>
        <v>116603</v>
      </c>
      <c r="BQ9" s="285"/>
      <c r="BR9" s="285" t="s">
        <v>2045</v>
      </c>
      <c r="BS9" s="285"/>
      <c r="BT9" s="285"/>
      <c r="BU9" s="285"/>
      <c r="BV9" s="285"/>
      <c r="BX9" s="285"/>
      <c r="BY9" s="285"/>
      <c r="BZ9" s="285"/>
      <c r="CA9" s="285"/>
      <c r="CB9" s="285"/>
      <c r="CC9" s="285"/>
      <c r="CD9" s="285"/>
      <c r="CE9" s="285"/>
      <c r="CF9" s="285"/>
    </row>
    <row r="10" s="225" customFormat="1" ht="27" customHeight="1" spans="1:84">
      <c r="A10" s="303">
        <v>46212</v>
      </c>
      <c r="B10" s="304" t="s">
        <v>2046</v>
      </c>
      <c r="C10" s="305" t="s">
        <v>170</v>
      </c>
      <c r="D10" s="306" t="s">
        <v>2047</v>
      </c>
      <c r="E10" s="305" t="s">
        <v>2048</v>
      </c>
      <c r="F10" s="304" t="s">
        <v>2049</v>
      </c>
      <c r="G10" s="307" t="s">
        <v>2031</v>
      </c>
      <c r="H10" s="308" t="s">
        <v>2032</v>
      </c>
      <c r="I10" s="309">
        <v>240</v>
      </c>
      <c r="J10" s="309">
        <v>0</v>
      </c>
      <c r="K10" s="309">
        <v>48</v>
      </c>
      <c r="L10" s="309">
        <f t="shared" si="0"/>
        <v>5</v>
      </c>
      <c r="M10" s="310">
        <v>46216</v>
      </c>
      <c r="N10" s="310">
        <v>46212</v>
      </c>
      <c r="O10" s="311"/>
      <c r="P10" s="294" t="s">
        <v>224</v>
      </c>
      <c r="Q10" s="311" t="s">
        <v>2050</v>
      </c>
      <c r="R10" s="311">
        <v>46212</v>
      </c>
      <c r="S10" s="311" t="s">
        <v>80</v>
      </c>
      <c r="T10" s="311" t="s">
        <v>2051</v>
      </c>
      <c r="U10" s="311"/>
      <c r="V10" s="311" t="s">
        <v>2052</v>
      </c>
      <c r="W10" s="311"/>
      <c r="X10" s="312" t="s">
        <v>2053</v>
      </c>
      <c r="Y10" s="310" t="s">
        <v>2054</v>
      </c>
      <c r="Z10" s="313">
        <v>1.58</v>
      </c>
      <c r="AA10" s="309">
        <f t="shared" si="9"/>
        <v>379.2</v>
      </c>
      <c r="AB10" s="310"/>
      <c r="AC10" s="307" t="s">
        <v>2043</v>
      </c>
      <c r="AD10" s="277" t="s">
        <v>93</v>
      </c>
      <c r="AE10" s="78"/>
      <c r="AF10" s="78"/>
      <c r="AG10" s="311"/>
      <c r="AH10" s="79" t="s">
        <v>2044</v>
      </c>
      <c r="AI10" s="79"/>
      <c r="AJ10" s="306">
        <f t="shared" si="5"/>
        <v>240</v>
      </c>
      <c r="AK10" s="306">
        <f>I10</f>
        <v>240</v>
      </c>
      <c r="AL10" s="306"/>
      <c r="AM10" s="306"/>
      <c r="AN10" s="306">
        <f t="shared" si="6"/>
        <v>240</v>
      </c>
      <c r="AO10" s="314">
        <f>I10/24</f>
        <v>10</v>
      </c>
      <c r="AP10" s="314"/>
      <c r="AQ10" s="306"/>
      <c r="AR10" s="306"/>
      <c r="AS10" s="306"/>
      <c r="AT10" s="306"/>
      <c r="AU10" s="306"/>
      <c r="AV10" s="306"/>
      <c r="AW10" s="306"/>
      <c r="AX10" s="306"/>
      <c r="AY10" s="306"/>
      <c r="AZ10" s="306"/>
      <c r="BA10" s="306"/>
      <c r="BB10" s="306"/>
      <c r="BC10" s="306"/>
      <c r="BD10" s="306">
        <f t="shared" ref="BD10:BI10" si="12">$I10/6</f>
        <v>40</v>
      </c>
      <c r="BE10" s="306">
        <f t="shared" si="12"/>
        <v>40</v>
      </c>
      <c r="BF10" s="306">
        <f t="shared" si="12"/>
        <v>40</v>
      </c>
      <c r="BG10" s="306">
        <f t="shared" si="12"/>
        <v>40</v>
      </c>
      <c r="BH10" s="306">
        <f t="shared" si="12"/>
        <v>40</v>
      </c>
      <c r="BI10" s="306">
        <f t="shared" si="12"/>
        <v>40</v>
      </c>
      <c r="BJ10" s="306"/>
      <c r="BK10" s="281">
        <f t="shared" ref="BK10:BP10" si="13">BK9-BD10</f>
        <v>116563</v>
      </c>
      <c r="BL10" s="281">
        <f t="shared" si="13"/>
        <v>116563</v>
      </c>
      <c r="BM10" s="281">
        <f t="shared" si="13"/>
        <v>116563</v>
      </c>
      <c r="BN10" s="281">
        <f t="shared" si="13"/>
        <v>116563</v>
      </c>
      <c r="BO10" s="282">
        <f t="shared" si="13"/>
        <v>116563</v>
      </c>
      <c r="BP10" s="283">
        <f t="shared" si="13"/>
        <v>116563</v>
      </c>
      <c r="BQ10" s="315"/>
      <c r="BR10" s="315" t="s">
        <v>2045</v>
      </c>
      <c r="BS10" s="315"/>
      <c r="BT10" s="315"/>
      <c r="BU10" s="315"/>
      <c r="BV10" s="315"/>
      <c r="BX10" s="315"/>
      <c r="BY10" s="315"/>
      <c r="BZ10" s="315"/>
      <c r="CA10" s="315"/>
      <c r="CB10" s="315"/>
      <c r="CC10" s="315"/>
      <c r="CD10" s="315"/>
      <c r="CE10" s="315"/>
      <c r="CF10" s="315"/>
    </row>
    <row r="11" s="226" customFormat="1" ht="27" customHeight="1" spans="1:84">
      <c r="A11" s="316">
        <v>46209</v>
      </c>
      <c r="B11" s="317" t="s">
        <v>2055</v>
      </c>
      <c r="C11" s="63" t="s">
        <v>389</v>
      </c>
      <c r="D11" s="288" t="s">
        <v>2056</v>
      </c>
      <c r="E11" s="63">
        <v>2551020554</v>
      </c>
      <c r="F11" s="317" t="s">
        <v>2057</v>
      </c>
      <c r="G11" s="318" t="s">
        <v>2058</v>
      </c>
      <c r="H11" s="67" t="s">
        <v>2059</v>
      </c>
      <c r="I11" s="319">
        <v>6448</v>
      </c>
      <c r="J11" s="319">
        <v>0</v>
      </c>
      <c r="K11" s="319">
        <v>16</v>
      </c>
      <c r="L11" s="319">
        <f>IF(K11=0,"",I11/K11)</f>
        <v>403</v>
      </c>
      <c r="M11" s="320">
        <v>46241</v>
      </c>
      <c r="N11" s="321">
        <v>46241</v>
      </c>
      <c r="O11" s="322" t="s">
        <v>2060</v>
      </c>
      <c r="P11" s="288"/>
      <c r="Q11" s="70" t="s">
        <v>2061</v>
      </c>
      <c r="R11" s="70">
        <v>46213</v>
      </c>
      <c r="S11" s="72" t="s">
        <v>80</v>
      </c>
      <c r="T11" s="70" t="s">
        <v>80</v>
      </c>
      <c r="U11" s="70" t="s">
        <v>156</v>
      </c>
      <c r="V11" s="70"/>
      <c r="W11" s="70"/>
      <c r="X11" s="289" t="s">
        <v>2062</v>
      </c>
      <c r="Y11" s="320" t="s">
        <v>2063</v>
      </c>
      <c r="Z11" s="323">
        <v>1.59</v>
      </c>
      <c r="AA11" s="319">
        <f t="shared" si="9"/>
        <v>10252.32</v>
      </c>
      <c r="AB11" s="320"/>
      <c r="AC11" s="318" t="s">
        <v>2058</v>
      </c>
      <c r="AD11" s="320" t="s">
        <v>115</v>
      </c>
      <c r="AE11" s="75"/>
      <c r="AF11" s="75"/>
      <c r="AG11" s="70"/>
      <c r="AH11" s="79" t="s">
        <v>2044</v>
      </c>
      <c r="AI11" s="79"/>
      <c r="AJ11" s="288">
        <f t="shared" si="5"/>
        <v>6448</v>
      </c>
      <c r="AK11" s="288"/>
      <c r="AL11" s="288"/>
      <c r="AM11" s="288">
        <f>I11</f>
        <v>6448</v>
      </c>
      <c r="AN11" s="288">
        <f t="shared" si="6"/>
        <v>6448</v>
      </c>
      <c r="AO11" s="288"/>
      <c r="AP11" s="324"/>
      <c r="AQ11" s="288"/>
      <c r="AR11" s="288"/>
      <c r="AS11" s="288">
        <f>I11/16</f>
        <v>403</v>
      </c>
      <c r="AT11" s="288"/>
      <c r="AU11" s="288"/>
      <c r="AV11" s="288"/>
      <c r="AW11" s="288"/>
      <c r="AX11" s="288"/>
      <c r="AY11" s="288"/>
      <c r="AZ11" s="288"/>
      <c r="BA11" s="288"/>
      <c r="BB11" s="288"/>
      <c r="BC11" s="288"/>
      <c r="BD11" s="324">
        <f t="shared" ref="BD11:BI11" si="14">$I11/6</f>
        <v>1074.66666666667</v>
      </c>
      <c r="BE11" s="324">
        <f t="shared" si="14"/>
        <v>1074.66666666667</v>
      </c>
      <c r="BF11" s="324">
        <f t="shared" si="14"/>
        <v>1074.66666666667</v>
      </c>
      <c r="BG11" s="324">
        <f t="shared" si="14"/>
        <v>1074.66666666667</v>
      </c>
      <c r="BH11" s="324">
        <f t="shared" si="14"/>
        <v>1074.66666666667</v>
      </c>
      <c r="BI11" s="324">
        <f t="shared" si="14"/>
        <v>1074.66666666667</v>
      </c>
      <c r="BJ11" s="288"/>
      <c r="BK11" s="281">
        <f t="shared" ref="BK11:BP11" si="15">BK10-BD11</f>
        <v>115488.333333333</v>
      </c>
      <c r="BL11" s="281">
        <f t="shared" si="15"/>
        <v>115488.333333333</v>
      </c>
      <c r="BM11" s="281">
        <f t="shared" si="15"/>
        <v>115488.333333333</v>
      </c>
      <c r="BN11" s="281">
        <f t="shared" si="15"/>
        <v>115488.333333333</v>
      </c>
      <c r="BO11" s="282">
        <f t="shared" si="15"/>
        <v>115488.333333333</v>
      </c>
      <c r="BP11" s="283">
        <f t="shared" si="15"/>
        <v>115488.333333333</v>
      </c>
      <c r="BQ11" s="325"/>
      <c r="BR11" s="285" t="s">
        <v>2045</v>
      </c>
      <c r="BS11" s="325"/>
      <c r="BT11" s="325"/>
      <c r="BU11" s="325"/>
      <c r="BV11" s="325"/>
      <c r="BX11" s="325"/>
      <c r="BY11" s="325"/>
      <c r="BZ11" s="325"/>
      <c r="CA11" s="325"/>
      <c r="CB11" s="325"/>
      <c r="CC11" s="325"/>
      <c r="CD11" s="325"/>
      <c r="CE11" s="325"/>
      <c r="CF11" s="325"/>
    </row>
    <row r="12" s="226" customFormat="1" ht="27" customHeight="1" spans="1:84">
      <c r="A12" s="316">
        <v>46211</v>
      </c>
      <c r="B12" s="317" t="s">
        <v>2064</v>
      </c>
      <c r="C12" s="63" t="s">
        <v>1304</v>
      </c>
      <c r="D12" s="288" t="s">
        <v>2065</v>
      </c>
      <c r="E12" s="63"/>
      <c r="F12" s="317" t="s">
        <v>2066</v>
      </c>
      <c r="G12" s="318" t="s">
        <v>2031</v>
      </c>
      <c r="H12" s="67" t="s">
        <v>2032</v>
      </c>
      <c r="I12" s="319">
        <v>96</v>
      </c>
      <c r="J12" s="319">
        <v>0</v>
      </c>
      <c r="K12" s="319">
        <v>48</v>
      </c>
      <c r="L12" s="319">
        <f>IF(K12=0,"",I12/K12)</f>
        <v>2</v>
      </c>
      <c r="M12" s="320">
        <v>46244</v>
      </c>
      <c r="N12" s="320">
        <v>46247</v>
      </c>
      <c r="O12" s="70"/>
      <c r="P12" s="288"/>
      <c r="Q12" s="70"/>
      <c r="R12" s="70">
        <v>46224</v>
      </c>
      <c r="S12" s="72" t="s">
        <v>80</v>
      </c>
      <c r="T12" s="70" t="s">
        <v>2051</v>
      </c>
      <c r="U12" s="70"/>
      <c r="V12" s="70"/>
      <c r="W12" s="70"/>
      <c r="X12" s="326" t="s">
        <v>2067</v>
      </c>
      <c r="Y12" s="320" t="s">
        <v>2068</v>
      </c>
      <c r="Z12" s="323">
        <v>1.58</v>
      </c>
      <c r="AA12" s="319">
        <f t="shared" si="9"/>
        <v>151.68</v>
      </c>
      <c r="AB12" s="320"/>
      <c r="AC12" s="318" t="s">
        <v>2043</v>
      </c>
      <c r="AD12" s="277" t="s">
        <v>115</v>
      </c>
      <c r="AE12" s="75"/>
      <c r="AF12" s="75"/>
      <c r="AG12" s="70"/>
      <c r="AH12" s="79" t="s">
        <v>2044</v>
      </c>
      <c r="AI12" s="79"/>
      <c r="AJ12" s="288">
        <f t="shared" si="5"/>
        <v>96</v>
      </c>
      <c r="AK12" s="288">
        <f>I12</f>
        <v>96</v>
      </c>
      <c r="AL12" s="288"/>
      <c r="AM12" s="288"/>
      <c r="AN12" s="288">
        <f t="shared" si="6"/>
        <v>96</v>
      </c>
      <c r="AO12" s="324">
        <f>I12/24</f>
        <v>4</v>
      </c>
      <c r="AP12" s="324"/>
      <c r="AQ12" s="288"/>
      <c r="AR12" s="288"/>
      <c r="AS12" s="288"/>
      <c r="AT12" s="288"/>
      <c r="AU12" s="288"/>
      <c r="AV12" s="288"/>
      <c r="AW12" s="288"/>
      <c r="AX12" s="288"/>
      <c r="AY12" s="288"/>
      <c r="AZ12" s="288"/>
      <c r="BA12" s="288"/>
      <c r="BB12" s="288"/>
      <c r="BC12" s="288"/>
      <c r="BD12" s="288">
        <f t="shared" ref="BD12:BI12" si="16">$I12/6</f>
        <v>16</v>
      </c>
      <c r="BE12" s="288">
        <f t="shared" si="16"/>
        <v>16</v>
      </c>
      <c r="BF12" s="288">
        <f t="shared" si="16"/>
        <v>16</v>
      </c>
      <c r="BG12" s="288">
        <f t="shared" si="16"/>
        <v>16</v>
      </c>
      <c r="BH12" s="288">
        <f t="shared" si="16"/>
        <v>16</v>
      </c>
      <c r="BI12" s="288">
        <f t="shared" si="16"/>
        <v>16</v>
      </c>
      <c r="BJ12" s="288"/>
      <c r="BK12" s="281">
        <f t="shared" ref="BK12:BP12" si="17">BK11-BD12</f>
        <v>115472.333333333</v>
      </c>
      <c r="BL12" s="281">
        <f t="shared" si="17"/>
        <v>115472.333333333</v>
      </c>
      <c r="BM12" s="281">
        <f t="shared" si="17"/>
        <v>115472.333333333</v>
      </c>
      <c r="BN12" s="281">
        <f t="shared" si="17"/>
        <v>115472.333333333</v>
      </c>
      <c r="BO12" s="282">
        <f t="shared" si="17"/>
        <v>115472.333333333</v>
      </c>
      <c r="BP12" s="283">
        <f t="shared" si="17"/>
        <v>115472.333333333</v>
      </c>
      <c r="BQ12" s="325"/>
      <c r="BR12" s="285" t="s">
        <v>2045</v>
      </c>
      <c r="BS12" s="325"/>
      <c r="BT12" s="325"/>
      <c r="BU12" s="325"/>
      <c r="BV12" s="325"/>
      <c r="BX12" s="325"/>
      <c r="BY12" s="325"/>
      <c r="BZ12" s="325"/>
      <c r="CA12" s="325"/>
      <c r="CB12" s="325"/>
      <c r="CC12" s="325"/>
      <c r="CD12" s="325"/>
      <c r="CE12" s="325"/>
      <c r="CF12" s="325"/>
    </row>
    <row r="13" s="226" customFormat="1" ht="27" customHeight="1" spans="1:84">
      <c r="A13" s="316">
        <v>46213</v>
      </c>
      <c r="B13" s="317" t="s">
        <v>2069</v>
      </c>
      <c r="C13" s="63" t="s">
        <v>389</v>
      </c>
      <c r="D13" s="288" t="s">
        <v>2070</v>
      </c>
      <c r="E13" s="63" t="s">
        <v>2071</v>
      </c>
      <c r="F13" s="317" t="s">
        <v>2072</v>
      </c>
      <c r="G13" s="318" t="s">
        <v>2058</v>
      </c>
      <c r="H13" s="67" t="s">
        <v>2059</v>
      </c>
      <c r="I13" s="319">
        <v>6448</v>
      </c>
      <c r="J13" s="319">
        <v>0</v>
      </c>
      <c r="K13" s="319">
        <v>16</v>
      </c>
      <c r="L13" s="319">
        <f>IF(K13=0,"",I13/K13)</f>
        <v>403</v>
      </c>
      <c r="M13" s="320">
        <v>46252</v>
      </c>
      <c r="N13" s="320">
        <v>46248</v>
      </c>
      <c r="O13" s="327" t="s">
        <v>2073</v>
      </c>
      <c r="P13" s="288"/>
      <c r="Q13" s="70"/>
      <c r="R13" s="70">
        <v>46213</v>
      </c>
      <c r="S13" s="72" t="s">
        <v>80</v>
      </c>
      <c r="T13" s="70" t="s">
        <v>80</v>
      </c>
      <c r="U13" s="70"/>
      <c r="V13" s="70"/>
      <c r="W13" s="70"/>
      <c r="X13" s="289" t="s">
        <v>2074</v>
      </c>
      <c r="Y13" s="320" t="s">
        <v>2063</v>
      </c>
      <c r="Z13" s="323">
        <v>1.59</v>
      </c>
      <c r="AA13" s="319">
        <f t="shared" si="9"/>
        <v>10252.32</v>
      </c>
      <c r="AB13" s="320"/>
      <c r="AC13" s="318" t="s">
        <v>2058</v>
      </c>
      <c r="AD13" s="320" t="s">
        <v>115</v>
      </c>
      <c r="AE13" s="75"/>
      <c r="AF13" s="75"/>
      <c r="AG13" s="70"/>
      <c r="AH13" s="79" t="s">
        <v>2044</v>
      </c>
      <c r="AI13" s="79"/>
      <c r="AJ13" s="288">
        <f t="shared" si="5"/>
        <v>6448</v>
      </c>
      <c r="AK13" s="288"/>
      <c r="AL13" s="288"/>
      <c r="AM13" s="288">
        <f>I13</f>
        <v>6448</v>
      </c>
      <c r="AN13" s="288">
        <f t="shared" si="6"/>
        <v>6448</v>
      </c>
      <c r="AO13" s="288"/>
      <c r="AP13" s="324"/>
      <c r="AQ13" s="288"/>
      <c r="AR13" s="288"/>
      <c r="AS13" s="288">
        <f>I13/16</f>
        <v>403</v>
      </c>
      <c r="AT13" s="288"/>
      <c r="AU13" s="288"/>
      <c r="AV13" s="288"/>
      <c r="AW13" s="288"/>
      <c r="AX13" s="288"/>
      <c r="AY13" s="288"/>
      <c r="AZ13" s="288"/>
      <c r="BA13" s="288"/>
      <c r="BB13" s="288"/>
      <c r="BC13" s="288"/>
      <c r="BD13" s="324">
        <f t="shared" ref="BD13:BI13" si="18">$I13/6</f>
        <v>1074.66666666667</v>
      </c>
      <c r="BE13" s="324">
        <f t="shared" si="18"/>
        <v>1074.66666666667</v>
      </c>
      <c r="BF13" s="324">
        <f t="shared" si="18"/>
        <v>1074.66666666667</v>
      </c>
      <c r="BG13" s="324">
        <f t="shared" si="18"/>
        <v>1074.66666666667</v>
      </c>
      <c r="BH13" s="324">
        <f t="shared" si="18"/>
        <v>1074.66666666667</v>
      </c>
      <c r="BI13" s="324">
        <f t="shared" si="18"/>
        <v>1074.66666666667</v>
      </c>
      <c r="BJ13" s="288"/>
      <c r="BK13" s="281">
        <f t="shared" ref="BK13:BP13" si="19">BK12-BD13</f>
        <v>114397.666666666</v>
      </c>
      <c r="BL13" s="281">
        <f t="shared" si="19"/>
        <v>114397.666666666</v>
      </c>
      <c r="BM13" s="281">
        <f t="shared" si="19"/>
        <v>114397.666666666</v>
      </c>
      <c r="BN13" s="281">
        <f t="shared" si="19"/>
        <v>114397.666666666</v>
      </c>
      <c r="BO13" s="282">
        <f t="shared" si="19"/>
        <v>114397.666666666</v>
      </c>
      <c r="BP13" s="283">
        <f t="shared" si="19"/>
        <v>114397.666666666</v>
      </c>
      <c r="BQ13" s="325"/>
      <c r="BR13" s="285" t="s">
        <v>2045</v>
      </c>
      <c r="BS13" s="325"/>
      <c r="BT13" s="325"/>
      <c r="BU13" s="325"/>
      <c r="BV13" s="325"/>
      <c r="BX13" s="325"/>
      <c r="BY13" s="325"/>
      <c r="BZ13" s="325"/>
      <c r="CA13" s="325"/>
      <c r="CB13" s="325"/>
      <c r="CC13" s="325"/>
      <c r="CD13" s="325"/>
      <c r="CE13" s="325"/>
      <c r="CF13" s="325"/>
    </row>
    <row r="14" s="223" customFormat="1" ht="27" customHeight="1" spans="1:84">
      <c r="A14" s="328">
        <v>46199</v>
      </c>
      <c r="B14" s="62" t="s">
        <v>2075</v>
      </c>
      <c r="C14" s="63" t="s">
        <v>129</v>
      </c>
      <c r="D14" s="64" t="s">
        <v>2076</v>
      </c>
      <c r="E14" s="65" t="s">
        <v>2077</v>
      </c>
      <c r="F14" s="62" t="s">
        <v>2078</v>
      </c>
      <c r="G14" s="66" t="s">
        <v>2079</v>
      </c>
      <c r="H14" s="67" t="s">
        <v>2080</v>
      </c>
      <c r="I14" s="68">
        <v>10008</v>
      </c>
      <c r="J14" s="68">
        <v>0</v>
      </c>
      <c r="K14" s="68">
        <v>24</v>
      </c>
      <c r="L14" s="68">
        <f>I14/K14</f>
        <v>417</v>
      </c>
      <c r="M14" s="69">
        <v>46253</v>
      </c>
      <c r="N14" s="69">
        <v>46249</v>
      </c>
      <c r="O14" s="72"/>
      <c r="P14" s="64"/>
      <c r="Q14" s="70" t="s">
        <v>1190</v>
      </c>
      <c r="R14" s="70">
        <v>46199</v>
      </c>
      <c r="S14" s="72" t="s">
        <v>80</v>
      </c>
      <c r="T14" s="70" t="s">
        <v>2081</v>
      </c>
      <c r="U14" s="72"/>
      <c r="V14" s="72"/>
      <c r="W14" s="72"/>
      <c r="X14" s="289" t="s">
        <v>2082</v>
      </c>
      <c r="Y14" s="69" t="s">
        <v>2083</v>
      </c>
      <c r="Z14" s="287">
        <v>1.47</v>
      </c>
      <c r="AA14" s="68">
        <f t="shared" si="9"/>
        <v>14711.76</v>
      </c>
      <c r="AB14" s="69"/>
      <c r="AC14" s="318" t="s">
        <v>2084</v>
      </c>
      <c r="AD14" s="320" t="s">
        <v>115</v>
      </c>
      <c r="AE14" s="77"/>
      <c r="AF14" s="78"/>
      <c r="AG14" s="72"/>
      <c r="AH14" s="79" t="s">
        <v>2044</v>
      </c>
      <c r="AI14" s="79"/>
      <c r="AJ14" s="64">
        <f t="shared" si="5"/>
        <v>10008</v>
      </c>
      <c r="AK14" s="64"/>
      <c r="AL14" s="64">
        <f>I14</f>
        <v>10008</v>
      </c>
      <c r="AM14" s="64"/>
      <c r="AN14" s="64">
        <f t="shared" si="6"/>
        <v>10008</v>
      </c>
      <c r="AO14" s="64"/>
      <c r="AP14" s="290">
        <f>I14/24</f>
        <v>417</v>
      </c>
      <c r="AQ14" s="64"/>
      <c r="AR14" s="64"/>
      <c r="AS14" s="64"/>
      <c r="AT14" s="64"/>
      <c r="AU14" s="64"/>
      <c r="AV14" s="64"/>
      <c r="AW14" s="64"/>
      <c r="AX14" s="64"/>
      <c r="AY14" s="64"/>
      <c r="AZ14" s="64"/>
      <c r="BA14" s="64"/>
      <c r="BB14" s="64"/>
      <c r="BC14" s="64"/>
      <c r="BD14" s="64">
        <f t="shared" ref="BD14:BI14" si="20">$I14/6</f>
        <v>1668</v>
      </c>
      <c r="BE14" s="64">
        <f t="shared" si="20"/>
        <v>1668</v>
      </c>
      <c r="BF14" s="64">
        <f t="shared" si="20"/>
        <v>1668</v>
      </c>
      <c r="BG14" s="64">
        <f t="shared" si="20"/>
        <v>1668</v>
      </c>
      <c r="BH14" s="64">
        <f t="shared" si="20"/>
        <v>1668</v>
      </c>
      <c r="BI14" s="64">
        <f t="shared" si="20"/>
        <v>1668</v>
      </c>
      <c r="BJ14" s="64"/>
      <c r="BK14" s="281">
        <f t="shared" ref="BK14:BP14" si="21">BK13-BD14</f>
        <v>112729.666666666</v>
      </c>
      <c r="BL14" s="281">
        <f t="shared" si="21"/>
        <v>112729.666666666</v>
      </c>
      <c r="BM14" s="281">
        <f t="shared" si="21"/>
        <v>112729.666666666</v>
      </c>
      <c r="BN14" s="281">
        <f t="shared" si="21"/>
        <v>112729.666666666</v>
      </c>
      <c r="BO14" s="282">
        <f t="shared" si="21"/>
        <v>112729.666666666</v>
      </c>
      <c r="BP14" s="283">
        <f t="shared" si="21"/>
        <v>112729.666666666</v>
      </c>
      <c r="BQ14" s="284"/>
      <c r="BR14" s="285" t="s">
        <v>2045</v>
      </c>
      <c r="BS14" s="284"/>
      <c r="BT14" s="284"/>
      <c r="BU14" s="284"/>
      <c r="BV14" s="284"/>
      <c r="BX14" s="285"/>
      <c r="BY14" s="285"/>
      <c r="BZ14" s="285"/>
      <c r="CA14" s="285"/>
      <c r="CB14" s="285"/>
      <c r="CC14" s="285"/>
      <c r="CD14" s="285"/>
      <c r="CE14" s="285"/>
      <c r="CF14" s="285"/>
    </row>
    <row r="15" s="223" customFormat="1" ht="27" customHeight="1" spans="1:84">
      <c r="A15" s="61">
        <v>46206</v>
      </c>
      <c r="B15" s="62" t="s">
        <v>2085</v>
      </c>
      <c r="C15" s="63" t="s">
        <v>203</v>
      </c>
      <c r="D15" s="64" t="s">
        <v>2086</v>
      </c>
      <c r="E15" s="65" t="s">
        <v>2087</v>
      </c>
      <c r="F15" s="62" t="s">
        <v>2088</v>
      </c>
      <c r="G15" s="66" t="s">
        <v>2079</v>
      </c>
      <c r="H15" s="67" t="s">
        <v>2080</v>
      </c>
      <c r="I15" s="68">
        <v>888</v>
      </c>
      <c r="J15" s="68">
        <v>0</v>
      </c>
      <c r="K15" s="68">
        <v>24</v>
      </c>
      <c r="L15" s="68">
        <f>I15/K15</f>
        <v>37</v>
      </c>
      <c r="M15" s="69">
        <v>46259</v>
      </c>
      <c r="N15" s="69">
        <v>46255</v>
      </c>
      <c r="O15" s="70"/>
      <c r="P15" s="64"/>
      <c r="Q15" s="72"/>
      <c r="R15" s="70" t="s">
        <v>2089</v>
      </c>
      <c r="S15" s="70" t="s">
        <v>80</v>
      </c>
      <c r="T15" s="70" t="s">
        <v>2090</v>
      </c>
      <c r="U15" s="72"/>
      <c r="V15" s="72"/>
      <c r="W15" s="72"/>
      <c r="X15" s="326" t="s">
        <v>2091</v>
      </c>
      <c r="Y15" s="69" t="s">
        <v>2092</v>
      </c>
      <c r="Z15" s="287">
        <v>1.47</v>
      </c>
      <c r="AA15" s="68">
        <f t="shared" si="9"/>
        <v>1305.36</v>
      </c>
      <c r="AB15" s="69"/>
      <c r="AC15" s="318" t="s">
        <v>2084</v>
      </c>
      <c r="AD15" s="320" t="s">
        <v>115</v>
      </c>
      <c r="AE15" s="77"/>
      <c r="AF15" s="78"/>
      <c r="AG15" s="72"/>
      <c r="AH15" s="79" t="s">
        <v>2044</v>
      </c>
      <c r="AI15" s="79"/>
      <c r="AJ15" s="64">
        <f t="shared" si="5"/>
        <v>888</v>
      </c>
      <c r="AK15" s="64"/>
      <c r="AL15" s="64">
        <f>I15</f>
        <v>888</v>
      </c>
      <c r="AM15" s="64"/>
      <c r="AN15" s="64">
        <f t="shared" si="6"/>
        <v>888</v>
      </c>
      <c r="AO15" s="64"/>
      <c r="AP15" s="290">
        <f>I15/24</f>
        <v>37</v>
      </c>
      <c r="AQ15" s="64"/>
      <c r="AR15" s="64"/>
      <c r="AS15" s="64"/>
      <c r="AT15" s="64"/>
      <c r="AU15" s="64"/>
      <c r="AV15" s="64"/>
      <c r="AW15" s="64"/>
      <c r="AX15" s="64"/>
      <c r="AY15" s="64"/>
      <c r="AZ15" s="64"/>
      <c r="BA15" s="64"/>
      <c r="BB15" s="64"/>
      <c r="BC15" s="64"/>
      <c r="BD15" s="64">
        <f t="shared" ref="BD15:BI15" si="22">$I15/6</f>
        <v>148</v>
      </c>
      <c r="BE15" s="64">
        <f t="shared" si="22"/>
        <v>148</v>
      </c>
      <c r="BF15" s="64">
        <f t="shared" si="22"/>
        <v>148</v>
      </c>
      <c r="BG15" s="64">
        <f t="shared" si="22"/>
        <v>148</v>
      </c>
      <c r="BH15" s="64">
        <f t="shared" si="22"/>
        <v>148</v>
      </c>
      <c r="BI15" s="64">
        <f t="shared" si="22"/>
        <v>148</v>
      </c>
      <c r="BJ15" s="64"/>
      <c r="BK15" s="281">
        <f t="shared" ref="BK15:BP15" si="23">BK14-BD15</f>
        <v>112581.666666666</v>
      </c>
      <c r="BL15" s="281">
        <f t="shared" si="23"/>
        <v>112581.666666666</v>
      </c>
      <c r="BM15" s="281">
        <f t="shared" si="23"/>
        <v>112581.666666666</v>
      </c>
      <c r="BN15" s="281">
        <f t="shared" si="23"/>
        <v>112581.666666666</v>
      </c>
      <c r="BO15" s="282">
        <f t="shared" si="23"/>
        <v>112581.666666666</v>
      </c>
      <c r="BP15" s="283">
        <f t="shared" si="23"/>
        <v>112581.666666666</v>
      </c>
      <c r="BQ15" s="284"/>
      <c r="BR15" s="285" t="s">
        <v>2045</v>
      </c>
      <c r="BS15" s="284"/>
      <c r="BT15" s="284"/>
      <c r="BU15" s="284"/>
      <c r="BV15" s="284"/>
      <c r="BX15" s="285"/>
      <c r="BY15" s="285"/>
      <c r="BZ15" s="285"/>
      <c r="CA15" s="285"/>
      <c r="CB15" s="285"/>
      <c r="CC15" s="285"/>
      <c r="CD15" s="285"/>
      <c r="CE15" s="285"/>
      <c r="CF15" s="285"/>
    </row>
    <row r="16" s="223" customFormat="1" ht="27" customHeight="1" spans="1:84">
      <c r="A16" s="328">
        <v>46206</v>
      </c>
      <c r="B16" s="62" t="s">
        <v>2085</v>
      </c>
      <c r="C16" s="63" t="s">
        <v>203</v>
      </c>
      <c r="D16" s="64" t="s">
        <v>2086</v>
      </c>
      <c r="E16" s="65" t="s">
        <v>2093</v>
      </c>
      <c r="F16" s="62" t="s">
        <v>2094</v>
      </c>
      <c r="G16" s="66" t="s">
        <v>2079</v>
      </c>
      <c r="H16" s="67" t="s">
        <v>2080</v>
      </c>
      <c r="I16" s="68">
        <v>2112</v>
      </c>
      <c r="J16" s="68">
        <v>0</v>
      </c>
      <c r="K16" s="68">
        <v>24</v>
      </c>
      <c r="L16" s="68">
        <f>I16/K16</f>
        <v>88</v>
      </c>
      <c r="M16" s="69">
        <v>46259</v>
      </c>
      <c r="N16" s="69">
        <v>46255</v>
      </c>
      <c r="O16" s="70"/>
      <c r="P16" s="64"/>
      <c r="Q16" s="72"/>
      <c r="R16" s="70" t="s">
        <v>2089</v>
      </c>
      <c r="S16" s="70" t="s">
        <v>80</v>
      </c>
      <c r="T16" s="70" t="s">
        <v>2090</v>
      </c>
      <c r="U16" s="72"/>
      <c r="V16" s="72"/>
      <c r="W16" s="72"/>
      <c r="X16" s="326" t="s">
        <v>2091</v>
      </c>
      <c r="Y16" s="69" t="s">
        <v>2092</v>
      </c>
      <c r="Z16" s="287">
        <v>1.47</v>
      </c>
      <c r="AA16" s="68">
        <f t="shared" si="9"/>
        <v>3104.64</v>
      </c>
      <c r="AB16" s="69"/>
      <c r="AC16" s="318" t="s">
        <v>2084</v>
      </c>
      <c r="AD16" s="320" t="s">
        <v>115</v>
      </c>
      <c r="AE16" s="77"/>
      <c r="AF16" s="78"/>
      <c r="AG16" s="72"/>
      <c r="AH16" s="79" t="s">
        <v>2044</v>
      </c>
      <c r="AI16" s="79"/>
      <c r="AJ16" s="64">
        <f t="shared" si="5"/>
        <v>2112</v>
      </c>
      <c r="AK16" s="64"/>
      <c r="AL16" s="64">
        <f>I16</f>
        <v>2112</v>
      </c>
      <c r="AM16" s="64"/>
      <c r="AN16" s="64">
        <f t="shared" si="6"/>
        <v>2112</v>
      </c>
      <c r="AO16" s="64"/>
      <c r="AP16" s="290">
        <f>I16/24</f>
        <v>88</v>
      </c>
      <c r="AQ16" s="64"/>
      <c r="AR16" s="64"/>
      <c r="AS16" s="64"/>
      <c r="AT16" s="64"/>
      <c r="AU16" s="64"/>
      <c r="AV16" s="64"/>
      <c r="AW16" s="64"/>
      <c r="AX16" s="64"/>
      <c r="AY16" s="64"/>
      <c r="AZ16" s="64"/>
      <c r="BA16" s="64"/>
      <c r="BB16" s="64"/>
      <c r="BC16" s="64"/>
      <c r="BD16" s="64">
        <f t="shared" ref="BD16:BI16" si="24">$I16/6</f>
        <v>352</v>
      </c>
      <c r="BE16" s="64">
        <f t="shared" si="24"/>
        <v>352</v>
      </c>
      <c r="BF16" s="64">
        <f t="shared" si="24"/>
        <v>352</v>
      </c>
      <c r="BG16" s="64">
        <f t="shared" si="24"/>
        <v>352</v>
      </c>
      <c r="BH16" s="64">
        <f t="shared" si="24"/>
        <v>352</v>
      </c>
      <c r="BI16" s="64">
        <f t="shared" si="24"/>
        <v>352</v>
      </c>
      <c r="BJ16" s="64"/>
      <c r="BK16" s="281">
        <f t="shared" ref="BK16:BP16" si="25">BK15-BD16</f>
        <v>112229.666666666</v>
      </c>
      <c r="BL16" s="281">
        <f t="shared" si="25"/>
        <v>112229.666666666</v>
      </c>
      <c r="BM16" s="281">
        <f t="shared" si="25"/>
        <v>112229.666666666</v>
      </c>
      <c r="BN16" s="281">
        <f t="shared" si="25"/>
        <v>112229.666666666</v>
      </c>
      <c r="BO16" s="282">
        <f t="shared" si="25"/>
        <v>112229.666666666</v>
      </c>
      <c r="BP16" s="283">
        <f t="shared" si="25"/>
        <v>112229.666666666</v>
      </c>
      <c r="BQ16" s="284"/>
      <c r="BR16" s="285" t="s">
        <v>2045</v>
      </c>
      <c r="BS16" s="284"/>
      <c r="BT16" s="284"/>
      <c r="BU16" s="284"/>
      <c r="BV16" s="284"/>
      <c r="BX16" s="285"/>
      <c r="BY16" s="285"/>
      <c r="BZ16" s="285"/>
      <c r="CA16" s="285"/>
      <c r="CB16" s="285"/>
      <c r="CC16" s="285"/>
      <c r="CD16" s="285"/>
      <c r="CE16" s="285"/>
      <c r="CF16" s="285"/>
    </row>
    <row r="17" s="226" customFormat="1" ht="27" customHeight="1" spans="1:84">
      <c r="A17" s="316">
        <v>46216</v>
      </c>
      <c r="B17" s="317" t="s">
        <v>2095</v>
      </c>
      <c r="C17" s="63" t="s">
        <v>129</v>
      </c>
      <c r="D17" s="288" t="s">
        <v>2096</v>
      </c>
      <c r="E17" s="63" t="s">
        <v>2097</v>
      </c>
      <c r="F17" s="317" t="s">
        <v>2098</v>
      </c>
      <c r="G17" s="318" t="s">
        <v>2099</v>
      </c>
      <c r="H17" s="67" t="s">
        <v>2100</v>
      </c>
      <c r="I17" s="319">
        <v>10010</v>
      </c>
      <c r="J17" s="319">
        <v>0</v>
      </c>
      <c r="K17" s="319">
        <v>13</v>
      </c>
      <c r="L17" s="68">
        <f>I17/K17</f>
        <v>770</v>
      </c>
      <c r="M17" s="320">
        <v>46265</v>
      </c>
      <c r="N17" s="320">
        <v>46261</v>
      </c>
      <c r="O17" s="70"/>
      <c r="P17" s="288"/>
      <c r="Q17" s="70"/>
      <c r="R17" s="70">
        <v>46227</v>
      </c>
      <c r="S17" s="70" t="s">
        <v>80</v>
      </c>
      <c r="T17" s="70" t="s">
        <v>2101</v>
      </c>
      <c r="U17" s="70"/>
      <c r="V17" s="70"/>
      <c r="W17" s="70"/>
      <c r="X17" s="289" t="s">
        <v>2102</v>
      </c>
      <c r="Y17" s="320" t="s">
        <v>2103</v>
      </c>
      <c r="Z17" s="323">
        <v>1.52</v>
      </c>
      <c r="AA17" s="319">
        <f t="shared" si="9"/>
        <v>15215.2</v>
      </c>
      <c r="AB17" s="320"/>
      <c r="AC17" s="318" t="s">
        <v>2099</v>
      </c>
      <c r="AD17" s="320" t="s">
        <v>115</v>
      </c>
      <c r="AE17" s="75"/>
      <c r="AF17" s="75"/>
      <c r="AG17" s="70"/>
      <c r="AH17" s="79" t="s">
        <v>2044</v>
      </c>
      <c r="AI17" s="79"/>
      <c r="AJ17" s="288">
        <f t="shared" si="5"/>
        <v>10010</v>
      </c>
      <c r="AK17" s="288"/>
      <c r="AL17" s="64">
        <f>I17</f>
        <v>10010</v>
      </c>
      <c r="AM17" s="288"/>
      <c r="AN17" s="64">
        <f t="shared" si="6"/>
        <v>10010</v>
      </c>
      <c r="AO17" s="288"/>
      <c r="AP17" s="324"/>
      <c r="AQ17" s="288"/>
      <c r="AR17" s="288">
        <f>I17/13</f>
        <v>770</v>
      </c>
      <c r="AS17" s="288"/>
      <c r="AT17" s="288"/>
      <c r="AU17" s="288"/>
      <c r="AV17" s="288"/>
      <c r="AW17" s="288"/>
      <c r="AX17" s="288"/>
      <c r="AY17" s="288"/>
      <c r="AZ17" s="288"/>
      <c r="BA17" s="288"/>
      <c r="BB17" s="288"/>
      <c r="BC17" s="288"/>
      <c r="BD17" s="283">
        <f t="shared" ref="BD17:BI17" si="26">$I17/6</f>
        <v>1668.33333333333</v>
      </c>
      <c r="BE17" s="283">
        <f t="shared" si="26"/>
        <v>1668.33333333333</v>
      </c>
      <c r="BF17" s="283">
        <f t="shared" si="26"/>
        <v>1668.33333333333</v>
      </c>
      <c r="BG17" s="283">
        <f t="shared" si="26"/>
        <v>1668.33333333333</v>
      </c>
      <c r="BH17" s="283">
        <f t="shared" si="26"/>
        <v>1668.33333333333</v>
      </c>
      <c r="BI17" s="283">
        <f t="shared" si="26"/>
        <v>1668.33333333333</v>
      </c>
      <c r="BJ17" s="288"/>
      <c r="BK17" s="281">
        <f t="shared" ref="BK17:BP17" si="27">BK16-BD17</f>
        <v>110561.333333333</v>
      </c>
      <c r="BL17" s="281">
        <f t="shared" si="27"/>
        <v>110561.333333333</v>
      </c>
      <c r="BM17" s="281">
        <f t="shared" si="27"/>
        <v>110561.333333333</v>
      </c>
      <c r="BN17" s="281">
        <f t="shared" si="27"/>
        <v>110561.333333333</v>
      </c>
      <c r="BO17" s="282">
        <f t="shared" si="27"/>
        <v>110561.333333333</v>
      </c>
      <c r="BP17" s="283">
        <f t="shared" si="27"/>
        <v>110561.333333333</v>
      </c>
      <c r="BQ17" s="325"/>
      <c r="BR17" s="285" t="s">
        <v>2045</v>
      </c>
      <c r="BS17" s="325"/>
      <c r="BT17" s="325"/>
      <c r="BU17" s="325"/>
      <c r="BV17" s="325"/>
      <c r="BX17" s="325"/>
      <c r="BY17" s="325"/>
      <c r="BZ17" s="325"/>
      <c r="CA17" s="325"/>
      <c r="CB17" s="325"/>
      <c r="CC17" s="325"/>
      <c r="CD17" s="325"/>
      <c r="CE17" s="325"/>
      <c r="CF17" s="325"/>
    </row>
    <row r="18" s="227" customFormat="1" ht="27" customHeight="1" spans="1:84">
      <c r="A18" s="329">
        <v>46246</v>
      </c>
      <c r="B18" s="330" t="s">
        <v>2104</v>
      </c>
      <c r="C18" s="331" t="s">
        <v>117</v>
      </c>
      <c r="D18" s="332">
        <v>4500219729</v>
      </c>
      <c r="E18" s="331">
        <v>5200011448</v>
      </c>
      <c r="F18" s="330" t="s">
        <v>2105</v>
      </c>
      <c r="G18" s="333" t="s">
        <v>2031</v>
      </c>
      <c r="H18" s="334" t="s">
        <v>2032</v>
      </c>
      <c r="I18" s="335">
        <v>144</v>
      </c>
      <c r="J18" s="335">
        <v>0</v>
      </c>
      <c r="K18" s="335">
        <v>48</v>
      </c>
      <c r="L18" s="336">
        <f>I18/K18</f>
        <v>3</v>
      </c>
      <c r="M18" s="337">
        <v>46265</v>
      </c>
      <c r="N18" s="337">
        <v>46261</v>
      </c>
      <c r="O18" s="338"/>
      <c r="P18" s="332"/>
      <c r="Q18" s="338"/>
      <c r="R18" s="338">
        <v>46246</v>
      </c>
      <c r="S18" s="338" t="s">
        <v>80</v>
      </c>
      <c r="T18" s="338" t="s">
        <v>2106</v>
      </c>
      <c r="U18" s="338" t="s">
        <v>2107</v>
      </c>
      <c r="V18" s="338"/>
      <c r="W18" s="338"/>
      <c r="X18" s="339" t="s">
        <v>2108</v>
      </c>
      <c r="Y18" s="337" t="s">
        <v>265</v>
      </c>
      <c r="Z18" s="340">
        <v>0.948</v>
      </c>
      <c r="AA18" s="335">
        <f t="shared" si="9"/>
        <v>136.512</v>
      </c>
      <c r="AB18" s="337"/>
      <c r="AC18" s="333" t="s">
        <v>2043</v>
      </c>
      <c r="AD18" s="337" t="s">
        <v>115</v>
      </c>
      <c r="AE18" s="341"/>
      <c r="AF18" s="341"/>
      <c r="AG18" s="338"/>
      <c r="AH18" s="342"/>
      <c r="AI18" s="342"/>
      <c r="AJ18" s="332">
        <f t="shared" si="5"/>
        <v>144</v>
      </c>
      <c r="AK18" s="332">
        <f>I18</f>
        <v>144</v>
      </c>
      <c r="AL18" s="332"/>
      <c r="AM18" s="332"/>
      <c r="AN18" s="332">
        <f t="shared" si="6"/>
        <v>144</v>
      </c>
      <c r="AO18" s="343">
        <f>I18/24</f>
        <v>6</v>
      </c>
      <c r="AP18" s="343"/>
      <c r="AQ18" s="332"/>
      <c r="AR18" s="332"/>
      <c r="AS18" s="332"/>
      <c r="AT18" s="332"/>
      <c r="AU18" s="332"/>
      <c r="AV18" s="332"/>
      <c r="AW18" s="332"/>
      <c r="AX18" s="332"/>
      <c r="AY18" s="332"/>
      <c r="AZ18" s="332"/>
      <c r="BA18" s="332"/>
      <c r="BB18" s="332"/>
      <c r="BC18" s="332"/>
      <c r="BD18" s="332">
        <f t="shared" ref="BD18:BI18" si="28">$I18/6</f>
        <v>24</v>
      </c>
      <c r="BE18" s="332">
        <f t="shared" si="28"/>
        <v>24</v>
      </c>
      <c r="BF18" s="332">
        <f t="shared" si="28"/>
        <v>24</v>
      </c>
      <c r="BG18" s="332">
        <f t="shared" si="28"/>
        <v>24</v>
      </c>
      <c r="BH18" s="332">
        <f t="shared" si="28"/>
        <v>24</v>
      </c>
      <c r="BI18" s="332">
        <f t="shared" si="28"/>
        <v>24</v>
      </c>
      <c r="BJ18" s="332"/>
      <c r="BK18" s="344">
        <f t="shared" ref="BK18:BP18" si="29">BK17-BD18</f>
        <v>110537.333333333</v>
      </c>
      <c r="BL18" s="344">
        <f t="shared" si="29"/>
        <v>110537.333333333</v>
      </c>
      <c r="BM18" s="344">
        <f t="shared" si="29"/>
        <v>110537.333333333</v>
      </c>
      <c r="BN18" s="344">
        <f t="shared" si="29"/>
        <v>110537.333333333</v>
      </c>
      <c r="BO18" s="345">
        <f t="shared" si="29"/>
        <v>110537.333333333</v>
      </c>
      <c r="BP18" s="346">
        <f t="shared" si="29"/>
        <v>110537.333333333</v>
      </c>
      <c r="BQ18" s="347"/>
      <c r="BR18" s="348"/>
      <c r="BS18" s="347"/>
      <c r="BT18" s="347"/>
      <c r="BU18" s="347"/>
      <c r="BV18" s="347"/>
      <c r="BX18" s="347"/>
      <c r="BY18" s="347"/>
      <c r="BZ18" s="347"/>
      <c r="CA18" s="347"/>
      <c r="CB18" s="347"/>
      <c r="CC18" s="347"/>
      <c r="CD18" s="347"/>
      <c r="CE18" s="347"/>
      <c r="CF18" s="347"/>
    </row>
    <row r="19" s="226" customFormat="1" ht="27" customHeight="1" spans="1:84">
      <c r="A19" s="349">
        <v>46209</v>
      </c>
      <c r="B19" s="317" t="s">
        <v>2109</v>
      </c>
      <c r="C19" s="63" t="s">
        <v>203</v>
      </c>
      <c r="D19" s="288" t="s">
        <v>2110</v>
      </c>
      <c r="E19" s="63" t="s">
        <v>2111</v>
      </c>
      <c r="F19" s="317" t="s">
        <v>2112</v>
      </c>
      <c r="G19" s="318" t="s">
        <v>2099</v>
      </c>
      <c r="H19" s="67" t="s">
        <v>2100</v>
      </c>
      <c r="I19" s="319">
        <v>6006</v>
      </c>
      <c r="J19" s="319">
        <v>0</v>
      </c>
      <c r="K19" s="319">
        <v>13</v>
      </c>
      <c r="L19" s="319">
        <f>IF(K19=0,"",I19/K19)</f>
        <v>462</v>
      </c>
      <c r="M19" s="320">
        <v>46266</v>
      </c>
      <c r="N19" s="320">
        <v>46262</v>
      </c>
      <c r="O19" s="70"/>
      <c r="P19" s="288"/>
      <c r="Q19" s="70"/>
      <c r="R19" s="70">
        <v>46230</v>
      </c>
      <c r="S19" s="72" t="s">
        <v>80</v>
      </c>
      <c r="T19" s="70" t="s">
        <v>2113</v>
      </c>
      <c r="U19" s="70"/>
      <c r="V19" s="70"/>
      <c r="W19" s="70"/>
      <c r="X19" s="289" t="s">
        <v>2114</v>
      </c>
      <c r="Y19" s="320" t="s">
        <v>2115</v>
      </c>
      <c r="Z19" s="323">
        <v>1.52</v>
      </c>
      <c r="AA19" s="319">
        <f t="shared" si="9"/>
        <v>9129.12</v>
      </c>
      <c r="AB19" s="320"/>
      <c r="AC19" s="318" t="s">
        <v>2099</v>
      </c>
      <c r="AD19" s="320" t="s">
        <v>115</v>
      </c>
      <c r="AE19" s="75"/>
      <c r="AF19" s="75"/>
      <c r="AG19" s="70"/>
      <c r="AH19" s="79" t="s">
        <v>2044</v>
      </c>
      <c r="AI19" s="79"/>
      <c r="AJ19" s="64">
        <f t="shared" ref="AJ19:AJ31" si="30">I19</f>
        <v>6006</v>
      </c>
      <c r="AK19" s="288"/>
      <c r="AL19" s="64">
        <f>I19</f>
        <v>6006</v>
      </c>
      <c r="AM19" s="288"/>
      <c r="AN19" s="64">
        <f t="shared" ref="AN19:AN24" si="31">I19</f>
        <v>6006</v>
      </c>
      <c r="AO19" s="288"/>
      <c r="AP19" s="324"/>
      <c r="AQ19" s="288"/>
      <c r="AR19" s="288">
        <f>I19/13</f>
        <v>462</v>
      </c>
      <c r="AS19" s="288"/>
      <c r="AT19" s="288"/>
      <c r="AU19" s="288"/>
      <c r="AV19" s="288"/>
      <c r="AW19" s="288"/>
      <c r="AX19" s="288"/>
      <c r="AY19" s="288"/>
      <c r="AZ19" s="288"/>
      <c r="BA19" s="288"/>
      <c r="BB19" s="288"/>
      <c r="BC19" s="288"/>
      <c r="BD19" s="290">
        <f t="shared" ref="BD19:BI19" si="32">$I19/6</f>
        <v>1001</v>
      </c>
      <c r="BE19" s="290">
        <f t="shared" si="32"/>
        <v>1001</v>
      </c>
      <c r="BF19" s="290">
        <f t="shared" si="32"/>
        <v>1001</v>
      </c>
      <c r="BG19" s="290">
        <f t="shared" si="32"/>
        <v>1001</v>
      </c>
      <c r="BH19" s="290">
        <f t="shared" si="32"/>
        <v>1001</v>
      </c>
      <c r="BI19" s="290">
        <f t="shared" si="32"/>
        <v>1001</v>
      </c>
      <c r="BJ19" s="288"/>
      <c r="BK19" s="281">
        <f t="shared" ref="BK19:BP19" si="33">BK18-BD19</f>
        <v>109536.333333333</v>
      </c>
      <c r="BL19" s="281">
        <f t="shared" si="33"/>
        <v>109536.333333333</v>
      </c>
      <c r="BM19" s="281">
        <f t="shared" si="33"/>
        <v>109536.333333333</v>
      </c>
      <c r="BN19" s="281">
        <f t="shared" si="33"/>
        <v>109536.333333333</v>
      </c>
      <c r="BO19" s="282">
        <f t="shared" si="33"/>
        <v>109536.333333333</v>
      </c>
      <c r="BP19" s="283">
        <f t="shared" si="33"/>
        <v>109536.333333333</v>
      </c>
      <c r="BQ19" s="325"/>
      <c r="BR19" s="285" t="s">
        <v>2045</v>
      </c>
      <c r="BS19" s="325"/>
      <c r="BT19" s="325"/>
      <c r="BU19" s="325"/>
      <c r="BV19" s="325"/>
      <c r="BX19" s="325"/>
      <c r="BY19" s="325"/>
      <c r="BZ19" s="325"/>
      <c r="CA19" s="325"/>
      <c r="CB19" s="325"/>
      <c r="CC19" s="325"/>
      <c r="CD19" s="325"/>
      <c r="CE19" s="325"/>
      <c r="CF19" s="325"/>
    </row>
    <row r="20" s="226" customFormat="1" ht="27" customHeight="1" spans="1:84">
      <c r="A20" s="350">
        <v>46213</v>
      </c>
      <c r="B20" s="317" t="s">
        <v>2069</v>
      </c>
      <c r="C20" s="63" t="s">
        <v>389</v>
      </c>
      <c r="D20" s="288" t="s">
        <v>2116</v>
      </c>
      <c r="E20" s="63" t="s">
        <v>2117</v>
      </c>
      <c r="F20" s="317" t="s">
        <v>2118</v>
      </c>
      <c r="G20" s="318" t="s">
        <v>2058</v>
      </c>
      <c r="H20" s="67" t="s">
        <v>2059</v>
      </c>
      <c r="I20" s="319">
        <v>624</v>
      </c>
      <c r="J20" s="319">
        <v>0</v>
      </c>
      <c r="K20" s="319">
        <v>16</v>
      </c>
      <c r="L20" s="319">
        <f>IF(K20=0,"",I20/K20)</f>
        <v>39</v>
      </c>
      <c r="M20" s="320">
        <v>46266</v>
      </c>
      <c r="N20" s="320">
        <v>46262</v>
      </c>
      <c r="O20" s="70" t="s">
        <v>2119</v>
      </c>
      <c r="P20" s="288"/>
      <c r="Q20" s="70"/>
      <c r="R20" s="70">
        <v>46240</v>
      </c>
      <c r="S20" s="72" t="s">
        <v>80</v>
      </c>
      <c r="T20" s="70" t="s">
        <v>80</v>
      </c>
      <c r="U20" s="70"/>
      <c r="V20" s="70"/>
      <c r="W20" s="70"/>
      <c r="X20" s="289" t="s">
        <v>2074</v>
      </c>
      <c r="Y20" s="320" t="s">
        <v>2063</v>
      </c>
      <c r="Z20" s="323">
        <v>1.59</v>
      </c>
      <c r="AA20" s="319">
        <f t="shared" si="9"/>
        <v>992.16</v>
      </c>
      <c r="AB20" s="320"/>
      <c r="AC20" s="318" t="s">
        <v>2058</v>
      </c>
      <c r="AD20" s="320" t="s">
        <v>115</v>
      </c>
      <c r="AE20" s="75"/>
      <c r="AF20" s="75"/>
      <c r="AG20" s="70"/>
      <c r="AH20" s="79" t="s">
        <v>2044</v>
      </c>
      <c r="AI20" s="79"/>
      <c r="AJ20" s="288">
        <f t="shared" si="30"/>
        <v>624</v>
      </c>
      <c r="AK20" s="288"/>
      <c r="AL20" s="288"/>
      <c r="AM20" s="288">
        <f>I20</f>
        <v>624</v>
      </c>
      <c r="AN20" s="288">
        <f t="shared" si="31"/>
        <v>624</v>
      </c>
      <c r="AO20" s="288"/>
      <c r="AP20" s="324"/>
      <c r="AQ20" s="288"/>
      <c r="AR20" s="288"/>
      <c r="AS20" s="288">
        <f>I20/16</f>
        <v>39</v>
      </c>
      <c r="AT20" s="288"/>
      <c r="AU20" s="288"/>
      <c r="AV20" s="288"/>
      <c r="AW20" s="288"/>
      <c r="AX20" s="288"/>
      <c r="AY20" s="288"/>
      <c r="AZ20" s="288"/>
      <c r="BA20" s="288"/>
      <c r="BB20" s="288"/>
      <c r="BC20" s="288"/>
      <c r="BD20" s="324">
        <f t="shared" ref="BD20:BI20" si="34">$I20/6</f>
        <v>104</v>
      </c>
      <c r="BE20" s="324">
        <f t="shared" si="34"/>
        <v>104</v>
      </c>
      <c r="BF20" s="324">
        <f t="shared" si="34"/>
        <v>104</v>
      </c>
      <c r="BG20" s="324">
        <f t="shared" si="34"/>
        <v>104</v>
      </c>
      <c r="BH20" s="324">
        <f t="shared" si="34"/>
        <v>104</v>
      </c>
      <c r="BI20" s="324">
        <f t="shared" si="34"/>
        <v>104</v>
      </c>
      <c r="BJ20" s="288"/>
      <c r="BK20" s="281">
        <f t="shared" ref="BK19:BK45" si="35">BK19-BD20</f>
        <v>109432.333333333</v>
      </c>
      <c r="BL20" s="281">
        <f t="shared" ref="BL19:BL45" si="36">BL19-BE20</f>
        <v>109432.333333333</v>
      </c>
      <c r="BM20" s="281">
        <f t="shared" ref="BM19:BM45" si="37">BM19-BF20</f>
        <v>109432.333333333</v>
      </c>
      <c r="BN20" s="281">
        <f t="shared" ref="BN19:BN45" si="38">BN19-BG20</f>
        <v>109432.333333333</v>
      </c>
      <c r="BO20" s="282">
        <f t="shared" ref="BO19:BO45" si="39">BO19-BH20</f>
        <v>109432.333333333</v>
      </c>
      <c r="BP20" s="283">
        <f t="shared" ref="BP19:BP45" si="40">BP19-BI20</f>
        <v>109432.333333333</v>
      </c>
      <c r="BQ20" s="325"/>
      <c r="BR20" s="285" t="s">
        <v>2045</v>
      </c>
      <c r="BS20" s="325"/>
      <c r="BT20" s="325"/>
      <c r="BU20" s="325"/>
      <c r="BV20" s="325"/>
      <c r="BX20" s="325"/>
      <c r="BY20" s="325"/>
      <c r="BZ20" s="325"/>
      <c r="CA20" s="325"/>
      <c r="CB20" s="325"/>
      <c r="CC20" s="325"/>
      <c r="CD20" s="325"/>
      <c r="CE20" s="325"/>
      <c r="CF20" s="325"/>
    </row>
    <row r="21" s="226" customFormat="1" ht="27" customHeight="1" spans="1:84">
      <c r="A21" s="351">
        <v>46230</v>
      </c>
      <c r="B21" s="317" t="s">
        <v>2120</v>
      </c>
      <c r="C21" s="63" t="s">
        <v>396</v>
      </c>
      <c r="D21" s="288">
        <v>4500217785</v>
      </c>
      <c r="E21" s="63" t="s">
        <v>2121</v>
      </c>
      <c r="F21" s="352" t="s">
        <v>2122</v>
      </c>
      <c r="G21" s="353" t="s">
        <v>2043</v>
      </c>
      <c r="H21" s="67" t="s">
        <v>2032</v>
      </c>
      <c r="I21" s="319">
        <v>3600</v>
      </c>
      <c r="J21" s="319">
        <v>0</v>
      </c>
      <c r="K21" s="319">
        <v>48</v>
      </c>
      <c r="L21" s="319">
        <f>IF(K21=0,"",I21/K21)</f>
        <v>75</v>
      </c>
      <c r="M21" s="320">
        <v>46266</v>
      </c>
      <c r="N21" s="320">
        <v>46262</v>
      </c>
      <c r="O21" s="70"/>
      <c r="P21" s="288"/>
      <c r="Q21" s="70"/>
      <c r="R21" s="70">
        <v>46230</v>
      </c>
      <c r="S21" s="70" t="s">
        <v>80</v>
      </c>
      <c r="T21" s="70" t="s">
        <v>2123</v>
      </c>
      <c r="U21" s="70" t="s">
        <v>1518</v>
      </c>
      <c r="V21" s="70"/>
      <c r="W21" s="70"/>
      <c r="X21" s="289" t="s">
        <v>2124</v>
      </c>
      <c r="Y21" s="320" t="s">
        <v>454</v>
      </c>
      <c r="Z21" s="323">
        <v>1.58</v>
      </c>
      <c r="AA21" s="319">
        <f t="shared" si="9"/>
        <v>5688</v>
      </c>
      <c r="AB21" s="320"/>
      <c r="AC21" s="318" t="s">
        <v>2043</v>
      </c>
      <c r="AD21" s="277" t="s">
        <v>115</v>
      </c>
      <c r="AE21" s="75"/>
      <c r="AF21" s="75"/>
      <c r="AG21" s="70"/>
      <c r="AH21" s="79" t="s">
        <v>2044</v>
      </c>
      <c r="AI21" s="79"/>
      <c r="AJ21" s="288">
        <f t="shared" si="30"/>
        <v>3600</v>
      </c>
      <c r="AK21" s="288">
        <f t="shared" ref="AK21:AK24" si="41">I21</f>
        <v>3600</v>
      </c>
      <c r="AL21" s="288"/>
      <c r="AM21" s="288"/>
      <c r="AN21" s="288">
        <f t="shared" si="31"/>
        <v>3600</v>
      </c>
      <c r="AO21" s="324">
        <f t="shared" ref="AO21:AO24" si="42">I21/24</f>
        <v>150</v>
      </c>
      <c r="AP21" s="324"/>
      <c r="AQ21" s="288"/>
      <c r="AR21" s="288"/>
      <c r="AS21" s="288"/>
      <c r="AT21" s="288"/>
      <c r="AU21" s="288"/>
      <c r="AV21" s="288"/>
      <c r="AW21" s="288"/>
      <c r="AX21" s="288"/>
      <c r="AY21" s="288"/>
      <c r="AZ21" s="288"/>
      <c r="BA21" s="288"/>
      <c r="BB21" s="288"/>
      <c r="BC21" s="288"/>
      <c r="BD21" s="288">
        <f t="shared" ref="BD21:BI21" si="43">$I21/6</f>
        <v>600</v>
      </c>
      <c r="BE21" s="288">
        <f t="shared" si="43"/>
        <v>600</v>
      </c>
      <c r="BF21" s="288">
        <f t="shared" si="43"/>
        <v>600</v>
      </c>
      <c r="BG21" s="288">
        <f t="shared" si="43"/>
        <v>600</v>
      </c>
      <c r="BH21" s="288">
        <f t="shared" si="43"/>
        <v>600</v>
      </c>
      <c r="BI21" s="288">
        <f t="shared" si="43"/>
        <v>600</v>
      </c>
      <c r="BJ21" s="288"/>
      <c r="BK21" s="281">
        <f t="shared" si="35"/>
        <v>108832.333333333</v>
      </c>
      <c r="BL21" s="281">
        <f t="shared" si="36"/>
        <v>108832.333333333</v>
      </c>
      <c r="BM21" s="281">
        <f t="shared" si="37"/>
        <v>108832.333333333</v>
      </c>
      <c r="BN21" s="281">
        <f t="shared" si="38"/>
        <v>108832.333333333</v>
      </c>
      <c r="BO21" s="282">
        <f t="shared" si="39"/>
        <v>108832.333333333</v>
      </c>
      <c r="BP21" s="283">
        <f t="shared" si="40"/>
        <v>108832.333333333</v>
      </c>
      <c r="BQ21" s="325"/>
      <c r="BR21" s="325"/>
      <c r="BS21" s="325"/>
      <c r="BT21" s="325"/>
      <c r="BU21" s="325"/>
      <c r="BV21" s="325"/>
      <c r="BW21" s="226"/>
      <c r="BX21" s="325"/>
      <c r="BY21" s="325"/>
      <c r="BZ21" s="325"/>
      <c r="CA21" s="325"/>
      <c r="CB21" s="325"/>
      <c r="CC21" s="325"/>
      <c r="CD21" s="325"/>
      <c r="CE21" s="325"/>
      <c r="CF21" s="325"/>
    </row>
    <row r="22" s="226" customFormat="1" ht="27" customHeight="1" spans="1:84">
      <c r="A22" s="351">
        <v>46226</v>
      </c>
      <c r="B22" s="317" t="s">
        <v>103</v>
      </c>
      <c r="C22" s="63" t="s">
        <v>104</v>
      </c>
      <c r="D22" s="288" t="s">
        <v>2125</v>
      </c>
      <c r="E22" s="63" t="s">
        <v>2126</v>
      </c>
      <c r="F22" s="317" t="s">
        <v>2127</v>
      </c>
      <c r="G22" s="318" t="s">
        <v>2079</v>
      </c>
      <c r="H22" s="67" t="s">
        <v>2080</v>
      </c>
      <c r="I22" s="319">
        <v>3600</v>
      </c>
      <c r="J22" s="319">
        <v>0</v>
      </c>
      <c r="K22" s="319">
        <v>24</v>
      </c>
      <c r="L22" s="319">
        <f>I22/K22</f>
        <v>150</v>
      </c>
      <c r="M22" s="320">
        <v>46269</v>
      </c>
      <c r="N22" s="320">
        <v>46265</v>
      </c>
      <c r="O22" s="70"/>
      <c r="P22" s="288"/>
      <c r="Q22" s="70"/>
      <c r="R22" s="70">
        <v>46227</v>
      </c>
      <c r="S22" s="70" t="s">
        <v>80</v>
      </c>
      <c r="T22" s="70" t="s">
        <v>2128</v>
      </c>
      <c r="U22" s="70"/>
      <c r="V22" s="70"/>
      <c r="W22" s="70"/>
      <c r="X22" s="289" t="s">
        <v>2129</v>
      </c>
      <c r="Y22" s="320" t="s">
        <v>2130</v>
      </c>
      <c r="Z22" s="323">
        <v>1.47</v>
      </c>
      <c r="AA22" s="319">
        <f t="shared" si="9"/>
        <v>5292</v>
      </c>
      <c r="AB22" s="320"/>
      <c r="AC22" s="318" t="s">
        <v>2079</v>
      </c>
      <c r="AD22" s="320" t="s">
        <v>115</v>
      </c>
      <c r="AE22" s="75"/>
      <c r="AF22" s="75"/>
      <c r="AG22" s="70"/>
      <c r="AH22" s="79" t="s">
        <v>2131</v>
      </c>
      <c r="AI22" s="79"/>
      <c r="AJ22" s="288">
        <f t="shared" si="30"/>
        <v>3600</v>
      </c>
      <c r="AK22" s="288">
        <f t="shared" si="41"/>
        <v>3600</v>
      </c>
      <c r="AL22" s="288"/>
      <c r="AM22" s="288"/>
      <c r="AN22" s="64">
        <f t="shared" si="31"/>
        <v>3600</v>
      </c>
      <c r="AO22" s="290">
        <f t="shared" si="42"/>
        <v>150</v>
      </c>
      <c r="AP22" s="324"/>
      <c r="AQ22" s="288"/>
      <c r="AR22" s="288"/>
      <c r="AS22" s="288"/>
      <c r="AT22" s="288"/>
      <c r="AU22" s="288"/>
      <c r="AV22" s="288"/>
      <c r="AW22" s="288"/>
      <c r="AX22" s="288"/>
      <c r="AY22" s="288"/>
      <c r="AZ22" s="288"/>
      <c r="BA22" s="288"/>
      <c r="BB22" s="288"/>
      <c r="BC22" s="288"/>
      <c r="BD22" s="64">
        <f t="shared" ref="BD22:BI22" si="44">$I22/6</f>
        <v>600</v>
      </c>
      <c r="BE22" s="64">
        <f t="shared" si="44"/>
        <v>600</v>
      </c>
      <c r="BF22" s="64">
        <f t="shared" si="44"/>
        <v>600</v>
      </c>
      <c r="BG22" s="64">
        <f t="shared" si="44"/>
        <v>600</v>
      </c>
      <c r="BH22" s="64">
        <f t="shared" si="44"/>
        <v>600</v>
      </c>
      <c r="BI22" s="64">
        <f t="shared" si="44"/>
        <v>600</v>
      </c>
      <c r="BJ22" s="288"/>
      <c r="BK22" s="281">
        <f t="shared" si="35"/>
        <v>108232.333333333</v>
      </c>
      <c r="BL22" s="281">
        <f t="shared" si="36"/>
        <v>108232.333333333</v>
      </c>
      <c r="BM22" s="281">
        <f t="shared" si="37"/>
        <v>108232.333333333</v>
      </c>
      <c r="BN22" s="281">
        <f t="shared" si="38"/>
        <v>108232.333333333</v>
      </c>
      <c r="BO22" s="282">
        <f t="shared" si="39"/>
        <v>108232.333333333</v>
      </c>
      <c r="BP22" s="283">
        <f t="shared" si="40"/>
        <v>108232.333333333</v>
      </c>
      <c r="BQ22" s="325"/>
      <c r="BR22" s="325"/>
      <c r="BS22" s="325"/>
      <c r="BT22" s="325"/>
      <c r="BU22" s="325"/>
      <c r="BV22" s="325"/>
      <c r="BX22" s="325"/>
      <c r="BY22" s="325"/>
      <c r="BZ22" s="325"/>
      <c r="CA22" s="325"/>
      <c r="CB22" s="325"/>
      <c r="CC22" s="325"/>
      <c r="CD22" s="325"/>
      <c r="CE22" s="325"/>
      <c r="CF22" s="325"/>
    </row>
    <row r="23" s="226" customFormat="1" ht="27" customHeight="1" spans="1:84">
      <c r="A23" s="351">
        <v>46232</v>
      </c>
      <c r="B23" s="317" t="s">
        <v>2132</v>
      </c>
      <c r="C23" s="63" t="s">
        <v>389</v>
      </c>
      <c r="D23" s="288" t="s">
        <v>2133</v>
      </c>
      <c r="E23" s="63" t="s">
        <v>2134</v>
      </c>
      <c r="F23" s="317" t="s">
        <v>2135</v>
      </c>
      <c r="G23" s="318" t="s">
        <v>2079</v>
      </c>
      <c r="H23" s="67" t="s">
        <v>2080</v>
      </c>
      <c r="I23" s="319">
        <v>3504</v>
      </c>
      <c r="J23" s="319">
        <v>0</v>
      </c>
      <c r="K23" s="319">
        <v>24</v>
      </c>
      <c r="L23" s="319">
        <f t="shared" ref="L23:L30" si="45">I23/K23</f>
        <v>146</v>
      </c>
      <c r="M23" s="320">
        <v>46269</v>
      </c>
      <c r="N23" s="320">
        <v>46265</v>
      </c>
      <c r="O23" s="70"/>
      <c r="P23" s="288"/>
      <c r="Q23" s="70"/>
      <c r="R23" s="70">
        <v>46232</v>
      </c>
      <c r="S23" s="70" t="s">
        <v>191</v>
      </c>
      <c r="T23" s="70" t="s">
        <v>2136</v>
      </c>
      <c r="U23" s="70"/>
      <c r="V23" s="70"/>
      <c r="W23" s="70"/>
      <c r="X23" s="289" t="s">
        <v>2137</v>
      </c>
      <c r="Y23" s="320" t="s">
        <v>2138</v>
      </c>
      <c r="Z23" s="323">
        <v>1.47</v>
      </c>
      <c r="AA23" s="319">
        <f t="shared" ref="AA23:AA40" si="46">Z23*I23</f>
        <v>5150.88</v>
      </c>
      <c r="AB23" s="320"/>
      <c r="AC23" s="318" t="s">
        <v>2084</v>
      </c>
      <c r="AD23" s="320" t="s">
        <v>115</v>
      </c>
      <c r="AE23" s="75"/>
      <c r="AF23" s="75"/>
      <c r="AG23" s="70"/>
      <c r="AH23" s="79" t="s">
        <v>2131</v>
      </c>
      <c r="AI23" s="79"/>
      <c r="AJ23" s="64">
        <f t="shared" si="30"/>
        <v>3504</v>
      </c>
      <c r="AK23" s="64"/>
      <c r="AL23" s="64">
        <f>I23</f>
        <v>3504</v>
      </c>
      <c r="AM23" s="64"/>
      <c r="AN23" s="64">
        <f t="shared" si="31"/>
        <v>3504</v>
      </c>
      <c r="AO23" s="64"/>
      <c r="AP23" s="290">
        <f>I23/24</f>
        <v>146</v>
      </c>
      <c r="AQ23" s="288"/>
      <c r="AR23" s="288"/>
      <c r="AS23" s="288"/>
      <c r="AT23" s="288"/>
      <c r="AU23" s="288"/>
      <c r="AV23" s="288"/>
      <c r="AW23" s="288"/>
      <c r="AX23" s="288"/>
      <c r="AY23" s="288"/>
      <c r="AZ23" s="288"/>
      <c r="BA23" s="288"/>
      <c r="BB23" s="288"/>
      <c r="BC23" s="288"/>
      <c r="BD23" s="64">
        <f t="shared" ref="BD23:BD30" si="47">$I23/6</f>
        <v>584</v>
      </c>
      <c r="BE23" s="64">
        <f t="shared" ref="BE23:BE30" si="48">$I23/6</f>
        <v>584</v>
      </c>
      <c r="BF23" s="64">
        <f t="shared" ref="BF23:BF30" si="49">$I23/6</f>
        <v>584</v>
      </c>
      <c r="BG23" s="64">
        <f t="shared" ref="BG23:BG30" si="50">$I23/6</f>
        <v>584</v>
      </c>
      <c r="BH23" s="64">
        <f t="shared" ref="BH23:BH30" si="51">$I23/6</f>
        <v>584</v>
      </c>
      <c r="BI23" s="64">
        <f t="shared" ref="BI23:BI30" si="52">$I23/6</f>
        <v>584</v>
      </c>
      <c r="BJ23" s="288"/>
      <c r="BK23" s="281">
        <f t="shared" si="35"/>
        <v>107648.333333333</v>
      </c>
      <c r="BL23" s="281">
        <f t="shared" si="36"/>
        <v>107648.333333333</v>
      </c>
      <c r="BM23" s="281">
        <f t="shared" si="37"/>
        <v>107648.333333333</v>
      </c>
      <c r="BN23" s="281">
        <f t="shared" si="38"/>
        <v>107648.333333333</v>
      </c>
      <c r="BO23" s="282">
        <f t="shared" si="39"/>
        <v>107648.333333333</v>
      </c>
      <c r="BP23" s="283">
        <f t="shared" si="40"/>
        <v>107648.333333333</v>
      </c>
      <c r="BQ23" s="325"/>
      <c r="BR23" s="325"/>
      <c r="BS23" s="325"/>
      <c r="BT23" s="325"/>
      <c r="BU23" s="325"/>
      <c r="BV23" s="325"/>
      <c r="BX23" s="325"/>
      <c r="BY23" s="325"/>
      <c r="BZ23" s="325"/>
      <c r="CA23" s="325"/>
      <c r="CB23" s="325"/>
      <c r="CC23" s="325"/>
      <c r="CD23" s="325"/>
      <c r="CE23" s="325"/>
      <c r="CF23" s="325"/>
    </row>
    <row r="24" s="226" customFormat="1" ht="27" customHeight="1" spans="1:84">
      <c r="A24" s="351">
        <v>46232</v>
      </c>
      <c r="B24" s="317" t="s">
        <v>1233</v>
      </c>
      <c r="C24" s="63" t="s">
        <v>117</v>
      </c>
      <c r="D24" s="288" t="s">
        <v>2139</v>
      </c>
      <c r="E24" s="537" t="s">
        <v>2140</v>
      </c>
      <c r="F24" s="317" t="s">
        <v>2141</v>
      </c>
      <c r="G24" s="318" t="s">
        <v>2079</v>
      </c>
      <c r="H24" s="67" t="s">
        <v>2080</v>
      </c>
      <c r="I24" s="319">
        <v>912</v>
      </c>
      <c r="J24" s="319">
        <v>0</v>
      </c>
      <c r="K24" s="319">
        <v>24</v>
      </c>
      <c r="L24" s="319">
        <f t="shared" si="45"/>
        <v>38</v>
      </c>
      <c r="M24" s="320">
        <v>46279</v>
      </c>
      <c r="N24" s="320">
        <v>46275</v>
      </c>
      <c r="O24" s="70" t="s">
        <v>2142</v>
      </c>
      <c r="P24" s="288"/>
      <c r="Q24" s="70"/>
      <c r="R24" s="70">
        <v>46232</v>
      </c>
      <c r="S24" s="70" t="s">
        <v>80</v>
      </c>
      <c r="T24" s="70" t="s">
        <v>80</v>
      </c>
      <c r="U24" s="70"/>
      <c r="V24" s="70"/>
      <c r="W24" s="70"/>
      <c r="X24" s="289" t="s">
        <v>2143</v>
      </c>
      <c r="Y24" s="320" t="s">
        <v>587</v>
      </c>
      <c r="Z24" s="323">
        <v>0.8707</v>
      </c>
      <c r="AA24" s="319">
        <f t="shared" si="46"/>
        <v>794.0784</v>
      </c>
      <c r="AB24" s="320"/>
      <c r="AC24" s="318" t="s">
        <v>2079</v>
      </c>
      <c r="AD24" s="320" t="s">
        <v>115</v>
      </c>
      <c r="AE24" s="75"/>
      <c r="AF24" s="75"/>
      <c r="AG24" s="70"/>
      <c r="AH24" s="79" t="s">
        <v>2131</v>
      </c>
      <c r="AI24" s="79"/>
      <c r="AJ24" s="288">
        <f t="shared" ref="AJ23:AJ40" si="53">I24</f>
        <v>912</v>
      </c>
      <c r="AK24" s="288">
        <f t="shared" si="41"/>
        <v>912</v>
      </c>
      <c r="AL24" s="288"/>
      <c r="AM24" s="288"/>
      <c r="AN24" s="64">
        <f t="shared" si="31"/>
        <v>912</v>
      </c>
      <c r="AO24" s="290">
        <f t="shared" si="42"/>
        <v>38</v>
      </c>
      <c r="AP24" s="324"/>
      <c r="AQ24" s="288"/>
      <c r="AR24" s="288"/>
      <c r="AS24" s="288"/>
      <c r="AT24" s="288"/>
      <c r="AU24" s="288"/>
      <c r="AV24" s="288"/>
      <c r="AW24" s="288"/>
      <c r="AX24" s="288"/>
      <c r="AY24" s="288"/>
      <c r="AZ24" s="288"/>
      <c r="BA24" s="288"/>
      <c r="BB24" s="288"/>
      <c r="BC24" s="288"/>
      <c r="BD24" s="64">
        <f t="shared" si="47"/>
        <v>152</v>
      </c>
      <c r="BE24" s="64">
        <f t="shared" si="48"/>
        <v>152</v>
      </c>
      <c r="BF24" s="64">
        <f t="shared" si="49"/>
        <v>152</v>
      </c>
      <c r="BG24" s="64">
        <f t="shared" si="50"/>
        <v>152</v>
      </c>
      <c r="BH24" s="64">
        <f t="shared" si="51"/>
        <v>152</v>
      </c>
      <c r="BI24" s="64">
        <f t="shared" si="52"/>
        <v>152</v>
      </c>
      <c r="BJ24" s="288"/>
      <c r="BK24" s="281">
        <f t="shared" si="35"/>
        <v>107496.333333333</v>
      </c>
      <c r="BL24" s="281">
        <f t="shared" si="36"/>
        <v>107496.333333333</v>
      </c>
      <c r="BM24" s="281">
        <f t="shared" si="37"/>
        <v>107496.333333333</v>
      </c>
      <c r="BN24" s="281">
        <f t="shared" si="38"/>
        <v>107496.333333333</v>
      </c>
      <c r="BO24" s="282">
        <f t="shared" si="39"/>
        <v>107496.333333333</v>
      </c>
      <c r="BP24" s="283">
        <f t="shared" si="40"/>
        <v>107496.333333333</v>
      </c>
      <c r="BQ24" s="325"/>
      <c r="BR24" s="325"/>
      <c r="BS24" s="325"/>
      <c r="BT24" s="325"/>
      <c r="BU24" s="325"/>
      <c r="BV24" s="325"/>
      <c r="BX24" s="325"/>
      <c r="BY24" s="325"/>
      <c r="BZ24" s="325"/>
      <c r="CA24" s="325"/>
      <c r="CB24" s="325"/>
      <c r="CC24" s="325"/>
      <c r="CD24" s="325"/>
      <c r="CE24" s="325"/>
      <c r="CF24" s="325"/>
    </row>
    <row r="25" s="226" customFormat="1" ht="27" customHeight="1" spans="1:84">
      <c r="A25" s="351">
        <v>46232</v>
      </c>
      <c r="B25" s="317" t="s">
        <v>1233</v>
      </c>
      <c r="C25" s="63" t="s">
        <v>117</v>
      </c>
      <c r="D25" s="288" t="s">
        <v>2139</v>
      </c>
      <c r="E25" s="63" t="s">
        <v>2144</v>
      </c>
      <c r="F25" s="317" t="s">
        <v>2145</v>
      </c>
      <c r="G25" s="318" t="s">
        <v>2079</v>
      </c>
      <c r="H25" s="67" t="s">
        <v>2080</v>
      </c>
      <c r="I25" s="319">
        <v>744</v>
      </c>
      <c r="J25" s="319">
        <v>0</v>
      </c>
      <c r="K25" s="319">
        <v>24</v>
      </c>
      <c r="L25" s="319">
        <f t="shared" si="45"/>
        <v>31</v>
      </c>
      <c r="M25" s="320">
        <v>46279</v>
      </c>
      <c r="N25" s="320">
        <v>46275</v>
      </c>
      <c r="O25" s="70" t="s">
        <v>2142</v>
      </c>
      <c r="P25" s="288"/>
      <c r="Q25" s="70"/>
      <c r="R25" s="70">
        <v>46232</v>
      </c>
      <c r="S25" s="70" t="s">
        <v>80</v>
      </c>
      <c r="T25" s="70" t="s">
        <v>80</v>
      </c>
      <c r="U25" s="70"/>
      <c r="V25" s="70"/>
      <c r="W25" s="70"/>
      <c r="X25" s="289" t="s">
        <v>2143</v>
      </c>
      <c r="Y25" s="320" t="s">
        <v>587</v>
      </c>
      <c r="Z25" s="323">
        <v>0.8707</v>
      </c>
      <c r="AA25" s="319">
        <f t="shared" si="46"/>
        <v>647.8008</v>
      </c>
      <c r="AB25" s="320"/>
      <c r="AC25" s="318" t="s">
        <v>2079</v>
      </c>
      <c r="AD25" s="320" t="s">
        <v>115</v>
      </c>
      <c r="AE25" s="75"/>
      <c r="AF25" s="75"/>
      <c r="AG25" s="70"/>
      <c r="AH25" s="79" t="s">
        <v>2131</v>
      </c>
      <c r="AI25" s="79"/>
      <c r="AJ25" s="288">
        <f t="shared" si="53"/>
        <v>744</v>
      </c>
      <c r="AK25" s="288">
        <f t="shared" ref="AK25:AK30" si="54">I25</f>
        <v>744</v>
      </c>
      <c r="AL25" s="288"/>
      <c r="AM25" s="288"/>
      <c r="AN25" s="64">
        <f t="shared" ref="AN25:AN40" si="55">I25</f>
        <v>744</v>
      </c>
      <c r="AO25" s="290">
        <f t="shared" ref="AO25:AO30" si="56">I25/24</f>
        <v>31</v>
      </c>
      <c r="AP25" s="324"/>
      <c r="AQ25" s="288"/>
      <c r="AR25" s="288"/>
      <c r="AS25" s="288"/>
      <c r="AT25" s="288"/>
      <c r="AU25" s="288"/>
      <c r="AV25" s="288"/>
      <c r="AW25" s="288"/>
      <c r="AX25" s="288"/>
      <c r="AY25" s="288"/>
      <c r="AZ25" s="288"/>
      <c r="BA25" s="288"/>
      <c r="BB25" s="288"/>
      <c r="BC25" s="288"/>
      <c r="BD25" s="64">
        <f t="shared" si="47"/>
        <v>124</v>
      </c>
      <c r="BE25" s="64">
        <f t="shared" si="48"/>
        <v>124</v>
      </c>
      <c r="BF25" s="64">
        <f t="shared" si="49"/>
        <v>124</v>
      </c>
      <c r="BG25" s="64">
        <f t="shared" si="50"/>
        <v>124</v>
      </c>
      <c r="BH25" s="64">
        <f t="shared" si="51"/>
        <v>124</v>
      </c>
      <c r="BI25" s="64">
        <f t="shared" si="52"/>
        <v>124</v>
      </c>
      <c r="BJ25" s="288"/>
      <c r="BK25" s="281">
        <f t="shared" si="35"/>
        <v>107372.333333333</v>
      </c>
      <c r="BL25" s="281">
        <f t="shared" si="36"/>
        <v>107372.333333333</v>
      </c>
      <c r="BM25" s="281">
        <f t="shared" si="37"/>
        <v>107372.333333333</v>
      </c>
      <c r="BN25" s="281">
        <f t="shared" si="38"/>
        <v>107372.333333333</v>
      </c>
      <c r="BO25" s="282">
        <f t="shared" si="39"/>
        <v>107372.333333333</v>
      </c>
      <c r="BP25" s="283">
        <f t="shared" si="40"/>
        <v>107372.333333333</v>
      </c>
      <c r="BQ25" s="325"/>
      <c r="BR25" s="325"/>
      <c r="BS25" s="325"/>
      <c r="BT25" s="325"/>
      <c r="BU25" s="325"/>
      <c r="BV25" s="325"/>
      <c r="BX25" s="325"/>
      <c r="BY25" s="325"/>
      <c r="BZ25" s="325"/>
      <c r="CA25" s="325"/>
      <c r="CB25" s="325"/>
      <c r="CC25" s="325"/>
      <c r="CD25" s="325"/>
      <c r="CE25" s="325"/>
      <c r="CF25" s="325"/>
    </row>
    <row r="26" s="226" customFormat="1" ht="27" customHeight="1" spans="1:84">
      <c r="A26" s="351">
        <v>46232</v>
      </c>
      <c r="B26" s="317" t="s">
        <v>1233</v>
      </c>
      <c r="C26" s="63" t="s">
        <v>117</v>
      </c>
      <c r="D26" s="288" t="s">
        <v>2139</v>
      </c>
      <c r="E26" s="63" t="s">
        <v>2146</v>
      </c>
      <c r="F26" s="317" t="s">
        <v>2147</v>
      </c>
      <c r="G26" s="318" t="s">
        <v>2079</v>
      </c>
      <c r="H26" s="67" t="s">
        <v>2080</v>
      </c>
      <c r="I26" s="319">
        <v>3696</v>
      </c>
      <c r="J26" s="319">
        <v>0</v>
      </c>
      <c r="K26" s="319">
        <v>24</v>
      </c>
      <c r="L26" s="319">
        <f t="shared" si="45"/>
        <v>154</v>
      </c>
      <c r="M26" s="320">
        <v>46279</v>
      </c>
      <c r="N26" s="320">
        <v>46275</v>
      </c>
      <c r="O26" s="70" t="s">
        <v>2142</v>
      </c>
      <c r="P26" s="288"/>
      <c r="Q26" s="70"/>
      <c r="R26" s="70">
        <v>46232</v>
      </c>
      <c r="S26" s="70" t="s">
        <v>80</v>
      </c>
      <c r="T26" s="70" t="s">
        <v>80</v>
      </c>
      <c r="U26" s="70"/>
      <c r="V26" s="70"/>
      <c r="W26" s="70"/>
      <c r="X26" s="289" t="s">
        <v>2143</v>
      </c>
      <c r="Y26" s="320" t="s">
        <v>587</v>
      </c>
      <c r="Z26" s="323">
        <v>0.8707</v>
      </c>
      <c r="AA26" s="319">
        <f t="shared" si="46"/>
        <v>3218.1072</v>
      </c>
      <c r="AB26" s="320"/>
      <c r="AC26" s="318" t="s">
        <v>2079</v>
      </c>
      <c r="AD26" s="320" t="s">
        <v>115</v>
      </c>
      <c r="AE26" s="75"/>
      <c r="AF26" s="75"/>
      <c r="AG26" s="70"/>
      <c r="AH26" s="79" t="s">
        <v>2131</v>
      </c>
      <c r="AI26" s="79"/>
      <c r="AJ26" s="288">
        <f t="shared" si="53"/>
        <v>3696</v>
      </c>
      <c r="AK26" s="288">
        <f t="shared" si="54"/>
        <v>3696</v>
      </c>
      <c r="AL26" s="288"/>
      <c r="AM26" s="288"/>
      <c r="AN26" s="64">
        <f t="shared" si="55"/>
        <v>3696</v>
      </c>
      <c r="AO26" s="290">
        <f t="shared" si="56"/>
        <v>154</v>
      </c>
      <c r="AP26" s="324"/>
      <c r="AQ26" s="288"/>
      <c r="AR26" s="288"/>
      <c r="AS26" s="288"/>
      <c r="AT26" s="288"/>
      <c r="AU26" s="288"/>
      <c r="AV26" s="288"/>
      <c r="AW26" s="288"/>
      <c r="AX26" s="288"/>
      <c r="AY26" s="288"/>
      <c r="AZ26" s="288"/>
      <c r="BA26" s="288"/>
      <c r="BB26" s="288"/>
      <c r="BC26" s="288"/>
      <c r="BD26" s="64">
        <f t="shared" si="47"/>
        <v>616</v>
      </c>
      <c r="BE26" s="64">
        <f t="shared" si="48"/>
        <v>616</v>
      </c>
      <c r="BF26" s="64">
        <f t="shared" si="49"/>
        <v>616</v>
      </c>
      <c r="BG26" s="64">
        <f t="shared" si="50"/>
        <v>616</v>
      </c>
      <c r="BH26" s="64">
        <f t="shared" si="51"/>
        <v>616</v>
      </c>
      <c r="BI26" s="64">
        <f t="shared" si="52"/>
        <v>616</v>
      </c>
      <c r="BJ26" s="288"/>
      <c r="BK26" s="281">
        <f t="shared" si="35"/>
        <v>106756.333333333</v>
      </c>
      <c r="BL26" s="281">
        <f t="shared" si="36"/>
        <v>106756.333333333</v>
      </c>
      <c r="BM26" s="281">
        <f t="shared" si="37"/>
        <v>106756.333333333</v>
      </c>
      <c r="BN26" s="281">
        <f t="shared" si="38"/>
        <v>106756.333333333</v>
      </c>
      <c r="BO26" s="282">
        <f t="shared" si="39"/>
        <v>106756.333333333</v>
      </c>
      <c r="BP26" s="283">
        <f t="shared" si="40"/>
        <v>106756.333333333</v>
      </c>
      <c r="BQ26" s="325"/>
      <c r="BR26" s="325"/>
      <c r="BS26" s="325"/>
      <c r="BT26" s="325"/>
      <c r="BU26" s="325"/>
      <c r="BV26" s="325"/>
      <c r="BX26" s="325"/>
      <c r="BY26" s="325"/>
      <c r="BZ26" s="325"/>
      <c r="CA26" s="325"/>
      <c r="CB26" s="325"/>
      <c r="CC26" s="325"/>
      <c r="CD26" s="325"/>
      <c r="CE26" s="325"/>
      <c r="CF26" s="325"/>
    </row>
    <row r="27" s="226" customFormat="1" ht="27" customHeight="1" spans="1:84">
      <c r="A27" s="351">
        <v>46232</v>
      </c>
      <c r="B27" s="317" t="s">
        <v>1233</v>
      </c>
      <c r="C27" s="63" t="s">
        <v>117</v>
      </c>
      <c r="D27" s="288" t="s">
        <v>2139</v>
      </c>
      <c r="E27" s="63" t="s">
        <v>2148</v>
      </c>
      <c r="F27" s="317" t="s">
        <v>2149</v>
      </c>
      <c r="G27" s="318" t="s">
        <v>2079</v>
      </c>
      <c r="H27" s="67" t="s">
        <v>2080</v>
      </c>
      <c r="I27" s="319">
        <v>864</v>
      </c>
      <c r="J27" s="319">
        <v>0</v>
      </c>
      <c r="K27" s="319">
        <v>24</v>
      </c>
      <c r="L27" s="319">
        <f t="shared" si="45"/>
        <v>36</v>
      </c>
      <c r="M27" s="320">
        <v>46279</v>
      </c>
      <c r="N27" s="320">
        <v>46275</v>
      </c>
      <c r="O27" s="70" t="s">
        <v>2142</v>
      </c>
      <c r="P27" s="288"/>
      <c r="Q27" s="70"/>
      <c r="R27" s="70">
        <v>46232</v>
      </c>
      <c r="S27" s="70" t="s">
        <v>80</v>
      </c>
      <c r="T27" s="70" t="s">
        <v>80</v>
      </c>
      <c r="U27" s="70"/>
      <c r="V27" s="70"/>
      <c r="W27" s="70"/>
      <c r="X27" s="289" t="s">
        <v>2143</v>
      </c>
      <c r="Y27" s="320" t="s">
        <v>587</v>
      </c>
      <c r="Z27" s="323">
        <v>0.8707</v>
      </c>
      <c r="AA27" s="319">
        <f t="shared" si="46"/>
        <v>752.2848</v>
      </c>
      <c r="AB27" s="320"/>
      <c r="AC27" s="318" t="s">
        <v>2079</v>
      </c>
      <c r="AD27" s="320" t="s">
        <v>115</v>
      </c>
      <c r="AE27" s="75"/>
      <c r="AF27" s="75"/>
      <c r="AG27" s="70"/>
      <c r="AH27" s="79" t="s">
        <v>2131</v>
      </c>
      <c r="AI27" s="79"/>
      <c r="AJ27" s="288">
        <f t="shared" si="53"/>
        <v>864</v>
      </c>
      <c r="AK27" s="288">
        <f t="shared" si="54"/>
        <v>864</v>
      </c>
      <c r="AL27" s="288"/>
      <c r="AM27" s="288"/>
      <c r="AN27" s="64">
        <f t="shared" si="55"/>
        <v>864</v>
      </c>
      <c r="AO27" s="290">
        <f t="shared" si="56"/>
        <v>36</v>
      </c>
      <c r="AP27" s="324"/>
      <c r="AQ27" s="288"/>
      <c r="AR27" s="288"/>
      <c r="AS27" s="288"/>
      <c r="AT27" s="288"/>
      <c r="AU27" s="288"/>
      <c r="AV27" s="288"/>
      <c r="AW27" s="288"/>
      <c r="AX27" s="288"/>
      <c r="AY27" s="288"/>
      <c r="AZ27" s="288"/>
      <c r="BA27" s="288"/>
      <c r="BB27" s="288"/>
      <c r="BC27" s="288"/>
      <c r="BD27" s="64">
        <f t="shared" si="47"/>
        <v>144</v>
      </c>
      <c r="BE27" s="64">
        <f t="shared" si="48"/>
        <v>144</v>
      </c>
      <c r="BF27" s="64">
        <f t="shared" si="49"/>
        <v>144</v>
      </c>
      <c r="BG27" s="64">
        <f t="shared" si="50"/>
        <v>144</v>
      </c>
      <c r="BH27" s="64">
        <f t="shared" si="51"/>
        <v>144</v>
      </c>
      <c r="BI27" s="64">
        <f t="shared" si="52"/>
        <v>144</v>
      </c>
      <c r="BJ27" s="288"/>
      <c r="BK27" s="281">
        <f t="shared" si="35"/>
        <v>106612.333333333</v>
      </c>
      <c r="BL27" s="281">
        <f t="shared" si="36"/>
        <v>106612.333333333</v>
      </c>
      <c r="BM27" s="281">
        <f t="shared" si="37"/>
        <v>106612.333333333</v>
      </c>
      <c r="BN27" s="281">
        <f t="shared" si="38"/>
        <v>106612.333333333</v>
      </c>
      <c r="BO27" s="282">
        <f t="shared" si="39"/>
        <v>106612.333333333</v>
      </c>
      <c r="BP27" s="283">
        <f t="shared" si="40"/>
        <v>106612.333333333</v>
      </c>
      <c r="BQ27" s="325"/>
      <c r="BR27" s="325"/>
      <c r="BS27" s="325"/>
      <c r="BT27" s="325"/>
      <c r="BU27" s="325"/>
      <c r="BV27" s="325"/>
      <c r="BX27" s="325"/>
      <c r="BY27" s="325"/>
      <c r="BZ27" s="325"/>
      <c r="CA27" s="325"/>
      <c r="CB27" s="325"/>
      <c r="CC27" s="325"/>
      <c r="CD27" s="325"/>
      <c r="CE27" s="325"/>
      <c r="CF27" s="325"/>
    </row>
    <row r="28" s="226" customFormat="1" ht="27" customHeight="1" spans="1:84">
      <c r="A28" s="351">
        <v>46232</v>
      </c>
      <c r="B28" s="317" t="s">
        <v>1233</v>
      </c>
      <c r="C28" s="63" t="s">
        <v>117</v>
      </c>
      <c r="D28" s="288" t="s">
        <v>2139</v>
      </c>
      <c r="E28" s="63" t="s">
        <v>2150</v>
      </c>
      <c r="F28" s="317" t="s">
        <v>2151</v>
      </c>
      <c r="G28" s="318" t="s">
        <v>2079</v>
      </c>
      <c r="H28" s="67" t="s">
        <v>2080</v>
      </c>
      <c r="I28" s="319">
        <v>2472</v>
      </c>
      <c r="J28" s="319">
        <v>0</v>
      </c>
      <c r="K28" s="319">
        <v>24</v>
      </c>
      <c r="L28" s="319">
        <f t="shared" si="45"/>
        <v>103</v>
      </c>
      <c r="M28" s="320">
        <v>46279</v>
      </c>
      <c r="N28" s="320">
        <v>46275</v>
      </c>
      <c r="O28" s="70" t="s">
        <v>2142</v>
      </c>
      <c r="P28" s="288"/>
      <c r="Q28" s="70"/>
      <c r="R28" s="70">
        <v>46232</v>
      </c>
      <c r="S28" s="70" t="s">
        <v>80</v>
      </c>
      <c r="T28" s="70" t="s">
        <v>80</v>
      </c>
      <c r="U28" s="70"/>
      <c r="V28" s="70"/>
      <c r="W28" s="70"/>
      <c r="X28" s="289" t="s">
        <v>2143</v>
      </c>
      <c r="Y28" s="320" t="s">
        <v>587</v>
      </c>
      <c r="Z28" s="323">
        <v>0.906</v>
      </c>
      <c r="AA28" s="319">
        <f t="shared" si="46"/>
        <v>2239.632</v>
      </c>
      <c r="AB28" s="320"/>
      <c r="AC28" s="318" t="s">
        <v>2079</v>
      </c>
      <c r="AD28" s="320" t="s">
        <v>115</v>
      </c>
      <c r="AE28" s="75"/>
      <c r="AF28" s="75"/>
      <c r="AG28" s="70"/>
      <c r="AH28" s="79" t="s">
        <v>2131</v>
      </c>
      <c r="AI28" s="79"/>
      <c r="AJ28" s="288">
        <f t="shared" si="53"/>
        <v>2472</v>
      </c>
      <c r="AK28" s="288">
        <f t="shared" si="54"/>
        <v>2472</v>
      </c>
      <c r="AL28" s="288"/>
      <c r="AM28" s="288"/>
      <c r="AN28" s="64">
        <f t="shared" si="55"/>
        <v>2472</v>
      </c>
      <c r="AO28" s="290">
        <f t="shared" si="56"/>
        <v>103</v>
      </c>
      <c r="AP28" s="324"/>
      <c r="AQ28" s="288"/>
      <c r="AR28" s="288"/>
      <c r="AS28" s="288"/>
      <c r="AT28" s="288"/>
      <c r="AU28" s="288"/>
      <c r="AV28" s="288"/>
      <c r="AW28" s="288"/>
      <c r="AX28" s="288"/>
      <c r="AY28" s="288"/>
      <c r="AZ28" s="288"/>
      <c r="BA28" s="288"/>
      <c r="BB28" s="288"/>
      <c r="BC28" s="288"/>
      <c r="BD28" s="64">
        <f t="shared" si="47"/>
        <v>412</v>
      </c>
      <c r="BE28" s="64">
        <f t="shared" si="48"/>
        <v>412</v>
      </c>
      <c r="BF28" s="64">
        <f t="shared" si="49"/>
        <v>412</v>
      </c>
      <c r="BG28" s="64">
        <f t="shared" si="50"/>
        <v>412</v>
      </c>
      <c r="BH28" s="64">
        <f t="shared" si="51"/>
        <v>412</v>
      </c>
      <c r="BI28" s="64">
        <f t="shared" si="52"/>
        <v>412</v>
      </c>
      <c r="BJ28" s="288"/>
      <c r="BK28" s="281">
        <f t="shared" si="35"/>
        <v>106200.333333333</v>
      </c>
      <c r="BL28" s="281">
        <f t="shared" si="36"/>
        <v>106200.333333333</v>
      </c>
      <c r="BM28" s="281">
        <f t="shared" si="37"/>
        <v>106200.333333333</v>
      </c>
      <c r="BN28" s="281">
        <f t="shared" si="38"/>
        <v>106200.333333333</v>
      </c>
      <c r="BO28" s="282">
        <f t="shared" si="39"/>
        <v>106200.333333333</v>
      </c>
      <c r="BP28" s="283">
        <f t="shared" si="40"/>
        <v>106200.333333333</v>
      </c>
      <c r="BQ28" s="325"/>
      <c r="BR28" s="325"/>
      <c r="BS28" s="325"/>
      <c r="BT28" s="325"/>
      <c r="BU28" s="325"/>
      <c r="BV28" s="325"/>
      <c r="BX28" s="325"/>
      <c r="BY28" s="325"/>
      <c r="BZ28" s="325"/>
      <c r="CA28" s="325"/>
      <c r="CB28" s="325"/>
      <c r="CC28" s="325"/>
      <c r="CD28" s="325"/>
      <c r="CE28" s="325"/>
      <c r="CF28" s="325"/>
    </row>
    <row r="29" s="226" customFormat="1" ht="27" customHeight="1" spans="1:84">
      <c r="A29" s="351">
        <v>46232</v>
      </c>
      <c r="B29" s="317" t="s">
        <v>1233</v>
      </c>
      <c r="C29" s="63" t="s">
        <v>117</v>
      </c>
      <c r="D29" s="288" t="s">
        <v>2139</v>
      </c>
      <c r="E29" s="63" t="s">
        <v>2152</v>
      </c>
      <c r="F29" s="317" t="s">
        <v>2153</v>
      </c>
      <c r="G29" s="318" t="s">
        <v>2079</v>
      </c>
      <c r="H29" s="67" t="s">
        <v>2080</v>
      </c>
      <c r="I29" s="319">
        <v>576</v>
      </c>
      <c r="J29" s="319">
        <v>0</v>
      </c>
      <c r="K29" s="319">
        <v>24</v>
      </c>
      <c r="L29" s="319">
        <f t="shared" si="45"/>
        <v>24</v>
      </c>
      <c r="M29" s="320">
        <v>46279</v>
      </c>
      <c r="N29" s="320">
        <v>46275</v>
      </c>
      <c r="O29" s="70" t="s">
        <v>2142</v>
      </c>
      <c r="P29" s="288"/>
      <c r="Q29" s="70"/>
      <c r="R29" s="70">
        <v>46232</v>
      </c>
      <c r="S29" s="70" t="s">
        <v>80</v>
      </c>
      <c r="T29" s="70" t="s">
        <v>80</v>
      </c>
      <c r="U29" s="70"/>
      <c r="V29" s="70"/>
      <c r="W29" s="70"/>
      <c r="X29" s="289" t="s">
        <v>2143</v>
      </c>
      <c r="Y29" s="320" t="s">
        <v>587</v>
      </c>
      <c r="Z29" s="323">
        <v>0.906</v>
      </c>
      <c r="AA29" s="319">
        <f t="shared" si="46"/>
        <v>521.856</v>
      </c>
      <c r="AB29" s="320"/>
      <c r="AC29" s="318" t="s">
        <v>2079</v>
      </c>
      <c r="AD29" s="320" t="s">
        <v>115</v>
      </c>
      <c r="AE29" s="75"/>
      <c r="AF29" s="75"/>
      <c r="AG29" s="70"/>
      <c r="AH29" s="79" t="s">
        <v>2131</v>
      </c>
      <c r="AI29" s="79"/>
      <c r="AJ29" s="288">
        <f t="shared" si="53"/>
        <v>576</v>
      </c>
      <c r="AK29" s="288">
        <f t="shared" si="54"/>
        <v>576</v>
      </c>
      <c r="AL29" s="288"/>
      <c r="AM29" s="288"/>
      <c r="AN29" s="64">
        <f t="shared" si="55"/>
        <v>576</v>
      </c>
      <c r="AO29" s="290">
        <f t="shared" si="56"/>
        <v>24</v>
      </c>
      <c r="AP29" s="324"/>
      <c r="AQ29" s="288"/>
      <c r="AR29" s="288"/>
      <c r="AS29" s="288"/>
      <c r="AT29" s="288"/>
      <c r="AU29" s="288"/>
      <c r="AV29" s="288"/>
      <c r="AW29" s="288"/>
      <c r="AX29" s="288"/>
      <c r="AY29" s="288"/>
      <c r="AZ29" s="288"/>
      <c r="BA29" s="288"/>
      <c r="BB29" s="288"/>
      <c r="BC29" s="288"/>
      <c r="BD29" s="64">
        <f t="shared" si="47"/>
        <v>96</v>
      </c>
      <c r="BE29" s="64">
        <f t="shared" si="48"/>
        <v>96</v>
      </c>
      <c r="BF29" s="64">
        <f t="shared" si="49"/>
        <v>96</v>
      </c>
      <c r="BG29" s="64">
        <f t="shared" si="50"/>
        <v>96</v>
      </c>
      <c r="BH29" s="64">
        <f t="shared" si="51"/>
        <v>96</v>
      </c>
      <c r="BI29" s="64">
        <f t="shared" si="52"/>
        <v>96</v>
      </c>
      <c r="BJ29" s="288"/>
      <c r="BK29" s="281">
        <f t="shared" si="35"/>
        <v>106104.333333333</v>
      </c>
      <c r="BL29" s="281">
        <f t="shared" si="36"/>
        <v>106104.333333333</v>
      </c>
      <c r="BM29" s="281">
        <f t="shared" si="37"/>
        <v>106104.333333333</v>
      </c>
      <c r="BN29" s="281">
        <f t="shared" si="38"/>
        <v>106104.333333333</v>
      </c>
      <c r="BO29" s="282">
        <f t="shared" si="39"/>
        <v>106104.333333333</v>
      </c>
      <c r="BP29" s="283">
        <f t="shared" si="40"/>
        <v>106104.333333333</v>
      </c>
      <c r="BQ29" s="325"/>
      <c r="BR29" s="325"/>
      <c r="BS29" s="325"/>
      <c r="BT29" s="325"/>
      <c r="BU29" s="325"/>
      <c r="BV29" s="325"/>
      <c r="BX29" s="325"/>
      <c r="BY29" s="325"/>
      <c r="BZ29" s="325"/>
      <c r="CA29" s="325"/>
      <c r="CB29" s="325"/>
      <c r="CC29" s="325"/>
      <c r="CD29" s="325"/>
      <c r="CE29" s="325"/>
      <c r="CF29" s="325"/>
    </row>
    <row r="30" s="226" customFormat="1" ht="27" customHeight="1" spans="1:84">
      <c r="A30" s="351">
        <v>46232</v>
      </c>
      <c r="B30" s="317" t="s">
        <v>1233</v>
      </c>
      <c r="C30" s="63" t="s">
        <v>117</v>
      </c>
      <c r="D30" s="288" t="s">
        <v>2139</v>
      </c>
      <c r="E30" s="63" t="s">
        <v>2154</v>
      </c>
      <c r="F30" s="317" t="s">
        <v>2155</v>
      </c>
      <c r="G30" s="318" t="s">
        <v>2079</v>
      </c>
      <c r="H30" s="67" t="s">
        <v>2080</v>
      </c>
      <c r="I30" s="319">
        <v>6672</v>
      </c>
      <c r="J30" s="319">
        <v>0</v>
      </c>
      <c r="K30" s="319">
        <v>24</v>
      </c>
      <c r="L30" s="319">
        <f t="shared" si="45"/>
        <v>278</v>
      </c>
      <c r="M30" s="320">
        <v>46279</v>
      </c>
      <c r="N30" s="320">
        <v>46275</v>
      </c>
      <c r="O30" s="70" t="s">
        <v>2142</v>
      </c>
      <c r="P30" s="288"/>
      <c r="Q30" s="70"/>
      <c r="R30" s="70">
        <v>46232</v>
      </c>
      <c r="S30" s="70" t="s">
        <v>80</v>
      </c>
      <c r="T30" s="70" t="s">
        <v>80</v>
      </c>
      <c r="U30" s="70"/>
      <c r="V30" s="70"/>
      <c r="W30" s="70"/>
      <c r="X30" s="289" t="s">
        <v>2143</v>
      </c>
      <c r="Y30" s="320" t="s">
        <v>587</v>
      </c>
      <c r="Z30" s="323">
        <v>0.906</v>
      </c>
      <c r="AA30" s="319">
        <f t="shared" si="46"/>
        <v>6044.832</v>
      </c>
      <c r="AB30" s="320"/>
      <c r="AC30" s="318" t="s">
        <v>2079</v>
      </c>
      <c r="AD30" s="320" t="s">
        <v>115</v>
      </c>
      <c r="AE30" s="75"/>
      <c r="AF30" s="75"/>
      <c r="AG30" s="70"/>
      <c r="AH30" s="79" t="s">
        <v>2131</v>
      </c>
      <c r="AI30" s="79"/>
      <c r="AJ30" s="288">
        <f t="shared" si="53"/>
        <v>6672</v>
      </c>
      <c r="AK30" s="288">
        <f t="shared" si="54"/>
        <v>6672</v>
      </c>
      <c r="AL30" s="288"/>
      <c r="AM30" s="288"/>
      <c r="AN30" s="64">
        <f t="shared" si="55"/>
        <v>6672</v>
      </c>
      <c r="AO30" s="290">
        <f t="shared" si="56"/>
        <v>278</v>
      </c>
      <c r="AP30" s="324"/>
      <c r="AQ30" s="288"/>
      <c r="AR30" s="288"/>
      <c r="AS30" s="288"/>
      <c r="AT30" s="288"/>
      <c r="AU30" s="288"/>
      <c r="AV30" s="288"/>
      <c r="AW30" s="288"/>
      <c r="AX30" s="288"/>
      <c r="AY30" s="288"/>
      <c r="AZ30" s="288"/>
      <c r="BA30" s="288"/>
      <c r="BB30" s="288"/>
      <c r="BC30" s="288"/>
      <c r="BD30" s="64">
        <f t="shared" si="47"/>
        <v>1112</v>
      </c>
      <c r="BE30" s="64">
        <f t="shared" si="48"/>
        <v>1112</v>
      </c>
      <c r="BF30" s="64">
        <f t="shared" si="49"/>
        <v>1112</v>
      </c>
      <c r="BG30" s="64">
        <f t="shared" si="50"/>
        <v>1112</v>
      </c>
      <c r="BH30" s="64">
        <f t="shared" si="51"/>
        <v>1112</v>
      </c>
      <c r="BI30" s="64">
        <f t="shared" si="52"/>
        <v>1112</v>
      </c>
      <c r="BJ30" s="288"/>
      <c r="BK30" s="281">
        <f t="shared" si="35"/>
        <v>104992.333333333</v>
      </c>
      <c r="BL30" s="281">
        <f t="shared" si="36"/>
        <v>104992.333333333</v>
      </c>
      <c r="BM30" s="281">
        <f t="shared" si="37"/>
        <v>104992.333333333</v>
      </c>
      <c r="BN30" s="281">
        <f t="shared" si="38"/>
        <v>104992.333333333</v>
      </c>
      <c r="BO30" s="282">
        <f t="shared" si="39"/>
        <v>104992.333333333</v>
      </c>
      <c r="BP30" s="283">
        <f t="shared" si="40"/>
        <v>104992.333333333</v>
      </c>
      <c r="BQ30" s="325"/>
      <c r="BR30" s="325"/>
      <c r="BS30" s="325"/>
      <c r="BT30" s="325"/>
      <c r="BU30" s="325"/>
      <c r="BV30" s="325"/>
      <c r="BX30" s="325"/>
      <c r="BY30" s="325"/>
      <c r="BZ30" s="325"/>
      <c r="CA30" s="325"/>
      <c r="CB30" s="325"/>
      <c r="CC30" s="325"/>
      <c r="CD30" s="325"/>
      <c r="CE30" s="325"/>
      <c r="CF30" s="325"/>
    </row>
    <row r="31" s="226" customFormat="1" ht="27" customHeight="1" spans="1:84">
      <c r="A31" s="316">
        <v>46213</v>
      </c>
      <c r="B31" s="317" t="s">
        <v>2069</v>
      </c>
      <c r="C31" s="63" t="s">
        <v>389</v>
      </c>
      <c r="D31" s="288" t="s">
        <v>2156</v>
      </c>
      <c r="E31" s="63" t="s">
        <v>2157</v>
      </c>
      <c r="F31" s="317" t="s">
        <v>2158</v>
      </c>
      <c r="G31" s="318" t="s">
        <v>2058</v>
      </c>
      <c r="H31" s="67" t="s">
        <v>2059</v>
      </c>
      <c r="I31" s="319">
        <v>624</v>
      </c>
      <c r="J31" s="319">
        <v>0</v>
      </c>
      <c r="K31" s="319">
        <v>16</v>
      </c>
      <c r="L31" s="319">
        <f>IF(K31=0,"",I31/K31)</f>
        <v>39</v>
      </c>
      <c r="M31" s="320">
        <v>46280</v>
      </c>
      <c r="N31" s="320">
        <v>46276</v>
      </c>
      <c r="O31" s="70" t="s">
        <v>2119</v>
      </c>
      <c r="P31" s="288"/>
      <c r="Q31" s="70"/>
      <c r="R31" s="70">
        <v>46240</v>
      </c>
      <c r="S31" s="72" t="s">
        <v>80</v>
      </c>
      <c r="T31" s="70" t="s">
        <v>80</v>
      </c>
      <c r="U31" s="70"/>
      <c r="V31" s="70"/>
      <c r="W31" s="70"/>
      <c r="X31" s="289" t="s">
        <v>2074</v>
      </c>
      <c r="Y31" s="320" t="s">
        <v>2063</v>
      </c>
      <c r="Z31" s="323">
        <v>1.59</v>
      </c>
      <c r="AA31" s="319">
        <f t="shared" si="46"/>
        <v>992.16</v>
      </c>
      <c r="AB31" s="320"/>
      <c r="AC31" s="318" t="s">
        <v>2058</v>
      </c>
      <c r="AD31" s="320" t="s">
        <v>115</v>
      </c>
      <c r="AE31" s="75"/>
      <c r="AF31" s="75"/>
      <c r="AG31" s="70"/>
      <c r="AH31" s="79" t="s">
        <v>2131</v>
      </c>
      <c r="AI31" s="79"/>
      <c r="AJ31" s="288">
        <f t="shared" si="53"/>
        <v>624</v>
      </c>
      <c r="AK31" s="288"/>
      <c r="AL31" s="288"/>
      <c r="AM31" s="288">
        <f>I31</f>
        <v>624</v>
      </c>
      <c r="AN31" s="288">
        <f t="shared" si="55"/>
        <v>624</v>
      </c>
      <c r="AO31" s="288"/>
      <c r="AP31" s="324"/>
      <c r="AQ31" s="288"/>
      <c r="AR31" s="288"/>
      <c r="AS31" s="288">
        <f>I31/16</f>
        <v>39</v>
      </c>
      <c r="AT31" s="288"/>
      <c r="AU31" s="288"/>
      <c r="AV31" s="288"/>
      <c r="AW31" s="288"/>
      <c r="AX31" s="288"/>
      <c r="AY31" s="288"/>
      <c r="AZ31" s="288"/>
      <c r="BA31" s="288"/>
      <c r="BB31" s="288"/>
      <c r="BC31" s="288"/>
      <c r="BD31" s="324">
        <f t="shared" ref="BD31:BI31" si="57">$I31/6</f>
        <v>104</v>
      </c>
      <c r="BE31" s="324">
        <f t="shared" si="57"/>
        <v>104</v>
      </c>
      <c r="BF31" s="324">
        <f t="shared" si="57"/>
        <v>104</v>
      </c>
      <c r="BG31" s="324">
        <f t="shared" si="57"/>
        <v>104</v>
      </c>
      <c r="BH31" s="324">
        <f t="shared" si="57"/>
        <v>104</v>
      </c>
      <c r="BI31" s="324">
        <f t="shared" si="57"/>
        <v>104</v>
      </c>
      <c r="BJ31" s="288"/>
      <c r="BK31" s="281">
        <f t="shared" si="35"/>
        <v>104888.333333333</v>
      </c>
      <c r="BL31" s="281">
        <f t="shared" si="36"/>
        <v>104888.333333333</v>
      </c>
      <c r="BM31" s="281">
        <f t="shared" si="37"/>
        <v>104888.333333333</v>
      </c>
      <c r="BN31" s="281">
        <f t="shared" si="38"/>
        <v>104888.333333333</v>
      </c>
      <c r="BO31" s="282">
        <f t="shared" si="39"/>
        <v>104888.333333333</v>
      </c>
      <c r="BP31" s="283">
        <f t="shared" si="40"/>
        <v>104888.333333333</v>
      </c>
      <c r="BQ31" s="325"/>
      <c r="BR31" s="285" t="s">
        <v>2045</v>
      </c>
      <c r="BS31" s="325"/>
      <c r="BT31" s="325"/>
      <c r="BU31" s="325"/>
      <c r="BV31" s="325"/>
      <c r="BX31" s="325"/>
      <c r="BY31" s="325"/>
      <c r="BZ31" s="325"/>
      <c r="CA31" s="325"/>
      <c r="CB31" s="325"/>
      <c r="CC31" s="325"/>
      <c r="CD31" s="325"/>
      <c r="CE31" s="325"/>
      <c r="CF31" s="325"/>
    </row>
    <row r="32" s="226" customFormat="1" ht="27" customHeight="1" spans="1:84">
      <c r="A32" s="316">
        <v>46239</v>
      </c>
      <c r="B32" s="317" t="s">
        <v>2159</v>
      </c>
      <c r="C32" s="63" t="s">
        <v>396</v>
      </c>
      <c r="D32" s="288" t="s">
        <v>2160</v>
      </c>
      <c r="E32" s="63" t="s">
        <v>2161</v>
      </c>
      <c r="F32" s="317" t="s">
        <v>2162</v>
      </c>
      <c r="G32" s="318" t="s">
        <v>2163</v>
      </c>
      <c r="H32" s="67" t="s">
        <v>2164</v>
      </c>
      <c r="I32" s="319">
        <v>10400</v>
      </c>
      <c r="J32" s="319">
        <v>0</v>
      </c>
      <c r="K32" s="319">
        <v>52</v>
      </c>
      <c r="L32" s="319">
        <f>IF(K32=0,"",I32/K32)</f>
        <v>200</v>
      </c>
      <c r="M32" s="320">
        <v>46280</v>
      </c>
      <c r="N32" s="320">
        <v>46276</v>
      </c>
      <c r="O32" s="70"/>
      <c r="P32" s="288"/>
      <c r="Q32" s="70"/>
      <c r="R32" s="70">
        <v>46241</v>
      </c>
      <c r="S32" s="72" t="s">
        <v>80</v>
      </c>
      <c r="T32" s="70" t="s">
        <v>2165</v>
      </c>
      <c r="U32" s="70" t="s">
        <v>1518</v>
      </c>
      <c r="V32" s="70"/>
      <c r="W32" s="70"/>
      <c r="X32" s="289" t="s">
        <v>2166</v>
      </c>
      <c r="Y32" s="320" t="s">
        <v>2167</v>
      </c>
      <c r="Z32" s="323">
        <v>1.3</v>
      </c>
      <c r="AA32" s="319">
        <f t="shared" si="46"/>
        <v>13520</v>
      </c>
      <c r="AB32" s="320"/>
      <c r="AC32" s="318" t="s">
        <v>2163</v>
      </c>
      <c r="AD32" s="320" t="s">
        <v>2168</v>
      </c>
      <c r="AE32" s="75"/>
      <c r="AF32" s="75"/>
      <c r="AG32" s="70"/>
      <c r="AH32" s="79" t="s">
        <v>2131</v>
      </c>
      <c r="AI32" s="79"/>
      <c r="AJ32" s="288">
        <f t="shared" si="53"/>
        <v>10400</v>
      </c>
      <c r="AK32" s="288">
        <f>I32</f>
        <v>10400</v>
      </c>
      <c r="AL32" s="288"/>
      <c r="AM32" s="288"/>
      <c r="AN32" s="64">
        <f t="shared" si="55"/>
        <v>10400</v>
      </c>
      <c r="AO32" s="288"/>
      <c r="AP32" s="324"/>
      <c r="AQ32" s="288">
        <f>I32/13</f>
        <v>800</v>
      </c>
      <c r="AR32" s="288"/>
      <c r="AS32" s="288"/>
      <c r="AT32" s="288"/>
      <c r="AU32" s="288"/>
      <c r="AV32" s="288"/>
      <c r="AW32" s="288"/>
      <c r="AX32" s="288"/>
      <c r="AY32" s="288"/>
      <c r="AZ32" s="288"/>
      <c r="BA32" s="288"/>
      <c r="BB32" s="288"/>
      <c r="BC32" s="288"/>
      <c r="BD32" s="324">
        <f t="shared" ref="BD32:BI32" si="58">$I32/6</f>
        <v>1733.33333333333</v>
      </c>
      <c r="BE32" s="324">
        <f t="shared" si="58"/>
        <v>1733.33333333333</v>
      </c>
      <c r="BF32" s="324">
        <f t="shared" si="58"/>
        <v>1733.33333333333</v>
      </c>
      <c r="BG32" s="324">
        <f t="shared" si="58"/>
        <v>1733.33333333333</v>
      </c>
      <c r="BH32" s="324">
        <f t="shared" si="58"/>
        <v>1733.33333333333</v>
      </c>
      <c r="BI32" s="324">
        <f t="shared" si="58"/>
        <v>1733.33333333333</v>
      </c>
      <c r="BJ32" s="288"/>
      <c r="BK32" s="281">
        <f t="shared" si="35"/>
        <v>103155</v>
      </c>
      <c r="BL32" s="281">
        <f t="shared" si="36"/>
        <v>103155</v>
      </c>
      <c r="BM32" s="281">
        <f t="shared" si="37"/>
        <v>103155</v>
      </c>
      <c r="BN32" s="281">
        <f t="shared" si="38"/>
        <v>103155</v>
      </c>
      <c r="BO32" s="282">
        <f t="shared" si="39"/>
        <v>103155</v>
      </c>
      <c r="BP32" s="283">
        <f t="shared" si="40"/>
        <v>103155</v>
      </c>
      <c r="BQ32" s="325"/>
      <c r="BR32" s="285"/>
      <c r="BS32" s="325"/>
      <c r="BT32" s="325"/>
      <c r="BU32" s="325"/>
      <c r="BV32" s="325"/>
      <c r="BX32" s="325"/>
      <c r="BY32" s="325"/>
      <c r="BZ32" s="325"/>
      <c r="CA32" s="325"/>
      <c r="CB32" s="325"/>
      <c r="CC32" s="325"/>
      <c r="CD32" s="325"/>
      <c r="CE32" s="325"/>
      <c r="CF32" s="325"/>
    </row>
    <row r="33" s="226" customFormat="1" ht="27" customHeight="1" spans="1:84">
      <c r="A33" s="316">
        <v>46240</v>
      </c>
      <c r="B33" s="317" t="s">
        <v>2169</v>
      </c>
      <c r="C33" s="63" t="s">
        <v>117</v>
      </c>
      <c r="D33" s="288" t="s">
        <v>2170</v>
      </c>
      <c r="E33" s="63" t="s">
        <v>2171</v>
      </c>
      <c r="F33" s="317" t="s">
        <v>2172</v>
      </c>
      <c r="G33" s="318" t="s">
        <v>2043</v>
      </c>
      <c r="H33" s="67" t="s">
        <v>2032</v>
      </c>
      <c r="I33" s="354">
        <v>3648</v>
      </c>
      <c r="J33" s="319">
        <v>0</v>
      </c>
      <c r="K33" s="319">
        <v>48</v>
      </c>
      <c r="L33" s="319">
        <f>IF(K33=0,"",I33/K33)</f>
        <v>76</v>
      </c>
      <c r="M33" s="320">
        <v>46281</v>
      </c>
      <c r="N33" s="320">
        <v>46277</v>
      </c>
      <c r="O33" s="70"/>
      <c r="P33" s="288"/>
      <c r="Q33" s="70"/>
      <c r="R33" s="70">
        <v>46245</v>
      </c>
      <c r="S33" s="70" t="s">
        <v>80</v>
      </c>
      <c r="T33" s="70" t="s">
        <v>80</v>
      </c>
      <c r="U33" s="70"/>
      <c r="V33" s="70"/>
      <c r="W33" s="70"/>
      <c r="X33" s="289" t="s">
        <v>2173</v>
      </c>
      <c r="Y33" s="320" t="s">
        <v>2174</v>
      </c>
      <c r="Z33" s="323">
        <v>0.948</v>
      </c>
      <c r="AA33" s="319">
        <f t="shared" si="46"/>
        <v>3458.304</v>
      </c>
      <c r="AB33" s="320"/>
      <c r="AC33" s="318" t="s">
        <v>2043</v>
      </c>
      <c r="AD33" s="277" t="s">
        <v>115</v>
      </c>
      <c r="AE33" s="75"/>
      <c r="AF33" s="75"/>
      <c r="AG33" s="70"/>
      <c r="AH33" s="79" t="s">
        <v>2131</v>
      </c>
      <c r="AI33" s="79"/>
      <c r="AJ33" s="288">
        <f t="shared" si="53"/>
        <v>3648</v>
      </c>
      <c r="AK33" s="288">
        <f>I33</f>
        <v>3648</v>
      </c>
      <c r="AL33" s="288"/>
      <c r="AM33" s="288"/>
      <c r="AN33" s="288">
        <f t="shared" si="55"/>
        <v>3648</v>
      </c>
      <c r="AO33" s="324">
        <f>I33/24</f>
        <v>152</v>
      </c>
      <c r="AP33" s="324"/>
      <c r="AQ33" s="288"/>
      <c r="AR33" s="288"/>
      <c r="AS33" s="288"/>
      <c r="AT33" s="288"/>
      <c r="AU33" s="288"/>
      <c r="AV33" s="288"/>
      <c r="AW33" s="288"/>
      <c r="AX33" s="288"/>
      <c r="AY33" s="288"/>
      <c r="AZ33" s="288"/>
      <c r="BA33" s="288"/>
      <c r="BB33" s="288"/>
      <c r="BC33" s="288"/>
      <c r="BD33" s="324">
        <f t="shared" ref="BD33:BI33" si="59">$I33/6</f>
        <v>608</v>
      </c>
      <c r="BE33" s="324">
        <f t="shared" si="59"/>
        <v>608</v>
      </c>
      <c r="BF33" s="324">
        <f t="shared" si="59"/>
        <v>608</v>
      </c>
      <c r="BG33" s="324">
        <f t="shared" si="59"/>
        <v>608</v>
      </c>
      <c r="BH33" s="324">
        <f t="shared" si="59"/>
        <v>608</v>
      </c>
      <c r="BI33" s="324">
        <f t="shared" si="59"/>
        <v>608</v>
      </c>
      <c r="BJ33" s="288"/>
      <c r="BK33" s="281">
        <f t="shared" si="35"/>
        <v>102547</v>
      </c>
      <c r="BL33" s="281">
        <f t="shared" si="36"/>
        <v>102547</v>
      </c>
      <c r="BM33" s="281">
        <f t="shared" si="37"/>
        <v>102547</v>
      </c>
      <c r="BN33" s="281">
        <f t="shared" si="38"/>
        <v>102547</v>
      </c>
      <c r="BO33" s="282">
        <f t="shared" si="39"/>
        <v>102547</v>
      </c>
      <c r="BP33" s="283">
        <f t="shared" si="40"/>
        <v>102547</v>
      </c>
      <c r="BQ33" s="325"/>
      <c r="BR33" s="285"/>
      <c r="BS33" s="325"/>
      <c r="BT33" s="325"/>
      <c r="BU33" s="325"/>
      <c r="BV33" s="325"/>
      <c r="BX33" s="325"/>
      <c r="BY33" s="325"/>
      <c r="BZ33" s="325"/>
      <c r="CA33" s="325"/>
      <c r="CB33" s="325"/>
      <c r="CC33" s="325"/>
      <c r="CD33" s="325"/>
      <c r="CE33" s="325"/>
      <c r="CF33" s="325"/>
    </row>
    <row r="34" s="226" customFormat="1" ht="27" customHeight="1" spans="1:84">
      <c r="A34" s="316">
        <v>46227</v>
      </c>
      <c r="B34" s="317" t="s">
        <v>2175</v>
      </c>
      <c r="C34" s="63" t="s">
        <v>117</v>
      </c>
      <c r="D34" s="288" t="s">
        <v>2176</v>
      </c>
      <c r="E34" s="63" t="s">
        <v>2177</v>
      </c>
      <c r="F34" s="317" t="s">
        <v>2178</v>
      </c>
      <c r="G34" s="318" t="s">
        <v>2163</v>
      </c>
      <c r="H34" s="67" t="s">
        <v>2164</v>
      </c>
      <c r="I34" s="319">
        <v>3120</v>
      </c>
      <c r="J34" s="319">
        <v>0</v>
      </c>
      <c r="K34" s="319">
        <v>52</v>
      </c>
      <c r="L34" s="319">
        <f>IF(K34=0,"",I34/K34)</f>
        <v>60</v>
      </c>
      <c r="M34" s="320">
        <v>46283</v>
      </c>
      <c r="N34" s="320">
        <v>46279</v>
      </c>
      <c r="O34" s="70"/>
      <c r="Q34" s="70"/>
      <c r="R34" s="70">
        <v>46238</v>
      </c>
      <c r="S34" s="72" t="s">
        <v>80</v>
      </c>
      <c r="T34" s="70" t="s">
        <v>80</v>
      </c>
      <c r="U34" s="70"/>
      <c r="V34" s="70"/>
      <c r="W34" s="70"/>
      <c r="X34" s="289" t="s">
        <v>2179</v>
      </c>
      <c r="Y34" s="320" t="s">
        <v>2180</v>
      </c>
      <c r="Z34" s="323">
        <v>0.78</v>
      </c>
      <c r="AA34" s="319">
        <f t="shared" si="46"/>
        <v>2433.6</v>
      </c>
      <c r="AB34" s="320"/>
      <c r="AC34" s="318" t="s">
        <v>2163</v>
      </c>
      <c r="AD34" s="320" t="s">
        <v>2168</v>
      </c>
      <c r="AE34" s="75"/>
      <c r="AF34" s="75"/>
      <c r="AG34" s="70"/>
      <c r="AH34" s="79" t="s">
        <v>2131</v>
      </c>
      <c r="AI34" s="79"/>
      <c r="AJ34" s="288">
        <f t="shared" si="53"/>
        <v>3120</v>
      </c>
      <c r="AK34" s="288">
        <f>I34</f>
        <v>3120</v>
      </c>
      <c r="AL34" s="288"/>
      <c r="AM34" s="288"/>
      <c r="AN34" s="64">
        <f t="shared" si="55"/>
        <v>3120</v>
      </c>
      <c r="AO34" s="290"/>
      <c r="AP34" s="324"/>
      <c r="AQ34" s="288">
        <f>I34/13</f>
        <v>240</v>
      </c>
      <c r="AR34" s="288"/>
      <c r="AS34" s="288"/>
      <c r="AT34" s="288"/>
      <c r="AU34" s="288"/>
      <c r="AV34" s="288"/>
      <c r="AW34" s="288"/>
      <c r="AX34" s="288"/>
      <c r="AY34" s="288"/>
      <c r="AZ34" s="288"/>
      <c r="BA34" s="288"/>
      <c r="BB34" s="288"/>
      <c r="BC34" s="288"/>
      <c r="BD34" s="324">
        <f t="shared" ref="BD34:BI34" si="60">$I34/6</f>
        <v>520</v>
      </c>
      <c r="BE34" s="324">
        <f t="shared" si="60"/>
        <v>520</v>
      </c>
      <c r="BF34" s="324">
        <f t="shared" si="60"/>
        <v>520</v>
      </c>
      <c r="BG34" s="324">
        <f t="shared" si="60"/>
        <v>520</v>
      </c>
      <c r="BH34" s="324">
        <f t="shared" si="60"/>
        <v>520</v>
      </c>
      <c r="BI34" s="324">
        <f t="shared" si="60"/>
        <v>520</v>
      </c>
      <c r="BJ34" s="288"/>
      <c r="BK34" s="281">
        <f t="shared" ref="BK34:BP34" si="61">BK40-BD34</f>
        <v>100846.166666666</v>
      </c>
      <c r="BL34" s="281">
        <f t="shared" si="61"/>
        <v>100846.166666666</v>
      </c>
      <c r="BM34" s="281">
        <f t="shared" si="61"/>
        <v>100846.166666666</v>
      </c>
      <c r="BN34" s="281">
        <f t="shared" si="61"/>
        <v>100846.166666666</v>
      </c>
      <c r="BO34" s="282">
        <f t="shared" si="61"/>
        <v>100846.166666666</v>
      </c>
      <c r="BP34" s="283">
        <f t="shared" si="61"/>
        <v>100846.166666666</v>
      </c>
      <c r="BQ34" s="325"/>
      <c r="BR34" s="285"/>
      <c r="BS34" s="325"/>
      <c r="BT34" s="325"/>
      <c r="BU34" s="325"/>
      <c r="BV34" s="325"/>
      <c r="BX34" s="325"/>
      <c r="BY34" s="325"/>
      <c r="BZ34" s="325"/>
      <c r="CA34" s="325"/>
      <c r="CB34" s="325"/>
      <c r="CC34" s="325"/>
      <c r="CD34" s="325"/>
      <c r="CE34" s="325"/>
      <c r="CF34" s="325"/>
    </row>
    <row r="35" s="226" customFormat="1" ht="27" customHeight="1" spans="1:84">
      <c r="A35" s="316">
        <v>46238</v>
      </c>
      <c r="B35" s="317" t="s">
        <v>2181</v>
      </c>
      <c r="C35" s="63" t="s">
        <v>1515</v>
      </c>
      <c r="D35" s="288" t="s">
        <v>2182</v>
      </c>
      <c r="E35" s="63" t="s">
        <v>2183</v>
      </c>
      <c r="F35" s="317" t="s">
        <v>2184</v>
      </c>
      <c r="G35" s="318" t="s">
        <v>2163</v>
      </c>
      <c r="H35" s="67" t="s">
        <v>2164</v>
      </c>
      <c r="I35" s="319">
        <v>5512</v>
      </c>
      <c r="J35" s="319">
        <v>0</v>
      </c>
      <c r="K35" s="319">
        <v>52</v>
      </c>
      <c r="L35" s="319">
        <f>IF(K35=0,"",I35/K35)</f>
        <v>106</v>
      </c>
      <c r="M35" s="320">
        <v>46290</v>
      </c>
      <c r="N35" s="320">
        <v>46286</v>
      </c>
      <c r="O35" s="70"/>
      <c r="P35" s="288"/>
      <c r="Q35" s="70"/>
      <c r="R35" s="70" t="s">
        <v>1990</v>
      </c>
      <c r="S35" s="72" t="s">
        <v>80</v>
      </c>
      <c r="T35" s="70" t="s">
        <v>2185</v>
      </c>
      <c r="U35" s="70" t="s">
        <v>1518</v>
      </c>
      <c r="V35" s="70"/>
      <c r="W35" s="70"/>
      <c r="X35" s="289" t="s">
        <v>2186</v>
      </c>
      <c r="Y35" s="320" t="s">
        <v>2187</v>
      </c>
      <c r="Z35" s="323">
        <v>1.3</v>
      </c>
      <c r="AA35" s="319">
        <f t="shared" si="46"/>
        <v>7165.6</v>
      </c>
      <c r="AB35" s="320"/>
      <c r="AC35" s="318" t="s">
        <v>2188</v>
      </c>
      <c r="AD35" s="320" t="s">
        <v>2168</v>
      </c>
      <c r="AE35" s="75"/>
      <c r="AF35" s="75"/>
      <c r="AG35" s="70"/>
      <c r="AH35" s="79" t="s">
        <v>2131</v>
      </c>
      <c r="AI35" s="79"/>
      <c r="AJ35" s="288">
        <f t="shared" si="53"/>
        <v>5512</v>
      </c>
      <c r="AK35" s="288"/>
      <c r="AL35" s="288">
        <f>I35</f>
        <v>5512</v>
      </c>
      <c r="AM35" s="288"/>
      <c r="AN35" s="64">
        <f t="shared" si="55"/>
        <v>5512</v>
      </c>
      <c r="AO35" s="288"/>
      <c r="AP35" s="324"/>
      <c r="AQ35" s="288"/>
      <c r="AR35" s="288">
        <f>I35/13</f>
        <v>424</v>
      </c>
      <c r="AS35" s="288"/>
      <c r="AT35" s="288"/>
      <c r="AU35" s="288"/>
      <c r="AV35" s="288"/>
      <c r="AW35" s="288"/>
      <c r="AX35" s="288"/>
      <c r="AY35" s="288"/>
      <c r="AZ35" s="288"/>
      <c r="BA35" s="288"/>
      <c r="BB35" s="288"/>
      <c r="BC35" s="288"/>
      <c r="BD35" s="324">
        <f t="shared" ref="BD35:BI35" si="62">$I35/6</f>
        <v>918.666666666667</v>
      </c>
      <c r="BE35" s="324">
        <f t="shared" si="62"/>
        <v>918.666666666667</v>
      </c>
      <c r="BF35" s="324">
        <f t="shared" si="62"/>
        <v>918.666666666667</v>
      </c>
      <c r="BG35" s="324">
        <f t="shared" si="62"/>
        <v>918.666666666667</v>
      </c>
      <c r="BH35" s="324">
        <f t="shared" si="62"/>
        <v>918.666666666667</v>
      </c>
      <c r="BI35" s="324">
        <f t="shared" si="62"/>
        <v>918.666666666667</v>
      </c>
      <c r="BJ35" s="288"/>
      <c r="BK35" s="281">
        <f t="shared" ref="BK35:BP35" si="63">BK34-BD35</f>
        <v>99927.4999999997</v>
      </c>
      <c r="BL35" s="281">
        <f t="shared" si="63"/>
        <v>99927.4999999997</v>
      </c>
      <c r="BM35" s="281">
        <f t="shared" si="63"/>
        <v>99927.4999999997</v>
      </c>
      <c r="BN35" s="281">
        <f t="shared" si="63"/>
        <v>99927.4999999997</v>
      </c>
      <c r="BO35" s="282">
        <f t="shared" si="63"/>
        <v>99927.4999999997</v>
      </c>
      <c r="BP35" s="283">
        <f t="shared" si="63"/>
        <v>99927.4999999997</v>
      </c>
      <c r="BQ35" s="325"/>
      <c r="BR35" s="285"/>
      <c r="BS35" s="325"/>
      <c r="BT35" s="325"/>
      <c r="BU35" s="325"/>
      <c r="BV35" s="325"/>
      <c r="BX35" s="325"/>
      <c r="BY35" s="325"/>
      <c r="BZ35" s="325"/>
      <c r="CA35" s="325"/>
      <c r="CB35" s="325"/>
      <c r="CC35" s="325"/>
      <c r="CD35" s="325"/>
      <c r="CE35" s="325"/>
      <c r="CF35" s="325"/>
    </row>
    <row r="36" s="226" customFormat="1" ht="27" customHeight="1" spans="1:84">
      <c r="A36" s="316">
        <v>46241</v>
      </c>
      <c r="B36" s="317" t="s">
        <v>2189</v>
      </c>
      <c r="C36" s="63" t="s">
        <v>170</v>
      </c>
      <c r="D36" s="288">
        <v>4500219239</v>
      </c>
      <c r="E36" s="355">
        <v>4504269133</v>
      </c>
      <c r="F36" s="317" t="s">
        <v>2190</v>
      </c>
      <c r="G36" s="318" t="s">
        <v>2191</v>
      </c>
      <c r="H36" s="67" t="s">
        <v>2100</v>
      </c>
      <c r="I36" s="319">
        <v>1560</v>
      </c>
      <c r="J36" s="319">
        <v>0</v>
      </c>
      <c r="K36" s="319">
        <v>13</v>
      </c>
      <c r="L36" s="319">
        <f>I36/K36</f>
        <v>120</v>
      </c>
      <c r="M36" s="320">
        <v>46293</v>
      </c>
      <c r="N36" s="320">
        <v>46289</v>
      </c>
      <c r="O36" s="70"/>
      <c r="P36" s="288"/>
      <c r="Q36" s="70"/>
      <c r="R36" s="70">
        <v>46246</v>
      </c>
      <c r="S36" s="72" t="s">
        <v>80</v>
      </c>
      <c r="T36" s="70" t="s">
        <v>2192</v>
      </c>
      <c r="U36" s="70"/>
      <c r="V36" s="70"/>
      <c r="W36" s="70"/>
      <c r="X36" s="289" t="s">
        <v>2193</v>
      </c>
      <c r="Y36" s="320" t="s">
        <v>2194</v>
      </c>
      <c r="Z36" s="323">
        <v>1.52</v>
      </c>
      <c r="AA36" s="319">
        <f t="shared" si="46"/>
        <v>2371.2</v>
      </c>
      <c r="AB36" s="320"/>
      <c r="AC36" s="318" t="s">
        <v>2191</v>
      </c>
      <c r="AD36" s="320" t="s">
        <v>115</v>
      </c>
      <c r="AE36" s="75"/>
      <c r="AF36" s="75"/>
      <c r="AG36" s="70"/>
      <c r="AH36" s="79" t="s">
        <v>2131</v>
      </c>
      <c r="AI36" s="79"/>
      <c r="AJ36" s="64">
        <f t="shared" si="53"/>
        <v>1560</v>
      </c>
      <c r="AK36" s="64">
        <f>I36</f>
        <v>1560</v>
      </c>
      <c r="AL36" s="288"/>
      <c r="AM36" s="288"/>
      <c r="AN36" s="64">
        <f t="shared" si="55"/>
        <v>1560</v>
      </c>
      <c r="AO36" s="288"/>
      <c r="AP36" s="324"/>
      <c r="AQ36" s="288">
        <f>I36/13</f>
        <v>120</v>
      </c>
      <c r="AR36" s="288"/>
      <c r="AS36" s="288"/>
      <c r="AT36" s="288"/>
      <c r="AU36" s="288"/>
      <c r="AV36" s="288"/>
      <c r="AW36" s="288"/>
      <c r="AX36" s="288"/>
      <c r="AY36" s="288"/>
      <c r="AZ36" s="288"/>
      <c r="BA36" s="288"/>
      <c r="BB36" s="288"/>
      <c r="BC36" s="288"/>
      <c r="BD36" s="324">
        <f t="shared" ref="BD36:BI36" si="64">$I36/6</f>
        <v>260</v>
      </c>
      <c r="BE36" s="324">
        <f t="shared" si="64"/>
        <v>260</v>
      </c>
      <c r="BF36" s="324">
        <f t="shared" si="64"/>
        <v>260</v>
      </c>
      <c r="BG36" s="324">
        <f t="shared" si="64"/>
        <v>260</v>
      </c>
      <c r="BH36" s="324">
        <f t="shared" si="64"/>
        <v>260</v>
      </c>
      <c r="BI36" s="324">
        <f t="shared" si="64"/>
        <v>260</v>
      </c>
      <c r="BJ36" s="288"/>
      <c r="BK36" s="281">
        <f t="shared" ref="BK36:BP36" si="65">BK35-BD36</f>
        <v>99667.4999999997</v>
      </c>
      <c r="BL36" s="281">
        <f t="shared" si="65"/>
        <v>99667.4999999997</v>
      </c>
      <c r="BM36" s="281">
        <f t="shared" si="65"/>
        <v>99667.4999999997</v>
      </c>
      <c r="BN36" s="281">
        <f t="shared" si="65"/>
        <v>99667.4999999997</v>
      </c>
      <c r="BO36" s="282">
        <f t="shared" si="65"/>
        <v>99667.4999999997</v>
      </c>
      <c r="BP36" s="283">
        <f t="shared" si="65"/>
        <v>99667.4999999997</v>
      </c>
      <c r="BQ36" s="325"/>
      <c r="BR36" s="285"/>
      <c r="BS36" s="325"/>
      <c r="BT36" s="325"/>
      <c r="BU36" s="325"/>
      <c r="BV36" s="325"/>
      <c r="BX36" s="325"/>
      <c r="BY36" s="325"/>
      <c r="BZ36" s="325"/>
      <c r="CA36" s="325"/>
      <c r="CB36" s="325"/>
      <c r="CC36" s="325"/>
      <c r="CD36" s="325"/>
      <c r="CE36" s="325"/>
      <c r="CF36" s="325"/>
    </row>
    <row r="37" s="226" customFormat="1" ht="27" customHeight="1" spans="1:84">
      <c r="A37" s="316">
        <v>46213</v>
      </c>
      <c r="B37" s="317" t="s">
        <v>2069</v>
      </c>
      <c r="C37" s="63" t="s">
        <v>389</v>
      </c>
      <c r="D37" s="288" t="s">
        <v>2195</v>
      </c>
      <c r="E37" s="63" t="s">
        <v>2196</v>
      </c>
      <c r="F37" s="317" t="s">
        <v>2197</v>
      </c>
      <c r="G37" s="318" t="s">
        <v>2058</v>
      </c>
      <c r="H37" s="67" t="s">
        <v>2059</v>
      </c>
      <c r="I37" s="319">
        <v>1024</v>
      </c>
      <c r="J37" s="319">
        <v>0</v>
      </c>
      <c r="K37" s="319">
        <v>16</v>
      </c>
      <c r="L37" s="319">
        <f>IF(K37=0,"",I37/K37)</f>
        <v>64</v>
      </c>
      <c r="M37" s="320">
        <v>46294</v>
      </c>
      <c r="N37" s="321">
        <v>46289</v>
      </c>
      <c r="O37" s="70" t="s">
        <v>2119</v>
      </c>
      <c r="P37" s="288"/>
      <c r="Q37" s="70"/>
      <c r="R37" s="70">
        <v>46240</v>
      </c>
      <c r="S37" s="72" t="s">
        <v>80</v>
      </c>
      <c r="T37" s="70" t="s">
        <v>80</v>
      </c>
      <c r="U37" s="70"/>
      <c r="V37" s="70"/>
      <c r="W37" s="70"/>
      <c r="X37" s="289" t="s">
        <v>2074</v>
      </c>
      <c r="Y37" s="320" t="s">
        <v>2063</v>
      </c>
      <c r="Z37" s="323">
        <v>1.59</v>
      </c>
      <c r="AA37" s="319">
        <f t="shared" si="46"/>
        <v>1628.16</v>
      </c>
      <c r="AB37" s="320"/>
      <c r="AC37" s="318" t="s">
        <v>2058</v>
      </c>
      <c r="AD37" s="320" t="s">
        <v>115</v>
      </c>
      <c r="AE37" s="75"/>
      <c r="AF37" s="75"/>
      <c r="AG37" s="70"/>
      <c r="AH37" s="79" t="s">
        <v>2131</v>
      </c>
      <c r="AI37" s="79"/>
      <c r="AJ37" s="288">
        <f t="shared" si="53"/>
        <v>1024</v>
      </c>
      <c r="AK37" s="288"/>
      <c r="AL37" s="288"/>
      <c r="AM37" s="288">
        <f>I37</f>
        <v>1024</v>
      </c>
      <c r="AN37" s="288">
        <f t="shared" si="55"/>
        <v>1024</v>
      </c>
      <c r="AO37" s="288"/>
      <c r="AP37" s="324"/>
      <c r="AQ37" s="288"/>
      <c r="AR37" s="288"/>
      <c r="AS37" s="288">
        <f>I37/16</f>
        <v>64</v>
      </c>
      <c r="AT37" s="288"/>
      <c r="AU37" s="288"/>
      <c r="AV37" s="288"/>
      <c r="AW37" s="288"/>
      <c r="AX37" s="288"/>
      <c r="AY37" s="288"/>
      <c r="AZ37" s="288"/>
      <c r="BA37" s="288"/>
      <c r="BB37" s="288"/>
      <c r="BC37" s="288"/>
      <c r="BD37" s="324">
        <f t="shared" ref="BD37:BI37" si="66">$I37/6</f>
        <v>170.666666666667</v>
      </c>
      <c r="BE37" s="324">
        <f t="shared" si="66"/>
        <v>170.666666666667</v>
      </c>
      <c r="BF37" s="324">
        <f t="shared" si="66"/>
        <v>170.666666666667</v>
      </c>
      <c r="BG37" s="324">
        <f t="shared" si="66"/>
        <v>170.666666666667</v>
      </c>
      <c r="BH37" s="324">
        <f t="shared" si="66"/>
        <v>170.666666666667</v>
      </c>
      <c r="BI37" s="324">
        <f t="shared" si="66"/>
        <v>170.666666666667</v>
      </c>
      <c r="BJ37" s="288"/>
      <c r="BK37" s="281">
        <f t="shared" ref="BK37:BP37" si="67">BK35-BD37</f>
        <v>99756.833333333</v>
      </c>
      <c r="BL37" s="281">
        <f t="shared" si="67"/>
        <v>99756.833333333</v>
      </c>
      <c r="BM37" s="281">
        <f t="shared" si="67"/>
        <v>99756.833333333</v>
      </c>
      <c r="BN37" s="281">
        <f t="shared" si="67"/>
        <v>99756.833333333</v>
      </c>
      <c r="BO37" s="282">
        <f t="shared" si="67"/>
        <v>99756.833333333</v>
      </c>
      <c r="BP37" s="283">
        <f t="shared" si="67"/>
        <v>99756.833333333</v>
      </c>
      <c r="BQ37" s="325"/>
      <c r="BR37" s="285" t="s">
        <v>2045</v>
      </c>
      <c r="BS37" s="325"/>
      <c r="BT37" s="325"/>
      <c r="BU37" s="325"/>
      <c r="BV37" s="325"/>
      <c r="BX37" s="325"/>
      <c r="BY37" s="325"/>
      <c r="BZ37" s="325"/>
      <c r="CA37" s="325"/>
      <c r="CB37" s="325"/>
      <c r="CC37" s="325"/>
      <c r="CD37" s="325"/>
      <c r="CE37" s="325"/>
      <c r="CF37" s="325"/>
    </row>
    <row r="38" s="226" customFormat="1" ht="27" customHeight="1" spans="1:84">
      <c r="A38" s="316">
        <v>46241</v>
      </c>
      <c r="B38" s="317" t="s">
        <v>977</v>
      </c>
      <c r="C38" s="63" t="s">
        <v>117</v>
      </c>
      <c r="D38" s="288">
        <v>4500219176</v>
      </c>
      <c r="E38" s="63">
        <v>665468</v>
      </c>
      <c r="F38" s="317" t="s">
        <v>2198</v>
      </c>
      <c r="G38" s="318" t="s">
        <v>2191</v>
      </c>
      <c r="H38" s="67" t="s">
        <v>2100</v>
      </c>
      <c r="I38" s="319">
        <v>4173</v>
      </c>
      <c r="J38" s="319">
        <v>0</v>
      </c>
      <c r="K38" s="319">
        <v>13</v>
      </c>
      <c r="L38" s="319">
        <f>I38/K38</f>
        <v>321</v>
      </c>
      <c r="M38" s="320">
        <v>46303</v>
      </c>
      <c r="N38" s="320">
        <v>46300</v>
      </c>
      <c r="O38" s="70"/>
      <c r="P38" s="288"/>
      <c r="Q38" s="70"/>
      <c r="R38" s="70">
        <v>46241</v>
      </c>
      <c r="S38" s="72" t="s">
        <v>80</v>
      </c>
      <c r="T38" s="70" t="s">
        <v>80</v>
      </c>
      <c r="U38" s="70"/>
      <c r="V38" s="70"/>
      <c r="W38" s="70"/>
      <c r="X38" s="289" t="s">
        <v>2199</v>
      </c>
      <c r="Y38" s="320" t="s">
        <v>2200</v>
      </c>
      <c r="Z38" s="323">
        <v>0.9355</v>
      </c>
      <c r="AA38" s="319">
        <f t="shared" si="46"/>
        <v>3903.8415</v>
      </c>
      <c r="AB38" s="320"/>
      <c r="AC38" s="318" t="s">
        <v>2191</v>
      </c>
      <c r="AD38" s="320" t="s">
        <v>115</v>
      </c>
      <c r="AE38" s="75"/>
      <c r="AF38" s="75"/>
      <c r="AG38" s="70"/>
      <c r="AH38" s="79" t="s">
        <v>2131</v>
      </c>
      <c r="AI38" s="79"/>
      <c r="AJ38" s="64">
        <f t="shared" si="53"/>
        <v>4173</v>
      </c>
      <c r="AK38" s="64">
        <f>I38</f>
        <v>4173</v>
      </c>
      <c r="AL38" s="288"/>
      <c r="AM38" s="288"/>
      <c r="AN38" s="64">
        <f t="shared" si="55"/>
        <v>4173</v>
      </c>
      <c r="AO38" s="288"/>
      <c r="AP38" s="324"/>
      <c r="AQ38" s="288">
        <f>I38/13</f>
        <v>321</v>
      </c>
      <c r="AR38" s="288"/>
      <c r="AS38" s="288"/>
      <c r="AT38" s="288"/>
      <c r="AU38" s="288"/>
      <c r="AV38" s="288"/>
      <c r="AW38" s="288"/>
      <c r="AX38" s="288"/>
      <c r="AY38" s="288"/>
      <c r="AZ38" s="288"/>
      <c r="BA38" s="288"/>
      <c r="BB38" s="288"/>
      <c r="BC38" s="288"/>
      <c r="BD38" s="290">
        <f t="shared" ref="BD38:BI38" si="68">$I38/6</f>
        <v>695.5</v>
      </c>
      <c r="BE38" s="290">
        <f t="shared" si="68"/>
        <v>695.5</v>
      </c>
      <c r="BF38" s="290">
        <f t="shared" si="68"/>
        <v>695.5</v>
      </c>
      <c r="BG38" s="290">
        <f t="shared" si="68"/>
        <v>695.5</v>
      </c>
      <c r="BH38" s="290">
        <f t="shared" si="68"/>
        <v>695.5</v>
      </c>
      <c r="BI38" s="290">
        <f t="shared" si="68"/>
        <v>695.5</v>
      </c>
      <c r="BJ38" s="288"/>
      <c r="BK38" s="281">
        <f t="shared" ref="BK38:BP38" si="69">BK37-BD38</f>
        <v>99061.333333333</v>
      </c>
      <c r="BL38" s="281">
        <f t="shared" si="69"/>
        <v>99061.333333333</v>
      </c>
      <c r="BM38" s="281">
        <f t="shared" si="69"/>
        <v>99061.333333333</v>
      </c>
      <c r="BN38" s="281">
        <f t="shared" si="69"/>
        <v>99061.333333333</v>
      </c>
      <c r="BO38" s="282">
        <f t="shared" si="69"/>
        <v>99061.333333333</v>
      </c>
      <c r="BP38" s="283">
        <f t="shared" si="69"/>
        <v>99061.333333333</v>
      </c>
      <c r="BQ38" s="325"/>
      <c r="BR38" s="285"/>
      <c r="BS38" s="325"/>
      <c r="BT38" s="325"/>
      <c r="BU38" s="325"/>
      <c r="BV38" s="325"/>
      <c r="BX38" s="325"/>
      <c r="BY38" s="325"/>
      <c r="BZ38" s="325"/>
      <c r="CA38" s="325"/>
      <c r="CB38" s="325"/>
      <c r="CC38" s="325"/>
      <c r="CD38" s="325"/>
      <c r="CE38" s="325"/>
      <c r="CF38" s="325"/>
    </row>
    <row r="39" s="226" customFormat="1" ht="27" customHeight="1" spans="1:84">
      <c r="A39" s="316">
        <v>46240</v>
      </c>
      <c r="B39" s="317" t="s">
        <v>2201</v>
      </c>
      <c r="C39" s="63" t="s">
        <v>104</v>
      </c>
      <c r="D39" s="288" t="s">
        <v>2202</v>
      </c>
      <c r="E39" s="63" t="s">
        <v>2203</v>
      </c>
      <c r="F39" s="317" t="s">
        <v>2204</v>
      </c>
      <c r="G39" s="318" t="s">
        <v>2191</v>
      </c>
      <c r="H39" s="67" t="s">
        <v>2100</v>
      </c>
      <c r="I39" s="319">
        <v>6500</v>
      </c>
      <c r="J39" s="319">
        <v>0</v>
      </c>
      <c r="K39" s="319">
        <v>13</v>
      </c>
      <c r="L39" s="319">
        <f>I39/K39</f>
        <v>500</v>
      </c>
      <c r="M39" s="321">
        <v>46307</v>
      </c>
      <c r="N39" s="321">
        <v>46303</v>
      </c>
      <c r="O39" s="70"/>
      <c r="P39" s="288"/>
      <c r="Q39" s="70"/>
      <c r="R39" s="70" t="s">
        <v>1990</v>
      </c>
      <c r="S39" s="72" t="s">
        <v>191</v>
      </c>
      <c r="T39" s="70" t="s">
        <v>2205</v>
      </c>
      <c r="U39" s="70"/>
      <c r="V39" s="70"/>
      <c r="W39" s="70"/>
      <c r="X39" s="289" t="s">
        <v>2206</v>
      </c>
      <c r="Y39" s="320" t="s">
        <v>2207</v>
      </c>
      <c r="Z39" s="323">
        <v>1.5591</v>
      </c>
      <c r="AA39" s="319">
        <f t="shared" si="46"/>
        <v>10134.15</v>
      </c>
      <c r="AB39" s="320"/>
      <c r="AC39" s="318" t="s">
        <v>2191</v>
      </c>
      <c r="AD39" s="320" t="s">
        <v>115</v>
      </c>
      <c r="AE39" s="75"/>
      <c r="AF39" s="75"/>
      <c r="AG39" s="70"/>
      <c r="AH39" s="79" t="s">
        <v>2131</v>
      </c>
      <c r="AI39" s="79"/>
      <c r="AJ39" s="64">
        <f t="shared" si="53"/>
        <v>6500</v>
      </c>
      <c r="AK39" s="64">
        <f>I39</f>
        <v>6500</v>
      </c>
      <c r="AL39" s="288"/>
      <c r="AM39" s="288"/>
      <c r="AN39" s="64">
        <f t="shared" si="55"/>
        <v>6500</v>
      </c>
      <c r="AO39" s="288"/>
      <c r="AP39" s="324"/>
      <c r="AQ39" s="288">
        <f>I39/13</f>
        <v>500</v>
      </c>
      <c r="AR39" s="288"/>
      <c r="AS39" s="288"/>
      <c r="AT39" s="288"/>
      <c r="AU39" s="288"/>
      <c r="AV39" s="288"/>
      <c r="AW39" s="288"/>
      <c r="AX39" s="288"/>
      <c r="AY39" s="288"/>
      <c r="AZ39" s="288"/>
      <c r="BA39" s="288"/>
      <c r="BB39" s="288"/>
      <c r="BC39" s="288"/>
      <c r="BD39" s="290">
        <f t="shared" ref="BD39:BI39" si="70">$I39/6</f>
        <v>1083.33333333333</v>
      </c>
      <c r="BE39" s="290">
        <f t="shared" si="70"/>
        <v>1083.33333333333</v>
      </c>
      <c r="BF39" s="290">
        <f t="shared" si="70"/>
        <v>1083.33333333333</v>
      </c>
      <c r="BG39" s="290">
        <f t="shared" si="70"/>
        <v>1083.33333333333</v>
      </c>
      <c r="BH39" s="290">
        <f t="shared" si="70"/>
        <v>1083.33333333333</v>
      </c>
      <c r="BI39" s="290">
        <f t="shared" si="70"/>
        <v>1083.33333333333</v>
      </c>
      <c r="BJ39" s="288"/>
      <c r="BK39" s="281">
        <f t="shared" ref="BK39:BP39" si="71">BK33-BD39</f>
        <v>101463.666666666</v>
      </c>
      <c r="BL39" s="281">
        <f t="shared" si="71"/>
        <v>101463.666666666</v>
      </c>
      <c r="BM39" s="281">
        <f t="shared" si="71"/>
        <v>101463.666666666</v>
      </c>
      <c r="BN39" s="281">
        <f t="shared" si="71"/>
        <v>101463.666666666</v>
      </c>
      <c r="BO39" s="282">
        <f t="shared" si="71"/>
        <v>101463.666666666</v>
      </c>
      <c r="BP39" s="283">
        <f t="shared" si="71"/>
        <v>101463.666666666</v>
      </c>
      <c r="BQ39" s="325"/>
      <c r="BR39" s="285"/>
      <c r="BS39" s="325"/>
      <c r="BT39" s="325"/>
      <c r="BU39" s="325"/>
      <c r="BV39" s="325"/>
      <c r="BX39" s="325"/>
      <c r="BY39" s="325"/>
      <c r="BZ39" s="325"/>
      <c r="CA39" s="325"/>
      <c r="CB39" s="325"/>
      <c r="CC39" s="325"/>
      <c r="CD39" s="325"/>
      <c r="CE39" s="325"/>
      <c r="CF39" s="325"/>
    </row>
    <row r="40" s="226" customFormat="1" ht="27" customHeight="1" spans="1:84">
      <c r="A40" s="316">
        <v>46240</v>
      </c>
      <c r="B40" s="317" t="s">
        <v>2208</v>
      </c>
      <c r="C40" s="63" t="s">
        <v>170</v>
      </c>
      <c r="D40" s="288" t="s">
        <v>2209</v>
      </c>
      <c r="E40" s="63" t="s">
        <v>2210</v>
      </c>
      <c r="F40" s="317" t="s">
        <v>2211</v>
      </c>
      <c r="G40" s="318" t="s">
        <v>2191</v>
      </c>
      <c r="H40" s="67" t="s">
        <v>2100</v>
      </c>
      <c r="I40" s="319">
        <v>585</v>
      </c>
      <c r="J40" s="319">
        <v>0</v>
      </c>
      <c r="K40" s="319">
        <v>13</v>
      </c>
      <c r="L40" s="319">
        <f>I40/K40</f>
        <v>45</v>
      </c>
      <c r="M40" s="321">
        <v>46307</v>
      </c>
      <c r="N40" s="321">
        <v>46303</v>
      </c>
      <c r="O40" s="70"/>
      <c r="P40" s="288"/>
      <c r="Q40" s="70"/>
      <c r="R40" s="70" t="s">
        <v>1990</v>
      </c>
      <c r="S40" s="72" t="s">
        <v>191</v>
      </c>
      <c r="T40" s="70" t="s">
        <v>2205</v>
      </c>
      <c r="U40" s="70"/>
      <c r="V40" s="70"/>
      <c r="W40" s="70"/>
      <c r="X40" s="289" t="s">
        <v>2212</v>
      </c>
      <c r="Y40" s="320" t="s">
        <v>2207</v>
      </c>
      <c r="Z40" s="323">
        <v>1.5591</v>
      </c>
      <c r="AA40" s="319">
        <f t="shared" si="46"/>
        <v>912.0735</v>
      </c>
      <c r="AB40" s="320"/>
      <c r="AC40" s="318" t="s">
        <v>2191</v>
      </c>
      <c r="AD40" s="320" t="s">
        <v>115</v>
      </c>
      <c r="AE40" s="75"/>
      <c r="AF40" s="75"/>
      <c r="AG40" s="70"/>
      <c r="AH40" s="79" t="s">
        <v>2131</v>
      </c>
      <c r="AI40" s="79"/>
      <c r="AJ40" s="64">
        <f t="shared" si="53"/>
        <v>585</v>
      </c>
      <c r="AK40" s="64">
        <f>I40</f>
        <v>585</v>
      </c>
      <c r="AL40" s="288"/>
      <c r="AM40" s="288"/>
      <c r="AN40" s="64">
        <f t="shared" si="55"/>
        <v>585</v>
      </c>
      <c r="AO40" s="288"/>
      <c r="AP40" s="324"/>
      <c r="AQ40" s="288">
        <f>I40/13</f>
        <v>45</v>
      </c>
      <c r="AR40" s="288"/>
      <c r="AS40" s="288"/>
      <c r="AT40" s="288"/>
      <c r="AU40" s="288"/>
      <c r="AV40" s="288"/>
      <c r="AW40" s="288"/>
      <c r="AX40" s="288"/>
      <c r="AY40" s="288"/>
      <c r="AZ40" s="288"/>
      <c r="BA40" s="288"/>
      <c r="BB40" s="288"/>
      <c r="BC40" s="288"/>
      <c r="BD40" s="290">
        <f t="shared" ref="BD40:BI40" si="72">$I40/6</f>
        <v>97.5</v>
      </c>
      <c r="BE40" s="290">
        <f t="shared" si="72"/>
        <v>97.5</v>
      </c>
      <c r="BF40" s="290">
        <f t="shared" si="72"/>
        <v>97.5</v>
      </c>
      <c r="BG40" s="290">
        <f t="shared" si="72"/>
        <v>97.5</v>
      </c>
      <c r="BH40" s="290">
        <f t="shared" si="72"/>
        <v>97.5</v>
      </c>
      <c r="BI40" s="290">
        <f t="shared" si="72"/>
        <v>97.5</v>
      </c>
      <c r="BJ40" s="288"/>
      <c r="BK40" s="281">
        <f t="shared" ref="BK40:BP40" si="73">BK39-BD40</f>
        <v>101366.166666666</v>
      </c>
      <c r="BL40" s="281">
        <f t="shared" si="73"/>
        <v>101366.166666666</v>
      </c>
      <c r="BM40" s="281">
        <f t="shared" si="73"/>
        <v>101366.166666666</v>
      </c>
      <c r="BN40" s="281">
        <f t="shared" si="73"/>
        <v>101366.166666666</v>
      </c>
      <c r="BO40" s="282">
        <f t="shared" si="73"/>
        <v>101366.166666666</v>
      </c>
      <c r="BP40" s="283">
        <f t="shared" si="73"/>
        <v>101366.166666666</v>
      </c>
      <c r="BQ40" s="325"/>
      <c r="BR40" s="285"/>
      <c r="BS40" s="325"/>
      <c r="BT40" s="325"/>
      <c r="BU40" s="325"/>
      <c r="BV40" s="325"/>
      <c r="BX40" s="325"/>
      <c r="BY40" s="325"/>
      <c r="BZ40" s="325"/>
      <c r="CA40" s="325"/>
      <c r="CB40" s="325"/>
      <c r="CC40" s="325"/>
      <c r="CD40" s="325"/>
      <c r="CE40" s="325"/>
      <c r="CF40" s="325"/>
    </row>
    <row r="41" s="226" customFormat="1" ht="27" customHeight="1" spans="1:84">
      <c r="A41" s="316">
        <v>46213</v>
      </c>
      <c r="B41" s="317" t="s">
        <v>2069</v>
      </c>
      <c r="C41" s="63" t="s">
        <v>389</v>
      </c>
      <c r="D41" s="288" t="s">
        <v>2213</v>
      </c>
      <c r="E41" s="63" t="s">
        <v>2214</v>
      </c>
      <c r="F41" s="317" t="s">
        <v>2215</v>
      </c>
      <c r="G41" s="318" t="s">
        <v>2058</v>
      </c>
      <c r="H41" s="67" t="s">
        <v>2059</v>
      </c>
      <c r="I41" s="319">
        <v>2048</v>
      </c>
      <c r="J41" s="319">
        <v>0</v>
      </c>
      <c r="K41" s="319">
        <v>16</v>
      </c>
      <c r="L41" s="319">
        <f t="shared" ref="L41:L46" si="74">IF(K41=0,"",I41/K41)</f>
        <v>128</v>
      </c>
      <c r="M41" s="320">
        <v>46308</v>
      </c>
      <c r="N41" s="320">
        <v>46304</v>
      </c>
      <c r="O41" s="70" t="s">
        <v>2119</v>
      </c>
      <c r="P41" s="288"/>
      <c r="Q41" s="70"/>
      <c r="R41" s="70" t="s">
        <v>1990</v>
      </c>
      <c r="S41" s="72" t="s">
        <v>80</v>
      </c>
      <c r="T41" s="70" t="s">
        <v>80</v>
      </c>
      <c r="U41" s="70"/>
      <c r="V41" s="70"/>
      <c r="W41" s="70"/>
      <c r="X41" s="289" t="s">
        <v>2074</v>
      </c>
      <c r="Y41" s="320" t="s">
        <v>2063</v>
      </c>
      <c r="Z41" s="323">
        <v>1.59</v>
      </c>
      <c r="AA41" s="319">
        <f t="shared" ref="AA41:AA46" si="75">Z41*I41</f>
        <v>3256.32</v>
      </c>
      <c r="AB41" s="320"/>
      <c r="AC41" s="318" t="s">
        <v>2058</v>
      </c>
      <c r="AD41" s="320" t="s">
        <v>115</v>
      </c>
      <c r="AE41" s="75"/>
      <c r="AF41" s="75"/>
      <c r="AG41" s="70"/>
      <c r="AH41" s="79" t="s">
        <v>2131</v>
      </c>
      <c r="AI41" s="79"/>
      <c r="AJ41" s="288">
        <f t="shared" ref="AJ41:AJ46" si="76">I41</f>
        <v>2048</v>
      </c>
      <c r="AK41" s="288"/>
      <c r="AL41" s="288"/>
      <c r="AM41" s="288">
        <f t="shared" ref="AM41:AM46" si="77">I41</f>
        <v>2048</v>
      </c>
      <c r="AN41" s="288">
        <f t="shared" ref="AN41:AN46" si="78">I41</f>
        <v>2048</v>
      </c>
      <c r="AO41" s="288"/>
      <c r="AP41" s="324"/>
      <c r="AQ41" s="288"/>
      <c r="AR41" s="288"/>
      <c r="AS41" s="288">
        <f t="shared" ref="AS41:AS46" si="79">I41/16</f>
        <v>128</v>
      </c>
      <c r="AT41" s="288"/>
      <c r="AU41" s="288"/>
      <c r="AV41" s="288"/>
      <c r="AW41" s="288"/>
      <c r="AX41" s="288"/>
      <c r="AY41" s="288"/>
      <c r="AZ41" s="288"/>
      <c r="BA41" s="288"/>
      <c r="BB41" s="288"/>
      <c r="BC41" s="288"/>
      <c r="BD41" s="324">
        <f t="shared" ref="BD41:BD46" si="80">$I41/6</f>
        <v>341.333333333333</v>
      </c>
      <c r="BE41" s="324">
        <f t="shared" ref="BE41:BE46" si="81">$I41/6</f>
        <v>341.333333333333</v>
      </c>
      <c r="BF41" s="324">
        <f t="shared" ref="BF41:BF46" si="82">$I41/6</f>
        <v>341.333333333333</v>
      </c>
      <c r="BG41" s="324">
        <f t="shared" ref="BG41:BG46" si="83">$I41/6</f>
        <v>341.333333333333</v>
      </c>
      <c r="BH41" s="324">
        <f t="shared" ref="BH41:BH46" si="84">$I41/6</f>
        <v>341.333333333333</v>
      </c>
      <c r="BI41" s="324">
        <f t="shared" ref="BI41:BI46" si="85">$I41/6</f>
        <v>341.333333333333</v>
      </c>
      <c r="BJ41" s="288"/>
      <c r="BK41" s="281">
        <f t="shared" ref="BK41:BP41" si="86">BK38-BD41</f>
        <v>98719.9999999997</v>
      </c>
      <c r="BL41" s="281">
        <f t="shared" si="86"/>
        <v>98719.9999999997</v>
      </c>
      <c r="BM41" s="281">
        <f t="shared" si="86"/>
        <v>98719.9999999997</v>
      </c>
      <c r="BN41" s="281">
        <f t="shared" si="86"/>
        <v>98719.9999999997</v>
      </c>
      <c r="BO41" s="282">
        <f t="shared" si="86"/>
        <v>98719.9999999997</v>
      </c>
      <c r="BP41" s="283">
        <f t="shared" si="86"/>
        <v>98719.9999999997</v>
      </c>
      <c r="BQ41" s="325"/>
      <c r="BR41" s="285" t="s">
        <v>2045</v>
      </c>
      <c r="BS41" s="325"/>
      <c r="BT41" s="325"/>
      <c r="BU41" s="325"/>
      <c r="BV41" s="325"/>
      <c r="BX41" s="325"/>
      <c r="BY41" s="325"/>
      <c r="BZ41" s="325"/>
      <c r="CA41" s="325"/>
      <c r="CB41" s="325"/>
      <c r="CC41" s="325"/>
      <c r="CD41" s="325"/>
      <c r="CE41" s="325"/>
      <c r="CF41" s="325"/>
    </row>
    <row r="42" s="226" customFormat="1" ht="27" customHeight="1" spans="1:84">
      <c r="A42" s="316">
        <v>46216</v>
      </c>
      <c r="B42" s="317" t="s">
        <v>2216</v>
      </c>
      <c r="C42" s="63" t="s">
        <v>389</v>
      </c>
      <c r="D42" s="288">
        <v>4500216034</v>
      </c>
      <c r="E42" s="63">
        <v>2551020549</v>
      </c>
      <c r="F42" s="317" t="s">
        <v>2217</v>
      </c>
      <c r="G42" s="318" t="s">
        <v>2058</v>
      </c>
      <c r="H42" s="67" t="s">
        <v>2059</v>
      </c>
      <c r="I42" s="319">
        <v>2464</v>
      </c>
      <c r="J42" s="319">
        <v>0</v>
      </c>
      <c r="K42" s="319">
        <v>16</v>
      </c>
      <c r="L42" s="319">
        <f t="shared" si="74"/>
        <v>154</v>
      </c>
      <c r="M42" s="320">
        <v>46322</v>
      </c>
      <c r="N42" s="320">
        <v>46318</v>
      </c>
      <c r="O42" s="70" t="s">
        <v>2119</v>
      </c>
      <c r="P42" s="288"/>
      <c r="Q42" s="70"/>
      <c r="R42" s="70" t="s">
        <v>1990</v>
      </c>
      <c r="S42" s="72" t="s">
        <v>80</v>
      </c>
      <c r="T42" s="70" t="s">
        <v>80</v>
      </c>
      <c r="U42" s="70"/>
      <c r="V42" s="70"/>
      <c r="W42" s="70"/>
      <c r="X42" s="289" t="s">
        <v>2218</v>
      </c>
      <c r="Y42" s="320" t="s">
        <v>2219</v>
      </c>
      <c r="Z42" s="323">
        <v>1.59</v>
      </c>
      <c r="AA42" s="319">
        <f t="shared" si="75"/>
        <v>3917.76</v>
      </c>
      <c r="AB42" s="320"/>
      <c r="AC42" s="318" t="s">
        <v>2058</v>
      </c>
      <c r="AD42" s="320" t="s">
        <v>115</v>
      </c>
      <c r="AE42" s="75"/>
      <c r="AF42" s="75"/>
      <c r="AG42" s="70"/>
      <c r="AH42" s="79" t="s">
        <v>2131</v>
      </c>
      <c r="AI42" s="79"/>
      <c r="AJ42" s="288">
        <f t="shared" si="76"/>
        <v>2464</v>
      </c>
      <c r="AK42" s="288"/>
      <c r="AL42" s="288"/>
      <c r="AM42" s="288">
        <f t="shared" si="77"/>
        <v>2464</v>
      </c>
      <c r="AN42" s="288">
        <f t="shared" si="78"/>
        <v>2464</v>
      </c>
      <c r="AO42" s="288"/>
      <c r="AP42" s="324"/>
      <c r="AQ42" s="288"/>
      <c r="AR42" s="288"/>
      <c r="AS42" s="288">
        <f t="shared" si="79"/>
        <v>154</v>
      </c>
      <c r="AT42" s="288"/>
      <c r="AU42" s="288"/>
      <c r="AV42" s="288"/>
      <c r="AW42" s="288"/>
      <c r="AX42" s="288"/>
      <c r="AY42" s="288"/>
      <c r="AZ42" s="288"/>
      <c r="BA42" s="288"/>
      <c r="BB42" s="288"/>
      <c r="BC42" s="288"/>
      <c r="BD42" s="324">
        <f t="shared" si="80"/>
        <v>410.666666666667</v>
      </c>
      <c r="BE42" s="324">
        <f t="shared" si="81"/>
        <v>410.666666666667</v>
      </c>
      <c r="BF42" s="324">
        <f t="shared" si="82"/>
        <v>410.666666666667</v>
      </c>
      <c r="BG42" s="324">
        <f t="shared" si="83"/>
        <v>410.666666666667</v>
      </c>
      <c r="BH42" s="324">
        <f t="shared" si="84"/>
        <v>410.666666666667</v>
      </c>
      <c r="BI42" s="324">
        <f t="shared" si="85"/>
        <v>410.666666666667</v>
      </c>
      <c r="BJ42" s="288"/>
      <c r="BK42" s="281">
        <f t="shared" ref="BK42:BP42" si="87">BK41-BD42</f>
        <v>98309.333333333</v>
      </c>
      <c r="BL42" s="281">
        <f t="shared" si="87"/>
        <v>98309.333333333</v>
      </c>
      <c r="BM42" s="281">
        <f t="shared" si="87"/>
        <v>98309.333333333</v>
      </c>
      <c r="BN42" s="281">
        <f t="shared" si="87"/>
        <v>98309.333333333</v>
      </c>
      <c r="BO42" s="282">
        <f t="shared" si="87"/>
        <v>98309.333333333</v>
      </c>
      <c r="BP42" s="283">
        <f t="shared" si="87"/>
        <v>98309.333333333</v>
      </c>
      <c r="BQ42" s="325"/>
      <c r="BR42" s="285" t="s">
        <v>2045</v>
      </c>
      <c r="BS42" s="325"/>
      <c r="BT42" s="325"/>
      <c r="BU42" s="325"/>
      <c r="BV42" s="325"/>
      <c r="BX42" s="325"/>
      <c r="BY42" s="325"/>
      <c r="BZ42" s="325"/>
      <c r="CA42" s="325"/>
      <c r="CB42" s="325"/>
      <c r="CC42" s="325"/>
      <c r="CD42" s="325"/>
      <c r="CE42" s="325"/>
      <c r="CF42" s="325"/>
    </row>
    <row r="43" s="226" customFormat="1" ht="27" customHeight="1" spans="1:84">
      <c r="A43" s="316">
        <v>46216</v>
      </c>
      <c r="B43" s="317" t="s">
        <v>2216</v>
      </c>
      <c r="C43" s="63" t="s">
        <v>389</v>
      </c>
      <c r="D43" s="288">
        <v>4500216035</v>
      </c>
      <c r="E43" s="63">
        <v>2551020550</v>
      </c>
      <c r="F43" s="317" t="s">
        <v>2220</v>
      </c>
      <c r="G43" s="318" t="s">
        <v>2058</v>
      </c>
      <c r="H43" s="67" t="s">
        <v>2059</v>
      </c>
      <c r="I43" s="319">
        <v>2528</v>
      </c>
      <c r="J43" s="319">
        <v>0</v>
      </c>
      <c r="K43" s="319">
        <v>16</v>
      </c>
      <c r="L43" s="319">
        <f t="shared" si="74"/>
        <v>158</v>
      </c>
      <c r="M43" s="320">
        <v>46336</v>
      </c>
      <c r="N43" s="320">
        <v>46332</v>
      </c>
      <c r="O43" s="70" t="s">
        <v>2119</v>
      </c>
      <c r="P43" s="288"/>
      <c r="Q43" s="70"/>
      <c r="R43" s="70" t="s">
        <v>1990</v>
      </c>
      <c r="S43" s="72" t="s">
        <v>80</v>
      </c>
      <c r="T43" s="70" t="s">
        <v>80</v>
      </c>
      <c r="U43" s="70"/>
      <c r="V43" s="70"/>
      <c r="W43" s="70"/>
      <c r="X43" s="289" t="s">
        <v>2218</v>
      </c>
      <c r="Y43" s="320" t="s">
        <v>2219</v>
      </c>
      <c r="Z43" s="323">
        <v>1.59</v>
      </c>
      <c r="AA43" s="319">
        <f t="shared" si="75"/>
        <v>4019.52</v>
      </c>
      <c r="AB43" s="320"/>
      <c r="AC43" s="318" t="s">
        <v>2058</v>
      </c>
      <c r="AD43" s="320" t="s">
        <v>115</v>
      </c>
      <c r="AE43" s="75"/>
      <c r="AF43" s="75"/>
      <c r="AG43" s="70"/>
      <c r="AH43" s="79" t="s">
        <v>2131</v>
      </c>
      <c r="AI43" s="79"/>
      <c r="AJ43" s="288">
        <f t="shared" si="76"/>
        <v>2528</v>
      </c>
      <c r="AK43" s="288"/>
      <c r="AL43" s="288"/>
      <c r="AM43" s="288">
        <f t="shared" si="77"/>
        <v>2528</v>
      </c>
      <c r="AN43" s="288">
        <f t="shared" si="78"/>
        <v>2528</v>
      </c>
      <c r="AO43" s="288"/>
      <c r="AP43" s="324"/>
      <c r="AQ43" s="288"/>
      <c r="AR43" s="288"/>
      <c r="AS43" s="288">
        <f t="shared" si="79"/>
        <v>158</v>
      </c>
      <c r="AT43" s="288"/>
      <c r="AU43" s="288"/>
      <c r="AV43" s="288"/>
      <c r="AW43" s="288"/>
      <c r="AX43" s="288"/>
      <c r="AY43" s="288"/>
      <c r="AZ43" s="288"/>
      <c r="BA43" s="288"/>
      <c r="BB43" s="288"/>
      <c r="BC43" s="288"/>
      <c r="BD43" s="324">
        <f t="shared" si="80"/>
        <v>421.333333333333</v>
      </c>
      <c r="BE43" s="324">
        <f t="shared" si="81"/>
        <v>421.333333333333</v>
      </c>
      <c r="BF43" s="324">
        <f t="shared" si="82"/>
        <v>421.333333333333</v>
      </c>
      <c r="BG43" s="324">
        <f t="shared" si="83"/>
        <v>421.333333333333</v>
      </c>
      <c r="BH43" s="324">
        <f t="shared" si="84"/>
        <v>421.333333333333</v>
      </c>
      <c r="BI43" s="324">
        <f t="shared" si="85"/>
        <v>421.333333333333</v>
      </c>
      <c r="BJ43" s="288"/>
      <c r="BK43" s="281">
        <f t="shared" ref="BK43:BP43" si="88">BK42-BD43</f>
        <v>97887.9999999997</v>
      </c>
      <c r="BL43" s="281">
        <f t="shared" si="88"/>
        <v>97887.9999999997</v>
      </c>
      <c r="BM43" s="281">
        <f t="shared" si="88"/>
        <v>97887.9999999997</v>
      </c>
      <c r="BN43" s="281">
        <f t="shared" si="88"/>
        <v>97887.9999999997</v>
      </c>
      <c r="BO43" s="282">
        <f t="shared" si="88"/>
        <v>97887.9999999997</v>
      </c>
      <c r="BP43" s="283">
        <f t="shared" si="88"/>
        <v>97887.9999999997</v>
      </c>
      <c r="BQ43" s="325"/>
      <c r="BR43" s="285" t="s">
        <v>2045</v>
      </c>
      <c r="BS43" s="325"/>
      <c r="BT43" s="325"/>
      <c r="BU43" s="325"/>
      <c r="BV43" s="325"/>
      <c r="BX43" s="325"/>
      <c r="BY43" s="325"/>
      <c r="BZ43" s="325"/>
      <c r="CA43" s="325"/>
      <c r="CB43" s="325"/>
      <c r="CC43" s="325"/>
      <c r="CD43" s="325"/>
      <c r="CE43" s="325"/>
      <c r="CF43" s="325"/>
    </row>
    <row r="44" s="226" customFormat="1" ht="27" customHeight="1" spans="1:84">
      <c r="A44" s="316">
        <v>46216</v>
      </c>
      <c r="B44" s="317" t="s">
        <v>2216</v>
      </c>
      <c r="C44" s="63" t="s">
        <v>389</v>
      </c>
      <c r="D44" s="288">
        <v>4500216038</v>
      </c>
      <c r="E44" s="63">
        <v>2551020551</v>
      </c>
      <c r="F44" s="317" t="s">
        <v>2221</v>
      </c>
      <c r="G44" s="318" t="s">
        <v>2058</v>
      </c>
      <c r="H44" s="67" t="s">
        <v>2059</v>
      </c>
      <c r="I44" s="319">
        <v>1600</v>
      </c>
      <c r="J44" s="319">
        <v>0</v>
      </c>
      <c r="K44" s="319">
        <v>16</v>
      </c>
      <c r="L44" s="319">
        <f t="shared" si="74"/>
        <v>100</v>
      </c>
      <c r="M44" s="320">
        <v>46350</v>
      </c>
      <c r="N44" s="320">
        <v>46346</v>
      </c>
      <c r="O44" s="70" t="s">
        <v>2119</v>
      </c>
      <c r="P44" s="288"/>
      <c r="Q44" s="70"/>
      <c r="R44" s="70" t="s">
        <v>1990</v>
      </c>
      <c r="S44" s="72" t="s">
        <v>80</v>
      </c>
      <c r="T44" s="70" t="s">
        <v>80</v>
      </c>
      <c r="U44" s="70"/>
      <c r="V44" s="70"/>
      <c r="W44" s="70"/>
      <c r="X44" s="289" t="s">
        <v>2218</v>
      </c>
      <c r="Y44" s="320" t="s">
        <v>2219</v>
      </c>
      <c r="Z44" s="323">
        <v>1.59</v>
      </c>
      <c r="AA44" s="319">
        <f t="shared" si="75"/>
        <v>2544</v>
      </c>
      <c r="AB44" s="320"/>
      <c r="AC44" s="318" t="s">
        <v>2058</v>
      </c>
      <c r="AD44" s="320" t="s">
        <v>115</v>
      </c>
      <c r="AE44" s="75"/>
      <c r="AF44" s="75"/>
      <c r="AG44" s="70"/>
      <c r="AH44" s="79" t="s">
        <v>2131</v>
      </c>
      <c r="AI44" s="79"/>
      <c r="AJ44" s="288">
        <f t="shared" si="76"/>
        <v>1600</v>
      </c>
      <c r="AK44" s="288"/>
      <c r="AL44" s="288"/>
      <c r="AM44" s="288">
        <f t="shared" si="77"/>
        <v>1600</v>
      </c>
      <c r="AN44" s="288">
        <f t="shared" si="78"/>
        <v>1600</v>
      </c>
      <c r="AO44" s="288"/>
      <c r="AP44" s="324"/>
      <c r="AQ44" s="288"/>
      <c r="AR44" s="288"/>
      <c r="AS44" s="288">
        <f t="shared" si="79"/>
        <v>100</v>
      </c>
      <c r="AT44" s="288"/>
      <c r="AU44" s="288"/>
      <c r="AV44" s="288"/>
      <c r="AW44" s="288"/>
      <c r="AX44" s="288"/>
      <c r="AY44" s="288"/>
      <c r="AZ44" s="288"/>
      <c r="BA44" s="288"/>
      <c r="BB44" s="288"/>
      <c r="BC44" s="288"/>
      <c r="BD44" s="324">
        <f t="shared" si="80"/>
        <v>266.666666666667</v>
      </c>
      <c r="BE44" s="324">
        <f t="shared" si="81"/>
        <v>266.666666666667</v>
      </c>
      <c r="BF44" s="324">
        <f t="shared" si="82"/>
        <v>266.666666666667</v>
      </c>
      <c r="BG44" s="324">
        <f t="shared" si="83"/>
        <v>266.666666666667</v>
      </c>
      <c r="BH44" s="324">
        <f t="shared" si="84"/>
        <v>266.666666666667</v>
      </c>
      <c r="BI44" s="324">
        <f t="shared" si="85"/>
        <v>266.666666666667</v>
      </c>
      <c r="BJ44" s="288"/>
      <c r="BK44" s="281">
        <f t="shared" ref="BK44:BP44" si="89">BK43-BD44</f>
        <v>97621.333333333</v>
      </c>
      <c r="BL44" s="281">
        <f t="shared" si="89"/>
        <v>97621.333333333</v>
      </c>
      <c r="BM44" s="281">
        <f t="shared" si="89"/>
        <v>97621.333333333</v>
      </c>
      <c r="BN44" s="281">
        <f t="shared" si="89"/>
        <v>97621.333333333</v>
      </c>
      <c r="BO44" s="282">
        <f t="shared" si="89"/>
        <v>97621.333333333</v>
      </c>
      <c r="BP44" s="283">
        <f t="shared" si="89"/>
        <v>97621.333333333</v>
      </c>
      <c r="BQ44" s="325"/>
      <c r="BR44" s="285" t="s">
        <v>2045</v>
      </c>
      <c r="BS44" s="325"/>
      <c r="BT44" s="325"/>
      <c r="BU44" s="325"/>
      <c r="BV44" s="325"/>
      <c r="BX44" s="325"/>
      <c r="BY44" s="325"/>
      <c r="BZ44" s="325"/>
      <c r="CA44" s="325"/>
      <c r="CB44" s="325"/>
      <c r="CC44" s="325"/>
      <c r="CD44" s="325"/>
      <c r="CE44" s="325"/>
      <c r="CF44" s="325"/>
    </row>
    <row r="45" s="226" customFormat="1" ht="27" customHeight="1" spans="1:84">
      <c r="A45" s="316">
        <v>46216</v>
      </c>
      <c r="B45" s="317" t="s">
        <v>2216</v>
      </c>
      <c r="C45" s="63" t="s">
        <v>389</v>
      </c>
      <c r="D45" s="288">
        <v>4500216040</v>
      </c>
      <c r="E45" s="63">
        <v>2551020552</v>
      </c>
      <c r="F45" s="317" t="s">
        <v>2222</v>
      </c>
      <c r="G45" s="318" t="s">
        <v>2058</v>
      </c>
      <c r="H45" s="67" t="s">
        <v>2059</v>
      </c>
      <c r="I45" s="319">
        <v>1600</v>
      </c>
      <c r="J45" s="319">
        <v>0</v>
      </c>
      <c r="K45" s="319">
        <v>16</v>
      </c>
      <c r="L45" s="319">
        <f t="shared" si="74"/>
        <v>100</v>
      </c>
      <c r="M45" s="320">
        <v>46364</v>
      </c>
      <c r="N45" s="320">
        <v>46360</v>
      </c>
      <c r="O45" s="70" t="s">
        <v>2119</v>
      </c>
      <c r="P45" s="288"/>
      <c r="Q45" s="70"/>
      <c r="R45" s="70" t="s">
        <v>1990</v>
      </c>
      <c r="S45" s="72" t="s">
        <v>80</v>
      </c>
      <c r="T45" s="70" t="s">
        <v>80</v>
      </c>
      <c r="U45" s="70"/>
      <c r="V45" s="70"/>
      <c r="W45" s="70"/>
      <c r="X45" s="289" t="s">
        <v>2218</v>
      </c>
      <c r="Y45" s="320" t="s">
        <v>2219</v>
      </c>
      <c r="Z45" s="323">
        <v>1.59</v>
      </c>
      <c r="AA45" s="319">
        <f t="shared" si="75"/>
        <v>2544</v>
      </c>
      <c r="AB45" s="320"/>
      <c r="AC45" s="318" t="s">
        <v>2058</v>
      </c>
      <c r="AD45" s="320" t="s">
        <v>115</v>
      </c>
      <c r="AE45" s="75"/>
      <c r="AF45" s="75"/>
      <c r="AG45" s="70"/>
      <c r="AH45" s="79" t="s">
        <v>2131</v>
      </c>
      <c r="AI45" s="79"/>
      <c r="AJ45" s="288">
        <f t="shared" si="76"/>
        <v>1600</v>
      </c>
      <c r="AK45" s="288"/>
      <c r="AL45" s="288"/>
      <c r="AM45" s="288">
        <f t="shared" si="77"/>
        <v>1600</v>
      </c>
      <c r="AN45" s="288">
        <f t="shared" si="78"/>
        <v>1600</v>
      </c>
      <c r="AO45" s="288"/>
      <c r="AP45" s="324"/>
      <c r="AQ45" s="288"/>
      <c r="AR45" s="288"/>
      <c r="AS45" s="288">
        <f t="shared" si="79"/>
        <v>100</v>
      </c>
      <c r="AT45" s="288"/>
      <c r="AU45" s="288"/>
      <c r="AV45" s="288"/>
      <c r="AW45" s="288"/>
      <c r="AX45" s="288"/>
      <c r="AY45" s="288"/>
      <c r="AZ45" s="288"/>
      <c r="BA45" s="288"/>
      <c r="BB45" s="288"/>
      <c r="BC45" s="288"/>
      <c r="BD45" s="324">
        <f t="shared" si="80"/>
        <v>266.666666666667</v>
      </c>
      <c r="BE45" s="324">
        <f t="shared" si="81"/>
        <v>266.666666666667</v>
      </c>
      <c r="BF45" s="324">
        <f t="shared" si="82"/>
        <v>266.666666666667</v>
      </c>
      <c r="BG45" s="324">
        <f t="shared" si="83"/>
        <v>266.666666666667</v>
      </c>
      <c r="BH45" s="324">
        <f t="shared" si="84"/>
        <v>266.666666666667</v>
      </c>
      <c r="BI45" s="324">
        <f t="shared" si="85"/>
        <v>266.666666666667</v>
      </c>
      <c r="BJ45" s="288"/>
      <c r="BK45" s="281">
        <f t="shared" ref="BK45:BP45" si="90">BK44-BD45</f>
        <v>97354.6666666663</v>
      </c>
      <c r="BL45" s="281">
        <f t="shared" si="90"/>
        <v>97354.6666666663</v>
      </c>
      <c r="BM45" s="281">
        <f t="shared" si="90"/>
        <v>97354.6666666663</v>
      </c>
      <c r="BN45" s="281">
        <f t="shared" si="90"/>
        <v>97354.6666666663</v>
      </c>
      <c r="BO45" s="282">
        <f t="shared" si="90"/>
        <v>97354.6666666663</v>
      </c>
      <c r="BP45" s="283">
        <f t="shared" si="90"/>
        <v>97354.6666666663</v>
      </c>
      <c r="BQ45" s="325"/>
      <c r="BR45" s="285" t="s">
        <v>2045</v>
      </c>
      <c r="BS45" s="325"/>
      <c r="BT45" s="325"/>
      <c r="BU45" s="325"/>
      <c r="BV45" s="325"/>
      <c r="BX45" s="325"/>
      <c r="BY45" s="325"/>
      <c r="BZ45" s="325"/>
      <c r="CA45" s="325"/>
      <c r="CB45" s="325"/>
      <c r="CC45" s="325"/>
      <c r="CD45" s="325"/>
      <c r="CE45" s="325"/>
      <c r="CF45" s="325"/>
    </row>
    <row r="46" s="226" customFormat="1" ht="27" customHeight="1" spans="1:84">
      <c r="A46" s="316">
        <v>46216</v>
      </c>
      <c r="B46" s="317" t="s">
        <v>2216</v>
      </c>
      <c r="C46" s="63" t="s">
        <v>389</v>
      </c>
      <c r="D46" s="288">
        <v>4500216041</v>
      </c>
      <c r="E46" s="63">
        <v>2551020553</v>
      </c>
      <c r="F46" s="317" t="s">
        <v>2223</v>
      </c>
      <c r="G46" s="318" t="s">
        <v>2058</v>
      </c>
      <c r="H46" s="67" t="s">
        <v>2059</v>
      </c>
      <c r="I46" s="319">
        <v>1600</v>
      </c>
      <c r="J46" s="319">
        <v>0</v>
      </c>
      <c r="K46" s="319">
        <v>16</v>
      </c>
      <c r="L46" s="319">
        <f t="shared" si="74"/>
        <v>100</v>
      </c>
      <c r="M46" s="320">
        <v>46378</v>
      </c>
      <c r="N46" s="320">
        <v>46374</v>
      </c>
      <c r="O46" s="70" t="s">
        <v>2119</v>
      </c>
      <c r="P46" s="288"/>
      <c r="Q46" s="70"/>
      <c r="R46" s="70" t="s">
        <v>1990</v>
      </c>
      <c r="S46" s="72" t="s">
        <v>80</v>
      </c>
      <c r="T46" s="70" t="s">
        <v>80</v>
      </c>
      <c r="U46" s="70"/>
      <c r="V46" s="70"/>
      <c r="W46" s="70"/>
      <c r="X46" s="289" t="s">
        <v>2218</v>
      </c>
      <c r="Y46" s="320" t="s">
        <v>2219</v>
      </c>
      <c r="Z46" s="323">
        <v>1.59</v>
      </c>
      <c r="AA46" s="319">
        <f t="shared" si="75"/>
        <v>2544</v>
      </c>
      <c r="AB46" s="320"/>
      <c r="AC46" s="318" t="s">
        <v>2058</v>
      </c>
      <c r="AD46" s="320" t="s">
        <v>115</v>
      </c>
      <c r="AE46" s="75"/>
      <c r="AF46" s="75"/>
      <c r="AG46" s="70"/>
      <c r="AH46" s="79" t="s">
        <v>2131</v>
      </c>
      <c r="AI46" s="79"/>
      <c r="AJ46" s="288">
        <f t="shared" si="76"/>
        <v>1600</v>
      </c>
      <c r="AK46" s="288"/>
      <c r="AL46" s="288"/>
      <c r="AM46" s="288">
        <f t="shared" si="77"/>
        <v>1600</v>
      </c>
      <c r="AN46" s="288">
        <f t="shared" si="78"/>
        <v>1600</v>
      </c>
      <c r="AO46" s="288"/>
      <c r="AP46" s="324"/>
      <c r="AQ46" s="288"/>
      <c r="AR46" s="288"/>
      <c r="AS46" s="288">
        <f t="shared" si="79"/>
        <v>100</v>
      </c>
      <c r="AT46" s="288"/>
      <c r="AU46" s="288"/>
      <c r="AV46" s="288"/>
      <c r="AW46" s="288"/>
      <c r="AX46" s="288"/>
      <c r="AY46" s="288"/>
      <c r="AZ46" s="288"/>
      <c r="BA46" s="288"/>
      <c r="BB46" s="288"/>
      <c r="BC46" s="288"/>
      <c r="BD46" s="324">
        <f t="shared" si="80"/>
        <v>266.666666666667</v>
      </c>
      <c r="BE46" s="324">
        <f t="shared" si="81"/>
        <v>266.666666666667</v>
      </c>
      <c r="BF46" s="324">
        <f t="shared" si="82"/>
        <v>266.666666666667</v>
      </c>
      <c r="BG46" s="324">
        <f t="shared" si="83"/>
        <v>266.666666666667</v>
      </c>
      <c r="BH46" s="324">
        <f t="shared" si="84"/>
        <v>266.666666666667</v>
      </c>
      <c r="BI46" s="324">
        <f t="shared" si="85"/>
        <v>266.666666666667</v>
      </c>
      <c r="BJ46" s="288"/>
      <c r="BK46" s="281">
        <f t="shared" ref="BK46:BP46" si="91">BK45-BD46</f>
        <v>97087.9999999997</v>
      </c>
      <c r="BL46" s="281">
        <f t="shared" si="91"/>
        <v>97087.9999999997</v>
      </c>
      <c r="BM46" s="281">
        <f t="shared" si="91"/>
        <v>97087.9999999997</v>
      </c>
      <c r="BN46" s="281">
        <f t="shared" si="91"/>
        <v>97087.9999999997</v>
      </c>
      <c r="BO46" s="282">
        <f t="shared" si="91"/>
        <v>97087.9999999997</v>
      </c>
      <c r="BP46" s="283">
        <f t="shared" si="91"/>
        <v>97087.9999999997</v>
      </c>
      <c r="BQ46" s="325"/>
      <c r="BR46" s="285" t="s">
        <v>2045</v>
      </c>
      <c r="BS46" s="325"/>
      <c r="BT46" s="325"/>
      <c r="BU46" s="325"/>
      <c r="BV46" s="325"/>
      <c r="BX46" s="325"/>
      <c r="BY46" s="325"/>
      <c r="BZ46" s="325"/>
      <c r="CA46" s="325"/>
      <c r="CB46" s="325"/>
      <c r="CC46" s="325"/>
      <c r="CD46" s="325"/>
      <c r="CE46" s="325"/>
      <c r="CF46" s="325"/>
    </row>
    <row r="47" s="228" customFormat="1" ht="15" customHeight="1" spans="1:84">
      <c r="A47" s="356"/>
      <c r="B47" s="261"/>
      <c r="C47" s="261"/>
      <c r="D47" s="261"/>
      <c r="E47" s="261"/>
      <c r="F47" s="261"/>
      <c r="G47" s="261"/>
      <c r="H47" s="261"/>
      <c r="I47" s="261"/>
      <c r="J47" s="261"/>
      <c r="K47" s="261"/>
      <c r="L47" s="261"/>
      <c r="M47" s="261"/>
      <c r="N47" s="261"/>
      <c r="O47" s="261"/>
      <c r="P47" s="261"/>
      <c r="Q47" s="261"/>
      <c r="R47" s="261"/>
      <c r="S47" s="261"/>
      <c r="T47" s="261"/>
      <c r="U47" s="261"/>
      <c r="V47" s="261"/>
      <c r="W47" s="261"/>
      <c r="X47" s="357"/>
      <c r="Y47" s="261"/>
      <c r="Z47" s="261"/>
      <c r="AA47" s="52"/>
      <c r="AB47" s="53"/>
      <c r="AC47" s="261"/>
      <c r="AD47" s="261"/>
      <c r="AE47" s="261"/>
      <c r="AF47" s="358"/>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359"/>
      <c r="BE47" s="359"/>
      <c r="BF47" s="359"/>
      <c r="BG47" s="359"/>
      <c r="BH47" s="359"/>
      <c r="BI47" s="359"/>
      <c r="BJ47" s="360"/>
      <c r="BK47" s="361"/>
      <c r="BL47" s="361"/>
      <c r="BM47" s="361"/>
      <c r="BN47" s="361"/>
      <c r="BO47" s="361"/>
      <c r="BP47" s="362"/>
    </row>
    <row r="48" s="228" customFormat="1" spans="1:84">
      <c r="A48" s="229"/>
      <c r="B48" s="230"/>
      <c r="C48" s="230"/>
      <c r="D48" s="230"/>
      <c r="E48" s="230"/>
      <c r="F48" s="230"/>
      <c r="G48" s="230"/>
      <c r="H48" s="230"/>
      <c r="I48" s="230"/>
      <c r="J48" s="230"/>
      <c r="K48" s="230"/>
      <c r="L48" s="230"/>
      <c r="M48" s="230"/>
      <c r="N48" s="230"/>
      <c r="O48" s="230"/>
      <c r="P48" s="230"/>
      <c r="Q48" s="230"/>
      <c r="R48" s="230"/>
      <c r="S48" s="230"/>
      <c r="T48" s="230"/>
      <c r="U48" s="230"/>
      <c r="V48" s="230"/>
      <c r="W48" s="230"/>
      <c r="X48" s="231"/>
      <c r="Y48" s="230"/>
      <c r="Z48" s="230"/>
      <c r="AA48" s="230"/>
      <c r="AB48" s="230"/>
      <c r="AC48" s="230"/>
      <c r="AD48" s="230"/>
      <c r="AE48" s="230"/>
      <c r="AF48" s="230"/>
      <c r="AG48" s="230"/>
      <c r="AH48" s="230"/>
      <c r="AI48" s="230"/>
      <c r="AJ48" s="230"/>
      <c r="AK48" s="360"/>
      <c r="AL48" s="360"/>
      <c r="AM48" s="360"/>
      <c r="AN48" s="230"/>
      <c r="AO48" s="230"/>
      <c r="AP48" s="230"/>
      <c r="AQ48" s="230"/>
      <c r="AR48" s="230"/>
      <c r="AS48" s="230"/>
      <c r="AT48" s="230"/>
      <c r="AU48" s="230"/>
      <c r="AV48" s="230"/>
      <c r="AW48" s="230"/>
      <c r="AX48" s="230"/>
      <c r="AY48" s="230"/>
      <c r="AZ48" s="230"/>
      <c r="BA48" s="230"/>
      <c r="BB48" s="230"/>
      <c r="BC48" s="230"/>
      <c r="BD48" s="58"/>
      <c r="BE48" s="58"/>
      <c r="BF48" s="58"/>
      <c r="BG48" s="58"/>
      <c r="BH48" s="58"/>
      <c r="BI48" s="58"/>
      <c r="BJ48" s="4"/>
      <c r="BK48" s="59"/>
      <c r="BL48" s="59"/>
      <c r="BM48" s="59"/>
      <c r="BN48" s="59"/>
      <c r="BO48" s="363"/>
      <c r="BP48" s="364"/>
    </row>
    <row r="49" s="222" customFormat="1" spans="1:68">
      <c r="A49" s="229"/>
      <c r="B49" s="230"/>
      <c r="C49" s="230"/>
      <c r="D49" s="230"/>
      <c r="E49" s="230"/>
      <c r="F49" s="230"/>
      <c r="G49" s="230"/>
      <c r="H49" s="230"/>
      <c r="I49" s="230"/>
      <c r="J49" s="230"/>
      <c r="K49" s="230"/>
      <c r="L49" s="230"/>
      <c r="M49" s="230"/>
      <c r="N49" s="230"/>
      <c r="O49" s="230"/>
      <c r="P49" s="230"/>
      <c r="Q49" s="230"/>
      <c r="R49" s="230"/>
      <c r="S49" s="230"/>
      <c r="T49" s="230"/>
      <c r="U49" s="230"/>
      <c r="V49" s="230"/>
      <c r="W49" s="230"/>
      <c r="X49" s="231"/>
      <c r="Y49" s="230"/>
      <c r="Z49" s="230"/>
      <c r="AA49" s="230"/>
      <c r="AB49" s="230"/>
      <c r="AC49" s="230"/>
      <c r="AD49" s="230"/>
      <c r="AE49" s="230"/>
      <c r="AF49" s="230"/>
      <c r="AG49" s="230"/>
      <c r="AH49" s="230"/>
      <c r="AI49" s="230"/>
      <c r="AJ49" s="261">
        <f>SUM(AJ3:AJ48)</f>
        <v>120909</v>
      </c>
      <c r="AK49" s="261">
        <f>SUM(AK3:AK48)</f>
        <v>55861</v>
      </c>
      <c r="AL49" s="261">
        <f>SUM(AL3:AL48)</f>
        <v>38040</v>
      </c>
      <c r="AM49" s="261"/>
      <c r="AN49" s="261">
        <f t="shared" ref="AN49:AS49" si="92">SUM(AN3:AN48)</f>
        <v>120909</v>
      </c>
      <c r="AO49" s="261">
        <f t="shared" si="92"/>
        <v>1264.5</v>
      </c>
      <c r="AP49" s="261">
        <f t="shared" si="92"/>
        <v>688</v>
      </c>
      <c r="AQ49" s="261">
        <f t="shared" si="92"/>
        <v>2076</v>
      </c>
      <c r="AR49" s="261">
        <f t="shared" si="92"/>
        <v>1656</v>
      </c>
      <c r="AS49" s="261">
        <f t="shared" si="92"/>
        <v>1688</v>
      </c>
      <c r="AT49" s="261">
        <f t="shared" ref="AT49:BB49" si="93">SUM(AT3:AT48)</f>
        <v>0</v>
      </c>
      <c r="AU49" s="261">
        <f t="shared" si="93"/>
        <v>0</v>
      </c>
      <c r="AV49" s="261">
        <f t="shared" si="93"/>
        <v>0</v>
      </c>
      <c r="AW49" s="261">
        <f t="shared" si="93"/>
        <v>0</v>
      </c>
      <c r="AX49" s="261">
        <f t="shared" si="93"/>
        <v>0</v>
      </c>
      <c r="AY49" s="261">
        <f t="shared" si="93"/>
        <v>0</v>
      </c>
      <c r="AZ49" s="261">
        <f t="shared" si="93"/>
        <v>0</v>
      </c>
      <c r="BA49" s="261">
        <f t="shared" si="93"/>
        <v>0</v>
      </c>
      <c r="BB49" s="261">
        <f t="shared" si="93"/>
        <v>0</v>
      </c>
      <c r="BC49" s="261"/>
      <c r="BD49" s="365">
        <f t="shared" ref="BD49:BI49" si="94">SUM(BD3:BD48)</f>
        <v>19839</v>
      </c>
      <c r="BE49" s="365">
        <f t="shared" si="94"/>
        <v>19839</v>
      </c>
      <c r="BF49" s="365">
        <f t="shared" si="94"/>
        <v>19839</v>
      </c>
      <c r="BG49" s="365">
        <f t="shared" si="94"/>
        <v>19839</v>
      </c>
      <c r="BH49" s="365">
        <f t="shared" si="94"/>
        <v>19839</v>
      </c>
      <c r="BI49" s="365">
        <f t="shared" si="94"/>
        <v>19839</v>
      </c>
      <c r="BJ49" s="230"/>
      <c r="BK49" s="359">
        <f t="shared" ref="BK49:BP49" si="95">MIN(BK3:BK47)</f>
        <v>97087.9999999997</v>
      </c>
      <c r="BL49" s="359">
        <f t="shared" si="95"/>
        <v>97087.9999999997</v>
      </c>
      <c r="BM49" s="359">
        <f t="shared" si="95"/>
        <v>97087.9999999997</v>
      </c>
      <c r="BN49" s="359">
        <f t="shared" si="95"/>
        <v>97087.9999999997</v>
      </c>
      <c r="BO49" s="366">
        <f t="shared" si="95"/>
        <v>97087.9999999997</v>
      </c>
      <c r="BP49" s="367">
        <f t="shared" si="95"/>
        <v>97087.9999999997</v>
      </c>
    </row>
    <row r="50" s="222" customFormat="1" spans="1:68">
      <c r="A50" s="229"/>
      <c r="B50" s="230"/>
      <c r="C50" s="230"/>
      <c r="D50" s="230"/>
      <c r="E50" s="230"/>
      <c r="F50" s="230"/>
      <c r="G50" s="230"/>
      <c r="H50" s="230"/>
      <c r="I50" s="230"/>
      <c r="J50" s="230"/>
      <c r="K50" s="230"/>
      <c r="L50" s="230"/>
      <c r="M50" s="230"/>
      <c r="N50" s="230"/>
      <c r="O50" s="230"/>
      <c r="P50" s="230"/>
      <c r="Q50" s="230"/>
      <c r="R50" s="230"/>
      <c r="S50" s="230"/>
      <c r="T50" s="230"/>
      <c r="U50" s="230"/>
      <c r="V50" s="230"/>
      <c r="W50" s="230"/>
      <c r="X50" s="231"/>
      <c r="Y50" s="230"/>
      <c r="Z50" s="230"/>
      <c r="AA50" s="230"/>
      <c r="AB50" s="230"/>
      <c r="AC50" s="230"/>
      <c r="AD50" s="230"/>
      <c r="AE50" s="230"/>
      <c r="AF50" s="230"/>
      <c r="AG50" s="230"/>
      <c r="AH50" s="230"/>
      <c r="AI50" s="230"/>
      <c r="AJ50" s="230"/>
      <c r="AK50" s="230"/>
      <c r="AL50" s="230"/>
      <c r="AM50" s="230"/>
      <c r="AN50" s="230"/>
      <c r="AO50" s="230"/>
      <c r="AP50" s="230"/>
      <c r="AQ50" s="230"/>
      <c r="AR50" s="230"/>
      <c r="AS50" s="230"/>
      <c r="AT50" s="230"/>
      <c r="AU50" s="230"/>
      <c r="AV50" s="230"/>
      <c r="AW50" s="230"/>
      <c r="AX50" s="230"/>
      <c r="AY50" s="230"/>
      <c r="AZ50" s="230"/>
      <c r="BA50" s="230"/>
      <c r="BB50" s="230"/>
      <c r="BC50" s="230"/>
      <c r="BD50" s="230"/>
      <c r="BE50" s="230"/>
      <c r="BF50" s="230"/>
      <c r="BG50" s="230"/>
      <c r="BH50" s="230"/>
      <c r="BI50" s="230"/>
      <c r="BJ50" s="230"/>
      <c r="BK50" s="230"/>
      <c r="BL50" s="230"/>
      <c r="BM50" s="230"/>
      <c r="BN50" s="230"/>
      <c r="BO50" s="230"/>
      <c r="BP50" s="230"/>
    </row>
    <row r="51" s="222" customFormat="1" spans="1:68">
      <c r="A51" s="229"/>
      <c r="B51" s="230"/>
      <c r="C51" s="230"/>
      <c r="D51" s="230"/>
      <c r="E51" s="230"/>
      <c r="F51" s="230"/>
      <c r="G51" s="230"/>
      <c r="H51" s="230"/>
      <c r="I51" s="230"/>
      <c r="J51" s="230"/>
      <c r="K51" s="230"/>
      <c r="L51" s="230"/>
      <c r="M51" s="230"/>
      <c r="N51" s="230"/>
      <c r="O51" s="230"/>
      <c r="P51" s="230"/>
      <c r="Q51" s="230"/>
      <c r="R51" s="230"/>
      <c r="S51" s="230"/>
      <c r="T51" s="230"/>
      <c r="U51" s="230"/>
      <c r="V51" s="230"/>
      <c r="W51" s="230"/>
      <c r="X51" s="231"/>
      <c r="Y51" s="230"/>
      <c r="Z51" s="230"/>
      <c r="AA51" s="230"/>
      <c r="AB51" s="230"/>
      <c r="AC51" s="230"/>
      <c r="AD51" s="230"/>
      <c r="AE51" s="230"/>
      <c r="AF51" s="230"/>
      <c r="AG51" s="230"/>
      <c r="AH51" s="230"/>
      <c r="AI51" s="230"/>
      <c r="AJ51" s="230"/>
      <c r="AK51" s="230"/>
      <c r="AL51" s="230"/>
      <c r="AM51" s="230"/>
      <c r="AN51" s="230"/>
      <c r="AO51" s="368" t="s">
        <v>2224</v>
      </c>
      <c r="AP51" s="230">
        <f>AP49+AO49+AS49</f>
        <v>3640.5</v>
      </c>
      <c r="AQ51" s="230"/>
      <c r="AR51" s="230"/>
      <c r="AS51" s="368" t="s">
        <v>2224</v>
      </c>
      <c r="AT51" s="230">
        <f>AT49+AU49+AW49+AX49</f>
        <v>0</v>
      </c>
      <c r="AU51" s="230"/>
      <c r="AV51" s="230"/>
      <c r="AW51" s="230"/>
      <c r="AX51" s="230"/>
      <c r="AY51" s="230"/>
      <c r="AZ51" s="230"/>
      <c r="BA51" s="230"/>
      <c r="BB51" s="230"/>
      <c r="BC51" s="230"/>
      <c r="BD51" s="230"/>
      <c r="BE51" s="230"/>
      <c r="BF51" s="230"/>
      <c r="BG51" s="230"/>
      <c r="BH51" s="230"/>
      <c r="BI51" s="230"/>
      <c r="BJ51" s="230"/>
      <c r="BK51" s="359">
        <f>生产MA!Q24-BK49</f>
        <v>-259.999999999651</v>
      </c>
      <c r="BL51" s="359">
        <f>生产MA!Q25-BL49</f>
        <v>-259.999999999651</v>
      </c>
      <c r="BM51" s="359">
        <f>生产MA!Q26-BM49</f>
        <v>-259.999999999651</v>
      </c>
      <c r="BN51" s="359">
        <f>生产MA!Q27-BN49</f>
        <v>-259.999999999651</v>
      </c>
      <c r="BO51" s="366">
        <f>生产MA!Q28-BO49</f>
        <v>-259.999999999651</v>
      </c>
      <c r="BP51" s="367">
        <f>生产MA!Q29-BP49</f>
        <v>-259.999999999651</v>
      </c>
    </row>
    <row r="52" s="222" customFormat="1" spans="1:68">
      <c r="A52" s="229"/>
      <c r="B52" s="230"/>
      <c r="C52" s="230"/>
      <c r="D52" s="230"/>
      <c r="E52" s="230"/>
      <c r="F52" s="230"/>
      <c r="G52" s="230"/>
      <c r="H52" s="230"/>
      <c r="I52" s="230"/>
      <c r="J52" s="230"/>
      <c r="K52" s="230"/>
      <c r="L52" s="230"/>
      <c r="M52" s="230"/>
      <c r="N52" s="230"/>
      <c r="O52" s="230"/>
      <c r="P52" s="230"/>
      <c r="Q52" s="230"/>
      <c r="R52" s="230"/>
      <c r="S52" s="230"/>
      <c r="T52" s="230"/>
      <c r="U52" s="230"/>
      <c r="V52" s="230"/>
      <c r="W52" s="230"/>
      <c r="X52" s="231"/>
      <c r="Y52" s="230"/>
      <c r="Z52" s="230"/>
      <c r="AA52" s="230"/>
      <c r="AB52" s="230"/>
      <c r="AC52" s="230"/>
      <c r="AD52" s="230"/>
      <c r="AE52" s="230"/>
      <c r="AF52" s="230"/>
      <c r="AG52" s="230"/>
      <c r="AH52" s="230"/>
      <c r="AI52" s="230"/>
      <c r="AJ52" s="230"/>
      <c r="AK52" s="230"/>
      <c r="AL52" s="230"/>
      <c r="AM52" s="230"/>
      <c r="AN52" s="230"/>
      <c r="AO52" s="230"/>
      <c r="AP52" s="230"/>
      <c r="AQ52" s="230"/>
      <c r="AR52" s="230"/>
      <c r="AS52" s="230"/>
      <c r="AT52" s="230"/>
      <c r="AU52" s="230"/>
      <c r="AV52" s="230"/>
      <c r="AW52" s="230"/>
      <c r="AX52" s="230"/>
      <c r="AY52" s="230"/>
      <c r="AZ52" s="230"/>
      <c r="BA52" s="230"/>
      <c r="BB52" s="230"/>
      <c r="BC52" s="230"/>
      <c r="BD52" s="230"/>
      <c r="BE52" s="230"/>
      <c r="BF52" s="230"/>
      <c r="BG52" s="230"/>
      <c r="BH52" s="230"/>
      <c r="BI52" s="230"/>
      <c r="BJ52" s="230"/>
      <c r="BK52" s="369"/>
      <c r="BL52" s="369"/>
      <c r="BM52" s="369"/>
      <c r="BN52" s="369"/>
      <c r="BO52" s="369"/>
      <c r="BP52" s="369"/>
    </row>
    <row r="53" s="222" customFormat="1" spans="1:68">
      <c r="A53" s="229"/>
      <c r="B53" s="230"/>
      <c r="C53" s="230"/>
      <c r="D53" s="230"/>
      <c r="E53" s="230"/>
      <c r="F53" s="230"/>
      <c r="G53" s="230"/>
      <c r="H53" s="230"/>
      <c r="I53" s="230"/>
      <c r="J53" s="230"/>
      <c r="K53" s="230"/>
      <c r="L53" s="230"/>
      <c r="M53" s="230"/>
      <c r="N53" s="230"/>
      <c r="O53" s="230"/>
      <c r="P53" s="230"/>
      <c r="Q53" s="230"/>
      <c r="R53" s="230"/>
      <c r="S53" s="230"/>
      <c r="T53" s="230"/>
      <c r="U53" s="230"/>
      <c r="V53" s="230"/>
      <c r="W53" s="230"/>
      <c r="X53" s="231"/>
      <c r="Y53" s="230"/>
      <c r="Z53" s="230"/>
      <c r="AA53" s="230"/>
      <c r="AB53" s="230"/>
      <c r="AC53" s="230"/>
      <c r="AD53" s="230"/>
      <c r="AE53" s="230"/>
      <c r="AF53" s="230"/>
      <c r="AG53" s="230"/>
      <c r="AH53" s="230"/>
      <c r="AI53" s="230"/>
      <c r="AJ53" s="230"/>
      <c r="AK53" s="230"/>
      <c r="AL53" s="230"/>
      <c r="AM53" s="230"/>
      <c r="AN53" s="230"/>
      <c r="AO53" s="230"/>
      <c r="AP53" s="230"/>
      <c r="AQ53" s="230"/>
      <c r="AR53" s="230"/>
      <c r="AS53" s="230"/>
      <c r="AT53" s="230"/>
      <c r="AU53" s="230"/>
      <c r="AV53" s="230"/>
      <c r="AW53" s="230"/>
      <c r="AX53" s="230"/>
      <c r="AY53" s="230"/>
      <c r="AZ53" s="230"/>
      <c r="BA53" s="230"/>
      <c r="BB53" s="230"/>
      <c r="BC53" s="230"/>
      <c r="BD53" s="230"/>
      <c r="BE53" s="230"/>
      <c r="BF53" s="230"/>
      <c r="BG53" s="230"/>
      <c r="BH53" s="230"/>
      <c r="BI53" s="230"/>
      <c r="BJ53" s="230"/>
      <c r="BK53" s="230"/>
      <c r="BL53" s="230"/>
      <c r="BM53" s="230"/>
      <c r="BN53" s="230"/>
      <c r="BO53" s="230"/>
      <c r="BP53" s="230"/>
    </row>
    <row r="54" s="222" customFormat="1" spans="1:68">
      <c r="A54" s="229"/>
      <c r="B54" s="230"/>
      <c r="C54" s="230"/>
      <c r="D54" s="230"/>
      <c r="E54" s="230"/>
      <c r="F54" s="230"/>
      <c r="G54" s="230"/>
      <c r="H54" s="230"/>
      <c r="I54" s="230"/>
      <c r="J54" s="230"/>
      <c r="K54" s="230"/>
      <c r="L54" s="230"/>
      <c r="M54" s="230"/>
      <c r="N54" s="230"/>
      <c r="O54" s="230"/>
      <c r="P54" s="230"/>
      <c r="Q54" s="230"/>
      <c r="R54" s="230"/>
      <c r="S54" s="230"/>
      <c r="T54" s="230"/>
      <c r="U54" s="230"/>
      <c r="V54" s="230"/>
      <c r="W54" s="230"/>
      <c r="X54" s="231"/>
      <c r="Y54" s="230"/>
      <c r="Z54" s="230"/>
      <c r="AA54" s="230"/>
      <c r="AB54" s="230"/>
      <c r="AC54" s="230"/>
      <c r="AD54" s="230"/>
      <c r="AE54" s="230"/>
      <c r="AF54" s="230"/>
      <c r="AG54" s="230"/>
      <c r="AH54" s="230"/>
      <c r="AI54" s="230"/>
      <c r="AJ54" s="230"/>
      <c r="AK54" s="230"/>
      <c r="AL54" s="230"/>
      <c r="AM54" s="230"/>
      <c r="AN54" s="230"/>
      <c r="AO54" s="230"/>
      <c r="AP54" s="230"/>
      <c r="AQ54" s="230"/>
      <c r="AR54" s="230"/>
      <c r="AS54" s="230"/>
      <c r="AT54" s="230"/>
      <c r="AU54" s="230"/>
      <c r="AV54" s="230"/>
      <c r="AW54" s="230"/>
      <c r="AX54" s="230"/>
      <c r="AY54" s="230"/>
      <c r="AZ54" s="230"/>
      <c r="BA54" s="230"/>
      <c r="BB54" s="230"/>
      <c r="BC54" s="230"/>
      <c r="BD54" s="230"/>
      <c r="BE54" s="230"/>
      <c r="BF54" s="230"/>
      <c r="BG54" s="230"/>
      <c r="BH54" s="230"/>
      <c r="BI54" s="230"/>
      <c r="BJ54" s="230"/>
      <c r="BK54" s="230"/>
      <c r="BL54" s="230"/>
      <c r="BM54" s="230"/>
      <c r="BN54" s="230"/>
      <c r="BO54" s="230"/>
      <c r="BP54" s="230"/>
    </row>
    <row r="55" s="222" customFormat="1" spans="1:68">
      <c r="A55" s="229"/>
      <c r="B55" s="230"/>
      <c r="C55" s="230"/>
      <c r="D55" s="230"/>
      <c r="E55" s="230"/>
      <c r="F55" s="230"/>
      <c r="G55" s="230"/>
      <c r="H55" s="230"/>
      <c r="I55" s="230"/>
      <c r="J55" s="230"/>
      <c r="K55" s="230"/>
      <c r="L55" s="230"/>
      <c r="M55" s="230"/>
      <c r="N55" s="230"/>
      <c r="O55" s="230"/>
      <c r="P55" s="230"/>
      <c r="Q55" s="230"/>
      <c r="R55" s="230"/>
      <c r="S55" s="230"/>
      <c r="T55" s="230"/>
      <c r="U55" s="230"/>
      <c r="V55" s="230"/>
      <c r="W55" s="230"/>
      <c r="X55" s="231"/>
      <c r="Y55" s="230"/>
      <c r="Z55" s="230"/>
      <c r="AA55" s="230"/>
      <c r="AB55" s="230"/>
      <c r="AC55" s="230"/>
      <c r="AD55" s="230"/>
      <c r="AE55" s="230"/>
      <c r="AF55" s="230"/>
      <c r="AG55" s="230"/>
      <c r="AH55" s="230"/>
      <c r="AI55" s="230"/>
      <c r="AJ55" s="230"/>
      <c r="AK55" s="230"/>
      <c r="AL55" s="230"/>
      <c r="AM55" s="230"/>
      <c r="AN55" s="230"/>
      <c r="AO55" s="230"/>
      <c r="AP55" s="230"/>
      <c r="AQ55" s="230"/>
      <c r="AR55" s="230"/>
      <c r="AS55" s="230"/>
      <c r="AT55" s="230"/>
      <c r="AU55" s="230"/>
      <c r="AV55" s="230"/>
      <c r="AW55" s="230"/>
      <c r="AX55" s="230"/>
      <c r="AY55" s="230"/>
      <c r="AZ55" s="230"/>
      <c r="BA55" s="230"/>
      <c r="BB55" s="230"/>
      <c r="BC55" s="230"/>
      <c r="BD55" s="230"/>
      <c r="BE55" s="230"/>
      <c r="BF55" s="230"/>
      <c r="BG55" s="230"/>
      <c r="BH55" s="230"/>
      <c r="BI55" s="230"/>
      <c r="BJ55" s="230"/>
      <c r="BK55" s="230"/>
      <c r="BL55" s="230"/>
      <c r="BM55" s="230"/>
      <c r="BN55" s="230"/>
      <c r="BO55" s="230"/>
      <c r="BP55" s="230"/>
    </row>
    <row r="56" s="222" customFormat="1" spans="1:68">
      <c r="A56" s="229"/>
      <c r="B56" s="230"/>
      <c r="C56" s="230"/>
      <c r="D56" s="230"/>
      <c r="E56" s="230"/>
      <c r="F56" s="230"/>
      <c r="G56" s="230"/>
      <c r="H56" s="230"/>
      <c r="I56" s="230"/>
      <c r="J56" s="230"/>
      <c r="K56" s="230"/>
      <c r="L56" s="230"/>
      <c r="M56" s="230"/>
      <c r="N56" s="230"/>
      <c r="O56" s="230"/>
      <c r="P56" s="230"/>
      <c r="Q56" s="230"/>
      <c r="R56" s="230"/>
      <c r="S56" s="230"/>
      <c r="T56" s="230"/>
      <c r="U56" s="230"/>
      <c r="V56" s="230"/>
      <c r="W56" s="230"/>
      <c r="X56" s="231"/>
      <c r="Y56" s="230"/>
      <c r="Z56" s="230"/>
      <c r="AA56" s="230"/>
      <c r="AB56" s="230"/>
      <c r="AC56" s="230"/>
      <c r="AD56" s="230"/>
      <c r="AE56" s="230"/>
      <c r="AF56" s="230"/>
      <c r="AG56" s="230"/>
      <c r="AH56" s="230"/>
      <c r="AI56" s="230"/>
      <c r="AJ56" s="230"/>
      <c r="AK56" s="230"/>
      <c r="AL56" s="230"/>
      <c r="AM56" s="230"/>
      <c r="AN56" s="230"/>
      <c r="AO56" s="230"/>
      <c r="AP56" s="230"/>
      <c r="AQ56" s="230"/>
      <c r="AR56" s="230"/>
      <c r="AS56" s="230"/>
      <c r="AT56" s="230"/>
      <c r="AU56" s="230"/>
      <c r="AV56" s="230"/>
      <c r="AW56" s="230"/>
      <c r="AX56" s="230"/>
      <c r="AY56" s="230"/>
      <c r="AZ56" s="230"/>
      <c r="BA56" s="230"/>
      <c r="BB56" s="230"/>
      <c r="BC56" s="230"/>
      <c r="BD56" s="230"/>
      <c r="BE56" s="230"/>
      <c r="BF56" s="230"/>
      <c r="BG56" s="230"/>
      <c r="BH56" s="230"/>
      <c r="BI56" s="230"/>
      <c r="BJ56" s="230"/>
      <c r="BK56" s="230"/>
      <c r="BL56" s="230"/>
      <c r="BM56" s="230"/>
      <c r="BN56" s="230"/>
      <c r="BO56" s="230"/>
      <c r="BP56" s="230"/>
    </row>
    <row r="57" s="222" customFormat="1" spans="1:68">
      <c r="A57" s="229"/>
      <c r="B57" s="230"/>
      <c r="C57" s="230"/>
      <c r="D57" s="230"/>
      <c r="E57" s="230"/>
      <c r="F57" s="230"/>
      <c r="G57" s="230"/>
      <c r="H57" s="230"/>
      <c r="I57" s="230"/>
      <c r="J57" s="230"/>
      <c r="K57" s="230"/>
      <c r="L57" s="230"/>
      <c r="M57" s="230"/>
      <c r="N57" s="230"/>
      <c r="O57" s="230"/>
      <c r="P57" s="230"/>
      <c r="Q57" s="230"/>
      <c r="R57" s="230"/>
      <c r="S57" s="230"/>
      <c r="T57" s="230"/>
      <c r="U57" s="230"/>
      <c r="V57" s="230"/>
      <c r="W57" s="230"/>
      <c r="X57" s="231"/>
      <c r="Y57" s="230"/>
      <c r="Z57" s="230"/>
      <c r="AA57" s="230"/>
      <c r="AB57" s="230"/>
      <c r="AC57" s="230"/>
      <c r="AD57" s="230"/>
      <c r="AE57" s="230"/>
      <c r="AF57" s="230"/>
      <c r="AG57" s="230"/>
      <c r="AH57" s="230"/>
      <c r="AI57" s="230"/>
      <c r="AJ57" s="230"/>
      <c r="AK57" s="230"/>
      <c r="AL57" s="230"/>
      <c r="AM57" s="230"/>
      <c r="AN57" s="230"/>
      <c r="AO57" s="230"/>
      <c r="AP57" s="230"/>
      <c r="AQ57" s="230"/>
      <c r="AR57" s="230"/>
      <c r="AS57" s="230"/>
      <c r="AT57" s="230"/>
      <c r="AU57" s="230"/>
      <c r="AV57" s="230"/>
      <c r="AW57" s="230"/>
      <c r="AX57" s="230"/>
      <c r="AY57" s="230"/>
      <c r="AZ57" s="230"/>
      <c r="BA57" s="230"/>
      <c r="BB57" s="230"/>
      <c r="BC57" s="230"/>
      <c r="BD57" s="230"/>
      <c r="BE57" s="230"/>
      <c r="BF57" s="230"/>
      <c r="BG57" s="230"/>
      <c r="BH57" s="230"/>
      <c r="BI57" s="230"/>
      <c r="BJ57" s="230"/>
      <c r="BK57" s="230"/>
      <c r="BL57" s="230"/>
      <c r="BM57" s="230"/>
      <c r="BN57" s="230"/>
      <c r="BO57" s="230"/>
      <c r="BP57" s="230"/>
    </row>
    <row r="58" s="222" customFormat="1" spans="1:68">
      <c r="A58" s="229"/>
      <c r="B58" s="230"/>
      <c r="C58" s="230"/>
      <c r="D58" s="230"/>
      <c r="E58" s="230"/>
      <c r="F58" s="230"/>
      <c r="G58" s="230"/>
      <c r="H58" s="230"/>
      <c r="I58" s="230"/>
      <c r="J58" s="230"/>
      <c r="K58" s="230"/>
      <c r="L58" s="230"/>
      <c r="M58" s="230"/>
      <c r="N58" s="230"/>
      <c r="O58" s="230"/>
      <c r="P58" s="230"/>
      <c r="Q58" s="230"/>
      <c r="R58" s="230"/>
      <c r="S58" s="230"/>
      <c r="T58" s="230"/>
      <c r="U58" s="230"/>
      <c r="V58" s="230"/>
      <c r="W58" s="230"/>
      <c r="X58" s="231"/>
      <c r="Y58" s="230"/>
      <c r="Z58" s="230"/>
      <c r="AA58" s="230"/>
      <c r="AB58" s="230"/>
      <c r="AC58" s="230"/>
      <c r="AD58" s="230"/>
      <c r="AE58" s="230"/>
      <c r="AF58" s="230"/>
      <c r="AG58" s="230"/>
      <c r="AH58" s="230"/>
      <c r="AI58" s="230"/>
      <c r="AJ58" s="230"/>
      <c r="AK58" s="230"/>
      <c r="AL58" s="230"/>
      <c r="AM58" s="230"/>
      <c r="AN58" s="230"/>
      <c r="AO58" s="230"/>
      <c r="AP58" s="230"/>
      <c r="AQ58" s="230"/>
      <c r="AR58" s="230"/>
      <c r="AS58" s="230"/>
      <c r="AT58" s="230"/>
      <c r="AU58" s="230"/>
      <c r="AV58" s="230"/>
      <c r="AW58" s="230"/>
      <c r="AX58" s="230"/>
      <c r="AY58" s="230"/>
      <c r="AZ58" s="230"/>
      <c r="BA58" s="230"/>
      <c r="BB58" s="230"/>
      <c r="BC58" s="230"/>
      <c r="BD58" s="230"/>
      <c r="BE58" s="230"/>
      <c r="BF58" s="230"/>
      <c r="BG58" s="230"/>
      <c r="BH58" s="230"/>
      <c r="BI58" s="230"/>
      <c r="BJ58" s="230"/>
      <c r="BK58" s="230"/>
      <c r="BL58" s="230"/>
      <c r="BM58" s="230"/>
      <c r="BN58" s="230"/>
      <c r="BO58" s="230"/>
      <c r="BP58" s="230"/>
    </row>
  </sheetData>
  <sheetProtection formatCells="0" formatColumns="0" formatRows="0" insertRows="0" insertColumns="0" insertHyperlinks="0" deleteColumns="0" deleteRows="0" sort="0" autoFilter="0" pivotTables="0"/>
  <protectedRanges>
    <protectedRange sqref="AE$1:AH$1048576" name="Range1"/>
    <protectedRange sqref="A$1:AB$1048576 AC$1:BP$1048576" name="Range2"/>
  </protectedRanges>
  <autoFilter xmlns:etc="http://www.wps.cn/officeDocument/2017/etCustomData" ref="A2:CF58" etc:filterBottomFollowUsedRange="1">
    <extLst/>
  </autoFilter>
  <mergeCells count="6">
    <mergeCell ref="AK1:AL1"/>
    <mergeCell ref="AO1:AP1"/>
    <mergeCell ref="AQ1:AR1"/>
    <mergeCell ref="AT1:AV1"/>
    <mergeCell ref="AW1:AY1"/>
    <mergeCell ref="AZ1:BB1"/>
  </mergeCells>
  <conditionalFormatting sqref="R10">
    <cfRule type="containsText" dxfId="0" priority="79" operator="between" text="欠">
      <formula>NOT(ISERROR(SEARCH("欠",R10)))</formula>
    </cfRule>
    <cfRule type="cellIs" dxfId="0" priority="80" operator="equal">
      <formula>"欠"</formula>
    </cfRule>
  </conditionalFormatting>
  <conditionalFormatting sqref="R34">
    <cfRule type="containsText" dxfId="0" priority="222" operator="between" text="欠">
      <formula>NOT(ISERROR(SEARCH("欠",R34)))</formula>
    </cfRule>
    <cfRule type="cellIs" dxfId="0" priority="223" operator="equal">
      <formula>"欠"</formula>
    </cfRule>
  </conditionalFormatting>
  <conditionalFormatting sqref="U34:W34">
    <cfRule type="containsText" dxfId="0" priority="215" operator="between" text="欠">
      <formula>NOT(ISERROR(SEARCH("欠",U34)))</formula>
    </cfRule>
    <cfRule type="cellIs" dxfId="0" priority="216" operator="equal">
      <formula>"欠"</formula>
    </cfRule>
  </conditionalFormatting>
  <conditionalFormatting sqref="R3:R8">
    <cfRule type="containsText" dxfId="0" priority="10" operator="between" text="欠">
      <formula>NOT(ISERROR(SEARCH("欠",R3)))</formula>
    </cfRule>
    <cfRule type="cellIs" dxfId="0" priority="14" operator="equal">
      <formula>"欠"</formula>
    </cfRule>
  </conditionalFormatting>
  <conditionalFormatting sqref="S3:S8">
    <cfRule type="cellIs" dxfId="0" priority="26" operator="equal">
      <formula>"欠"</formula>
    </cfRule>
    <cfRule type="containsText" dxfId="0" priority="30" operator="between" text="欠">
      <formula>NOT(ISERROR(SEARCH("欠",S3)))</formula>
    </cfRule>
  </conditionalFormatting>
  <conditionalFormatting sqref="S10:S11">
    <cfRule type="cellIs" dxfId="0" priority="89" operator="equal">
      <formula>"欠"</formula>
    </cfRule>
    <cfRule type="containsText" dxfId="0" priority="90" operator="between" text="欠">
      <formula>NOT(ISERROR(SEARCH("欠",S10)))</formula>
    </cfRule>
  </conditionalFormatting>
  <conditionalFormatting sqref="S22:S30">
    <cfRule type="cellIs" dxfId="0" priority="4" operator="equal">
      <formula>"欠"</formula>
    </cfRule>
    <cfRule type="containsText" dxfId="0" priority="5" operator="between" text="欠">
      <formula>NOT(ISERROR(SEARCH("欠",S22)))</formula>
    </cfRule>
  </conditionalFormatting>
  <conditionalFormatting sqref="T3:T8">
    <cfRule type="containsText" dxfId="0" priority="18" operator="between" text="欠">
      <formula>NOT(ISERROR(SEARCH("欠",T3)))</formula>
    </cfRule>
    <cfRule type="cellIs" dxfId="0" priority="22" operator="equal">
      <formula>"欠"</formula>
    </cfRule>
  </conditionalFormatting>
  <conditionalFormatting sqref="T10:T11">
    <cfRule type="containsText" dxfId="0" priority="81" operator="between" text="欠">
      <formula>NOT(ISERROR(SEARCH("欠",T10)))</formula>
    </cfRule>
    <cfRule type="cellIs" dxfId="0" priority="82" operator="equal">
      <formula>"欠"</formula>
    </cfRule>
  </conditionalFormatting>
  <conditionalFormatting sqref="T22:T30">
    <cfRule type="containsText" dxfId="0" priority="2" operator="between" text="欠">
      <formula>NOT(ISERROR(SEARCH("欠",T22)))</formula>
    </cfRule>
    <cfRule type="cellIs" dxfId="0" priority="3" operator="equal">
      <formula>"欠"</formula>
    </cfRule>
  </conditionalFormatting>
  <conditionalFormatting sqref="R1:W2">
    <cfRule type="cellIs" dxfId="0" priority="226" operator="equal">
      <formula>"欠"</formula>
    </cfRule>
  </conditionalFormatting>
  <conditionalFormatting sqref="R2:W21 R31:W47">
    <cfRule type="containsText" dxfId="2" priority="6" operator="between" text="欠">
      <formula>NOT(ISERROR(SEARCH("欠",R2)))</formula>
    </cfRule>
  </conditionalFormatting>
  <conditionalFormatting sqref="R9:W15 T16">
    <cfRule type="cellIs" dxfId="0" priority="225" operator="equal">
      <formula>"欠"</formula>
    </cfRule>
  </conditionalFormatting>
  <conditionalFormatting sqref="R9:W15 T16 R47:W47">
    <cfRule type="containsText" dxfId="0" priority="224" operator="between" text="欠">
      <formula>NOT(ISERROR(SEARCH("欠",R9)))</formula>
    </cfRule>
  </conditionalFormatting>
  <conditionalFormatting sqref="R22:T30">
    <cfRule type="containsText" dxfId="2" priority="1" operator="between" text="欠">
      <formula>NOT(ISERROR(SEARCH("欠",R22)))</formula>
    </cfRule>
  </conditionalFormatting>
  <dataValidations count="1">
    <dataValidation type="list" allowBlank="1" showInputMessage="1" showErrorMessage="1" sqref="S3:S8 S10:S46">
      <formula1>"有,无"</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4"/>
  <sheetViews>
    <sheetView zoomScale="90" zoomScaleNormal="90" topLeftCell="F34" workbookViewId="0">
      <selection activeCell="AN33" sqref="AN33:AO33"/>
    </sheetView>
  </sheetViews>
  <sheetFormatPr defaultColWidth="9" defaultRowHeight="13.5"/>
  <cols>
    <col min="1" max="1" width="12.6416666666667" customWidth="1"/>
    <col min="2" max="2" width="10.4166666666667" customWidth="1"/>
    <col min="3" max="3" width="11.8083333333333" customWidth="1"/>
    <col min="4" max="4" width="9.51666666666667" customWidth="1"/>
    <col min="5" max="5" width="11.3916666666667" customWidth="1"/>
    <col min="6" max="6" width="10.2083333333333" customWidth="1"/>
    <col min="7" max="14" width="10.35" customWidth="1"/>
    <col min="15" max="15" width="11.4583333333333" customWidth="1"/>
    <col min="16" max="17" width="8.575" style="1" customWidth="1"/>
    <col min="18" max="18" width="31.0583333333333" style="1" customWidth="1"/>
    <col min="19" max="19" width="23.8916666666667" customWidth="1"/>
  </cols>
  <sheetData>
    <row r="1" ht="32" customHeight="1" spans="1:19">
      <c r="A1" s="144" t="s">
        <v>2225</v>
      </c>
      <c r="B1" s="145" t="s">
        <v>2226</v>
      </c>
      <c r="C1" s="145" t="s">
        <v>2227</v>
      </c>
      <c r="D1" s="145" t="s">
        <v>2228</v>
      </c>
      <c r="E1" s="146" t="s">
        <v>2229</v>
      </c>
      <c r="F1" s="147" t="s">
        <v>2230</v>
      </c>
      <c r="G1" s="148"/>
      <c r="H1" s="148"/>
      <c r="I1" s="148"/>
      <c r="J1" s="148"/>
      <c r="K1" s="148"/>
      <c r="L1" s="148"/>
      <c r="M1" s="148"/>
      <c r="N1" s="148"/>
      <c r="O1" s="148"/>
      <c r="P1" s="149" t="s">
        <v>2231</v>
      </c>
      <c r="Q1" s="150" t="s">
        <v>2232</v>
      </c>
      <c r="R1" s="149" t="s">
        <v>44</v>
      </c>
    </row>
    <row r="2" ht="17" customHeight="1" spans="1:19">
      <c r="A2" s="144"/>
      <c r="B2" s="145"/>
      <c r="C2" s="145"/>
      <c r="D2" s="145"/>
      <c r="E2" s="146" t="s">
        <v>2233</v>
      </c>
      <c r="F2" s="151"/>
      <c r="G2" s="152">
        <f t="shared" ref="G2:N2" si="0">(1-1/48)/8</f>
        <v>0.122395833333333</v>
      </c>
      <c r="H2" s="152">
        <f t="shared" si="0"/>
        <v>0.122395833333333</v>
      </c>
      <c r="I2" s="152">
        <f t="shared" si="0"/>
        <v>0.122395833333333</v>
      </c>
      <c r="J2" s="152">
        <f t="shared" si="0"/>
        <v>0.122395833333333</v>
      </c>
      <c r="K2" s="152">
        <f t="shared" si="0"/>
        <v>0.122395833333333</v>
      </c>
      <c r="L2" s="152">
        <f t="shared" si="0"/>
        <v>0.122395833333333</v>
      </c>
      <c r="M2" s="152">
        <f t="shared" si="0"/>
        <v>0.122395833333333</v>
      </c>
      <c r="N2" s="152">
        <f t="shared" si="0"/>
        <v>0.122395833333333</v>
      </c>
      <c r="O2" s="152">
        <f>1/48</f>
        <v>0.0208333333333333</v>
      </c>
      <c r="P2" s="149"/>
      <c r="Q2" s="149"/>
      <c r="R2" s="149"/>
    </row>
    <row r="3" ht="17" customHeight="1" spans="1:19">
      <c r="A3" s="144"/>
      <c r="B3" s="145"/>
      <c r="C3" s="145"/>
      <c r="D3" s="145"/>
      <c r="E3" s="146" t="s">
        <v>2234</v>
      </c>
      <c r="F3" s="151"/>
      <c r="G3" s="153" t="s">
        <v>2235</v>
      </c>
      <c r="H3" s="153" t="s">
        <v>2236</v>
      </c>
      <c r="I3" s="153" t="s">
        <v>2237</v>
      </c>
      <c r="J3" s="153" t="s">
        <v>2238</v>
      </c>
      <c r="K3" s="153" t="s">
        <v>2239</v>
      </c>
      <c r="L3" s="154" t="s">
        <v>2240</v>
      </c>
      <c r="M3" s="153" t="s">
        <v>2241</v>
      </c>
      <c r="N3" s="153" t="s">
        <v>2242</v>
      </c>
      <c r="O3" s="153" t="s">
        <v>2243</v>
      </c>
      <c r="P3" s="149"/>
      <c r="Q3" s="149"/>
      <c r="R3" s="149"/>
    </row>
    <row r="4" ht="17" customHeight="1" spans="1:19">
      <c r="A4" s="144"/>
      <c r="B4" s="145"/>
      <c r="C4" s="145"/>
      <c r="D4" s="145"/>
      <c r="E4" s="146" t="s">
        <v>2244</v>
      </c>
      <c r="F4" s="155"/>
      <c r="G4" s="156" t="s">
        <v>14</v>
      </c>
      <c r="H4" s="148" t="s">
        <v>15</v>
      </c>
      <c r="I4" s="156" t="s">
        <v>16</v>
      </c>
      <c r="J4" s="148" t="s">
        <v>17</v>
      </c>
      <c r="K4" s="157" t="s">
        <v>18</v>
      </c>
      <c r="L4" s="158" t="s">
        <v>19</v>
      </c>
      <c r="M4" s="156" t="s">
        <v>20</v>
      </c>
      <c r="N4" s="148" t="s">
        <v>21</v>
      </c>
      <c r="O4" s="148" t="s">
        <v>22</v>
      </c>
      <c r="P4" s="149"/>
      <c r="Q4" s="149"/>
      <c r="R4" s="149"/>
    </row>
    <row r="5" ht="20" customHeight="1" spans="1:19">
      <c r="A5" s="159" t="s">
        <v>2245</v>
      </c>
      <c r="B5" s="159" t="s">
        <v>2246</v>
      </c>
      <c r="C5" s="160">
        <v>45639</v>
      </c>
      <c r="D5" s="161">
        <v>45725</v>
      </c>
      <c r="E5" s="162" t="s">
        <v>2247</v>
      </c>
      <c r="F5" s="163">
        <f t="shared" ref="F5:F10" si="1">SUM(G5:O5)</f>
        <v>165006</v>
      </c>
      <c r="G5" s="164">
        <v>20196</v>
      </c>
      <c r="H5" s="164">
        <v>20196</v>
      </c>
      <c r="I5" s="164">
        <v>20196</v>
      </c>
      <c r="J5" s="164">
        <v>20196</v>
      </c>
      <c r="K5" s="164">
        <v>20196</v>
      </c>
      <c r="L5" s="165">
        <v>20196</v>
      </c>
      <c r="M5" s="164">
        <v>20196</v>
      </c>
      <c r="N5" s="164">
        <v>20196</v>
      </c>
      <c r="O5" s="164">
        <v>3438</v>
      </c>
      <c r="P5" s="164">
        <v>165006</v>
      </c>
      <c r="Q5" s="164"/>
      <c r="R5" s="166" t="s">
        <v>2248</v>
      </c>
    </row>
    <row r="6" ht="20" customHeight="1" spans="1:19">
      <c r="A6" s="159" t="s">
        <v>2245</v>
      </c>
      <c r="B6" s="159" t="s">
        <v>2249</v>
      </c>
      <c r="C6" s="160">
        <v>45673</v>
      </c>
      <c r="D6" s="161">
        <v>45773</v>
      </c>
      <c r="E6" s="162" t="s">
        <v>2247</v>
      </c>
      <c r="F6" s="163">
        <f t="shared" si="1"/>
        <v>235008</v>
      </c>
      <c r="G6" s="164">
        <v>28764</v>
      </c>
      <c r="H6" s="164">
        <v>28764</v>
      </c>
      <c r="I6" s="164">
        <v>28764</v>
      </c>
      <c r="J6" s="164">
        <v>28764</v>
      </c>
      <c r="K6" s="164">
        <v>28764</v>
      </c>
      <c r="L6" s="164">
        <v>28764</v>
      </c>
      <c r="M6" s="164">
        <v>28764</v>
      </c>
      <c r="N6" s="164">
        <v>28764</v>
      </c>
      <c r="O6" s="164">
        <v>4896</v>
      </c>
      <c r="P6" s="164">
        <v>235008</v>
      </c>
      <c r="Q6" s="164"/>
      <c r="R6" s="166" t="s">
        <v>2248</v>
      </c>
      <c r="S6" s="83"/>
    </row>
    <row r="7" ht="20" customHeight="1" spans="1:19">
      <c r="A7" s="159" t="s">
        <v>2245</v>
      </c>
      <c r="B7" s="159" t="s">
        <v>2250</v>
      </c>
      <c r="C7" s="160">
        <v>45792</v>
      </c>
      <c r="D7" s="161">
        <v>45828</v>
      </c>
      <c r="E7" s="162" t="s">
        <v>2247</v>
      </c>
      <c r="F7" s="163">
        <f t="shared" si="1"/>
        <v>200007</v>
      </c>
      <c r="G7" s="164">
        <v>24480</v>
      </c>
      <c r="H7" s="164">
        <v>24480</v>
      </c>
      <c r="I7" s="164">
        <v>24480</v>
      </c>
      <c r="J7" s="164">
        <v>24480</v>
      </c>
      <c r="K7" s="164">
        <v>24480</v>
      </c>
      <c r="L7" s="164">
        <v>24480</v>
      </c>
      <c r="M7" s="164">
        <v>24480</v>
      </c>
      <c r="N7" s="164">
        <v>24480</v>
      </c>
      <c r="O7" s="164">
        <v>4167</v>
      </c>
      <c r="Q7" s="167">
        <v>200000</v>
      </c>
      <c r="R7" s="166" t="s">
        <v>2248</v>
      </c>
      <c r="S7" s="83" t="s">
        <v>2251</v>
      </c>
    </row>
    <row r="8" ht="20" customHeight="1" spans="1:19">
      <c r="A8" s="159" t="s">
        <v>2252</v>
      </c>
      <c r="B8" s="159" t="s">
        <v>2253</v>
      </c>
      <c r="C8" s="160">
        <v>45881</v>
      </c>
      <c r="D8" s="161">
        <v>45917</v>
      </c>
      <c r="E8" s="162" t="s">
        <v>2247</v>
      </c>
      <c r="F8" s="163">
        <f t="shared" si="1"/>
        <v>165006</v>
      </c>
      <c r="G8" s="164">
        <v>20196</v>
      </c>
      <c r="H8" s="164">
        <v>20196</v>
      </c>
      <c r="I8" s="164">
        <v>20196</v>
      </c>
      <c r="J8" s="164">
        <v>20196</v>
      </c>
      <c r="K8" s="164">
        <v>20196</v>
      </c>
      <c r="L8" s="164">
        <v>20196</v>
      </c>
      <c r="M8" s="164">
        <v>20196</v>
      </c>
      <c r="N8" s="164">
        <v>20196</v>
      </c>
      <c r="O8" s="164">
        <v>3438</v>
      </c>
      <c r="P8" s="164"/>
      <c r="Q8" s="164">
        <v>165006</v>
      </c>
      <c r="R8" s="164" t="s">
        <v>2254</v>
      </c>
    </row>
    <row r="9" s="1" customFormat="1" ht="20" customHeight="1" spans="1:19">
      <c r="A9" s="159" t="s">
        <v>2252</v>
      </c>
      <c r="B9" s="159" t="s">
        <v>2255</v>
      </c>
      <c r="C9" s="160">
        <v>45974</v>
      </c>
      <c r="D9" s="161">
        <v>46018</v>
      </c>
      <c r="E9" s="168" t="s">
        <v>2247</v>
      </c>
      <c r="F9" s="163">
        <f t="shared" si="1"/>
        <v>165006</v>
      </c>
      <c r="G9" s="167">
        <v>20196</v>
      </c>
      <c r="H9" s="167">
        <v>20196</v>
      </c>
      <c r="I9" s="167">
        <v>20196</v>
      </c>
      <c r="J9" s="167">
        <v>20196</v>
      </c>
      <c r="K9" s="167">
        <v>20196</v>
      </c>
      <c r="L9" s="167">
        <v>20196</v>
      </c>
      <c r="M9" s="167">
        <v>20196</v>
      </c>
      <c r="N9" s="167">
        <v>20196</v>
      </c>
      <c r="O9" s="167">
        <v>3438</v>
      </c>
      <c r="P9" s="167"/>
      <c r="Q9" s="167">
        <v>165006</v>
      </c>
      <c r="R9" s="167" t="s">
        <v>2254</v>
      </c>
    </row>
    <row r="10" ht="20" customHeight="1" spans="1:19">
      <c r="A10" s="169" t="s">
        <v>2252</v>
      </c>
      <c r="B10" s="170" t="s">
        <v>2256</v>
      </c>
      <c r="C10" s="171">
        <v>46197</v>
      </c>
      <c r="D10" s="172">
        <v>46239</v>
      </c>
      <c r="E10" s="173" t="s">
        <v>2247</v>
      </c>
      <c r="F10" s="174">
        <f t="shared" si="1"/>
        <v>165006</v>
      </c>
      <c r="G10" s="175">
        <v>20196</v>
      </c>
      <c r="H10" s="175">
        <v>20196</v>
      </c>
      <c r="I10" s="175">
        <v>20196</v>
      </c>
      <c r="J10" s="175">
        <v>20196</v>
      </c>
      <c r="K10" s="175">
        <v>20196</v>
      </c>
      <c r="L10" s="175">
        <v>20196</v>
      </c>
      <c r="M10" s="175">
        <v>20196</v>
      </c>
      <c r="N10" s="175">
        <v>20196</v>
      </c>
      <c r="O10" s="175">
        <v>3438</v>
      </c>
      <c r="P10" s="175"/>
      <c r="Q10" s="175">
        <v>165000</v>
      </c>
      <c r="R10" s="175" t="s">
        <v>2254</v>
      </c>
    </row>
    <row r="11" ht="20" customHeight="1" spans="1:19">
      <c r="A11" s="159"/>
      <c r="B11" s="159"/>
      <c r="C11" s="160"/>
      <c r="D11" s="161"/>
      <c r="E11" s="176"/>
      <c r="F11" s="163"/>
      <c r="G11" s="164"/>
      <c r="H11" s="164"/>
      <c r="I11" s="164"/>
      <c r="J11" s="164"/>
      <c r="K11" s="164"/>
      <c r="L11" s="164"/>
      <c r="M11" s="164"/>
      <c r="N11" s="164"/>
      <c r="O11" s="164"/>
      <c r="P11" s="164"/>
      <c r="Q11" s="164"/>
      <c r="R11" s="164"/>
    </row>
    <row r="12" spans="1:19">
      <c r="E12" s="177" t="s">
        <v>2257</v>
      </c>
      <c r="F12" s="178">
        <f>SUM(F5:F11)</f>
        <v>1095039</v>
      </c>
      <c r="G12" s="178">
        <f t="shared" ref="G12:Q12" si="2">SUM(G5:G11)</f>
        <v>134028</v>
      </c>
      <c r="H12" s="178">
        <f t="shared" si="2"/>
        <v>134028</v>
      </c>
      <c r="I12" s="178">
        <f t="shared" si="2"/>
        <v>134028</v>
      </c>
      <c r="J12" s="178">
        <f t="shared" si="2"/>
        <v>134028</v>
      </c>
      <c r="K12" s="178">
        <f t="shared" si="2"/>
        <v>134028</v>
      </c>
      <c r="L12" s="178">
        <f t="shared" si="2"/>
        <v>134028</v>
      </c>
      <c r="M12" s="178">
        <f t="shared" si="2"/>
        <v>134028</v>
      </c>
      <c r="N12" s="178">
        <f t="shared" si="2"/>
        <v>134028</v>
      </c>
      <c r="O12" s="178">
        <f t="shared" si="2"/>
        <v>22815</v>
      </c>
      <c r="P12" s="178">
        <f t="shared" si="2"/>
        <v>400014</v>
      </c>
      <c r="Q12" s="178">
        <f t="shared" si="2"/>
        <v>695012</v>
      </c>
      <c r="R12" s="178"/>
    </row>
    <row r="13" spans="1:19">
      <c r="E13" s="177" t="s">
        <v>2258</v>
      </c>
      <c r="F13" s="178">
        <f>'77685排期'!AI127</f>
        <v>947358</v>
      </c>
      <c r="G13" s="178">
        <f>'77685排期'!BL127</f>
        <v>116104.46875</v>
      </c>
      <c r="H13" s="178">
        <f>'77685排期'!BM127</f>
        <v>116104.46875</v>
      </c>
      <c r="I13" s="178">
        <f>'77685排期'!BN127</f>
        <v>116104.46875</v>
      </c>
      <c r="J13" s="178">
        <f>'77685排期'!BO127</f>
        <v>116104.46875</v>
      </c>
      <c r="K13" s="178">
        <f>'77685排期'!BP127</f>
        <v>116104.46875</v>
      </c>
      <c r="L13" s="178">
        <f>'77685排期'!BQ127</f>
        <v>116104.46875</v>
      </c>
      <c r="M13" s="178">
        <f>'77685排期'!BR127</f>
        <v>116104.46875</v>
      </c>
      <c r="N13" s="178">
        <f>'77685排期'!BS127</f>
        <v>116104.46875</v>
      </c>
      <c r="O13" s="178">
        <f>'77685排期'!BT127</f>
        <v>19812.25</v>
      </c>
      <c r="P13" s="178">
        <f>'77685排期'!AJ127</f>
        <v>399867</v>
      </c>
      <c r="Q13" s="178">
        <f>'77685排期'!AK127</f>
        <v>523353</v>
      </c>
      <c r="R13" s="178"/>
    </row>
    <row r="14" spans="1:19">
      <c r="E14" s="177" t="s">
        <v>2259</v>
      </c>
      <c r="F14" s="178">
        <f>F12-F13</f>
        <v>147681</v>
      </c>
      <c r="G14" s="178">
        <f t="shared" ref="G14:Q14" si="3">G12-G13</f>
        <v>17923.5312500002</v>
      </c>
      <c r="H14" s="178">
        <f t="shared" si="3"/>
        <v>17923.5312500002</v>
      </c>
      <c r="I14" s="178">
        <f t="shared" si="3"/>
        <v>17923.5312500002</v>
      </c>
      <c r="J14" s="178">
        <f t="shared" si="3"/>
        <v>17923.5312500002</v>
      </c>
      <c r="K14" s="178">
        <f t="shared" si="3"/>
        <v>17923.5312500002</v>
      </c>
      <c r="L14" s="178">
        <f t="shared" si="3"/>
        <v>17923.5312500002</v>
      </c>
      <c r="M14" s="178">
        <f t="shared" si="3"/>
        <v>17923.5312500002</v>
      </c>
      <c r="N14" s="178">
        <f t="shared" si="3"/>
        <v>17923.5312500002</v>
      </c>
      <c r="O14" s="178">
        <f t="shared" si="3"/>
        <v>3002.75000000004</v>
      </c>
      <c r="P14" s="178">
        <f t="shared" si="3"/>
        <v>147</v>
      </c>
      <c r="Q14" s="178">
        <f t="shared" si="3"/>
        <v>171659</v>
      </c>
      <c r="R14" s="178"/>
    </row>
    <row r="15" customHeight="1"/>
    <row r="16" spans="1:19">
      <c r="N16" s="179" t="s">
        <v>2260</v>
      </c>
      <c r="O16" s="179">
        <f>SUM(G14:O14=F14)</f>
        <v>0</v>
      </c>
    </row>
    <row r="19" ht="24" spans="1:19">
      <c r="A19" s="180"/>
      <c r="B19" s="181"/>
      <c r="C19" s="182" t="s">
        <v>2261</v>
      </c>
      <c r="D19" s="183" t="s">
        <v>2262</v>
      </c>
      <c r="E19" s="184" t="s">
        <v>2263</v>
      </c>
      <c r="F19" s="185" t="s">
        <v>2264</v>
      </c>
      <c r="G19" s="185" t="s">
        <v>2265</v>
      </c>
      <c r="H19" s="185"/>
      <c r="I19" s="185"/>
      <c r="J19" s="185"/>
      <c r="K19" s="185"/>
      <c r="L19" s="185"/>
      <c r="M19" s="185"/>
      <c r="N19" s="185"/>
      <c r="O19" s="186" t="s">
        <v>2266</v>
      </c>
      <c r="P19" s="187" t="s">
        <v>2258</v>
      </c>
      <c r="Q19" s="188" t="s">
        <v>2259</v>
      </c>
    </row>
    <row r="20" spans="1:19">
      <c r="A20" s="180"/>
      <c r="B20" s="181"/>
      <c r="C20" s="182"/>
      <c r="D20" s="183"/>
      <c r="E20" s="184" t="s">
        <v>2267</v>
      </c>
      <c r="F20" s="189">
        <v>46183</v>
      </c>
      <c r="G20" s="189">
        <v>46233</v>
      </c>
      <c r="H20" s="189"/>
      <c r="I20" s="189"/>
      <c r="J20" s="189"/>
      <c r="K20" s="189"/>
      <c r="L20" s="189"/>
      <c r="M20" s="189"/>
      <c r="N20" s="189"/>
      <c r="O20" s="190"/>
      <c r="P20" s="191"/>
      <c r="Q20" s="192"/>
    </row>
    <row r="21" spans="1:19">
      <c r="A21" s="180"/>
      <c r="B21" s="181"/>
      <c r="C21" s="182"/>
      <c r="D21" s="183"/>
      <c r="E21" s="184" t="s">
        <v>2268</v>
      </c>
      <c r="F21" s="189">
        <v>46288</v>
      </c>
      <c r="G21" s="189">
        <v>46343</v>
      </c>
      <c r="H21" s="189"/>
      <c r="I21" s="189"/>
      <c r="J21" s="189"/>
      <c r="K21" s="189"/>
      <c r="L21" s="189"/>
      <c r="M21" s="189"/>
      <c r="N21" s="189"/>
      <c r="O21" s="190"/>
      <c r="P21" s="191"/>
      <c r="Q21" s="192"/>
    </row>
    <row r="22" spans="1:19">
      <c r="A22" s="180"/>
      <c r="B22" s="181"/>
      <c r="C22" s="182"/>
      <c r="D22" s="183"/>
      <c r="E22" s="193" t="s">
        <v>2269</v>
      </c>
      <c r="F22" s="194">
        <v>300000</v>
      </c>
      <c r="G22" s="194">
        <v>400000</v>
      </c>
      <c r="H22" s="194"/>
      <c r="I22" s="194"/>
      <c r="J22" s="194"/>
      <c r="K22" s="194"/>
      <c r="L22" s="194"/>
      <c r="M22" s="194"/>
      <c r="N22" s="194"/>
      <c r="O22" s="195">
        <f>SUM(F22:N22)</f>
        <v>700000</v>
      </c>
      <c r="P22" s="196">
        <f>'77907排期'!AJ49</f>
        <v>120909</v>
      </c>
      <c r="Q22" s="196">
        <f>O22-P22</f>
        <v>579091</v>
      </c>
    </row>
    <row r="23" spans="1:19">
      <c r="A23" s="197"/>
      <c r="B23" s="198" t="s">
        <v>2270</v>
      </c>
      <c r="C23" s="199" t="s">
        <v>2271</v>
      </c>
      <c r="D23" s="200"/>
      <c r="E23" s="201" t="s">
        <v>2272</v>
      </c>
      <c r="F23" s="202">
        <f>SUM(F22)</f>
        <v>300000</v>
      </c>
      <c r="G23" s="202">
        <f t="shared" ref="G23:N23" si="4">SUM(G22)</f>
        <v>400000</v>
      </c>
      <c r="H23" s="202">
        <f t="shared" si="4"/>
        <v>0</v>
      </c>
      <c r="I23" s="202">
        <f t="shared" si="4"/>
        <v>0</v>
      </c>
      <c r="J23" s="202">
        <f t="shared" si="4"/>
        <v>0</v>
      </c>
      <c r="K23" s="202">
        <f t="shared" si="4"/>
        <v>0</v>
      </c>
      <c r="L23" s="202">
        <f t="shared" si="4"/>
        <v>0</v>
      </c>
      <c r="M23" s="202">
        <f t="shared" si="4"/>
        <v>0</v>
      </c>
      <c r="N23" s="202">
        <f t="shared" si="4"/>
        <v>0</v>
      </c>
      <c r="O23" s="203">
        <v>300000</v>
      </c>
      <c r="P23" s="196"/>
      <c r="Q23" s="196"/>
      <c r="R23" s="199" t="s">
        <v>2273</v>
      </c>
      <c r="S23" s="199" t="s">
        <v>44</v>
      </c>
    </row>
    <row r="24" ht="30" customHeight="1" spans="1:19">
      <c r="A24" s="204" t="s">
        <v>2274</v>
      </c>
      <c r="B24" s="205" t="s">
        <v>2275</v>
      </c>
      <c r="C24" s="206" t="s">
        <v>2276</v>
      </c>
      <c r="D24" s="205">
        <v>20000</v>
      </c>
      <c r="E24" s="207">
        <v>0.1667</v>
      </c>
      <c r="F24" s="208">
        <v>50000</v>
      </c>
      <c r="G24" s="208">
        <v>66667</v>
      </c>
      <c r="H24" s="208"/>
      <c r="I24" s="208"/>
      <c r="J24" s="208"/>
      <c r="K24" s="208"/>
      <c r="L24" s="208"/>
      <c r="M24" s="208"/>
      <c r="N24" s="208"/>
      <c r="O24" s="195">
        <f>SUM(F24:N24)</f>
        <v>116667</v>
      </c>
      <c r="P24" s="209">
        <f>'77907排期'!BD49</f>
        <v>19839</v>
      </c>
      <c r="Q24" s="210">
        <f t="shared" ref="Q24:Q29" si="5">O24-P24</f>
        <v>96828</v>
      </c>
      <c r="R24" s="211" t="str">
        <f>_xlfn.DISPIMG("ID_95A1E42B117A437B8FC0B90EA3C2F77F",1)</f>
        <v>=DISPIMG("ID_95A1E42B117A437B8FC0B90EA3C2F77F",1)</v>
      </c>
      <c r="S24" s="212" t="s">
        <v>2277</v>
      </c>
    </row>
    <row r="25" ht="30" customHeight="1" spans="1:19">
      <c r="A25" s="204"/>
      <c r="B25" s="205" t="s">
        <v>2278</v>
      </c>
      <c r="C25" s="206" t="s">
        <v>2279</v>
      </c>
      <c r="D25" s="205">
        <v>20000</v>
      </c>
      <c r="E25" s="207">
        <v>0.1667</v>
      </c>
      <c r="F25" s="208">
        <v>50000</v>
      </c>
      <c r="G25" s="208">
        <v>66667</v>
      </c>
      <c r="H25" s="208"/>
      <c r="I25" s="208"/>
      <c r="J25" s="208"/>
      <c r="K25" s="208"/>
      <c r="L25" s="208"/>
      <c r="M25" s="208"/>
      <c r="N25" s="208"/>
      <c r="O25" s="195">
        <f>SUM(F25:N25)</f>
        <v>116667</v>
      </c>
      <c r="P25" s="209">
        <f>'77907排期'!BE49</f>
        <v>19839</v>
      </c>
      <c r="Q25" s="210">
        <f t="shared" si="5"/>
        <v>96828</v>
      </c>
      <c r="R25" s="211" t="str">
        <f>_xlfn.DISPIMG("ID_98318259577C4B108CFE6665BD612EA0",1)</f>
        <v>=DISPIMG("ID_98318259577C4B108CFE6665BD612EA0",1)</v>
      </c>
      <c r="S25" s="212" t="s">
        <v>2277</v>
      </c>
    </row>
    <row r="26" ht="30" customHeight="1" spans="1:19">
      <c r="A26" s="204"/>
      <c r="B26" s="205" t="s">
        <v>2280</v>
      </c>
      <c r="C26" s="206" t="s">
        <v>2281</v>
      </c>
      <c r="D26" s="205">
        <v>20000</v>
      </c>
      <c r="E26" s="207">
        <v>0.1667</v>
      </c>
      <c r="F26" s="208">
        <v>50000</v>
      </c>
      <c r="G26" s="208">
        <v>66667</v>
      </c>
      <c r="H26" s="208"/>
      <c r="I26" s="208"/>
      <c r="J26" s="208"/>
      <c r="K26" s="208"/>
      <c r="L26" s="208"/>
      <c r="M26" s="208"/>
      <c r="N26" s="208"/>
      <c r="O26" s="195">
        <f t="shared" ref="O26:O33" si="6">SUM(F26:N26)</f>
        <v>116667</v>
      </c>
      <c r="P26" s="209">
        <f>'77907排期'!BF49</f>
        <v>19839</v>
      </c>
      <c r="Q26" s="210">
        <f t="shared" si="5"/>
        <v>96828</v>
      </c>
      <c r="R26" s="211" t="str">
        <f>_xlfn.DISPIMG("ID_0D88EBC9838241A5925F16A7BCED0E17",1)</f>
        <v>=DISPIMG("ID_0D88EBC9838241A5925F16A7BCED0E17",1)</v>
      </c>
      <c r="S26" s="212" t="s">
        <v>2277</v>
      </c>
    </row>
    <row r="27" ht="30" customHeight="1" spans="1:19">
      <c r="A27" s="204"/>
      <c r="B27" s="205" t="s">
        <v>2282</v>
      </c>
      <c r="C27" s="206" t="s">
        <v>2283</v>
      </c>
      <c r="D27" s="205">
        <v>20000</v>
      </c>
      <c r="E27" s="207">
        <v>0.1667</v>
      </c>
      <c r="F27" s="208">
        <v>50000</v>
      </c>
      <c r="G27" s="208">
        <v>66667</v>
      </c>
      <c r="H27" s="208"/>
      <c r="I27" s="208"/>
      <c r="J27" s="208"/>
      <c r="K27" s="208"/>
      <c r="L27" s="208"/>
      <c r="M27" s="208"/>
      <c r="N27" s="208"/>
      <c r="O27" s="195">
        <f t="shared" si="6"/>
        <v>116667</v>
      </c>
      <c r="P27" s="209">
        <f>'77907排期'!BG49</f>
        <v>19839</v>
      </c>
      <c r="Q27" s="210">
        <f t="shared" si="5"/>
        <v>96828</v>
      </c>
      <c r="R27" s="211" t="str">
        <f>_xlfn.DISPIMG("ID_994D91EAAAC1400A9591852D25976B5E",1)</f>
        <v>=DISPIMG("ID_994D91EAAAC1400A9591852D25976B5E",1)</v>
      </c>
      <c r="S27" s="212" t="s">
        <v>2277</v>
      </c>
    </row>
    <row r="28" ht="30" customHeight="1" spans="1:19">
      <c r="A28" s="204"/>
      <c r="B28" s="205" t="s">
        <v>2284</v>
      </c>
      <c r="C28" s="206" t="s">
        <v>2285</v>
      </c>
      <c r="D28" s="205">
        <v>20000</v>
      </c>
      <c r="E28" s="207">
        <v>0.1667</v>
      </c>
      <c r="F28" s="208">
        <v>50000</v>
      </c>
      <c r="G28" s="208">
        <v>66667</v>
      </c>
      <c r="H28" s="208"/>
      <c r="I28" s="208"/>
      <c r="J28" s="208"/>
      <c r="K28" s="208"/>
      <c r="L28" s="208"/>
      <c r="M28" s="208"/>
      <c r="N28" s="208"/>
      <c r="O28" s="195">
        <f t="shared" si="6"/>
        <v>116667</v>
      </c>
      <c r="P28" s="209">
        <f>'77907排期'!BH49</f>
        <v>19839</v>
      </c>
      <c r="Q28" s="210">
        <f t="shared" si="5"/>
        <v>96828</v>
      </c>
      <c r="R28" s="211" t="str">
        <f>_xlfn.DISPIMG("ID_D1D05AB424154DDC8B55946A7A8767A4",1)</f>
        <v>=DISPIMG("ID_D1D05AB424154DDC8B55946A7A8767A4",1)</v>
      </c>
      <c r="S28" s="212" t="s">
        <v>2277</v>
      </c>
    </row>
    <row r="29" ht="30" customHeight="1" spans="1:19">
      <c r="A29" s="204"/>
      <c r="B29" s="205" t="s">
        <v>2286</v>
      </c>
      <c r="C29" s="206" t="s">
        <v>2287</v>
      </c>
      <c r="D29" s="205">
        <v>20000</v>
      </c>
      <c r="E29" s="207">
        <v>0.1667</v>
      </c>
      <c r="F29" s="208">
        <v>50000</v>
      </c>
      <c r="G29" s="208">
        <v>66667</v>
      </c>
      <c r="H29" s="208"/>
      <c r="I29" s="208"/>
      <c r="J29" s="208"/>
      <c r="K29" s="208"/>
      <c r="L29" s="208"/>
      <c r="M29" s="208"/>
      <c r="N29" s="208"/>
      <c r="O29" s="195">
        <f t="shared" si="6"/>
        <v>116667</v>
      </c>
      <c r="P29" s="209">
        <f>'77907排期'!BI49</f>
        <v>19839</v>
      </c>
      <c r="Q29" s="210">
        <f t="shared" si="5"/>
        <v>96828</v>
      </c>
      <c r="R29" s="213" t="str">
        <f>_xlfn.DISPIMG("ID_0C2743E423E04B8C9694EEDC3E580263",1)</f>
        <v>=DISPIMG("ID_0C2743E423E04B8C9694EEDC3E580263",1)</v>
      </c>
      <c r="S29" s="212" t="s">
        <v>2277</v>
      </c>
    </row>
    <row r="30" spans="1:19">
      <c r="A30" s="214"/>
      <c r="B30" s="214" t="s">
        <v>2266</v>
      </c>
      <c r="C30" s="201"/>
      <c r="D30" s="201"/>
      <c r="E30" s="215">
        <v>1</v>
      </c>
      <c r="F30" s="202">
        <f>SUM(F24:F29)</f>
        <v>300000</v>
      </c>
      <c r="G30" s="202">
        <f t="shared" ref="G30:N30" si="7">SUM(G24:G29)</f>
        <v>400002</v>
      </c>
      <c r="H30" s="202">
        <f t="shared" si="7"/>
        <v>0</v>
      </c>
      <c r="I30" s="202">
        <f t="shared" si="7"/>
        <v>0</v>
      </c>
      <c r="J30" s="202">
        <f t="shared" si="7"/>
        <v>0</v>
      </c>
      <c r="K30" s="202">
        <f t="shared" si="7"/>
        <v>0</v>
      </c>
      <c r="L30" s="202">
        <f t="shared" si="7"/>
        <v>0</v>
      </c>
      <c r="M30" s="202">
        <f t="shared" si="7"/>
        <v>0</v>
      </c>
      <c r="N30" s="202">
        <f t="shared" si="7"/>
        <v>0</v>
      </c>
      <c r="O30" s="203">
        <v>300000</v>
      </c>
      <c r="P30" s="196"/>
      <c r="Q30" s="196"/>
      <c r="R30" s="212"/>
      <c r="S30" s="212"/>
    </row>
    <row r="31" ht="30" customHeight="1" spans="1:19">
      <c r="A31" s="216" t="s">
        <v>2288</v>
      </c>
      <c r="B31" s="217" t="s">
        <v>2275</v>
      </c>
      <c r="C31" s="218" t="s">
        <v>2276</v>
      </c>
      <c r="D31" s="219" t="s">
        <v>2289</v>
      </c>
      <c r="E31" s="219" t="s">
        <v>2289</v>
      </c>
      <c r="F31" s="208">
        <v>1000</v>
      </c>
      <c r="G31" s="208">
        <v>10000</v>
      </c>
      <c r="H31" s="208"/>
      <c r="I31" s="208"/>
      <c r="J31" s="208"/>
      <c r="K31" s="208"/>
      <c r="L31" s="208"/>
      <c r="M31" s="208"/>
      <c r="N31" s="208"/>
      <c r="O31" s="195">
        <f t="shared" si="6"/>
        <v>11000</v>
      </c>
      <c r="P31" s="210">
        <f>'77907排期'!AP51</f>
        <v>3640.5</v>
      </c>
      <c r="Q31" s="210">
        <f>O31-P31</f>
        <v>7359.5</v>
      </c>
      <c r="R31" s="211" t="str">
        <f>_xlfn.DISPIMG("ID_107C29F80CE74A91A3A63E05F8A2AD2F",1)</f>
        <v>=DISPIMG("ID_107C29F80CE74A91A3A63E05F8A2AD2F",1)</v>
      </c>
      <c r="S31" s="212"/>
    </row>
    <row r="32" ht="30" customHeight="1" spans="1:19">
      <c r="A32" s="220" t="s">
        <v>2290</v>
      </c>
      <c r="B32" s="217" t="s">
        <v>2275</v>
      </c>
      <c r="C32" s="218" t="s">
        <v>2276</v>
      </c>
      <c r="D32" s="219" t="s">
        <v>2289</v>
      </c>
      <c r="E32" s="219" t="s">
        <v>2289</v>
      </c>
      <c r="F32" s="208">
        <v>1000</v>
      </c>
      <c r="G32" s="208"/>
      <c r="H32" s="208"/>
      <c r="I32" s="208"/>
      <c r="J32" s="208"/>
      <c r="K32" s="208"/>
      <c r="L32" s="208"/>
      <c r="M32" s="208"/>
      <c r="N32" s="208"/>
      <c r="O32" s="195">
        <f t="shared" si="6"/>
        <v>1000</v>
      </c>
      <c r="P32" s="191">
        <f>'77907排期'!AT51</f>
        <v>0</v>
      </c>
      <c r="Q32" s="210">
        <f>O32-P32</f>
        <v>1000</v>
      </c>
      <c r="R32" s="211" t="str">
        <f>_xlfn.DISPIMG("ID_72A44C10A37D4386856AB3FB4C996C21",1)</f>
        <v>=DISPIMG("ID_72A44C10A37D4386856AB3FB4C996C21",1)</v>
      </c>
      <c r="S32" s="212"/>
    </row>
    <row r="33" ht="30" customHeight="1" spans="1:19">
      <c r="A33" s="220"/>
      <c r="B33" s="205" t="s">
        <v>2280</v>
      </c>
      <c r="C33" s="218" t="s">
        <v>2281</v>
      </c>
      <c r="D33" s="219" t="s">
        <v>2289</v>
      </c>
      <c r="E33" s="219" t="s">
        <v>2289</v>
      </c>
      <c r="F33" s="208">
        <v>1000</v>
      </c>
      <c r="G33" s="208"/>
      <c r="H33" s="208"/>
      <c r="I33" s="208"/>
      <c r="J33" s="208"/>
      <c r="K33" s="208"/>
      <c r="L33" s="208"/>
      <c r="M33" s="208"/>
      <c r="N33" s="208"/>
      <c r="O33" s="195">
        <f t="shared" si="6"/>
        <v>1000</v>
      </c>
      <c r="P33" s="191">
        <f>P32</f>
        <v>0</v>
      </c>
      <c r="Q33" s="210">
        <f>O33-P33</f>
        <v>1000</v>
      </c>
      <c r="R33" s="211" t="str">
        <f>_xlfn.DISPIMG("ID_F6FDA78DA1934AE3BAD28D0E0590B4BA",1)</f>
        <v>=DISPIMG("ID_F6FDA78DA1934AE3BAD28D0E0590B4BA",1)</v>
      </c>
      <c r="S33" s="212"/>
    </row>
    <row r="34" spans="1:19">
      <c r="A34" s="214"/>
      <c r="B34" s="214" t="s">
        <v>2291</v>
      </c>
      <c r="C34" s="201"/>
      <c r="D34" s="221" t="s">
        <v>2289</v>
      </c>
      <c r="E34" s="221" t="s">
        <v>2289</v>
      </c>
      <c r="F34" s="202">
        <f>SUM(F31:F33)</f>
        <v>3000</v>
      </c>
      <c r="G34" s="202">
        <f t="shared" ref="G34:N34" si="8">SUM(G31:G33)</f>
        <v>10000</v>
      </c>
      <c r="H34" s="202">
        <f t="shared" si="8"/>
        <v>0</v>
      </c>
      <c r="I34" s="202">
        <f t="shared" si="8"/>
        <v>0</v>
      </c>
      <c r="J34" s="202">
        <f t="shared" si="8"/>
        <v>0</v>
      </c>
      <c r="K34" s="202">
        <f t="shared" si="8"/>
        <v>0</v>
      </c>
      <c r="L34" s="202">
        <f t="shared" si="8"/>
        <v>0</v>
      </c>
      <c r="M34" s="202">
        <f t="shared" si="8"/>
        <v>0</v>
      </c>
      <c r="N34" s="202">
        <f t="shared" si="8"/>
        <v>0</v>
      </c>
      <c r="O34" s="203">
        <v>3000</v>
      </c>
      <c r="P34" s="196"/>
      <c r="Q34" s="196"/>
      <c r="R34" s="196"/>
      <c r="S34" s="212"/>
    </row>
  </sheetData>
  <sheetProtection formatCells="0" formatColumns="0" formatRows="0" insertRows="0" insertColumns="0" insertHyperlinks="0" deleteColumns="0" deleteRows="0" sort="0" autoFilter="0" pivotTables="0"/>
  <mergeCells count="16">
    <mergeCell ref="A1:A4"/>
    <mergeCell ref="A19:A22"/>
    <mergeCell ref="A24:A29"/>
    <mergeCell ref="A32:A33"/>
    <mergeCell ref="B1:B4"/>
    <mergeCell ref="B19:B22"/>
    <mergeCell ref="C1:C4"/>
    <mergeCell ref="C19:C22"/>
    <mergeCell ref="D1:D4"/>
    <mergeCell ref="D19:D22"/>
    <mergeCell ref="F1:F4"/>
    <mergeCell ref="P1:P4"/>
    <mergeCell ref="P19:P21"/>
    <mergeCell ref="Q1:Q4"/>
    <mergeCell ref="Q19:Q21"/>
    <mergeCell ref="R1:R4"/>
  </mergeCells>
  <conditionalFormatting sqref="F14:Q14">
    <cfRule type="cellIs" dxfId="0" priority="2" operator="lessThan">
      <formula>0</formula>
    </cfRule>
  </conditionalFormatting>
  <conditionalFormatting sqref="R14">
    <cfRule type="cellIs" dxfId="0" priority="1" operator="lessThan">
      <formula>0</formula>
    </cfRule>
  </conditionalFormatting>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1"/>
  <sheetViews>
    <sheetView zoomScale="85" zoomScaleNormal="85" workbookViewId="0">
      <pane xSplit="7" ySplit="3" topLeftCell="K111" activePane="bottomRight" state="frozen"/>
      <selection/>
      <selection pane="topRight"/>
      <selection pane="bottomLeft"/>
      <selection pane="bottomRight" activeCell="K111" sqref="K111"/>
    </sheetView>
  </sheetViews>
  <sheetFormatPr defaultColWidth="9" defaultRowHeight="13.5"/>
  <cols>
    <col min="1" max="1" width="11.725" customWidth="1"/>
    <col min="2" max="2" width="11.0916666666667" customWidth="1"/>
    <col min="3" max="3" width="17.8166666666667" customWidth="1"/>
    <col min="4" max="4" width="16.775" customWidth="1"/>
    <col min="5" max="5" width="7.975" customWidth="1"/>
    <col min="6" max="6" width="5.775" customWidth="1"/>
    <col min="7" max="7" width="12.6833333333333" customWidth="1"/>
    <col min="8" max="9" width="7.575" customWidth="1"/>
    <col min="10" max="11" width="9.3" customWidth="1"/>
    <col min="12" max="23" width="7.575" customWidth="1"/>
    <col min="24" max="24" width="9.7" customWidth="1"/>
    <col min="25" max="26" width="11.0916666666667" customWidth="1"/>
    <col min="27" max="27" width="2.99166666666667" customWidth="1"/>
    <col min="28" max="28" width="55.35" customWidth="1"/>
  </cols>
  <sheetData>
    <row r="1" spans="1:28">
      <c r="A1" s="84" t="s">
        <v>2292</v>
      </c>
      <c r="B1" s="84"/>
      <c r="C1" s="84"/>
      <c r="D1" s="84"/>
      <c r="E1" s="84"/>
      <c r="F1" s="84"/>
      <c r="G1" s="84"/>
      <c r="H1" s="84"/>
      <c r="I1" s="84"/>
      <c r="J1" s="84"/>
      <c r="K1" s="84"/>
      <c r="L1" s="84"/>
      <c r="M1" s="84"/>
      <c r="N1" s="84"/>
      <c r="O1" s="84"/>
      <c r="P1" s="84"/>
      <c r="Q1" s="84"/>
      <c r="R1" s="84"/>
      <c r="S1" s="84"/>
      <c r="T1" s="84"/>
      <c r="U1" s="84"/>
      <c r="V1" s="84"/>
      <c r="W1" s="84"/>
      <c r="X1" s="84"/>
      <c r="Y1" s="84"/>
      <c r="Z1" s="84"/>
      <c r="AA1" s="84"/>
      <c r="AB1" s="84"/>
    </row>
    <row r="2" spans="1:28">
      <c r="A2" s="85" t="s">
        <v>1616</v>
      </c>
      <c r="B2" s="86" t="s">
        <v>2293</v>
      </c>
      <c r="C2" s="87" t="s">
        <v>2294</v>
      </c>
      <c r="D2" s="88" t="s">
        <v>2295</v>
      </c>
      <c r="E2" s="86" t="s">
        <v>2296</v>
      </c>
      <c r="F2" s="86" t="s">
        <v>2297</v>
      </c>
      <c r="G2" s="89" t="s">
        <v>2225</v>
      </c>
      <c r="H2" s="90" t="s">
        <v>2298</v>
      </c>
      <c r="I2" s="90"/>
      <c r="J2" s="91" t="s">
        <v>4</v>
      </c>
      <c r="K2" s="92"/>
      <c r="L2" s="90" t="s">
        <v>11</v>
      </c>
      <c r="M2" s="90"/>
      <c r="N2" s="90"/>
      <c r="O2" s="90" t="s">
        <v>12</v>
      </c>
      <c r="P2" s="90"/>
      <c r="Q2" s="90"/>
      <c r="R2" s="91" t="s">
        <v>6</v>
      </c>
      <c r="S2" s="93"/>
      <c r="T2" s="92"/>
      <c r="U2" s="90" t="s">
        <v>7</v>
      </c>
      <c r="V2" s="90"/>
      <c r="W2" s="91" t="s">
        <v>13</v>
      </c>
      <c r="X2" s="92"/>
      <c r="Y2" s="92" t="s">
        <v>8</v>
      </c>
      <c r="Z2" s="92"/>
      <c r="AA2" s="94"/>
      <c r="AB2" s="95"/>
    </row>
    <row r="3" ht="25" customHeight="1" spans="1:28">
      <c r="A3" s="87"/>
      <c r="B3" s="96"/>
      <c r="C3" s="87"/>
      <c r="D3" s="88"/>
      <c r="E3" s="96"/>
      <c r="F3" s="86"/>
      <c r="G3" s="89"/>
      <c r="H3" s="97" t="s">
        <v>59</v>
      </c>
      <c r="I3" s="97" t="s">
        <v>60</v>
      </c>
      <c r="J3" s="97" t="s">
        <v>62</v>
      </c>
      <c r="K3" s="97" t="s">
        <v>2299</v>
      </c>
      <c r="L3" s="97" t="s">
        <v>59</v>
      </c>
      <c r="M3" s="97" t="s">
        <v>60</v>
      </c>
      <c r="N3" s="97" t="s">
        <v>69</v>
      </c>
      <c r="O3" s="97" t="s">
        <v>59</v>
      </c>
      <c r="P3" s="97" t="s">
        <v>60</v>
      </c>
      <c r="Q3" s="97" t="s">
        <v>70</v>
      </c>
      <c r="R3" s="97" t="s">
        <v>59</v>
      </c>
      <c r="S3" s="97" t="s">
        <v>60</v>
      </c>
      <c r="T3" s="97" t="s">
        <v>2300</v>
      </c>
      <c r="U3" s="97" t="s">
        <v>59</v>
      </c>
      <c r="V3" s="97" t="s">
        <v>60</v>
      </c>
      <c r="W3" s="98" t="s">
        <v>71</v>
      </c>
      <c r="X3" s="98" t="s">
        <v>2301</v>
      </c>
      <c r="Y3" s="98" t="s">
        <v>65</v>
      </c>
      <c r="Z3" s="98" t="s">
        <v>2302</v>
      </c>
      <c r="AA3" s="99"/>
      <c r="AB3" s="100" t="s">
        <v>44</v>
      </c>
    </row>
    <row r="4" outlineLevel="1" spans="1:28">
      <c r="A4" s="101">
        <v>45677</v>
      </c>
      <c r="B4" s="102" t="s">
        <v>2303</v>
      </c>
      <c r="C4" s="102">
        <v>77685</v>
      </c>
      <c r="D4" s="102" t="s">
        <v>2304</v>
      </c>
      <c r="E4" s="102">
        <v>50000</v>
      </c>
      <c r="F4" s="102" t="s">
        <v>2305</v>
      </c>
      <c r="G4" s="102" t="s">
        <v>2306</v>
      </c>
      <c r="H4" s="103">
        <f>E4</f>
        <v>50000</v>
      </c>
      <c r="I4" s="104"/>
      <c r="J4" s="103"/>
      <c r="K4" s="103"/>
      <c r="L4" s="103"/>
      <c r="M4" s="103"/>
      <c r="N4" s="103"/>
      <c r="O4" s="103"/>
      <c r="P4" s="103"/>
      <c r="Q4" s="103"/>
      <c r="R4" s="103"/>
      <c r="S4" s="103"/>
      <c r="T4" s="103"/>
      <c r="U4" s="103"/>
      <c r="V4" s="103"/>
      <c r="W4" s="103"/>
      <c r="X4" s="103"/>
      <c r="Y4" s="103"/>
      <c r="Z4" s="103"/>
      <c r="AA4" s="103"/>
      <c r="AB4" s="103"/>
    </row>
    <row r="5" outlineLevel="1" spans="1:28">
      <c r="A5" s="101">
        <v>45677</v>
      </c>
      <c r="B5" s="102" t="s">
        <v>2307</v>
      </c>
      <c r="C5" s="102">
        <v>77685</v>
      </c>
      <c r="D5" s="102" t="s">
        <v>2308</v>
      </c>
      <c r="E5" s="102">
        <v>50000</v>
      </c>
      <c r="F5" s="102" t="s">
        <v>2309</v>
      </c>
      <c r="G5" s="102" t="s">
        <v>2306</v>
      </c>
      <c r="H5" s="103"/>
      <c r="I5" s="104"/>
      <c r="J5" s="103">
        <f>E5</f>
        <v>50000</v>
      </c>
      <c r="K5" s="103"/>
      <c r="L5" s="103"/>
      <c r="M5" s="103"/>
      <c r="N5" s="103"/>
      <c r="O5" s="103"/>
      <c r="P5" s="103"/>
      <c r="Q5" s="103"/>
      <c r="R5" s="103"/>
      <c r="S5" s="103"/>
      <c r="T5" s="103"/>
      <c r="U5" s="103"/>
      <c r="V5" s="103"/>
      <c r="W5" s="103"/>
      <c r="X5" s="103"/>
      <c r="Y5" s="103"/>
      <c r="Z5" s="103"/>
      <c r="AA5" s="103"/>
      <c r="AB5" s="103"/>
    </row>
    <row r="6" outlineLevel="1" spans="1:28">
      <c r="A6" s="101">
        <v>45677</v>
      </c>
      <c r="B6" s="102" t="s">
        <v>2310</v>
      </c>
      <c r="C6" s="102" t="s">
        <v>2311</v>
      </c>
      <c r="D6" s="102" t="s">
        <v>2312</v>
      </c>
      <c r="E6" s="102">
        <v>500</v>
      </c>
      <c r="F6" s="102" t="s">
        <v>2305</v>
      </c>
      <c r="G6" s="102" t="s">
        <v>2306</v>
      </c>
      <c r="H6" s="103"/>
      <c r="I6" s="104"/>
      <c r="J6" s="103"/>
      <c r="K6" s="103"/>
      <c r="L6" s="103"/>
      <c r="M6" s="103"/>
      <c r="N6" s="103"/>
      <c r="O6" s="103"/>
      <c r="P6" s="103"/>
      <c r="Q6" s="103"/>
      <c r="R6" s="103"/>
      <c r="S6" s="103"/>
      <c r="T6" s="103"/>
      <c r="U6" s="103">
        <f>E6</f>
        <v>500</v>
      </c>
      <c r="V6" s="103"/>
      <c r="W6" s="103"/>
      <c r="X6" s="103"/>
      <c r="Y6" s="103"/>
      <c r="Z6" s="103"/>
      <c r="AA6" s="103"/>
      <c r="AB6" s="103"/>
    </row>
    <row r="7" outlineLevel="1" spans="1:28">
      <c r="A7" s="101">
        <v>45677</v>
      </c>
      <c r="B7" s="102" t="s">
        <v>2313</v>
      </c>
      <c r="C7" s="102" t="s">
        <v>2314</v>
      </c>
      <c r="D7" s="102" t="s">
        <v>2312</v>
      </c>
      <c r="E7" s="102">
        <v>500</v>
      </c>
      <c r="F7" s="102" t="s">
        <v>2305</v>
      </c>
      <c r="G7" s="102" t="s">
        <v>2306</v>
      </c>
      <c r="H7" s="103"/>
      <c r="I7" s="104"/>
      <c r="J7" s="103"/>
      <c r="K7" s="103"/>
      <c r="L7" s="103"/>
      <c r="M7" s="103"/>
      <c r="N7" s="103"/>
      <c r="O7" s="103"/>
      <c r="P7" s="103"/>
      <c r="Q7" s="103"/>
      <c r="R7" s="103">
        <f>E7</f>
        <v>500</v>
      </c>
      <c r="S7" s="103"/>
      <c r="T7" s="103"/>
      <c r="U7" s="103"/>
      <c r="V7" s="103"/>
      <c r="W7" s="103"/>
      <c r="X7" s="103"/>
      <c r="Y7" s="103"/>
      <c r="Z7" s="103"/>
      <c r="AA7" s="103"/>
      <c r="AB7" s="103"/>
    </row>
    <row r="8" outlineLevel="1" spans="1:28">
      <c r="A8" s="101">
        <v>45677</v>
      </c>
      <c r="B8" s="102" t="s">
        <v>2315</v>
      </c>
      <c r="C8" s="102" t="s">
        <v>2314</v>
      </c>
      <c r="D8" s="102" t="s">
        <v>2312</v>
      </c>
      <c r="E8" s="102">
        <v>800</v>
      </c>
      <c r="F8" s="102" t="s">
        <v>2316</v>
      </c>
      <c r="G8" s="102" t="s">
        <v>2306</v>
      </c>
      <c r="H8" s="103"/>
      <c r="I8" s="104"/>
      <c r="J8" s="103"/>
      <c r="K8" s="103"/>
      <c r="L8" s="103"/>
      <c r="M8" s="103"/>
      <c r="N8" s="103"/>
      <c r="O8" s="103"/>
      <c r="P8" s="103"/>
      <c r="Q8" s="103"/>
      <c r="R8" s="103"/>
      <c r="S8" s="103">
        <f>E8</f>
        <v>800</v>
      </c>
      <c r="T8" s="103"/>
      <c r="U8" s="103"/>
      <c r="V8" s="103"/>
      <c r="W8" s="103"/>
      <c r="X8" s="103"/>
      <c r="Y8" s="103"/>
      <c r="Z8" s="103"/>
      <c r="AA8" s="103"/>
      <c r="AB8" s="103"/>
    </row>
    <row r="9" outlineLevel="1" spans="1:28">
      <c r="A9" s="101">
        <v>45705</v>
      </c>
      <c r="B9" s="102" t="s">
        <v>2317</v>
      </c>
      <c r="C9" s="102">
        <v>77723</v>
      </c>
      <c r="D9" s="102" t="s">
        <v>2318</v>
      </c>
      <c r="E9" s="102">
        <v>10000</v>
      </c>
      <c r="F9" s="102" t="s">
        <v>2319</v>
      </c>
      <c r="G9" s="102" t="s">
        <v>2320</v>
      </c>
      <c r="H9" s="103"/>
      <c r="I9" s="104"/>
      <c r="J9" s="103"/>
      <c r="K9" s="103"/>
      <c r="L9" s="103"/>
      <c r="M9" s="103"/>
      <c r="N9" s="103"/>
      <c r="O9" s="103"/>
      <c r="P9" s="103"/>
      <c r="Q9" s="103"/>
      <c r="R9" s="103"/>
      <c r="S9" s="103"/>
      <c r="T9" s="103"/>
      <c r="U9" s="103"/>
      <c r="V9" s="103"/>
      <c r="W9" s="103">
        <f>E9</f>
        <v>10000</v>
      </c>
      <c r="X9" s="103"/>
      <c r="Y9" s="103"/>
      <c r="Z9" s="103"/>
      <c r="AA9" s="103"/>
      <c r="AB9" s="103" t="s">
        <v>2321</v>
      </c>
    </row>
    <row r="10" outlineLevel="1" spans="1:28">
      <c r="A10" s="101">
        <v>45705</v>
      </c>
      <c r="B10" s="102" t="s">
        <v>2322</v>
      </c>
      <c r="C10" s="102">
        <v>77723</v>
      </c>
      <c r="D10" s="102" t="s">
        <v>2323</v>
      </c>
      <c r="E10" s="102">
        <v>5000</v>
      </c>
      <c r="F10" s="102" t="s">
        <v>2319</v>
      </c>
      <c r="G10" s="102" t="s">
        <v>2320</v>
      </c>
      <c r="H10" s="103"/>
      <c r="I10" s="104"/>
      <c r="J10" s="103"/>
      <c r="K10" s="103"/>
      <c r="L10" s="103"/>
      <c r="M10" s="103"/>
      <c r="N10" s="103"/>
      <c r="O10" s="103"/>
      <c r="P10" s="103"/>
      <c r="Q10" s="103"/>
      <c r="R10" s="103"/>
      <c r="S10" s="103"/>
      <c r="T10" s="103"/>
      <c r="U10" s="103"/>
      <c r="V10" s="103"/>
      <c r="W10" s="103"/>
      <c r="X10" s="103">
        <f>E10</f>
        <v>5000</v>
      </c>
      <c r="Y10" s="103"/>
      <c r="Z10" s="103"/>
      <c r="AA10" s="103"/>
      <c r="AB10" s="103" t="s">
        <v>2321</v>
      </c>
    </row>
    <row r="11" s="83" customFormat="1" outlineLevel="1" spans="1:28">
      <c r="A11" s="105">
        <v>45705</v>
      </c>
      <c r="B11" s="106" t="s">
        <v>2324</v>
      </c>
      <c r="C11" s="106">
        <v>77723</v>
      </c>
      <c r="D11" s="106" t="s">
        <v>2325</v>
      </c>
      <c r="E11" s="106">
        <v>5000</v>
      </c>
      <c r="F11" s="106" t="s">
        <v>2319</v>
      </c>
      <c r="G11" s="106" t="s">
        <v>2320</v>
      </c>
      <c r="H11" s="107"/>
      <c r="I11" s="108"/>
      <c r="J11" s="107"/>
      <c r="K11" s="107"/>
      <c r="L11" s="107"/>
      <c r="M11" s="107"/>
      <c r="N11" s="107"/>
      <c r="O11" s="107"/>
      <c r="P11" s="107"/>
      <c r="Q11" s="107"/>
      <c r="R11" s="107"/>
      <c r="S11" s="107"/>
      <c r="T11" s="107"/>
      <c r="U11" s="107"/>
      <c r="V11" s="107"/>
      <c r="W11" s="107"/>
      <c r="X11" s="107"/>
      <c r="Y11" s="107"/>
      <c r="Z11" s="107"/>
      <c r="AA11" s="107"/>
      <c r="AB11" s="107" t="s">
        <v>2321</v>
      </c>
    </row>
    <row r="12" outlineLevel="1" spans="1:28">
      <c r="A12" s="109">
        <v>45714</v>
      </c>
      <c r="B12" s="110" t="s">
        <v>2326</v>
      </c>
      <c r="C12" s="110">
        <v>77685</v>
      </c>
      <c r="D12" s="110" t="s">
        <v>2308</v>
      </c>
      <c r="E12" s="110">
        <v>50000</v>
      </c>
      <c r="F12" s="110" t="s">
        <v>2309</v>
      </c>
      <c r="G12" s="110" t="s">
        <v>2306</v>
      </c>
      <c r="H12" s="103"/>
      <c r="I12" s="104"/>
      <c r="J12" s="103">
        <f>E12</f>
        <v>50000</v>
      </c>
      <c r="K12" s="103"/>
      <c r="L12" s="103"/>
      <c r="M12" s="103"/>
      <c r="N12" s="103"/>
      <c r="O12" s="103"/>
      <c r="P12" s="103"/>
      <c r="Q12" s="103"/>
      <c r="R12" s="103"/>
      <c r="S12" s="103"/>
      <c r="T12" s="103"/>
      <c r="U12" s="103"/>
      <c r="V12" s="103"/>
      <c r="W12" s="103"/>
      <c r="X12" s="103"/>
      <c r="Y12" s="103"/>
      <c r="Z12" s="103"/>
      <c r="AA12" s="103"/>
      <c r="AB12" s="103"/>
    </row>
    <row r="13" outlineLevel="1" spans="1:28">
      <c r="A13" s="109">
        <v>45714</v>
      </c>
      <c r="B13" s="110" t="s">
        <v>2327</v>
      </c>
      <c r="C13" s="110" t="s">
        <v>2311</v>
      </c>
      <c r="D13" s="110" t="s">
        <v>2312</v>
      </c>
      <c r="E13" s="110">
        <v>1500</v>
      </c>
      <c r="F13" s="110" t="s">
        <v>2305</v>
      </c>
      <c r="G13" s="110" t="s">
        <v>2306</v>
      </c>
      <c r="H13" s="103"/>
      <c r="I13" s="104"/>
      <c r="J13" s="103"/>
      <c r="K13" s="103"/>
      <c r="L13" s="103"/>
      <c r="M13" s="103"/>
      <c r="N13" s="103"/>
      <c r="O13" s="103"/>
      <c r="P13" s="103"/>
      <c r="Q13" s="103"/>
      <c r="R13" s="103"/>
      <c r="S13" s="103"/>
      <c r="T13" s="103"/>
      <c r="U13" s="103">
        <f>E13</f>
        <v>1500</v>
      </c>
      <c r="V13" s="103"/>
      <c r="W13" s="103"/>
      <c r="X13" s="103"/>
      <c r="Y13" s="103"/>
      <c r="Z13" s="103"/>
      <c r="AA13" s="103"/>
      <c r="AB13" s="103"/>
    </row>
    <row r="14" outlineLevel="1" spans="1:28">
      <c r="A14" s="109">
        <v>45723</v>
      </c>
      <c r="B14" s="110" t="s">
        <v>2328</v>
      </c>
      <c r="C14" s="110">
        <v>77685</v>
      </c>
      <c r="D14" s="110" t="s">
        <v>2304</v>
      </c>
      <c r="E14" s="110">
        <v>20000</v>
      </c>
      <c r="F14" s="110" t="s">
        <v>2316</v>
      </c>
      <c r="G14" s="110" t="s">
        <v>2306</v>
      </c>
      <c r="H14" s="103"/>
      <c r="I14" s="104">
        <f>E14</f>
        <v>20000</v>
      </c>
      <c r="J14" s="103"/>
      <c r="K14" s="103"/>
      <c r="L14" s="103"/>
      <c r="M14" s="103"/>
      <c r="N14" s="103"/>
      <c r="O14" s="103"/>
      <c r="P14" s="103"/>
      <c r="Q14" s="103"/>
      <c r="R14" s="103"/>
      <c r="S14" s="103"/>
      <c r="T14" s="103"/>
      <c r="U14" s="103"/>
      <c r="V14" s="103"/>
      <c r="W14" s="103"/>
      <c r="X14" s="103"/>
      <c r="Y14" s="103"/>
      <c r="Z14" s="103"/>
      <c r="AA14" s="103"/>
      <c r="AB14" s="103"/>
    </row>
    <row r="15" outlineLevel="1" spans="1:28">
      <c r="A15" s="109">
        <v>45723</v>
      </c>
      <c r="B15" s="110" t="s">
        <v>2329</v>
      </c>
      <c r="C15" s="110" t="s">
        <v>2330</v>
      </c>
      <c r="D15" s="110" t="s">
        <v>2331</v>
      </c>
      <c r="E15" s="110">
        <v>300</v>
      </c>
      <c r="F15" s="110" t="s">
        <v>2316</v>
      </c>
      <c r="G15" s="110" t="s">
        <v>2306</v>
      </c>
      <c r="H15" s="103"/>
      <c r="I15" s="104"/>
      <c r="J15" s="103"/>
      <c r="K15" s="103"/>
      <c r="L15" s="103"/>
      <c r="M15" s="103">
        <f>E15</f>
        <v>300</v>
      </c>
      <c r="N15" s="103"/>
      <c r="O15" s="103"/>
      <c r="P15" s="103"/>
      <c r="Q15" s="103"/>
      <c r="R15" s="103"/>
      <c r="S15" s="103"/>
      <c r="T15" s="103"/>
      <c r="U15" s="103"/>
      <c r="V15" s="103"/>
      <c r="W15" s="103"/>
      <c r="X15" s="103"/>
      <c r="Y15" s="103"/>
      <c r="Z15" s="103"/>
      <c r="AA15" s="103"/>
      <c r="AB15" s="103"/>
    </row>
    <row r="16" outlineLevel="1" spans="1:28">
      <c r="A16" s="109">
        <v>45723</v>
      </c>
      <c r="B16" s="110" t="s">
        <v>2332</v>
      </c>
      <c r="C16" s="110" t="s">
        <v>2330</v>
      </c>
      <c r="D16" s="110" t="s">
        <v>2333</v>
      </c>
      <c r="E16" s="110">
        <v>300</v>
      </c>
      <c r="F16" s="110" t="s">
        <v>2316</v>
      </c>
      <c r="G16" s="110" t="s">
        <v>2306</v>
      </c>
      <c r="H16" s="103"/>
      <c r="I16" s="104"/>
      <c r="J16" s="103"/>
      <c r="K16" s="103"/>
      <c r="L16" s="103"/>
      <c r="M16" s="103"/>
      <c r="N16" s="103">
        <f>E16</f>
        <v>300</v>
      </c>
      <c r="O16" s="103"/>
      <c r="P16" s="103"/>
      <c r="Q16" s="103"/>
      <c r="R16" s="103"/>
      <c r="S16" s="103"/>
      <c r="T16" s="103"/>
      <c r="U16" s="103"/>
      <c r="V16" s="103"/>
      <c r="W16" s="103"/>
      <c r="X16" s="103"/>
      <c r="Y16" s="103"/>
      <c r="Z16" s="103"/>
      <c r="AA16" s="103"/>
      <c r="AB16" s="103"/>
    </row>
    <row r="17" outlineLevel="1" spans="1:28">
      <c r="A17" s="109">
        <v>45727</v>
      </c>
      <c r="B17" s="110" t="s">
        <v>2334</v>
      </c>
      <c r="C17" s="110" t="s">
        <v>2335</v>
      </c>
      <c r="D17" s="110" t="s">
        <v>2312</v>
      </c>
      <c r="E17" s="110">
        <v>500</v>
      </c>
      <c r="F17" s="110" t="s">
        <v>2319</v>
      </c>
      <c r="G17" s="110" t="s">
        <v>2336</v>
      </c>
      <c r="H17" s="103"/>
      <c r="I17" s="104"/>
      <c r="J17" s="103"/>
      <c r="K17" s="103"/>
      <c r="L17" s="103"/>
      <c r="M17" s="103"/>
      <c r="N17" s="103"/>
      <c r="O17" s="103"/>
      <c r="P17" s="103"/>
      <c r="Q17" s="103"/>
      <c r="R17" s="103"/>
      <c r="S17" s="103"/>
      <c r="T17" s="103"/>
      <c r="U17" s="103"/>
      <c r="V17" s="103"/>
      <c r="W17" s="103"/>
      <c r="X17" s="103"/>
      <c r="Y17" s="111">
        <f>E17</f>
        <v>500</v>
      </c>
      <c r="Z17" s="111"/>
      <c r="AA17" s="103"/>
      <c r="AB17" s="103" t="s">
        <v>2337</v>
      </c>
    </row>
    <row r="18" outlineLevel="1" spans="1:28">
      <c r="A18" s="109">
        <v>45743</v>
      </c>
      <c r="B18" s="110" t="s">
        <v>2338</v>
      </c>
      <c r="C18" s="110" t="s">
        <v>2311</v>
      </c>
      <c r="D18" s="110" t="s">
        <v>2312</v>
      </c>
      <c r="E18" s="110">
        <v>1000</v>
      </c>
      <c r="F18" s="110" t="s">
        <v>2305</v>
      </c>
      <c r="G18" s="110" t="s">
        <v>2306</v>
      </c>
      <c r="H18" s="103"/>
      <c r="I18" s="104"/>
      <c r="J18" s="103"/>
      <c r="K18" s="103"/>
      <c r="L18" s="103"/>
      <c r="M18" s="103"/>
      <c r="N18" s="103"/>
      <c r="O18" s="103"/>
      <c r="P18" s="103"/>
      <c r="Q18" s="103"/>
      <c r="R18" s="103"/>
      <c r="S18" s="103"/>
      <c r="T18" s="103"/>
      <c r="U18" s="103">
        <f>E18</f>
        <v>1000</v>
      </c>
      <c r="V18" s="103"/>
      <c r="W18" s="103"/>
      <c r="X18" s="103"/>
      <c r="Y18" s="103"/>
      <c r="Z18" s="103"/>
      <c r="AA18" s="103"/>
      <c r="AB18" s="103"/>
    </row>
    <row r="19" outlineLevel="1" spans="1:28">
      <c r="A19" s="109">
        <v>45743</v>
      </c>
      <c r="B19" s="110" t="s">
        <v>2339</v>
      </c>
      <c r="C19" s="110" t="s">
        <v>2311</v>
      </c>
      <c r="D19" s="110" t="s">
        <v>2312</v>
      </c>
      <c r="E19" s="110">
        <v>500</v>
      </c>
      <c r="F19" s="110" t="s">
        <v>2316</v>
      </c>
      <c r="G19" s="110" t="s">
        <v>2306</v>
      </c>
      <c r="H19" s="103"/>
      <c r="I19" s="104"/>
      <c r="J19" s="103"/>
      <c r="K19" s="103"/>
      <c r="L19" s="103"/>
      <c r="M19" s="103"/>
      <c r="N19" s="103"/>
      <c r="O19" s="103"/>
      <c r="P19" s="103"/>
      <c r="Q19" s="103"/>
      <c r="R19" s="103"/>
      <c r="S19" s="103"/>
      <c r="T19" s="103"/>
      <c r="U19" s="103"/>
      <c r="V19" s="103">
        <f>E19</f>
        <v>500</v>
      </c>
      <c r="W19" s="103"/>
      <c r="X19" s="103"/>
      <c r="Y19" s="103"/>
      <c r="Z19" s="103"/>
      <c r="AA19" s="103"/>
      <c r="AB19" s="103"/>
    </row>
    <row r="20" outlineLevel="1" spans="1:28">
      <c r="A20" s="109">
        <v>45743</v>
      </c>
      <c r="B20" s="110" t="s">
        <v>2340</v>
      </c>
      <c r="C20" s="110" t="s">
        <v>2314</v>
      </c>
      <c r="D20" s="110" t="s">
        <v>2312</v>
      </c>
      <c r="E20" s="110">
        <v>500</v>
      </c>
      <c r="F20" s="110" t="s">
        <v>2316</v>
      </c>
      <c r="G20" s="110" t="s">
        <v>2306</v>
      </c>
      <c r="H20" s="103"/>
      <c r="I20" s="104"/>
      <c r="J20" s="103"/>
      <c r="K20" s="103"/>
      <c r="L20" s="103"/>
      <c r="M20" s="103"/>
      <c r="N20" s="103"/>
      <c r="O20" s="103"/>
      <c r="P20" s="103"/>
      <c r="Q20" s="103"/>
      <c r="R20" s="103"/>
      <c r="S20" s="103">
        <f>E20</f>
        <v>500</v>
      </c>
      <c r="T20" s="103"/>
      <c r="U20" s="103"/>
      <c r="V20" s="103"/>
      <c r="W20" s="103"/>
      <c r="X20" s="103"/>
      <c r="Y20" s="103"/>
      <c r="Z20" s="103"/>
      <c r="AA20" s="103"/>
      <c r="AB20" s="103"/>
    </row>
    <row r="21" outlineLevel="1" spans="1:28">
      <c r="A21" s="109">
        <v>45744</v>
      </c>
      <c r="B21" s="110" t="s">
        <v>2341</v>
      </c>
      <c r="C21" s="110" t="s">
        <v>2335</v>
      </c>
      <c r="D21" s="110" t="s">
        <v>2312</v>
      </c>
      <c r="E21" s="110">
        <v>556</v>
      </c>
      <c r="F21" s="110" t="s">
        <v>2319</v>
      </c>
      <c r="G21" s="110" t="s">
        <v>2336</v>
      </c>
      <c r="H21" s="103"/>
      <c r="I21" s="104"/>
      <c r="J21" s="103"/>
      <c r="K21" s="103"/>
      <c r="L21" s="103"/>
      <c r="M21" s="103"/>
      <c r="N21" s="103"/>
      <c r="O21" s="103"/>
      <c r="P21" s="103"/>
      <c r="Q21" s="103"/>
      <c r="R21" s="103"/>
      <c r="S21" s="103"/>
      <c r="T21" s="103"/>
      <c r="U21" s="103"/>
      <c r="V21" s="103"/>
      <c r="W21" s="103"/>
      <c r="X21" s="103"/>
      <c r="Y21" s="111">
        <f>E21</f>
        <v>556</v>
      </c>
      <c r="Z21" s="111"/>
      <c r="AA21" s="103"/>
      <c r="AB21" s="103" t="s">
        <v>2342</v>
      </c>
    </row>
    <row r="22" outlineLevel="1" spans="1:28">
      <c r="A22" s="109">
        <v>45749</v>
      </c>
      <c r="B22" s="110" t="s">
        <v>2343</v>
      </c>
      <c r="C22" s="110" t="s">
        <v>2335</v>
      </c>
      <c r="D22" s="110" t="s">
        <v>2312</v>
      </c>
      <c r="E22" s="110">
        <v>3901</v>
      </c>
      <c r="F22" s="110" t="s">
        <v>2319</v>
      </c>
      <c r="G22" s="110" t="s">
        <v>2336</v>
      </c>
      <c r="H22" s="103"/>
      <c r="I22" s="104"/>
      <c r="J22" s="103"/>
      <c r="K22" s="103"/>
      <c r="L22" s="103"/>
      <c r="M22" s="103"/>
      <c r="N22" s="103"/>
      <c r="O22" s="103"/>
      <c r="P22" s="103"/>
      <c r="Q22" s="103"/>
      <c r="R22" s="103"/>
      <c r="S22" s="103"/>
      <c r="T22" s="103"/>
      <c r="U22" s="103"/>
      <c r="V22" s="103"/>
      <c r="W22" s="103"/>
      <c r="X22" s="103"/>
      <c r="Y22" s="111">
        <f>E22</f>
        <v>3901</v>
      </c>
      <c r="Z22" s="111"/>
      <c r="AA22" s="103"/>
      <c r="AB22" s="103" t="s">
        <v>2344</v>
      </c>
    </row>
    <row r="23" outlineLevel="1" spans="1:28">
      <c r="A23" s="109">
        <v>45756</v>
      </c>
      <c r="B23" s="110" t="s">
        <v>2345</v>
      </c>
      <c r="C23" s="110">
        <v>77685</v>
      </c>
      <c r="D23" s="110" t="s">
        <v>2304</v>
      </c>
      <c r="E23" s="110">
        <v>100000</v>
      </c>
      <c r="F23" s="110" t="s">
        <v>2305</v>
      </c>
      <c r="G23" s="110" t="s">
        <v>2306</v>
      </c>
      <c r="H23" s="103">
        <f>E23</f>
        <v>100000</v>
      </c>
      <c r="I23" s="104"/>
      <c r="J23" s="103"/>
      <c r="K23" s="103"/>
      <c r="L23" s="103"/>
      <c r="M23" s="103"/>
      <c r="N23" s="103"/>
      <c r="O23" s="103"/>
      <c r="P23" s="103"/>
      <c r="Q23" s="103"/>
      <c r="R23" s="103"/>
      <c r="S23" s="103"/>
      <c r="T23" s="103"/>
      <c r="U23" s="103"/>
      <c r="V23" s="103"/>
      <c r="W23" s="103"/>
      <c r="X23" s="103"/>
      <c r="Y23" s="111"/>
      <c r="Z23" s="111"/>
      <c r="AA23" s="103"/>
      <c r="AB23" s="103"/>
    </row>
    <row r="24" outlineLevel="1" spans="1:28">
      <c r="A24" s="109">
        <v>45756</v>
      </c>
      <c r="B24" s="110" t="s">
        <v>2346</v>
      </c>
      <c r="C24" s="110">
        <v>77685</v>
      </c>
      <c r="D24" s="110" t="s">
        <v>2308</v>
      </c>
      <c r="E24" s="110">
        <v>100000</v>
      </c>
      <c r="F24" s="110" t="s">
        <v>2309</v>
      </c>
      <c r="G24" s="110" t="s">
        <v>2306</v>
      </c>
      <c r="H24" s="103"/>
      <c r="I24" s="104"/>
      <c r="J24" s="103"/>
      <c r="K24" s="103">
        <f>E24</f>
        <v>100000</v>
      </c>
      <c r="L24" s="103"/>
      <c r="M24" s="103"/>
      <c r="N24" s="103"/>
      <c r="O24" s="103"/>
      <c r="P24" s="103"/>
      <c r="Q24" s="103"/>
      <c r="R24" s="103"/>
      <c r="S24" s="103"/>
      <c r="T24" s="103"/>
      <c r="U24" s="103"/>
      <c r="V24" s="103"/>
      <c r="W24" s="103"/>
      <c r="X24" s="103"/>
      <c r="Y24" s="111"/>
      <c r="Z24" s="111"/>
      <c r="AA24" s="103"/>
      <c r="AB24" s="103"/>
    </row>
    <row r="25" outlineLevel="1" spans="1:28">
      <c r="A25" s="109">
        <v>45756</v>
      </c>
      <c r="B25" s="110" t="s">
        <v>2347</v>
      </c>
      <c r="C25" s="110" t="s">
        <v>2311</v>
      </c>
      <c r="D25" s="110" t="s">
        <v>2312</v>
      </c>
      <c r="E25" s="110">
        <v>2000</v>
      </c>
      <c r="F25" s="110" t="s">
        <v>2305</v>
      </c>
      <c r="G25" s="110" t="s">
        <v>2306</v>
      </c>
      <c r="H25" s="103"/>
      <c r="I25" s="104"/>
      <c r="J25" s="103"/>
      <c r="K25" s="103"/>
      <c r="L25" s="103"/>
      <c r="M25" s="103"/>
      <c r="N25" s="103"/>
      <c r="O25" s="103"/>
      <c r="P25" s="103"/>
      <c r="Q25" s="103"/>
      <c r="R25" s="103"/>
      <c r="S25" s="103"/>
      <c r="T25" s="103"/>
      <c r="U25" s="103">
        <f>E25</f>
        <v>2000</v>
      </c>
      <c r="V25" s="103"/>
      <c r="W25" s="103"/>
      <c r="X25" s="103"/>
      <c r="Y25" s="111"/>
      <c r="Z25" s="111"/>
      <c r="AA25" s="103"/>
      <c r="AB25" s="103"/>
    </row>
    <row r="26" outlineLevel="1" spans="1:28">
      <c r="A26" s="109">
        <v>45756</v>
      </c>
      <c r="B26" s="110" t="s">
        <v>2348</v>
      </c>
      <c r="C26" s="110" t="s">
        <v>2311</v>
      </c>
      <c r="D26" s="110" t="s">
        <v>2312</v>
      </c>
      <c r="E26" s="110">
        <v>500</v>
      </c>
      <c r="F26" s="110" t="s">
        <v>2316</v>
      </c>
      <c r="G26" s="110" t="s">
        <v>2306</v>
      </c>
      <c r="H26" s="103"/>
      <c r="I26" s="104"/>
      <c r="J26" s="103"/>
      <c r="K26" s="103"/>
      <c r="L26" s="103"/>
      <c r="M26" s="103"/>
      <c r="N26" s="103"/>
      <c r="O26" s="103"/>
      <c r="P26" s="103"/>
      <c r="Q26" s="103"/>
      <c r="R26" s="103"/>
      <c r="S26" s="103"/>
      <c r="T26" s="103"/>
      <c r="U26" s="103"/>
      <c r="V26" s="103">
        <f>E26</f>
        <v>500</v>
      </c>
      <c r="W26" s="103"/>
      <c r="X26" s="103"/>
      <c r="Y26" s="111"/>
      <c r="Z26" s="111"/>
      <c r="AA26" s="103"/>
      <c r="AB26" s="103"/>
    </row>
    <row r="27" outlineLevel="1" spans="1:28">
      <c r="A27" s="109">
        <v>45770</v>
      </c>
      <c r="B27" s="110" t="s">
        <v>2349</v>
      </c>
      <c r="C27" s="110">
        <v>77723</v>
      </c>
      <c r="D27" s="110" t="s">
        <v>2318</v>
      </c>
      <c r="E27" s="110">
        <v>10000</v>
      </c>
      <c r="F27" s="110" t="s">
        <v>2319</v>
      </c>
      <c r="G27" s="110" t="s">
        <v>2350</v>
      </c>
      <c r="H27" s="103"/>
      <c r="I27" s="104"/>
      <c r="J27" s="103"/>
      <c r="K27" s="103"/>
      <c r="L27" s="103"/>
      <c r="M27" s="103"/>
      <c r="N27" s="103"/>
      <c r="O27" s="103"/>
      <c r="P27" s="103"/>
      <c r="Q27" s="103"/>
      <c r="R27" s="103"/>
      <c r="S27" s="103"/>
      <c r="T27" s="103"/>
      <c r="U27" s="103"/>
      <c r="V27" s="103"/>
      <c r="W27" s="103">
        <f>E27</f>
        <v>10000</v>
      </c>
      <c r="X27" s="103"/>
      <c r="Y27" s="111"/>
      <c r="Z27" s="111"/>
      <c r="AA27" s="103"/>
      <c r="AB27" s="103" t="s">
        <v>2351</v>
      </c>
    </row>
    <row r="28" outlineLevel="1" spans="1:28">
      <c r="A28" s="109">
        <v>45770</v>
      </c>
      <c r="B28" s="110" t="s">
        <v>2352</v>
      </c>
      <c r="C28" s="110">
        <v>77723</v>
      </c>
      <c r="D28" s="110" t="s">
        <v>2323</v>
      </c>
      <c r="E28" s="110">
        <v>5000</v>
      </c>
      <c r="F28" s="110" t="s">
        <v>2319</v>
      </c>
      <c r="G28" s="110" t="s">
        <v>2350</v>
      </c>
      <c r="H28" s="103"/>
      <c r="I28" s="104"/>
      <c r="J28" s="103"/>
      <c r="K28" s="103"/>
      <c r="L28" s="103"/>
      <c r="M28" s="103"/>
      <c r="N28" s="103"/>
      <c r="O28" s="103"/>
      <c r="P28" s="103"/>
      <c r="Q28" s="103"/>
      <c r="R28" s="103"/>
      <c r="S28" s="103"/>
      <c r="T28" s="103"/>
      <c r="U28" s="103"/>
      <c r="V28" s="103"/>
      <c r="W28" s="103"/>
      <c r="X28" s="103">
        <f>E28</f>
        <v>5000</v>
      </c>
      <c r="Y28" s="111"/>
      <c r="Z28" s="111"/>
      <c r="AA28" s="103"/>
      <c r="AB28" s="103" t="s">
        <v>2351</v>
      </c>
    </row>
    <row r="29" outlineLevel="1" spans="1:28">
      <c r="A29" s="109">
        <v>45770</v>
      </c>
      <c r="B29" s="110" t="s">
        <v>2353</v>
      </c>
      <c r="C29" s="110">
        <v>77723</v>
      </c>
      <c r="D29" s="110" t="s">
        <v>2325</v>
      </c>
      <c r="E29" s="110">
        <v>5000</v>
      </c>
      <c r="F29" s="110" t="s">
        <v>2319</v>
      </c>
      <c r="G29" s="110" t="s">
        <v>2350</v>
      </c>
      <c r="H29" s="103"/>
      <c r="I29" s="104"/>
      <c r="J29" s="103"/>
      <c r="K29" s="103"/>
      <c r="L29" s="103"/>
      <c r="M29" s="103"/>
      <c r="N29" s="103"/>
      <c r="O29" s="103"/>
      <c r="P29" s="103"/>
      <c r="Q29" s="103"/>
      <c r="R29" s="103"/>
      <c r="S29" s="103"/>
      <c r="T29" s="103"/>
      <c r="U29" s="103"/>
      <c r="V29" s="103"/>
      <c r="W29" s="103"/>
      <c r="X29" s="103"/>
      <c r="Y29" s="111"/>
      <c r="Z29" s="111"/>
      <c r="AA29" s="103"/>
      <c r="AB29" s="103" t="s">
        <v>2351</v>
      </c>
    </row>
    <row r="30" outlineLevel="1" spans="1:28">
      <c r="A30" s="109">
        <v>45774</v>
      </c>
      <c r="B30" s="110" t="s">
        <v>2354</v>
      </c>
      <c r="C30" s="110">
        <v>77685</v>
      </c>
      <c r="D30" s="110" t="s">
        <v>2304</v>
      </c>
      <c r="E30" s="110">
        <v>60000</v>
      </c>
      <c r="F30" s="110" t="s">
        <v>2305</v>
      </c>
      <c r="G30" s="110" t="s">
        <v>2355</v>
      </c>
      <c r="H30" s="103">
        <f>E30</f>
        <v>60000</v>
      </c>
      <c r="I30" s="104"/>
      <c r="J30" s="103"/>
      <c r="K30" s="103"/>
      <c r="L30" s="103"/>
      <c r="M30" s="103"/>
      <c r="N30" s="103"/>
      <c r="O30" s="103"/>
      <c r="P30" s="103"/>
      <c r="Q30" s="103"/>
      <c r="R30" s="103"/>
      <c r="S30" s="103"/>
      <c r="T30" s="103"/>
      <c r="U30" s="103"/>
      <c r="V30" s="103"/>
      <c r="W30" s="103"/>
      <c r="X30" s="103"/>
      <c r="Y30" s="111"/>
      <c r="Z30" s="111"/>
      <c r="AA30" s="103"/>
      <c r="AB30" s="103"/>
    </row>
    <row r="31" outlineLevel="1" spans="1:28">
      <c r="A31" s="109">
        <v>45774</v>
      </c>
      <c r="B31" s="110" t="s">
        <v>2356</v>
      </c>
      <c r="C31" s="110">
        <v>77685</v>
      </c>
      <c r="D31" s="110" t="s">
        <v>2304</v>
      </c>
      <c r="E31" s="110">
        <v>20000</v>
      </c>
      <c r="F31" s="110" t="s">
        <v>2316</v>
      </c>
      <c r="G31" s="110" t="s">
        <v>2355</v>
      </c>
      <c r="H31" s="103"/>
      <c r="I31" s="104">
        <f>E31</f>
        <v>20000</v>
      </c>
      <c r="J31" s="103"/>
      <c r="K31" s="103"/>
      <c r="L31" s="103"/>
      <c r="M31" s="103"/>
      <c r="N31" s="103"/>
      <c r="O31" s="103"/>
      <c r="P31" s="103"/>
      <c r="Q31" s="103"/>
      <c r="R31" s="103"/>
      <c r="S31" s="103"/>
      <c r="T31" s="103"/>
      <c r="U31" s="103"/>
      <c r="V31" s="103"/>
      <c r="W31" s="103"/>
      <c r="X31" s="103"/>
      <c r="Y31" s="111"/>
      <c r="Z31" s="111"/>
      <c r="AA31" s="103"/>
      <c r="AB31" s="103"/>
    </row>
    <row r="32" outlineLevel="1" spans="1:28">
      <c r="A32" s="109">
        <v>45774</v>
      </c>
      <c r="B32" s="110" t="s">
        <v>2357</v>
      </c>
      <c r="C32" s="110">
        <v>77685</v>
      </c>
      <c r="D32" s="110" t="s">
        <v>2308</v>
      </c>
      <c r="E32" s="110">
        <v>80000</v>
      </c>
      <c r="F32" s="110" t="s">
        <v>2309</v>
      </c>
      <c r="G32" s="110" t="s">
        <v>2358</v>
      </c>
      <c r="H32" s="103"/>
      <c r="I32" s="104"/>
      <c r="J32" s="103"/>
      <c r="K32" s="103">
        <f>E32</f>
        <v>80000</v>
      </c>
      <c r="L32" s="103"/>
      <c r="M32" s="103"/>
      <c r="N32" s="103"/>
      <c r="O32" s="103"/>
      <c r="P32" s="103"/>
      <c r="Q32" s="103"/>
      <c r="R32" s="103"/>
      <c r="S32" s="103"/>
      <c r="T32" s="103"/>
      <c r="U32" s="103"/>
      <c r="V32" s="103"/>
      <c r="W32" s="103"/>
      <c r="X32" s="103"/>
      <c r="Y32" s="111"/>
      <c r="Z32" s="111"/>
      <c r="AA32" s="103"/>
      <c r="AB32" s="103"/>
    </row>
    <row r="33" outlineLevel="1" spans="1:28">
      <c r="A33" s="109">
        <v>45774</v>
      </c>
      <c r="B33" s="110" t="s">
        <v>2359</v>
      </c>
      <c r="C33" s="110" t="s">
        <v>2311</v>
      </c>
      <c r="D33" s="110" t="s">
        <v>2312</v>
      </c>
      <c r="E33" s="110">
        <v>2000</v>
      </c>
      <c r="F33" s="110" t="s">
        <v>2305</v>
      </c>
      <c r="G33" s="110" t="s">
        <v>2355</v>
      </c>
      <c r="H33" s="103"/>
      <c r="I33" s="104"/>
      <c r="J33" s="103"/>
      <c r="K33" s="103"/>
      <c r="L33" s="103"/>
      <c r="M33" s="103"/>
      <c r="N33" s="103"/>
      <c r="O33" s="103"/>
      <c r="P33" s="103"/>
      <c r="Q33" s="103"/>
      <c r="R33" s="103"/>
      <c r="S33" s="103"/>
      <c r="T33" s="103"/>
      <c r="U33" s="103">
        <f>E33</f>
        <v>2000</v>
      </c>
      <c r="V33" s="103"/>
      <c r="W33" s="103"/>
      <c r="X33" s="103"/>
      <c r="Y33" s="111"/>
      <c r="Z33" s="111"/>
      <c r="AA33" s="103"/>
      <c r="AB33" s="103"/>
    </row>
    <row r="34" outlineLevel="1" spans="1:28">
      <c r="A34" s="109">
        <v>45774</v>
      </c>
      <c r="B34" s="110" t="s">
        <v>2360</v>
      </c>
      <c r="C34" s="110" t="s">
        <v>2311</v>
      </c>
      <c r="D34" s="110" t="s">
        <v>2312</v>
      </c>
      <c r="E34" s="110">
        <v>500</v>
      </c>
      <c r="F34" s="110" t="s">
        <v>2316</v>
      </c>
      <c r="G34" s="110" t="s">
        <v>2355</v>
      </c>
      <c r="H34" s="103"/>
      <c r="I34" s="104"/>
      <c r="J34" s="103"/>
      <c r="K34" s="103"/>
      <c r="L34" s="103"/>
      <c r="M34" s="103"/>
      <c r="N34" s="103"/>
      <c r="O34" s="103"/>
      <c r="P34" s="103"/>
      <c r="Q34" s="103"/>
      <c r="R34" s="103"/>
      <c r="S34" s="103"/>
      <c r="T34" s="103"/>
      <c r="U34" s="103"/>
      <c r="V34" s="103">
        <f>E34</f>
        <v>500</v>
      </c>
      <c r="W34" s="103"/>
      <c r="X34" s="103"/>
      <c r="Y34" s="111"/>
      <c r="Z34" s="111"/>
      <c r="AA34" s="103"/>
      <c r="AB34" s="103"/>
    </row>
    <row r="35" outlineLevel="1" spans="1:28">
      <c r="A35" s="109">
        <v>45774</v>
      </c>
      <c r="B35" s="110" t="s">
        <v>2361</v>
      </c>
      <c r="C35" s="110" t="s">
        <v>2362</v>
      </c>
      <c r="D35" s="110" t="s">
        <v>2331</v>
      </c>
      <c r="E35" s="110">
        <v>300</v>
      </c>
      <c r="F35" s="110" t="s">
        <v>2316</v>
      </c>
      <c r="G35" s="110" t="s">
        <v>2355</v>
      </c>
      <c r="H35" s="103"/>
      <c r="I35" s="104"/>
      <c r="J35" s="103"/>
      <c r="K35" s="103"/>
      <c r="L35" s="103"/>
      <c r="M35" s="103"/>
      <c r="N35" s="103"/>
      <c r="O35" s="103"/>
      <c r="P35" s="103">
        <f>E35</f>
        <v>300</v>
      </c>
      <c r="Q35" s="103"/>
      <c r="R35" s="103"/>
      <c r="S35" s="103"/>
      <c r="T35" s="103"/>
      <c r="U35" s="103"/>
      <c r="V35" s="103"/>
      <c r="W35" s="103"/>
      <c r="X35" s="103"/>
      <c r="Y35" s="111"/>
      <c r="Z35" s="111"/>
      <c r="AA35" s="103"/>
      <c r="AB35" s="103"/>
    </row>
    <row r="36" outlineLevel="1" spans="1:28">
      <c r="A36" s="109">
        <v>45774</v>
      </c>
      <c r="B36" s="110" t="s">
        <v>2363</v>
      </c>
      <c r="C36" s="110" t="s">
        <v>2362</v>
      </c>
      <c r="D36" s="110" t="s">
        <v>2333</v>
      </c>
      <c r="E36" s="110">
        <v>300</v>
      </c>
      <c r="F36" s="110" t="s">
        <v>2316</v>
      </c>
      <c r="G36" s="110" t="s">
        <v>2355</v>
      </c>
      <c r="H36" s="103"/>
      <c r="I36" s="104"/>
      <c r="J36" s="103"/>
      <c r="K36" s="103"/>
      <c r="L36" s="103"/>
      <c r="M36" s="103"/>
      <c r="N36" s="103"/>
      <c r="O36" s="103"/>
      <c r="P36" s="103"/>
      <c r="Q36" s="103">
        <f>E36</f>
        <v>300</v>
      </c>
      <c r="R36" s="103"/>
      <c r="S36" s="103"/>
      <c r="T36" s="103"/>
      <c r="U36" s="103"/>
      <c r="V36" s="103"/>
      <c r="W36" s="103"/>
      <c r="X36" s="103"/>
      <c r="Y36" s="111"/>
      <c r="Z36" s="111"/>
      <c r="AA36" s="103"/>
      <c r="AB36" s="103"/>
    </row>
    <row r="37" outlineLevel="1" spans="1:28">
      <c r="A37" s="109">
        <v>45775</v>
      </c>
      <c r="B37" s="110" t="s">
        <v>2364</v>
      </c>
      <c r="C37" s="110" t="s">
        <v>2335</v>
      </c>
      <c r="D37" s="110" t="s">
        <v>2312</v>
      </c>
      <c r="E37" s="110">
        <v>576</v>
      </c>
      <c r="F37" s="110" t="s">
        <v>2319</v>
      </c>
      <c r="G37" s="110" t="s">
        <v>2365</v>
      </c>
      <c r="H37" s="103"/>
      <c r="I37" s="104"/>
      <c r="J37" s="103"/>
      <c r="K37" s="103"/>
      <c r="L37" s="103"/>
      <c r="M37" s="103"/>
      <c r="N37" s="103"/>
      <c r="O37" s="103"/>
      <c r="P37" s="103"/>
      <c r="Q37" s="103"/>
      <c r="R37" s="103"/>
      <c r="S37" s="103"/>
      <c r="T37" s="103"/>
      <c r="U37" s="103"/>
      <c r="V37" s="103"/>
      <c r="W37" s="103"/>
      <c r="X37" s="103"/>
      <c r="Y37" s="111">
        <f>E37</f>
        <v>576</v>
      </c>
      <c r="Z37" s="111"/>
      <c r="AA37" s="103"/>
      <c r="AB37" s="103" t="s">
        <v>2366</v>
      </c>
    </row>
    <row r="38" outlineLevel="1" spans="1:28">
      <c r="A38" s="109">
        <v>45792</v>
      </c>
      <c r="B38" s="110" t="s">
        <v>2367</v>
      </c>
      <c r="C38" s="110" t="s">
        <v>2311</v>
      </c>
      <c r="D38" s="110" t="s">
        <v>2368</v>
      </c>
      <c r="E38" s="110">
        <v>27000</v>
      </c>
      <c r="F38" s="110" t="s">
        <v>2302</v>
      </c>
      <c r="G38" s="110" t="s">
        <v>2369</v>
      </c>
      <c r="H38" s="103"/>
      <c r="I38" s="104"/>
      <c r="J38" s="103"/>
      <c r="K38" s="103"/>
      <c r="L38" s="103"/>
      <c r="M38" s="103"/>
      <c r="N38" s="103"/>
      <c r="O38" s="103"/>
      <c r="P38" s="103"/>
      <c r="Q38" s="103"/>
      <c r="R38" s="103"/>
      <c r="S38" s="103"/>
      <c r="T38" s="103"/>
      <c r="U38" s="103"/>
      <c r="V38" s="103"/>
      <c r="W38" s="103"/>
      <c r="X38" s="103"/>
      <c r="Y38" s="111"/>
      <c r="Z38" s="111">
        <f>E38</f>
        <v>27000</v>
      </c>
      <c r="AA38" s="103"/>
      <c r="AB38" s="103" t="s">
        <v>2370</v>
      </c>
    </row>
    <row r="39" outlineLevel="1" spans="1:28">
      <c r="A39" s="109">
        <v>45792</v>
      </c>
      <c r="B39" s="110" t="s">
        <v>2371</v>
      </c>
      <c r="C39" s="110" t="s">
        <v>2335</v>
      </c>
      <c r="D39" s="110" t="s">
        <v>2312</v>
      </c>
      <c r="E39" s="110">
        <v>960</v>
      </c>
      <c r="F39" s="110" t="s">
        <v>2319</v>
      </c>
      <c r="G39" s="110" t="s">
        <v>2365</v>
      </c>
      <c r="H39" s="103"/>
      <c r="I39" s="104"/>
      <c r="J39" s="103"/>
      <c r="K39" s="103"/>
      <c r="L39" s="103"/>
      <c r="M39" s="103"/>
      <c r="N39" s="103"/>
      <c r="O39" s="103"/>
      <c r="P39" s="103"/>
      <c r="Q39" s="103"/>
      <c r="R39" s="103"/>
      <c r="S39" s="103"/>
      <c r="T39" s="103"/>
      <c r="U39" s="103"/>
      <c r="V39" s="103"/>
      <c r="W39" s="103"/>
      <c r="X39" s="103"/>
      <c r="Y39" s="111">
        <f>E39</f>
        <v>960</v>
      </c>
      <c r="Z39" s="111"/>
      <c r="AA39" s="103"/>
      <c r="AB39" s="103" t="s">
        <v>2372</v>
      </c>
    </row>
    <row r="40" outlineLevel="1" spans="1:28">
      <c r="A40" s="109">
        <v>45800</v>
      </c>
      <c r="B40" s="110" t="s">
        <v>2373</v>
      </c>
      <c r="C40" s="110">
        <v>77685</v>
      </c>
      <c r="D40" s="110" t="s">
        <v>2304</v>
      </c>
      <c r="E40" s="110">
        <v>50000</v>
      </c>
      <c r="F40" s="110" t="s">
        <v>2374</v>
      </c>
      <c r="G40" s="110" t="s">
        <v>2306</v>
      </c>
      <c r="H40" s="103">
        <f>E40</f>
        <v>50000</v>
      </c>
      <c r="I40" s="104"/>
      <c r="J40" s="103"/>
      <c r="K40" s="103"/>
      <c r="L40" s="103"/>
      <c r="M40" s="103"/>
      <c r="N40" s="103"/>
      <c r="O40" s="103"/>
      <c r="P40" s="103"/>
      <c r="Q40" s="103"/>
      <c r="R40" s="103"/>
      <c r="S40" s="103"/>
      <c r="T40" s="103"/>
      <c r="U40" s="103"/>
      <c r="V40" s="103"/>
      <c r="W40" s="103"/>
      <c r="X40" s="103"/>
      <c r="Y40" s="111"/>
      <c r="Z40" s="111"/>
      <c r="AA40" s="103"/>
      <c r="AB40" s="103"/>
    </row>
    <row r="41" outlineLevel="1" spans="1:28">
      <c r="A41" s="109">
        <v>45800</v>
      </c>
      <c r="B41" s="110" t="s">
        <v>2375</v>
      </c>
      <c r="C41" s="110">
        <v>77685</v>
      </c>
      <c r="D41" s="110" t="s">
        <v>2304</v>
      </c>
      <c r="E41" s="110">
        <v>20000</v>
      </c>
      <c r="F41" s="110" t="s">
        <v>2376</v>
      </c>
      <c r="G41" s="110" t="s">
        <v>2306</v>
      </c>
      <c r="H41" s="103"/>
      <c r="I41" s="104">
        <f>E41</f>
        <v>20000</v>
      </c>
      <c r="J41" s="103"/>
      <c r="K41" s="103"/>
      <c r="L41" s="103"/>
      <c r="M41" s="103"/>
      <c r="N41" s="103"/>
      <c r="O41" s="103"/>
      <c r="P41" s="103"/>
      <c r="Q41" s="103"/>
      <c r="R41" s="103"/>
      <c r="S41" s="103"/>
      <c r="T41" s="103"/>
      <c r="U41" s="103"/>
      <c r="V41" s="103"/>
      <c r="W41" s="103"/>
      <c r="X41" s="103"/>
      <c r="Y41" s="111"/>
      <c r="Z41" s="111"/>
      <c r="AA41" s="103"/>
      <c r="AB41" s="103"/>
    </row>
    <row r="42" outlineLevel="1" spans="1:28">
      <c r="A42" s="109">
        <v>45800</v>
      </c>
      <c r="B42" s="110" t="s">
        <v>2377</v>
      </c>
      <c r="C42" s="110">
        <v>77685</v>
      </c>
      <c r="D42" s="110" t="s">
        <v>2308</v>
      </c>
      <c r="E42" s="110">
        <v>100000</v>
      </c>
      <c r="F42" s="110" t="s">
        <v>2378</v>
      </c>
      <c r="G42" s="110" t="s">
        <v>2306</v>
      </c>
      <c r="H42" s="103"/>
      <c r="I42" s="104"/>
      <c r="J42" s="103"/>
      <c r="K42" s="103">
        <f>E42</f>
        <v>100000</v>
      </c>
      <c r="L42" s="103"/>
      <c r="M42" s="103"/>
      <c r="N42" s="103"/>
      <c r="O42" s="103"/>
      <c r="P42" s="103"/>
      <c r="Q42" s="103"/>
      <c r="R42" s="103"/>
      <c r="S42" s="103"/>
      <c r="T42" s="103"/>
      <c r="U42" s="103"/>
      <c r="V42" s="103"/>
      <c r="W42" s="103"/>
      <c r="X42" s="103"/>
      <c r="Y42" s="111"/>
      <c r="Z42" s="111"/>
      <c r="AA42" s="103"/>
      <c r="AB42" s="103"/>
    </row>
    <row r="43" outlineLevel="1" spans="1:28">
      <c r="A43" s="109">
        <v>45800</v>
      </c>
      <c r="B43" s="110" t="s">
        <v>2379</v>
      </c>
      <c r="C43" s="110" t="s">
        <v>2311</v>
      </c>
      <c r="D43" s="110" t="s">
        <v>2312</v>
      </c>
      <c r="E43" s="110">
        <v>1000</v>
      </c>
      <c r="F43" s="110" t="s">
        <v>2374</v>
      </c>
      <c r="G43" s="110" t="s">
        <v>2306</v>
      </c>
      <c r="H43" s="103"/>
      <c r="I43" s="104"/>
      <c r="J43" s="103"/>
      <c r="K43" s="103"/>
      <c r="L43" s="103"/>
      <c r="M43" s="103"/>
      <c r="N43" s="103"/>
      <c r="O43" s="103"/>
      <c r="P43" s="103"/>
      <c r="Q43" s="103"/>
      <c r="R43" s="103"/>
      <c r="S43" s="103"/>
      <c r="T43" s="103"/>
      <c r="U43" s="103">
        <f>E43</f>
        <v>1000</v>
      </c>
      <c r="V43" s="103"/>
      <c r="W43" s="103"/>
      <c r="X43" s="103"/>
      <c r="Y43" s="111"/>
      <c r="Z43" s="111"/>
      <c r="AA43" s="103"/>
      <c r="AB43" s="103"/>
    </row>
    <row r="44" outlineLevel="1" spans="1:28">
      <c r="A44" s="109">
        <v>45800</v>
      </c>
      <c r="B44" s="110" t="s">
        <v>2380</v>
      </c>
      <c r="C44" s="110" t="s">
        <v>2314</v>
      </c>
      <c r="D44" s="110" t="s">
        <v>2312</v>
      </c>
      <c r="E44" s="110">
        <v>800</v>
      </c>
      <c r="F44" s="110" t="s">
        <v>2374</v>
      </c>
      <c r="G44" s="110" t="s">
        <v>2306</v>
      </c>
      <c r="H44" s="103"/>
      <c r="I44" s="104"/>
      <c r="J44" s="103"/>
      <c r="K44" s="103"/>
      <c r="L44" s="103"/>
      <c r="M44" s="103"/>
      <c r="N44" s="103"/>
      <c r="O44" s="103"/>
      <c r="P44" s="103"/>
      <c r="Q44" s="103"/>
      <c r="R44" s="103">
        <f>E44</f>
        <v>800</v>
      </c>
      <c r="S44" s="103"/>
      <c r="T44" s="103"/>
      <c r="U44" s="103"/>
      <c r="V44" s="103"/>
      <c r="W44" s="103"/>
      <c r="X44" s="103"/>
      <c r="Y44" s="111"/>
      <c r="Z44" s="111"/>
      <c r="AA44" s="103"/>
      <c r="AB44" s="103"/>
    </row>
    <row r="45" outlineLevel="1" spans="1:28">
      <c r="A45" s="109">
        <v>45800</v>
      </c>
      <c r="B45" s="110" t="s">
        <v>2381</v>
      </c>
      <c r="C45" s="110" t="s">
        <v>2314</v>
      </c>
      <c r="D45" s="110" t="s">
        <v>2312</v>
      </c>
      <c r="E45" s="110">
        <v>800</v>
      </c>
      <c r="F45" s="110" t="s">
        <v>2382</v>
      </c>
      <c r="G45" s="110" t="s">
        <v>2306</v>
      </c>
      <c r="H45" s="103"/>
      <c r="I45" s="104"/>
      <c r="J45" s="103"/>
      <c r="K45" s="103"/>
      <c r="L45" s="103"/>
      <c r="M45" s="103"/>
      <c r="N45" s="103"/>
      <c r="O45" s="103"/>
      <c r="P45" s="103"/>
      <c r="Q45" s="103"/>
      <c r="R45" s="103"/>
      <c r="S45" s="103"/>
      <c r="T45" s="103">
        <f>E45</f>
        <v>800</v>
      </c>
      <c r="U45" s="103"/>
      <c r="V45" s="103"/>
      <c r="W45" s="103"/>
      <c r="X45" s="103"/>
      <c r="Y45" s="111"/>
      <c r="Z45" s="111"/>
      <c r="AA45" s="103"/>
      <c r="AB45" s="103"/>
    </row>
    <row r="46" outlineLevel="1" spans="1:28">
      <c r="A46" s="109">
        <v>45803</v>
      </c>
      <c r="B46" s="110" t="s">
        <v>2383</v>
      </c>
      <c r="C46" s="110">
        <v>77723</v>
      </c>
      <c r="D46" s="110" t="s">
        <v>2318</v>
      </c>
      <c r="E46" s="110">
        <v>1512</v>
      </c>
      <c r="F46" s="110" t="s">
        <v>2319</v>
      </c>
      <c r="G46" s="110" t="s">
        <v>2350</v>
      </c>
      <c r="H46" s="103"/>
      <c r="I46" s="104"/>
      <c r="J46" s="103"/>
      <c r="K46" s="103"/>
      <c r="L46" s="103"/>
      <c r="M46" s="103"/>
      <c r="N46" s="103"/>
      <c r="O46" s="103"/>
      <c r="P46" s="103"/>
      <c r="Q46" s="103"/>
      <c r="R46" s="103"/>
      <c r="S46" s="103"/>
      <c r="T46" s="103"/>
      <c r="U46" s="103"/>
      <c r="V46" s="103"/>
      <c r="W46" s="103">
        <f>E46</f>
        <v>1512</v>
      </c>
      <c r="X46" s="103"/>
      <c r="Y46" s="111"/>
      <c r="Z46" s="111"/>
      <c r="AA46" s="103"/>
      <c r="AB46" s="103" t="s">
        <v>2384</v>
      </c>
    </row>
    <row r="47" outlineLevel="1" spans="1:28">
      <c r="A47" s="109">
        <v>45803</v>
      </c>
      <c r="B47" s="110" t="s">
        <v>2385</v>
      </c>
      <c r="C47" s="110">
        <v>77723</v>
      </c>
      <c r="D47" s="110" t="s">
        <v>2323</v>
      </c>
      <c r="E47" s="110">
        <v>1512</v>
      </c>
      <c r="F47" s="110" t="s">
        <v>2355</v>
      </c>
      <c r="G47" s="110" t="s">
        <v>2350</v>
      </c>
      <c r="H47" s="103"/>
      <c r="I47" s="104"/>
      <c r="J47" s="103"/>
      <c r="K47" s="103"/>
      <c r="L47" s="103"/>
      <c r="M47" s="103"/>
      <c r="N47" s="103"/>
      <c r="O47" s="103"/>
      <c r="P47" s="103"/>
      <c r="Q47" s="103"/>
      <c r="R47" s="103"/>
      <c r="S47" s="103"/>
      <c r="T47" s="103"/>
      <c r="U47" s="103"/>
      <c r="V47" s="103"/>
      <c r="W47" s="103"/>
      <c r="X47" s="103">
        <f>E47</f>
        <v>1512</v>
      </c>
      <c r="Y47" s="111"/>
      <c r="Z47" s="111"/>
      <c r="AA47" s="103"/>
      <c r="AB47" s="103" t="s">
        <v>2384</v>
      </c>
    </row>
    <row r="48" outlineLevel="1" spans="1:28">
      <c r="A48" s="109">
        <v>45803</v>
      </c>
      <c r="B48" s="110" t="s">
        <v>2383</v>
      </c>
      <c r="C48" s="110">
        <v>77723</v>
      </c>
      <c r="D48" s="110" t="s">
        <v>2325</v>
      </c>
      <c r="E48" s="110">
        <v>1512</v>
      </c>
      <c r="F48" s="110" t="s">
        <v>2319</v>
      </c>
      <c r="G48" s="110" t="s">
        <v>2350</v>
      </c>
      <c r="H48" s="103"/>
      <c r="I48" s="104"/>
      <c r="J48" s="103"/>
      <c r="K48" s="103"/>
      <c r="L48" s="103"/>
      <c r="M48" s="103"/>
      <c r="N48" s="103"/>
      <c r="O48" s="103"/>
      <c r="P48" s="103"/>
      <c r="Q48" s="103"/>
      <c r="R48" s="103"/>
      <c r="S48" s="103"/>
      <c r="T48" s="103"/>
      <c r="U48" s="103"/>
      <c r="V48" s="103"/>
      <c r="W48" s="103"/>
      <c r="X48" s="103"/>
      <c r="Y48" s="111"/>
      <c r="Z48" s="111"/>
      <c r="AA48" s="103"/>
      <c r="AB48" s="103" t="s">
        <v>2384</v>
      </c>
    </row>
    <row r="49" outlineLevel="1" spans="1:28">
      <c r="A49" s="109">
        <v>45805</v>
      </c>
      <c r="B49" s="110">
        <v>1000028460</v>
      </c>
      <c r="C49" s="112">
        <v>77685</v>
      </c>
      <c r="D49" s="110" t="s">
        <v>2304</v>
      </c>
      <c r="E49" s="110">
        <v>20000</v>
      </c>
      <c r="F49" s="110" t="s">
        <v>2374</v>
      </c>
      <c r="G49" s="110" t="s">
        <v>2306</v>
      </c>
      <c r="H49" s="103">
        <f>E49</f>
        <v>20000</v>
      </c>
      <c r="I49" s="104"/>
      <c r="J49" s="103"/>
      <c r="K49" s="103"/>
      <c r="L49" s="103"/>
      <c r="M49" s="103"/>
      <c r="N49" s="103"/>
      <c r="O49" s="103"/>
      <c r="P49" s="103"/>
      <c r="Q49" s="103"/>
      <c r="R49" s="103"/>
      <c r="S49" s="103"/>
      <c r="T49" s="103"/>
      <c r="U49" s="103"/>
      <c r="V49" s="103"/>
      <c r="W49" s="103"/>
      <c r="X49" s="103"/>
      <c r="Y49" s="111"/>
      <c r="Z49" s="111"/>
      <c r="AA49" s="103"/>
      <c r="AB49" s="103"/>
    </row>
    <row r="50" outlineLevel="1" spans="1:28">
      <c r="A50" s="109">
        <v>45805</v>
      </c>
      <c r="B50" s="110" t="s">
        <v>2386</v>
      </c>
      <c r="C50" s="110">
        <v>77685</v>
      </c>
      <c r="D50" s="110" t="s">
        <v>2304</v>
      </c>
      <c r="E50" s="110">
        <v>50000</v>
      </c>
      <c r="F50" s="110" t="s">
        <v>2382</v>
      </c>
      <c r="G50" s="110" t="s">
        <v>2306</v>
      </c>
      <c r="H50" s="103"/>
      <c r="I50" s="104">
        <f>E50</f>
        <v>50000</v>
      </c>
      <c r="J50" s="103"/>
      <c r="K50" s="103"/>
      <c r="L50" s="103"/>
      <c r="M50" s="103"/>
      <c r="N50" s="103"/>
      <c r="O50" s="103"/>
      <c r="P50" s="103"/>
      <c r="Q50" s="103"/>
      <c r="R50" s="103"/>
      <c r="S50" s="103"/>
      <c r="T50" s="103"/>
      <c r="U50" s="103"/>
      <c r="V50" s="103"/>
      <c r="W50" s="103"/>
      <c r="X50" s="103"/>
      <c r="Y50" s="111"/>
      <c r="Z50" s="111"/>
      <c r="AA50" s="103"/>
      <c r="AB50" s="103"/>
    </row>
    <row r="51" outlineLevel="1" spans="1:28">
      <c r="A51" s="109">
        <v>45805</v>
      </c>
      <c r="B51" s="110" t="s">
        <v>2387</v>
      </c>
      <c r="C51" s="110">
        <v>77685</v>
      </c>
      <c r="D51" s="110" t="s">
        <v>2308</v>
      </c>
      <c r="E51" s="110">
        <v>50000</v>
      </c>
      <c r="F51" s="110" t="s">
        <v>2378</v>
      </c>
      <c r="G51" s="110" t="s">
        <v>2306</v>
      </c>
      <c r="H51" s="103"/>
      <c r="I51" s="104"/>
      <c r="J51" s="103"/>
      <c r="K51" s="103">
        <f>E51</f>
        <v>50000</v>
      </c>
      <c r="L51" s="103"/>
      <c r="M51" s="103"/>
      <c r="N51" s="103"/>
      <c r="O51" s="103"/>
      <c r="P51" s="103"/>
      <c r="Q51" s="103"/>
      <c r="R51" s="103"/>
      <c r="S51" s="103"/>
      <c r="T51" s="103"/>
      <c r="U51" s="103"/>
      <c r="V51" s="103"/>
      <c r="W51" s="103"/>
      <c r="X51" s="103"/>
      <c r="Y51" s="111"/>
      <c r="Z51" s="111"/>
      <c r="AA51" s="103"/>
      <c r="AB51" s="103"/>
    </row>
    <row r="52" outlineLevel="1" spans="1:28">
      <c r="A52" s="109">
        <v>45805</v>
      </c>
      <c r="B52" s="110" t="s">
        <v>2388</v>
      </c>
      <c r="C52" s="110" t="s">
        <v>2311</v>
      </c>
      <c r="D52" s="110" t="s">
        <v>2312</v>
      </c>
      <c r="E52" s="110">
        <v>1500</v>
      </c>
      <c r="F52" s="110" t="s">
        <v>2374</v>
      </c>
      <c r="G52" s="110" t="s">
        <v>2306</v>
      </c>
      <c r="H52" s="103"/>
      <c r="I52" s="104"/>
      <c r="J52" s="103"/>
      <c r="K52" s="103"/>
      <c r="L52" s="103"/>
      <c r="M52" s="103"/>
      <c r="N52" s="103"/>
      <c r="O52" s="103"/>
      <c r="P52" s="103"/>
      <c r="Q52" s="103"/>
      <c r="R52" s="103"/>
      <c r="S52" s="103"/>
      <c r="T52" s="103"/>
      <c r="U52" s="103">
        <f>E52</f>
        <v>1500</v>
      </c>
      <c r="V52" s="103"/>
      <c r="W52" s="103"/>
      <c r="X52" s="103"/>
      <c r="Y52" s="111"/>
      <c r="Z52" s="111"/>
      <c r="AA52" s="103"/>
      <c r="AB52" s="103"/>
    </row>
    <row r="53" outlineLevel="1" spans="1:28">
      <c r="A53" s="109">
        <v>45805</v>
      </c>
      <c r="B53" s="110" t="s">
        <v>2389</v>
      </c>
      <c r="C53" s="110" t="s">
        <v>2314</v>
      </c>
      <c r="D53" s="110" t="s">
        <v>2312</v>
      </c>
      <c r="E53" s="110">
        <v>1500</v>
      </c>
      <c r="F53" s="110" t="s">
        <v>2382</v>
      </c>
      <c r="G53" s="110" t="s">
        <v>2306</v>
      </c>
      <c r="H53" s="103"/>
      <c r="I53" s="104"/>
      <c r="J53" s="103"/>
      <c r="K53" s="103"/>
      <c r="L53" s="103"/>
      <c r="M53" s="103"/>
      <c r="N53" s="103"/>
      <c r="O53" s="103"/>
      <c r="P53" s="103"/>
      <c r="Q53" s="103"/>
      <c r="R53" s="103"/>
      <c r="S53" s="103"/>
      <c r="T53" s="103">
        <f>E53</f>
        <v>1500</v>
      </c>
      <c r="U53" s="103"/>
      <c r="V53" s="103"/>
      <c r="W53" s="103"/>
      <c r="X53" s="103"/>
      <c r="Y53" s="111"/>
      <c r="Z53" s="111"/>
      <c r="AA53" s="103"/>
      <c r="AB53" s="103"/>
    </row>
    <row r="54" outlineLevel="1" spans="1:28">
      <c r="A54" s="109">
        <v>45828</v>
      </c>
      <c r="B54" s="110" t="s">
        <v>2390</v>
      </c>
      <c r="C54" s="110">
        <v>77723</v>
      </c>
      <c r="D54" s="110" t="s">
        <v>2323</v>
      </c>
      <c r="E54" s="110">
        <v>5000</v>
      </c>
      <c r="F54" s="110" t="s">
        <v>2319</v>
      </c>
      <c r="G54" s="110" t="s">
        <v>2350</v>
      </c>
      <c r="H54" s="103"/>
      <c r="I54" s="104"/>
      <c r="J54" s="103"/>
      <c r="K54" s="103"/>
      <c r="L54" s="103"/>
      <c r="M54" s="103"/>
      <c r="N54" s="103"/>
      <c r="O54" s="103"/>
      <c r="P54" s="103"/>
      <c r="Q54" s="103"/>
      <c r="R54" s="103"/>
      <c r="S54" s="103"/>
      <c r="T54" s="103"/>
      <c r="U54" s="103"/>
      <c r="V54" s="103"/>
      <c r="W54" s="103"/>
      <c r="X54" s="103">
        <f>E54</f>
        <v>5000</v>
      </c>
      <c r="Y54" s="111"/>
      <c r="Z54" s="111"/>
      <c r="AA54" s="103"/>
      <c r="AB54" s="103" t="s">
        <v>2391</v>
      </c>
    </row>
    <row r="55" outlineLevel="1" spans="1:28">
      <c r="A55" s="109">
        <v>45828</v>
      </c>
      <c r="B55" s="110" t="s">
        <v>2392</v>
      </c>
      <c r="C55" s="110">
        <v>77723</v>
      </c>
      <c r="D55" s="110" t="s">
        <v>2325</v>
      </c>
      <c r="E55" s="110">
        <v>5000</v>
      </c>
      <c r="F55" s="110" t="s">
        <v>2319</v>
      </c>
      <c r="G55" s="110" t="s">
        <v>2350</v>
      </c>
      <c r="H55" s="103"/>
      <c r="I55" s="104"/>
      <c r="J55" s="103"/>
      <c r="K55" s="103"/>
      <c r="L55" s="103"/>
      <c r="M55" s="103"/>
      <c r="N55" s="103"/>
      <c r="O55" s="103"/>
      <c r="P55" s="103"/>
      <c r="Q55" s="103"/>
      <c r="R55" s="103"/>
      <c r="S55" s="103"/>
      <c r="T55" s="103"/>
      <c r="U55" s="103"/>
      <c r="V55" s="103"/>
      <c r="W55" s="103"/>
      <c r="X55" s="103"/>
      <c r="Y55" s="111"/>
      <c r="Z55" s="111"/>
      <c r="AA55" s="103"/>
      <c r="AB55" s="103" t="s">
        <v>2391</v>
      </c>
    </row>
    <row r="56" outlineLevel="1" spans="1:28">
      <c r="A56" s="109">
        <v>45842</v>
      </c>
      <c r="B56" s="110">
        <v>1000029733</v>
      </c>
      <c r="C56" s="110">
        <v>77723</v>
      </c>
      <c r="D56" s="110" t="s">
        <v>2323</v>
      </c>
      <c r="E56" s="110">
        <v>9696</v>
      </c>
      <c r="F56" s="110" t="s">
        <v>2376</v>
      </c>
      <c r="G56" s="110" t="s">
        <v>2393</v>
      </c>
      <c r="H56" s="103"/>
      <c r="I56" s="104"/>
      <c r="J56" s="103"/>
      <c r="K56" s="103"/>
      <c r="L56" s="103"/>
      <c r="M56" s="103"/>
      <c r="N56" s="103"/>
      <c r="O56" s="103"/>
      <c r="P56" s="103"/>
      <c r="Q56" s="103"/>
      <c r="R56" s="103"/>
      <c r="S56" s="103"/>
      <c r="T56" s="103"/>
      <c r="U56" s="103"/>
      <c r="V56" s="103"/>
      <c r="W56" s="103"/>
      <c r="X56" s="103">
        <f>E56</f>
        <v>9696</v>
      </c>
      <c r="Y56" s="111"/>
      <c r="Z56" s="111"/>
      <c r="AA56" s="103"/>
      <c r="AB56" s="103" t="s">
        <v>2394</v>
      </c>
    </row>
    <row r="57" outlineLevel="1" spans="1:28">
      <c r="A57" s="109">
        <v>45842</v>
      </c>
      <c r="B57" s="110">
        <v>1000029734</v>
      </c>
      <c r="C57" s="110">
        <v>77723</v>
      </c>
      <c r="D57" s="110" t="s">
        <v>2318</v>
      </c>
      <c r="E57" s="110">
        <v>9696</v>
      </c>
      <c r="F57" s="110" t="s">
        <v>2319</v>
      </c>
      <c r="G57" s="110" t="s">
        <v>2393</v>
      </c>
      <c r="H57" s="103"/>
      <c r="I57" s="104"/>
      <c r="J57" s="103"/>
      <c r="K57" s="103"/>
      <c r="L57" s="103"/>
      <c r="M57" s="103"/>
      <c r="N57" s="103"/>
      <c r="O57" s="103"/>
      <c r="P57" s="103"/>
      <c r="Q57" s="103"/>
      <c r="R57" s="103"/>
      <c r="S57" s="103"/>
      <c r="T57" s="103"/>
      <c r="U57" s="103"/>
      <c r="V57" s="103"/>
      <c r="W57" s="103">
        <f>E57</f>
        <v>9696</v>
      </c>
      <c r="X57" s="103"/>
      <c r="Y57" s="111"/>
      <c r="Z57" s="111"/>
      <c r="AA57" s="103"/>
      <c r="AB57" s="103" t="s">
        <v>2394</v>
      </c>
    </row>
    <row r="58" outlineLevel="1" spans="1:28">
      <c r="A58" s="109">
        <v>45842</v>
      </c>
      <c r="B58" s="110">
        <v>1000029735</v>
      </c>
      <c r="C58" s="110">
        <v>77723</v>
      </c>
      <c r="D58" s="110" t="s">
        <v>2325</v>
      </c>
      <c r="E58" s="110">
        <v>9696</v>
      </c>
      <c r="F58" s="110" t="s">
        <v>2319</v>
      </c>
      <c r="G58" s="110" t="s">
        <v>2393</v>
      </c>
      <c r="H58" s="103"/>
      <c r="I58" s="104"/>
      <c r="J58" s="103"/>
      <c r="K58" s="103"/>
      <c r="L58" s="103"/>
      <c r="M58" s="103"/>
      <c r="N58" s="103"/>
      <c r="O58" s="103"/>
      <c r="P58" s="103"/>
      <c r="Q58" s="103"/>
      <c r="R58" s="103"/>
      <c r="S58" s="103"/>
      <c r="T58" s="103"/>
      <c r="U58" s="103"/>
      <c r="V58" s="103"/>
      <c r="W58" s="103"/>
      <c r="X58" s="103"/>
      <c r="Y58" s="111"/>
      <c r="Z58" s="111"/>
      <c r="AA58" s="103"/>
      <c r="AB58" s="103" t="s">
        <v>2394</v>
      </c>
    </row>
    <row r="59" outlineLevel="1" spans="1:28">
      <c r="A59" s="109">
        <v>45845</v>
      </c>
      <c r="B59" s="110" t="s">
        <v>2395</v>
      </c>
      <c r="C59" s="110">
        <v>77685</v>
      </c>
      <c r="D59" s="110" t="s">
        <v>2304</v>
      </c>
      <c r="E59" s="110">
        <v>60000</v>
      </c>
      <c r="F59" s="110" t="s">
        <v>2374</v>
      </c>
      <c r="G59" s="110" t="s">
        <v>2306</v>
      </c>
      <c r="H59" s="103">
        <f>E59</f>
        <v>60000</v>
      </c>
      <c r="I59" s="104"/>
      <c r="J59" s="103"/>
      <c r="K59" s="103"/>
      <c r="L59" s="103"/>
      <c r="M59" s="103"/>
      <c r="N59" s="103"/>
      <c r="O59" s="103"/>
      <c r="P59" s="103"/>
      <c r="Q59" s="103"/>
      <c r="R59" s="103"/>
      <c r="S59" s="103"/>
      <c r="T59" s="103"/>
      <c r="U59" s="103"/>
      <c r="V59" s="103"/>
      <c r="W59" s="103"/>
      <c r="X59" s="103"/>
      <c r="Y59" s="111"/>
      <c r="Z59" s="111"/>
      <c r="AA59" s="103"/>
      <c r="AB59" s="103"/>
    </row>
    <row r="60" outlineLevel="1" spans="1:28">
      <c r="A60" s="109">
        <v>45845</v>
      </c>
      <c r="B60" s="110" t="s">
        <v>2396</v>
      </c>
      <c r="C60" s="110">
        <v>77685</v>
      </c>
      <c r="D60" s="110" t="s">
        <v>2304</v>
      </c>
      <c r="E60" s="110">
        <v>20000</v>
      </c>
      <c r="F60" s="110" t="s">
        <v>2376</v>
      </c>
      <c r="G60" s="110" t="s">
        <v>2306</v>
      </c>
      <c r="H60" s="103"/>
      <c r="I60" s="104">
        <f>E60</f>
        <v>20000</v>
      </c>
      <c r="J60" s="103"/>
      <c r="K60" s="103"/>
      <c r="L60" s="103"/>
      <c r="M60" s="103"/>
      <c r="N60" s="103"/>
      <c r="O60" s="103"/>
      <c r="P60" s="103"/>
      <c r="Q60" s="103"/>
      <c r="R60" s="103"/>
      <c r="S60" s="103"/>
      <c r="T60" s="103"/>
      <c r="U60" s="103"/>
      <c r="V60" s="103"/>
      <c r="W60" s="103"/>
      <c r="X60" s="103"/>
      <c r="Y60" s="111"/>
      <c r="Z60" s="111"/>
      <c r="AA60" s="103"/>
      <c r="AB60" s="103"/>
    </row>
    <row r="61" outlineLevel="1" spans="1:28">
      <c r="A61" s="109">
        <v>45845</v>
      </c>
      <c r="B61" s="110" t="s">
        <v>2397</v>
      </c>
      <c r="C61" s="110">
        <v>77685</v>
      </c>
      <c r="D61" s="110" t="s">
        <v>2308</v>
      </c>
      <c r="E61" s="110">
        <v>50000</v>
      </c>
      <c r="F61" s="110" t="s">
        <v>2378</v>
      </c>
      <c r="G61" s="110" t="s">
        <v>2306</v>
      </c>
      <c r="H61" s="103"/>
      <c r="I61" s="104"/>
      <c r="J61" s="103"/>
      <c r="K61" s="103">
        <f>E61</f>
        <v>50000</v>
      </c>
      <c r="L61" s="103"/>
      <c r="M61" s="103"/>
      <c r="N61" s="103"/>
      <c r="O61" s="103"/>
      <c r="P61" s="103"/>
      <c r="Q61" s="103"/>
      <c r="R61" s="103"/>
      <c r="S61" s="103"/>
      <c r="T61" s="103"/>
      <c r="U61" s="103"/>
      <c r="V61" s="103"/>
      <c r="W61" s="103"/>
      <c r="X61" s="103"/>
      <c r="Y61" s="111"/>
      <c r="Z61" s="111"/>
      <c r="AA61" s="103"/>
      <c r="AB61" s="103"/>
    </row>
    <row r="62" outlineLevel="1" spans="1:28">
      <c r="A62" s="109">
        <v>45845</v>
      </c>
      <c r="B62" s="110" t="s">
        <v>2398</v>
      </c>
      <c r="C62" s="110" t="s">
        <v>2311</v>
      </c>
      <c r="D62" s="110" t="s">
        <v>2312</v>
      </c>
      <c r="E62" s="110">
        <v>1500</v>
      </c>
      <c r="F62" s="110" t="s">
        <v>2374</v>
      </c>
      <c r="G62" s="110" t="s">
        <v>2306</v>
      </c>
      <c r="H62" s="103"/>
      <c r="I62" s="104"/>
      <c r="J62" s="103"/>
      <c r="K62" s="103"/>
      <c r="L62" s="103"/>
      <c r="M62" s="103"/>
      <c r="N62" s="103"/>
      <c r="O62" s="103"/>
      <c r="P62" s="103"/>
      <c r="Q62" s="103"/>
      <c r="R62" s="103"/>
      <c r="S62" s="103"/>
      <c r="T62" s="103"/>
      <c r="U62" s="103">
        <f>E62</f>
        <v>1500</v>
      </c>
      <c r="V62" s="103"/>
      <c r="W62" s="103"/>
      <c r="X62" s="103"/>
      <c r="Y62" s="111"/>
      <c r="Z62" s="111"/>
      <c r="AA62" s="103"/>
      <c r="AB62" s="103"/>
    </row>
    <row r="63" outlineLevel="1" spans="1:28">
      <c r="A63" s="109">
        <v>45845</v>
      </c>
      <c r="B63" s="110" t="s">
        <v>2399</v>
      </c>
      <c r="C63" s="110" t="s">
        <v>2311</v>
      </c>
      <c r="D63" s="110" t="s">
        <v>2312</v>
      </c>
      <c r="E63" s="110">
        <v>1000</v>
      </c>
      <c r="F63" s="110" t="s">
        <v>2376</v>
      </c>
      <c r="G63" s="110" t="s">
        <v>2306</v>
      </c>
      <c r="H63" s="103"/>
      <c r="I63" s="104"/>
      <c r="J63" s="103"/>
      <c r="K63" s="103"/>
      <c r="L63" s="103"/>
      <c r="M63" s="103"/>
      <c r="N63" s="103"/>
      <c r="O63" s="103"/>
      <c r="P63" s="103"/>
      <c r="Q63" s="103"/>
      <c r="R63" s="103"/>
      <c r="S63" s="103"/>
      <c r="T63" s="103"/>
      <c r="U63" s="103"/>
      <c r="V63" s="103">
        <f>E63</f>
        <v>1000</v>
      </c>
      <c r="W63" s="103"/>
      <c r="X63" s="103"/>
      <c r="Y63" s="111"/>
      <c r="Z63" s="111"/>
      <c r="AA63" s="103"/>
      <c r="AB63" s="103"/>
    </row>
    <row r="64" outlineLevel="1" spans="1:28">
      <c r="A64" s="109">
        <v>45845</v>
      </c>
      <c r="B64" s="110" t="s">
        <v>2400</v>
      </c>
      <c r="C64" s="110" t="s">
        <v>2314</v>
      </c>
      <c r="D64" s="110" t="s">
        <v>2312</v>
      </c>
      <c r="E64" s="110">
        <v>500</v>
      </c>
      <c r="F64" s="110" t="s">
        <v>2374</v>
      </c>
      <c r="G64" s="110" t="s">
        <v>2306</v>
      </c>
      <c r="H64" s="103"/>
      <c r="I64" s="104"/>
      <c r="J64" s="103"/>
      <c r="K64" s="103"/>
      <c r="L64" s="103"/>
      <c r="M64" s="103"/>
      <c r="N64" s="103"/>
      <c r="O64" s="103"/>
      <c r="P64" s="103"/>
      <c r="Q64" s="103"/>
      <c r="R64" s="103">
        <f>E64</f>
        <v>500</v>
      </c>
      <c r="S64" s="103"/>
      <c r="T64" s="103"/>
      <c r="U64" s="103"/>
      <c r="V64" s="103"/>
      <c r="W64" s="103"/>
      <c r="X64" s="103"/>
      <c r="Y64" s="111"/>
      <c r="Z64" s="111"/>
      <c r="AA64" s="103"/>
      <c r="AB64" s="103"/>
    </row>
    <row r="65" outlineLevel="1" spans="1:28">
      <c r="A65" s="109">
        <v>45845</v>
      </c>
      <c r="B65" s="110" t="s">
        <v>2401</v>
      </c>
      <c r="C65" s="110" t="s">
        <v>2314</v>
      </c>
      <c r="D65" s="110" t="s">
        <v>2312</v>
      </c>
      <c r="E65" s="110">
        <v>500</v>
      </c>
      <c r="F65" s="110" t="s">
        <v>2382</v>
      </c>
      <c r="G65" s="110" t="s">
        <v>2306</v>
      </c>
      <c r="H65" s="103"/>
      <c r="I65" s="104"/>
      <c r="J65" s="103"/>
      <c r="K65" s="103"/>
      <c r="L65" s="103"/>
      <c r="M65" s="103"/>
      <c r="N65" s="103"/>
      <c r="O65" s="103"/>
      <c r="P65" s="103"/>
      <c r="Q65" s="103"/>
      <c r="R65" s="103"/>
      <c r="S65" s="103"/>
      <c r="T65" s="103">
        <f>E65</f>
        <v>500</v>
      </c>
      <c r="U65" s="103"/>
      <c r="V65" s="103"/>
      <c r="W65" s="103"/>
      <c r="X65" s="103"/>
      <c r="Y65" s="111"/>
      <c r="Z65" s="111"/>
      <c r="AA65" s="103"/>
      <c r="AB65" s="103"/>
    </row>
    <row r="66" outlineLevel="1" spans="1:28">
      <c r="A66" s="109">
        <v>45875</v>
      </c>
      <c r="B66" s="110" t="s">
        <v>2402</v>
      </c>
      <c r="C66" s="110">
        <v>77685</v>
      </c>
      <c r="D66" s="110" t="s">
        <v>2304</v>
      </c>
      <c r="E66" s="110">
        <v>60000</v>
      </c>
      <c r="F66" s="110" t="s">
        <v>2374</v>
      </c>
      <c r="G66" s="110" t="s">
        <v>2306</v>
      </c>
      <c r="H66" s="103">
        <f>E66</f>
        <v>60000</v>
      </c>
      <c r="I66" s="104"/>
      <c r="J66" s="103"/>
      <c r="K66" s="103"/>
      <c r="L66" s="103"/>
      <c r="M66" s="103"/>
      <c r="N66" s="103"/>
      <c r="O66" s="103"/>
      <c r="P66" s="103"/>
      <c r="Q66" s="103"/>
      <c r="R66" s="103"/>
      <c r="S66" s="103"/>
      <c r="T66" s="103"/>
      <c r="U66" s="103"/>
      <c r="V66" s="103"/>
      <c r="W66" s="103"/>
      <c r="X66" s="103"/>
      <c r="Y66" s="111"/>
      <c r="Z66" s="111"/>
      <c r="AA66" s="103"/>
      <c r="AB66" s="103"/>
    </row>
    <row r="67" outlineLevel="1" spans="1:28">
      <c r="A67" s="109">
        <v>45875</v>
      </c>
      <c r="B67" s="110" t="s">
        <v>2403</v>
      </c>
      <c r="C67" s="110">
        <v>77685</v>
      </c>
      <c r="D67" s="110" t="s">
        <v>2308</v>
      </c>
      <c r="E67" s="110">
        <v>70000</v>
      </c>
      <c r="F67" s="110" t="s">
        <v>2378</v>
      </c>
      <c r="G67" s="110" t="s">
        <v>2306</v>
      </c>
      <c r="H67" s="103"/>
      <c r="I67" s="104"/>
      <c r="J67" s="103"/>
      <c r="K67" s="103">
        <f>E67</f>
        <v>70000</v>
      </c>
      <c r="L67" s="103"/>
      <c r="M67" s="103"/>
      <c r="N67" s="103"/>
      <c r="O67" s="103"/>
      <c r="P67" s="103"/>
      <c r="Q67" s="103"/>
      <c r="R67" s="103"/>
      <c r="S67" s="103"/>
      <c r="T67" s="103"/>
      <c r="U67" s="103"/>
      <c r="V67" s="103"/>
      <c r="W67" s="103"/>
      <c r="X67" s="103"/>
      <c r="Y67" s="111"/>
      <c r="Z67" s="111"/>
      <c r="AA67" s="103"/>
      <c r="AB67" s="103"/>
    </row>
    <row r="68" outlineLevel="1" spans="1:28">
      <c r="A68" s="109">
        <v>45875</v>
      </c>
      <c r="B68" s="110" t="s">
        <v>2404</v>
      </c>
      <c r="C68" s="110" t="s">
        <v>2311</v>
      </c>
      <c r="D68" s="110" t="s">
        <v>2312</v>
      </c>
      <c r="E68" s="110">
        <v>5000</v>
      </c>
      <c r="F68" s="110" t="s">
        <v>2374</v>
      </c>
      <c r="G68" s="110" t="s">
        <v>2306</v>
      </c>
      <c r="H68" s="103"/>
      <c r="I68" s="104"/>
      <c r="J68" s="103"/>
      <c r="K68" s="103"/>
      <c r="L68" s="103"/>
      <c r="M68" s="103"/>
      <c r="N68" s="103"/>
      <c r="O68" s="103"/>
      <c r="P68" s="103"/>
      <c r="Q68" s="103"/>
      <c r="R68" s="103"/>
      <c r="S68" s="103"/>
      <c r="T68" s="103"/>
      <c r="U68" s="103">
        <f>E68</f>
        <v>5000</v>
      </c>
      <c r="V68" s="103"/>
      <c r="W68" s="103"/>
      <c r="X68" s="103"/>
      <c r="Y68" s="111"/>
      <c r="Z68" s="111"/>
      <c r="AA68" s="103"/>
      <c r="AB68" s="103"/>
    </row>
    <row r="69" outlineLevel="1" spans="1:28">
      <c r="A69" s="109">
        <v>45882</v>
      </c>
      <c r="B69" s="110" t="s">
        <v>2405</v>
      </c>
      <c r="C69" s="110" t="s">
        <v>2335</v>
      </c>
      <c r="D69" s="110" t="s">
        <v>2312</v>
      </c>
      <c r="E69" s="110">
        <v>1488</v>
      </c>
      <c r="F69" s="110" t="s">
        <v>2319</v>
      </c>
      <c r="G69" s="110" t="s">
        <v>2365</v>
      </c>
      <c r="H69" s="103"/>
      <c r="I69" s="104"/>
      <c r="J69" s="103"/>
      <c r="K69" s="103"/>
      <c r="L69" s="103"/>
      <c r="M69" s="103"/>
      <c r="N69" s="103"/>
      <c r="O69" s="103"/>
      <c r="P69" s="103"/>
      <c r="Q69" s="103"/>
      <c r="R69" s="103"/>
      <c r="S69" s="103"/>
      <c r="T69" s="103"/>
      <c r="U69" s="103"/>
      <c r="V69" s="103"/>
      <c r="W69" s="103"/>
      <c r="X69" s="103"/>
      <c r="Y69" s="111">
        <f>E69</f>
        <v>1488</v>
      </c>
      <c r="Z69" s="111"/>
      <c r="AA69" s="103"/>
      <c r="AB69" s="103" t="s">
        <v>2406</v>
      </c>
    </row>
    <row r="70" outlineLevel="1" spans="1:28">
      <c r="A70" s="109">
        <v>45884</v>
      </c>
      <c r="B70" s="110"/>
      <c r="C70" s="110" t="s">
        <v>2314</v>
      </c>
      <c r="D70" s="110" t="s">
        <v>2312</v>
      </c>
      <c r="E70" s="110">
        <v>500</v>
      </c>
      <c r="F70" s="110" t="s">
        <v>2374</v>
      </c>
      <c r="G70" s="110" t="s">
        <v>2306</v>
      </c>
      <c r="H70" s="103"/>
      <c r="I70" s="104"/>
      <c r="J70" s="103"/>
      <c r="K70" s="103"/>
      <c r="L70" s="103"/>
      <c r="M70" s="103"/>
      <c r="N70" s="103"/>
      <c r="O70" s="103"/>
      <c r="P70" s="103"/>
      <c r="Q70" s="103"/>
      <c r="R70" s="113">
        <f>E70</f>
        <v>500</v>
      </c>
      <c r="T70" s="103"/>
      <c r="U70" s="103"/>
      <c r="V70" s="103"/>
      <c r="W70" s="103"/>
      <c r="X70" s="103"/>
      <c r="Y70" s="111"/>
      <c r="Z70" s="111"/>
      <c r="AA70" s="103"/>
      <c r="AB70" s="103"/>
    </row>
    <row r="71" outlineLevel="1" spans="1:28">
      <c r="A71" s="109">
        <v>45890</v>
      </c>
      <c r="B71" s="114">
        <v>1000031208</v>
      </c>
      <c r="C71" s="110">
        <v>77685</v>
      </c>
      <c r="D71" s="110" t="s">
        <v>2304</v>
      </c>
      <c r="E71" s="115">
        <v>50000</v>
      </c>
      <c r="F71" s="110" t="s">
        <v>2374</v>
      </c>
      <c r="G71" s="110" t="s">
        <v>2252</v>
      </c>
      <c r="H71" s="103">
        <f>E71</f>
        <v>50000</v>
      </c>
      <c r="I71" s="104"/>
      <c r="J71" s="103"/>
      <c r="K71" s="103"/>
      <c r="L71" s="103"/>
      <c r="M71" s="103"/>
      <c r="N71" s="103"/>
      <c r="O71" s="103"/>
      <c r="P71" s="103"/>
      <c r="Q71" s="103"/>
      <c r="R71" s="103"/>
      <c r="S71" s="103"/>
      <c r="T71" s="103"/>
      <c r="U71" s="103"/>
      <c r="V71" s="103"/>
      <c r="W71" s="103"/>
      <c r="X71" s="103"/>
      <c r="Y71" s="111"/>
      <c r="Z71" s="111"/>
      <c r="AA71" s="103"/>
      <c r="AB71" s="103"/>
    </row>
    <row r="72" outlineLevel="1" spans="1:28">
      <c r="A72" s="109">
        <v>45890</v>
      </c>
      <c r="B72" s="114">
        <v>1000031209</v>
      </c>
      <c r="C72" s="110">
        <v>77685</v>
      </c>
      <c r="D72" s="110" t="s">
        <v>2308</v>
      </c>
      <c r="E72" s="115">
        <v>50000</v>
      </c>
      <c r="F72" s="110" t="s">
        <v>2378</v>
      </c>
      <c r="G72" s="110" t="s">
        <v>2252</v>
      </c>
      <c r="H72" s="103"/>
      <c r="I72" s="104"/>
      <c r="J72" s="103"/>
      <c r="K72" s="103">
        <f>E72</f>
        <v>50000</v>
      </c>
      <c r="L72" s="103"/>
      <c r="M72" s="103"/>
      <c r="N72" s="103"/>
      <c r="O72" s="103"/>
      <c r="P72" s="103"/>
      <c r="Q72" s="103"/>
      <c r="R72" s="103"/>
      <c r="S72" s="103"/>
      <c r="T72" s="103"/>
      <c r="U72" s="103"/>
      <c r="V72" s="103"/>
      <c r="W72" s="103"/>
      <c r="X72" s="103"/>
      <c r="Y72" s="111"/>
      <c r="Z72" s="111"/>
      <c r="AA72" s="103"/>
      <c r="AB72" s="103"/>
    </row>
    <row r="73" outlineLevel="1" spans="1:28">
      <c r="A73" s="109">
        <v>45890</v>
      </c>
      <c r="B73" s="114">
        <v>1000031210</v>
      </c>
      <c r="C73" s="110" t="s">
        <v>2311</v>
      </c>
      <c r="D73" s="110" t="s">
        <v>2312</v>
      </c>
      <c r="E73" s="115">
        <v>650</v>
      </c>
      <c r="F73" s="110" t="s">
        <v>2374</v>
      </c>
      <c r="G73" s="110"/>
      <c r="H73" s="103"/>
      <c r="I73" s="104"/>
      <c r="J73" s="103"/>
      <c r="K73" s="103"/>
      <c r="L73" s="103"/>
      <c r="M73" s="103"/>
      <c r="N73" s="103"/>
      <c r="O73" s="103"/>
      <c r="P73" s="103"/>
      <c r="Q73" s="103"/>
      <c r="R73" s="103"/>
      <c r="S73" s="103"/>
      <c r="T73" s="103"/>
      <c r="U73" s="103">
        <f>E73</f>
        <v>650</v>
      </c>
      <c r="V73" s="103"/>
      <c r="W73" s="103"/>
      <c r="X73" s="103"/>
      <c r="Y73" s="111"/>
      <c r="Z73" s="111"/>
      <c r="AA73" s="103"/>
      <c r="AB73" s="103"/>
    </row>
    <row r="74" s="1" customFormat="1" outlineLevel="1" spans="1:28">
      <c r="A74" s="109">
        <v>45898</v>
      </c>
      <c r="B74" s="114">
        <v>1000031604</v>
      </c>
      <c r="C74" s="110">
        <v>77685</v>
      </c>
      <c r="D74" s="110" t="s">
        <v>2304</v>
      </c>
      <c r="E74" s="110">
        <v>35000</v>
      </c>
      <c r="F74" s="110" t="s">
        <v>2374</v>
      </c>
      <c r="G74" s="110" t="s">
        <v>2252</v>
      </c>
      <c r="H74" s="104">
        <f>E74</f>
        <v>35000</v>
      </c>
      <c r="I74" s="104"/>
      <c r="J74" s="104"/>
      <c r="K74" s="104"/>
      <c r="L74" s="104"/>
      <c r="M74" s="104"/>
      <c r="N74" s="104"/>
      <c r="O74" s="104"/>
      <c r="P74" s="104"/>
      <c r="Q74" s="104"/>
      <c r="R74" s="104"/>
      <c r="S74" s="104"/>
      <c r="T74" s="104"/>
      <c r="U74" s="104"/>
      <c r="V74" s="104"/>
      <c r="W74" s="104"/>
      <c r="X74" s="104"/>
      <c r="Y74" s="14"/>
      <c r="Z74" s="14"/>
      <c r="AA74" s="104"/>
      <c r="AB74" s="104"/>
    </row>
    <row r="75" s="1" customFormat="1" outlineLevel="1" spans="1:28">
      <c r="A75" s="109">
        <v>45898</v>
      </c>
      <c r="B75" s="114">
        <v>1000031606</v>
      </c>
      <c r="C75" s="110">
        <v>77685</v>
      </c>
      <c r="D75" s="110" t="s">
        <v>2308</v>
      </c>
      <c r="E75" s="110">
        <v>35000</v>
      </c>
      <c r="F75" s="110" t="s">
        <v>2378</v>
      </c>
      <c r="G75" s="110" t="s">
        <v>2252</v>
      </c>
      <c r="H75" s="104"/>
      <c r="I75" s="104"/>
      <c r="J75" s="104"/>
      <c r="K75" s="104">
        <f>E75</f>
        <v>35000</v>
      </c>
      <c r="L75" s="104"/>
      <c r="M75" s="104"/>
      <c r="N75" s="104"/>
      <c r="O75" s="104"/>
      <c r="P75" s="104"/>
      <c r="Q75" s="104"/>
      <c r="R75" s="104"/>
      <c r="S75" s="104"/>
      <c r="T75" s="104"/>
      <c r="U75" s="104"/>
      <c r="V75" s="104"/>
      <c r="W75" s="104"/>
      <c r="X75" s="104"/>
      <c r="Y75" s="14"/>
      <c r="Z75" s="14"/>
      <c r="AA75" s="104"/>
      <c r="AB75" s="104"/>
    </row>
    <row r="76" s="1" customFormat="1" outlineLevel="1" spans="1:28">
      <c r="A76" s="109">
        <v>45898</v>
      </c>
      <c r="B76" s="114"/>
      <c r="C76" s="110" t="s">
        <v>2335</v>
      </c>
      <c r="D76" s="110" t="s">
        <v>2312</v>
      </c>
      <c r="E76" s="110">
        <v>5808</v>
      </c>
      <c r="F76" s="110" t="s">
        <v>2319</v>
      </c>
      <c r="G76" s="110" t="s">
        <v>2365</v>
      </c>
      <c r="H76" s="104"/>
      <c r="I76" s="104"/>
      <c r="J76" s="104"/>
      <c r="K76" s="104"/>
      <c r="L76" s="104"/>
      <c r="M76" s="104"/>
      <c r="N76" s="104"/>
      <c r="O76" s="104"/>
      <c r="P76" s="104"/>
      <c r="Q76" s="104"/>
      <c r="R76" s="104"/>
      <c r="S76" s="104"/>
      <c r="T76" s="104"/>
      <c r="U76" s="104"/>
      <c r="V76" s="104"/>
      <c r="W76" s="104"/>
      <c r="X76" s="104"/>
      <c r="Y76" s="14">
        <f>E76</f>
        <v>5808</v>
      </c>
      <c r="Z76" s="14"/>
      <c r="AA76" s="104"/>
      <c r="AB76" s="104" t="s">
        <v>2407</v>
      </c>
    </row>
    <row r="77" s="1" customFormat="1" outlineLevel="1" spans="1:28">
      <c r="A77" s="109">
        <v>45912</v>
      </c>
      <c r="B77" s="114" t="s">
        <v>2408</v>
      </c>
      <c r="C77" s="110" t="s">
        <v>2335</v>
      </c>
      <c r="D77" s="110" t="s">
        <v>2312</v>
      </c>
      <c r="E77" s="110">
        <v>500</v>
      </c>
      <c r="F77" s="110" t="s">
        <v>2305</v>
      </c>
      <c r="G77" s="110" t="s">
        <v>2365</v>
      </c>
      <c r="H77" s="104"/>
      <c r="I77" s="104"/>
      <c r="J77" s="104"/>
      <c r="K77" s="104"/>
      <c r="L77" s="104"/>
      <c r="M77" s="104"/>
      <c r="N77" s="104"/>
      <c r="O77" s="104"/>
      <c r="P77" s="104"/>
      <c r="Q77" s="104"/>
      <c r="R77" s="104"/>
      <c r="S77" s="104"/>
      <c r="T77" s="104"/>
      <c r="U77" s="104"/>
      <c r="V77" s="104"/>
      <c r="W77" s="104"/>
      <c r="X77" s="104"/>
      <c r="Y77" s="14">
        <f>E77</f>
        <v>500</v>
      </c>
      <c r="Z77" s="14"/>
      <c r="AA77" s="104"/>
      <c r="AB77" s="104" t="s">
        <v>2409</v>
      </c>
    </row>
    <row r="78" outlineLevel="1" spans="1:28">
      <c r="A78" s="109">
        <v>45915</v>
      </c>
      <c r="B78" s="114" t="s">
        <v>2410</v>
      </c>
      <c r="C78" s="110">
        <v>77685</v>
      </c>
      <c r="D78" s="110" t="s">
        <v>2304</v>
      </c>
      <c r="E78" s="110">
        <v>20000</v>
      </c>
      <c r="F78" s="110" t="s">
        <v>2374</v>
      </c>
      <c r="G78" s="110" t="s">
        <v>2252</v>
      </c>
      <c r="H78" s="103">
        <f>E78</f>
        <v>20000</v>
      </c>
      <c r="I78" s="104"/>
      <c r="J78" s="103"/>
      <c r="K78" s="103"/>
      <c r="L78" s="103"/>
      <c r="M78" s="103"/>
      <c r="N78" s="103"/>
      <c r="O78" s="103"/>
      <c r="P78" s="103"/>
      <c r="Q78" s="103"/>
      <c r="R78" s="103"/>
      <c r="S78" s="103"/>
      <c r="T78" s="103"/>
      <c r="U78" s="103"/>
      <c r="V78" s="103"/>
      <c r="W78" s="103"/>
      <c r="X78" s="103"/>
      <c r="Y78" s="111"/>
      <c r="Z78" s="111"/>
      <c r="AA78" s="103"/>
      <c r="AB78" s="103"/>
    </row>
    <row r="79" outlineLevel="1" spans="1:28">
      <c r="A79" s="109">
        <v>45915</v>
      </c>
      <c r="B79" s="114" t="s">
        <v>2411</v>
      </c>
      <c r="C79" s="110">
        <v>77685</v>
      </c>
      <c r="D79" s="110" t="s">
        <v>2308</v>
      </c>
      <c r="E79" s="110">
        <v>20000</v>
      </c>
      <c r="F79" s="110" t="s">
        <v>2378</v>
      </c>
      <c r="G79" s="110" t="s">
        <v>2252</v>
      </c>
      <c r="H79" s="103"/>
      <c r="I79" s="104"/>
      <c r="J79" s="103"/>
      <c r="K79" s="103">
        <f>E79</f>
        <v>20000</v>
      </c>
      <c r="L79" s="103"/>
      <c r="M79" s="103"/>
      <c r="N79" s="103"/>
      <c r="O79" s="103"/>
      <c r="P79" s="103"/>
      <c r="Q79" s="103"/>
      <c r="R79" s="103"/>
      <c r="S79" s="103"/>
      <c r="T79" s="103"/>
      <c r="U79" s="103"/>
      <c r="V79" s="103"/>
      <c r="W79" s="103"/>
      <c r="X79" s="103"/>
      <c r="Y79" s="111"/>
      <c r="Z79" s="111"/>
      <c r="AA79" s="103"/>
      <c r="AB79" s="103"/>
    </row>
    <row r="80" outlineLevel="1" spans="1:28">
      <c r="A80" s="109">
        <v>45923</v>
      </c>
      <c r="B80" s="114" t="s">
        <v>2412</v>
      </c>
      <c r="C80" s="110">
        <v>77685</v>
      </c>
      <c r="D80" s="110" t="s">
        <v>2304</v>
      </c>
      <c r="E80" s="110">
        <v>20000</v>
      </c>
      <c r="F80" s="110" t="s">
        <v>2374</v>
      </c>
      <c r="G80" s="110" t="s">
        <v>2252</v>
      </c>
      <c r="H80" s="103">
        <f>E80</f>
        <v>20000</v>
      </c>
      <c r="I80" s="104"/>
      <c r="J80" s="103"/>
      <c r="K80" s="103"/>
      <c r="L80" s="103"/>
      <c r="M80" s="103"/>
      <c r="N80" s="103"/>
      <c r="O80" s="103"/>
      <c r="P80" s="103"/>
      <c r="Q80" s="103"/>
      <c r="R80" s="103"/>
      <c r="S80" s="103"/>
      <c r="T80" s="103"/>
      <c r="U80" s="103"/>
      <c r="V80" s="103"/>
      <c r="W80" s="103"/>
      <c r="X80" s="103"/>
      <c r="Y80" s="111"/>
      <c r="Z80" s="111"/>
      <c r="AA80" s="103"/>
      <c r="AB80" s="103"/>
    </row>
    <row r="81" outlineLevel="1" spans="1:28">
      <c r="A81" s="109">
        <v>45923</v>
      </c>
      <c r="B81" s="114" t="s">
        <v>2413</v>
      </c>
      <c r="C81" s="110">
        <v>77685</v>
      </c>
      <c r="D81" s="110" t="s">
        <v>2304</v>
      </c>
      <c r="E81" s="110">
        <v>20000</v>
      </c>
      <c r="F81" s="110" t="s">
        <v>2376</v>
      </c>
      <c r="G81" s="110" t="s">
        <v>2252</v>
      </c>
      <c r="H81" s="103"/>
      <c r="I81" s="104">
        <f>E81</f>
        <v>20000</v>
      </c>
      <c r="J81" s="103"/>
      <c r="K81" s="103"/>
      <c r="L81" s="103"/>
      <c r="M81" s="103"/>
      <c r="N81" s="103"/>
      <c r="O81" s="103"/>
      <c r="P81" s="103"/>
      <c r="Q81" s="103"/>
      <c r="R81" s="103"/>
      <c r="S81" s="103"/>
      <c r="T81" s="103"/>
      <c r="U81" s="103"/>
      <c r="V81" s="103"/>
      <c r="W81" s="103"/>
      <c r="X81" s="103"/>
      <c r="Y81" s="111"/>
      <c r="Z81" s="111"/>
      <c r="AA81" s="103"/>
      <c r="AB81" s="103"/>
    </row>
    <row r="82" outlineLevel="1" spans="1:28">
      <c r="A82" s="109">
        <v>45923</v>
      </c>
      <c r="B82" s="114" t="s">
        <v>2414</v>
      </c>
      <c r="C82" s="110">
        <v>77685</v>
      </c>
      <c r="D82" s="110" t="s">
        <v>2308</v>
      </c>
      <c r="E82" s="110">
        <v>20000</v>
      </c>
      <c r="F82" s="110" t="s">
        <v>2378</v>
      </c>
      <c r="G82" s="110" t="s">
        <v>2252</v>
      </c>
      <c r="H82" s="103"/>
      <c r="I82" s="104"/>
      <c r="J82" s="103"/>
      <c r="K82" s="103">
        <f>E82</f>
        <v>20000</v>
      </c>
      <c r="L82" s="103"/>
      <c r="M82" s="103"/>
      <c r="N82" s="103"/>
      <c r="O82" s="103"/>
      <c r="P82" s="103"/>
      <c r="Q82" s="103"/>
      <c r="R82" s="103"/>
      <c r="S82" s="103"/>
      <c r="T82" s="103"/>
      <c r="U82" s="103"/>
      <c r="V82" s="103"/>
      <c r="W82" s="103"/>
      <c r="X82" s="103"/>
      <c r="Y82" s="111"/>
      <c r="Z82" s="111"/>
      <c r="AA82" s="103"/>
      <c r="AB82" s="103"/>
    </row>
    <row r="83" outlineLevel="1" spans="1:28">
      <c r="A83" s="109">
        <v>45923</v>
      </c>
      <c r="B83" s="114" t="s">
        <v>2415</v>
      </c>
      <c r="C83" s="110" t="s">
        <v>2311</v>
      </c>
      <c r="D83" s="110" t="s">
        <v>2312</v>
      </c>
      <c r="E83" s="110">
        <v>500</v>
      </c>
      <c r="F83" s="110" t="s">
        <v>2374</v>
      </c>
      <c r="G83" s="110" t="s">
        <v>2252</v>
      </c>
      <c r="H83" s="103"/>
      <c r="I83" s="104"/>
      <c r="J83" s="103"/>
      <c r="K83" s="103"/>
      <c r="L83" s="103"/>
      <c r="M83" s="103"/>
      <c r="N83" s="103"/>
      <c r="O83" s="103"/>
      <c r="P83" s="103"/>
      <c r="Q83" s="103"/>
      <c r="R83" s="103"/>
      <c r="S83" s="103"/>
      <c r="T83" s="103"/>
      <c r="U83" s="103">
        <f>E83</f>
        <v>500</v>
      </c>
      <c r="V83" s="103"/>
      <c r="W83" s="103"/>
      <c r="X83" s="103"/>
      <c r="Y83" s="111"/>
      <c r="Z83" s="111"/>
      <c r="AA83" s="103"/>
      <c r="AB83" s="103"/>
    </row>
    <row r="84" outlineLevel="1" spans="1:28">
      <c r="A84" s="109">
        <v>45930</v>
      </c>
      <c r="B84" s="114" t="s">
        <v>2416</v>
      </c>
      <c r="C84" s="110" t="s">
        <v>2335</v>
      </c>
      <c r="D84" s="110" t="s">
        <v>2312</v>
      </c>
      <c r="E84" s="110">
        <v>500</v>
      </c>
      <c r="F84" s="110" t="s">
        <v>2305</v>
      </c>
      <c r="G84" s="110" t="s">
        <v>2365</v>
      </c>
      <c r="H84" s="103"/>
      <c r="I84" s="104"/>
      <c r="J84" s="103"/>
      <c r="K84" s="103"/>
      <c r="L84" s="103"/>
      <c r="M84" s="103"/>
      <c r="N84" s="103"/>
      <c r="O84" s="103"/>
      <c r="P84" s="103"/>
      <c r="Q84" s="103"/>
      <c r="R84" s="103"/>
      <c r="S84" s="103"/>
      <c r="T84" s="103"/>
      <c r="U84" s="103"/>
      <c r="V84" s="103"/>
      <c r="W84" s="103"/>
      <c r="X84" s="103"/>
      <c r="Y84" s="14">
        <f>E84</f>
        <v>500</v>
      </c>
      <c r="Z84" s="111"/>
      <c r="AA84" s="103"/>
      <c r="AB84" s="103" t="s">
        <v>2417</v>
      </c>
    </row>
    <row r="85" outlineLevel="1" spans="1:28">
      <c r="A85" s="109">
        <v>45939</v>
      </c>
      <c r="B85" s="114" t="s">
        <v>2418</v>
      </c>
      <c r="C85" s="110">
        <v>77685</v>
      </c>
      <c r="D85" s="110" t="s">
        <v>2304</v>
      </c>
      <c r="E85" s="110">
        <v>20000</v>
      </c>
      <c r="F85" s="110" t="s">
        <v>2374</v>
      </c>
      <c r="G85" s="110" t="s">
        <v>2252</v>
      </c>
      <c r="H85" s="103">
        <f>E85</f>
        <v>20000</v>
      </c>
      <c r="I85" s="104"/>
      <c r="J85" s="103"/>
      <c r="K85" s="103"/>
      <c r="L85" s="103"/>
      <c r="M85" s="103"/>
      <c r="N85" s="103"/>
      <c r="O85" s="103"/>
      <c r="P85" s="103"/>
      <c r="Q85" s="103"/>
      <c r="R85" s="103"/>
      <c r="S85" s="103"/>
      <c r="T85" s="103"/>
      <c r="U85" s="103"/>
      <c r="V85" s="103"/>
      <c r="W85" s="103"/>
      <c r="X85" s="103"/>
      <c r="Y85" s="111"/>
      <c r="Z85" s="111"/>
      <c r="AA85" s="103"/>
      <c r="AB85" s="103"/>
    </row>
    <row r="86" outlineLevel="1" spans="1:28">
      <c r="A86" s="109">
        <v>45939</v>
      </c>
      <c r="B86" s="114" t="s">
        <v>2419</v>
      </c>
      <c r="C86" s="110">
        <v>77685</v>
      </c>
      <c r="D86" s="110" t="s">
        <v>2308</v>
      </c>
      <c r="E86" s="110">
        <v>20000</v>
      </c>
      <c r="F86" s="110" t="s">
        <v>2378</v>
      </c>
      <c r="G86" s="110" t="s">
        <v>2252</v>
      </c>
      <c r="H86" s="103"/>
      <c r="I86" s="104"/>
      <c r="J86" s="103"/>
      <c r="K86" s="103">
        <f>E86</f>
        <v>20000</v>
      </c>
      <c r="L86" s="103"/>
      <c r="M86" s="103"/>
      <c r="N86" s="103"/>
      <c r="O86" s="103"/>
      <c r="P86" s="103"/>
      <c r="Q86" s="103"/>
      <c r="R86" s="103"/>
      <c r="S86" s="103"/>
      <c r="T86" s="103"/>
      <c r="U86" s="103"/>
      <c r="V86" s="103"/>
      <c r="W86" s="103"/>
      <c r="X86" s="103"/>
      <c r="Y86" s="111"/>
      <c r="Z86" s="111"/>
      <c r="AA86" s="103"/>
      <c r="AB86" s="103"/>
    </row>
    <row r="87" outlineLevel="1" spans="1:28">
      <c r="A87" s="109">
        <v>45939</v>
      </c>
      <c r="B87" s="114" t="s">
        <v>2420</v>
      </c>
      <c r="C87" s="110" t="s">
        <v>2311</v>
      </c>
      <c r="D87" s="110" t="s">
        <v>2312</v>
      </c>
      <c r="E87" s="110">
        <v>800</v>
      </c>
      <c r="F87" s="110" t="s">
        <v>2374</v>
      </c>
      <c r="G87" s="110" t="s">
        <v>2252</v>
      </c>
      <c r="H87" s="103"/>
      <c r="I87" s="104"/>
      <c r="J87" s="103"/>
      <c r="K87" s="103"/>
      <c r="L87" s="103"/>
      <c r="M87" s="103"/>
      <c r="N87" s="103"/>
      <c r="O87" s="103"/>
      <c r="P87" s="103"/>
      <c r="Q87" s="103"/>
      <c r="R87" s="103"/>
      <c r="S87" s="103"/>
      <c r="T87" s="103"/>
      <c r="U87" s="103">
        <f>E87</f>
        <v>800</v>
      </c>
      <c r="V87" s="103"/>
      <c r="W87" s="103"/>
      <c r="X87" s="103"/>
      <c r="Y87" s="111"/>
      <c r="Z87" s="111"/>
      <c r="AA87" s="103"/>
      <c r="AB87" s="103"/>
    </row>
    <row r="88" outlineLevel="1" spans="1:28">
      <c r="A88" s="109">
        <v>45940</v>
      </c>
      <c r="B88" s="114" t="s">
        <v>2421</v>
      </c>
      <c r="C88" s="110" t="s">
        <v>2335</v>
      </c>
      <c r="D88" s="110" t="s">
        <v>2312</v>
      </c>
      <c r="E88" s="110">
        <v>500</v>
      </c>
      <c r="F88" s="110" t="s">
        <v>2374</v>
      </c>
      <c r="G88" s="110" t="s">
        <v>2365</v>
      </c>
      <c r="H88" s="103"/>
      <c r="I88" s="104"/>
      <c r="J88" s="103"/>
      <c r="K88" s="103"/>
      <c r="L88" s="103"/>
      <c r="M88" s="103"/>
      <c r="N88" s="103"/>
      <c r="O88" s="103"/>
      <c r="P88" s="103"/>
      <c r="Q88" s="103"/>
      <c r="R88" s="103"/>
      <c r="S88" s="103"/>
      <c r="T88" s="103"/>
      <c r="U88" s="103"/>
      <c r="V88" s="103"/>
      <c r="W88" s="103"/>
      <c r="X88" s="103"/>
      <c r="Y88" s="14">
        <f>E88</f>
        <v>500</v>
      </c>
      <c r="Z88" s="111"/>
      <c r="AA88" s="103"/>
      <c r="AB88" s="103" t="s">
        <v>2422</v>
      </c>
    </row>
    <row r="89" outlineLevel="1" spans="1:28">
      <c r="A89" s="109">
        <v>45944</v>
      </c>
      <c r="B89" s="114" t="s">
        <v>2423</v>
      </c>
      <c r="C89" s="110" t="s">
        <v>2311</v>
      </c>
      <c r="D89" s="110" t="s">
        <v>2312</v>
      </c>
      <c r="E89" s="110">
        <v>500</v>
      </c>
      <c r="F89" s="110" t="s">
        <v>2374</v>
      </c>
      <c r="G89" s="110" t="s">
        <v>2252</v>
      </c>
      <c r="H89" s="103"/>
      <c r="I89" s="104"/>
      <c r="J89" s="103"/>
      <c r="K89" s="103"/>
      <c r="L89" s="103"/>
      <c r="M89" s="103"/>
      <c r="N89" s="103"/>
      <c r="O89" s="103"/>
      <c r="P89" s="103"/>
      <c r="Q89" s="103"/>
      <c r="R89" s="103"/>
      <c r="S89" s="103"/>
      <c r="T89" s="103"/>
      <c r="U89" s="103">
        <f>E89</f>
        <v>500</v>
      </c>
      <c r="V89" s="103"/>
      <c r="W89" s="103"/>
      <c r="X89" s="103"/>
      <c r="Y89" s="111"/>
      <c r="Z89" s="111"/>
      <c r="AA89" s="103"/>
      <c r="AB89" s="103"/>
    </row>
    <row r="90" outlineLevel="1" spans="1:28">
      <c r="A90" s="109">
        <v>45951</v>
      </c>
      <c r="B90" s="114" t="s">
        <v>2424</v>
      </c>
      <c r="C90" s="110">
        <v>77685</v>
      </c>
      <c r="D90" s="110" t="s">
        <v>2304</v>
      </c>
      <c r="E90" s="110">
        <v>20000</v>
      </c>
      <c r="F90" s="110" t="s">
        <v>2376</v>
      </c>
      <c r="G90" s="110" t="s">
        <v>2252</v>
      </c>
      <c r="H90" s="103"/>
      <c r="I90" s="104">
        <f>E90</f>
        <v>20000</v>
      </c>
      <c r="J90" s="103"/>
      <c r="K90" s="103"/>
      <c r="L90" s="103"/>
      <c r="M90" s="103"/>
      <c r="N90" s="103"/>
      <c r="O90" s="103"/>
      <c r="P90" s="103"/>
      <c r="Q90" s="103"/>
      <c r="R90" s="103"/>
      <c r="S90" s="103"/>
      <c r="T90" s="103"/>
      <c r="U90" s="103"/>
      <c r="V90" s="103"/>
      <c r="W90" s="103"/>
      <c r="X90" s="103"/>
      <c r="Y90" s="111"/>
      <c r="Z90" s="111"/>
      <c r="AA90" s="103"/>
      <c r="AB90" s="103"/>
    </row>
    <row r="91" outlineLevel="1" spans="1:28">
      <c r="A91" s="109">
        <v>45951</v>
      </c>
      <c r="B91" s="114" t="s">
        <v>2425</v>
      </c>
      <c r="C91" s="110">
        <v>77685</v>
      </c>
      <c r="D91" s="110" t="s">
        <v>2308</v>
      </c>
      <c r="E91" s="110">
        <v>50000</v>
      </c>
      <c r="F91" s="110" t="s">
        <v>2378</v>
      </c>
      <c r="G91" s="110" t="s">
        <v>2252</v>
      </c>
      <c r="H91" s="103"/>
      <c r="I91" s="104"/>
      <c r="J91" s="103"/>
      <c r="K91" s="103">
        <f>E91</f>
        <v>50000</v>
      </c>
      <c r="L91" s="103"/>
      <c r="M91" s="103"/>
      <c r="N91" s="103"/>
      <c r="O91" s="103"/>
      <c r="P91" s="103"/>
      <c r="Q91" s="103"/>
      <c r="R91" s="103"/>
      <c r="S91" s="103"/>
      <c r="T91" s="103"/>
      <c r="U91" s="103"/>
      <c r="V91" s="103"/>
      <c r="W91" s="103"/>
      <c r="X91" s="103"/>
      <c r="Y91" s="111"/>
      <c r="Z91" s="111"/>
      <c r="AA91" s="103"/>
      <c r="AB91" s="103"/>
    </row>
    <row r="92" outlineLevel="1" spans="1:28">
      <c r="A92" s="109">
        <v>45953</v>
      </c>
      <c r="B92" s="114" t="s">
        <v>2426</v>
      </c>
      <c r="C92" s="110" t="s">
        <v>2311</v>
      </c>
      <c r="D92" s="110" t="s">
        <v>2312</v>
      </c>
      <c r="E92" s="110">
        <v>500</v>
      </c>
      <c r="F92" s="110" t="s">
        <v>2376</v>
      </c>
      <c r="G92" s="110" t="s">
        <v>2252</v>
      </c>
      <c r="H92" s="103"/>
      <c r="I92" s="104"/>
      <c r="J92" s="103"/>
      <c r="K92" s="103"/>
      <c r="L92" s="103"/>
      <c r="M92" s="103"/>
      <c r="N92" s="103"/>
      <c r="O92" s="103"/>
      <c r="P92" s="103"/>
      <c r="Q92" s="103"/>
      <c r="R92" s="103"/>
      <c r="S92" s="103"/>
      <c r="T92" s="103"/>
      <c r="U92" s="103"/>
      <c r="V92" s="103">
        <f>E92</f>
        <v>500</v>
      </c>
      <c r="W92" s="103"/>
      <c r="X92" s="103"/>
      <c r="Y92" s="111"/>
      <c r="Z92" s="111"/>
      <c r="AA92" s="103"/>
      <c r="AB92" s="103"/>
    </row>
    <row r="93" collapsed="1" spans="1:28">
      <c r="A93" s="109">
        <v>45968</v>
      </c>
      <c r="B93" s="114" t="s">
        <v>2427</v>
      </c>
      <c r="C93" s="110">
        <v>77685</v>
      </c>
      <c r="D93" s="110" t="s">
        <v>2304</v>
      </c>
      <c r="E93" s="110">
        <v>20000</v>
      </c>
      <c r="F93" s="110" t="s">
        <v>2374</v>
      </c>
      <c r="G93" s="110" t="s">
        <v>2252</v>
      </c>
      <c r="H93" s="103">
        <f>E93</f>
        <v>20000</v>
      </c>
      <c r="I93" s="104"/>
      <c r="J93" s="103"/>
      <c r="K93" s="103"/>
      <c r="L93" s="103"/>
      <c r="M93" s="103"/>
      <c r="N93" s="103"/>
      <c r="O93" s="103"/>
      <c r="P93" s="103"/>
      <c r="Q93" s="103"/>
      <c r="R93" s="103"/>
      <c r="S93" s="103"/>
      <c r="T93" s="103"/>
      <c r="U93" s="103"/>
      <c r="V93" s="103"/>
      <c r="W93" s="103"/>
      <c r="X93" s="103"/>
      <c r="Y93" s="111"/>
      <c r="Z93" s="111"/>
      <c r="AA93" s="103"/>
      <c r="AB93" s="103"/>
    </row>
    <row r="94" spans="1:28">
      <c r="A94" s="109">
        <v>45971</v>
      </c>
      <c r="B94" s="114" t="s">
        <v>2428</v>
      </c>
      <c r="C94" s="110" t="s">
        <v>2311</v>
      </c>
      <c r="D94" s="110" t="s">
        <v>2312</v>
      </c>
      <c r="E94" s="110">
        <v>500</v>
      </c>
      <c r="F94" s="110" t="s">
        <v>2374</v>
      </c>
      <c r="G94" s="110" t="s">
        <v>2252</v>
      </c>
      <c r="H94" s="103"/>
      <c r="I94" s="104"/>
      <c r="J94" s="103"/>
      <c r="K94" s="103"/>
      <c r="L94" s="103"/>
      <c r="M94" s="103"/>
      <c r="N94" s="103"/>
      <c r="O94" s="103"/>
      <c r="P94" s="103"/>
      <c r="Q94" s="103"/>
      <c r="R94" s="103"/>
      <c r="S94" s="103"/>
      <c r="T94" s="103"/>
      <c r="U94" s="103">
        <f>E94</f>
        <v>500</v>
      </c>
      <c r="V94" s="103"/>
      <c r="W94" s="103"/>
      <c r="X94" s="103"/>
      <c r="Y94" s="111"/>
      <c r="Z94" s="111"/>
      <c r="AA94" s="103"/>
      <c r="AB94" s="103"/>
    </row>
    <row r="95" spans="1:28">
      <c r="A95" s="109">
        <v>45995</v>
      </c>
      <c r="B95" s="114" t="s">
        <v>2429</v>
      </c>
      <c r="C95" s="110" t="s">
        <v>2335</v>
      </c>
      <c r="D95" s="110" t="s">
        <v>2312</v>
      </c>
      <c r="E95" s="110">
        <v>500</v>
      </c>
      <c r="F95" s="110" t="s">
        <v>2374</v>
      </c>
      <c r="G95" s="110" t="s">
        <v>2365</v>
      </c>
      <c r="H95" s="103"/>
      <c r="I95" s="104"/>
      <c r="J95" s="103"/>
      <c r="K95" s="103"/>
      <c r="L95" s="103"/>
      <c r="M95" s="103"/>
      <c r="N95" s="103"/>
      <c r="O95" s="103"/>
      <c r="P95" s="103"/>
      <c r="Q95" s="103"/>
      <c r="R95" s="103"/>
      <c r="S95" s="103"/>
      <c r="T95" s="103"/>
      <c r="U95" s="103"/>
      <c r="V95" s="103"/>
      <c r="W95" s="103"/>
      <c r="X95" s="103"/>
      <c r="Y95" s="14">
        <f>E95</f>
        <v>500</v>
      </c>
      <c r="Z95" s="111"/>
      <c r="AA95" s="103"/>
      <c r="AB95" s="103" t="s">
        <v>2430</v>
      </c>
    </row>
    <row r="96" spans="1:28">
      <c r="A96" s="109">
        <v>46007</v>
      </c>
      <c r="B96" s="114" t="s">
        <v>2431</v>
      </c>
      <c r="C96" s="110">
        <v>77685</v>
      </c>
      <c r="D96" s="110" t="s">
        <v>2304</v>
      </c>
      <c r="E96" s="110">
        <v>25000</v>
      </c>
      <c r="F96" s="110" t="s">
        <v>2374</v>
      </c>
      <c r="G96" s="110" t="s">
        <v>2252</v>
      </c>
      <c r="H96" s="103">
        <f>E96</f>
        <v>25000</v>
      </c>
      <c r="I96" s="104"/>
      <c r="J96" s="103"/>
      <c r="K96" s="103"/>
      <c r="L96" s="103"/>
      <c r="M96" s="103"/>
      <c r="N96" s="103"/>
      <c r="O96" s="103"/>
      <c r="P96" s="103"/>
      <c r="Q96" s="103"/>
      <c r="R96" s="103"/>
      <c r="S96" s="103"/>
      <c r="T96" s="103"/>
      <c r="U96" s="103"/>
      <c r="V96" s="103"/>
      <c r="W96" s="103"/>
      <c r="X96" s="103"/>
      <c r="Y96" s="14"/>
      <c r="Z96" s="111"/>
      <c r="AA96" s="103"/>
      <c r="AB96" s="103"/>
    </row>
    <row r="97" spans="1:28">
      <c r="A97" s="109">
        <v>46007</v>
      </c>
      <c r="B97" s="114" t="s">
        <v>2432</v>
      </c>
      <c r="C97" s="110">
        <v>77685</v>
      </c>
      <c r="D97" s="110" t="s">
        <v>2308</v>
      </c>
      <c r="E97" s="110">
        <v>25000</v>
      </c>
      <c r="F97" s="110" t="s">
        <v>2378</v>
      </c>
      <c r="G97" s="110" t="s">
        <v>2252</v>
      </c>
      <c r="H97" s="103"/>
      <c r="I97" s="104"/>
      <c r="J97" s="103"/>
      <c r="K97" s="103">
        <f>E97</f>
        <v>25000</v>
      </c>
      <c r="L97" s="103"/>
      <c r="M97" s="103"/>
      <c r="N97" s="103"/>
      <c r="O97" s="103"/>
      <c r="P97" s="103"/>
      <c r="Q97" s="103"/>
      <c r="R97" s="103"/>
      <c r="S97" s="103"/>
      <c r="T97" s="103"/>
      <c r="U97" s="103"/>
      <c r="V97" s="103"/>
      <c r="W97" s="103"/>
      <c r="X97" s="103"/>
      <c r="Y97" s="14"/>
      <c r="Z97" s="111"/>
      <c r="AA97" s="103"/>
      <c r="AB97" s="103"/>
    </row>
    <row r="98" spans="1:28">
      <c r="A98" s="109">
        <v>46007</v>
      </c>
      <c r="B98" s="114" t="s">
        <v>2433</v>
      </c>
      <c r="C98" s="110" t="s">
        <v>2314</v>
      </c>
      <c r="D98" s="110" t="s">
        <v>2312</v>
      </c>
      <c r="E98" s="110">
        <v>750</v>
      </c>
      <c r="F98" s="110" t="s">
        <v>2374</v>
      </c>
      <c r="G98" s="110" t="s">
        <v>2252</v>
      </c>
      <c r="H98" s="103"/>
      <c r="I98" s="104"/>
      <c r="J98" s="103"/>
      <c r="K98" s="103"/>
      <c r="L98" s="103"/>
      <c r="M98" s="103"/>
      <c r="N98" s="103"/>
      <c r="O98" s="103"/>
      <c r="P98" s="103"/>
      <c r="Q98" s="103"/>
      <c r="R98" s="103">
        <f>E98</f>
        <v>750</v>
      </c>
      <c r="S98" s="103"/>
      <c r="T98" s="103"/>
      <c r="U98" s="103"/>
      <c r="V98" s="103"/>
      <c r="W98" s="103"/>
      <c r="X98" s="103"/>
      <c r="Y98" s="14"/>
      <c r="Z98" s="111"/>
      <c r="AA98" s="103"/>
      <c r="AB98" s="103"/>
    </row>
    <row r="99" spans="1:28">
      <c r="A99" s="109">
        <v>45994</v>
      </c>
      <c r="B99" s="114" t="s">
        <v>2434</v>
      </c>
      <c r="C99" s="110">
        <v>77685</v>
      </c>
      <c r="D99" s="110" t="s">
        <v>2304</v>
      </c>
      <c r="E99" s="110">
        <v>20000</v>
      </c>
      <c r="F99" s="110" t="s">
        <v>2376</v>
      </c>
      <c r="G99" s="110" t="s">
        <v>2252</v>
      </c>
      <c r="H99" s="103"/>
      <c r="I99" s="104">
        <f>E99</f>
        <v>20000</v>
      </c>
      <c r="J99" s="103"/>
      <c r="K99" s="103"/>
      <c r="L99" s="103"/>
      <c r="M99" s="103"/>
      <c r="N99" s="103"/>
      <c r="O99" s="103"/>
      <c r="P99" s="103"/>
      <c r="Q99" s="103"/>
      <c r="R99" s="103"/>
      <c r="S99" s="103"/>
      <c r="T99" s="103"/>
      <c r="U99" s="103"/>
      <c r="V99" s="103"/>
      <c r="W99" s="103"/>
      <c r="X99" s="103"/>
      <c r="Y99" s="14"/>
      <c r="Z99" s="111"/>
      <c r="AA99" s="103"/>
      <c r="AB99" s="103"/>
    </row>
    <row r="100" spans="1:28">
      <c r="A100" s="109">
        <v>46056</v>
      </c>
      <c r="B100" s="114" t="s">
        <v>2435</v>
      </c>
      <c r="C100" s="110">
        <v>77685</v>
      </c>
      <c r="D100" s="110" t="s">
        <v>2308</v>
      </c>
      <c r="E100" s="110">
        <v>30000</v>
      </c>
      <c r="F100" s="110" t="s">
        <v>2309</v>
      </c>
      <c r="G100" s="110" t="s">
        <v>2358</v>
      </c>
      <c r="H100" s="103"/>
      <c r="I100" s="104"/>
      <c r="J100" s="103"/>
      <c r="K100" s="103">
        <f>E100</f>
        <v>30000</v>
      </c>
      <c r="L100" s="103"/>
      <c r="M100" s="103"/>
      <c r="N100" s="103"/>
      <c r="O100" s="103"/>
      <c r="P100" s="103"/>
      <c r="Q100" s="103"/>
      <c r="R100" s="103"/>
      <c r="S100" s="103"/>
      <c r="T100" s="103"/>
      <c r="U100" s="103"/>
      <c r="V100" s="103"/>
      <c r="W100" s="103"/>
      <c r="X100" s="103"/>
      <c r="Y100" s="14"/>
      <c r="Z100" s="111"/>
      <c r="AA100" s="103"/>
      <c r="AB100" s="103"/>
    </row>
    <row r="101" spans="1:28">
      <c r="A101" s="109">
        <v>46056</v>
      </c>
      <c r="B101" s="114" t="s">
        <v>2436</v>
      </c>
      <c r="C101" s="110" t="s">
        <v>2314</v>
      </c>
      <c r="D101" s="110" t="s">
        <v>2312</v>
      </c>
      <c r="E101" s="110">
        <v>500</v>
      </c>
      <c r="F101" s="110" t="s">
        <v>2316</v>
      </c>
      <c r="G101" s="110" t="s">
        <v>2358</v>
      </c>
      <c r="H101" s="103"/>
      <c r="I101" s="104"/>
      <c r="J101" s="103"/>
      <c r="K101" s="103"/>
      <c r="L101" s="103"/>
      <c r="M101" s="103"/>
      <c r="N101" s="103"/>
      <c r="O101" s="103"/>
      <c r="P101" s="103"/>
      <c r="Q101" s="103"/>
      <c r="R101" s="103"/>
      <c r="S101" s="103"/>
      <c r="T101" s="103">
        <f>E101</f>
        <v>500</v>
      </c>
      <c r="U101" s="103"/>
      <c r="V101" s="103"/>
      <c r="W101" s="103"/>
      <c r="X101" s="103"/>
      <c r="Y101" s="14"/>
      <c r="Z101" s="111"/>
      <c r="AA101" s="103"/>
      <c r="AB101" s="103"/>
    </row>
    <row r="102" spans="1:28">
      <c r="A102" s="109">
        <v>46080</v>
      </c>
      <c r="B102" s="114"/>
      <c r="C102" s="110">
        <v>77685</v>
      </c>
      <c r="D102" s="110" t="s">
        <v>2308</v>
      </c>
      <c r="E102" s="110">
        <v>30000</v>
      </c>
      <c r="F102" s="110" t="s">
        <v>2378</v>
      </c>
      <c r="G102" s="110" t="s">
        <v>2437</v>
      </c>
      <c r="H102" s="103"/>
      <c r="I102" s="104"/>
      <c r="J102" s="103"/>
      <c r="K102" s="103">
        <f>E102</f>
        <v>30000</v>
      </c>
      <c r="L102" s="103"/>
      <c r="M102" s="103"/>
      <c r="N102" s="103"/>
      <c r="O102" s="103"/>
      <c r="P102" s="103"/>
      <c r="Q102" s="103"/>
      <c r="R102" s="103"/>
      <c r="S102" s="103"/>
      <c r="T102" s="103"/>
      <c r="U102" s="103"/>
      <c r="V102" s="103"/>
      <c r="W102" s="103"/>
      <c r="X102" s="103"/>
      <c r="Y102" s="14"/>
      <c r="Z102" s="111"/>
      <c r="AA102" s="103"/>
      <c r="AB102" s="103"/>
    </row>
    <row r="103" spans="1:28">
      <c r="A103" s="109">
        <v>46080</v>
      </c>
      <c r="B103" s="114"/>
      <c r="C103" s="110">
        <v>77685</v>
      </c>
      <c r="D103" s="110" t="s">
        <v>2304</v>
      </c>
      <c r="E103" s="110">
        <v>30000</v>
      </c>
      <c r="F103" s="110" t="s">
        <v>2374</v>
      </c>
      <c r="G103" s="110" t="s">
        <v>2437</v>
      </c>
      <c r="H103" s="103">
        <f>E103</f>
        <v>30000</v>
      </c>
      <c r="I103" s="104"/>
      <c r="J103" s="103"/>
      <c r="K103" s="103"/>
      <c r="L103" s="103"/>
      <c r="M103" s="103"/>
      <c r="N103" s="103"/>
      <c r="O103" s="103"/>
      <c r="P103" s="103"/>
      <c r="Q103" s="103"/>
      <c r="R103" s="103"/>
      <c r="S103" s="103"/>
      <c r="T103" s="103"/>
      <c r="U103" s="103"/>
      <c r="V103" s="103"/>
      <c r="W103" s="103"/>
      <c r="X103" s="103"/>
      <c r="Y103" s="14"/>
      <c r="Z103" s="111"/>
      <c r="AA103" s="103"/>
      <c r="AB103" s="103"/>
    </row>
    <row r="104" spans="1:28">
      <c r="A104" s="116">
        <v>46113</v>
      </c>
      <c r="B104" s="114">
        <v>1000038129</v>
      </c>
      <c r="C104" s="110">
        <v>77685</v>
      </c>
      <c r="D104" s="110" t="s">
        <v>2304</v>
      </c>
      <c r="E104" s="117">
        <v>30000</v>
      </c>
      <c r="F104" s="110" t="s">
        <v>2374</v>
      </c>
      <c r="G104" s="110" t="s">
        <v>2437</v>
      </c>
      <c r="H104" s="103">
        <f>E104</f>
        <v>30000</v>
      </c>
      <c r="I104" s="104"/>
      <c r="J104" s="103"/>
      <c r="K104" s="103"/>
      <c r="L104" s="103"/>
      <c r="M104" s="103"/>
      <c r="N104" s="103"/>
      <c r="O104" s="103"/>
      <c r="P104" s="103"/>
      <c r="Q104" s="103"/>
      <c r="R104" s="103"/>
      <c r="S104" s="103"/>
      <c r="T104" s="103"/>
      <c r="U104" s="103"/>
      <c r="V104" s="103"/>
      <c r="W104" s="103"/>
      <c r="X104" s="103"/>
      <c r="Y104" s="14"/>
      <c r="Z104" s="111"/>
      <c r="AA104" s="103"/>
      <c r="AB104" s="103"/>
    </row>
    <row r="105" spans="1:28">
      <c r="A105" s="116">
        <v>46113</v>
      </c>
      <c r="B105" s="114">
        <v>1000038130</v>
      </c>
      <c r="C105" s="110">
        <v>77685</v>
      </c>
      <c r="D105" s="110" t="s">
        <v>2304</v>
      </c>
      <c r="E105" s="117">
        <v>30000</v>
      </c>
      <c r="F105" s="110" t="s">
        <v>2376</v>
      </c>
      <c r="G105" s="110" t="s">
        <v>2437</v>
      </c>
      <c r="H105" s="103"/>
      <c r="I105" s="104">
        <f>E105</f>
        <v>30000</v>
      </c>
      <c r="J105" s="103"/>
      <c r="K105" s="103"/>
      <c r="L105" s="103"/>
      <c r="M105" s="103"/>
      <c r="N105" s="103"/>
      <c r="O105" s="103"/>
      <c r="P105" s="103"/>
      <c r="Q105" s="103"/>
      <c r="R105" s="103"/>
      <c r="S105" s="103"/>
      <c r="T105" s="103"/>
      <c r="U105" s="103"/>
      <c r="V105" s="103"/>
      <c r="W105" s="103"/>
      <c r="X105" s="103"/>
      <c r="Y105" s="14"/>
      <c r="Z105" s="111"/>
      <c r="AA105" s="103"/>
      <c r="AB105" s="103"/>
    </row>
    <row r="106" spans="1:28">
      <c r="A106" s="116">
        <v>46113</v>
      </c>
      <c r="B106" s="114">
        <v>1000038131</v>
      </c>
      <c r="C106" s="110">
        <v>77685</v>
      </c>
      <c r="D106" s="110" t="s">
        <v>2308</v>
      </c>
      <c r="E106" s="117">
        <v>40000</v>
      </c>
      <c r="F106" s="110" t="s">
        <v>2378</v>
      </c>
      <c r="G106" s="110" t="s">
        <v>2437</v>
      </c>
      <c r="H106" s="103"/>
      <c r="I106" s="104"/>
      <c r="J106" s="103"/>
      <c r="K106" s="103">
        <f>E106</f>
        <v>40000</v>
      </c>
      <c r="L106" s="103"/>
      <c r="M106" s="103"/>
      <c r="N106" s="103"/>
      <c r="O106" s="103"/>
      <c r="P106" s="103"/>
      <c r="Q106" s="103"/>
      <c r="R106" s="103"/>
      <c r="S106" s="103"/>
      <c r="T106" s="103"/>
      <c r="U106" s="103"/>
      <c r="V106" s="103"/>
      <c r="W106" s="103"/>
      <c r="X106" s="103"/>
      <c r="Y106" s="14"/>
      <c r="Z106" s="111"/>
      <c r="AA106" s="103"/>
      <c r="AB106" s="103"/>
    </row>
    <row r="107" spans="1:28">
      <c r="A107" s="116">
        <v>46113</v>
      </c>
      <c r="B107" s="114">
        <v>1000038132</v>
      </c>
      <c r="C107" s="110" t="s">
        <v>2314</v>
      </c>
      <c r="D107" s="110" t="s">
        <v>2312</v>
      </c>
      <c r="E107" s="110">
        <v>700</v>
      </c>
      <c r="F107" s="110" t="s">
        <v>2382</v>
      </c>
      <c r="G107" s="110" t="s">
        <v>2437</v>
      </c>
      <c r="H107" s="103"/>
      <c r="I107" s="103"/>
      <c r="J107" s="103"/>
      <c r="K107" s="103"/>
      <c r="L107" s="103"/>
      <c r="M107" s="103"/>
      <c r="N107" s="103"/>
      <c r="O107" s="103"/>
      <c r="P107" s="103"/>
      <c r="Q107" s="103"/>
      <c r="R107" s="103"/>
      <c r="S107" s="103"/>
      <c r="T107" s="103">
        <f>E107</f>
        <v>700</v>
      </c>
      <c r="U107" s="103"/>
      <c r="V107" s="103"/>
      <c r="W107" s="103"/>
      <c r="X107" s="103"/>
      <c r="Y107" s="14"/>
      <c r="Z107" s="111"/>
      <c r="AA107" s="103"/>
      <c r="AB107" s="103"/>
    </row>
    <row r="108" spans="1:28">
      <c r="A108" s="109">
        <v>46148</v>
      </c>
      <c r="B108" s="114"/>
      <c r="C108" s="110" t="s">
        <v>2314</v>
      </c>
      <c r="D108" s="110" t="s">
        <v>2312</v>
      </c>
      <c r="E108" s="110">
        <v>500</v>
      </c>
      <c r="F108" s="110" t="s">
        <v>2374</v>
      </c>
      <c r="G108" s="110" t="s">
        <v>2437</v>
      </c>
      <c r="H108" s="103"/>
      <c r="I108" s="103"/>
      <c r="J108" s="103"/>
      <c r="K108" s="103"/>
      <c r="L108" s="103"/>
      <c r="M108" s="103"/>
      <c r="N108" s="103"/>
      <c r="O108" s="103"/>
      <c r="P108" s="103"/>
      <c r="Q108" s="103"/>
      <c r="R108" s="103">
        <f>E108</f>
        <v>500</v>
      </c>
      <c r="S108" s="103"/>
      <c r="T108" s="103"/>
      <c r="U108" s="103"/>
      <c r="V108" s="103"/>
      <c r="W108" s="103"/>
      <c r="X108" s="103"/>
      <c r="Y108" s="14"/>
      <c r="Z108" s="111"/>
      <c r="AA108" s="103"/>
      <c r="AB108" s="103"/>
    </row>
    <row r="109" spans="1:28">
      <c r="A109" s="109">
        <v>46161</v>
      </c>
      <c r="B109" s="114" t="s">
        <v>2438</v>
      </c>
      <c r="C109" s="110" t="s">
        <v>2311</v>
      </c>
      <c r="D109" s="110" t="s">
        <v>2312</v>
      </c>
      <c r="E109" s="110">
        <v>500</v>
      </c>
      <c r="F109" s="110" t="s">
        <v>2374</v>
      </c>
      <c r="G109" s="110" t="s">
        <v>2437</v>
      </c>
      <c r="H109" s="103"/>
      <c r="I109" s="103"/>
      <c r="J109" s="103"/>
      <c r="K109" s="103"/>
      <c r="L109" s="103"/>
      <c r="M109" s="103"/>
      <c r="N109" s="103"/>
      <c r="O109" s="103"/>
      <c r="P109" s="103"/>
      <c r="Q109" s="103"/>
      <c r="R109" s="103"/>
      <c r="S109" s="103"/>
      <c r="T109" s="103"/>
      <c r="U109" s="103">
        <f>E109</f>
        <v>500</v>
      </c>
      <c r="V109" s="103"/>
      <c r="W109" s="103"/>
      <c r="X109" s="103"/>
      <c r="Y109" s="14"/>
      <c r="Z109" s="111"/>
      <c r="AA109" s="103"/>
      <c r="AB109" s="103"/>
    </row>
    <row r="110" spans="1:28">
      <c r="A110" s="109">
        <v>46209</v>
      </c>
      <c r="B110" s="114">
        <v>1000042247</v>
      </c>
      <c r="C110" s="110">
        <v>77685</v>
      </c>
      <c r="D110" s="110" t="s">
        <v>2304</v>
      </c>
      <c r="E110" s="110">
        <v>20000</v>
      </c>
      <c r="F110" s="110" t="s">
        <v>2374</v>
      </c>
      <c r="G110" s="110" t="s">
        <v>2437</v>
      </c>
      <c r="H110" s="103">
        <f>E110</f>
        <v>20000</v>
      </c>
      <c r="I110" s="103"/>
      <c r="J110" s="103"/>
      <c r="K110" s="103"/>
      <c r="L110" s="103"/>
      <c r="M110" s="103"/>
      <c r="N110" s="103"/>
      <c r="O110" s="103"/>
      <c r="P110" s="103"/>
      <c r="Q110" s="103"/>
      <c r="R110" s="103"/>
      <c r="S110" s="103"/>
      <c r="T110" s="103"/>
      <c r="U110" s="103"/>
      <c r="V110" s="103"/>
      <c r="W110" s="103"/>
      <c r="X110" s="103"/>
      <c r="Y110" s="14"/>
      <c r="Z110" s="111"/>
      <c r="AA110" s="103"/>
      <c r="AB110" s="103"/>
    </row>
    <row r="111" spans="1:28">
      <c r="A111" s="109">
        <v>46209</v>
      </c>
      <c r="B111" s="114">
        <v>1000042248</v>
      </c>
      <c r="C111" s="110">
        <v>77685</v>
      </c>
      <c r="D111" s="110" t="s">
        <v>2308</v>
      </c>
      <c r="E111" s="110">
        <v>20000</v>
      </c>
      <c r="F111" s="118" t="s">
        <v>2378</v>
      </c>
      <c r="G111" s="110" t="s">
        <v>2437</v>
      </c>
      <c r="H111" s="103"/>
      <c r="J111" s="103"/>
      <c r="K111" s="103">
        <f>E111</f>
        <v>20000</v>
      </c>
      <c r="L111" s="103"/>
      <c r="M111" s="103"/>
      <c r="N111" s="103"/>
      <c r="O111" s="103"/>
      <c r="P111" s="103"/>
      <c r="Q111" s="103"/>
      <c r="R111" s="103"/>
      <c r="S111" s="103"/>
      <c r="T111" s="103"/>
      <c r="U111" s="103"/>
      <c r="V111" s="103"/>
      <c r="W111" s="103"/>
      <c r="X111" s="103"/>
      <c r="Y111" s="14"/>
      <c r="Z111" s="111"/>
      <c r="AA111" s="103"/>
      <c r="AB111" s="103"/>
    </row>
    <row r="112" spans="1:28">
      <c r="A112" s="109">
        <v>46209</v>
      </c>
      <c r="B112" s="114">
        <v>1000042249</v>
      </c>
      <c r="C112" s="110" t="s">
        <v>2314</v>
      </c>
      <c r="D112" s="110" t="s">
        <v>2312</v>
      </c>
      <c r="E112" s="110">
        <v>500</v>
      </c>
      <c r="F112" s="110" t="s">
        <v>2374</v>
      </c>
      <c r="G112" s="110" t="s">
        <v>2437</v>
      </c>
      <c r="H112" s="103"/>
      <c r="I112" s="103"/>
      <c r="J112" s="103"/>
      <c r="K112" s="103"/>
      <c r="L112" s="103"/>
      <c r="M112" s="103"/>
      <c r="N112" s="103"/>
      <c r="O112" s="103"/>
      <c r="P112" s="103"/>
      <c r="Q112" s="103"/>
      <c r="R112" s="103">
        <f>E112</f>
        <v>500</v>
      </c>
      <c r="S112" s="103"/>
      <c r="T112" s="103"/>
      <c r="V112" s="103"/>
      <c r="W112" s="103"/>
      <c r="X112" s="103"/>
      <c r="Y112" s="14"/>
      <c r="Z112" s="111"/>
      <c r="AA112" s="103"/>
      <c r="AB112" s="103"/>
    </row>
    <row r="113" spans="1:28">
      <c r="A113" s="119">
        <v>46239</v>
      </c>
      <c r="B113" s="120">
        <v>1000043637</v>
      </c>
      <c r="C113" s="115">
        <v>77685</v>
      </c>
      <c r="D113" s="115" t="s">
        <v>2304</v>
      </c>
      <c r="E113" s="115">
        <v>50000</v>
      </c>
      <c r="F113" s="121" t="s">
        <v>2374</v>
      </c>
      <c r="G113" s="115" t="s">
        <v>2437</v>
      </c>
      <c r="H113" s="103">
        <f>E113</f>
        <v>50000</v>
      </c>
      <c r="I113" s="103"/>
      <c r="J113" s="103"/>
      <c r="K113" s="103"/>
      <c r="L113" s="103"/>
      <c r="M113" s="103"/>
      <c r="N113" s="103"/>
      <c r="O113" s="103"/>
      <c r="P113" s="103"/>
      <c r="Q113" s="103"/>
      <c r="R113" s="103"/>
      <c r="S113" s="103"/>
      <c r="T113" s="103"/>
      <c r="U113" s="103"/>
      <c r="V113" s="103"/>
      <c r="W113" s="103"/>
      <c r="X113" s="103"/>
      <c r="Y113" s="14"/>
      <c r="Z113" s="111"/>
      <c r="AA113" s="103"/>
      <c r="AB113" s="103"/>
    </row>
    <row r="114" spans="1:28">
      <c r="A114" s="119">
        <v>46239</v>
      </c>
      <c r="B114" s="120">
        <v>1000043638</v>
      </c>
      <c r="C114" s="115">
        <v>77685</v>
      </c>
      <c r="D114" s="115" t="s">
        <v>2308</v>
      </c>
      <c r="E114" s="115">
        <v>50000</v>
      </c>
      <c r="F114" s="121" t="s">
        <v>2378</v>
      </c>
      <c r="G114" s="115" t="s">
        <v>2437</v>
      </c>
      <c r="H114" s="103"/>
      <c r="I114" s="103"/>
      <c r="J114" s="103"/>
      <c r="K114" s="103">
        <f>E114</f>
        <v>50000</v>
      </c>
      <c r="L114" s="103"/>
      <c r="M114" s="103"/>
      <c r="N114" s="103"/>
      <c r="O114" s="103"/>
      <c r="P114" s="103"/>
      <c r="Q114" s="103"/>
      <c r="R114" s="103"/>
      <c r="S114" s="103"/>
      <c r="T114" s="103"/>
      <c r="U114" s="103"/>
      <c r="V114" s="103"/>
      <c r="W114" s="103"/>
      <c r="X114" s="103"/>
      <c r="Y114" s="14"/>
      <c r="Z114" s="111"/>
      <c r="AA114" s="103"/>
      <c r="AB114" s="103"/>
    </row>
    <row r="115" spans="1:28">
      <c r="A115" s="119">
        <v>46239</v>
      </c>
      <c r="B115" s="120">
        <v>1000043639</v>
      </c>
      <c r="C115" s="115" t="s">
        <v>2314</v>
      </c>
      <c r="D115" s="115" t="s">
        <v>2312</v>
      </c>
      <c r="E115" s="115">
        <v>500</v>
      </c>
      <c r="F115" s="121" t="s">
        <v>2382</v>
      </c>
      <c r="G115" s="115" t="s">
        <v>2437</v>
      </c>
      <c r="H115" s="103"/>
      <c r="I115" s="103"/>
      <c r="J115" s="103"/>
      <c r="K115" s="103"/>
      <c r="L115" s="103"/>
      <c r="M115" s="103"/>
      <c r="N115" s="103"/>
      <c r="O115" s="103"/>
      <c r="P115" s="103"/>
      <c r="Q115" s="103"/>
      <c r="R115" s="103"/>
      <c r="S115" s="103"/>
      <c r="T115" s="103">
        <f>E115</f>
        <v>500</v>
      </c>
      <c r="U115" s="103"/>
      <c r="V115" s="103"/>
      <c r="W115" s="103"/>
      <c r="X115" s="103"/>
      <c r="Y115" s="14"/>
      <c r="Z115" s="111"/>
      <c r="AA115" s="103"/>
      <c r="AB115" s="103"/>
    </row>
    <row r="116" spans="1:28">
      <c r="A116" s="119"/>
      <c r="B116" s="120"/>
      <c r="C116" s="115"/>
      <c r="D116" s="115"/>
      <c r="E116" s="115"/>
      <c r="F116" s="115"/>
      <c r="G116" s="115"/>
      <c r="H116" s="103"/>
      <c r="I116" s="103"/>
      <c r="J116" s="103"/>
      <c r="K116" s="103"/>
      <c r="L116" s="103"/>
      <c r="M116" s="103"/>
      <c r="N116" s="103"/>
      <c r="O116" s="103"/>
      <c r="P116" s="103"/>
      <c r="Q116" s="103"/>
      <c r="R116" s="103"/>
      <c r="S116" s="103"/>
      <c r="T116" s="103"/>
      <c r="U116" s="103"/>
      <c r="V116" s="103"/>
      <c r="W116" s="103"/>
      <c r="X116" s="103"/>
      <c r="Y116" s="14"/>
      <c r="Z116" s="111"/>
      <c r="AA116" s="103"/>
      <c r="AB116" s="103"/>
    </row>
    <row r="117" spans="1:28">
      <c r="A117" s="119"/>
      <c r="B117" s="120"/>
      <c r="C117" s="115"/>
      <c r="D117" s="115"/>
      <c r="E117" s="115"/>
      <c r="F117" s="115"/>
      <c r="G117" s="115"/>
      <c r="H117" s="103"/>
      <c r="I117" s="103"/>
      <c r="J117" s="103"/>
      <c r="K117" s="103"/>
      <c r="L117" s="103"/>
      <c r="M117" s="103"/>
      <c r="N117" s="103"/>
      <c r="O117" s="103"/>
      <c r="P117" s="103"/>
      <c r="Q117" s="103"/>
      <c r="R117" s="103"/>
      <c r="S117" s="103"/>
      <c r="T117" s="103"/>
      <c r="U117" s="103"/>
      <c r="V117" s="103"/>
      <c r="W117" s="103"/>
      <c r="X117" s="103"/>
      <c r="Y117" s="14"/>
      <c r="Z117" s="111"/>
      <c r="AA117" s="103"/>
      <c r="AB117" s="103"/>
    </row>
    <row r="118" spans="1:28">
      <c r="A118" s="119"/>
      <c r="B118" s="120"/>
      <c r="C118" s="115"/>
      <c r="D118" s="115"/>
      <c r="E118" s="115"/>
      <c r="F118" s="115"/>
      <c r="G118" s="115"/>
      <c r="H118" s="103"/>
      <c r="I118" s="103"/>
      <c r="J118" s="103"/>
      <c r="K118" s="103"/>
      <c r="L118" s="103"/>
      <c r="M118" s="103"/>
      <c r="N118" s="103"/>
      <c r="O118" s="103"/>
      <c r="P118" s="103"/>
      <c r="Q118" s="103"/>
      <c r="R118" s="103"/>
      <c r="S118" s="103"/>
      <c r="T118" s="103"/>
      <c r="U118" s="103"/>
      <c r="V118" s="103"/>
      <c r="W118" s="103"/>
      <c r="X118" s="103"/>
      <c r="Y118" s="14"/>
      <c r="Z118" s="111"/>
      <c r="AA118" s="103"/>
      <c r="AB118" s="103"/>
    </row>
    <row r="119" spans="1:28">
      <c r="A119" s="119"/>
      <c r="B119" s="120"/>
      <c r="C119" s="115"/>
      <c r="D119" s="115"/>
      <c r="E119" s="115"/>
      <c r="F119" s="115"/>
      <c r="G119" s="115"/>
      <c r="H119" s="103"/>
      <c r="I119" s="103"/>
      <c r="J119" s="103"/>
      <c r="K119" s="103"/>
      <c r="L119" s="103"/>
      <c r="M119" s="103"/>
      <c r="N119" s="103"/>
      <c r="O119" s="103"/>
      <c r="P119" s="103"/>
      <c r="Q119" s="103"/>
      <c r="R119" s="103"/>
      <c r="S119" s="103"/>
      <c r="T119" s="103"/>
      <c r="U119" s="103"/>
      <c r="V119" s="103"/>
      <c r="W119" s="103"/>
      <c r="X119" s="103"/>
      <c r="Y119" s="14"/>
      <c r="Z119" s="111"/>
      <c r="AA119" s="103"/>
      <c r="AB119" s="103"/>
    </row>
    <row r="120" spans="1:28">
      <c r="A120" s="122"/>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c r="AA120" s="103"/>
      <c r="AB120" s="103"/>
    </row>
    <row r="121" spans="1:28">
      <c r="A121" s="123"/>
      <c r="B121" s="124"/>
      <c r="C121" s="124"/>
      <c r="D121" s="124"/>
      <c r="E121" s="124"/>
      <c r="F121" s="125"/>
      <c r="G121" s="126" t="s">
        <v>2439</v>
      </c>
      <c r="H121" s="127">
        <f t="shared" ref="H121:S121" si="0">SUM(H4:H120)</f>
        <v>720000</v>
      </c>
      <c r="I121" s="127">
        <f t="shared" si="0"/>
        <v>220000</v>
      </c>
      <c r="J121" s="127">
        <f t="shared" si="0"/>
        <v>100000</v>
      </c>
      <c r="K121" s="127">
        <f t="shared" si="0"/>
        <v>840000</v>
      </c>
      <c r="L121" s="127">
        <f t="shared" si="0"/>
        <v>0</v>
      </c>
      <c r="M121" s="127">
        <f t="shared" si="0"/>
        <v>300</v>
      </c>
      <c r="N121" s="127">
        <f t="shared" si="0"/>
        <v>300</v>
      </c>
      <c r="O121" s="127">
        <f t="shared" si="0"/>
        <v>0</v>
      </c>
      <c r="P121" s="127">
        <f t="shared" si="0"/>
        <v>300</v>
      </c>
      <c r="Q121" s="127">
        <f t="shared" si="0"/>
        <v>300</v>
      </c>
      <c r="R121" s="127">
        <f t="shared" si="0"/>
        <v>4050</v>
      </c>
      <c r="S121" s="127">
        <f t="shared" si="0"/>
        <v>1300</v>
      </c>
      <c r="T121" s="127">
        <f t="shared" ref="T121:Z121" si="1">SUM(T4:T120)</f>
        <v>4500</v>
      </c>
      <c r="U121" s="127">
        <f t="shared" si="1"/>
        <v>19450</v>
      </c>
      <c r="V121" s="127">
        <f t="shared" si="1"/>
        <v>3000</v>
      </c>
      <c r="W121" s="127">
        <f t="shared" si="1"/>
        <v>31208</v>
      </c>
      <c r="X121" s="127">
        <f t="shared" si="1"/>
        <v>26208</v>
      </c>
      <c r="Y121" s="127">
        <f t="shared" si="1"/>
        <v>15789</v>
      </c>
      <c r="Z121" s="127">
        <f t="shared" si="1"/>
        <v>27000</v>
      </c>
      <c r="AA121" s="127"/>
      <c r="AB121" s="127"/>
    </row>
    <row r="122" spans="1:28">
      <c r="A122" s="128"/>
      <c r="B122" s="129"/>
      <c r="C122" s="129"/>
      <c r="D122" s="129"/>
      <c r="E122" s="129"/>
      <c r="F122" s="130"/>
      <c r="G122" s="127" t="s">
        <v>2440</v>
      </c>
      <c r="H122" s="127">
        <f>'77685排期'!AM127</f>
        <v>690613</v>
      </c>
      <c r="I122" s="127">
        <f>'77685排期'!AN127</f>
        <v>233201</v>
      </c>
      <c r="J122" s="127">
        <f>'77685排期'!AP127</f>
        <v>98941</v>
      </c>
      <c r="K122" s="127">
        <f>'77685排期'!AQ127</f>
        <v>834022</v>
      </c>
      <c r="L122" s="127">
        <f>'77685排期'!BB127</f>
        <v>0</v>
      </c>
      <c r="M122" s="127">
        <f>'77685排期'!BC127</f>
        <v>99</v>
      </c>
      <c r="N122" s="127">
        <f>'77685排期'!BD127</f>
        <v>99</v>
      </c>
      <c r="O122" s="127">
        <f>'77685排期'!BE127</f>
        <v>150</v>
      </c>
      <c r="P122" s="127">
        <f>'77685排期'!BF127</f>
        <v>47</v>
      </c>
      <c r="Q122" s="127">
        <f>'77685排期'!BG127</f>
        <v>197</v>
      </c>
      <c r="R122" s="127">
        <f>'77685排期'!AS127</f>
        <v>3539</v>
      </c>
      <c r="S122" s="127">
        <f>'77685排期'!AT127</f>
        <v>1980</v>
      </c>
      <c r="T122" s="127">
        <f>'77685排期'!AU127</f>
        <v>4097</v>
      </c>
      <c r="U122" s="127">
        <f>'77685排期'!AV127</f>
        <v>19312</v>
      </c>
      <c r="V122" s="127">
        <f>'77685排期'!AW127</f>
        <v>2815</v>
      </c>
      <c r="W122" s="127">
        <f>'77685排期'!BH127</f>
        <v>69768</v>
      </c>
      <c r="X122" s="127">
        <f>'77685排期'!BI127</f>
        <v>69768</v>
      </c>
      <c r="Y122" s="127">
        <f>'77685排期'!AX127</f>
        <v>15713</v>
      </c>
      <c r="Z122" s="127">
        <f>'77685排期'!AR127</f>
        <v>14989</v>
      </c>
      <c r="AA122" s="127"/>
      <c r="AB122" s="127"/>
    </row>
    <row r="123" spans="1:28">
      <c r="A123" s="131"/>
      <c r="B123" s="132"/>
      <c r="C123" s="132"/>
      <c r="D123" s="132"/>
      <c r="E123" s="132"/>
      <c r="F123" s="133"/>
      <c r="G123" s="127" t="s">
        <v>2441</v>
      </c>
      <c r="H123" s="134">
        <f t="shared" ref="H123:R123" si="2">H121-H122</f>
        <v>29387</v>
      </c>
      <c r="I123" s="134">
        <f t="shared" si="2"/>
        <v>-13201</v>
      </c>
      <c r="J123" s="134">
        <f t="shared" si="2"/>
        <v>1059</v>
      </c>
      <c r="K123" s="134">
        <f t="shared" si="2"/>
        <v>5978</v>
      </c>
      <c r="L123" s="134">
        <f t="shared" si="2"/>
        <v>0</v>
      </c>
      <c r="M123" s="134">
        <f t="shared" si="2"/>
        <v>201</v>
      </c>
      <c r="N123" s="134">
        <f t="shared" si="2"/>
        <v>201</v>
      </c>
      <c r="O123" s="134">
        <f t="shared" si="2"/>
        <v>-150</v>
      </c>
      <c r="P123" s="134">
        <f t="shared" si="2"/>
        <v>253</v>
      </c>
      <c r="Q123" s="134">
        <f t="shared" si="2"/>
        <v>103</v>
      </c>
      <c r="R123" s="134">
        <f t="shared" si="2"/>
        <v>511</v>
      </c>
      <c r="S123" s="134">
        <f>S121-S122+700</f>
        <v>20</v>
      </c>
      <c r="T123" s="134">
        <f t="shared" ref="T123:Z123" si="3">T121-T122</f>
        <v>403</v>
      </c>
      <c r="U123" s="134">
        <f t="shared" si="3"/>
        <v>138</v>
      </c>
      <c r="V123" s="134">
        <f t="shared" si="3"/>
        <v>185</v>
      </c>
      <c r="W123" s="134">
        <f t="shared" si="3"/>
        <v>-38560</v>
      </c>
      <c r="X123" s="134">
        <f t="shared" si="3"/>
        <v>-43560</v>
      </c>
      <c r="Y123" s="134">
        <f t="shared" si="3"/>
        <v>76</v>
      </c>
      <c r="Z123" s="134">
        <f t="shared" si="3"/>
        <v>12011</v>
      </c>
      <c r="AA123" s="134"/>
      <c r="AB123" s="134"/>
    </row>
    <row r="125" spans="1:28">
      <c r="T125" s="103">
        <f>2000</f>
        <v>2000</v>
      </c>
      <c r="U125" s="103">
        <f>10000</f>
        <v>10000</v>
      </c>
      <c r="V125" s="103">
        <f>2000</f>
        <v>2000</v>
      </c>
      <c r="W125" s="103">
        <f>15000</f>
        <v>15000</v>
      </c>
      <c r="X125" s="103">
        <f>15000</f>
        <v>15000</v>
      </c>
    </row>
    <row r="130" spans="1:28">
      <c r="A130" s="84" t="s">
        <v>2442</v>
      </c>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row>
    <row r="131" spans="1:28">
      <c r="A131" s="85" t="s">
        <v>1616</v>
      </c>
      <c r="B131" s="86" t="s">
        <v>2293</v>
      </c>
      <c r="C131" s="87" t="s">
        <v>2294</v>
      </c>
      <c r="D131" s="88" t="s">
        <v>2295</v>
      </c>
      <c r="E131" s="86" t="s">
        <v>2296</v>
      </c>
      <c r="F131" s="86" t="s">
        <v>2297</v>
      </c>
      <c r="G131" s="89" t="s">
        <v>2225</v>
      </c>
      <c r="H131" s="90" t="s">
        <v>2298</v>
      </c>
      <c r="I131" s="90"/>
      <c r="J131" s="91" t="s">
        <v>4</v>
      </c>
      <c r="K131" s="92"/>
      <c r="L131" s="90" t="s">
        <v>11</v>
      </c>
      <c r="M131" s="90"/>
      <c r="N131" s="90"/>
      <c r="O131" s="90" t="s">
        <v>12</v>
      </c>
      <c r="P131" s="90"/>
      <c r="Q131" s="90"/>
      <c r="R131" s="91" t="s">
        <v>6</v>
      </c>
      <c r="S131" s="93"/>
      <c r="T131" s="92"/>
      <c r="U131" s="90" t="s">
        <v>7</v>
      </c>
      <c r="V131" s="90"/>
      <c r="W131" s="91" t="s">
        <v>13</v>
      </c>
      <c r="X131" s="92"/>
      <c r="Y131" s="92"/>
      <c r="Z131" s="92"/>
      <c r="AA131" s="94"/>
      <c r="AB131" s="95"/>
    </row>
    <row r="132" spans="1:28">
      <c r="A132" s="87"/>
      <c r="B132" s="96"/>
      <c r="C132" s="87"/>
      <c r="D132" s="88"/>
      <c r="E132" s="96"/>
      <c r="F132" s="86"/>
      <c r="G132" s="89"/>
      <c r="H132" s="135" t="s">
        <v>59</v>
      </c>
      <c r="I132" s="135" t="s">
        <v>60</v>
      </c>
      <c r="J132" s="135" t="s">
        <v>62</v>
      </c>
      <c r="K132" s="135"/>
      <c r="L132" s="135" t="s">
        <v>59</v>
      </c>
      <c r="M132" s="135" t="s">
        <v>60</v>
      </c>
      <c r="N132" s="135" t="s">
        <v>69</v>
      </c>
      <c r="O132" s="135" t="s">
        <v>59</v>
      </c>
      <c r="P132" s="135" t="s">
        <v>60</v>
      </c>
      <c r="Q132" s="135" t="s">
        <v>70</v>
      </c>
      <c r="R132" s="135" t="s">
        <v>59</v>
      </c>
      <c r="S132" s="135" t="s">
        <v>60</v>
      </c>
      <c r="T132" s="135"/>
      <c r="U132" s="135" t="s">
        <v>59</v>
      </c>
      <c r="V132" s="135" t="s">
        <v>60</v>
      </c>
      <c r="W132" s="136" t="s">
        <v>71</v>
      </c>
      <c r="X132" s="136" t="s">
        <v>2301</v>
      </c>
      <c r="Y132" s="136" t="s">
        <v>65</v>
      </c>
      <c r="Z132" s="136" t="s">
        <v>2302</v>
      </c>
      <c r="AA132" s="99"/>
      <c r="AB132" s="100" t="s">
        <v>44</v>
      </c>
    </row>
    <row r="133" spans="1:28">
      <c r="A133" s="109">
        <v>46203</v>
      </c>
      <c r="B133" s="114">
        <v>1000041990</v>
      </c>
      <c r="C133" s="110" t="s">
        <v>2010</v>
      </c>
      <c r="D133" s="110" t="s">
        <v>2443</v>
      </c>
      <c r="E133" s="110">
        <v>100000</v>
      </c>
      <c r="F133" s="110" t="s">
        <v>2305</v>
      </c>
      <c r="G133" s="110" t="s">
        <v>2437</v>
      </c>
      <c r="H133" s="103">
        <f>E133</f>
        <v>100000</v>
      </c>
      <c r="I133" s="103"/>
      <c r="J133" s="103"/>
      <c r="K133" s="103"/>
      <c r="L133" s="103"/>
      <c r="M133" s="103"/>
      <c r="N133" s="103"/>
      <c r="O133" s="103"/>
      <c r="P133" s="103"/>
      <c r="Q133" s="103"/>
      <c r="R133" s="103"/>
      <c r="S133" s="103"/>
      <c r="T133" s="103"/>
      <c r="U133" s="103"/>
      <c r="V133" s="103"/>
      <c r="W133" s="103"/>
      <c r="X133" s="103"/>
      <c r="Y133" s="14"/>
      <c r="Z133" s="111"/>
      <c r="AA133" s="103"/>
      <c r="AB133" s="103"/>
    </row>
    <row r="134" spans="1:28">
      <c r="A134" s="109">
        <v>46203</v>
      </c>
      <c r="B134" s="114">
        <v>1000041991</v>
      </c>
      <c r="C134" s="110" t="s">
        <v>2010</v>
      </c>
      <c r="D134" s="110" t="s">
        <v>2444</v>
      </c>
      <c r="E134" s="110">
        <v>20000</v>
      </c>
      <c r="F134" s="110" t="s">
        <v>2316</v>
      </c>
      <c r="G134" s="110" t="s">
        <v>2437</v>
      </c>
      <c r="H134" s="103"/>
      <c r="I134" s="103">
        <f>E134</f>
        <v>20000</v>
      </c>
      <c r="J134" s="103"/>
      <c r="K134" s="103"/>
      <c r="L134" s="103"/>
      <c r="M134" s="103"/>
      <c r="N134" s="103"/>
      <c r="O134" s="103"/>
      <c r="P134" s="103"/>
      <c r="Q134" s="103"/>
      <c r="R134" s="103"/>
      <c r="S134" s="103"/>
      <c r="T134" s="103"/>
      <c r="U134" s="103"/>
      <c r="V134" s="103"/>
      <c r="W134" s="103"/>
      <c r="X134" s="103"/>
      <c r="Y134" s="14"/>
      <c r="Z134" s="111"/>
      <c r="AA134" s="103"/>
      <c r="AB134" s="103"/>
    </row>
    <row r="135" spans="1:28">
      <c r="A135" s="109">
        <v>46203</v>
      </c>
      <c r="B135" s="114">
        <v>1000041992</v>
      </c>
      <c r="C135" s="110" t="s">
        <v>2010</v>
      </c>
      <c r="D135" s="110" t="s">
        <v>2308</v>
      </c>
      <c r="E135" s="110">
        <v>100000</v>
      </c>
      <c r="F135" s="110" t="s">
        <v>2309</v>
      </c>
      <c r="G135" s="110" t="s">
        <v>2437</v>
      </c>
      <c r="H135" s="103"/>
      <c r="I135" s="103"/>
      <c r="J135" s="103">
        <f>E135</f>
        <v>100000</v>
      </c>
      <c r="K135" s="103"/>
      <c r="L135" s="103"/>
      <c r="M135" s="103"/>
      <c r="N135" s="103"/>
      <c r="O135" s="103"/>
      <c r="P135" s="103"/>
      <c r="Q135" s="103"/>
      <c r="R135" s="103"/>
      <c r="S135" s="103"/>
      <c r="T135" s="103"/>
      <c r="U135" s="103"/>
      <c r="V135" s="103"/>
      <c r="W135" s="103"/>
      <c r="X135" s="103"/>
      <c r="Y135" s="14"/>
      <c r="Z135" s="111"/>
      <c r="AA135" s="103"/>
      <c r="AB135" s="103"/>
    </row>
    <row r="136" spans="1:28">
      <c r="A136" s="109">
        <v>46203</v>
      </c>
      <c r="B136" s="114">
        <v>1000041993</v>
      </c>
      <c r="C136" s="110" t="s">
        <v>2445</v>
      </c>
      <c r="D136" s="110" t="s">
        <v>2446</v>
      </c>
      <c r="E136" s="110">
        <v>1000</v>
      </c>
      <c r="F136" s="110" t="s">
        <v>2305</v>
      </c>
      <c r="G136" s="110" t="s">
        <v>2437</v>
      </c>
      <c r="H136" s="103"/>
      <c r="I136" s="103"/>
      <c r="J136" s="103"/>
      <c r="K136" s="103"/>
      <c r="L136" s="103"/>
      <c r="M136" s="103"/>
      <c r="N136" s="103"/>
      <c r="O136" s="103"/>
      <c r="P136" s="103"/>
      <c r="Q136" s="103"/>
      <c r="R136" s="103"/>
      <c r="S136" s="103"/>
      <c r="T136" s="103"/>
      <c r="U136" s="103">
        <f>E136</f>
        <v>1000</v>
      </c>
      <c r="V136" s="103"/>
      <c r="W136" s="103"/>
      <c r="X136" s="103"/>
      <c r="Y136" s="14"/>
      <c r="Z136" s="111"/>
      <c r="AA136" s="103"/>
      <c r="AB136" s="103"/>
    </row>
    <row r="137" spans="1:28">
      <c r="A137" s="109">
        <v>46203</v>
      </c>
      <c r="B137" s="114">
        <v>1000041994</v>
      </c>
      <c r="C137" s="110" t="s">
        <v>2447</v>
      </c>
      <c r="D137" s="110" t="s">
        <v>2448</v>
      </c>
      <c r="E137" s="110">
        <v>500</v>
      </c>
      <c r="F137" s="110" t="s">
        <v>2316</v>
      </c>
      <c r="G137" s="110" t="s">
        <v>2437</v>
      </c>
      <c r="H137" s="103"/>
      <c r="I137" s="103"/>
      <c r="J137" s="103"/>
      <c r="K137" s="103"/>
      <c r="L137" s="103"/>
      <c r="M137" s="103"/>
      <c r="N137" s="103"/>
      <c r="O137" s="103"/>
      <c r="P137" s="103"/>
      <c r="Q137" s="103"/>
      <c r="R137" s="103"/>
      <c r="S137" s="103"/>
      <c r="T137" s="103"/>
      <c r="U137" s="103"/>
      <c r="V137" s="103">
        <f>E137</f>
        <v>500</v>
      </c>
      <c r="W137" s="103"/>
      <c r="X137" s="103"/>
      <c r="Y137" s="14"/>
      <c r="Z137" s="111"/>
      <c r="AA137" s="103"/>
      <c r="AB137" s="103"/>
    </row>
    <row r="138" spans="1:28">
      <c r="A138" s="109">
        <v>46203</v>
      </c>
      <c r="B138" s="114">
        <v>1000041995</v>
      </c>
      <c r="C138" s="110" t="s">
        <v>2449</v>
      </c>
      <c r="D138" s="110" t="s">
        <v>2450</v>
      </c>
      <c r="E138" s="110">
        <v>1000</v>
      </c>
      <c r="F138" s="110" t="s">
        <v>2305</v>
      </c>
      <c r="G138" s="110" t="s">
        <v>2437</v>
      </c>
      <c r="H138" s="103"/>
      <c r="I138" s="103"/>
      <c r="J138" s="103"/>
      <c r="K138" s="103"/>
      <c r="L138" s="103"/>
      <c r="M138" s="103"/>
      <c r="N138" s="103"/>
      <c r="O138" s="103"/>
      <c r="P138" s="103"/>
      <c r="Q138" s="103"/>
      <c r="R138" s="103">
        <f>E138</f>
        <v>1000</v>
      </c>
      <c r="S138" s="103"/>
      <c r="T138" s="103"/>
      <c r="U138" s="103"/>
      <c r="V138" s="103"/>
      <c r="W138" s="103"/>
      <c r="X138" s="103"/>
      <c r="Y138" s="14"/>
      <c r="Z138" s="111"/>
      <c r="AA138" s="103"/>
      <c r="AB138" s="103"/>
    </row>
    <row r="139" spans="1:28">
      <c r="A139" s="109">
        <v>46203</v>
      </c>
      <c r="B139" s="114">
        <v>1000041996</v>
      </c>
      <c r="C139" s="110" t="s">
        <v>2451</v>
      </c>
      <c r="D139" s="110" t="s">
        <v>2452</v>
      </c>
      <c r="E139" s="110">
        <v>500</v>
      </c>
      <c r="F139" s="110" t="s">
        <v>2316</v>
      </c>
      <c r="G139" s="110" t="s">
        <v>2437</v>
      </c>
      <c r="H139" s="103"/>
      <c r="I139" s="103"/>
      <c r="J139" s="103"/>
      <c r="K139" s="103"/>
      <c r="L139" s="103"/>
      <c r="M139" s="103"/>
      <c r="N139" s="103"/>
      <c r="O139" s="103"/>
      <c r="P139" s="103"/>
      <c r="Q139" s="103"/>
      <c r="R139" s="103"/>
      <c r="S139" s="103">
        <f>E139</f>
        <v>500</v>
      </c>
      <c r="T139" s="103"/>
      <c r="U139" s="103"/>
      <c r="V139" s="103"/>
      <c r="W139" s="103"/>
      <c r="X139" s="103"/>
      <c r="Y139" s="14"/>
      <c r="Z139" s="111"/>
      <c r="AA139" s="103"/>
      <c r="AB139" s="103"/>
    </row>
    <row r="140" spans="1:28">
      <c r="A140" s="137">
        <v>46210</v>
      </c>
      <c r="B140" s="138">
        <v>1000042299</v>
      </c>
      <c r="C140" s="139" t="s">
        <v>2453</v>
      </c>
      <c r="D140" s="139" t="s">
        <v>2312</v>
      </c>
      <c r="E140" s="139">
        <v>1688</v>
      </c>
      <c r="F140" s="139" t="s">
        <v>2454</v>
      </c>
      <c r="G140" s="118" t="s">
        <v>2365</v>
      </c>
      <c r="H140" s="103"/>
      <c r="I140" s="103"/>
      <c r="J140" s="103"/>
      <c r="K140" s="103"/>
      <c r="L140" s="103"/>
      <c r="M140" s="103"/>
      <c r="N140" s="103"/>
      <c r="O140" s="103"/>
      <c r="P140" s="103"/>
      <c r="Q140" s="103"/>
      <c r="R140" s="103"/>
      <c r="S140" s="103"/>
      <c r="T140" s="103"/>
      <c r="U140" s="103"/>
      <c r="V140" s="103"/>
      <c r="W140" s="103"/>
      <c r="X140" s="103"/>
      <c r="Y140" s="14"/>
      <c r="Z140" s="111"/>
      <c r="AA140" s="103"/>
      <c r="AB140" s="103" t="s">
        <v>2455</v>
      </c>
    </row>
    <row r="141" spans="1:28">
      <c r="A141" s="137">
        <v>46210</v>
      </c>
      <c r="B141" s="138">
        <v>1000042300</v>
      </c>
      <c r="C141" s="139">
        <v>77907</v>
      </c>
      <c r="D141" s="139" t="s">
        <v>2456</v>
      </c>
      <c r="E141" s="139">
        <v>27008</v>
      </c>
      <c r="F141" s="139" t="s">
        <v>2316</v>
      </c>
      <c r="G141" s="118" t="s">
        <v>2365</v>
      </c>
      <c r="H141" s="103"/>
      <c r="I141" s="103"/>
      <c r="J141" s="103"/>
      <c r="K141" s="103"/>
      <c r="L141" s="103"/>
      <c r="M141" s="103"/>
      <c r="N141" s="103"/>
      <c r="O141" s="103"/>
      <c r="P141" s="103"/>
      <c r="Q141" s="103"/>
      <c r="R141" s="103"/>
      <c r="S141" s="103"/>
      <c r="T141" s="103"/>
      <c r="U141" s="103"/>
      <c r="V141" s="103"/>
      <c r="W141" s="103"/>
      <c r="X141" s="103"/>
      <c r="Y141" s="14"/>
      <c r="Z141" s="111"/>
      <c r="AA141" s="103"/>
      <c r="AB141" s="103" t="s">
        <v>2457</v>
      </c>
    </row>
    <row r="142" spans="1:28">
      <c r="A142" s="140">
        <v>46238</v>
      </c>
      <c r="B142" s="141">
        <v>1000043566</v>
      </c>
      <c r="C142" s="142" t="s">
        <v>2010</v>
      </c>
      <c r="D142" s="142" t="s">
        <v>2443</v>
      </c>
      <c r="E142" s="142">
        <v>100000</v>
      </c>
      <c r="F142" s="142" t="s">
        <v>2305</v>
      </c>
      <c r="G142" s="115" t="s">
        <v>2437</v>
      </c>
      <c r="H142" s="103">
        <f>E142</f>
        <v>100000</v>
      </c>
      <c r="I142" s="103"/>
      <c r="J142" s="103"/>
      <c r="K142" s="103"/>
      <c r="L142" s="103"/>
      <c r="M142" s="103"/>
      <c r="N142" s="103"/>
      <c r="O142" s="103"/>
      <c r="P142" s="103"/>
      <c r="Q142" s="103"/>
      <c r="R142" s="103"/>
      <c r="S142" s="103"/>
      <c r="T142" s="103"/>
      <c r="U142" s="103"/>
      <c r="V142" s="103"/>
      <c r="W142" s="103"/>
      <c r="X142" s="103"/>
      <c r="Y142" s="14"/>
      <c r="Z142" s="111"/>
      <c r="AA142" s="103"/>
      <c r="AB142" s="103"/>
    </row>
    <row r="143" spans="1:28">
      <c r="A143" s="140">
        <v>46238</v>
      </c>
      <c r="B143" s="141">
        <v>1000043567</v>
      </c>
      <c r="C143" s="142" t="s">
        <v>2010</v>
      </c>
      <c r="D143" s="142" t="s">
        <v>2444</v>
      </c>
      <c r="E143" s="142">
        <v>40000</v>
      </c>
      <c r="F143" s="142" t="s">
        <v>2316</v>
      </c>
      <c r="G143" s="115" t="s">
        <v>2437</v>
      </c>
      <c r="H143" s="103"/>
      <c r="I143" s="103">
        <f>E143</f>
        <v>40000</v>
      </c>
      <c r="J143" s="103"/>
      <c r="K143" s="103"/>
      <c r="L143" s="103"/>
      <c r="M143" s="103"/>
      <c r="N143" s="103"/>
      <c r="O143" s="103"/>
      <c r="P143" s="103"/>
      <c r="Q143" s="103"/>
      <c r="R143" s="103"/>
      <c r="S143" s="103"/>
      <c r="T143" s="103"/>
      <c r="U143" s="103"/>
      <c r="V143" s="103"/>
      <c r="W143" s="103"/>
      <c r="X143" s="103"/>
      <c r="Y143" s="14"/>
      <c r="Z143" s="111"/>
      <c r="AA143" s="103"/>
      <c r="AB143" s="103"/>
    </row>
    <row r="144" spans="1:28">
      <c r="A144" s="140">
        <v>46238</v>
      </c>
      <c r="B144" s="141">
        <v>1000043568</v>
      </c>
      <c r="C144" s="142" t="s">
        <v>2010</v>
      </c>
      <c r="D144" s="142" t="s">
        <v>2308</v>
      </c>
      <c r="E144" s="142">
        <v>200000</v>
      </c>
      <c r="F144" s="142" t="s">
        <v>2309</v>
      </c>
      <c r="G144" s="115" t="s">
        <v>2437</v>
      </c>
      <c r="H144" s="103"/>
      <c r="I144" s="103"/>
      <c r="J144" s="103">
        <f>E144</f>
        <v>200000</v>
      </c>
      <c r="K144" s="103"/>
      <c r="L144" s="103"/>
      <c r="M144" s="103"/>
      <c r="N144" s="103"/>
      <c r="O144" s="103"/>
      <c r="P144" s="103"/>
      <c r="Q144" s="103"/>
      <c r="R144" s="103"/>
      <c r="S144" s="103"/>
      <c r="T144" s="103"/>
      <c r="U144" s="103"/>
      <c r="V144" s="103"/>
      <c r="W144" s="103"/>
      <c r="X144" s="103"/>
      <c r="Y144" s="14"/>
      <c r="Z144" s="111"/>
      <c r="AA144" s="103"/>
      <c r="AB144" s="103"/>
    </row>
    <row r="145" spans="1:28">
      <c r="A145" s="140">
        <v>46238</v>
      </c>
      <c r="B145" s="141">
        <v>1000043569</v>
      </c>
      <c r="C145" s="142" t="s">
        <v>2445</v>
      </c>
      <c r="D145" s="142" t="s">
        <v>2446</v>
      </c>
      <c r="E145" s="142">
        <v>1000</v>
      </c>
      <c r="F145" s="142" t="s">
        <v>2305</v>
      </c>
      <c r="G145" s="115" t="s">
        <v>2437</v>
      </c>
      <c r="H145" s="103"/>
      <c r="I145" s="103"/>
      <c r="J145" s="103"/>
      <c r="K145" s="103"/>
      <c r="L145" s="103"/>
      <c r="M145" s="103"/>
      <c r="N145" s="103"/>
      <c r="O145" s="103"/>
      <c r="P145" s="103"/>
      <c r="Q145" s="103"/>
      <c r="R145" s="103"/>
      <c r="S145" s="103"/>
      <c r="T145" s="103"/>
      <c r="U145" s="103">
        <f>E145</f>
        <v>1000</v>
      </c>
      <c r="V145" s="103"/>
      <c r="W145" s="103"/>
      <c r="X145" s="103"/>
      <c r="Y145" s="14"/>
      <c r="Z145" s="111"/>
      <c r="AA145" s="103"/>
      <c r="AB145" s="103"/>
    </row>
    <row r="146" spans="1:28">
      <c r="A146" s="140">
        <v>46238</v>
      </c>
      <c r="B146" s="141">
        <v>1000043570</v>
      </c>
      <c r="C146" s="142" t="s">
        <v>2447</v>
      </c>
      <c r="D146" s="142" t="s">
        <v>2448</v>
      </c>
      <c r="E146" s="142">
        <v>1500</v>
      </c>
      <c r="F146" s="142" t="s">
        <v>2316</v>
      </c>
      <c r="G146" s="115" t="s">
        <v>2437</v>
      </c>
      <c r="H146" s="103"/>
      <c r="I146" s="103"/>
      <c r="J146" s="103"/>
      <c r="K146" s="103"/>
      <c r="L146" s="103"/>
      <c r="M146" s="103"/>
      <c r="N146" s="103"/>
      <c r="O146" s="103"/>
      <c r="P146" s="103"/>
      <c r="Q146" s="103"/>
      <c r="R146" s="103"/>
      <c r="S146" s="103"/>
      <c r="T146" s="103"/>
      <c r="U146" s="103"/>
      <c r="V146" s="103">
        <f>E146</f>
        <v>1500</v>
      </c>
      <c r="W146" s="103"/>
      <c r="X146" s="103"/>
      <c r="Y146" s="14"/>
      <c r="Z146" s="111"/>
      <c r="AA146" s="103"/>
      <c r="AB146" s="103"/>
    </row>
    <row r="147" spans="1:28">
      <c r="A147" s="140">
        <v>46238</v>
      </c>
      <c r="B147" s="141">
        <v>1000043571</v>
      </c>
      <c r="C147" s="142" t="s">
        <v>2449</v>
      </c>
      <c r="D147" s="142" t="s">
        <v>2450</v>
      </c>
      <c r="E147" s="142">
        <v>500</v>
      </c>
      <c r="F147" s="142" t="s">
        <v>2305</v>
      </c>
      <c r="G147" s="115" t="s">
        <v>2437</v>
      </c>
      <c r="H147" s="103"/>
      <c r="I147" s="103"/>
      <c r="J147" s="103"/>
      <c r="K147" s="103"/>
      <c r="L147" s="103"/>
      <c r="M147" s="103"/>
      <c r="N147" s="103"/>
      <c r="O147" s="103"/>
      <c r="P147" s="103"/>
      <c r="Q147" s="103"/>
      <c r="R147" s="103">
        <f>E147</f>
        <v>500</v>
      </c>
      <c r="S147" s="103"/>
      <c r="T147" s="103"/>
      <c r="U147" s="103"/>
      <c r="V147" s="103"/>
      <c r="W147" s="103"/>
      <c r="X147" s="103"/>
      <c r="Y147" s="14"/>
      <c r="Z147" s="111"/>
      <c r="AA147" s="103"/>
      <c r="AB147" s="103"/>
    </row>
    <row r="148" spans="1:28">
      <c r="A148" s="122"/>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c r="AA148" s="103"/>
      <c r="AB148" s="103"/>
    </row>
    <row r="149" spans="1:28">
      <c r="A149" s="123"/>
      <c r="B149" s="124"/>
      <c r="C149" s="124"/>
      <c r="D149" s="124"/>
      <c r="E149" s="124"/>
      <c r="F149" s="125"/>
      <c r="G149" s="126" t="s">
        <v>2439</v>
      </c>
      <c r="H149" s="127">
        <f t="shared" ref="H149:Z149" si="4">SUM(H133:H148)</f>
        <v>200000</v>
      </c>
      <c r="I149" s="127">
        <f t="shared" si="4"/>
        <v>60000</v>
      </c>
      <c r="J149" s="127">
        <f t="shared" si="4"/>
        <v>300000</v>
      </c>
      <c r="K149" s="127">
        <f t="shared" si="4"/>
        <v>0</v>
      </c>
      <c r="L149" s="127">
        <f t="shared" si="4"/>
        <v>0</v>
      </c>
      <c r="M149" s="127">
        <f t="shared" si="4"/>
        <v>0</v>
      </c>
      <c r="N149" s="127">
        <f t="shared" si="4"/>
        <v>0</v>
      </c>
      <c r="O149" s="127">
        <f t="shared" si="4"/>
        <v>0</v>
      </c>
      <c r="P149" s="127">
        <f t="shared" si="4"/>
        <v>0</v>
      </c>
      <c r="Q149" s="127">
        <f t="shared" si="4"/>
        <v>0</v>
      </c>
      <c r="R149" s="127">
        <f t="shared" si="4"/>
        <v>1500</v>
      </c>
      <c r="S149" s="127">
        <f t="shared" si="4"/>
        <v>500</v>
      </c>
      <c r="T149" s="127">
        <f t="shared" si="4"/>
        <v>0</v>
      </c>
      <c r="U149" s="127">
        <f t="shared" si="4"/>
        <v>2000</v>
      </c>
      <c r="V149" s="127">
        <f t="shared" si="4"/>
        <v>2000</v>
      </c>
      <c r="W149" s="127">
        <f t="shared" si="4"/>
        <v>0</v>
      </c>
      <c r="X149" s="127">
        <f t="shared" si="4"/>
        <v>0</v>
      </c>
      <c r="Y149" s="127">
        <f t="shared" si="4"/>
        <v>0</v>
      </c>
      <c r="Z149" s="127">
        <f t="shared" si="4"/>
        <v>0</v>
      </c>
      <c r="AA149" s="127"/>
      <c r="AB149" s="127"/>
    </row>
    <row r="150" spans="1:28">
      <c r="A150" s="128"/>
      <c r="B150" s="129"/>
      <c r="C150" s="129"/>
      <c r="D150" s="129"/>
      <c r="E150" s="129"/>
      <c r="F150" s="130"/>
      <c r="G150" s="127" t="s">
        <v>2440</v>
      </c>
      <c r="H150" s="127">
        <f>'77907排期'!AK49</f>
        <v>55861</v>
      </c>
      <c r="I150" s="127">
        <f>'77907排期'!AL49</f>
        <v>38040</v>
      </c>
      <c r="J150" s="127">
        <f>'77907排期'!AN49</f>
        <v>120909</v>
      </c>
      <c r="K150" s="127"/>
      <c r="L150" s="127">
        <f>'77907排期'!AT49</f>
        <v>0</v>
      </c>
      <c r="M150" s="127">
        <f>'77907排期'!AU49</f>
        <v>0</v>
      </c>
      <c r="N150" s="127">
        <f>'77907排期'!AV49</f>
        <v>0</v>
      </c>
      <c r="O150" s="127">
        <f>'77907排期'!AW49</f>
        <v>0</v>
      </c>
      <c r="P150" s="127">
        <f>'77907排期'!AX49</f>
        <v>0</v>
      </c>
      <c r="Q150" s="127">
        <f>'77907排期'!AY49</f>
        <v>0</v>
      </c>
      <c r="R150" s="143">
        <f>'77907排期'!AO49</f>
        <v>1264.5</v>
      </c>
      <c r="S150" s="127">
        <f>'77907排期'!AP49</f>
        <v>688</v>
      </c>
      <c r="T150" s="127"/>
      <c r="U150" s="127">
        <f>'77907排期'!AQ49</f>
        <v>2076</v>
      </c>
      <c r="V150" s="127">
        <f>'77907排期'!AR49</f>
        <v>1656</v>
      </c>
      <c r="W150" s="127">
        <f>'77907排期'!AZ49</f>
        <v>0</v>
      </c>
      <c r="X150" s="127">
        <f>'77907排期'!BA49</f>
        <v>0</v>
      </c>
      <c r="Y150" s="127"/>
      <c r="Z150" s="127"/>
      <c r="AA150" s="127"/>
      <c r="AB150" s="127"/>
    </row>
    <row r="151" spans="1:28">
      <c r="A151" s="131"/>
      <c r="B151" s="132"/>
      <c r="C151" s="132"/>
      <c r="D151" s="132"/>
      <c r="E151" s="132"/>
      <c r="F151" s="133"/>
      <c r="G151" s="127" t="s">
        <v>2441</v>
      </c>
      <c r="H151" s="134">
        <f t="shared" ref="H151:R151" si="5">H149-H150</f>
        <v>144139</v>
      </c>
      <c r="I151" s="134">
        <f t="shared" si="5"/>
        <v>21960</v>
      </c>
      <c r="J151" s="134">
        <f t="shared" si="5"/>
        <v>179091</v>
      </c>
      <c r="K151" s="134">
        <f t="shared" si="5"/>
        <v>0</v>
      </c>
      <c r="L151" s="134">
        <f t="shared" si="5"/>
        <v>0</v>
      </c>
      <c r="M151" s="134">
        <f t="shared" si="5"/>
        <v>0</v>
      </c>
      <c r="N151" s="134">
        <f t="shared" si="5"/>
        <v>0</v>
      </c>
      <c r="O151" s="134">
        <f t="shared" si="5"/>
        <v>0</v>
      </c>
      <c r="P151" s="134">
        <f t="shared" si="5"/>
        <v>0</v>
      </c>
      <c r="Q151" s="134">
        <f t="shared" si="5"/>
        <v>0</v>
      </c>
      <c r="R151" s="134">
        <f t="shared" si="5"/>
        <v>235.5</v>
      </c>
      <c r="S151" s="134">
        <f>S149-S150+700</f>
        <v>512</v>
      </c>
      <c r="T151" s="134">
        <f t="shared" ref="T151:Z151" si="6">T149-T150</f>
        <v>0</v>
      </c>
      <c r="U151" s="134">
        <f t="shared" si="6"/>
        <v>-76</v>
      </c>
      <c r="V151" s="134">
        <f t="shared" si="6"/>
        <v>344</v>
      </c>
      <c r="W151" s="134">
        <f t="shared" si="6"/>
        <v>0</v>
      </c>
      <c r="X151" s="134">
        <f t="shared" si="6"/>
        <v>0</v>
      </c>
      <c r="Y151" s="134">
        <f t="shared" si="6"/>
        <v>0</v>
      </c>
      <c r="Z151" s="134">
        <f t="shared" si="6"/>
        <v>0</v>
      </c>
      <c r="AA151" s="134"/>
      <c r="AB151" s="134"/>
    </row>
  </sheetData>
  <sheetProtection formatCells="0" formatColumns="0" formatRows="0" insertRows="0" insertColumns="0" insertHyperlinks="0" deleteColumns="0" deleteRows="0" sort="0" autoFilter="0" pivotTables="0"/>
  <autoFilter xmlns:etc="http://www.wps.cn/officeDocument/2017/etCustomData" ref="A3:AB151" etc:filterBottomFollowUsedRange="1">
    <extLst/>
  </autoFilter>
  <mergeCells count="32">
    <mergeCell ref="A1:AB1"/>
    <mergeCell ref="H2:I2"/>
    <mergeCell ref="J2:K2"/>
    <mergeCell ref="L2:N2"/>
    <mergeCell ref="O2:Q2"/>
    <mergeCell ref="R2:T2"/>
    <mergeCell ref="U2:V2"/>
    <mergeCell ref="W2:X2"/>
    <mergeCell ref="A130:AB130"/>
    <mergeCell ref="H131:I131"/>
    <mergeCell ref="J131:K131"/>
    <mergeCell ref="L131:N131"/>
    <mergeCell ref="O131:Q131"/>
    <mergeCell ref="R131:T131"/>
    <mergeCell ref="U131:V131"/>
    <mergeCell ref="W131:X131"/>
    <mergeCell ref="A2:A3"/>
    <mergeCell ref="A131:A132"/>
    <mergeCell ref="B2:B3"/>
    <mergeCell ref="B131:B132"/>
    <mergeCell ref="C2:C3"/>
    <mergeCell ref="C131:C132"/>
    <mergeCell ref="D2:D3"/>
    <mergeCell ref="D131:D132"/>
    <mergeCell ref="E2:E3"/>
    <mergeCell ref="E131:E132"/>
    <mergeCell ref="F2:F3"/>
    <mergeCell ref="F131:F132"/>
    <mergeCell ref="G2:G3"/>
    <mergeCell ref="G131:G132"/>
    <mergeCell ref="A121:F123"/>
    <mergeCell ref="A149:F151"/>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E14"/>
  <sheetViews>
    <sheetView topLeftCell="I7" workbookViewId="0">
      <selection activeCell="I7" sqref="$A1:$XFD1048576"/>
    </sheetView>
  </sheetViews>
  <sheetFormatPr defaultColWidth="9.025" defaultRowHeight="13.5"/>
  <cols>
    <col min="4" max="4" width="10.825"/>
  </cols>
  <sheetData>
    <row r="1" s="1" customFormat="1" ht="30" customHeight="1" spans="1:83">
      <c r="A1" s="5" t="s">
        <v>23</v>
      </c>
      <c r="B1" s="6" t="s">
        <v>24</v>
      </c>
      <c r="C1" s="6" t="s">
        <v>25</v>
      </c>
      <c r="D1" s="7" t="s">
        <v>2458</v>
      </c>
      <c r="E1" s="6" t="s">
        <v>27</v>
      </c>
      <c r="F1" s="7" t="s">
        <v>28</v>
      </c>
      <c r="G1" s="7" t="s">
        <v>29</v>
      </c>
      <c r="H1" s="6" t="s">
        <v>30</v>
      </c>
      <c r="I1" s="8" t="s">
        <v>31</v>
      </c>
      <c r="J1" s="6" t="s">
        <v>32</v>
      </c>
      <c r="K1" s="6" t="s">
        <v>33</v>
      </c>
      <c r="L1" s="6" t="s">
        <v>34</v>
      </c>
      <c r="M1" s="9" t="s">
        <v>35</v>
      </c>
      <c r="N1" s="9" t="s">
        <v>36</v>
      </c>
      <c r="O1" s="10" t="s">
        <v>37</v>
      </c>
      <c r="P1" s="6" t="s">
        <v>38</v>
      </c>
      <c r="Q1" s="6" t="s">
        <v>39</v>
      </c>
      <c r="R1" s="6" t="s">
        <v>40</v>
      </c>
      <c r="S1" s="6" t="s">
        <v>41</v>
      </c>
      <c r="T1" s="10" t="s">
        <v>42</v>
      </c>
      <c r="U1" s="11" t="s">
        <v>44</v>
      </c>
      <c r="V1" s="9" t="s">
        <v>45</v>
      </c>
      <c r="W1" s="9" t="s">
        <v>46</v>
      </c>
      <c r="X1" s="9" t="s">
        <v>47</v>
      </c>
      <c r="Y1" s="9" t="s">
        <v>48</v>
      </c>
      <c r="Z1" s="12" t="s">
        <v>49</v>
      </c>
      <c r="AA1" s="12" t="s">
        <v>50</v>
      </c>
      <c r="AB1" s="12" t="s">
        <v>51</v>
      </c>
      <c r="AC1" s="12" t="s">
        <v>52</v>
      </c>
      <c r="AD1" s="9" t="s">
        <v>53</v>
      </c>
      <c r="AE1" s="9" t="s">
        <v>54</v>
      </c>
      <c r="AF1" s="9" t="s">
        <v>55</v>
      </c>
      <c r="AG1" s="9" t="s">
        <v>56</v>
      </c>
      <c r="AH1" s="13" t="s">
        <v>57</v>
      </c>
      <c r="AI1" s="9" t="s">
        <v>58</v>
      </c>
      <c r="AJ1" s="9" t="s">
        <v>59</v>
      </c>
      <c r="AK1" s="9" t="s">
        <v>60</v>
      </c>
      <c r="AL1" s="9" t="s">
        <v>61</v>
      </c>
      <c r="AM1" s="9" t="s">
        <v>62</v>
      </c>
      <c r="AN1" s="13" t="s">
        <v>63</v>
      </c>
      <c r="AO1" s="9" t="s">
        <v>59</v>
      </c>
      <c r="AP1" s="9" t="s">
        <v>60</v>
      </c>
      <c r="AQ1" s="9" t="s">
        <v>2459</v>
      </c>
      <c r="AR1" s="9" t="s">
        <v>64</v>
      </c>
      <c r="AS1" s="9" t="s">
        <v>59</v>
      </c>
      <c r="AT1" s="9" t="s">
        <v>60</v>
      </c>
      <c r="AU1" s="9" t="s">
        <v>65</v>
      </c>
      <c r="AV1" s="9" t="s">
        <v>66</v>
      </c>
      <c r="AW1" s="9" t="s">
        <v>59</v>
      </c>
      <c r="AX1" s="9" t="s">
        <v>60</v>
      </c>
      <c r="AY1" s="9" t="s">
        <v>69</v>
      </c>
      <c r="AZ1" s="9" t="s">
        <v>59</v>
      </c>
      <c r="BA1" s="9" t="s">
        <v>60</v>
      </c>
      <c r="BB1" s="9" t="s">
        <v>70</v>
      </c>
      <c r="BC1" s="9" t="s">
        <v>71</v>
      </c>
      <c r="BD1" s="9" t="s">
        <v>72</v>
      </c>
      <c r="BE1" s="9"/>
      <c r="BF1" s="14"/>
      <c r="BG1" s="15">
        <v>0.122395833333333</v>
      </c>
      <c r="BH1" s="15">
        <v>0.122395833333333</v>
      </c>
      <c r="BI1" s="15">
        <v>0.122395833333333</v>
      </c>
      <c r="BJ1" s="15">
        <v>0.122395833333333</v>
      </c>
      <c r="BK1" s="15">
        <v>0.122395833333333</v>
      </c>
      <c r="BL1" s="15">
        <v>0.122395833333333</v>
      </c>
      <c r="BM1" s="15">
        <v>0.122395833333333</v>
      </c>
      <c r="BN1" s="15">
        <v>0.122395833333333</v>
      </c>
      <c r="BO1" s="15">
        <v>0.0208333333333333</v>
      </c>
      <c r="BP1" s="1" t="s">
        <v>73</v>
      </c>
      <c r="BQ1" s="14">
        <f>生产MA!G11</f>
        <v>0</v>
      </c>
      <c r="BR1" s="14">
        <f>生产MA!H11</f>
        <v>0</v>
      </c>
      <c r="BS1" s="14">
        <f>生产MA!I11</f>
        <v>0</v>
      </c>
      <c r="BT1" s="14">
        <f>生产MA!J11</f>
        <v>0</v>
      </c>
      <c r="BU1" s="14">
        <f>生产MA!K11</f>
        <v>0</v>
      </c>
      <c r="BV1" s="14">
        <f>生产MA!L11</f>
        <v>0</v>
      </c>
      <c r="BW1" s="14">
        <f>生产MA!M11</f>
        <v>0</v>
      </c>
      <c r="BX1" s="14">
        <f>生产MA!N11</f>
        <v>0</v>
      </c>
      <c r="BY1" s="14">
        <f>生产MA!O11</f>
        <v>0</v>
      </c>
    </row>
    <row r="2" s="2" customFormat="1" ht="27" customHeight="1" spans="1:83">
      <c r="A2" s="16">
        <v>45642</v>
      </c>
      <c r="B2" s="17" t="s">
        <v>2460</v>
      </c>
      <c r="C2" s="18" t="s">
        <v>1903</v>
      </c>
      <c r="D2" s="19">
        <v>4500153901</v>
      </c>
      <c r="E2" s="18"/>
      <c r="F2" s="17" t="s">
        <v>2461</v>
      </c>
      <c r="G2" s="20" t="s">
        <v>94</v>
      </c>
      <c r="H2" s="17" t="s">
        <v>211</v>
      </c>
      <c r="I2" s="21">
        <v>2028</v>
      </c>
      <c r="J2" s="21">
        <v>0</v>
      </c>
      <c r="K2" s="21">
        <v>52</v>
      </c>
      <c r="L2" s="21">
        <f t="shared" ref="L2:L12" si="0">I2/K2</f>
        <v>39</v>
      </c>
      <c r="M2" s="22">
        <v>45793</v>
      </c>
      <c r="N2" s="23" t="s">
        <v>2462</v>
      </c>
      <c r="O2" s="24"/>
      <c r="P2" s="24" t="s">
        <v>2463</v>
      </c>
      <c r="Q2" s="24"/>
      <c r="R2" s="24">
        <v>45660</v>
      </c>
      <c r="S2" s="24" t="s">
        <v>80</v>
      </c>
      <c r="T2" s="24" t="s">
        <v>2464</v>
      </c>
      <c r="U2" s="25" t="s">
        <v>2465</v>
      </c>
      <c r="V2" s="22" t="s">
        <v>245</v>
      </c>
      <c r="W2" s="22"/>
      <c r="X2" s="22"/>
      <c r="Y2" s="22"/>
      <c r="Z2" s="24"/>
      <c r="AA2" s="24"/>
      <c r="AB2" s="24" t="s">
        <v>113</v>
      </c>
      <c r="AC2" s="24" t="s">
        <v>114</v>
      </c>
      <c r="AD2" s="22" t="s">
        <v>94</v>
      </c>
      <c r="AE2" s="22" t="s">
        <v>115</v>
      </c>
      <c r="AF2" s="26">
        <f>I2</f>
        <v>2028</v>
      </c>
      <c r="AG2" s="26">
        <f t="shared" ref="AG2:AG12" si="1">I2</f>
        <v>2028</v>
      </c>
      <c r="AH2" s="26"/>
      <c r="AI2" s="26"/>
      <c r="AJ2" s="26">
        <f>I2</f>
        <v>2028</v>
      </c>
      <c r="AK2" s="26"/>
      <c r="AL2" s="26"/>
      <c r="AM2" s="26">
        <f>I2</f>
        <v>2028</v>
      </c>
      <c r="AN2" s="26"/>
      <c r="AO2" s="26"/>
      <c r="AP2" s="26"/>
      <c r="AQ2" s="26"/>
      <c r="AR2" s="26"/>
      <c r="AS2" s="26">
        <f>I2/13</f>
        <v>156</v>
      </c>
      <c r="AT2" s="26"/>
      <c r="AU2" s="26"/>
      <c r="AV2" s="26"/>
      <c r="AW2" s="26"/>
      <c r="AX2" s="26"/>
      <c r="AY2" s="26"/>
      <c r="AZ2" s="26"/>
      <c r="BA2" s="26"/>
      <c r="BB2" s="26"/>
      <c r="BC2" s="26"/>
      <c r="BD2" s="26"/>
      <c r="BE2" s="26"/>
      <c r="BF2" s="26"/>
      <c r="BG2" s="27">
        <f>$I2*'77685排期'!BL$2</f>
        <v>248.218749999999</v>
      </c>
      <c r="BH2" s="27">
        <f>$I2*'77685排期'!BM$2</f>
        <v>248.218749999999</v>
      </c>
      <c r="BI2" s="27">
        <f>$I2*'77685排期'!BN$2</f>
        <v>248.218749999999</v>
      </c>
      <c r="BJ2" s="27">
        <f>$I2*'77685排期'!BO$2</f>
        <v>248.218749999999</v>
      </c>
      <c r="BK2" s="27">
        <f>$I2*'77685排期'!BP$2</f>
        <v>248.218749999999</v>
      </c>
      <c r="BL2" s="27">
        <f>$I2*'77685排期'!BQ$2</f>
        <v>248.218749999999</v>
      </c>
      <c r="BM2" s="27">
        <f>$I2*'77685排期'!BR$2</f>
        <v>248.218749999999</v>
      </c>
      <c r="BN2" s="27">
        <f>$I2*'77685排期'!BS$2</f>
        <v>248.218749999999</v>
      </c>
      <c r="BO2" s="27">
        <f>$I2*'77685排期'!BT$2</f>
        <v>42.2499999999999</v>
      </c>
      <c r="BQ2" s="28" t="e">
        <f>'77685排期'!#REF!-BG2</f>
        <v>#REF!</v>
      </c>
      <c r="BR2" s="28" t="e">
        <f>'77685排期'!#REF!-BH2</f>
        <v>#REF!</v>
      </c>
      <c r="BS2" s="28" t="e">
        <f>'77685排期'!#REF!-BI2</f>
        <v>#REF!</v>
      </c>
      <c r="BT2" s="28" t="e">
        <f>'77685排期'!#REF!-BJ2</f>
        <v>#REF!</v>
      </c>
      <c r="BU2" s="28" t="e">
        <f>'77685排期'!#REF!-BK2</f>
        <v>#REF!</v>
      </c>
      <c r="BV2" s="28" t="e">
        <f>'77685排期'!#REF!-BL2</f>
        <v>#REF!</v>
      </c>
      <c r="BW2" s="28" t="e">
        <f>'77685排期'!#REF!-BM2</f>
        <v>#REF!</v>
      </c>
      <c r="BX2" s="28" t="e">
        <f>'77685排期'!#REF!-BN2</f>
        <v>#REF!</v>
      </c>
      <c r="BY2" s="28" t="e">
        <f>'77685排期'!#REF!-BO2</f>
        <v>#REF!</v>
      </c>
    </row>
    <row r="3" s="2" customFormat="1" ht="27" customHeight="1" spans="1:83">
      <c r="A3" s="16">
        <v>45674</v>
      </c>
      <c r="B3" s="17" t="s">
        <v>2460</v>
      </c>
      <c r="C3" s="18" t="s">
        <v>1903</v>
      </c>
      <c r="D3" s="19">
        <v>4500156089</v>
      </c>
      <c r="E3" s="18"/>
      <c r="F3" s="17" t="s">
        <v>2466</v>
      </c>
      <c r="G3" s="20" t="s">
        <v>94</v>
      </c>
      <c r="H3" s="17" t="s">
        <v>211</v>
      </c>
      <c r="I3" s="21">
        <v>572</v>
      </c>
      <c r="J3" s="21">
        <v>0</v>
      </c>
      <c r="K3" s="21">
        <v>52</v>
      </c>
      <c r="L3" s="21">
        <f t="shared" si="0"/>
        <v>11</v>
      </c>
      <c r="M3" s="22">
        <v>45873</v>
      </c>
      <c r="N3" s="23" t="s">
        <v>2467</v>
      </c>
      <c r="O3" s="24"/>
      <c r="P3" s="24"/>
      <c r="Q3" s="24"/>
      <c r="R3" s="24" t="s">
        <v>1990</v>
      </c>
      <c r="S3" s="24" t="s">
        <v>80</v>
      </c>
      <c r="T3" s="24" t="s">
        <v>2468</v>
      </c>
      <c r="U3" s="25" t="s">
        <v>2469</v>
      </c>
      <c r="V3" s="29" t="s">
        <v>245</v>
      </c>
      <c r="W3" s="29">
        <v>0.945</v>
      </c>
      <c r="X3" s="21">
        <f>W3*I3</f>
        <v>540.54</v>
      </c>
      <c r="Y3" s="22"/>
      <c r="Z3" s="24"/>
      <c r="AA3" s="24"/>
      <c r="AB3" s="24"/>
      <c r="AC3" s="24"/>
      <c r="AD3" s="22" t="s">
        <v>94</v>
      </c>
      <c r="AE3" s="22" t="s">
        <v>115</v>
      </c>
      <c r="AF3" s="26">
        <f>I3</f>
        <v>572</v>
      </c>
      <c r="AG3" s="26">
        <f t="shared" si="1"/>
        <v>572</v>
      </c>
      <c r="AH3" s="26"/>
      <c r="AI3" s="26"/>
      <c r="AJ3" s="26">
        <f>I3</f>
        <v>572</v>
      </c>
      <c r="AK3" s="26"/>
      <c r="AL3" s="26"/>
      <c r="AM3" s="26">
        <f>I3</f>
        <v>572</v>
      </c>
      <c r="AN3" s="26"/>
      <c r="AO3" s="26"/>
      <c r="AP3" s="26"/>
      <c r="AQ3" s="26"/>
      <c r="AR3" s="26"/>
      <c r="AS3" s="26">
        <f>I3/13</f>
        <v>44</v>
      </c>
      <c r="AT3" s="26"/>
      <c r="AU3" s="26"/>
      <c r="AV3" s="26"/>
      <c r="AW3" s="26"/>
      <c r="AX3" s="26"/>
      <c r="AY3" s="26"/>
      <c r="AZ3" s="26"/>
      <c r="BA3" s="26"/>
      <c r="BB3" s="26"/>
      <c r="BC3" s="26"/>
      <c r="BD3" s="26"/>
      <c r="BE3" s="26"/>
      <c r="BF3" s="26"/>
      <c r="BG3" s="30">
        <f>$I3*'77685排期'!BL$2</f>
        <v>70.0104166666665</v>
      </c>
      <c r="BH3" s="30">
        <f>$I3*'77685排期'!BM$2</f>
        <v>70.0104166666665</v>
      </c>
      <c r="BI3" s="30">
        <f>$I3*'77685排期'!BN$2</f>
        <v>70.0104166666665</v>
      </c>
      <c r="BJ3" s="30">
        <f>$I3*'77685排期'!BO$2</f>
        <v>70.0104166666665</v>
      </c>
      <c r="BK3" s="30">
        <f>$I3*'77685排期'!BP$2</f>
        <v>70.0104166666665</v>
      </c>
      <c r="BL3" s="30">
        <f>$I3*'77685排期'!BQ$2</f>
        <v>70.0104166666665</v>
      </c>
      <c r="BM3" s="30">
        <f>$I3*'77685排期'!BR$2</f>
        <v>70.0104166666665</v>
      </c>
      <c r="BN3" s="30">
        <f>$I3*'77685排期'!BS$2</f>
        <v>70.0104166666665</v>
      </c>
      <c r="BO3" s="30">
        <f>$I3*'77685排期'!BT$2</f>
        <v>11.9166666666666</v>
      </c>
      <c r="BQ3" s="28" t="e">
        <f>'77685排期'!#REF!-BG3</f>
        <v>#REF!</v>
      </c>
      <c r="BR3" s="28" t="e">
        <f>'77685排期'!#REF!-BH3</f>
        <v>#REF!</v>
      </c>
      <c r="BS3" s="28" t="e">
        <f>'77685排期'!#REF!-BI3</f>
        <v>#REF!</v>
      </c>
      <c r="BT3" s="28" t="e">
        <f>'77685排期'!#REF!-BJ3</f>
        <v>#REF!</v>
      </c>
      <c r="BU3" s="28" t="e">
        <f>'77685排期'!#REF!-BK3</f>
        <v>#REF!</v>
      </c>
      <c r="BV3" s="28" t="e">
        <f>'77685排期'!#REF!-BL3</f>
        <v>#REF!</v>
      </c>
      <c r="BW3" s="28" t="e">
        <f>'77685排期'!#REF!-BM3</f>
        <v>#REF!</v>
      </c>
      <c r="BX3" s="28" t="e">
        <f>'77685排期'!#REF!-BN3</f>
        <v>#REF!</v>
      </c>
      <c r="BY3" s="28" t="e">
        <f>'77685排期'!#REF!-BO3</f>
        <v>#REF!</v>
      </c>
    </row>
    <row r="4" s="2" customFormat="1" ht="27" customHeight="1" spans="1:83">
      <c r="A4" s="16">
        <v>45826</v>
      </c>
      <c r="B4" s="17" t="s">
        <v>326</v>
      </c>
      <c r="C4" s="18" t="s">
        <v>117</v>
      </c>
      <c r="D4" s="19">
        <v>4500170460</v>
      </c>
      <c r="E4" s="538" t="s">
        <v>2470</v>
      </c>
      <c r="F4" s="17" t="s">
        <v>2471</v>
      </c>
      <c r="G4" s="20" t="s">
        <v>855</v>
      </c>
      <c r="H4" s="17" t="s">
        <v>856</v>
      </c>
      <c r="I4" s="21">
        <v>204</v>
      </c>
      <c r="J4" s="21">
        <v>0</v>
      </c>
      <c r="K4" s="21">
        <v>12</v>
      </c>
      <c r="L4" s="21">
        <f t="shared" si="0"/>
        <v>17</v>
      </c>
      <c r="M4" s="22">
        <v>45861</v>
      </c>
      <c r="N4" s="22" t="s">
        <v>2472</v>
      </c>
      <c r="O4" s="31" t="s">
        <v>2473</v>
      </c>
      <c r="P4" s="24"/>
      <c r="Q4" s="24"/>
      <c r="R4" s="32" t="s">
        <v>2474</v>
      </c>
      <c r="S4" s="24" t="s">
        <v>191</v>
      </c>
      <c r="T4" s="24" t="s">
        <v>2475</v>
      </c>
      <c r="U4" s="24"/>
      <c r="V4" s="25" t="s">
        <v>2476</v>
      </c>
      <c r="W4" s="22" t="s">
        <v>265</v>
      </c>
      <c r="X4" s="33">
        <v>0.4538</v>
      </c>
      <c r="Y4" s="21">
        <f t="shared" ref="Y4:Y9" si="2">X4*I4</f>
        <v>92.5752</v>
      </c>
      <c r="Z4" s="22"/>
      <c r="AA4" s="24"/>
      <c r="AB4" s="24"/>
      <c r="AC4" s="24"/>
      <c r="AD4" s="24"/>
      <c r="AE4" s="22" t="s">
        <v>855</v>
      </c>
      <c r="AF4" s="22" t="s">
        <v>115</v>
      </c>
      <c r="AG4" s="26">
        <f t="shared" si="1"/>
        <v>204</v>
      </c>
      <c r="AH4" s="26">
        <f t="shared" ref="AH4:AH7" si="3">I4</f>
        <v>204</v>
      </c>
      <c r="AI4" s="26"/>
      <c r="AJ4" s="26"/>
      <c r="AK4" s="26">
        <f t="shared" ref="AK4:AK12" si="4">I4</f>
        <v>204</v>
      </c>
      <c r="AL4" s="26"/>
      <c r="AM4" s="26"/>
      <c r="AN4" s="26"/>
      <c r="AO4" s="26">
        <f t="shared" ref="AO4:AO12" si="5">I4</f>
        <v>204</v>
      </c>
      <c r="AP4" s="26"/>
      <c r="AQ4" s="26"/>
      <c r="AR4" s="26"/>
      <c r="AS4" s="26"/>
      <c r="AT4" s="26"/>
      <c r="AU4" s="26"/>
      <c r="AV4" s="26"/>
      <c r="AW4" s="26">
        <f t="shared" ref="AW4:AW7" si="6">I4/12</f>
        <v>17</v>
      </c>
      <c r="AX4" s="26"/>
      <c r="AY4" s="26"/>
      <c r="AZ4" s="26"/>
      <c r="BA4" s="26"/>
      <c r="BB4" s="26"/>
      <c r="BC4" s="26"/>
      <c r="BD4" s="26"/>
      <c r="BE4" s="26"/>
      <c r="BF4" s="26"/>
      <c r="BG4" s="26"/>
      <c r="BH4" s="26"/>
      <c r="BI4" s="30">
        <f>$I4*'77685排期'!BL$2</f>
        <v>24.9687499999999</v>
      </c>
      <c r="BJ4" s="30">
        <f>$I4*'77685排期'!BM$2</f>
        <v>24.9687499999999</v>
      </c>
      <c r="BK4" s="30">
        <f>$I4*'77685排期'!BN$2</f>
        <v>24.9687499999999</v>
      </c>
      <c r="BL4" s="30">
        <f>$I4*'77685排期'!BO$2</f>
        <v>24.9687499999999</v>
      </c>
      <c r="BM4" s="30">
        <f>$I4*'77685排期'!BP$2</f>
        <v>24.9687499999999</v>
      </c>
      <c r="BN4" s="30">
        <f>$I4*'77685排期'!BQ$2</f>
        <v>24.9687499999999</v>
      </c>
      <c r="BO4" s="30">
        <f>$I4*'77685排期'!BR$2</f>
        <v>24.9687499999999</v>
      </c>
      <c r="BP4" s="30">
        <f>$I4*'77685排期'!BS$2</f>
        <v>24.9687499999999</v>
      </c>
      <c r="BQ4" s="30">
        <f>$I4*'77685排期'!BT$2</f>
        <v>4.24999999999999</v>
      </c>
      <c r="BS4" s="30" t="e">
        <f>'77685排期'!#REF!-BI4</f>
        <v>#REF!</v>
      </c>
      <c r="BT4" s="30" t="e">
        <f>'77685排期'!#REF!-BJ4</f>
        <v>#REF!</v>
      </c>
      <c r="BU4" s="30" t="e">
        <f>'77685排期'!#REF!-BK4</f>
        <v>#REF!</v>
      </c>
      <c r="BV4" s="30" t="e">
        <f>'77685排期'!#REF!-BL4</f>
        <v>#REF!</v>
      </c>
      <c r="BW4" s="30" t="e">
        <f>'77685排期'!#REF!-BM4</f>
        <v>#REF!</v>
      </c>
      <c r="BX4" s="30" t="e">
        <f>'77685排期'!#REF!-BN4</f>
        <v>#REF!</v>
      </c>
      <c r="BY4" s="30" t="e">
        <f>'77685排期'!#REF!-BO4</f>
        <v>#REF!</v>
      </c>
      <c r="BZ4" s="30" t="e">
        <f>'77685排期'!#REF!-BP4</f>
        <v>#REF!</v>
      </c>
      <c r="CA4" s="30" t="e">
        <f>'77685排期'!#REF!-BQ4</f>
        <v>#REF!</v>
      </c>
    </row>
    <row r="5" s="2" customFormat="1" ht="27" customHeight="1" spans="1:83">
      <c r="A5" s="16">
        <v>45826</v>
      </c>
      <c r="B5" s="17" t="s">
        <v>326</v>
      </c>
      <c r="C5" s="18" t="s">
        <v>117</v>
      </c>
      <c r="D5" s="19">
        <v>4500170460</v>
      </c>
      <c r="E5" s="538" t="s">
        <v>2477</v>
      </c>
      <c r="F5" s="17" t="s">
        <v>2478</v>
      </c>
      <c r="G5" s="20" t="s">
        <v>855</v>
      </c>
      <c r="H5" s="17" t="s">
        <v>856</v>
      </c>
      <c r="I5" s="21">
        <v>156</v>
      </c>
      <c r="J5" s="21">
        <v>0</v>
      </c>
      <c r="K5" s="21">
        <v>12</v>
      </c>
      <c r="L5" s="21">
        <f t="shared" si="0"/>
        <v>13</v>
      </c>
      <c r="M5" s="22">
        <v>45861</v>
      </c>
      <c r="N5" s="22" t="s">
        <v>2472</v>
      </c>
      <c r="O5" s="31" t="s">
        <v>2473</v>
      </c>
      <c r="P5" s="24"/>
      <c r="Q5" s="24"/>
      <c r="R5" s="32" t="s">
        <v>2474</v>
      </c>
      <c r="S5" s="24" t="s">
        <v>191</v>
      </c>
      <c r="T5" s="24" t="s">
        <v>2475</v>
      </c>
      <c r="U5" s="24"/>
      <c r="V5" s="25" t="s">
        <v>2476</v>
      </c>
      <c r="W5" s="22" t="s">
        <v>265</v>
      </c>
      <c r="X5" s="33">
        <v>0.4538</v>
      </c>
      <c r="Y5" s="21">
        <f t="shared" si="2"/>
        <v>70.7928</v>
      </c>
      <c r="Z5" s="22"/>
      <c r="AA5" s="24"/>
      <c r="AB5" s="24"/>
      <c r="AC5" s="24"/>
      <c r="AD5" s="24"/>
      <c r="AE5" s="22" t="s">
        <v>855</v>
      </c>
      <c r="AF5" s="22" t="s">
        <v>115</v>
      </c>
      <c r="AG5" s="26">
        <f t="shared" si="1"/>
        <v>156</v>
      </c>
      <c r="AH5" s="26">
        <f t="shared" si="3"/>
        <v>156</v>
      </c>
      <c r="AI5" s="26"/>
      <c r="AJ5" s="26"/>
      <c r="AK5" s="26">
        <f t="shared" si="4"/>
        <v>156</v>
      </c>
      <c r="AL5" s="26"/>
      <c r="AM5" s="26"/>
      <c r="AN5" s="26"/>
      <c r="AO5" s="26">
        <f t="shared" si="5"/>
        <v>156</v>
      </c>
      <c r="AP5" s="26"/>
      <c r="AQ5" s="26"/>
      <c r="AR5" s="26"/>
      <c r="AS5" s="26"/>
      <c r="AT5" s="26"/>
      <c r="AU5" s="26"/>
      <c r="AV5" s="26"/>
      <c r="AW5" s="26">
        <f t="shared" si="6"/>
        <v>13</v>
      </c>
      <c r="AX5" s="26"/>
      <c r="AY5" s="26"/>
      <c r="AZ5" s="26"/>
      <c r="BA5" s="26"/>
      <c r="BB5" s="26"/>
      <c r="BC5" s="26"/>
      <c r="BD5" s="26"/>
      <c r="BE5" s="26"/>
      <c r="BF5" s="26"/>
      <c r="BG5" s="26"/>
      <c r="BH5" s="26"/>
      <c r="BI5" s="30">
        <f>$I5*'77685排期'!BL$2</f>
        <v>19.0937499999999</v>
      </c>
      <c r="BJ5" s="30">
        <f>$I5*'77685排期'!BM$2</f>
        <v>19.0937499999999</v>
      </c>
      <c r="BK5" s="30">
        <f>$I5*'77685排期'!BN$2</f>
        <v>19.0937499999999</v>
      </c>
      <c r="BL5" s="30">
        <f>$I5*'77685排期'!BO$2</f>
        <v>19.0937499999999</v>
      </c>
      <c r="BM5" s="30">
        <f>$I5*'77685排期'!BP$2</f>
        <v>19.0937499999999</v>
      </c>
      <c r="BN5" s="30">
        <f>$I5*'77685排期'!BQ$2</f>
        <v>19.0937499999999</v>
      </c>
      <c r="BO5" s="30">
        <f>$I5*'77685排期'!BR$2</f>
        <v>19.0937499999999</v>
      </c>
      <c r="BP5" s="30">
        <f>$I5*'77685排期'!BS$2</f>
        <v>19.0937499999999</v>
      </c>
      <c r="BQ5" s="30">
        <f>$I5*'77685排期'!BT$2</f>
        <v>3.24999999999999</v>
      </c>
      <c r="BS5" s="30" t="e">
        <f t="shared" ref="BS5:CA5" si="7">BS4-BI5</f>
        <v>#REF!</v>
      </c>
      <c r="BT5" s="30" t="e">
        <f t="shared" si="7"/>
        <v>#REF!</v>
      </c>
      <c r="BU5" s="30" t="e">
        <f t="shared" si="7"/>
        <v>#REF!</v>
      </c>
      <c r="BV5" s="30" t="e">
        <f t="shared" si="7"/>
        <v>#REF!</v>
      </c>
      <c r="BW5" s="30" t="e">
        <f t="shared" si="7"/>
        <v>#REF!</v>
      </c>
      <c r="BX5" s="30" t="e">
        <f t="shared" si="7"/>
        <v>#REF!</v>
      </c>
      <c r="BY5" s="30" t="e">
        <f t="shared" si="7"/>
        <v>#REF!</v>
      </c>
      <c r="BZ5" s="30" t="e">
        <f t="shared" si="7"/>
        <v>#REF!</v>
      </c>
      <c r="CA5" s="30" t="e">
        <f t="shared" si="7"/>
        <v>#REF!</v>
      </c>
    </row>
    <row r="6" s="2" customFormat="1" ht="27" customHeight="1" spans="1:83">
      <c r="A6" s="16">
        <v>45826</v>
      </c>
      <c r="B6" s="17" t="s">
        <v>326</v>
      </c>
      <c r="C6" s="18" t="s">
        <v>117</v>
      </c>
      <c r="D6" s="19">
        <v>4500170460</v>
      </c>
      <c r="E6" s="538" t="s">
        <v>2479</v>
      </c>
      <c r="F6" s="17" t="s">
        <v>2480</v>
      </c>
      <c r="G6" s="20" t="s">
        <v>855</v>
      </c>
      <c r="H6" s="17" t="s">
        <v>856</v>
      </c>
      <c r="I6" s="21">
        <v>180</v>
      </c>
      <c r="J6" s="21">
        <v>0</v>
      </c>
      <c r="K6" s="21">
        <v>12</v>
      </c>
      <c r="L6" s="21">
        <f t="shared" si="0"/>
        <v>15</v>
      </c>
      <c r="M6" s="22">
        <v>45861</v>
      </c>
      <c r="N6" s="22" t="s">
        <v>2472</v>
      </c>
      <c r="O6" s="31" t="s">
        <v>2473</v>
      </c>
      <c r="P6" s="24"/>
      <c r="Q6" s="24"/>
      <c r="R6" s="32" t="s">
        <v>2474</v>
      </c>
      <c r="S6" s="24" t="s">
        <v>191</v>
      </c>
      <c r="T6" s="24" t="s">
        <v>2475</v>
      </c>
      <c r="U6" s="24"/>
      <c r="V6" s="25" t="s">
        <v>2476</v>
      </c>
      <c r="W6" s="22" t="s">
        <v>265</v>
      </c>
      <c r="X6" s="33">
        <v>0.4538</v>
      </c>
      <c r="Y6" s="21">
        <f t="shared" si="2"/>
        <v>81.684</v>
      </c>
      <c r="Z6" s="22"/>
      <c r="AA6" s="24"/>
      <c r="AB6" s="24"/>
      <c r="AC6" s="24"/>
      <c r="AD6" s="24"/>
      <c r="AE6" s="22" t="s">
        <v>855</v>
      </c>
      <c r="AF6" s="22" t="s">
        <v>115</v>
      </c>
      <c r="AG6" s="26">
        <f t="shared" si="1"/>
        <v>180</v>
      </c>
      <c r="AH6" s="26">
        <f t="shared" si="3"/>
        <v>180</v>
      </c>
      <c r="AI6" s="26"/>
      <c r="AJ6" s="26"/>
      <c r="AK6" s="26">
        <f t="shared" si="4"/>
        <v>180</v>
      </c>
      <c r="AL6" s="26"/>
      <c r="AM6" s="26"/>
      <c r="AN6" s="26"/>
      <c r="AO6" s="26">
        <f t="shared" si="5"/>
        <v>180</v>
      </c>
      <c r="AP6" s="26"/>
      <c r="AQ6" s="26"/>
      <c r="AR6" s="26"/>
      <c r="AS6" s="26"/>
      <c r="AT6" s="26"/>
      <c r="AU6" s="26"/>
      <c r="AV6" s="26"/>
      <c r="AW6" s="26">
        <f t="shared" si="6"/>
        <v>15</v>
      </c>
      <c r="AX6" s="26"/>
      <c r="AY6" s="26"/>
      <c r="AZ6" s="26"/>
      <c r="BA6" s="26"/>
      <c r="BB6" s="26"/>
      <c r="BC6" s="26"/>
      <c r="BD6" s="26"/>
      <c r="BE6" s="26"/>
      <c r="BF6" s="26"/>
      <c r="BG6" s="26"/>
      <c r="BH6" s="26"/>
      <c r="BI6" s="30">
        <f>$I6*'77685排期'!BL$2</f>
        <v>22.0312499999999</v>
      </c>
      <c r="BJ6" s="30">
        <f>$I6*'77685排期'!BM$2</f>
        <v>22.0312499999999</v>
      </c>
      <c r="BK6" s="30">
        <f>$I6*'77685排期'!BN$2</f>
        <v>22.0312499999999</v>
      </c>
      <c r="BL6" s="30">
        <f>$I6*'77685排期'!BO$2</f>
        <v>22.0312499999999</v>
      </c>
      <c r="BM6" s="30">
        <f>$I6*'77685排期'!BP$2</f>
        <v>22.0312499999999</v>
      </c>
      <c r="BN6" s="30">
        <f>$I6*'77685排期'!BQ$2</f>
        <v>22.0312499999999</v>
      </c>
      <c r="BO6" s="30">
        <f>$I6*'77685排期'!BR$2</f>
        <v>22.0312499999999</v>
      </c>
      <c r="BP6" s="30">
        <f>$I6*'77685排期'!BS$2</f>
        <v>22.0312499999999</v>
      </c>
      <c r="BQ6" s="30">
        <f>$I6*'77685排期'!BT$2</f>
        <v>3.74999999999999</v>
      </c>
      <c r="BS6" s="30" t="e">
        <f t="shared" ref="BS6:CA6" si="8">BS5-BI6</f>
        <v>#REF!</v>
      </c>
      <c r="BT6" s="30" t="e">
        <f t="shared" si="8"/>
        <v>#REF!</v>
      </c>
      <c r="BU6" s="30" t="e">
        <f t="shared" si="8"/>
        <v>#REF!</v>
      </c>
      <c r="BV6" s="30" t="e">
        <f t="shared" si="8"/>
        <v>#REF!</v>
      </c>
      <c r="BW6" s="30" t="e">
        <f t="shared" si="8"/>
        <v>#REF!</v>
      </c>
      <c r="BX6" s="30" t="e">
        <f t="shared" si="8"/>
        <v>#REF!</v>
      </c>
      <c r="BY6" s="30" t="e">
        <f t="shared" si="8"/>
        <v>#REF!</v>
      </c>
      <c r="BZ6" s="30" t="e">
        <f t="shared" si="8"/>
        <v>#REF!</v>
      </c>
      <c r="CA6" s="30" t="e">
        <f t="shared" si="8"/>
        <v>#REF!</v>
      </c>
    </row>
    <row r="7" s="2" customFormat="1" ht="27" customHeight="1" spans="1:83">
      <c r="A7" s="16">
        <v>45826</v>
      </c>
      <c r="B7" s="17" t="s">
        <v>326</v>
      </c>
      <c r="C7" s="18" t="s">
        <v>117</v>
      </c>
      <c r="D7" s="19">
        <v>4500170460</v>
      </c>
      <c r="E7" s="538" t="s">
        <v>2481</v>
      </c>
      <c r="F7" s="17" t="s">
        <v>2482</v>
      </c>
      <c r="G7" s="20" t="s">
        <v>855</v>
      </c>
      <c r="H7" s="17" t="s">
        <v>856</v>
      </c>
      <c r="I7" s="21">
        <v>84</v>
      </c>
      <c r="J7" s="21">
        <v>0</v>
      </c>
      <c r="K7" s="21">
        <v>12</v>
      </c>
      <c r="L7" s="21">
        <f t="shared" si="0"/>
        <v>7</v>
      </c>
      <c r="M7" s="22">
        <v>45861</v>
      </c>
      <c r="N7" s="22" t="s">
        <v>2472</v>
      </c>
      <c r="O7" s="31" t="s">
        <v>2473</v>
      </c>
      <c r="P7" s="24"/>
      <c r="Q7" s="24"/>
      <c r="R7" s="32" t="s">
        <v>2474</v>
      </c>
      <c r="S7" s="24" t="s">
        <v>191</v>
      </c>
      <c r="T7" s="24" t="s">
        <v>2475</v>
      </c>
      <c r="U7" s="24"/>
      <c r="V7" s="25" t="s">
        <v>2476</v>
      </c>
      <c r="W7" s="22" t="s">
        <v>265</v>
      </c>
      <c r="X7" s="33">
        <v>0.4538</v>
      </c>
      <c r="Y7" s="21">
        <f t="shared" si="2"/>
        <v>38.1192</v>
      </c>
      <c r="Z7" s="22"/>
      <c r="AA7" s="24"/>
      <c r="AB7" s="24"/>
      <c r="AC7" s="24"/>
      <c r="AD7" s="24"/>
      <c r="AE7" s="22" t="s">
        <v>855</v>
      </c>
      <c r="AF7" s="22" t="s">
        <v>115</v>
      </c>
      <c r="AG7" s="26">
        <f t="shared" si="1"/>
        <v>84</v>
      </c>
      <c r="AH7" s="26">
        <f t="shared" si="3"/>
        <v>84</v>
      </c>
      <c r="AI7" s="26"/>
      <c r="AJ7" s="26"/>
      <c r="AK7" s="26">
        <f t="shared" si="4"/>
        <v>84</v>
      </c>
      <c r="AL7" s="26"/>
      <c r="AM7" s="26"/>
      <c r="AN7" s="26"/>
      <c r="AO7" s="26">
        <f t="shared" si="5"/>
        <v>84</v>
      </c>
      <c r="AP7" s="26"/>
      <c r="AQ7" s="26"/>
      <c r="AR7" s="26"/>
      <c r="AS7" s="26"/>
      <c r="AT7" s="26"/>
      <c r="AU7" s="26"/>
      <c r="AV7" s="26"/>
      <c r="AW7" s="26">
        <f t="shared" si="6"/>
        <v>7</v>
      </c>
      <c r="AX7" s="26"/>
      <c r="AY7" s="26"/>
      <c r="AZ7" s="26"/>
      <c r="BA7" s="26"/>
      <c r="BB7" s="26"/>
      <c r="BC7" s="26"/>
      <c r="BD7" s="26"/>
      <c r="BE7" s="26"/>
      <c r="BF7" s="26"/>
      <c r="BG7" s="26"/>
      <c r="BH7" s="26"/>
      <c r="BI7" s="30">
        <f>$I7*'77685排期'!BL$2</f>
        <v>10.28125</v>
      </c>
      <c r="BJ7" s="30">
        <f>$I7*'77685排期'!BM$2</f>
        <v>10.28125</v>
      </c>
      <c r="BK7" s="30">
        <f>$I7*'77685排期'!BN$2</f>
        <v>10.28125</v>
      </c>
      <c r="BL7" s="30">
        <f>$I7*'77685排期'!BO$2</f>
        <v>10.28125</v>
      </c>
      <c r="BM7" s="30">
        <f>$I7*'77685排期'!BP$2</f>
        <v>10.28125</v>
      </c>
      <c r="BN7" s="30">
        <f>$I7*'77685排期'!BQ$2</f>
        <v>10.28125</v>
      </c>
      <c r="BO7" s="30">
        <f>$I7*'77685排期'!BR$2</f>
        <v>10.28125</v>
      </c>
      <c r="BP7" s="30">
        <f>$I7*'77685排期'!BS$2</f>
        <v>10.28125</v>
      </c>
      <c r="BQ7" s="30">
        <f>$I7*'77685排期'!BT$2</f>
        <v>1.75</v>
      </c>
      <c r="BS7" s="30" t="e">
        <f t="shared" ref="BS7:CA7" si="9">BS6-BI7</f>
        <v>#REF!</v>
      </c>
      <c r="BT7" s="30" t="e">
        <f t="shared" si="9"/>
        <v>#REF!</v>
      </c>
      <c r="BU7" s="30" t="e">
        <f t="shared" si="9"/>
        <v>#REF!</v>
      </c>
      <c r="BV7" s="30" t="e">
        <f t="shared" si="9"/>
        <v>#REF!</v>
      </c>
      <c r="BW7" s="30" t="e">
        <f t="shared" si="9"/>
        <v>#REF!</v>
      </c>
      <c r="BX7" s="30" t="e">
        <f t="shared" si="9"/>
        <v>#REF!</v>
      </c>
      <c r="BY7" s="30" t="e">
        <f t="shared" si="9"/>
        <v>#REF!</v>
      </c>
      <c r="BZ7" s="30" t="e">
        <f t="shared" si="9"/>
        <v>#REF!</v>
      </c>
      <c r="CA7" s="30" t="e">
        <f t="shared" si="9"/>
        <v>#REF!</v>
      </c>
    </row>
    <row r="8" s="3" customFormat="1" ht="27" customHeight="1" spans="1:83">
      <c r="A8" s="34">
        <v>45875</v>
      </c>
      <c r="B8" s="35" t="s">
        <v>149</v>
      </c>
      <c r="C8" s="35" t="s">
        <v>117</v>
      </c>
      <c r="D8" s="36">
        <v>4500176125</v>
      </c>
      <c r="E8" s="35" t="s">
        <v>2483</v>
      </c>
      <c r="F8" s="37" t="s">
        <v>2484</v>
      </c>
      <c r="G8" s="38" t="s">
        <v>152</v>
      </c>
      <c r="H8" s="37" t="s">
        <v>153</v>
      </c>
      <c r="I8" s="39">
        <v>6994</v>
      </c>
      <c r="J8" s="39">
        <v>0</v>
      </c>
      <c r="K8" s="39">
        <v>13</v>
      </c>
      <c r="L8" s="39">
        <f t="shared" si="0"/>
        <v>538</v>
      </c>
      <c r="M8" s="40">
        <v>45923</v>
      </c>
      <c r="N8" s="40" t="s">
        <v>2485</v>
      </c>
      <c r="O8" s="41"/>
      <c r="P8" s="41"/>
      <c r="Q8" s="41"/>
      <c r="R8" s="41" t="s">
        <v>1990</v>
      </c>
      <c r="S8" s="41" t="s">
        <v>191</v>
      </c>
      <c r="T8" s="41" t="s">
        <v>2486</v>
      </c>
      <c r="U8" s="41"/>
      <c r="V8" s="42" t="s">
        <v>1141</v>
      </c>
      <c r="W8" s="43" t="s">
        <v>158</v>
      </c>
      <c r="X8" s="44">
        <v>0.4622</v>
      </c>
      <c r="Y8" s="39">
        <f t="shared" si="2"/>
        <v>3232.6268</v>
      </c>
      <c r="Z8" s="43"/>
      <c r="AA8" s="41"/>
      <c r="AB8" s="41"/>
      <c r="AC8" s="41"/>
      <c r="AD8" s="41"/>
      <c r="AE8" s="43" t="s">
        <v>152</v>
      </c>
      <c r="AF8" s="43" t="s">
        <v>115</v>
      </c>
      <c r="AG8" s="45">
        <f t="shared" si="1"/>
        <v>6994</v>
      </c>
      <c r="AI8" s="45">
        <f t="shared" ref="AI8:AI12" si="10">I8</f>
        <v>6994</v>
      </c>
      <c r="AJ8" s="45"/>
      <c r="AK8" s="45">
        <f t="shared" si="4"/>
        <v>6994</v>
      </c>
      <c r="AL8" s="45"/>
      <c r="AM8" s="45"/>
      <c r="AN8" s="45"/>
      <c r="AO8" s="45">
        <f t="shared" si="5"/>
        <v>6994</v>
      </c>
      <c r="AP8" s="45"/>
      <c r="AQ8" s="45"/>
      <c r="AR8" s="45"/>
      <c r="AS8" s="45"/>
      <c r="AT8" s="45"/>
      <c r="AU8" s="45">
        <f t="shared" ref="AU8:AU12" si="11">I8/13</f>
        <v>538</v>
      </c>
      <c r="AV8" s="45"/>
      <c r="AW8" s="45"/>
      <c r="AX8" s="45"/>
      <c r="AY8" s="45"/>
      <c r="AZ8" s="45"/>
      <c r="BA8" s="45"/>
      <c r="BB8" s="45"/>
      <c r="BC8" s="45"/>
      <c r="BD8" s="45"/>
      <c r="BE8" s="45"/>
      <c r="BF8" s="45"/>
      <c r="BG8" s="45"/>
      <c r="BH8" s="45"/>
      <c r="BI8" s="46">
        <f>$I8*'77685排期'!BL$2</f>
        <v>856.036458333331</v>
      </c>
      <c r="BJ8" s="46">
        <f>$I8*'77685排期'!BM$2</f>
        <v>856.036458333331</v>
      </c>
      <c r="BK8" s="46">
        <f>$I8*'77685排期'!BN$2</f>
        <v>856.036458333331</v>
      </c>
      <c r="BL8" s="46">
        <f>$I8*'77685排期'!BO$2</f>
        <v>856.036458333331</v>
      </c>
      <c r="BM8" s="46">
        <f>$I8*'77685排期'!BP$2</f>
        <v>856.036458333331</v>
      </c>
      <c r="BN8" s="46">
        <f>$I8*'77685排期'!BQ$2</f>
        <v>856.036458333331</v>
      </c>
      <c r="BO8" s="46">
        <f>$I8*'77685排期'!BR$2</f>
        <v>856.036458333331</v>
      </c>
      <c r="BP8" s="46">
        <f>$I8*'77685排期'!BS$2</f>
        <v>856.036458333331</v>
      </c>
      <c r="BQ8" s="46">
        <f>$I8*'77685排期'!BT$2</f>
        <v>145.708333333333</v>
      </c>
      <c r="BS8" s="46" t="e">
        <f>'77685排期'!#REF!-BI8</f>
        <v>#REF!</v>
      </c>
      <c r="BT8" s="46" t="e">
        <f>'77685排期'!#REF!-BJ8</f>
        <v>#REF!</v>
      </c>
      <c r="BU8" s="46" t="e">
        <f>'77685排期'!#REF!-BK8</f>
        <v>#REF!</v>
      </c>
      <c r="BV8" s="46" t="e">
        <f>'77685排期'!#REF!-BL8</f>
        <v>#REF!</v>
      </c>
      <c r="BW8" s="46" t="e">
        <f>'77685排期'!#REF!-BM8</f>
        <v>#REF!</v>
      </c>
      <c r="BX8" s="46" t="e">
        <f>'77685排期'!#REF!-BN8</f>
        <v>#REF!</v>
      </c>
      <c r="BY8" s="46" t="e">
        <f>'77685排期'!#REF!-BO8</f>
        <v>#REF!</v>
      </c>
      <c r="BZ8" s="46" t="e">
        <f>'77685排期'!#REF!-BP8</f>
        <v>#REF!</v>
      </c>
      <c r="CA8" s="46" t="e">
        <f>'77685排期'!#REF!-BQ8</f>
        <v>#REF!</v>
      </c>
    </row>
    <row r="9" s="3" customFormat="1" ht="27" customHeight="1" spans="1:83">
      <c r="A9" s="34">
        <v>45875</v>
      </c>
      <c r="B9" s="35" t="s">
        <v>149</v>
      </c>
      <c r="C9" s="35" t="s">
        <v>117</v>
      </c>
      <c r="D9" s="36">
        <v>4500176127</v>
      </c>
      <c r="E9" s="35" t="s">
        <v>2487</v>
      </c>
      <c r="F9" s="37" t="s">
        <v>2488</v>
      </c>
      <c r="G9" s="38" t="s">
        <v>152</v>
      </c>
      <c r="H9" s="37" t="s">
        <v>153</v>
      </c>
      <c r="I9" s="39">
        <v>7579</v>
      </c>
      <c r="J9" s="39">
        <v>0</v>
      </c>
      <c r="K9" s="39">
        <v>13</v>
      </c>
      <c r="L9" s="39">
        <f t="shared" si="0"/>
        <v>583</v>
      </c>
      <c r="M9" s="40">
        <v>45923</v>
      </c>
      <c r="N9" s="40" t="s">
        <v>2485</v>
      </c>
      <c r="O9" s="41"/>
      <c r="P9" s="41"/>
      <c r="Q9" s="41"/>
      <c r="R9" s="41" t="s">
        <v>1990</v>
      </c>
      <c r="S9" s="41" t="s">
        <v>191</v>
      </c>
      <c r="T9" s="41" t="s">
        <v>2486</v>
      </c>
      <c r="U9" s="41"/>
      <c r="V9" s="42" t="s">
        <v>1141</v>
      </c>
      <c r="W9" s="43" t="s">
        <v>158</v>
      </c>
      <c r="X9" s="44">
        <v>0.4622</v>
      </c>
      <c r="Y9" s="39">
        <f t="shared" si="2"/>
        <v>3503.0138</v>
      </c>
      <c r="Z9" s="43"/>
      <c r="AA9" s="41"/>
      <c r="AB9" s="41"/>
      <c r="AC9" s="41"/>
      <c r="AD9" s="41"/>
      <c r="AE9" s="43" t="s">
        <v>152</v>
      </c>
      <c r="AF9" s="43" t="s">
        <v>115</v>
      </c>
      <c r="AG9" s="45">
        <f t="shared" si="1"/>
        <v>7579</v>
      </c>
      <c r="AI9" s="45">
        <f t="shared" si="10"/>
        <v>7579</v>
      </c>
      <c r="AJ9" s="45"/>
      <c r="AK9" s="45">
        <f t="shared" si="4"/>
        <v>7579</v>
      </c>
      <c r="AL9" s="45"/>
      <c r="AM9" s="45"/>
      <c r="AN9" s="45"/>
      <c r="AO9" s="45">
        <f t="shared" si="5"/>
        <v>7579</v>
      </c>
      <c r="AP9" s="45"/>
      <c r="AQ9" s="45"/>
      <c r="AR9" s="45"/>
      <c r="AS9" s="45"/>
      <c r="AT9" s="45"/>
      <c r="AU9" s="45">
        <f t="shared" si="11"/>
        <v>583</v>
      </c>
      <c r="AV9" s="45"/>
      <c r="AW9" s="45"/>
      <c r="AX9" s="45"/>
      <c r="AY9" s="45"/>
      <c r="AZ9" s="45"/>
      <c r="BA9" s="45"/>
      <c r="BB9" s="45"/>
      <c r="BC9" s="45"/>
      <c r="BD9" s="45"/>
      <c r="BE9" s="45"/>
      <c r="BF9" s="45"/>
      <c r="BG9" s="45"/>
      <c r="BH9" s="45"/>
      <c r="BI9" s="46">
        <f>$I9*'77685排期'!BL$2</f>
        <v>927.638020833331</v>
      </c>
      <c r="BJ9" s="46">
        <f>$I9*'77685排期'!BM$2</f>
        <v>927.638020833331</v>
      </c>
      <c r="BK9" s="46">
        <f>$I9*'77685排期'!BN$2</f>
        <v>927.638020833331</v>
      </c>
      <c r="BL9" s="46">
        <f>$I9*'77685排期'!BO$2</f>
        <v>927.638020833331</v>
      </c>
      <c r="BM9" s="46">
        <f>$I9*'77685排期'!BP$2</f>
        <v>927.638020833331</v>
      </c>
      <c r="BN9" s="46">
        <f>$I9*'77685排期'!BQ$2</f>
        <v>927.638020833331</v>
      </c>
      <c r="BO9" s="46">
        <f>$I9*'77685排期'!BR$2</f>
        <v>927.638020833331</v>
      </c>
      <c r="BP9" s="46">
        <f>$I9*'77685排期'!BS$2</f>
        <v>927.638020833331</v>
      </c>
      <c r="BQ9" s="46">
        <f>$I9*'77685排期'!BT$2</f>
        <v>157.895833333333</v>
      </c>
      <c r="BS9" s="46" t="e">
        <f>取消单!BS8-BI9</f>
        <v>#REF!</v>
      </c>
      <c r="BT9" s="46" t="e">
        <f>取消单!BT8-BJ9</f>
        <v>#REF!</v>
      </c>
      <c r="BU9" s="46" t="e">
        <f>取消单!BU8-BK9</f>
        <v>#REF!</v>
      </c>
      <c r="BV9" s="46" t="e">
        <f>取消单!BV8-BL9</f>
        <v>#REF!</v>
      </c>
      <c r="BW9" s="46" t="e">
        <f>取消单!BW8-BM9</f>
        <v>#REF!</v>
      </c>
      <c r="BX9" s="46" t="e">
        <f>取消单!BX8-BN9</f>
        <v>#REF!</v>
      </c>
      <c r="BY9" s="46" t="e">
        <f>取消单!BY8-BO9</f>
        <v>#REF!</v>
      </c>
      <c r="BZ9" s="46" t="e">
        <f>取消单!BZ8-BP9</f>
        <v>#REF!</v>
      </c>
      <c r="CA9" s="46" t="e">
        <f>取消单!CA8-BQ9</f>
        <v>#REF!</v>
      </c>
    </row>
    <row r="10" s="4" customFormat="1" ht="27" customHeight="1" spans="1:83">
      <c r="A10" s="47">
        <v>45848</v>
      </c>
      <c r="B10" s="48" t="s">
        <v>2489</v>
      </c>
      <c r="C10" s="49"/>
      <c r="D10" s="50" t="s">
        <v>2490</v>
      </c>
      <c r="E10" s="49" t="s">
        <v>2491</v>
      </c>
      <c r="F10" s="48"/>
      <c r="G10" s="51" t="s">
        <v>258</v>
      </c>
      <c r="H10" s="48" t="s">
        <v>259</v>
      </c>
      <c r="I10" s="52">
        <v>17856</v>
      </c>
      <c r="J10" s="52">
        <v>0</v>
      </c>
      <c r="K10" s="52">
        <v>1152</v>
      </c>
      <c r="L10" s="52">
        <f t="shared" si="0"/>
        <v>15.5</v>
      </c>
      <c r="M10" s="53">
        <v>45877</v>
      </c>
      <c r="N10" s="43" t="s">
        <v>2492</v>
      </c>
      <c r="O10" s="54"/>
      <c r="P10" s="54"/>
      <c r="Q10" s="54"/>
      <c r="R10" s="54" t="s">
        <v>80</v>
      </c>
      <c r="S10" s="54" t="s">
        <v>80</v>
      </c>
      <c r="T10" s="54" t="s">
        <v>80</v>
      </c>
      <c r="U10" s="54"/>
      <c r="V10" s="55" t="s">
        <v>2493</v>
      </c>
      <c r="W10" s="53" t="s">
        <v>2491</v>
      </c>
      <c r="X10" s="56"/>
      <c r="Y10" s="52"/>
      <c r="Z10" s="53"/>
      <c r="AA10" s="54"/>
      <c r="AB10" s="54"/>
      <c r="AC10" s="54"/>
      <c r="AD10" s="54"/>
      <c r="AE10" s="53"/>
      <c r="AF10" s="53"/>
      <c r="AG10" s="57">
        <f t="shared" si="1"/>
        <v>17856</v>
      </c>
      <c r="AH10" s="57"/>
      <c r="AI10" s="57">
        <f t="shared" si="10"/>
        <v>17856</v>
      </c>
      <c r="AJ10" s="57"/>
      <c r="AK10" s="57">
        <f t="shared" si="4"/>
        <v>17856</v>
      </c>
      <c r="AL10" s="57"/>
      <c r="AM10" s="57"/>
      <c r="AN10" s="57"/>
      <c r="AO10" s="57">
        <f t="shared" si="5"/>
        <v>17856</v>
      </c>
      <c r="AP10" s="57"/>
      <c r="AR10" s="57"/>
      <c r="AS10" s="57"/>
      <c r="AT10" s="57"/>
      <c r="AU10" s="57"/>
      <c r="AV10" s="57"/>
      <c r="AW10" s="57">
        <f>I10/12</f>
        <v>1488</v>
      </c>
      <c r="AX10" s="57"/>
      <c r="AY10" s="57"/>
      <c r="AZ10" s="57"/>
      <c r="BA10" s="57"/>
      <c r="BB10" s="57"/>
      <c r="BC10" s="57"/>
      <c r="BD10" s="57"/>
      <c r="BE10" s="57"/>
      <c r="BF10" s="57"/>
      <c r="BG10" s="57"/>
      <c r="BH10" s="57"/>
      <c r="BI10" s="58">
        <f>$I10*'77685排期'!BL$2</f>
        <v>2185.49999999999</v>
      </c>
      <c r="BJ10" s="58">
        <f>$I10*'77685排期'!BM$2</f>
        <v>2185.49999999999</v>
      </c>
      <c r="BK10" s="58">
        <f>$I10*'77685排期'!BN$2</f>
        <v>2185.49999999999</v>
      </c>
      <c r="BL10" s="58">
        <f>$I10*'77685排期'!BO$2</f>
        <v>2185.49999999999</v>
      </c>
      <c r="BM10" s="58">
        <f>$I10*'77685排期'!BP$2</f>
        <v>2185.49999999999</v>
      </c>
      <c r="BN10" s="58">
        <f>$I10*'77685排期'!BQ$2</f>
        <v>2185.49999999999</v>
      </c>
      <c r="BO10" s="58">
        <f>$I10*'77685排期'!BR$2</f>
        <v>2185.49999999999</v>
      </c>
      <c r="BP10" s="58">
        <f>$I10*'77685排期'!BS$2</f>
        <v>2185.49999999999</v>
      </c>
      <c r="BQ10" s="58">
        <f>$I10*'77685排期'!BT$2</f>
        <v>371.999999999999</v>
      </c>
      <c r="BS10" s="59" t="e">
        <f>'77685排期'!#REF!-BI10</f>
        <v>#REF!</v>
      </c>
      <c r="BT10" s="59" t="e">
        <f>'77685排期'!#REF!-BJ10</f>
        <v>#REF!</v>
      </c>
      <c r="BU10" s="59" t="e">
        <f>'77685排期'!#REF!-BK10</f>
        <v>#REF!</v>
      </c>
      <c r="BV10" s="59" t="e">
        <f>'77685排期'!#REF!-BL10</f>
        <v>#REF!</v>
      </c>
      <c r="BW10" s="59" t="e">
        <f>'77685排期'!#REF!-BM10</f>
        <v>#REF!</v>
      </c>
      <c r="BX10" s="59" t="e">
        <f>'77685排期'!#REF!-BN10</f>
        <v>#REF!</v>
      </c>
      <c r="BY10" s="59" t="e">
        <f>'77685排期'!#REF!-BO10</f>
        <v>#REF!</v>
      </c>
      <c r="BZ10" s="59" t="e">
        <f>'77685排期'!#REF!-BP10</f>
        <v>#REF!</v>
      </c>
      <c r="CA10" s="59" t="e">
        <f>'77685排期'!#REF!-BQ10</f>
        <v>#REF!</v>
      </c>
    </row>
    <row r="11" s="3" customFormat="1" ht="27" customHeight="1" spans="1:83">
      <c r="A11" s="34">
        <v>45929</v>
      </c>
      <c r="B11" s="37" t="s">
        <v>729</v>
      </c>
      <c r="C11" s="35" t="s">
        <v>117</v>
      </c>
      <c r="D11" s="36">
        <v>4500180967</v>
      </c>
      <c r="E11" s="35" t="s">
        <v>2494</v>
      </c>
      <c r="F11" s="37" t="s">
        <v>2495</v>
      </c>
      <c r="G11" s="38" t="s">
        <v>152</v>
      </c>
      <c r="H11" s="37" t="s">
        <v>153</v>
      </c>
      <c r="I11" s="39">
        <v>13377</v>
      </c>
      <c r="J11" s="39">
        <v>0</v>
      </c>
      <c r="K11" s="39">
        <v>13</v>
      </c>
      <c r="L11" s="39">
        <f t="shared" si="0"/>
        <v>1029</v>
      </c>
      <c r="M11" s="43">
        <v>45973</v>
      </c>
      <c r="N11" s="43" t="s">
        <v>2496</v>
      </c>
      <c r="O11" s="41"/>
      <c r="P11" s="41"/>
      <c r="Q11" s="41"/>
      <c r="R11" s="60">
        <v>45941</v>
      </c>
      <c r="S11" s="41" t="s">
        <v>80</v>
      </c>
      <c r="T11" s="41" t="s">
        <v>80</v>
      </c>
      <c r="U11" s="41"/>
      <c r="V11" s="42" t="s">
        <v>2497</v>
      </c>
      <c r="W11" s="43" t="s">
        <v>735</v>
      </c>
      <c r="X11" s="44">
        <v>0.4694</v>
      </c>
      <c r="Y11" s="39">
        <f>X11*I11</f>
        <v>6279.1638</v>
      </c>
      <c r="Z11" s="43"/>
      <c r="AA11" s="41"/>
      <c r="AB11" s="41"/>
      <c r="AC11" s="41"/>
      <c r="AD11" s="41" t="s">
        <v>114</v>
      </c>
      <c r="AE11" s="38" t="s">
        <v>152</v>
      </c>
      <c r="AF11" s="43" t="s">
        <v>115</v>
      </c>
      <c r="AG11" s="45">
        <f t="shared" si="1"/>
        <v>13377</v>
      </c>
      <c r="AH11" s="45"/>
      <c r="AI11" s="45">
        <f t="shared" si="10"/>
        <v>13377</v>
      </c>
      <c r="AJ11" s="45"/>
      <c r="AK11" s="45">
        <f t="shared" si="4"/>
        <v>13377</v>
      </c>
      <c r="AL11" s="45"/>
      <c r="AM11" s="45"/>
      <c r="AN11" s="45"/>
      <c r="AO11" s="45">
        <f t="shared" si="5"/>
        <v>13377</v>
      </c>
      <c r="AP11" s="45"/>
      <c r="AQ11" s="45"/>
      <c r="AR11" s="45"/>
      <c r="AS11" s="45"/>
      <c r="AT11" s="45"/>
      <c r="AU11" s="45">
        <f t="shared" si="11"/>
        <v>1029</v>
      </c>
      <c r="AV11" s="45"/>
      <c r="AW11" s="45"/>
      <c r="AX11" s="45"/>
      <c r="AY11" s="45"/>
      <c r="AZ11" s="45"/>
      <c r="BA11" s="45"/>
      <c r="BB11" s="45"/>
      <c r="BC11" s="45"/>
      <c r="BD11" s="45"/>
      <c r="BE11" s="45"/>
      <c r="BF11" s="45"/>
      <c r="BG11" s="45"/>
      <c r="BH11" s="45"/>
      <c r="BI11" s="46">
        <f>$I11*'77685排期'!BL$2</f>
        <v>1637.2890625</v>
      </c>
      <c r="BJ11" s="46">
        <f>$I11*'77685排期'!BM$2</f>
        <v>1637.2890625</v>
      </c>
      <c r="BK11" s="46">
        <f>$I11*'77685排期'!BN$2</f>
        <v>1637.2890625</v>
      </c>
      <c r="BL11" s="46">
        <f>$I11*'77685排期'!BO$2</f>
        <v>1637.2890625</v>
      </c>
      <c r="BM11" s="46">
        <f>$I11*'77685排期'!BP$2</f>
        <v>1637.2890625</v>
      </c>
      <c r="BN11" s="46">
        <f>$I11*'77685排期'!BQ$2</f>
        <v>1637.2890625</v>
      </c>
      <c r="BO11" s="46">
        <f>$I11*'77685排期'!BR$2</f>
        <v>1637.2890625</v>
      </c>
      <c r="BP11" s="46">
        <f>$I11*'77685排期'!BS$2</f>
        <v>1637.2890625</v>
      </c>
      <c r="BQ11" s="46">
        <f>$I11*'77685排期'!BT$2</f>
        <v>278.6875</v>
      </c>
      <c r="BS11" s="46" t="e">
        <f>'77685排期'!#REF!-BI11</f>
        <v>#REF!</v>
      </c>
      <c r="BT11" s="46" t="e">
        <f>'77685排期'!#REF!-BJ11</f>
        <v>#REF!</v>
      </c>
      <c r="BU11" s="46" t="e">
        <f>'77685排期'!#REF!-BK11</f>
        <v>#REF!</v>
      </c>
      <c r="BV11" s="46" t="e">
        <f>'77685排期'!#REF!-BL11</f>
        <v>#REF!</v>
      </c>
      <c r="BW11" s="46" t="e">
        <f>'77685排期'!#REF!-BM11</f>
        <v>#REF!</v>
      </c>
      <c r="BX11" s="46" t="e">
        <f>'77685排期'!#REF!-BN11</f>
        <v>#REF!</v>
      </c>
      <c r="BY11" s="46" t="e">
        <f>'77685排期'!#REF!-BO11</f>
        <v>#REF!</v>
      </c>
      <c r="BZ11" s="46" t="e">
        <f>'77685排期'!#REF!-BP11</f>
        <v>#REF!</v>
      </c>
      <c r="CA11" s="46" t="e">
        <f>'77685排期'!#REF!-BQ11</f>
        <v>#REF!</v>
      </c>
    </row>
    <row r="12" s="3" customFormat="1" ht="27" customHeight="1" spans="1:83">
      <c r="A12" s="34">
        <v>45916</v>
      </c>
      <c r="B12" s="37" t="s">
        <v>582</v>
      </c>
      <c r="C12" s="35"/>
      <c r="D12" s="36" t="s">
        <v>2498</v>
      </c>
      <c r="E12" s="35" t="s">
        <v>2499</v>
      </c>
      <c r="F12" s="37"/>
      <c r="G12" s="38" t="s">
        <v>152</v>
      </c>
      <c r="H12" s="37" t="s">
        <v>153</v>
      </c>
      <c r="I12" s="39">
        <v>0</v>
      </c>
      <c r="J12" s="39">
        <v>0</v>
      </c>
      <c r="K12" s="39">
        <v>13</v>
      </c>
      <c r="L12" s="39">
        <f t="shared" si="0"/>
        <v>0</v>
      </c>
      <c r="M12" s="43">
        <v>45957</v>
      </c>
      <c r="N12" s="40">
        <v>45999</v>
      </c>
      <c r="O12" s="41" t="s">
        <v>2500</v>
      </c>
      <c r="P12" s="41"/>
      <c r="Q12" s="41"/>
      <c r="R12" s="60" t="s">
        <v>1990</v>
      </c>
      <c r="S12" s="41" t="s">
        <v>80</v>
      </c>
      <c r="T12" s="41" t="s">
        <v>80</v>
      </c>
      <c r="U12" s="41"/>
      <c r="V12" s="42" t="s">
        <v>2501</v>
      </c>
      <c r="W12" s="43" t="s">
        <v>587</v>
      </c>
      <c r="X12" s="44"/>
      <c r="Y12" s="39"/>
      <c r="Z12" s="43"/>
      <c r="AA12" s="41"/>
      <c r="AB12" s="41"/>
      <c r="AC12" s="41" t="s">
        <v>80</v>
      </c>
      <c r="AD12" s="41" t="s">
        <v>114</v>
      </c>
      <c r="AE12" s="43" t="s">
        <v>152</v>
      </c>
      <c r="AF12" s="43" t="s">
        <v>115</v>
      </c>
      <c r="AG12" s="45">
        <f t="shared" si="1"/>
        <v>0</v>
      </c>
      <c r="AH12" s="45"/>
      <c r="AI12" s="45">
        <f t="shared" si="10"/>
        <v>0</v>
      </c>
      <c r="AJ12" s="45"/>
      <c r="AK12" s="45">
        <f t="shared" si="4"/>
        <v>0</v>
      </c>
      <c r="AL12" s="45"/>
      <c r="AM12" s="45"/>
      <c r="AN12" s="45"/>
      <c r="AO12" s="45">
        <f t="shared" si="5"/>
        <v>0</v>
      </c>
      <c r="AP12" s="45"/>
      <c r="AQ12" s="45"/>
      <c r="AR12" s="45"/>
      <c r="AS12" s="45"/>
      <c r="AT12" s="45"/>
      <c r="AU12" s="45">
        <f t="shared" si="11"/>
        <v>0</v>
      </c>
      <c r="AV12" s="45"/>
      <c r="AW12" s="45"/>
      <c r="AX12" s="45"/>
      <c r="AY12" s="45"/>
      <c r="AZ12" s="45"/>
      <c r="BA12" s="45"/>
      <c r="BB12" s="45"/>
      <c r="BC12" s="45"/>
      <c r="BD12" s="45"/>
      <c r="BE12" s="45"/>
      <c r="BF12" s="45"/>
      <c r="BG12" s="45"/>
      <c r="BH12" s="45"/>
      <c r="BI12" s="45"/>
      <c r="BJ12" s="46">
        <f>$I12*'77685排期'!BL$2</f>
        <v>0</v>
      </c>
      <c r="BK12" s="46">
        <f>$I12*'77685排期'!BM$2</f>
        <v>0</v>
      </c>
      <c r="BL12" s="46">
        <f>$I12*'77685排期'!BN$2</f>
        <v>0</v>
      </c>
      <c r="BM12" s="46">
        <f>$I12*'77685排期'!BO$2</f>
        <v>0</v>
      </c>
      <c r="BN12" s="46">
        <f>$I12*'77685排期'!BP$2</f>
        <v>0</v>
      </c>
      <c r="BO12" s="46">
        <f>$I12*'77685排期'!BQ$2</f>
        <v>0</v>
      </c>
      <c r="BP12" s="46">
        <f>$I12*'77685排期'!BR$2</f>
        <v>0</v>
      </c>
      <c r="BQ12" s="46">
        <f>$I12*'77685排期'!BS$2</f>
        <v>0</v>
      </c>
      <c r="BR12" s="46">
        <f>$I12*'77685排期'!BT$2</f>
        <v>0</v>
      </c>
      <c r="BT12" s="46" t="e">
        <f>'77685排期'!#REF!-BJ12</f>
        <v>#REF!</v>
      </c>
      <c r="BU12" s="46" t="e">
        <f>'77685排期'!#REF!-BK12</f>
        <v>#REF!</v>
      </c>
      <c r="BV12" s="46" t="e">
        <f>'77685排期'!#REF!-BL12</f>
        <v>#REF!</v>
      </c>
      <c r="BW12" s="46" t="e">
        <f>'77685排期'!#REF!-BM12</f>
        <v>#REF!</v>
      </c>
      <c r="BX12" s="46" t="e">
        <f>'77685排期'!#REF!-BN12</f>
        <v>#REF!</v>
      </c>
      <c r="BY12" s="46" t="e">
        <f>'77685排期'!#REF!-BO12</f>
        <v>#REF!</v>
      </c>
      <c r="BZ12" s="46" t="e">
        <f>'77685排期'!#REF!-BP12</f>
        <v>#REF!</v>
      </c>
      <c r="CA12" s="46" t="e">
        <f>'77685排期'!#REF!-BQ12</f>
        <v>#REF!</v>
      </c>
      <c r="CB12" s="46" t="e">
        <f>'77685排期'!#REF!-BR12</f>
        <v>#REF!</v>
      </c>
    </row>
    <row r="14" s="4" customFormat="1" ht="27" customHeight="1" spans="1:83">
      <c r="A14" s="61">
        <v>46177</v>
      </c>
      <c r="B14" s="62"/>
      <c r="C14" s="63" t="s">
        <v>77</v>
      </c>
      <c r="D14" s="64" t="s">
        <v>2502</v>
      </c>
      <c r="E14" s="65"/>
      <c r="F14" s="62" t="s">
        <v>2503</v>
      </c>
      <c r="G14" s="66" t="s">
        <v>2031</v>
      </c>
      <c r="H14" s="67" t="s">
        <v>2032</v>
      </c>
      <c r="I14" s="68">
        <v>384</v>
      </c>
      <c r="J14" s="68">
        <v>0</v>
      </c>
      <c r="K14" s="68">
        <v>48</v>
      </c>
      <c r="L14" s="68">
        <f>I14/K14</f>
        <v>8</v>
      </c>
      <c r="M14" s="69">
        <v>46183</v>
      </c>
      <c r="N14" s="69">
        <v>46179</v>
      </c>
      <c r="O14" s="70" t="s">
        <v>2504</v>
      </c>
      <c r="P14" s="71"/>
      <c r="Q14" s="72"/>
      <c r="R14" s="73" t="s">
        <v>2027</v>
      </c>
      <c r="S14" s="74" t="s">
        <v>80</v>
      </c>
      <c r="T14" s="72" t="s">
        <v>80</v>
      </c>
      <c r="U14" s="72"/>
      <c r="V14" s="72"/>
      <c r="W14" s="72"/>
      <c r="X14" s="75" t="s">
        <v>2028</v>
      </c>
      <c r="Y14" s="69" t="s">
        <v>2029</v>
      </c>
      <c r="Z14" s="76"/>
      <c r="AA14" s="68"/>
      <c r="AB14" s="69"/>
      <c r="AC14" s="77"/>
      <c r="AD14" s="78"/>
      <c r="AE14" s="72"/>
      <c r="AF14" s="79"/>
      <c r="AG14" s="66"/>
      <c r="AH14" s="69"/>
      <c r="AI14" s="71">
        <f>I14</f>
        <v>384</v>
      </c>
      <c r="AJ14" s="71">
        <f>I14</f>
        <v>384</v>
      </c>
      <c r="AK14" s="71"/>
      <c r="AL14" s="71"/>
      <c r="AM14" s="71">
        <f>I14</f>
        <v>384</v>
      </c>
      <c r="AN14" s="71">
        <f>I14/24</f>
        <v>16</v>
      </c>
      <c r="AO14" s="71"/>
      <c r="AP14" s="71"/>
      <c r="AQ14" s="71"/>
      <c r="AR14" s="71"/>
      <c r="AS14" s="71"/>
      <c r="AT14" s="71"/>
      <c r="AU14" s="71"/>
      <c r="AV14" s="71"/>
      <c r="AW14" s="71"/>
      <c r="AX14" s="71"/>
      <c r="AY14" s="71"/>
      <c r="AZ14" s="71"/>
      <c r="BA14" s="71"/>
      <c r="BB14" s="71"/>
      <c r="BC14" s="71"/>
      <c r="BD14" s="71"/>
      <c r="BE14" s="71"/>
      <c r="BF14" s="71"/>
      <c r="BG14" s="71"/>
      <c r="BH14" s="71"/>
      <c r="BI14" s="71"/>
      <c r="BJ14" s="71"/>
      <c r="BK14" s="71"/>
      <c r="BL14" s="71"/>
      <c r="BM14" s="80"/>
      <c r="BN14" s="80"/>
      <c r="BO14" s="80"/>
      <c r="BP14" s="81"/>
      <c r="BQ14" s="58"/>
      <c r="BR14" s="58"/>
      <c r="BS14" s="58"/>
      <c r="BT14" s="58"/>
      <c r="BU14" s="58"/>
      <c r="BW14" s="82"/>
      <c r="BX14" s="82"/>
      <c r="BY14" s="82"/>
      <c r="BZ14" s="82"/>
      <c r="CA14" s="82"/>
      <c r="CB14" s="82"/>
      <c r="CC14" s="82"/>
      <c r="CD14" s="82"/>
      <c r="CE14" s="82"/>
    </row>
  </sheetData>
  <sheetProtection formatCells="0" formatColumns="0" formatRows="0" insertRows="0" insertColumns="0" insertHyperlinks="0" deleteColumns="0" deleteRows="0" sort="0" autoFilter="0" pivotTables="0"/>
  <autoFilter xmlns:etc="http://www.wps.cn/officeDocument/2017/etCustomData" ref="A1:CA12" etc:filterBottomFollowUsedRange="0">
    <extLst/>
  </autoFilter>
  <conditionalFormatting sqref="R1:T1">
    <cfRule type="cellIs" dxfId="0" priority="51" operator="equal">
      <formula>"欠"</formula>
    </cfRule>
  </conditionalFormatting>
  <conditionalFormatting sqref="R2:T2">
    <cfRule type="containsText" dxfId="0" priority="52" operator="between" text="欠">
      <formula>NOT(ISERROR(SEARCH("欠",R2)))</formula>
    </cfRule>
  </conditionalFormatting>
  <conditionalFormatting sqref="S2">
    <cfRule type="cellIs" dxfId="0" priority="54" operator="equal">
      <formula>"欠"</formula>
    </cfRule>
  </conditionalFormatting>
  <conditionalFormatting sqref="S3">
    <cfRule type="cellIs" dxfId="0" priority="50" operator="equal">
      <formula>"欠"</formula>
    </cfRule>
    <cfRule type="containsText" dxfId="0" priority="49" operator="between" text="欠">
      <formula>NOT(ISERROR(SEARCH("欠",S3)))</formula>
    </cfRule>
  </conditionalFormatting>
  <conditionalFormatting sqref="R8">
    <cfRule type="cellIs" dxfId="0" priority="37" operator="equal">
      <formula>"欠"</formula>
    </cfRule>
    <cfRule type="containsText" dxfId="0" priority="36" operator="between" text="欠">
      <formula>NOT(ISERROR(SEARCH("欠",R8)))</formula>
    </cfRule>
  </conditionalFormatting>
  <conditionalFormatting sqref="S8">
    <cfRule type="cellIs" dxfId="0" priority="33" operator="equal">
      <formula>"欠"</formula>
    </cfRule>
    <cfRule type="containsText" dxfId="0" priority="32" operator="between" text="欠">
      <formula>NOT(ISERROR(SEARCH("欠",S8)))</formula>
    </cfRule>
  </conditionalFormatting>
  <conditionalFormatting sqref="T8">
    <cfRule type="cellIs" dxfId="0" priority="31" operator="equal">
      <formula>"欠"</formula>
    </cfRule>
    <cfRule type="containsText" dxfId="0" priority="30" operator="between" text="欠">
      <formula>NOT(ISERROR(SEARCH("欠",T8)))</formula>
    </cfRule>
  </conditionalFormatting>
  <conditionalFormatting sqref="U8">
    <cfRule type="cellIs" dxfId="0" priority="35" operator="equal">
      <formula>"欠"</formula>
    </cfRule>
    <cfRule type="containsText" dxfId="0" priority="34" operator="between" text="欠">
      <formula>NOT(ISERROR(SEARCH("欠",U8)))</formula>
    </cfRule>
  </conditionalFormatting>
  <conditionalFormatting sqref="R9">
    <cfRule type="cellIs" dxfId="0" priority="29" operator="equal">
      <formula>"欠"</formula>
    </cfRule>
    <cfRule type="containsText" dxfId="0" priority="28" operator="between" text="欠">
      <formula>NOT(ISERROR(SEARCH("欠",R9)))</formula>
    </cfRule>
  </conditionalFormatting>
  <conditionalFormatting sqref="S9">
    <cfRule type="cellIs" dxfId="0" priority="25" operator="equal">
      <formula>"欠"</formula>
    </cfRule>
    <cfRule type="containsText" dxfId="0" priority="24" operator="between" text="欠">
      <formula>NOT(ISERROR(SEARCH("欠",S9)))</formula>
    </cfRule>
  </conditionalFormatting>
  <conditionalFormatting sqref="T9">
    <cfRule type="cellIs" dxfId="0" priority="23" operator="equal">
      <formula>"欠"</formula>
    </cfRule>
    <cfRule type="containsText" dxfId="0" priority="22" operator="between" text="欠">
      <formula>NOT(ISERROR(SEARCH("欠",T9)))</formula>
    </cfRule>
  </conditionalFormatting>
  <conditionalFormatting sqref="U9">
    <cfRule type="cellIs" dxfId="0" priority="27" operator="equal">
      <formula>"欠"</formula>
    </cfRule>
    <cfRule type="containsText" dxfId="0" priority="26" operator="between" text="欠">
      <formula>NOT(ISERROR(SEARCH("欠",U9)))</formula>
    </cfRule>
  </conditionalFormatting>
  <conditionalFormatting sqref="R10:T10">
    <cfRule type="cellIs" dxfId="0" priority="19" operator="equal">
      <formula>"欠"</formula>
    </cfRule>
    <cfRule type="containsText" dxfId="0" priority="18" operator="between" text="欠">
      <formula>NOT(ISERROR(SEARCH("欠",R10)))</formula>
    </cfRule>
  </conditionalFormatting>
  <conditionalFormatting sqref="U10">
    <cfRule type="cellIs" dxfId="0" priority="21" operator="equal">
      <formula>"欠"</formula>
    </cfRule>
    <cfRule type="containsText" dxfId="0" priority="20" operator="between" text="欠">
      <formula>NOT(ISERROR(SEARCH("欠",U10)))</formula>
    </cfRule>
  </conditionalFormatting>
  <conditionalFormatting sqref="R11">
    <cfRule type="cellIs" dxfId="0" priority="15" operator="equal">
      <formula>"欠"</formula>
    </cfRule>
  </conditionalFormatting>
  <conditionalFormatting sqref="S11">
    <cfRule type="cellIs" dxfId="0" priority="17" operator="equal">
      <formula>"欠"</formula>
    </cfRule>
    <cfRule type="containsText" dxfId="0" priority="16" operator="between" text="欠">
      <formula>NOT(ISERROR(SEARCH("欠",S11)))</formula>
    </cfRule>
  </conditionalFormatting>
  <conditionalFormatting sqref="T11">
    <cfRule type="cellIs" dxfId="0" priority="14" operator="equal">
      <formula>"欠"</formula>
    </cfRule>
    <cfRule type="containsText" dxfId="0" priority="13" operator="between" text="欠">
      <formula>NOT(ISERROR(SEARCH("欠",T11)))</formula>
    </cfRule>
  </conditionalFormatting>
  <conditionalFormatting sqref="R12">
    <cfRule type="cellIs" dxfId="0" priority="10" operator="equal">
      <formula>"欠"</formula>
    </cfRule>
  </conditionalFormatting>
  <conditionalFormatting sqref="S12">
    <cfRule type="cellIs" dxfId="0" priority="12" operator="equal">
      <formula>"欠"</formula>
    </cfRule>
    <cfRule type="containsText" dxfId="0" priority="11" operator="between" text="欠">
      <formula>NOT(ISERROR(SEARCH("欠",S12)))</formula>
    </cfRule>
  </conditionalFormatting>
  <conditionalFormatting sqref="T12">
    <cfRule type="cellIs" dxfId="0" priority="9" operator="equal">
      <formula>"欠"</formula>
    </cfRule>
    <cfRule type="containsText" dxfId="0" priority="8" operator="between" text="欠">
      <formula>NOT(ISERROR(SEARCH("欠",T12)))</formula>
    </cfRule>
  </conditionalFormatting>
  <conditionalFormatting sqref="R14">
    <cfRule type="cellIs" dxfId="0" priority="3" operator="equal">
      <formula>"欠"</formula>
    </cfRule>
    <cfRule type="containsText" dxfId="0" priority="2" operator="between" text="欠">
      <formula>NOT(ISERROR(SEARCH("欠",R14)))</formula>
    </cfRule>
  </conditionalFormatting>
  <conditionalFormatting sqref="R14:W14">
    <cfRule type="containsText" dxfId="2" priority="1" operator="between" text="欠">
      <formula>NOT(ISERROR(SEARCH("欠",R14)))</formula>
    </cfRule>
  </conditionalFormatting>
  <conditionalFormatting sqref="S14">
    <cfRule type="containsText" dxfId="0" priority="7" operator="between" text="欠">
      <formula>NOT(ISERROR(SEARCH("欠",S14)))</formula>
    </cfRule>
    <cfRule type="cellIs" dxfId="0" priority="6" operator="equal">
      <formula>"欠"</formula>
    </cfRule>
  </conditionalFormatting>
  <conditionalFormatting sqref="T14">
    <cfRule type="cellIs" dxfId="0" priority="5" operator="equal">
      <formula>"欠"</formula>
    </cfRule>
    <cfRule type="containsText" dxfId="0" priority="4" operator="between" text="欠">
      <formula>NOT(ISERROR(SEARCH("欠",T14)))</formula>
    </cfRule>
  </conditionalFormatting>
  <conditionalFormatting sqref="R4:R7">
    <cfRule type="cellIs" dxfId="0" priority="40" operator="equal">
      <formula>"欠"</formula>
    </cfRule>
    <cfRule type="containsText" dxfId="0" priority="39" operator="between" text="欠">
      <formula>NOT(ISERROR(SEARCH("欠",R4)))</formula>
    </cfRule>
  </conditionalFormatting>
  <conditionalFormatting sqref="S4:S7">
    <cfRule type="cellIs" dxfId="0" priority="46" operator="equal">
      <formula>"欠"</formula>
    </cfRule>
    <cfRule type="containsText" dxfId="0" priority="45" operator="between" text="欠">
      <formula>NOT(ISERROR(SEARCH("欠",S4)))</formula>
    </cfRule>
  </conditionalFormatting>
  <conditionalFormatting sqref="T4:T7">
    <cfRule type="cellIs" dxfId="0" priority="44" operator="equal">
      <formula>"欠"</formula>
    </cfRule>
    <cfRule type="containsText" dxfId="0" priority="43" operator="between" text="欠">
      <formula>NOT(ISERROR(SEARCH("欠",T4)))</formula>
    </cfRule>
  </conditionalFormatting>
  <conditionalFormatting sqref="U4:U7">
    <cfRule type="cellIs" dxfId="0" priority="42" operator="equal">
      <formula>"欠"</formula>
    </cfRule>
    <cfRule type="containsText" dxfId="0" priority="41" operator="between" text="欠">
      <formula>NOT(ISERROR(SEARCH("欠",U4)))</formula>
    </cfRule>
  </conditionalFormatting>
  <conditionalFormatting sqref="R2 T2">
    <cfRule type="cellIs" dxfId="0" priority="53" operator="equal">
      <formula>"欠"</formula>
    </cfRule>
  </conditionalFormatting>
  <conditionalFormatting sqref="R3 T3">
    <cfRule type="cellIs" dxfId="0" priority="48" operator="equal">
      <formula>"欠"</formula>
    </cfRule>
    <cfRule type="containsText" dxfId="0" priority="47" operator="between" text="欠">
      <formula>NOT(ISERROR(SEARCH("欠",R3)))</formula>
    </cfRule>
  </conditionalFormatting>
  <dataValidations count="1">
    <dataValidation type="list" allowBlank="1" showInputMessage="1" showErrorMessage="1" sqref="S14">
      <formula1>"有,无"</formula1>
    </dataValidation>
  </dataValidations>
  <pageMargins left="0.75" right="0.75" top="1" bottom="1" header="0.5" footer="0.5"/>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5" master="" otherUserPermission="visible"/>
  <rangeList sheetStid="1" master="" otherUserPermission="edit">
    <arrUserId title="Range1" rangeCreator="" othersAccessPermission="edit">
      <userID accessPermission="edit">1475153551</userID>
      <userID accessPermission="edit">1715258932</userID>
      <userID accessPermission="edit">1851561945</userID>
      <userID accessPermission="edit">1850010794</userID>
    </arrUserId>
    <arrUserId title="Range2" rangeCreator="" othersAccessPermission="visible">
      <userID accessPermission="edit">1475153551</userID>
      <userID accessPermission="edit">1474709007</userID>
      <userID accessPermission="edit">1765212680</userID>
      <userID accessPermission="edit">1474966847</userID>
    </arrUserId>
  </rangeList>
  <rangeList sheetStid="6" master="" otherUserPermission="edit">
    <arrUserId title="Range1" rangeCreator="" othersAccessPermission="edit">
      <userID accessPermission="edit">1475153551</userID>
      <userID accessPermission="edit">1715258932</userID>
      <userID accessPermission="edit">1850010794</userID>
      <userID accessPermission="edit">1851561945</userID>
    </arrUserId>
    <arrUserId title="Range2" rangeCreator="" othersAccessPermission="visible">
      <userID accessPermission="edit">1475153551</userID>
      <userID accessPermission="edit">1474709007</userID>
      <userID accessPermission="edit">1765212680</userID>
      <userID accessPermission="edit">1474966847</userID>
      <userID accessPermission="edit">1853477080</userID>
    </arrUserId>
  </rangeList>
  <rangeList sheetStid="2" master="" otherUserPermission="visible"/>
  <rangeList sheetStid="3" master="" otherUserPermission="visible"/>
  <rangeList sheetStid="4" master="" otherUserPermission="visible"/>
</allowEditUser>
</file>

<file path=customXml/item2.xml><?xml version="1.0" encoding="utf-8"?>
<comments xmlns="https://web.wps.cn/et/2018/main" xmlns:s="http://schemas.openxmlformats.org/spreadsheetml/2006/main" xmlns:r="http://schemas.openxmlformats.org/officeDocument/2006/relationships">
  <commentList sheetStid="5">
    <commentChains s:ref="AA8" rgbClr="FF0000">
      <unresolved>
        <commentChain chainId="ac0aad7d9a7419630655a75fdf43babd167316ae">
          <item id="6024a72a4a96ba5375258e357bf93c931467bb0d" isNormal="1">
            <s:text>
              <s:r>
                <s:t xml:space="preserve">Administrator:
4/25 收到40pcs-PDQ  A栋楼
</s:t>
              </s:r>
            </s:text>
          </item>
        </commentChain>
      </unresolved>
      <resolved/>
    </commentChains>
    <commentChains s:ref="AA9" rgbClr="FF0000">
      <unresolved>
        <commentChain chainId="a92facd4db933e6eca8f2be1b54939abf4fb14b8">
          <item id="26217681fa97a90741dfa44c136631380994af5e" isNormal="1">
            <s:text>
              <s:r>
                <s:t xml:space="preserve">Administrator:
4/25 收到40pcs-PDQ  A栋楼
</s:t>
              </s:r>
            </s:text>
          </item>
        </commentChain>
      </unresolved>
      <resolved/>
    </commentChains>
    <commentChains s:ref="AA10" rgbClr="FF0000">
      <unresolved>
        <commentChain chainId="6f7a04ff4d622d371dcee3a676035fd6fc59b6ea">
          <item id="5cbffe6d4a69a6d479eec0fd07f7baa180610315" isNormal="1">
            <s:text>
              <s:r>
                <s:t xml:space="preserve">Administrator:
0000159 3/5 3101pcs  莫海军B栋4楼A6区
0000142 3/8 75pcs    车间拉走</s:t>
              </s:r>
            </s:text>
          </item>
        </commentChain>
      </unresolved>
      <resolved/>
    </commentChains>
    <commentChains s:ref="AC10" rgbClr="FF0000">
      <unresolved>
        <commentChain chainId="b694e8aee2e20070aacedb1a9b57abd1a3e3eec9">
          <item id="7a005dda7f7e761e9d239057ee7acf5cfad15ea2" isNormal="1">
            <s:text>
              <s:r>
                <s:t xml:space="preserve">Administrator:
2/27 上客人通用进口商贴纸 3618pcs</s:t>
              </s:r>
            </s:text>
          </item>
        </commentChain>
      </unresolved>
      <resolved/>
    </commentChains>
    <commentChains s:ref="AA11" rgbClr="FF0000">
      <unresolved>
        <commentChain chainId="b3f8a4986cae6c97b56eaad74d9a8dd617b44a37">
          <item id="e7034176a260c32cb124ac06b8c88ba768370de8" isNormal="1">
            <s:text>
              <s:r>
                <s:t xml:space="preserve">Administrator:
0000899 3/25 492pcs 华兴三B14</s:t>
              </s:r>
            </s:text>
          </item>
        </commentChain>
      </unresolved>
      <resolved/>
    </commentChains>
    <commentChains s:ref="AC11" rgbClr="FF0000">
      <unresolved>
        <commentChain chainId="8bcfffa3a4665243a13cfa08bf2b9581c21e8a3b">
          <item id="e0c9a3956c05d4b970e834ad65e590442eba038f" isNormal="1">
            <s:text>
              <s:r>
                <s:t xml:space="preserve">Administrator:
2/27 上空白贴纸 984pcs</s:t>
              </s:r>
            </s:text>
          </item>
        </commentChain>
      </unresolved>
      <resolved/>
    </commentChains>
    <commentChains s:ref="AA12" rgbClr="FF0000">
      <unresolved>
        <commentChain chainId="6c296e4debed8c7dd1b99325563beb5fba290f11">
          <item id="932e7ca4a69d1dbdfd959fd5c1799c802b0b3b10" isNormal="1">
            <s:text>
              <s:r>
                <s:t xml:space="preserve">Administrator:
0000899 3/25 10017pcs 华兴三B16</s:t>
              </s:r>
            </s:text>
          </item>
        </commentChain>
      </unresolved>
      <resolved/>
    </commentChains>
    <commentChains s:ref="AA13" rgbClr="FF0000">
      <unresolved>
        <commentChain chainId="21a6773d7dc6626af356d97e2f324c0d856f8a08">
          <item id="a9515bd6211822ffe4df363d233c7284135612fe" isNormal="1">
            <s:text>
              <s:r>
                <s:t xml:space="preserve">Administrator:
0000903 3/24 7452pcs  华兴三B12
0000899 3/25 594pcs  已走货</s:t>
              </s:r>
            </s:text>
          </item>
        </commentChain>
      </unresolved>
      <resolved/>
    </commentChains>
    <commentChains s:ref="AA14" rgbClr="FF0000">
      <unresolved>
        <commentChain chainId="181b9e2ad10f29e4be8fa46898a0d9580873eaf7">
          <item id="297b61bac8a6925a98190b8928c90aa7a2100fed" isNormal="1">
            <s:text>
              <s:r>
                <s:t xml:space="preserve">Administrator:
0000899 3/25 2052pcs 华兴三B14</s:t>
              </s:r>
            </s:text>
          </item>
        </commentChain>
      </unresolved>
      <resolved/>
    </commentChains>
    <commentChains s:ref="AA15" rgbClr="FF0000">
      <unresolved>
        <commentChain chainId="a2a27349b754b2e1f6e35bc2eb0a1394bf045c7c">
          <item id="c7f6a655fadd70717dd13d6d37e71e0a6914c7ad" isNormal="1">
            <s:text>
              <s:r>
                <s:t xml:space="preserve">Administrator:
0000899 3/25 18720pcs 华兴三A24</s:t>
              </s:r>
            </s:text>
          </item>
        </commentChain>
      </unresolved>
      <resolved/>
    </commentChains>
    <commentChains s:ref="AC15" rgbClr="FF0000">
      <unresolved>
        <commentChain chainId="9528d93bc994f649b70032c2600277ec074b309f">
          <item id="a01fa43d556a913f621e697fded322fb23b2fd4b" isNormal="1">
            <s:text>
              <s:r>
                <s:t xml:space="preserve">Administrator:
2/27 上客供外箱条码贴纸 1454pcs
3/4 上Event label贴纸 1440pcs</s:t>
              </s:r>
            </s:text>
          </item>
        </commentChain>
      </unresolved>
      <resolved/>
    </commentChains>
    <commentChains s:ref="AA16" rgbClr="FF0000">
      <unresolved>
        <commentChain chainId="b4757888e441f9d4a56afe34f32d1d067fff8ed6">
          <item id="429bd6d44f1a094b8dc255b122c5bb0cf2e0708d" isNormal="1">
            <s:text>
              <s:r>
                <s:t xml:space="preserve">Administrator:
0000801 4/2 2052pcs 已走货</s:t>
              </s:r>
            </s:text>
          </item>
        </commentChain>
      </unresolved>
      <resolved/>
    </commentChains>
    <commentChains s:ref="AC16" rgbClr="FF0000">
      <unresolved>
        <commentChain chainId="57bb65d7d217cb46a63dc9212cbe225e4ec46bd9">
          <item id="a1ce2b9c789c2cc13d4484df9e2c4bb22c5e7843" isNormal="1">
            <s:text>
              <s:r>
                <s:t xml:space="preserve">Administrator:
3/13 上进口商贴纸 2052pcs</s:t>
              </s:r>
            </s:text>
          </item>
        </commentChain>
      </unresolved>
      <resolved/>
    </commentChains>
    <commentChains s:ref="AA17" rgbClr="FF0000">
      <unresolved>
        <commentChain chainId="a2ec358f3debf52060d06d1e3fc47c2bbd7abefa">
          <item id="98f34c83ff1fb37bc0c5bc166041fe80edd52dc4" isNormal="1">
            <s:text>
              <s:r>
                <s:t xml:space="preserve">Administrator:
0000797 4/3 2508pcs 华兴三B16</s:t>
              </s:r>
            </s:text>
          </item>
        </commentChain>
      </unresolved>
      <resolved/>
    </commentChains>
    <commentChains s:ref="AA18" rgbClr="FF0000">
      <unresolved>
        <commentChain chainId="01575c7d54018af028ac27319df164467f785dca">
          <item id="987848a343ee5b99de58fafc9445ef46f78fd4d9" isNormal="1">
            <s:text>
              <s:r>
                <s:t xml:space="preserve">Administrator:
0000797 4/3 792pcs 华兴三B16</s:t>
              </s:r>
            </s:text>
          </item>
        </commentChain>
      </unresolved>
      <resolved/>
    </commentChains>
    <commentChains s:ref="AA19" rgbClr="FF0000">
      <unresolved>
        <commentChain chainId="8539b1153e36b33613c91bef35ee62759a8673fa">
          <item id="67357709d312f03c72289f06cea88423b2ed1a49" isNormal="1">
            <s:text>
              <s:r>
                <s:t xml:space="preserve">Administrator:
0001856 4/11 492pcs 华兴三B12</s:t>
              </s:r>
            </s:text>
          </item>
        </commentChain>
      </unresolved>
      <resolved/>
    </commentChains>
    <commentChains s:ref="AC19" rgbClr="FF0000">
      <unresolved>
        <commentChain chainId="644143c788bce12f70b3d8508620d61bb0274af7">
          <item id="cc19d7574d9c10b01d5061d8eb33e563a73adb0f" isNormal="1">
            <s:text>
              <s:r>
                <s:t xml:space="preserve">Administrator:
3/21 上亚马逊外箱贴纸 41pcs
3/26 上空白贴纸 3456pcs
154869/158578共用</s:t>
              </s:r>
            </s:text>
          </item>
        </commentChain>
      </unresolved>
      <resolved/>
    </commentChains>
    <commentChains s:ref="AA20" rgbClr="FF0000">
      <unresolved>
        <commentChain chainId="ec0734688b8e3bddcddfe1f45be48640a56f313d">
          <item id="c4d5a8aa045ff550e07aeb1fe3e8285e3552803f" isNormal="1">
            <s:text>
              <s:r>
                <s:t xml:space="preserve">Administrator:
0001856 4/11 744pcs 华兴三B11</s:t>
              </s:r>
            </s:text>
          </item>
        </commentChain>
      </unresolved>
      <resolved/>
    </commentChains>
    <commentChains s:ref="AC20" rgbClr="FF0000">
      <unresolved>
        <commentChain chainId="d46cf6a22897bcded71a6676aaffd1f13c58ddda">
          <item id="531ae5cda60de70f6f52eefe431299ffd2c4f4b2" isNormal="1">
            <s:text>
              <s:r>
                <s:t xml:space="preserve">Administrator:
3/21 上亚马逊外箱贴纸 62pcs
3/26 上空白贴纸 3456pcs
154869/158578共用
</s:t>
              </s:r>
            </s:text>
          </item>
        </commentChain>
      </unresolved>
      <resolved/>
    </commentChains>
    <commentChains s:ref="AA21" rgbClr="FF0000">
      <unresolved>
        <commentChain chainId="476a0a702bc9c4f19ab833b42a767ee09a119112">
          <item id="7cf2ec75fe658511ef53e67c14063dbaf46bd116" isNormal="1">
            <s:text>
              <s:r>
                <s:t xml:space="preserve">Administrator:
0001856 4/11 492pcs 华兴三B11</s:t>
              </s:r>
            </s:text>
          </item>
        </commentChain>
      </unresolved>
      <resolved/>
    </commentChains>
    <commentChains s:ref="AC21" rgbClr="FF0000">
      <unresolved>
        <commentChain chainId="4ed092f482c3afd4c5d6bdd20c071f67a5fec06b">
          <item id="327e340c34ef91478160bff3593e90d3ca72798e" isNormal="1">
            <s:text>
              <s:r>
                <s:t xml:space="preserve">Administrator:
3/21 上亚马逊外箱贴纸 41pcs
3/26 上空白贴纸 3456pcs
154869/158578共用
</s:t>
              </s:r>
            </s:text>
          </item>
        </commentChain>
      </unresolved>
      <resolved/>
    </commentChains>
    <commentChains s:ref="AA22" rgbClr="FF0000">
      <unresolved>
        <commentChain chainId="881ef679418d1d6b61c2ccb12a93fc602702ca62">
          <item id="09d577ff62e25f0515ba912b6f4105966ef6268f" isNormal="1">
            <s:text>
              <s:r>
                <s:t xml:space="preserve">Administrator:
0000751 4/14 780pcs 已走货</s:t>
              </s:r>
            </s:text>
          </item>
        </commentChain>
      </unresolved>
      <resolved/>
    </commentChains>
    <commentChains s:ref="AC22" rgbClr="FF0000">
      <unresolved>
        <commentChain chainId="b3bba86bdadb8b6b695233102a4c10df88058865">
          <item id="72e47a23a04605d401639ed990bf7a8e1e274051" isNormal="1">
            <s:text>
              <s:r>
                <s:t xml:space="preserve">Administrator:
4/3 上客供警语贴纸贴球底部 806pcs
    上客供警语贴纸贴收藏指南上 780pcs
    上客供警语贴纸贴说明书上 780pcs
    上客供警语贴纸贴口水胶上 806pcs</s:t>
              </s:r>
            </s:text>
          </item>
        </commentChain>
      </unresolved>
      <resolved/>
    </commentChains>
    <commentChains s:ref="AA23" rgbClr="FF0000">
      <unresolved>
        <commentChain chainId="06a9ff53416a9d33ca66cc9c0092e5f7a7a09ebf">
          <item id="e164926dfbb454830ef449ddfb79e3cc9b866bad" isNormal="1">
            <s:text>
              <s:r>
                <s:t xml:space="preserve">Administrator:
0000789 4/8 1350pcs 华兴三B15</s:t>
              </s:r>
            </s:text>
          </item>
        </commentChain>
      </unresolved>
      <resolved/>
    </commentChains>
    <commentChains s:ref="AA24" rgbClr="FF0000">
      <unresolved>
        <commentChain chainId="169cd42d6d383f2988a0123925f44e1cf6018837">
          <item id="858cd985bbc0ffb621ab2c9259bdd909f5e9594c" isNormal="1">
            <s:text>
              <s:r>
                <s:t xml:space="preserve">Administrator:
0000740 4/16 378pcs 华兴三B7</s:t>
              </s:r>
            </s:text>
          </item>
        </commentChain>
      </unresolved>
      <resolved/>
    </commentChains>
    <commentChains s:ref="AC24" rgbClr="FF0000">
      <unresolved>
        <commentChain chainId="a400fda510c21a69eda665cbb4c19f69bc073401">
          <item id="2a5f9a6ce07f49ab3dd4353d2cda46827b49064e" isNormal="1">
            <s:text>
              <s:r>
                <s:t xml:space="preserve">Administrator:
4/1 上UPC贴纸 378pcs</s:t>
              </s:r>
            </s:text>
          </item>
        </commentChain>
      </unresolved>
      <resolved/>
    </commentChains>
    <commentChains s:ref="AA25" rgbClr="FF0000">
      <unresolved>
        <commentChain chainId="8de22da2a4d0f5ddf40dbaa13a469f89e797ffe8">
          <item id="d345ecc88c5009a91098553b529bae1daaf9d5d8" isNormal="1">
            <s:text>
              <s:r>
                <s:t xml:space="preserve">Administrator:
0001538 4/21 513pcs/60套散件 A栋一楼C8区</s:t>
              </s:r>
            </s:text>
          </item>
        </commentChain>
      </unresolved>
      <resolved/>
    </commentChains>
    <commentChains s:ref="AA26" rgbClr="FF0000">
      <unresolved>
        <commentChain chainId="48290b18ed394c6ee1e7772849c78398d458e252">
          <item id="c18702c0426fab4ed7d367bc9eb7b19c7e69a621" isNormal="1">
            <s:text>
              <s:r>
                <s:t xml:space="preserve">Administrator:
0001538 4/21 650pcs A栋一楼C8区</s:t>
              </s:r>
            </s:text>
          </item>
        </commentChain>
      </unresolved>
      <resolved/>
    </commentChains>
    <commentChains s:ref="AA27" rgbClr="FF0000">
      <unresolved>
        <commentChain chainId="941e2ec7d670de9d784cfc6b14e22973c73b97d2">
          <item id="81c228cb5825889d40eed88820c0ba5c80c39001" isNormal="1">
            <s:text>
              <s:r>
                <s:t xml:space="preserve">Administrator:
0001538 4/21 1350pcs A栋一楼C8区</s:t>
              </s:r>
            </s:text>
          </item>
        </commentChain>
      </unresolved>
      <resolved/>
    </commentChains>
    <commentChains s:ref="AA28" rgbClr="FF0000">
      <unresolved>
        <commentChain chainId="831ac688f11887078957d5fdf6aba7a116bfaf8c">
          <item id="3819dc9be8ad5a44d332dcc482f968063d8984d9" isNormal="1">
            <s:text>
              <s:r>
                <s:t xml:space="preserve">Administrator:
0000742 4/15 208pcs 华兴三B13</s:t>
              </s:r>
            </s:text>
          </item>
        </commentChain>
      </unresolved>
      <resolved/>
    </commentChains>
    <commentChains s:ref="AC28" rgbClr="FF0000">
      <unresolved>
        <commentChain chainId="951bb5d282281b080923d93fb049d2e1c67b89e3">
          <item id="b22cadc2e1e354c5373e3b0886b122a8ff6727d3" isNormal="1">
            <s:text>
              <s:r>
                <s:t xml:space="preserve">Administrator:
3/27 上进口商贴纸 208pcs</s:t>
              </s:r>
            </s:text>
          </item>
        </commentChain>
      </unresolved>
      <resolved/>
    </commentChains>
    <commentChains s:ref="AA29" rgbClr="FF0000">
      <unresolved>
        <commentChain chainId="45a8a6188f6cb020f35aa386f41a8259d3ad85bd">
          <item id="d63cb5ea7109b15732609fc4718559e380fe0fe3" isNormal="1">
            <s:text>
              <s:r>
                <s:t xml:space="preserve">Administrator:
0000725 4/18 780pcs 华兴三B4</s:t>
              </s:r>
            </s:text>
          </item>
        </commentChain>
      </unresolved>
      <resolved/>
    </commentChains>
    <commentChains s:ref="AC29" rgbClr="FF0000">
      <unresolved>
        <commentChain chainId="6324ceac2fed63af4e44c0f39b8ed83508038498">
          <item id="c0403973e0d2e33ec1210da1f2fa7e1fd680ca1a" isNormal="1">
            <s:text>
              <s:r>
                <s:t xml:space="preserve">Administrator:
4/3 上警语贴纸 780pcs</s:t>
              </s:r>
            </s:text>
          </item>
        </commentChain>
      </unresolved>
      <resolved/>
    </commentChains>
    <commentChains s:ref="AA30" rgbClr="FF0000">
      <unresolved>
        <commentChain chainId="84e09a3cfdfd8c87471a0a467aa6e87f2a481e2a">
          <item id="a666e136e15d4aaf653cc2d2830cbf627f42a189" isNormal="1">
            <s:text>
              <s:r>
                <s:t xml:space="preserve">Administrator:
0000718 4/21 1152pcs  华兴三B4</s:t>
              </s:r>
            </s:text>
          </item>
        </commentChain>
      </unresolved>
      <resolved/>
    </commentChains>
    <commentChains s:ref="AC30" rgbClr="FF0000">
      <unresolved>
        <commentChain chainId="fb2a64a38c07974f512264356e676effbcf7236d">
          <item id="50f74aadbee9e654f2023fb2d6a7c84cd2b86354" isNormal="1">
            <s:text>
              <s:r>
                <s:t xml:space="preserve">Administrator:
3/21 上客供RFID贴纸 1152pcs</s:t>
              </s:r>
            </s:text>
          </item>
        </commentChain>
      </unresolved>
      <resolved/>
    </commentChains>
    <commentChains s:ref="AA31" rgbClr="FF0000">
      <unresolved>
        <commentChain chainId="df7d823b5f0b8324ac328d2872d18dddd44450b1">
          <item id="4f2fad2740f4e085257f23d7573ab2048b7d0f93" isNormal="1">
            <s:text>
              <s:r>
                <s:t xml:space="preserve">Administrator:
0000708 4/23 312pcs 华兴三B15</s:t>
              </s:r>
            </s:text>
          </item>
        </commentChain>
      </unresolved>
      <resolved/>
    </commentChains>
    <commentChains s:ref="AC31" rgbClr="FF0000">
      <unresolved>
        <commentChain chainId="c6039f9764eeee542bbca4c7c50522aa2619bd72">
          <item id="65138e97e4f67688b2e0356347fd4183113f5c9e" isNormal="1">
            <s:text>
              <s:r>
                <s:t xml:space="preserve">Administrator:
4/3 上进口商贴纸 312pcs</s:t>
              </s:r>
            </s:text>
          </item>
        </commentChain>
      </unresolved>
      <resolved/>
    </commentChains>
    <commentChains s:ref="AA32" rgbClr="FF0000">
      <unresolved>
        <commentChain chainId="92e368d921e38254258a930e862fc3f8844be777">
          <item id="9d432f3519299b1ec471085ada950fa6c52d3cdf" isNormal="1">
            <s:text>
              <s:r>
                <s:t xml:space="preserve">Administrator:
0000693 4/25 4023pcs 华兴三B17</s:t>
              </s:r>
            </s:text>
          </item>
        </commentChain>
      </unresolved>
      <resolved/>
    </commentChains>
    <commentChains s:ref="AA33" rgbClr="FF0000">
      <unresolved>
        <commentChain chainId="45a16a4b92084c710c57e089f57b85081c86554c">
          <item id="c528bbcc8350278262ca042184cf52d9f1f89db9" isNormal="1">
            <s:text>
              <s:r>
                <s:t xml:space="preserve">Administrator:
0000713 4/22 108pcs 华兴三B14</s:t>
              </s:r>
            </s:text>
          </item>
        </commentChain>
      </unresolved>
      <resolved/>
    </commentChains>
    <commentChains s:ref="AC33" rgbClr="FF0000">
      <unresolved>
        <commentChain chainId="9a61a8c438c85c91e0a1c1ec62dde14c3db7bbd0">
          <item id="71db743e05be935a09ac06c90babaf093b804fe4" isNormal="1">
            <s:text>
              <s:r>
                <s:t xml:space="preserve">Administrator:
4/10 上UPC贴纸 108pcs</s:t>
              </s:r>
            </s:text>
          </item>
        </commentChain>
      </unresolved>
      <resolved/>
    </commentChains>
    <commentChains s:ref="AA34" rgbClr="FF0000">
      <unresolved>
        <commentChain chainId="9482f56618b9ccebf183fd4d37a15cf5f87fed25">
          <item id="938e9e6808810762d78a2415c3fd249c3b598159" isNormal="1">
            <s:text>
              <s:r>
                <s:t xml:space="preserve">Administrator:
0000693 4/25 756pcs 华兴三B14</s:t>
              </s:r>
            </s:text>
          </item>
        </commentChain>
      </unresolved>
      <resolved/>
    </commentChains>
    <commentChains s:ref="AC34" rgbClr="FF0000">
      <unresolved>
        <commentChain chainId="2e17deb8a0ae6956ec5c70bc7298cc7b8fd40db7">
          <item id="a9b9c1c98ba612f33a12b638cb5bc04967e4ff8e" isNormal="1">
            <s:text>
              <s:r>
                <s:t xml:space="preserve">Administrator:
4/3 上空白贴纸 1512pcs</s:t>
              </s:r>
            </s:text>
          </item>
        </commentChain>
      </unresolved>
      <resolved/>
    </commentChains>
    <commentChains s:ref="AA35" rgbClr="FF0000">
      <unresolved>
        <commentChain chainId="1eb9d2ff355058eaefb5596bf1476501f12e6552">
          <item id="a189dff0882669f7b9fc5c1607a8a2a9fcb735b3" isNormal="1">
            <s:text>
              <s:r>
                <s:t xml:space="preserve">Administrator:
0000713 4/22 988pcs 华兴三B14</s:t>
              </s:r>
            </s:text>
          </item>
        </commentChain>
      </unresolved>
      <resolved/>
    </commentChains>
    <commentChains s:ref="AA36" rgbClr="FF0000">
      <unresolved>
        <commentChain chainId="1efc923b905aab4eb47adb84a6818f9ea67169d2">
          <item id="ca0f66045fbdefb893893d22cdb856f197b6a1bf" isNormal="1">
            <s:text>
              <s:r>
                <s:t xml:space="preserve">Administrator:
2001127 5/10 2700pcs 已走货</s:t>
              </s:r>
            </s:text>
          </item>
        </commentChain>
      </unresolved>
      <resolved/>
    </commentChains>
    <commentChains s:ref="AC36" rgbClr="FF0000">
      <unresolved>
        <commentChain chainId="fb3ee186229f43fa5214ddd820b29363f7172e3c">
          <item id="c70d87dccfc9ebd8b4f883ab8d0432b646c1b602" isNormal="1">
            <s:text>
              <s:r>
                <s:t xml:space="preserve">Administrator:
4/21 上进口商贴纸 2700pcs
     上UPC贴纸 2700pcs</s:t>
              </s:r>
            </s:text>
          </item>
        </commentChain>
      </unresolved>
      <resolved/>
    </commentChains>
    <commentChains s:ref="AA37" rgbClr="FF0000">
      <unresolved>
        <commentChain chainId="2bb26252c5acb5e48466c6acb6ec41019046ef2a">
          <item id="2c7e12d98c5b193b9029b767927843cc8f0d9900" isNormal="1">
            <s:text>
              <s:r>
                <s:t xml:space="preserve">Administrator:
0001734 5/3 3315pcs 华兴三A32</s:t>
              </s:r>
            </s:text>
          </item>
        </commentChain>
      </unresolved>
      <resolved/>
    </commentChains>
    <commentChains s:ref="AC37" rgbClr="FF0000">
      <unresolved>
        <commentChain chainId="14d899c685be6daf74b982be97f01a5871a9082a">
          <item id="a1c0bb059214f1eaead4b9d8984a8f23dad06b58" isNormal="1">
            <s:text>
              <s:r>
                <s:t xml:space="preserve">Administrator:
4/17 北欧五语通用Slime黑白说明书 3315pcs
5/6 收到多语警告语贴纸 3350pcs-车间加返工</s:t>
              </s:r>
            </s:text>
          </item>
        </commentChain>
      </unresolved>
      <resolved/>
    </commentChains>
    <commentChains s:ref="AA38" rgbClr="FF0000">
      <unresolved>
        <commentChain chainId="2bf091f887101029e25055b20012bb6f8cf4ce74">
          <item id="3c35227d5ad2ceb44bcfcc63b4a4386cfaa8afe4" isNormal="1">
            <s:text>
              <s:r>
                <s:t xml:space="preserve">Administrator:
0001725 5/6 1456pcs 华兴三B14</s:t>
              </s:r>
            </s:text>
          </item>
        </commentChain>
      </unresolved>
      <resolved/>
    </commentChains>
    <commentChains s:ref="AA39" rgbClr="FF0000">
      <unresolved>
        <commentChain chainId="1cdfcda6b95cbf3c0fa11d5adfa8521137686784">
          <item id="43608ccded219d88796e17c87b16dfde0d8d761a" isNormal="1">
            <s:text>
              <s:r>
                <s:t xml:space="preserve">Administrator:
2001083 5/8 1152pcs 莫海军B栋4楼</s:t>
              </s:r>
            </s:text>
          </item>
        </commentChain>
      </unresolved>
      <resolved/>
    </commentChains>
    <commentChains s:ref="AC39" rgbClr="FF0000">
      <unresolved>
        <commentChain chainId="7cb47a673a8da92f1e9089eee715259929d09932">
          <item id="6939d8469a17e9bc9bfc0bb6b1b910c1e92ad466" isNormal="1">
            <s:text>
              <s:r>
                <s:t xml:space="preserve">Administrator:
4/15 上客供RFID贴纸 1152pcs</s:t>
              </s:r>
            </s:text>
          </item>
        </commentChain>
      </unresolved>
      <resolved/>
    </commentChains>
    <commentChains s:ref="AA40" rgbClr="FF0000">
      <unresolved>
        <commentChain chainId="f4164a02dfde095e391d44bafd1a4d19b6750849">
          <item id="d1e4b013ab9394c131b20c659621daa7c1a41cad" isNormal="1">
            <s:text>
              <s:r>
                <s:t xml:space="preserve">Administrator:
2001083 5/8 1152pcs 莫海军B栋4楼</s:t>
              </s:r>
            </s:text>
          </item>
        </commentChain>
      </unresolved>
      <resolved/>
    </commentChains>
    <commentChains s:ref="AC40" rgbClr="FF0000">
      <unresolved>
        <commentChain chainId="89dbadba2c3c4e678569782c3862dc501e89c60d">
          <item id="7a7fc03e34f432f48ae611c9ccfbb04a1433e9ed" isNormal="1">
            <s:text>
              <s:r>
                <s:t xml:space="preserve">Administrator:
4/15 上客供RFID贴纸 1152pcs</s:t>
              </s:r>
            </s:text>
          </item>
        </commentChain>
      </unresolved>
      <resolved/>
    </commentChains>
    <commentChains s:ref="AA41" rgbClr="FF0000">
      <unresolved>
        <commentChain chainId="3d47fec9700cef8c300a5574cb3c6e6a6e42a714">
          <item id="49809ce717baf399671332acba3ba42487f535d9" isNormal="1">
            <s:text>
              <s:r>
                <s:t xml:space="preserve">Administrator:
2001083 5/8 1152pcs 莫海军B栋4楼</s:t>
              </s:r>
            </s:text>
          </item>
        </commentChain>
      </unresolved>
      <resolved/>
    </commentChains>
    <commentChains s:ref="AC41" rgbClr="FF0000">
      <unresolved>
        <commentChain chainId="3f78238fcb1547c00b12357726bb26a9b7248094">
          <item id="00eaaaa6b0d1a99f1c233be6b942dc1baffc219e" isNormal="1">
            <s:text>
              <s:r>
                <s:t xml:space="preserve">Administrator:
4/15 上客供RFID贴纸 1152pcs</s:t>
              </s:r>
            </s:text>
          </item>
        </commentChain>
      </unresolved>
      <resolved/>
    </commentChains>
    <commentChains s:ref="AA42" rgbClr="FF0000">
      <unresolved>
        <commentChain chainId="f69d5f27808ee8e99d70c0f5c5392687f825853a">
          <item id="42449b6238e02dbd85ac29cf00cf5b085cbcdbda" isNormal="1">
            <s:text>
              <s:r>
                <s:t xml:space="preserve">Administrator:
2001089 5/9 5064pcs 华兴三A12</s:t>
              </s:r>
            </s:text>
          </item>
        </commentChain>
      </unresolved>
      <resolved/>
    </commentChains>
    <commentChains s:ref="AC42" rgbClr="FF0000">
      <unresolved>
        <commentChain chainId="ca2e4eaf01c88e17370591035e760afbdd327403">
          <item id="e62a220260ca5d2f018d464add014a072e30e856" isNormal="1">
            <s:text>
              <s:r>
                <s:t xml:space="preserve">Administrator:
4/14 上粉色艾利贴纸 1464pcs
4/14 上客供RFID贴纸 5064pcs</s:t>
              </s:r>
            </s:text>
          </item>
        </commentChain>
      </unresolved>
      <resolved/>
    </commentChains>
    <commentChains s:ref="AA43" rgbClr="FF0000">
      <unresolved>
        <commentChain chainId="ff351fe96702bfacdbe12276451eba213a8b073e">
          <item id="495399bdda4b61356eca133645aea6bf3bd32117" isNormal="1">
            <s:text>
              <s:r>
                <s:t xml:space="preserve">Administrator:
2001089 5/9 6684pcs 华兴三A12</s:t>
              </s:r>
            </s:text>
          </item>
        </commentChain>
      </unresolved>
      <resolved/>
    </commentChains>
    <commentChains s:ref="AC43" rgbClr="FF0000">
      <unresolved>
        <commentChain chainId="c599e8a7fd0a3892437af1465c934e99d717c581">
          <item id="a90d5b7a6fadd4b7a08229d618fbfc07c3b2d92f" isNormal="1">
            <s:text>
              <s:r>
                <s:t xml:space="preserve">Administrator:
4/15 上客供RFID贴纸 6684pcs</s:t>
              </s:r>
            </s:text>
          </item>
        </commentChain>
      </unresolved>
      <resolved/>
    </commentChains>
    <commentChains s:ref="AA44" rgbClr="FF0000">
      <unresolved>
        <commentChain chainId="f2478aa081731ee7db5391a9374c3cace5bb6ad2">
          <item id="b2daeaf50b4250001fe00ed06c30231824f5573c" isNormal="1">
            <s:text>
              <s:r>
                <s:t xml:space="preserve">Administrator:
2001089 5/9 5820pcs 华兴三A12</s:t>
              </s:r>
            </s:text>
          </item>
        </commentChain>
      </unresolved>
      <resolved/>
    </commentChains>
    <commentChains s:ref="AC44" rgbClr="FF0000">
      <unresolved>
        <commentChain chainId="19dfd8e9026b4605084eaee90dc0ecda439ae5fe">
          <item id="63f47bd8c9c3b85001eee8b07201fa6a51cd2f85" isNormal="1">
            <s:text>
              <s:r>
                <s:t xml:space="preserve">Administrator:
4/15 上客供RFID贴纸 5820pcs</s:t>
              </s:r>
            </s:text>
          </item>
        </commentChain>
      </unresolved>
      <resolved/>
    </commentChains>
    <commentChains s:ref="AA45" rgbClr="FF0000">
      <unresolved>
        <commentChain chainId="d5926ae161805b5b8ecf059362c959382dcc7476">
          <item id="abcc4c41a3eaf936a4c06cd6fbd2aa1973c0fcea" isNormal="1">
            <s:text>
              <s:r>
                <s:t xml:space="preserve">Administrator:
2001230 5/15 10491pcs 华兴三B7
2000962 5/16   39pcs  华兴三B7</s:t>
              </s:r>
            </s:text>
          </item>
        </commentChain>
      </unresolved>
      <resolved/>
    </commentChains>
    <commentChains s:ref="AC45" rgbClr="FF0000">
      <unresolved>
        <commentChain chainId="fd2e987c0e06372d5e72e15ab63cb9a4b01e741e">
          <item id="2da411f62564c7035b9cacae7c0ed0e2ea22511b" isNormal="1">
            <s:text>
              <s:r>
                <s:t xml:space="preserve">Administrator:
4/16 上客供外箱条码贴纸 818pcs</s:t>
              </s:r>
            </s:text>
          </item>
        </commentChain>
      </unresolved>
      <resolved/>
    </commentChains>
    <commentChains s:ref="AA46" rgbClr="FF0000">
      <unresolved>
        <commentChain chainId="6836ed9153061e11e64781db46208b24db35113a">
          <item id="610392a02ba0abbf914ac58bab0d4254688d49ab" isNormal="1">
            <s:text>
              <s:r>
                <s:t xml:space="preserve">Administrator:
2000962 5/16 1152pcs 兴信</s:t>
              </s:r>
            </s:text>
          </item>
        </commentChain>
      </unresolved>
      <resolved/>
    </commentChains>
    <commentChains s:ref="AC46" rgbClr="FF0000">
      <unresolved>
        <commentChain chainId="ca5f3ece31cef94fa5444aa1c6d39c62b760de79">
          <item id="70ac86449956a7826f1c56eb0563abf8b5ed809f" isNormal="1">
            <s:text>
              <s:r>
                <s:t xml:space="preserve">Administrator:
4/15 上客供RFID贴纸 1152pcs</s:t>
              </s:r>
            </s:text>
          </item>
        </commentChain>
      </unresolved>
      <resolved/>
    </commentChains>
    <commentChains s:ref="AA47" rgbClr="FF0000">
      <unresolved>
        <commentChain chainId="fd5890e20b78ef36adce4d446bdb5d84510acfe8">
          <item id="ce230da150feca1331e4763599734510f61846b1" isNormal="1">
            <s:text>
              <s:r>
                <s:t xml:space="preserve">Administrator:
2001019 5/20 12792pcs 车间混装送外厂
2000882 5/21  48pcs   车间混装送外厂</s:t>
              </s:r>
            </s:text>
          </item>
        </commentChain>
      </unresolved>
      <resolved/>
    </commentChains>
    <commentChains s:ref="AA48" rgbClr="FF0000">
      <unresolved>
        <commentChain chainId="2fd2a00fb787bbd20841aea253c458d50f25f81e">
          <item id="e3f81b7f919b41d3adf96ff8be2c4ccfa57485ab" isNormal="1">
            <s:text>
              <s:r>
                <s:t xml:space="preserve">Administrator:
2001005 5/19 1152pcs 华兴三B5</s:t>
              </s:r>
            </s:text>
          </item>
        </commentChain>
      </unresolved>
      <resolved/>
    </commentChains>
    <commentChains s:ref="AC48" rgbClr="FF0000">
      <unresolved>
        <commentChain chainId="c0a0d12885108f79f12ba0603d8577a1c842daea">
          <item id="9bd0f028668b6c03f494d44e996b34478fb18645" isNormal="1">
            <s:text>
              <s:r>
                <s:t xml:space="preserve">Administrator:
4/15 上客供RFID贴纸 1152pcs</s:t>
              </s:r>
            </s:text>
          </item>
        </commentChain>
      </unresolved>
      <resolved/>
    </commentChains>
    <commentChains s:ref="AA49" rgbClr="FF0000">
      <unresolved>
        <commentChain chainId="e06eec1e771097a2a0f297ea30e8160ea7e20460">
          <item id="da4b7fec7e41d9280529c2b179973fd174ead153" isNormal="1">
            <s:text>
              <s:r>
                <s:t xml:space="preserve">Administrator:
2001005 5/19 1140pcs 华兴三B5
2000882 5/21   12pcs 华兴三B5</s:t>
              </s:r>
            </s:text>
          </item>
        </commentChain>
      </unresolved>
      <resolved/>
    </commentChains>
    <commentChains s:ref="AC49" rgbClr="FF0000">
      <unresolved>
        <commentChain chainId="0c3b4aa2f27a1dbd1f6bf22f70ddb7dec026e525">
          <item id="aeae87cf8107c04f862042cfdb53be63cbc8c68d" isNormal="1">
            <s:text>
              <s:r>
                <s:t xml:space="preserve">Administrator:
4/15 上客供RFID贴纸 1152pcs</s:t>
              </s:r>
            </s:text>
          </item>
        </commentChain>
      </unresolved>
      <resolved/>
    </commentChains>
    <commentChains s:ref="AA50" rgbClr="FF0000">
      <unresolved>
        <commentChain chainId="edc8c6403c9f103daf451dbc8c31b931ef41b98a">
          <item id="60a4c74f560ff1f7fe90e3d7fadbe3d838c1b89a" isNormal="1">
            <s:text>
              <s:r>
                <s:t xml:space="preserve">Administrator:
2001005 5/19 1152pcs 华兴三B5</s:t>
              </s:r>
            </s:text>
          </item>
        </commentChain>
      </unresolved>
      <resolved/>
    </commentChains>
    <commentChains s:ref="AC50" rgbClr="FF0000">
      <unresolved>
        <commentChain chainId="9dcff477192a28f5d5ab7527ab627f808b29abf2">
          <item id="43cd8e4b4518b993952ed1852df9418c7a4e0a2e" isNormal="1">
            <s:text>
              <s:r>
                <s:t xml:space="preserve">Administrator:
4/15 上客供RFID贴纸 1152pcs</s:t>
              </s:r>
            </s:text>
          </item>
        </commentChain>
      </unresolved>
      <resolved/>
    </commentChains>
    <commentChains s:ref="AA51" rgbClr="FF0000">
      <unresolved>
        <commentChain chainId="5a221bc7e30cc38f5851d27efb9eafbd848537bb">
          <item id="544a419308ab9a9aebce057b3db99aa11dc0a2b4" isNormal="1">
            <s:text>
              <s:r>
                <s:t xml:space="preserve">Administrator:
2000875 5/20 1128pcs 华兴三B5
2000882 5/21  24pcs  华兴三B5</s:t>
              </s:r>
            </s:text>
          </item>
        </commentChain>
      </unresolved>
      <resolved/>
    </commentChains>
    <commentChains s:ref="AC51" rgbClr="FF0000">
      <unresolved>
        <commentChain chainId="99335da5853f57d0e000068075c4508db2da80d7">
          <item id="da1df41fed6463316b2d04cb233937fa7f60fec9" isNormal="1">
            <s:text>
              <s:r>
                <s:t xml:space="preserve">Administrator:
4/15 上客供RFID贴纸 1152pcs</s:t>
              </s:r>
            </s:text>
          </item>
        </commentChain>
      </unresolved>
      <resolved/>
    </commentChains>
    <commentChains s:ref="AA52" rgbClr="FF0000">
      <unresolved>
        <commentChain chainId="0ab0d441b379740962e29383571de948f076c138">
          <item id="214603488318968ff13e63bcd33dd09e06d72d0c" isNormal="1">
            <s:text>
              <s:r>
                <s:t xml:space="preserve">Administrator:
2001005 5/19 1152pcs 华兴三B5</s:t>
              </s:r>
            </s:text>
          </item>
        </commentChain>
      </unresolved>
      <resolved/>
    </commentChains>
    <commentChains s:ref="AC52" rgbClr="FF0000">
      <unresolved>
        <commentChain chainId="c79e80ee506b40806365a2e7106ec7a51cc08df0">
          <item id="17fbf7b07d729b1cc507badae964fec3d402eaf4" isNormal="1">
            <s:text>
              <s:r>
                <s:t xml:space="preserve">Administrator:
4/15 上客供RFID贴纸 1152pcs</s:t>
              </s:r>
            </s:text>
          </item>
        </commentChain>
      </unresolved>
      <resolved/>
    </commentChains>
    <commentChains s:ref="AA53" rgbClr="FF0000">
      <unresolved>
        <commentChain chainId="73c7a400db8785dac5a72ab15f64c41aff3a05d8">
          <item id="0ed61dd6669f1c9c51c49b96355952316236b10b" isNormal="1">
            <s:text>
              <s:r>
                <s:t xml:space="preserve">Administrator:
2000875 5/20 8928pcs 华兴三A8
2000898 5/22 180pcs  华兴三A8</s:t>
              </s:r>
            </s:text>
          </item>
        </commentChain>
      </unresolved>
      <resolved/>
    </commentChains>
    <commentChains s:ref="AC53" rgbClr="FF0000">
      <unresolved>
        <commentChain chainId="87f08167f3390ed14ab944c29a1125dc966cd1ee">
          <item id="f5aa67d8b96f12878718fc9bea7b7814b7f1c156" isNormal="1">
            <s:text>
              <s:r>
                <s:t xml:space="preserve">Administrator:
4/15 上客供RFID贴纸 9108pcs
4/25 上粉色艾利贴纸 2437pcs
162370/162371共用</s:t>
              </s:r>
            </s:text>
          </item>
        </commentChain>
      </unresolved>
      <resolved/>
    </commentChains>
    <commentChains s:ref="AA54" rgbClr="FF0000">
      <unresolved>
        <commentChain chainId="07f77d93d1b347161327b06edd53a9f8b71b2fc2">
          <item id="4d9432fdbcdbba0e2897720ca57ae6d216107d4c" isNormal="1">
            <s:text>
              <s:r>
                <s:t xml:space="preserve">Administrator:
2000875 5/20 7752pcs 华兴三A9
2000898 5/22 108pcs  华兴三A9</s:t>
              </s:r>
            </s:text>
          </item>
        </commentChain>
      </unresolved>
      <resolved/>
    </commentChains>
    <commentChains s:ref="AC54" rgbClr="FF0000">
      <unresolved>
        <commentChain chainId="f657fc9b24b929dfbd92ba55620bdcc69bfcfc58">
          <item id="d9d3d9b53f4ea907dde94e03663caea587a1a659" isNormal="1">
            <s:text>
              <s:r>
                <s:t xml:space="preserve">Administrator:
4/15 上客供RFID贴纸 7860pcs
4/25 上粉色艾利贴纸 2437pcs
162370/162371共用
</s:t>
              </s:r>
            </s:text>
          </item>
        </commentChain>
      </unresolved>
      <resolved/>
    </commentChains>
    <commentChains s:ref="AA55" rgbClr="FF0000">
      <unresolved>
        <commentChain chainId="d4fb349e8d047540a165c0c099650726f35059a6">
          <item id="1ef87555ad63682f96120dfac4ef0dcba34acd1d" isNormal="1">
            <s:text>
              <s:r>
                <s:t xml:space="preserve">Administrator:
2001001 5/21 1547pcs 华兴三B13
2000885 5/22 169pcs  华兴三B13</s:t>
              </s:r>
            </s:text>
          </item>
        </commentChain>
      </unresolved>
      <resolved/>
    </commentChains>
    <commentChains s:ref="AC55" rgbClr="FF0000">
      <unresolved>
        <commentChain chainId="2b9da461753609dcc6a867cc7902b79f6e35d5a2">
          <item id="0a866ea7fbf4c688bf96ac449483c7250827de0a" isNormal="1">
            <s:text>
              <s:r>
                <s:t xml:space="preserve">Administrator:
4/30 上UPC贴纸 1716pcs</s:t>
              </s:r>
            </s:text>
          </item>
        </commentChain>
      </unresolved>
      <resolved/>
    </commentChains>
    <commentChains s:ref="AA56" rgbClr="FF0000">
      <unresolved>
        <commentChain chainId="6bc2091c5ae0d436e4011a9bb1260fe780b64ef5">
          <item id="6ba5f2c4bb4426169e68c601a6ccfb2bd40778a7" isNormal="1">
            <s:text>
              <s:r>
                <s:t xml:space="preserve">Administrator:
2000784 5/24 600pcs</s:t>
              </s:r>
            </s:text>
          </item>
        </commentChain>
      </unresolved>
      <resolved/>
    </commentChains>
    <commentChains s:ref="AC56" rgbClr="FF0000">
      <unresolved>
        <commentChain chainId="401fd542f217fa9025e3ffe5eddae32908d9f4b8">
          <item id="71f6c63bfe57cbcbc03c6463d8dd37bd6ce16db2" isNormal="1">
            <s:text>
              <s:r>
                <s:t xml:space="preserve">Administrator:
5/7 上亚马逊外箱贴纸 50pcs
5/23 上空白贴纸 3696pcs
158581/164250/164939共用</s:t>
              </s:r>
            </s:text>
          </item>
        </commentChain>
      </unresolved>
      <resolved/>
    </commentChains>
    <commentChains s:ref="AA57" rgbClr="FF0000">
      <unresolved>
        <commentChain chainId="7d8a812bf6f871b6a5ba6b1259cb2b62c89d0f17">
          <item id="2179410e2df343858cfe9d8e3a74e48f5d45479a" isNormal="1">
            <s:text>
              <s:r>
                <s:t xml:space="preserve">Administrator:
2000651 5/27  108pcs 华兴三B16
2000684 5/27 2052pcs 华兴三B16</s:t>
              </s:r>
            </s:text>
          </item>
        </commentChain>
      </unresolved>
      <resolved/>
    </commentChains>
    <commentChains s:ref="AA58" rgbClr="FF0000">
      <unresolved>
        <commentChain chainId="97b18ba075f4d9f393727cccaaf0be2dcd313403">
          <item id="3f28fd6952410b85ead7b05b1ca2f0b0d2601b03" isNormal="1">
            <s:text>
              <s:r>
                <s:t xml:space="preserve">Administrator:
2001241 5/28 1040pcs 华兴三B14</s:t>
              </s:r>
            </s:text>
          </item>
        </commentChain>
      </unresolved>
      <resolved/>
    </commentChains>
    <commentChains s:ref="AC58" rgbClr="FF0000">
      <unresolved>
        <commentChain chainId="2e5286226df01def8e844ef8d71f8c04705b0aec">
          <item id="d08dfc013648ef3d273d68bd28f4a89514a95b17" isNormal="1">
            <s:text>
              <s:r>
                <s:t xml:space="preserve">Administrator:
5/6 上进口商贴纸 1040pcs</s:t>
              </s:r>
            </s:text>
          </item>
        </commentChain>
      </unresolved>
      <resolved/>
    </commentChains>
    <commentChains s:ref="AA59" rgbClr="FF0000">
      <unresolved>
        <commentChain chainId="420ab1560a5ef26f596c95b70f969142798d5444">
          <item id="d52b255244983f530321dbe6c17a00a2b51114d2" isNormal="1">
            <s:text>
              <s:r>
                <s:t xml:space="preserve">Administrator:
2000680 5/26 21216pcs 华兴一A1</s:t>
              </s:r>
            </s:text>
          </item>
        </commentChain>
      </unresolved>
      <resolved/>
    </commentChains>
    <commentChains s:ref="AA60" rgbClr="FF0000">
      <unresolved>
        <commentChain chainId="34b1b94fb560a2e0eeaac3b2f404ac35f26bf463">
          <item id="caa783790ad335fd2b6c1b2018139510a542c3c1" isNormal="1">
            <s:text>
              <s:r>
                <s:t xml:space="preserve">Administrator:
2000651 5/27   33pcs 已走货
2000684 5/27 4917pcs 已走货</s:t>
              </s:r>
            </s:text>
          </item>
        </commentChain>
      </unresolved>
      <resolved/>
    </commentChains>
    <commentChains s:ref="AA61" rgbClr="FF0000">
      <unresolved>
        <commentChain chainId="47ec12f1c9aa2d5215c76a5dcf2ff41cc55b4bcd">
          <item id="216eef4674a20192bf91d545470f3bc8b6e17638" isNormal="1">
            <s:text>
              <s:r>
                <s:t xml:space="preserve">Administrator:
2002450 6/2 162pcs 华兴三A27</s:t>
              </s:r>
            </s:text>
          </item>
        </commentChain>
      </unresolved>
      <resolved/>
    </commentChains>
    <commentChains s:ref="AC61" rgbClr="FF0000">
      <unresolved>
        <commentChain chainId="29c772eb1037914fe4920e9546c48a10468bf4e4">
          <item id="2fc3e0d52a99e9de41a8b1bbd29d1bc501633e8f" isNormal="1">
            <s:text>
              <s:r>
                <s:t xml:space="preserve">Administrator:
4/21 上北欧五语通用Slime黑白说明书 162pcs
4/25 上瑞典芬兰警告语贴纸 162pcs</s:t>
              </s:r>
            </s:text>
          </item>
        </commentChain>
      </unresolved>
      <resolved/>
    </commentChains>
    <commentChains s:ref="AA62" rgbClr="FF0000">
      <unresolved>
        <commentChain chainId="0d751f7a1ce7d5593fb5bc467b7dcfefb5a19456">
          <item id="5f556931b202a14bf28182e09ffbf64ef02dc9a2" isNormal="1">
            <s:text>
              <s:r>
                <s:t xml:space="preserve">Administrator:
2000678 5/26 1140pcs 莫海军B4楼B9区
2000651 5/27  12pcs  莫海军B4楼B9区</s:t>
              </s:r>
            </s:text>
          </item>
        </commentChain>
      </unresolved>
      <resolved/>
    </commentChains>
    <commentChains s:ref="AC62" rgbClr="FF0000">
      <unresolved>
        <commentChain chainId="a9e2efd050913c0452508f4d48ac7866985678ac">
          <item id="dc89ad465ac88f526eb5d18b6b0ac1c8b0a59423" isNormal="1">
            <s:text>
              <s:r>
                <s:t xml:space="preserve">Administrator:
4/15 上客供RFID贴纸 1152pcs</s:t>
              </s:r>
            </s:text>
          </item>
        </commentChain>
      </unresolved>
      <resolved/>
    </commentChains>
    <commentChains s:ref="AA63" rgbClr="FF0000">
      <unresolved>
        <commentChain chainId="e14f001ef3909f1c86995cc98be039402bb8d3ad">
          <item id="2bb8e843abfb49677816732bd4f9a4bbd77ac6a4" isNormal="1">
            <s:text>
              <s:r>
                <s:t xml:space="preserve">Administrator:
2000678 5/26 6276pcs 莫海军B4楼A3区</s:t>
              </s:r>
            </s:text>
          </item>
        </commentChain>
      </unresolved>
      <resolved/>
    </commentChains>
    <commentChains s:ref="AC63" rgbClr="FF0000">
      <unresolved>
        <commentChain chainId="d0f412277bca35947ae37e295f048b4897a88d49">
          <item id="681105005ff1b1c5f2c730eea117969553b4a07b" isNormal="1">
            <s:text>
              <s:r>
                <s:t xml:space="preserve">Administrator:
4/15 上客供RFID贴纸 6276pcs
4/25 上粉色艾利贴纸 2437pcs
162370/162371共用
</s:t>
              </s:r>
            </s:text>
          </item>
        </commentChain>
      </unresolved>
      <resolved/>
    </commentChains>
    <commentChains s:ref="AA64" rgbClr="FF0000">
      <unresolved>
        <commentChain chainId="882d94623ef6a63f7b09e888b6a22d4104e14905">
          <item id="1fcb503b3896ddafc7721a47c25c01222c978eb1" isNormal="1">
            <s:text>
              <s:r>
                <s:t xml:space="preserve">Administrator:
2000678 5/26 5976pcs 莫海军B4楼A3区
2000651 5/27  24pcs  莫海军B4楼A3区</s:t>
              </s:r>
            </s:text>
          </item>
        </commentChain>
      </unresolved>
      <resolved/>
    </commentChains>
    <commentChains s:ref="AC64" rgbClr="FF0000">
      <unresolved>
        <commentChain chainId="ecbed819f12d1c5bbb905863c18c692b699695df">
          <item id="51cccfc93dace1dde80f75b73ebb552641b16794" isNormal="1">
            <s:text>
              <s:r>
                <s:t xml:space="preserve">Administrator:
4/15 上客供RFID贴纸 6000pcs
4/25 上粉色艾利贴纸 2437pcs
162370/162371共用
</s:t>
              </s:r>
            </s:text>
          </item>
        </commentChain>
      </unresolved>
      <resolved/>
    </commentChains>
    <commentChains s:ref="AA65" rgbClr="FF0000">
      <unresolved>
        <commentChain chainId="37b6ccb7bda8e093ea01bb14a0c8313f7aafd941">
          <item id="686b4a33265a731ed2ece177a9b6dc8665b1d81b" isNormal="1">
            <s:text>
              <s:r>
                <s:t xml:space="preserve">Administrator:
2000680 5/26 2548pcs 华兴三B15
2000651 5/27  39pcs  华兴三B15
2002388  6/5  13pcs</s:t>
              </s:r>
            </s:text>
          </item>
        </commentChain>
      </unresolved>
      <resolved/>
    </commentChains>
    <commentChains s:ref="AC65" rgbClr="FF0000">
      <unresolved>
        <commentChain chainId="3ad2c1e3440ec55e6453412e8b5eff639f6cab18">
          <item id="4598cee737c0ea6df283ae8708af2cb58c255317" isNormal="1">
            <s:text>
              <s:r>
                <s:t xml:space="preserve">Administrator:
5/9 上挪威语警语贴纸 2600pcs</s:t>
              </s:r>
            </s:text>
          </item>
        </commentChain>
      </unresolved>
      <resolved/>
    </commentChains>
    <commentChains s:ref="AA66" rgbClr="FF0000">
      <unresolved>
        <commentChain chainId="c20903492bb9cea36d5ba8405f1c4c9a69a7b455">
          <item id="3d18a85391e33dae49146716a8b192aaafa998aa" isNormal="1">
            <s:text>
              <s:r>
                <s:t xml:space="preserve">Administrator:
2002439 6/2 3510pcs 已走货</s:t>
              </s:r>
            </s:text>
          </item>
        </commentChain>
      </unresolved>
      <resolved/>
    </commentChains>
    <commentChains s:ref="AC66" rgbClr="FF0000">
      <unresolved>
        <commentChain chainId="ed492823d0ebff1dac53e19779334b2088f1f771">
          <item id="5c94ff8e7d85eff4fd82f12eb2368ae81df0e14f" isNormal="1">
            <s:text>
              <s:r>
                <s:t xml:space="preserve">Administrator:
4/28 上丹麦瑞典挪威芬兰语警告语贴纸 3510pcs
     上北欧五语通用Slime黑白说明书 3510pcs</s:t>
              </s:r>
            </s:text>
          </item>
        </commentChain>
      </unresolved>
      <resolved/>
    </commentChains>
    <commentChains s:ref="AA67" rgbClr="FF0000">
      <unresolved>
        <commentChain chainId="cf8e1da9913af2ca7220fef6eaedab52720f7795">
          <item id="2feed466d8cd3bb48b2493c408b4327489a8bf55" isNormal="1">
            <s:text>
              <s:r>
                <s:t xml:space="preserve">Administrator:
2000680 5/26 540pcs 华兴三B10</s:t>
              </s:r>
            </s:text>
          </item>
        </commentChain>
      </unresolved>
      <resolved/>
    </commentChains>
    <commentChains s:ref="AA68" rgbClr="FF0000">
      <unresolved>
        <commentChain chainId="49e823e0c29e0ada5de259b394c0abba6d725b9d">
          <item id="94e7eeb6cb1daef422608df04d17497096ba5818" isNormal="1">
            <s:text>
              <s:r>
                <s:t xml:space="preserve">Administrator:
2000658 5/27 1458pcs 已走货</s:t>
              </s:r>
            </s:text>
          </item>
        </commentChain>
      </unresolved>
      <resolved/>
    </commentChains>
    <commentChains s:ref="AC68" rgbClr="FF0000">
      <unresolved>
        <commentChain chainId="f3c2dd08c008271c642a1e97539822a4a3428ad8">
          <item id="87e4d867d2a965a328097b8a416e362a2f01ab2d" isNormal="1">
            <s:text>
              <s:r>
                <s:t xml:space="preserve">Administrator:
5/6 上多语警告语贴纸 1460pcs</s:t>
              </s:r>
            </s:text>
          </item>
        </commentChain>
      </unresolved>
      <resolved/>
    </commentChains>
    <commentChains s:ref="AA69" rgbClr="FF0000">
      <unresolved>
        <commentChain chainId="5fba4bb602c849c279b880f3f846f7bdaa2a14b4">
          <item id="19617c08300c1b4c60f74dd858c910fed367de6a" isNormal="1">
            <s:text>
              <s:r>
                <s:t xml:space="preserve">Administrator:
2002439 6/2 729pcs 华兴三A14</s:t>
              </s:r>
            </s:text>
          </item>
        </commentChain>
      </unresolved>
      <resolved/>
    </commentChains>
    <commentChains s:ref="AC69" rgbClr="FF0000">
      <unresolved>
        <commentChain chainId="a45f918a4cb9c79bbb64f956ac2b143d4e5d6b68">
          <item id="e782a66ba50e63e4a8ff857e18ca4dff9ec95c54" isNormal="1">
            <s:text>
              <s:r>
                <s:t xml:space="preserve">Administrator:
5/16 上警告语/进口商贴纸 462pcs
     上北欧五语通用Slime黑白说明书 1191pcs</s:t>
              </s:r>
            </s:text>
          </item>
        </commentChain>
      </unresolved>
      <resolved/>
    </commentChains>
    <commentChains s:ref="AA70" rgbClr="FF0000">
      <unresolved>
        <commentChain chainId="94e12c3731827790a155d32a8ba5c4e5045f82db">
          <item id="15ca846cb2d637b4705acbb702dccb409d8563ad" isNormal="1">
            <s:text>
              <s:r>
                <s:t xml:space="preserve">Administrator:
2002439 6/2 462pcs 华兴三A16</s:t>
              </s:r>
            </s:text>
          </item>
        </commentChain>
      </unresolved>
      <resolved/>
    </commentChains>
    <commentChains s:ref="AC70" rgbClr="FF0000">
      <unresolved>
        <commentChain chainId="ad61bd08668b0439498758ce8a217bebe0eb2151">
          <item id="4e0e98ded95c380022395fe921c854cae1199549" isNormal="1">
            <s:text>
              <s:r>
                <s:t xml:space="preserve">Administrator:
5/16 上警告语/进口商贴纸 462pcs
     上北欧五语通用Slime黑白说明书 1191pcs</s:t>
              </s:r>
            </s:text>
          </item>
        </commentChain>
      </unresolved>
      <resolved/>
    </commentChains>
    <commentChains s:ref="AA71" rgbClr="FF0000">
      <unresolved>
        <commentChain chainId="1c23ae4dfa4ae0c4fa9fb7234786e54de3a1d7cd">
          <item id="ae3ab03983829c456d98cc728aca6e110c145309" isNormal="1">
            <s:text>
              <s:r>
                <s:t xml:space="preserve">Administrator:
消耗PP订单 6/4
</s:t>
              </s:r>
            </s:text>
          </item>
        </commentChain>
      </unresolved>
      <resolved/>
    </commentChains>
    <commentChains s:ref="AC71" rgbClr="FF0000">
      <unresolved>
        <commentChain chainId="a8d20c537fc413aa38a289316c72634d6d5dd3e4">
          <item id="51c3777cebac9334dfe730993d4940cc7bdf011e" isNormal="1">
            <s:text>
              <s:r>
                <s:t xml:space="preserve">Administrator:
2/21 收到UPC贴纸 130pcs
5/29 收到UPC贴纸 156pcs</s:t>
              </s:r>
            </s:text>
          </item>
        </commentChain>
      </unresolved>
      <resolved/>
    </commentChains>
    <commentChains s:ref="AA72" rgbClr="FF0000">
      <unresolved>
        <commentChain chainId="e4a830bdf9107f25ca5adabcdd7b453ad234c788">
          <item id="f850f4250b8326dad68ff1e28db66d986bbf3541" isNormal="1">
            <s:text>
              <s:r>
                <s:t xml:space="preserve">Administrator:
2002361 6/6 744pcs 莫海军B4楼C4区</s:t>
              </s:r>
            </s:text>
          </item>
        </commentChain>
      </unresolved>
      <resolved/>
    </commentChains>
    <commentChains s:ref="AC72" rgbClr="FF0000">
      <unresolved>
        <commentChain chainId="ee8aee16ecda4ca7cd004fc7735c53d7bf1409c4">
          <item id="b141740e5572e17bdf3c140bed5c9763e34451f4" isNormal="1">
            <s:text>
              <s:r>
                <s:t xml:space="preserve">Administrator:
5/12 上EAN贴纸 744pcs
     上警告语贴纸 744pcs
5/23 上空白贴纸 3696pcs
158581/164250/164939共用
</s:t>
              </s:r>
            </s:text>
          </item>
        </commentChain>
      </unresolved>
      <resolved/>
    </commentChains>
    <commentChains s:ref="AA73" rgbClr="FF0000">
      <unresolved>
        <commentChain chainId="f0e7e4986acff25aeb5d68a9e12603035260b196">
          <item id="cc2f394640872f60e730cff1ac5aeda316742bc3" isNormal="1">
            <s:text>
              <s:r>
                <s:t xml:space="preserve">Administrator:
2002344 6/6 2754pcs 新仓库一A4
</s:t>
              </s:r>
            </s:text>
          </item>
        </commentChain>
      </unresolved>
      <resolved/>
    </commentChains>
    <commentChains s:ref="AC73" rgbClr="FF0000">
      <unresolved>
        <commentChain chainId="badcf415ba726cab11b9af90cc11a796dc3382f3">
          <item id="62c0a566eb934ead2b26e02644ae5194230f68e2" isNormal="1">
            <s:text>
              <s:r>
                <s:t xml:space="preserve">Administrator:
5/8 上警语贴纸 2754pcs
    上PDQ GTIN贴纸 102pcs
    上产品图片贴纸 204pcs</s:t>
              </s:r>
            </s:text>
          </item>
        </commentChain>
      </unresolved>
      <resolved/>
    </commentChains>
    <commentChains s:ref="AA74" rgbClr="FF0000">
      <unresolved>
        <commentChain chainId="0fe3ecddb1ccb8ae54643d444539a1480b093253">
          <item id="82a640d09364e4827112b1eec57da18217e4b8d1" isNormal="1">
            <s:text>
              <s:r>
                <s:t xml:space="preserve">Administrator:
2002374 6/5 2314pcs 新仓库一B10</s:t>
              </s:r>
            </s:text>
          </item>
        </commentChain>
      </unresolved>
      <resolved/>
    </commentChains>
    <commentChains s:ref="AC74" rgbClr="FF0000">
      <unresolved>
        <commentChain chainId="594fc49531302442e4857ee56cef15cde4b37117">
          <item id="e0f9718d4908be071f8012f412dce0e83899a804" isNormal="1">
            <s:text>
              <s:r>
                <s:t xml:space="preserve">Administrator:
5/14 上UPC贴纸 2314pcs
     上进口商贴纸 2314pcs</s:t>
              </s:r>
            </s:text>
          </item>
        </commentChain>
      </unresolved>
      <resolved/>
    </commentChains>
    <commentChains s:ref="AA75" rgbClr="FF0000">
      <unresolved>
        <commentChain chainId="0d3fd5828cbf5cfcbe1754275cee51025982c2d6">
          <item id="d604d796d64bef03fd5008dcd3c3db4f88771f7d" isNormal="1">
            <s:text>
              <s:r>
                <s:t xml:space="preserve">Administrator:
2002374 6/5 135pcs 新仓库一B10</s:t>
              </s:r>
            </s:text>
          </item>
        </commentChain>
      </unresolved>
      <resolved/>
    </commentChains>
    <commentChains s:ref="AC75" rgbClr="FF0000">
      <unresolved>
        <commentChain chainId="944d6de7f56446f4648104cdcfc7e6d34810639e">
          <item id="15c067a00ec565ada7965a6e1676a20f9b5d55df" isNormal="1">
            <s:text>
              <s:r>
                <s:t xml:space="preserve">Administrator:
5/19 上进口商贴纸 300pcs</s:t>
              </s:r>
            </s:text>
          </item>
        </commentChain>
      </unresolved>
      <resolved/>
    </commentChains>
    <commentChains s:ref="AA76" rgbClr="FF0000">
      <unresolved>
        <commentChain chainId="db456e45e4e941436dda5e00f7eff4cc9ce3a91a">
          <item id="a2906cb0ab60e8893603386f14a58de4e79b6b41" isNormal="1">
            <s:text>
              <s:r>
                <s:t xml:space="preserve">Administrator:
2002374 6/5 165pcs 新仓库一B10</s:t>
              </s:r>
            </s:text>
          </item>
        </commentChain>
      </unresolved>
      <resolved/>
    </commentChains>
    <commentChains s:ref="AA77" rgbClr="FF0000">
      <unresolved>
        <commentChain chainId="aa2bc9e8763d60e5106ede59cdc336918d36fab7">
          <item id="8f208590ec9f853806d19f7dd3b424ed858f8a78" isNormal="1">
            <s:text>
              <s:r>
                <s:t xml:space="preserve">Administrator:
2002281 6/9 4944pcs 华兴一F3</s:t>
              </s:r>
            </s:text>
          </item>
        </commentChain>
      </unresolved>
      <resolved/>
    </commentChains>
    <commentChains s:ref="AC77" rgbClr="FF0000">
      <unresolved>
        <commentChain chainId="0106da3c4b3a6cfc36fa421a74b9bd5ac8fa4e5c">
          <item id="064fc30fd34f3a157e1f32367f7aa65a3b3d025a" isNormal="1">
            <s:text>
              <s:r>
                <s:t xml:space="preserve">Administrator:
5/19 上进口商贴纸 12112pcs
     上EAN条码贴纸 12112pcs
     上收藏指南空白贴纸 12112pcs</s:t>
              </s:r>
            </s:text>
          </item>
        </commentChain>
      </unresolved>
      <resolved/>
    </commentChains>
    <commentChains s:ref="AA78" rgbClr="FF0000">
      <unresolved>
        <commentChain chainId="34df9667f5aedc2b4e22c23c42f521731a9fe347">
          <item id="e5b9cea27cd287a26931a8fa95c42a1b2b7bfa4e" isNormal="1">
            <s:text>
              <s:r>
                <s:t xml:space="preserve">Administrator:
2002281 6/9 7168pcs 华兴一F3</s:t>
              </s:r>
            </s:text>
          </item>
        </commentChain>
      </unresolved>
      <resolved/>
    </commentChains>
    <commentChains s:ref="AA79" rgbClr="FF0000">
      <unresolved>
        <commentChain chainId="1503944ebc5b24be8e9f4865e9bcd32dfdff5700">
          <item id="a2b1318b538cf54cd237cc688f7e426efc610ad1" isNormal="1">
            <s:text>
              <s:r>
                <s:t xml:space="preserve">Administrator:
2002265 6/10 1152pcs 华兴三B6</s:t>
              </s:r>
            </s:text>
          </item>
        </commentChain>
      </unresolved>
      <resolved/>
    </commentChains>
    <commentChains s:ref="AC79" rgbClr="FF0000">
      <unresolved>
        <commentChain chainId="091d6578ca865ee8b6b4ac88d0c5f1dcdc009772">
          <item id="a7aa416a8a29e5be326f94943ca7d09513876e4f" isNormal="1">
            <s:text>
              <s:r>
                <s:t xml:space="preserve">Administrator:
5/12 上客供RFID贴纸 1152pcs</s:t>
              </s:r>
            </s:text>
          </item>
        </commentChain>
      </unresolved>
      <resolved/>
    </commentChains>
    <commentChains s:ref="AA80" rgbClr="FF0000">
      <unresolved>
        <commentChain chainId="796f620c810b892160b1bdfd34d19acaac968a50">
          <item id="7ae5ba8bb62f12a9285368a75b1cf60508b37750" isNormal="1">
            <s:text>
              <s:r>
                <s:t xml:space="preserve">Administrator:
2002265 6/10 1152pcs 华兴三B6</s:t>
              </s:r>
            </s:text>
          </item>
        </commentChain>
      </unresolved>
      <resolved/>
    </commentChains>
    <commentChains s:ref="AC80" rgbClr="FF0000">
      <unresolved>
        <commentChain chainId="5da97f25a992d7c18056e7027dd114fb8baa2f60">
          <item id="6532d2ba1c5f3a5013c1765aa967beb11ed1d4f9" isNormal="1">
            <s:text>
              <s:r>
                <s:t xml:space="preserve">Administrator:
5/12 上客供RFID贴纸 1152pcs</s:t>
              </s:r>
            </s:text>
          </item>
        </commentChain>
      </unresolved>
      <resolved/>
    </commentChains>
    <commentChains s:ref="AA81" rgbClr="FF0000">
      <unresolved>
        <commentChain chainId="92c8824d1fdeaa3a39d5e54f008a32c934e6965a">
          <item id="8628c2959789193ffc2d15251acc046b9c75cda9" isNormal="1">
            <s:text>
              <s:r>
                <s:t xml:space="preserve">Administrator:
2002239 6/11 5076pcs 华兴三B3
2002226 6/12  54pcs  华兴三B3</s:t>
              </s:r>
            </s:text>
          </item>
        </commentChain>
      </unresolved>
      <resolved/>
    </commentChains>
    <commentChains s:ref="AA82" rgbClr="FF0000">
      <unresolved>
        <commentChain chainId="4a1ca7ee852977ad0e7ef94720a67fee5e7504b6">
          <item id="32b81d5d9b2845d75f3dfaa5b1141e2ca3124333" isNormal="1">
            <s:text>
              <s:r>
                <s:t xml:space="preserve">Administrator:
2002239 6/11 270pcs 华兴三B3</s:t>
              </s:r>
            </s:text>
          </item>
        </commentChain>
      </unresolved>
      <resolved/>
    </commentChains>
    <commentChains s:ref="AA83" rgbClr="FF0000">
      <unresolved>
        <commentChain chainId="2da4ca70454826c32f3d93805f8ccd9f85730226">
          <item id="3c122d08ec922b0d6379d8b62fb405ff735555f1" isNormal="1">
            <s:text>
              <s:r>
                <s:t xml:space="preserve">Administrator:
2002239 6/11 648pcs 华兴三B3</s:t>
              </s:r>
            </s:text>
          </item>
        </commentChain>
      </unresolved>
      <resolved/>
    </commentChains>
    <commentChains s:ref="AA84" rgbClr="FF0000">
      <unresolved>
        <commentChain chainId="4b1f120b429f5ef4f23bcd500b866249503e003b">
          <item id="7b5225a2882f16ee6421c4bf1ee1c6745a0f40f3" isNormal="1">
            <s:text>
              <s:r>
                <s:t xml:space="preserve">Administrator:
2002244 6/12 1530pcs 已走货</s:t>
              </s:r>
            </s:text>
          </item>
        </commentChain>
      </unresolved>
      <resolved/>
    </commentChains>
    <commentChains s:ref="AC84" rgbClr="FF0000">
      <unresolved>
        <commentChain chainId="00e29cccf1182f621d30c7f5bf1c45d3e72e6a16">
          <item id="d1477fd320616721aca8cf688dc00293110124e8" isNormal="1">
            <s:text>
              <s:r>
                <s:t xml:space="preserve">Administrator:
5/27 上丹麦语警告语贴纸 1530pcs
     上北欧五语通用Slime黑白说明书 1530pcs</s:t>
              </s:r>
            </s:text>
          </item>
        </commentChain>
      </unresolved>
      <resolved/>
    </commentChains>
    <commentChains s:ref="AA85" rgbClr="FF0000">
      <unresolved>
        <commentChain chainId="696125ebaa97f15112f2e37be6127967bda28a19">
          <item id="e2771c689c844583d4242c7d0217819c8d371b74" isNormal="1">
            <s:text>
              <s:r>
                <s:t xml:space="preserve">Administrator:
2002485 6/11 2249pcs 华兴三B11</s:t>
              </s:r>
            </s:text>
          </item>
        </commentChain>
      </unresolved>
      <resolved/>
    </commentChains>
    <commentChains s:ref="AA86" rgbClr="FF0000">
      <unresolved>
        <commentChain chainId="069fe8a1cd2c64ad8d0c527b156f68a16b45e902">
          <item id="cdbaaaa93413f48d934bf04be9d8e980b33e76ef" isNormal="1">
            <s:text>
              <s:r>
                <s:t xml:space="preserve">Administrator:
2002239 6/11 1209pcs 华兴三B15</s:t>
              </s:r>
            </s:text>
          </item>
        </commentChain>
      </unresolved>
      <resolved/>
    </commentChains>
    <commentChains s:ref="AA87" rgbClr="FF0000">
      <unresolved>
        <commentChain chainId="c0a888ce825c51ad595a36edb583f95d7352c625">
          <item id="fe8998dce618870bf835ebd783f48bb59314c3bd" isNormal="1">
            <s:text>
              <s:r>
                <s:t xml:space="preserve">Administrator:
2002312 6/7 486pcs 华兴三B14</s:t>
              </s:r>
            </s:text>
          </item>
        </commentChain>
      </unresolved>
      <resolved/>
    </commentChains>
    <commentChains s:ref="AC87" rgbClr="FF0000">
      <unresolved>
        <commentChain chainId="e1a7c4d7dfa1b95fc64bd34c94f9c240c6d4009d">
          <item id="5a368831ce7d6ae6463d4cf2e6247e78854ad516" isNormal="1">
            <s:text>
              <s:r>
                <s:t xml:space="preserve">Administrator:
5/23 上价标贴纸 486pcs
5/26 上客供Hu贴纸 9pcs
     上客供ASN贴纸 9pcs</s:t>
              </s:r>
            </s:text>
          </item>
        </commentChain>
      </unresolved>
      <resolved/>
    </commentChains>
    <commentChains s:ref="AA88" rgbClr="FF0000">
      <unresolved>
        <commentChain chainId="caa63c96fee846764cb9093c21eb46ded3663bc9">
          <item id="91ea5ec57ffd5a1899aa9f3b8c6b1b97fead78d7" isNormal="1">
            <s:text>
              <s:r>
                <s:t xml:space="preserve">Administrator:
2002239 6/11 2470pcs 华兴三A28
2002226 6/12 130pcs  华兴三A28</s:t>
              </s:r>
            </s:text>
          </item>
        </commentChain>
      </unresolved>
      <resolved/>
    </commentChains>
    <commentChains s:ref="AA89" rgbClr="FF0000">
      <unresolved>
        <commentChain chainId="905a21ecec3f81eda62090cf76926a0d77c6c78b">
          <item id="be29e09ce61b83a7119dc038360edc56577a26cb" isNormal="1">
            <s:text>
              <s:r>
                <s:t xml:space="preserve">Administrator:
2002239 6/11 4667pcs 华兴三A28
2002226 6/12  13pcs  华兴三A28</s:t>
              </s:r>
            </s:text>
          </item>
        </commentChain>
      </unresolved>
      <resolved/>
    </commentChains>
    <commentChains s:ref="AA90" rgbClr="FF0000">
      <unresolved>
        <commentChain chainId="87e8f93f1a9fe0d3dcdafd4da2600a8dcfd20903">
          <item id="42d448cca783de62662022fab02b3c1c864180d4" isNormal="1">
            <s:text>
              <s:r>
                <s:t xml:space="preserve">Administrator:
2002202 6/13 1040pcs 已走货</s:t>
              </s:r>
            </s:text>
          </item>
        </commentChain>
      </unresolved>
      <resolved/>
    </commentChains>
    <commentChains s:ref="AC90" rgbClr="FF0000">
      <unresolved>
        <commentChain chainId="7564f8acce3d5abe5aac2dad6047c206afea86bf">
          <item id="9551407defecf819f86c40496c667e4c2d7d328d" isNormal="1">
            <s:text>
              <s:r>
                <s:t xml:space="preserve">Administrator:
5/19 上进口商贴纸 1040pcs</s:t>
              </s:r>
            </s:text>
          </item>
        </commentChain>
      </unresolved>
      <resolved/>
    </commentChains>
    <commentChains s:ref="AA91" rgbClr="FF0000">
      <unresolved>
        <commentChain chainId="83a06485c4d7372d828ac70a037e658e2329d58f">
          <item id="c1b7586e6d0cc3822541ac83717a2f84f2ae96d8" isNormal="1">
            <s:text>
              <s:r>
                <s:t xml:space="preserve">Administrator:
2002235 6/12 1092pcs 华兴三B5
2002207 6/14  60pcs  华兴三B5</s:t>
              </s:r>
            </s:text>
          </item>
        </commentChain>
      </unresolved>
      <resolved/>
    </commentChains>
    <commentChains s:ref="AC91" rgbClr="FF0000">
      <unresolved>
        <commentChain chainId="c86920ca45ac2542ce4e850c2d727aa7d59c07cb">
          <item id="edee4dae0e021ae30e7f701be19d6e056821f08f" isNormal="1">
            <s:text>
              <s:r>
                <s:t xml:space="preserve">Administrator:
5/26 上客供RFID贴纸 1152pcs</s:t>
              </s:r>
            </s:text>
          </item>
        </commentChain>
      </unresolved>
      <resolved/>
    </commentChains>
    <commentChains s:ref="AA92" rgbClr="FF0000">
      <unresolved>
        <commentChain chainId="84a358ccada65d4af6dac9aef278e7d2cb5da94f">
          <item id="d28463bb7709162581bb6bbae535aa6e1b145f3a" isNormal="1">
            <s:text>
              <s:r>
                <s:t xml:space="preserve">Administrator:
2002226 6/12 1152pcs 华兴三B4</s:t>
              </s:r>
            </s:text>
          </item>
        </commentChain>
      </unresolved>
      <resolved/>
    </commentChains>
    <commentChains s:ref="AC92" rgbClr="FF0000">
      <unresolved>
        <commentChain chainId="d96c8dd2979a62c4ec0fce2686dd0f7f7f22d0f6">
          <item id="1e9fb055f01a828e22c293ae08ba936bb3612702" isNormal="1">
            <s:text>
              <s:r>
                <s:t xml:space="preserve">Administrator:
5/12 上客供RFID贴纸 1152pcs</s:t>
              </s:r>
            </s:text>
          </item>
        </commentChain>
      </unresolved>
      <resolved/>
    </commentChains>
    <commentChains s:ref="AA93" rgbClr="FF0000">
      <unresolved>
        <commentChain chainId="07b10eec4beedb00eb8251da4d8bd43150021fc6">
          <item id="e84c894d4e83b5b765f6dbe21200c56ea45eb529" isNormal="1">
            <s:text>
              <s:r>
                <s:t xml:space="preserve">Administrator:
2002202 6/13 2444pcs 已走货</s:t>
              </s:r>
            </s:text>
          </item>
        </commentChain>
      </unresolved>
      <resolved/>
    </commentChains>
    <commentChains s:ref="AC93" rgbClr="FF0000">
      <unresolved>
        <commentChain chainId="f6efcb522930a42b798b5818158b37dcc0545851">
          <item id="1321c9f8b3c499504d06b265130b5df5b73aaeae" isNormal="1">
            <s:text>
              <s:r>
                <s:t xml:space="preserve">Administrator:
5/19 上环保标/警语贴纸 2444pcs
     上袋子警语贴纸 2444pcs</s:t>
              </s:r>
            </s:text>
          </item>
        </commentChain>
      </unresolved>
      <resolved/>
    </commentChains>
    <commentChains s:ref="AA94" rgbClr="FF0000">
      <unresolved>
        <commentChain chainId="347dd81ba8c2dd31fe64e8e4e1681672826cf274">
          <item id="c6c24d5be949336c02125a644a12ebbfe96591a4" isNormal="1">
            <s:text>
              <s:r>
                <s:t xml:space="preserve">Administrator:
2002150 6/16 504pcs 已走货</s:t>
              </s:r>
            </s:text>
          </item>
        </commentChain>
      </unresolved>
      <resolved/>
    </commentChains>
    <commentChains s:ref="AC94" rgbClr="FF0000">
      <unresolved>
        <commentChain chainId="a545789a184453c4bc30b21a172dbef8766837e7">
          <item id="05cab809e9d4c4460d3f691768e58ab5ab866767" isNormal="1">
            <s:text>
              <s:r>
                <s:t xml:space="preserve">Administrator:
5/23 上空白贴纸 3696pcs
158581/164250/164939共用
6/17 上空白贴纸 4704pcs
158581/164250/164939共用</s:t>
              </s:r>
            </s:text>
          </item>
        </commentChain>
      </unresolved>
      <resolved/>
    </commentChains>
    <commentChains s:ref="AA95" rgbClr="FF0000">
      <unresolved>
        <commentChain chainId="01a094872188a9cababca495586903a611850644">
          <item id="a04fbbe0e83bf2ccf0427a7d10923210bc4eb6f8" isNormal="1">
            <s:text>
              <s:r>
                <s:t xml:space="preserve">Administrator:
2002105 6/17 7236pcs 华兴三A23</s:t>
              </s:r>
            </s:text>
          </item>
        </commentChain>
      </unresolved>
      <resolved/>
    </commentChains>
    <commentChains s:ref="AC95" rgbClr="FF0000">
      <unresolved>
        <commentChain chainId="3f330977d34cf6e0f0bc667e185d2c3c7e68168f">
          <item id="42fb69b02c2b9cdaf725db1767cc5a738cfea258" isNormal="1">
            <s:text>
              <s:r>
                <s:t xml:space="preserve">Administrator:
5/27 上UPC条码贴纸 7236pcs
     上进口商贴纸 7236pcs</s:t>
              </s:r>
            </s:text>
          </item>
        </commentChain>
      </unresolved>
      <resolved/>
    </commentChains>
    <commentChains s:ref="AA96" rgbClr="FF0000">
      <unresolved>
        <commentChain chainId="2c6fcc5108c5b262baf628a3dc3feedf49a550a8">
          <item id="5e0da8539628c4a332eb0fcca76a85242b34235c" isNormal="1">
            <s:text>
              <s:r>
                <s:t xml:space="preserve">Administrator:
2002105 6/17 540pcs 华兴三A27</s:t>
              </s:r>
            </s:text>
          </item>
        </commentChain>
      </unresolved>
      <resolved/>
    </commentChains>
    <commentChains s:ref="AC96" rgbClr="FF0000">
      <unresolved>
        <commentChain chainId="848b77f47759ea94014202bf811b5772bf071afd">
          <item id="70087a8db90da9c9f1c598d24a2c01b1ce0b83b4" isNormal="1">
            <s:text>
              <s:r>
                <s:t xml:space="preserve">Administrator:
5/26 上UPC贴纸 540pcs
     上进口商贴纸 540pcs</s:t>
              </s:r>
            </s:text>
          </item>
        </commentChain>
      </unresolved>
      <resolved/>
    </commentChains>
    <commentChains s:ref="AA97" rgbClr="FF0000">
      <unresolved>
        <commentChain chainId="92fa56943ffd1b2a1bc2274f12f4e886155562b7">
          <item id="89b0c200780c86ae554d9c31e7e3760b5402daa2" isNormal="1">
            <s:text>
              <s:r>
                <s:t xml:space="preserve">Administrator:
2002131 6/18 1152pcs 华兴三B5</s:t>
              </s:r>
            </s:text>
          </item>
        </commentChain>
      </unresolved>
      <resolved/>
    </commentChains>
    <commentChains s:ref="AC97" rgbClr="FF0000">
      <unresolved>
        <commentChain chainId="4006ebc2491d858b008c2603cc253b827ebb6fb4">
          <item id="6e325800a1d12c84b288f5dd651ec98a35e9b24c" isNormal="1">
            <s:text>
              <s:r>
                <s:t xml:space="preserve">Administrator:
5/12 上客供RFID贴纸 1152pcs</s:t>
              </s:r>
            </s:text>
          </item>
        </commentChain>
      </unresolved>
      <resolved/>
    </commentChains>
    <commentChains s:ref="AA98" rgbClr="FF0000">
      <unresolved>
        <commentChain chainId="850ba81cf8b6a8f8ffd7949b94f4af33f8544b97">
          <item id="1c188146f9f65f058baa60fe052eefcc5264686f" isNormal="1">
            <s:text>
              <s:r>
                <s:t xml:space="preserve">Administrator:
2002131 6/18 1116pcs 华兴三B5
2002071 6/20  36pcs  华兴三B5</s:t>
              </s:r>
            </s:text>
          </item>
        </commentChain>
      </unresolved>
      <resolved/>
    </commentChains>
    <commentChains s:ref="AC98" rgbClr="FF0000">
      <unresolved>
        <commentChain chainId="c84fb69227e4baceacf0e957e3b707f40a6db667">
          <item id="a82eef9b66775fff438e63b17e73389c147dd7d9" isNormal="1">
            <s:text>
              <s:r>
                <s:t xml:space="preserve">Administrator:
5/12 上客供RFID贴纸 1152pcs</s:t>
              </s:r>
            </s:text>
          </item>
        </commentChain>
      </unresolved>
      <resolved/>
    </commentChains>
    <commentChains s:ref="AA99" rgbClr="FF0000">
      <unresolved>
        <commentChain chainId="4d6df4d535c5785a048be8e2e319ec44c74b1e47">
          <item id="81083d933f978b314aef40d1eea4a02c906dc210" isNormal="1">
            <s:text>
              <s:r>
                <s:t xml:space="preserve">Administrator:
2002131 6/18 1140pcs 华兴三B5
2002071 6/20   12pcs 华兴三B5</s:t>
              </s:r>
            </s:text>
          </item>
        </commentChain>
      </unresolved>
      <resolved/>
    </commentChains>
    <commentChains s:ref="AC99" rgbClr="FF0000">
      <unresolved>
        <commentChain chainId="6a5d795f0f10cf0f64680c2032d86d12ea1202fe">
          <item id="9fac5277dd5c6f273f906ac9be572830f06eae83" isNormal="1">
            <s:text>
              <s:r>
                <s:t xml:space="preserve">Administrator:
5/12 上客供RFID贴纸 1152pcs</s:t>
              </s:r>
            </s:text>
          </item>
        </commentChain>
      </unresolved>
      <resolved/>
    </commentChains>
    <commentChains s:ref="AA100" rgbClr="FF0000">
      <unresolved>
        <commentChain chainId="48bbf09d91325369b304972ebaf39f3d3f8a7ab4">
          <item id="046f43b44658bdc553630d9736dce3dbe7a664a7" isNormal="1">
            <s:text>
              <s:r>
                <s:t xml:space="preserve">Administrator:
2002131 6/18 624pcs 华兴三B14</s:t>
              </s:r>
            </s:text>
          </item>
        </commentChain>
      </unresolved>
      <resolved/>
    </commentChains>
    <commentChains s:ref="AC100" rgbClr="FF0000">
      <unresolved>
        <commentChain chainId="b14f1cb29cb8c535de120dc2ca78ddc79051012c">
          <item id="7b6d7f5e4402918ffca2a9d27ed0d091fe48f9b5" isNormal="1">
            <s:text>
              <s:r>
                <s:t xml:space="preserve">Administrator:
5/17 上进口商贴纸 624pcs</s:t>
              </s:r>
            </s:text>
          </item>
        </commentChain>
      </unresolved>
      <resolved/>
    </commentChains>
    <commentChains s:ref="AA101" rgbClr="FF0000">
      <unresolved>
        <commentChain chainId="a0cd65c2e2718cac7cee717d1dcc63489f0f3f20">
          <item id="aed303049f3d4ee1f8ff3205f069b0195a2a4aa4" isNormal="1">
            <s:text>
              <s:r>
                <s:t xml:space="preserve">Administrator:
2002145 6/19 5980pcs 华兴三A21</s:t>
              </s:r>
            </s:text>
          </item>
        </commentChain>
      </unresolved>
      <resolved/>
    </commentChains>
    <commentChains s:ref="AA102" rgbClr="FF0000">
      <unresolved>
        <commentChain chainId="cd74b0d3894295ee064576b14eb42e848df78ab7">
          <item id="e8bab93715f7ae030e7c1e0c3fd45548b5e36ec3" isNormal="1">
            <s:text>
              <s:r>
                <s:t xml:space="preserve">Administrator:
2002140 6/19 3744pcs 华兴三A20
2002145 6/19 2444pcs 华兴三A20
2002051 6/21 1768pcs 华兴三A20</s:t>
              </s:r>
            </s:text>
          </item>
        </commentChain>
      </unresolved>
      <resolved/>
    </commentChains>
    <commentChains s:ref="AA103" rgbClr="FF0000">
      <unresolved>
        <commentChain chainId="bb83a1d919db0deec5533d4efecff464ba81088e">
          <item id="b110480d925b45468029f15fed63ddbcfdfb14be" isNormal="1">
            <s:text>
              <s:r>
                <s:t xml:space="preserve">Administrator:
2000844 6/20 1440pcs 华兴三A27
</s:t>
              </s:r>
            </s:text>
          </item>
        </commentChain>
      </unresolved>
      <resolved/>
    </commentChains>
    <commentChains s:ref="AC103" rgbClr="FF0000">
      <unresolved>
        <commentChain chainId="a25c0000746da82e1acbf30479daa481007f3427">
          <item id="b642c6acb0d82e4e027ad18dc2475c8624e223b0" isNormal="1">
            <s:text>
              <s:r>
                <s:t xml:space="preserve">Administrator:
6/3 上价格贴纸 1512pcs
5/29 上德语警告语贴纸 1440pcs</s:t>
              </s:r>
            </s:text>
          </item>
        </commentChain>
      </unresolved>
      <resolved/>
    </commentChains>
    <commentChains s:ref="AA104" rgbClr="FF0000">
      <unresolved>
        <commentChain chainId="2a87f138cd40667da338910a2a251775514cf635">
          <item id="23df80a529c7116dd7612123961cf76b3132fc14" isNormal="1">
            <s:text>
              <s:r>
                <s:t xml:space="preserve">Administrator:
2000844 6/20 1287pcs 华兴三B14</s:t>
              </s:r>
            </s:text>
          </item>
        </commentChain>
      </unresolved>
      <resolved/>
    </commentChains>
    <commentChains s:ref="AC104" rgbClr="FF0000">
      <unresolved>
        <commentChain chainId="6a7fa59ba32ce891ef6fc104b4638264cedf4efb">
          <item id="8d1c8488fb6f112a8fe3db7335dab042f5c3571e" isNormal="1">
            <s:text>
              <s:r>
                <s:t xml:space="preserve">Administrator:
5/30 上UPC贴纸 1287pcs</s:t>
              </s:r>
            </s:text>
          </item>
        </commentChain>
      </unresolved>
      <resolved/>
    </commentChains>
    <commentChains s:ref="AA105" rgbClr="FF0000">
      <unresolved>
        <commentChain chainId="ce521e66e628fcd709e2da439bd39a1de82e5689">
          <item id="4c678e08ab6920753712a58e21fce914a90d9f72" isNormal="1">
            <s:text>
              <s:r>
                <s:t xml:space="preserve">Administrator:
2002190 6/19 648pcs 华兴三B9</s:t>
              </s:r>
            </s:text>
          </item>
        </commentChain>
      </unresolved>
      <resolved/>
    </commentChains>
    <commentChains s:ref="AC105" rgbClr="FF0000">
      <unresolved>
        <commentChain chainId="4e80c96230caca86ed5366b4d7cff7d8207446aa">
          <item id="124f188b988697cdecac64723aa4c61a44052c22" isNormal="1">
            <s:text>
              <s:r>
                <s:t xml:space="preserve">Administrator:
6/10 上进口商贴纸 648pcs
     上UPC贴纸 648pcs
6/17 上进口商贴纸 648pcs
     上UPC贴纸 648pcs 生产返工补数</s:t>
              </s:r>
            </s:text>
          </item>
        </commentChain>
      </unresolved>
      <resolved/>
    </commentChains>
    <commentChains s:ref="AA106" rgbClr="FF0000">
      <unresolved>
        <commentChain chainId="3f6d08f22e6766676f83b9e32edf0c0bafb78dfe">
          <item id="75170d8b9816a3d05b1a05cf8f9596bb1a9e19e9" isNormal="1">
            <s:text>
              <s:r>
                <s:t xml:space="preserve">Administrator:
3001870 6/24 2509pcs 已走货</s:t>
              </s:r>
            </s:text>
          </item>
        </commentChain>
      </unresolved>
      <resolved/>
    </commentChains>
    <commentChains s:ref="AC106" rgbClr="FF0000">
      <unresolved>
        <commentChain chainId="f8858301c805b05c5bee130bdc176fa4dd86b2f4">
          <item id="7d7a042e8f56f16b6e0b231af06e7a3435926af0" isNormal="1">
            <s:text>
              <s:r>
                <s:t xml:space="preserve">Administrator:
5/29 上8+贴纸 6539pcs
6/21 上8+贴纸 6539pcs 生产补数</s:t>
              </s:r>
            </s:text>
          </item>
        </commentChain>
      </unresolved>
      <resolved/>
    </commentChains>
    <commentChains s:ref="AA107" rgbClr="FF0000">
      <unresolved>
        <commentChain chainId="cde5e4c4231a4830591469a0a28e3b5c11b0dba3">
          <item id="a101ae0bf41a5f1229e11c39abb5502f8f40e826" isNormal="1">
            <s:text>
              <s:r>
                <s:t xml:space="preserve">Administrator:
3001870 6/24 130pcs 已走货</s:t>
              </s:r>
            </s:text>
          </item>
        </commentChain>
      </unresolved>
      <resolved/>
    </commentChains>
    <commentChains s:ref="AC107" rgbClr="FF0000">
      <unresolved>
        <commentChain chainId="b77a6b1c9499f8e89d448c52656497fb52938228">
          <item id="3898e3397310a85ab24ba13fddcb515d268d9487" isNormal="1">
            <s:text>
              <s:r>
                <s:t xml:space="preserve">Administrator:
5/29 上8+贴纸 6539pcs
6/21 上8+贴纸 6539pcs 生产补数</s:t>
              </s:r>
            </s:text>
          </item>
        </commentChain>
      </unresolved>
      <resolved/>
    </commentChains>
    <commentChains s:ref="AA108" rgbClr="FF0000">
      <unresolved>
        <commentChain chainId="e6df49054c0fc9894ab64c9b0cae16faa14ceacf">
          <item id="cbd6f184c2fb141016b4169ccc34d5a1718d1454" isNormal="1">
            <s:text>
              <s:r>
                <s:t xml:space="preserve">Administrator:
3001870 6/24 2535pcs 已走货
3001800 6/25   65pcs 已走货</s:t>
              </s:r>
            </s:text>
          </item>
        </commentChain>
      </unresolved>
      <resolved/>
    </commentChains>
    <commentChains s:ref="AC108" rgbClr="FF0000">
      <unresolved>
        <commentChain chainId="18bf4935d5236974ebafb4055ce0a22a614efb29">
          <item id="efcf512dbb180a0e4b660a158286ef1d8f658dcc" isNormal="1">
            <s:text>
              <s:r>
                <s:t xml:space="preserve">Administrator:
5/29 上8+贴纸 6539pcs
6/21 上8+贴纸 6539pcs 生产补数</s:t>
              </s:r>
            </s:text>
          </item>
        </commentChain>
      </unresolved>
      <resolved/>
    </commentChains>
    <commentChains s:ref="AA109" rgbClr="FF0000">
      <unresolved>
        <commentChain chainId="8cbc3123e39ffc9935b34d4555a9916f28a6fa33">
          <item id="763e4b25cc6f81b9517c751990617f6d7c72b750" isNormal="1">
            <s:text>
              <s:r>
                <s:t xml:space="preserve">Administrator:
3001870 6/24 1300pcs 已走货</s:t>
              </s:r>
            </s:text>
          </item>
        </commentChain>
      </unresolved>
      <resolved/>
    </commentChains>
    <commentChains s:ref="AC109" rgbClr="FF0000">
      <unresolved>
        <commentChain chainId="384c7fa35afedaec51a720fd5f0898358b33f507">
          <item id="650c363e098e20615a1b6813d2a15bb8fea19fb5" isNormal="1">
            <s:text>
              <s:r>
                <s:t xml:space="preserve">Administrator:
5/29 上8+贴纸 6539pcs
6/21 上8+贴纸 6539pcs 生产补数</s:t>
              </s:r>
            </s:text>
          </item>
        </commentChain>
      </unresolved>
      <resolved/>
    </commentChains>
    <commentChains s:ref="AA110" rgbClr="FF0000">
      <unresolved>
        <commentChain chainId="af13bfd79cf98df9ecfc8cca3f609cb4c06f6582">
          <item id="988893cf50efc335960bd7cb8bea5d8dbc01a6b9" isNormal="1">
            <s:text>
              <s:r>
                <s:t xml:space="preserve">Administrator:
2001982 6/23 4160pcs 新仓库一B10</s:t>
              </s:r>
            </s:text>
          </item>
        </commentChain>
      </unresolved>
      <resolved/>
    </commentChains>
    <commentChains s:ref="AA111" rgbClr="FF0000">
      <unresolved>
        <commentChain chainId="8418b421915f12e767de75b7119e9f71dd2e84e1">
          <item id="304e7c236b0048869caad3c967d64f3138748230" isNormal="1">
            <s:text>
              <s:r>
                <s:t xml:space="preserve">Administrator:
2001689 6/23 1040pcs 新仓库一B10</s:t>
              </s:r>
            </s:text>
          </item>
        </commentChain>
      </unresolved>
      <resolved/>
    </commentChains>
    <commentChains s:ref="AA112" rgbClr="FF0000">
      <unresolved>
        <commentChain chainId="45b9a2cebd50ccf239b8f7ab61e91951b682286a">
          <item id="63500751073529fc78c8ab201d1aac96d6870e69" isNormal="1">
            <s:text>
              <s:r>
                <s:t xml:space="preserve">Administrator:
2001684 6/23 611pcs 新仓库一C1</s:t>
              </s:r>
            </s:text>
          </item>
        </commentChain>
      </unresolved>
      <resolved/>
    </commentChains>
    <commentChains s:ref="AA113" rgbClr="FF0000">
      <unresolved>
        <commentChain chainId="e26c41aafd9fa52bf6800b89bae4596d7a3defd3">
          <item id="89eb36fbd150d64e2de2f41dd636b0826acffbdd" isNormal="1">
            <s:text>
              <s:r>
                <s:t xml:space="preserve">Administrator:
2001666 6/24 403pcs 华兴三B14</s:t>
              </s:r>
            </s:text>
          </item>
        </commentChain>
      </unresolved>
      <resolved/>
    </commentChains>
    <commentChains s:ref="AA114" rgbClr="FF0000">
      <unresolved>
        <commentChain chainId="c4fdb70c65571f2c07fd648d9f3ca56f9582e183">
          <item id="aae18de9fc306020873172c0d97b2141112d03c9" isNormal="1">
            <s:text>
              <s:r>
                <s:t xml:space="preserve">Administrator:
2001652 6/25 540pcs 新仓库一B9
</s:t>
              </s:r>
            </s:text>
          </item>
        </commentChain>
      </unresolved>
      <resolved/>
    </commentChains>
    <commentChains s:ref="AC114" rgbClr="FF0000">
      <unresolved>
        <commentChain chainId="98d874a31a88b1a28435720ffd40deed2a642dac">
          <item id="87872ec13918263870f4d25f2c7c18cf6cfebc05" isNormal="1">
            <s:text>
              <s:r>
                <s:t xml:space="preserve">Administrator:
6/13 上UPC贴纸 540pcs</s:t>
              </s:r>
            </s:text>
          </item>
        </commentChain>
      </unresolved>
      <resolved/>
    </commentChains>
    <commentChains s:ref="AA115" rgbClr="FF0000">
      <unresolved>
        <commentChain chainId="a0079b4753707f1d2d292edb094d3aee937b6609">
          <item id="d6071444852db2a5efea32c3cf43c1c4f44de06f" isNormal="1">
            <s:text>
              <s:r>
                <s:t xml:space="preserve">Administrator:
2001642 6/27 1800pcs 华兴三B16</s:t>
              </s:r>
            </s:text>
          </item>
        </commentChain>
      </unresolved>
      <resolved/>
    </commentChains>
    <commentChains s:ref="AA116" rgbClr="FF0000">
      <unresolved>
        <commentChain chainId="07c5de6f3f13739c5297418f55f207ab21fee662">
          <item id="f13eb6be2f773bd6f1f01a4b2607c8635f5f56b6" isNormal="1">
            <s:text>
              <s:r>
                <s:t xml:space="preserve">Administrator:
2001682 6/23 10309pcs 莫海军B栋4楼A3区</s:t>
              </s:r>
            </s:text>
          </item>
        </commentChain>
      </unresolved>
      <resolved/>
    </commentChains>
    <commentChains s:ref="AA117" rgbClr="FF0000">
      <unresolved>
        <commentChain chainId="41b2c0d543c7f225ef660c3aceddfd64588a6e1f">
          <item id="b942e442afed67feb85e11ec9af1a60ce663a63e" isNormal="1">
            <s:text>
              <s:r>
                <s:t xml:space="preserve">Administrator:
2001642 6/27 6642pcs 华兴三A21</s:t>
              </s:r>
            </s:text>
          </item>
        </commentChain>
      </unresolved>
      <resolved/>
    </commentChains>
    <commentChains s:ref="AC117" rgbClr="FF0000">
      <unresolved>
        <commentChain chainId="14f1c8812c917e0417648bb52927866da966bae3">
          <item id="5041c7c975c5598f0d8a21cd401781164c72ba32" isNormal="1">
            <s:text>
              <s:r>
                <s:t xml:space="preserve">Administrator:
6/13 上进口商贴纸（含客户条码） 6642pcs
6/25 上进口商贴纸 100pcs-生产损耗补数</s:t>
              </s:r>
            </s:text>
          </item>
        </commentChain>
      </unresolved>
      <resolved/>
    </commentChains>
    <commentChains s:ref="AA118" rgbClr="FF0000">
      <unresolved>
        <commentChain chainId="fca2030378e22caffe2f823448c3dc3971713f70">
          <item id="da15107518763c2ad64bb9970f30d212d98887e4" isNormal="1">
            <s:text>
              <s:r>
                <s:t xml:space="preserve">Administrator:
2001666 6/24 52pcs 华兴三B14
</s:t>
              </s:r>
            </s:text>
          </item>
        </commentChain>
      </unresolved>
      <resolved/>
    </commentChains>
    <commentChains s:ref="AA119" rgbClr="FF0000">
      <unresolved>
        <commentChain chainId="8ae98fd27da3e4dbbbe80c75b30086c32ced336f">
          <item id="9d91521ba6fb047a320e186d97a6fa20d08f23f0" isNormal="1">
            <s:text>
              <s:r>
                <s:t xml:space="preserve">Administrator:
2001666 6/24 325pcs 华兴三B14
</s:t>
              </s:r>
            </s:text>
          </item>
        </commentChain>
      </unresolved>
      <resolved/>
    </commentChains>
    <commentChains s:ref="AA120" rgbClr="FF0000">
      <unresolved>
        <commentChain chainId="2f1b7295417b03ea667e6173581233ba09ecfc39">
          <item id="e6af3d9e3878ad8291875511e6930f3f2a48189d" isNormal="1">
            <s:text>
              <s:r>
                <s:t xml:space="preserve">Administrator:
2001666 6/24 273pcs 华兴三B14
</s:t>
              </s:r>
            </s:text>
          </item>
        </commentChain>
      </unresolved>
      <resolved/>
    </commentChains>
    <commentChains s:ref="AA121" rgbClr="FF0000">
      <unresolved>
        <commentChain chainId="75c3ceee905d6c6bc295598de5277d08f7c214fe">
          <item id="8d8b80d61bd2355a09fa7e2e39aad0fd65835e3b" isNormal="1">
            <s:text>
              <s:r>
                <s:t xml:space="preserve">Administrator:
2001666 6/24 182pcs 华兴三B14
</s:t>
              </s:r>
            </s:text>
          </item>
        </commentChain>
      </unresolved>
      <resolved/>
    </commentChains>
    <commentChains s:ref="AA122" rgbClr="FF0000">
      <unresolved>
        <commentChain chainId="892f2f7b6750274f443b408fa7576dc651c5fcc4">
          <item id="fb08fc2d38d7c2eb9142426572a79ddf577cf584" isNormal="1">
            <s:text>
              <s:r>
                <s:t xml:space="preserve">Administrator:
2001652 6/25 4023pcs 新仓库一B9</s:t>
              </s:r>
            </s:text>
          </item>
        </commentChain>
      </unresolved>
      <resolved/>
    </commentChains>
    <commentChains s:ref="AC122" rgbClr="FF0000">
      <unresolved>
        <commentChain chainId="a9562a017d8be8e431d69fa3651bccf56d84ea91">
          <item id="3197267023c3279e5c14d9100ca1b003d1e92348" isNormal="1">
            <s:text>
              <s:r>
                <s:t xml:space="preserve">Administrator:
5/30 上slime bag荷兰语警语贴纸 4023pcs
     上德意荷警语贴纸 4023pcs</s:t>
              </s:r>
            </s:text>
          </item>
        </commentChain>
      </unresolved>
      <resolved/>
    </commentChains>
    <commentChains s:ref="AA123" rgbClr="FF0000">
      <unresolved>
        <commentChain chainId="0f113c5b3f02cf38a518d42958fc24ff2af644a2">
          <item id="67197dbf0bd21ee7ba72e73fcb9c9402ac6a191c" isNormal="1">
            <s:text>
              <s:r>
                <s:t xml:space="preserve">Administrator:
2001652 6/25 324pcs 新仓库一B9</s:t>
              </s:r>
            </s:text>
          </item>
        </commentChain>
      </unresolved>
      <resolved/>
    </commentChains>
    <commentChains s:ref="AA124" rgbClr="FF0000">
      <unresolved>
        <commentChain chainId="29c47ffa92fbfdedbefbc3cf567f7cbcb8470a34">
          <item id="00d6b6a2f650031784ded9360d0e2c44ddfd8bb8" isNormal="1">
            <s:text>
              <s:r>
                <s:t xml:space="preserve">Administrator:
3001754 6/27 1326pcs 华兴三B8</s:t>
              </s:r>
            </s:text>
          </item>
        </commentChain>
      </unresolved>
      <resolved/>
    </commentChains>
    <commentChains s:ref="AC124" rgbClr="FF0000">
      <unresolved>
        <commentChain chainId="120195032779ed7d9bb65ee4fbf98dca387afb53">
          <item id="fd974c8ad5365cc8e79407a9b0951afec0119f58" isNormal="1">
            <s:text>
              <s:r>
                <s:t xml:space="preserve">Administrator:
5/30 上进口商贴纸 1326pcs
6/10 上UPC贴纸 1326pcs</s:t>
              </s:r>
            </s:text>
          </item>
        </commentChain>
      </unresolved>
      <resolved/>
    </commentChains>
    <commentChains s:ref="AA125" rgbClr="FF0000">
      <unresolved>
        <commentChain chainId="c288ebc98fb86a5145f1300c956606bd2a3a1834">
          <item id="b9f9c10ceccfb1344fb2087529f292d38d0436d5" isNormal="1">
            <s:text>
              <s:r>
                <s:t xml:space="preserve">Administrator:
2001657 6/25 520pcs 新仓库一B10
</s:t>
              </s:r>
            </s:text>
          </item>
        </commentChain>
      </unresolved>
      <resolved/>
    </commentChains>
    <commentChains s:ref="AC125" rgbClr="FF0000">
      <unresolved>
        <commentChain chainId="29ededa4562d81a27d123efe97403e1e91c8c923">
          <item id="a4b40f3c3fc4b7a5b98ab0715ba15c4dd61c084e" isNormal="1">
            <s:text>
              <s:r>
                <s:t xml:space="preserve">Administrator:
6/13 上1张SNI label 贴 520pcs</s:t>
              </s:r>
            </s:text>
          </item>
        </commentChain>
      </unresolved>
      <resolved/>
    </commentChains>
    <commentChains s:ref="AA126" rgbClr="FF0000">
      <unresolved>
        <commentChain chainId="970e7b677c43a43569ff143e4b4aae34a55f02dc">
          <item id="c1d645218dbc8fb24917e9d3fb030f7776bbf8a7" isNormal="1">
            <s:text>
              <s:r>
                <s:t xml:space="preserve">Administrator:
3001370 6/28 2700pcs 华兴三B15</s:t>
              </s:r>
            </s:text>
          </item>
        </commentChain>
      </unresolved>
      <resolved/>
    </commentChains>
    <commentChains s:ref="AA127" rgbClr="FF0000">
      <unresolved>
        <commentChain chainId="d01f15fbed1b3ed0f5385212ddcf223e39b5e73a">
          <item id="12a92f4eb837e401e2c736894657f67e1be366ae" isNormal="1">
            <s:text>
              <s:r>
                <s:t xml:space="preserve">Administrator:
3001747 6/28  9720pcs 已走货
3001370 6/28 11475pcs 已走货</s:t>
              </s:r>
            </s:text>
          </item>
        </commentChain>
      </unresolved>
      <resolved/>
    </commentChains>
    <commentChains s:ref="AC127" rgbClr="FF0000">
      <unresolved>
        <commentChain chainId="9de67b431754555fe1c1b74bbd3b2b5828fc0728">
          <item id="d1b4b88673536fc8c935b9d197b430298bbe474c" isNormal="1">
            <s:text>
              <s:r>
                <s:t xml:space="preserve">Administrator:
6/13 上进口商贴纸 78840pcs
     上UPC贴纸 39420pcs</s:t>
              </s:r>
            </s:text>
          </item>
        </commentChain>
      </unresolved>
      <resolved/>
    </commentChains>
    <commentChains s:ref="AA128" rgbClr="FF0000">
      <unresolved>
        <commentChain chainId="30647c38970e0996a22f29d21ecf3a7771054ad6">
          <item id="d7cfbac5df9329b2a3431a911e3d49680e08978d" isNormal="1">
            <s:text>
              <s:r>
                <s:t xml:space="preserve">Administrator:
3001370 6/28 18225pcs 已走货</s:t>
              </s:r>
            </s:text>
          </item>
        </commentChain>
      </unresolved>
      <resolved/>
    </commentChains>
    <commentChains s:ref="AA129" rgbClr="FF0000">
      <unresolved>
        <commentChain chainId="c3bf0c66a0b419b7cf346c51fadc1731c93422be">
          <item id="faec8487db638b373caafd79271d02c5aa0de72d" isNormal="1">
            <s:text>
              <s:r>
                <s:t xml:space="preserve">Administrator:
3001917 7/3 520pcs 华兴三B8</s:t>
              </s:r>
            </s:text>
          </item>
        </commentChain>
      </unresolved>
      <resolved/>
    </commentChains>
    <commentChains s:ref="AC129" rgbClr="FF0000">
      <unresolved>
        <commentChain chainId="ba55d02e4a79862df7ea0fe2036572707f81a941">
          <item id="407da3aa9675ba382c759c2ff164d5ec6dd309fc" isNormal="1">
            <s:text>
              <s:r>
                <s:t xml:space="preserve">Administrator:
6/10 上进口商贴纸 1508pcs</s:t>
              </s:r>
            </s:text>
          </item>
        </commentChain>
      </unresolved>
      <resolved/>
    </commentChains>
    <commentChains s:ref="AA130" rgbClr="FF0000">
      <unresolved>
        <commentChain chainId="e821344765f8943ac92d17ed606f051ec9ee4ac4">
          <item id="454b430ac92db6019101a4b35d7ccdbc93271d50" isNormal="1">
            <s:text>
              <s:r>
                <s:t xml:space="preserve">Administrator:
3001917 7/3 468pcs 华兴三A14</s:t>
              </s:r>
            </s:text>
          </item>
        </commentChain>
      </unresolved>
      <resolved/>
    </commentChains>
    <commentChains s:ref="AA131" rgbClr="FF0000">
      <unresolved>
        <commentChain chainId="36c290508c38b380e419422509a0522163518e18">
          <item id="9878c7d14fb547c9bb64b61c5c5f4b64750cfa09" isNormal="1">
            <s:text>
              <s:r>
                <s:t xml:space="preserve">Administrator:
3001917 7/3 364pcs 华兴三A14</s:t>
              </s:r>
            </s:text>
          </item>
        </commentChain>
      </unresolved>
      <resolved/>
    </commentChains>
    <commentChains s:ref="AA132" rgbClr="FF0000">
      <unresolved>
        <commentChain chainId="105cfcb5ec03dc6df9d0cf8fece2181fd398b153">
          <item id="10e99eea54e474bb0a43dba0b3995efe0cd58c8c" isNormal="1">
            <s:text>
              <s:r>
                <s:t xml:space="preserve">Administrator:
3001917 7/3 156pcs 华兴三A8</s:t>
              </s:r>
            </s:text>
          </item>
        </commentChain>
      </unresolved>
      <resolved/>
    </commentChains>
    <commentChains s:ref="AA133" rgbClr="FF0000">
      <unresolved>
        <commentChain chainId="00f79255b63d38df9604a5dfe8017a984936a66b">
          <item id="a4675bb8d76d0f93d39185da8c22937008526a83" isNormal="1">
            <s:text>
              <s:r>
                <s:t xml:space="preserve">Administrator:
3001982 7/2 1152pcs 华兴三B5</s:t>
              </s:r>
            </s:text>
          </item>
        </commentChain>
      </unresolved>
      <resolved/>
    </commentChains>
    <commentChains s:ref="AC133" rgbClr="FF0000">
      <unresolved>
        <commentChain chainId="2263d00119774c5a1ac353ed8bc32f8660b34338">
          <item id="5b43a8354abf5a0650c79026539d748cc8080569" isNormal="1">
            <s:text>
              <s:r>
                <s:t xml:space="preserve">Administrator:
5/26 上客供RFID贴纸 1152pcs</s:t>
              </s:r>
            </s:text>
          </item>
        </commentChain>
      </unresolved>
      <resolved/>
    </commentChains>
    <commentChains s:ref="AA134" rgbClr="FF0000">
      <unresolved>
        <commentChain chainId="e7b2743643bef13c106a22da02b0a63d8835c362">
          <item id="c22205fb48f11ef8934089b971e127986196e5d7" isNormal="1">
            <s:text>
              <s:r>
                <s:t xml:space="preserve">Administrator:
3001982 7/2 1152pcs 华兴三B5</s:t>
              </s:r>
            </s:text>
          </item>
        </commentChain>
      </unresolved>
      <resolved/>
    </commentChains>
    <commentChains s:ref="AC134" rgbClr="FF0000">
      <unresolved>
        <commentChain chainId="25a642176e2ac53f7dfe09c26f262399452c7fbe">
          <item id="16e748bda90012a862ac92059fda485fc8addf8a" isNormal="1">
            <s:text>
              <s:r>
                <s:t xml:space="preserve">Administrator:
5/26 上客供RFID贴纸 1152pcs</s:t>
              </s:r>
            </s:text>
          </item>
        </commentChain>
      </unresolved>
      <resolved/>
    </commentChains>
    <commentChains s:ref="AA135" rgbClr="FF0000">
      <unresolved>
        <commentChain chainId="6a96ba181c61f4d49ddea1b1a5dff99244a5b53f">
          <item id="39bd18d5baa6af6c85ff481613de736e90e84f57" isNormal="1">
            <s:text>
              <s:r>
                <s:t xml:space="preserve">Administrator:
3001982 7/2 572pcs 已走货
</s:t>
              </s:r>
            </s:text>
          </item>
        </commentChain>
      </unresolved>
      <resolved/>
    </commentChains>
    <commentChains s:ref="AA136" rgbClr="FF0000">
      <unresolved>
        <commentChain chainId="2a13b18e5b1c5dddabf1cc28228212035d91d8dd">
          <item id="7785d93252f8c9b9142312aefb9bb15d27c9a5bc" isNormal="1">
            <s:text>
              <s:r>
                <s:t xml:space="preserve">Administrator:
3001970 7/1 936pcs 华兴三B13</s:t>
              </s:r>
            </s:text>
          </item>
        </commentChain>
      </unresolved>
      <resolved/>
    </commentChains>
    <commentChains s:ref="AA137" rgbClr="FF0000">
      <unresolved>
        <commentChain chainId="4aa3e671f650a08f20159c93ba209926735b58f0">
          <item id="ff3ff409d2171934850f608ead4ea01ad7cad812" isNormal="1">
            <s:text>
              <s:r>
                <s:t xml:space="preserve">Administrator:
3001919 7/3 504pcs 华兴三B3</s:t>
              </s:r>
            </s:text>
          </item>
        </commentChain>
      </unresolved>
      <resolved/>
    </commentChains>
    <commentChains s:ref="AC137" rgbClr="FF0000">
      <unresolved>
        <commentChain chainId="9eb3204cf522796fce185a3c7ac82a6a3ced12b7">
          <item id="89a7822045a004ca1655a2857e85c66036e453fa" isNormal="1">
            <s:text>
              <s:r>
                <s:t xml:space="preserve">Administrator:
6/10 上亚马逊外箱贴纸 42pcs
6/14 上空白贴纸 3024pcs</s:t>
              </s:r>
            </s:text>
          </item>
        </commentChain>
      </unresolved>
      <resolved/>
    </commentChains>
    <commentChains s:ref="AA138" rgbClr="FF0000">
      <unresolved>
        <commentChain chainId="b945bb9b6e42d6fb4f784e0f0686892fac32450f">
          <item id="3e3a2be17c5a6a4dc5174c77e6d37a0e51ec164b" isNormal="1">
            <s:text>
              <s:r>
                <s:t xml:space="preserve">Administrator:
3001919 7/3 504pcs 华兴三B3</s:t>
              </s:r>
            </s:text>
          </item>
        </commentChain>
      </unresolved>
      <resolved/>
    </commentChains>
    <commentChains s:ref="AC138" rgbClr="FF0000">
      <unresolved>
        <commentChain chainId="2282e525bb7dc7fdd3d6fb00f91873874ec220f2">
          <item id="8ecf6142a5a8d68d6d83ed29330e6f99a5b29627" isNormal="1">
            <s:text>
              <s:r>
                <s:t xml:space="preserve">Administrator:
6/10 上亚马逊外箱贴纸 42pcs
6/14 上空白贴纸 3024pcs</s:t>
              </s:r>
            </s:text>
          </item>
        </commentChain>
      </unresolved>
      <resolved/>
    </commentChains>
    <commentChains s:ref="AA139" rgbClr="FF0000">
      <unresolved>
        <commentChain chainId="5c81b5474c30d8eb33b5bdef4dcd4e54e668f2e0">
          <item id="f9cc7aac0d358ecef87201ffd4c2d2916c947c10" isNormal="1">
            <s:text>
              <s:r>
                <s:t xml:space="preserve">Administrator:
3001919 7/3 504pcs 华兴三B3</s:t>
              </s:r>
            </s:text>
          </item>
        </commentChain>
      </unresolved>
      <resolved/>
    </commentChains>
    <commentChains s:ref="AC139" rgbClr="FF0000">
      <unresolved>
        <commentChain chainId="21e73eef60f8eda04097eb50127d7790aa8623fd">
          <item id="81de8b9eccff4003ffe80379c0ae448d8d3d5db1" isNormal="1">
            <s:text>
              <s:r>
                <s:t xml:space="preserve">Administrator:
6/10 上亚马逊外箱贴纸 42pcs
6/14 上空白贴纸 3024pcs</s:t>
              </s:r>
            </s:text>
          </item>
        </commentChain>
      </unresolved>
      <resolved/>
    </commentChains>
    <commentChains s:ref="AA140" rgbClr="FF0000">
      <unresolved>
        <commentChain chainId="7fed895239fed7fc9c4f788d25587217603dd082">
          <item id="788e4ab997e1dff81964e06bc860ef3f24c214b9" isNormal="1">
            <s:text>
              <s:r>
                <s:t xml:space="preserve">Administrator:
3001918 7/3 96pcs 华兴三B7</s:t>
              </s:r>
            </s:text>
          </item>
        </commentChain>
      </unresolved>
      <resolved/>
    </commentChains>
    <commentChains s:ref="AC140" rgbClr="FF0000">
      <unresolved>
        <commentChain chainId="41a8d67dc946736fc6cc6565ba89c3bb61a8983a">
          <item id="7291ba8a4e7c3da05d6f562786c499d470dd638c" isNormal="1">
            <s:text>
              <s:r>
                <s:t xml:space="preserve">Administrator:
6/18 上客供RFID贴纸 96pcs</s:t>
              </s:r>
            </s:text>
          </item>
        </commentChain>
      </unresolved>
      <resolved/>
    </commentChains>
    <commentChains s:ref="AA141" rgbClr="FF0000">
      <unresolved>
        <commentChain chainId="d95fe8c79855fa9b9a9ad45e251d0500c832829f">
          <item id="6172143c5ac53678264e8af2b2ff9e56de8c23a2" isNormal="1">
            <s:text>
              <s:r>
                <s:t xml:space="preserve">Administrator:
3001918 7/3 264pcs 华兴三B7
</s:t>
              </s:r>
            </s:text>
          </item>
        </commentChain>
      </unresolved>
      <resolved/>
    </commentChains>
    <commentChains s:ref="AC141" rgbClr="FF0000">
      <unresolved>
        <commentChain chainId="4d70d91dcf71c1b609138887dc76c5d8339d1bd6">
          <item id="d15e4e87ed32fc2b3e74c4acbd3bfacbde093a35" isNormal="1">
            <s:text>
              <s:r>
                <s:t xml:space="preserve">Administrator:
6/18 上客供RFID贴纸 264pcs</s:t>
              </s:r>
            </s:text>
          </item>
        </commentChain>
      </unresolved>
      <resolved/>
    </commentChains>
    <commentChains s:ref="AA142" rgbClr="FF0000">
      <unresolved>
        <commentChain chainId="6db9060b875cb259a952ef965ce8252c633ea01f">
          <item id="d9b067394676e342710543bc578136a4ec473e72" isNormal="1">
            <s:text>
              <s:r>
                <s:t xml:space="preserve">Administrator:
3001918 7/3 84pcs 华兴三B7
</s:t>
              </s:r>
            </s:text>
          </item>
        </commentChain>
      </unresolved>
      <resolved/>
    </commentChains>
    <commentChains s:ref="AC142" rgbClr="FF0000">
      <unresolved>
        <commentChain chainId="6e61dbde6607b4e489a44593f223f995e23213dc">
          <item id="a2695f91fdfda38e0c002bf07e15d2e1149fb21d" isNormal="1">
            <s:text>
              <s:r>
                <s:t xml:space="preserve">Administrator:
6/18 上客供RFID贴纸 84pcs</s:t>
              </s:r>
            </s:text>
          </item>
        </commentChain>
      </unresolved>
      <resolved/>
    </commentChains>
    <commentChains s:ref="AA143" rgbClr="FF0000">
      <unresolved>
        <commentChain chainId="3382d13e6efef663d0a15817a39e87108f7722b6">
          <item id="bf7afb93fbe09f4f5f94aabbde0ee65b4c3ea6e9" isNormal="1">
            <s:text>
              <s:r>
                <s:t xml:space="preserve">Administrator:
3001918 7/3 180pcs 华兴三B7
</s:t>
              </s:r>
            </s:text>
          </item>
        </commentChain>
      </unresolved>
      <resolved/>
    </commentChains>
    <commentChains s:ref="AC143" rgbClr="FF0000">
      <unresolved>
        <commentChain chainId="27c3821509ff39e1c196439a8113dcbe4a7cb25b">
          <item id="8166ce00218756fb0b698b6778b11fa57955c441" isNormal="1">
            <s:text>
              <s:r>
                <s:t xml:space="preserve">Administrator:
6/18 上客供RFID贴纸 180pcs</s:t>
              </s:r>
            </s:text>
          </item>
        </commentChain>
      </unresolved>
      <resolved/>
    </commentChains>
    <commentChains s:ref="AA144" rgbClr="FF0000">
      <unresolved>
        <commentChain chainId="5fe394c3dac20765a2f9071f60acfb0ae44f3fcd">
          <item id="1d4d1efc8fe6394c70b816769cc010c2ce7e7570" isNormal="1">
            <s:text>
              <s:r>
                <s:t xml:space="preserve">Administrator:
3001916 7/3 540pcs 华兴三A15</s:t>
              </s:r>
            </s:text>
          </item>
        </commentChain>
      </unresolved>
      <resolved/>
    </commentChains>
    <commentChains s:ref="AC144" rgbClr="FF0000">
      <unresolved>
        <commentChain chainId="8be586b0ec280eb28a4e6327e20df3a88ee2f2ee">
          <item id="1e1e2f917aa9f64bca1582456fc88c6d63bccd4e" isNormal="1">
            <s:text>
              <s:r>
                <s:t xml:space="preserve">Administrator:
6/18 上UPC贴纸 540pcs</s:t>
              </s:r>
            </s:text>
          </item>
        </commentChain>
      </unresolved>
      <resolved/>
    </commentChains>
    <commentChains s:ref="AA145" rgbClr="FF0000">
      <unresolved>
        <commentChain chainId="d5cf0d8a8eed46e147bbc5c18f41cecc3e80bf7a">
          <item id="3c480d8a3f5da0411a46bd004cd0c3e3f82ee5f2" isNormal="1">
            <s:text>
              <s:r>
                <s:t xml:space="preserve">Administrator:
3001916 7/3 1080pcs 华兴三A15</s:t>
              </s:r>
            </s:text>
          </item>
        </commentChain>
      </unresolved>
      <resolved/>
    </commentChains>
    <commentChains s:ref="AC145" rgbClr="FF0000">
      <unresolved>
        <commentChain chainId="42a483652963ec74a03ec868c05a4fd7c675e017">
          <item id="1b77ba4cf9adea5ca26ed9bed7b92ef67e5fc5d1" isNormal="1">
            <s:text>
              <s:r>
                <s:t xml:space="preserve">Administrator:
6/21 上进口商贴纸 1080pcs
     上UPC/价标贴纸 1080pcs</s:t>
              </s:r>
            </s:text>
          </item>
        </commentChain>
      </unresolved>
      <resolved/>
    </commentChains>
    <commentChains s:ref="AA146" rgbClr="FF0000">
      <unresolved>
        <commentChain chainId="be01383cda6deb21961def5164f1c3884aed610e">
          <item id="62a36c6adf351fb7109d99e753aae24c4ce50f05" isNormal="1">
            <s:text>
              <s:r>
                <s:t xml:space="preserve">Administrator:
3001916 7/3 1152pcs 华兴三A10</s:t>
              </s:r>
            </s:text>
          </item>
        </commentChain>
      </unresolved>
      <resolved/>
    </commentChains>
    <commentChains s:ref="AC146" rgbClr="FF0000">
      <unresolved>
        <commentChain chainId="d2abdf50c52e3e79fd439ee70b5a79623ee9fbc8">
          <item id="48887c9cffc9c43f98a8404fccb3c66bcb80c772" isNormal="1">
            <s:text>
              <s:r>
                <s:t xml:space="preserve">Administrator:
5/26 上客供RFID贴纸 1152pcs</s:t>
              </s:r>
            </s:text>
          </item>
        </commentChain>
      </unresolved>
      <resolved/>
    </commentChains>
    <commentChains s:ref="AA147" rgbClr="FF0000">
      <unresolved>
        <commentChain chainId="fd55724a4f3ae082577bb56b7984915d0d3d6dad">
          <item id="676d50b318c526ea7d33b4af06b04da7fa7d5d03" isNormal="1">
            <s:text>
              <s:r>
                <s:t xml:space="preserve">Administrator:
3001916 7/3 1152pcs 华兴三A10</s:t>
              </s:r>
            </s:text>
          </item>
        </commentChain>
      </unresolved>
      <resolved/>
    </commentChains>
    <commentChains s:ref="AC147" rgbClr="FF0000">
      <unresolved>
        <commentChain chainId="79f7ff5a10423e5ebdf6b363c9205db831586072">
          <item id="f6b2f8fd347d3e323569980fa662e8397595ca35" isNormal="1">
            <s:text>
              <s:r>
                <s:t xml:space="preserve">Administrator:
5/26 上客供RFID贴纸 1152pcs</s:t>
              </s:r>
            </s:text>
          </item>
        </commentChain>
      </unresolved>
      <resolved/>
    </commentChains>
    <commentChains s:ref="AA148" rgbClr="FF0000">
      <unresolved>
        <commentChain chainId="8797c6ed8ac5010ac449f72b2c610dfacfbf8547">
          <item id="d6dccb18dd117295471e57346ce015d708463fec" isNormal="1">
            <s:text>
              <s:r>
                <s:t xml:space="preserve">Administrator:
3001906 7/4 1040pcs 华兴三B1</s:t>
              </s:r>
            </s:text>
          </item>
        </commentChain>
      </unresolved>
      <resolved/>
    </commentChains>
    <commentChains s:ref="AC148" rgbClr="FF0000">
      <unresolved>
        <commentChain chainId="109cd6a10adbf6a6ee4ae7db1052d5a9e3d686b6">
          <item id="b6e97df3035e40cbbba41bdf7599dd106523147e" isNormal="1">
            <s:text>
              <s:r>
                <s:t xml:space="preserve">Administrator:
6/13 上进口商贴纸 3016pcs</s:t>
              </s:r>
            </s:text>
          </item>
        </commentChain>
      </unresolved>
      <resolved/>
    </commentChains>
    <commentChains s:ref="AA149" rgbClr="FF0000">
      <unresolved>
        <commentChain chainId="205f2b02d793adccb16e2831d3cff53ddbf38988">
          <item id="50c526c5aa797fff33c40b2088ec376a8f58b16e" isNormal="1">
            <s:text>
              <s:r>
                <s:t xml:space="preserve">Administrator:
3001906 7/4 936pcs 华兴三B1
</s:t>
              </s:r>
            </s:text>
          </item>
        </commentChain>
      </unresolved>
      <resolved/>
    </commentChains>
    <commentChains s:ref="AA150" rgbClr="FF0000">
      <unresolved>
        <commentChain chainId="d6cd49c4738f4f60c290e7f8cb9e0244b8910d72">
          <item id="e66d403294cd36d86a30684ce4481d4a04d80ef0" isNormal="1">
            <s:text>
              <s:r>
                <s:t xml:space="preserve">Administrator:
3001906 7/4 728pcs 华兴三D1
</s:t>
              </s:r>
            </s:text>
          </item>
        </commentChain>
      </unresolved>
      <resolved/>
    </commentChains>
    <commentChains s:ref="AA151" rgbClr="FF0000">
      <unresolved>
        <commentChain chainId="45c2a888d9a4c07b68aa5cd3f6b2622733dae6bb">
          <item id="866c68f1c740d520f0c5fabefc78a9b76eb31010" isNormal="1">
            <s:text>
              <s:r>
                <s:t xml:space="preserve">Administrator:
3001906 7/4 312pcs 已走货</s:t>
              </s:r>
            </s:text>
          </item>
        </commentChain>
      </unresolved>
      <resolved/>
    </commentChains>
    <commentChains s:ref="AA152" rgbClr="FF0000">
      <unresolved>
        <commentChain chainId="8a0236124cac57891c8205ecd954363f4931bb35">
          <item id="df2d77cdd545a2aa496ef16386d160a4e305834c" isNormal="1">
            <s:text>
              <s:r>
                <s:t xml:space="preserve">Administrator:
3001640 7/9 442pcs 华兴三B12</s:t>
              </s:r>
            </s:text>
          </item>
        </commentChain>
      </unresolved>
      <resolved/>
    </commentChains>
    <commentChains s:ref="AC152" rgbClr="FF0000">
      <unresolved>
        <commentChain chainId="0c2f92854be8322ad620cf699165c1270f0187da">
          <item id="f65a8cf3ba3a72afd374ad7b6db54462726080b7" isNormal="1">
            <s:text>
              <s:r>
                <s:t xml:space="preserve">Administrator:
6/25 上进口商贴纸 442pcs
     上EAN条码贴纸 442pcs
     上收藏指南贴纸 442pcs
     上PDQ贴纸 34pcs
     上外箱贴纸 68pcs</s:t>
              </s:r>
            </s:text>
          </item>
        </commentChain>
      </unresolved>
      <resolved/>
    </commentChains>
    <commentChains s:ref="AA153" rgbClr="FF0000">
      <unresolved>
        <commentChain chainId="535b775c4fd3e048483aaa2c70c1def2149269ee">
          <item id="109970b9574981f34232401058f52ff84c6c6f8d" isNormal="1">
            <s:text>
              <s:r>
                <s:t xml:space="preserve">Administrator:
3001686 7/8 2025pcs 莫海军B4楼B4区</s:t>
              </s:r>
            </s:text>
          </item>
        </commentChain>
      </unresolved>
      <resolved/>
    </commentChains>
    <commentChains s:ref="AA154" rgbClr="FF0000">
      <unresolved>
        <commentChain chainId="aaba395c0c79f7abbd00a0ea0f6aca553bfdf10e">
          <item id="4cf28726fceb53cc9fa8cbd54a1b75f2f2d0ccdb" isNormal="1">
            <s:text>
              <s:r>
                <s:t xml:space="preserve">Administrator:
3001678 7/7 540pcs 华兴三B14</s:t>
              </s:r>
            </s:text>
          </item>
        </commentChain>
      </unresolved>
      <resolved/>
    </commentChains>
    <commentChains s:ref="AA155" rgbClr="FF0000">
      <unresolved>
        <commentChain chainId="37449a337923ef7096b1e464eb5393809b869b9c">
          <item id="1549629571d9d3a36195dc9c92aeb83347e00d64" isNormal="1">
            <s:text>
              <s:r>
                <s:t xml:space="preserve">Administrator:
3001636 7/11 5512pcs 华兴三B15</s:t>
              </s:r>
            </s:text>
          </item>
        </commentChain>
      </unresolved>
      <resolved/>
    </commentChains>
    <commentChains s:ref="AA156" rgbClr="FF0000">
      <unresolved>
        <commentChain chainId="fbbee08a9f3f0d0afca80cac49f88150a96049b5">
          <item id="64923746dc12f61504d3bc50fdf77b22722fbeae" isNormal="1">
            <s:text>
              <s:r>
                <s:t xml:space="preserve">Administrator:
3001616 7/10 2600pcs 华兴三A16</s:t>
              </s:r>
            </s:text>
          </item>
        </commentChain>
      </unresolved>
      <resolved/>
    </commentChains>
    <commentChains s:ref="AA157" rgbClr="FF0000">
      <unresolved>
        <commentChain chainId="8bea7d465eb2fea35aaa1d5938911b62f2d3cc3e">
          <item id="34ba1e36fadd0b75b3359c14ef5705794f9e365f" isNormal="1">
            <s:text>
              <s:r>
                <s:t xml:space="preserve">Administrator:
3001636 7/11 1040pcs 华兴三A30</s:t>
              </s:r>
            </s:text>
          </item>
        </commentChain>
      </unresolved>
      <resolved/>
    </commentChains>
    <commentChains s:ref="AA158" rgbClr="FF0000">
      <unresolved>
        <commentChain chainId="df3a547a5ad6713fcb9222f829efa0bebe55c103">
          <item id="31d3e005f69d87894ab9ad2f27c5c3a9260dfffa" isNormal="1">
            <s:text>
              <s:r>
                <s:t xml:space="preserve">Administrator:
3001636 7/11 4023pcs 华兴三B27</s:t>
              </s:r>
            </s:text>
          </item>
        </commentChain>
      </unresolved>
      <resolved/>
    </commentChains>
    <commentChains s:ref="AC158" rgbClr="FF0000">
      <unresolved>
        <commentChain chainId="997de871555d7496980520c50d755cef63587756">
          <item id="9ca712df9a54f58c96dda830c803db3430b5f631" isNormal="1">
            <s:text>
              <s:r>
                <s:t xml:space="preserve">Administrator:
6/26 上警语贴纸 4023pcs
     上价钱贴纸 4023pcs</s:t>
              </s:r>
            </s:text>
          </item>
        </commentChain>
      </unresolved>
      <resolved/>
    </commentChains>
    <commentChains s:ref="AA159" rgbClr="FF0000">
      <unresolved>
        <commentChain chainId="1c2f0fdfd15edd86fc4e9bc98afe8c8ee33928fd">
          <item id="609b5eef444de19a47750e7d365e09f9a1c3d0fc" isNormal="1">
            <s:text>
              <s:r>
                <s:t xml:space="preserve">Administrator:
3001619 7/10 1300pcs 华兴三B15</s:t>
              </s:r>
            </s:text>
          </item>
        </commentChain>
      </unresolved>
      <resolved/>
    </commentChains>
    <commentChains s:ref="AC159" rgbClr="FF0000">
      <unresolved>
        <commentChain chainId="0bbf37677d23be0d6b1170a9509fcd46c519425a">
          <item id="47bff78fe3ab9c7e3c52f8fec054d145e0049af1" isNormal="1">
            <s:text>
              <s:r>
                <s:t xml:space="preserve">Administrator:
6/26 上UPC贴纸 4225pcs
167181/169209共用</s:t>
              </s:r>
            </s:text>
          </item>
        </commentChain>
      </unresolved>
      <resolved/>
    </commentChains>
    <commentChains s:ref="AA160" rgbClr="FF0000">
      <unresolved>
        <commentChain chainId="6b2efd04a67a68399611a4eee5c12150dfa7dbd8">
          <item id="a4c68f1eb86b1de821fbf42c941fafd487f5588b" isNormal="1">
            <s:text>
              <s:r>
                <s:t xml:space="preserve">Administrator:
3001636 7/11 2925pcs 华兴三B16</s:t>
              </s:r>
            </s:text>
          </item>
        </commentChain>
      </unresolved>
      <resolved/>
    </commentChains>
    <commentChains s:ref="AC160" rgbClr="FF0000">
      <unresolved>
        <commentChain chainId="3d20d6015f6a1a1e3b5b21840774196bf498d40d">
          <item id="110050ce432c5a6e84ae7f6527de0a79576006df" isNormal="1">
            <s:text>
              <s:r>
                <s:t xml:space="preserve">Administrator:
6/26 上UPC贴纸 4225pcs
167181/169209共用</s:t>
              </s:r>
            </s:text>
          </item>
        </commentChain>
      </unresolved>
      <resolved/>
    </commentChains>
    <commentChains s:ref="AA161" rgbClr="FF0000">
      <unresolved>
        <commentChain chainId="8728a69df07c7d70b49cd223996fa18fbd3646b3">
          <item id="4a4cccb6ea86041e7b7db070e7336c1354f7ff85" isNormal="1">
            <s:text>
              <s:r>
                <s:t xml:space="preserve">Administrator:
3001445 7/15 1116pcs 华兴三B8
3001424 7/16  36pcs  华兴三A8</s:t>
              </s:r>
            </s:text>
          </item>
        </commentChain>
      </unresolved>
      <resolved/>
    </commentChains>
    <commentChains s:ref="AC161" rgbClr="FF0000">
      <unresolved>
        <commentChain chainId="6ad6aa27dabd6a57abb83c8de65c49fc4709f802">
          <item id="ec8d7f79740f775bba7e446561dd629f7429f4d8" isNormal="1">
            <s:text>
              <s:r>
                <s:t xml:space="preserve">Administrator:
5/26 上客供RFID贴纸 1152pcs</s:t>
              </s:r>
            </s:text>
          </item>
        </commentChain>
      </unresolved>
      <resolved/>
    </commentChains>
    <commentChains s:ref="AA162" rgbClr="FF0000">
      <unresolved>
        <commentChain chainId="24bf705515e8055fd556375fa25ca81d425ba22c">
          <item id="85465387c03b2392880b45e5f56abb7b3387febb" isNormal="1">
            <s:text>
              <s:r>
                <s:t xml:space="preserve">Administrator:
3001445 7/15 1140pcs 华兴三B8
3001379 7/17  12pcs  华兴三B8</s:t>
              </s:r>
            </s:text>
          </item>
        </commentChain>
      </unresolved>
      <resolved/>
    </commentChains>
    <commentChains s:ref="AC162" rgbClr="FF0000">
      <unresolved>
        <commentChain chainId="b06626176df5b80ff4a982796d2a8afcccbd2224">
          <item id="a27983aea391e0e1b828ea916432f056a70423f1" isNormal="1">
            <s:text>
              <s:r>
                <s:t xml:space="preserve">Administrator:
5/26 上客供RFID贴纸 1152pcs</s:t>
              </s:r>
            </s:text>
          </item>
        </commentChain>
      </unresolved>
      <resolved/>
    </commentChains>
    <commentChains s:ref="AA163" rgbClr="FF0000">
      <unresolved>
        <commentChain chainId="7a2b55637279ad95d402684b6c64147a4cad1904">
          <item id="b3779e017a331655d084d76ae93f58fe96ff98fd" isNormal="1">
            <s:text>
              <s:r>
                <s:t xml:space="preserve">Administrator:
3002605 7/19 507pcs 莫海军B4楼B4区
3002011 7/31  13pcs 莫海军B4楼B4区</s:t>
              </s:r>
            </s:text>
          </item>
        </commentChain>
      </unresolved>
      <resolved/>
    </commentChains>
    <commentChains s:ref="AC163" rgbClr="FF0000">
      <unresolved>
        <commentChain chainId="c53b1450a45ed7aa249bdb7445be921a870a6fdd">
          <item id="949798502144d4120342e1907db62334a7ca31f4" isNormal="1">
            <s:text>
              <s:r>
                <s:t xml:space="preserve">Administrator:
6/23 上UPC贴纸 520pcs
6/26 上进口商贴纸 520pcs</s:t>
              </s:r>
            </s:text>
          </item>
        </commentChain>
      </unresolved>
      <resolved/>
    </commentChains>
    <commentChains s:ref="AA164" rgbClr="FF0000">
      <unresolved>
        <commentChain chainId="293db1423b2f7e50b5dc7bb8c5e3bad44dda44e2">
          <item id="9298124114e255876d9895f6ff7ac15f391ebe76" isNormal="1">
            <s:text>
              <s:r>
                <s:t xml:space="preserve">Administrator:
3001407 7/17 26pcs 华兴三B12</s:t>
              </s:r>
            </s:text>
          </item>
        </commentChain>
      </unresolved>
      <resolved/>
    </commentChains>
    <commentChains s:ref="AA165" rgbClr="FF0000">
      <unresolved>
        <commentChain chainId="352397aef2f5fe9ca1cea04e1e8d6b03dfc726fd">
          <item id="6564ec5254294c555331ab3a1ff7ff4f383355de" isNormal="1">
            <s:text>
              <s:r>
                <s:t xml:space="preserve">Administrator:
3001407 7/17 270pcs 华兴三B13</s:t>
              </s:r>
            </s:text>
          </item>
        </commentChain>
      </unresolved>
      <resolved/>
    </commentChains>
    <commentChains s:ref="AC165" rgbClr="FF0000">
      <unresolved>
        <commentChain chainId="d549fa4e381b01a213210e6e8bde3bacd042f7c6">
          <item id="06e39f5d08d8c37967ee4ab1a61f2b9e338c9165" isNormal="1">
            <s:text>
              <s:r>
                <s:t xml:space="preserve">Administrator:
7/8 上进口商贴纸 270pcs
    上UPC贴纸 270pcs</s:t>
              </s:r>
            </s:text>
          </item>
        </commentChain>
      </unresolved>
      <resolved/>
    </commentChains>
    <commentChains s:ref="AA166" rgbClr="FF0000">
      <unresolved>
        <commentChain chainId="fc6bd05a5c22f9978dbc81e85c5c155cb6bd2550">
          <item id="d164dffa3b6717c1c1d92552e19d469ac93c4fac" isNormal="1">
            <s:text>
              <s:r>
                <s:t xml:space="preserve">Administrator:
3002638 7/18 1152pcs 华兴三B2</s:t>
              </s:r>
            </s:text>
          </item>
        </commentChain>
      </unresolved>
      <resolved/>
    </commentChains>
    <commentChains s:ref="AC166" rgbClr="FF0000">
      <unresolved>
        <commentChain chainId="90933fa6f6a7c24df0964a4899f42ca6d7c597a0">
          <item id="45f5d7123c33fc3a42bf3ce0408b6aa95f1b9b59" isNormal="1">
            <s:text>
              <s:r>
                <s:t xml:space="preserve">Administrator:
5/26 上客供RFID贴纸 1152pcs</s:t>
              </s:r>
            </s:text>
          </item>
        </commentChain>
      </unresolved>
      <resolved/>
    </commentChains>
    <commentChains s:ref="AA167" rgbClr="FF0000">
      <unresolved>
        <commentChain chainId="a9f2c0700c23d04de2ea86f99022e7fa47321b76">
          <item id="42d17f285b0275410aed70bed0dee8fe7dc13f04" isNormal="1">
            <s:text>
              <s:r>
                <s:t xml:space="preserve">Administrator:
3002633 7/18 4266pcs 华兴三B16</s:t>
              </s:r>
            </s:text>
          </item>
        </commentChain>
      </unresolved>
      <resolved/>
    </commentChains>
    <commentChains s:ref="AC167" rgbClr="FF0000">
      <unresolved>
        <commentChain chainId="f219c3031687e3c7a9b4c7ab37d1d4f80f2a8721">
          <item id="50b8e69717e9303833d572cf111bcd5f8ca4cdf5" isNormal="1">
            <s:text>
              <s:r>
                <s:t xml:space="preserve">Administrator:
7/5 上进口商贴纸 4266pcs
    上UPC条码贴纸 4266pcs</s:t>
              </s:r>
            </s:text>
          </item>
        </commentChain>
      </unresolved>
      <resolved/>
    </commentChains>
    <commentChains s:ref="AA168" rgbClr="FF0000">
      <unresolved>
        <commentChain chainId="361b77930d4b70d6d65407b6a27dd8706815672c">
          <item id="88ed9a7cf012af0f69354cef12e3fbebc9c2d756" isNormal="1">
            <s:text>
              <s:r>
                <s:t xml:space="preserve">Administrator:
3002638 7/18 1152pcs 华兴三B3</s:t>
              </s:r>
            </s:text>
          </item>
        </commentChain>
      </unresolved>
      <resolved/>
    </commentChains>
    <commentChains s:ref="AC168" rgbClr="FF0000">
      <unresolved>
        <commentChain chainId="713b880260a6e14e7f0680e5a6a7123238fde2e0">
          <item id="88a7f033dc1246d259a34339d972c6fb4e877522" isNormal="1">
            <s:text>
              <s:r>
                <s:t xml:space="preserve">Administrator:
5/26 上客供RFID贴纸 1152pcs</s:t>
              </s:r>
            </s:text>
          </item>
        </commentChain>
      </unresolved>
      <resolved/>
    </commentChains>
    <commentChains s:ref="AA169" rgbClr="FF0000">
      <unresolved>
        <commentChain chainId="e2f0c632a123440570b4149fd919494cd0b1c7f9">
          <item id="9a46d14d0c50d846bd500dfb56f7d21dd4dc4ed2" isNormal="1">
            <s:text>
              <s:r>
                <s:t xml:space="preserve">Administrator:
3002633 7/18 1152pcs 华兴三B3</s:t>
              </s:r>
            </s:text>
          </item>
        </commentChain>
      </unresolved>
      <resolved/>
    </commentChains>
    <commentChains s:ref="AC169" rgbClr="FF0000">
      <unresolved>
        <commentChain chainId="33f8af7521b1b10126b0fe1d0980fbdd251c609a">
          <item id="a5880948ee1ed5436c6656076e256a8a175218fb" isNormal="1">
            <s:text>
              <s:r>
                <s:t xml:space="preserve">Administrator:
5/26 上客供RFID贴纸 1152pcs</s:t>
              </s:r>
            </s:text>
          </item>
        </commentChain>
      </unresolved>
      <resolved/>
    </commentChains>
    <commentChains s:ref="AA170" rgbClr="FF0000">
      <unresolved>
        <commentChain chainId="d7ebe252841425e447ff0e726ef030f47716dae8">
          <item id="27a7c89c66a00a540ded94950f4503be8912360e" isNormal="1">
            <s:text>
              <s:r>
                <s:t xml:space="preserve">Administrator:
3002605 7/19 540pcs 莫海军B4楼B1区</s:t>
              </s:r>
            </s:text>
          </item>
        </commentChain>
      </unresolved>
      <resolved/>
    </commentChains>
    <commentChains s:ref="AA171" rgbClr="FF0000">
      <unresolved>
        <commentChain chainId="233d711b1fc07aa35fa57ea126ca9e9124a01340">
          <item id="f5ef8c39b0516d318204b06f21e35a999e0148d9" isNormal="1">
            <s:text>
              <s:r>
                <s:t xml:space="preserve">Administrator:
3002613 7/19 1248pcs 华兴三A30
3002605 7/19  39pcs  华兴三A30</s:t>
              </s:r>
            </s:text>
          </item>
        </commentChain>
      </unresolved>
      <resolved/>
    </commentChains>
    <commentChains s:ref="AC171" rgbClr="FF0000">
      <unresolved>
        <commentChain chainId="a0142055e32530666f49e07e2a10f8114795b427">
          <item id="b27d90509627f298dae72a9c614955eba9deb49d" isNormal="1">
            <s:text>
              <s:r>
                <s:t xml:space="preserve">Administrator:
7/3 上UPC贴纸 1287pcs</s:t>
              </s:r>
            </s:text>
          </item>
        </commentChain>
      </unresolved>
      <resolved/>
    </commentChains>
    <commentChains s:ref="AA172" rgbClr="FF0000">
      <unresolved>
        <commentChain chainId="bbb81a303153c422f1a54fc9ab01b3a43e40ba1f">
          <item id="ab03371d9ac64f0c13f18f63e65805cff529b946" isNormal="1">
            <s:text>
              <s:r>
                <s:t xml:space="preserve">Administrator:
3002605 7/19 486pcs 莫海军B4楼B1区</s:t>
              </s:r>
            </s:text>
          </item>
        </commentChain>
      </unresolved>
      <resolved/>
    </commentChains>
    <commentChains s:ref="AC172" rgbClr="FF0000">
      <unresolved>
        <commentChain chainId="bc57648ac628a2990b6ce41873c464df1b9e7cd1">
          <item id="8a97ab2ae7cb8bbf954e16448699e472ffd9ff88" isNormal="1">
            <s:text>
              <s:r>
                <s:t xml:space="preserve">Administrator:
7/8 上进口商贴纸 486pcs
    上UPC贴纸 486pcs</s:t>
              </s:r>
            </s:text>
          </item>
        </commentChain>
      </unresolved>
      <resolved/>
    </commentChains>
    <commentChains s:ref="AA173" rgbClr="FF0000">
      <unresolved>
        <commentChain chainId="d8db7ef747f868aaf5bfbbfb0182c64107ba48d6">
          <item id="b48060bcf494e44a655cd76c1a8798e7783fd243" isNormal="1">
            <s:text>
              <s:r>
                <s:t xml:space="preserve">Administrator:
3002619 7/19 108pcs 华兴三B15</s:t>
              </s:r>
            </s:text>
          </item>
        </commentChain>
      </unresolved>
      <resolved/>
    </commentChains>
    <commentChains s:ref="AC173" rgbClr="FF0000">
      <unresolved>
        <commentChain chainId="71f9ffdf611af19040b7daaae4509925c1c5a214">
          <item id="4102962bc504d97b0edcda92e25cb5331a6479ee" isNormal="1">
            <s:text>
              <s:r>
                <s:t xml:space="preserve">Administrator:
7/2 上空白UPC贴纸 396pcs
168600/169031/168994共用
7/11 上客供亚马逊外箱贴纸 9pcs
7/14 上空白UPC贴纸 432pcs
168600/169031/168994共用
</s:t>
              </s:r>
            </s:text>
          </item>
        </commentChain>
      </unresolved>
      <resolved/>
    </commentChains>
    <commentChains s:ref="AA174" rgbClr="FF0000">
      <unresolved>
        <commentChain chainId="970871ab0c5199adb88719f21bc974327f45c7eb">
          <item id="ffbb34919f57d7560f9d04bb6e752012d9f326de" isNormal="1">
            <s:text>
              <s:r>
                <s:t xml:space="preserve">Administrator:
3002605 7/19 2860pcs 莫海军B4楼B8区</s:t>
              </s:r>
            </s:text>
          </item>
        </commentChain>
      </unresolved>
      <resolved/>
    </commentChains>
    <commentChains s:ref="AC174" rgbClr="FF0000">
      <unresolved>
        <commentChain chainId="18af9a3ac3cea51c011dbb9b9bedee4697a42470">
          <item id="3d16801ac990d11d09429007333cd20a2174a3aa" isNormal="1">
            <s:text>
              <s:r>
                <s:t xml:space="preserve">Administrator:
7/5 上德语警语贴纸 2860pcs</s:t>
              </s:r>
            </s:text>
          </item>
        </commentChain>
      </unresolved>
      <resolved/>
    </commentChains>
    <commentChains s:ref="AA175" rgbClr="FF0000">
      <unresolved>
        <commentChain chainId="c83a0af92d0afb9f7dbfccc7305d8d9474b6757f">
          <item id="df6b8b517fb17acf607d9c28880015a9f56ef2c3" isNormal="1">
            <s:text>
              <s:r>
                <s:t xml:space="preserve">Administrator:
3002619 7/19 60pcs 华兴三B15</s:t>
              </s:r>
            </s:text>
          </item>
        </commentChain>
      </unresolved>
      <resolved/>
    </commentChains>
    <commentChains s:ref="AC175" rgbClr="FF0000">
      <unresolved>
        <commentChain chainId="eb6462fb4d6f6c0abdf862083d9a7a4f27dd4351">
          <item id="a3e365c9705a0cf5190c821b7d808a782a5d8f6e" isNormal="1">
            <s:text>
              <s:r>
                <s:t xml:space="preserve">Administrator:
7/2 上空白UPC贴纸 396pcs
168600/169031/168994共用
7/11 上客供亚马逊外箱贴纸 5pcs
7/14 上空白UPC贴纸 432pcs
168600/169031/168994共用
</s:t>
              </s:r>
            </s:text>
          </item>
        </commentChain>
      </unresolved>
      <resolved/>
    </commentChains>
    <commentChains s:ref="AA176" rgbClr="FF0000">
      <unresolved>
        <commentChain chainId="91738d72660d8c4352cbf3e609952b11b5a18366">
          <item id="c9fef8963a4d4d68c39a2448dedcb2cbac811e28" isNormal="1">
            <s:text>
              <s:r>
                <s:t xml:space="preserve">Administrator:
3002619 7/19 12pcs 华兴三B15</s:t>
              </s:r>
            </s:text>
          </item>
        </commentChain>
      </unresolved>
      <resolved/>
    </commentChains>
    <commentChains s:ref="AC176" rgbClr="FF0000">
      <unresolved>
        <commentChain chainId="758b2af0bb86ee1295d36c11d7590661b738e743">
          <item id="aa42a8fcbc7d78e8de6aaa2d4d785d26ed006a07" isNormal="1">
            <s:text>
              <s:r>
                <s:t xml:space="preserve">Administrator:
7/2 上空白UPC贴纸 396pcs
168600/169031/168994共用
7/11 上客供亚马逊外箱贴纸 1pcs
7/14 上空白UPC贴纸 432pcs
168600/169031/168994共用
</s:t>
              </s:r>
            </s:text>
          </item>
        </commentChain>
      </unresolved>
      <resolved/>
    </commentChains>
    <commentChains s:ref="AA177" rgbClr="FF0000">
      <unresolved>
        <commentChain chainId="85d8f3fce9f7cd98988789c59fe35c1d7659d0f8">
          <item id="d7e9deebfa1563f23eb6f2f225e1e7cae4c593ed" isNormal="1">
            <s:text>
              <s:r>
                <s:t xml:space="preserve">Administrator:
3002619 7/19 168pcs 华兴三B15</s:t>
              </s:r>
            </s:text>
          </item>
        </commentChain>
      </unresolved>
      <resolved/>
    </commentChains>
    <commentChains s:ref="AC177" rgbClr="FF0000">
      <unresolved>
        <commentChain chainId="cb425b6401afe7a249c536dbe1e3f52480322898">
          <item id="508d0f67d75703c885ac2c3ac4b03e6bc395ff2f" isNormal="1">
            <s:text>
              <s:r>
                <s:t xml:space="preserve">Administrator:
7/2 上空白UPC贴纸 396pcs
168600/169031/168994共用
7/11 上客供亚马逊外箱贴纸 14pcs
7/14 上空白UPC贴纸 432pcs
168600/169031/168994共用
</s:t>
              </s:r>
            </s:text>
          </item>
        </commentChain>
      </unresolved>
      <resolved/>
    </commentChains>
    <commentChains s:ref="AA178" rgbClr="FF0000">
      <unresolved>
        <commentChain chainId="46c6753d17d7f5ee4dd4ffdd5c7f008cfd66eff2">
          <item id="409c61cc274127958e82a52e34c4911341ea9dc7" isNormal="1">
            <s:text>
              <s:r>
                <s:t xml:space="preserve">Administrator:
3002539 7/22 1968pcs 华兴三B13
3002461 7/26  24pcs  华兴三B13</s:t>
              </s:r>
            </s:text>
          </item>
        </commentChain>
      </unresolved>
      <resolved/>
    </commentChains>
    <commentChains s:ref="AC178" rgbClr="FF0000">
      <unresolved>
        <commentChain chainId="ab13f4a43b2f0021b63ca95c1982e5bbf4215ee7">
          <item id="b09eeb649f8c1df75323e90a7c728867255f4841" isNormal="1">
            <s:text>
              <s:r>
                <s:t xml:space="preserve">Administrator:
7/1 上空白贴纸 3984pcs</s:t>
              </s:r>
            </s:text>
          </item>
        </commentChain>
      </unresolved>
      <resolved/>
    </commentChains>
    <commentChains s:ref="AA179" rgbClr="FF0000">
      <unresolved>
        <commentChain chainId="4d985f5ecd4945f29cac268801588b6dfff4b6b4">
          <item id="298ca6ef948470fa1cf1aba803ba73a1824de846" isNormal="1">
            <s:text>
              <s:r>
                <s:t xml:space="preserve">Administrator:
3002539 7/22 1350pcs 华兴三B12</s:t>
              </s:r>
            </s:text>
          </item>
        </commentChain>
      </unresolved>
      <resolved/>
    </commentChains>
    <commentChains s:ref="AC179" rgbClr="FF0000">
      <unresolved>
        <commentChain chainId="e50959a2158723c901e63fa1a104fcea52bcdb21">
          <item id="f2e66650df7615bb042bb8ca715e50fdc6b7c5da" isNormal="1">
            <s:text>
              <s:r>
                <s:t xml:space="preserve">Administrator:
7/3 上客人通用进口商贴纸 1350pcs</s:t>
              </s:r>
            </s:text>
          </item>
        </commentChain>
      </unresolved>
      <resolved/>
    </commentChains>
    <commentChains s:ref="AA180" rgbClr="FF0000">
      <unresolved>
        <commentChain chainId="cca4f4167dbcc493041400fe29b8a7032e45a189">
          <item id="85238e02c866beb44f6f2f0192c9037251b9a8cc" isNormal="1">
            <s:text>
              <s:r>
                <s:t xml:space="preserve">Administrator:
3002458 7/22 1040pcs 华兴三A23</s:t>
              </s:r>
            </s:text>
          </item>
        </commentChain>
      </unresolved>
      <resolved/>
    </commentChains>
    <commentChains s:ref="AA181" rgbClr="FF0000">
      <unresolved>
        <commentChain chainId="77d0e968ca16ab56f3bfc27a1ff73bb8dc653f47">
          <item id="8ad6263dd59cec541f581e70fa17778780475d00" isNormal="1">
            <s:text>
              <s:r>
                <s:t xml:space="preserve">Administrator:
3002183 8/2 650pcs 华兴三B4</s:t>
              </s:r>
            </s:text>
          </item>
        </commentChain>
      </unresolved>
      <resolved/>
    </commentChains>
    <commentChains s:ref="AC181" rgbClr="FF0000">
      <unresolved>
        <commentChain chainId="5e67e579a928673f44b4bee2e8c7265d1cb3ea70">
          <item id="59e7eab6c0114893ec69642b9066052af056bf32" isNormal="1">
            <s:text>
              <s:r>
                <s:t xml:space="preserve">Administrator:
7/11 上8+贴纸 650pcs
     上3C贴纸 650pcs</s:t>
              </s:r>
            </s:text>
          </item>
        </commentChain>
      </unresolved>
      <resolved/>
    </commentChains>
    <commentChains s:ref="AA182" rgbClr="FF0000">
      <unresolved>
        <commentChain chainId="c41eddb179ca26feb2d145dfbd480dfba6c994f6">
          <item id="6ebf4c0b851159c051301bc6e1b33a4717cefe2f" isNormal="1">
            <s:text>
              <s:r>
                <s:t xml:space="preserve">Administrator:
3002092 7/26 492pcs 华兴三B11</s:t>
              </s:r>
            </s:text>
          </item>
        </commentChain>
      </unresolved>
      <resolved/>
    </commentChains>
    <commentChains s:ref="AC182" rgbClr="FF0000">
      <unresolved>
        <commentChain chainId="157b03379fb1e5498f5bc11013645c9f8426ff8e">
          <item id="389867b762c9223ba50dc63ae8d2a237fd0e2c94" isNormal="1">
            <s:text>
              <s:r>
                <s:t xml:space="preserve">Administrator:
7/11 上亚马逊外箱贴纸 41pcs</s:t>
              </s:r>
            </s:text>
          </item>
        </commentChain>
      </unresolved>
      <resolved/>
    </commentChains>
    <commentChains s:ref="AA183" rgbClr="FF0000">
      <unresolved>
        <commentChain chainId="7e6d75f1df7481d2f99788aefd9f571bb9e6717c">
          <item id="5c402bd48d8efb48c4d19ee232e8516295a0973f" isNormal="1">
            <s:text>
              <s:r>
                <s:t xml:space="preserve">Administrator:
3002076 7/30 900pcs 华兴三B1</s:t>
              </s:r>
            </s:text>
          </item>
        </commentChain>
      </unresolved>
      <resolved/>
    </commentChains>
    <commentChains s:ref="AC183" rgbClr="FF0000">
      <unresolved>
        <commentChain chainId="25dc879cddae47d625846c2c20bf9276f4813f67">
          <item id="ac72713506e18bb502ae4a15b043c6cdc917f1a0" isNormal="1">
            <s:text>
              <s:r>
                <s:t xml:space="preserve">Administrator:
7/16 上客供价格贴纸 990pcs</s:t>
              </s:r>
            </s:text>
          </item>
        </commentChain>
      </unresolved>
      <resolved/>
    </commentChains>
    <commentChains s:ref="AA184" rgbClr="FF0000">
      <unresolved>
        <commentChain chainId="f8b44bc5e5ee7c65fe29be4d0be39c65c2af4952">
          <item id="bec8e5a32e7f8c512085fcd390deb87999d78655" isNormal="1">
            <s:text>
              <s:r>
                <s:t xml:space="preserve">Administrator:
3002076 7/30 1200pcs 华兴三B3</s:t>
              </s:r>
            </s:text>
          </item>
        </commentChain>
      </unresolved>
      <resolved/>
    </commentChains>
    <commentChains s:ref="AC184" rgbClr="FF0000">
      <unresolved>
        <commentChain chainId="9e43fd4f6834efef8c7e7874f572b00f20739528">
          <item id="c0f625221ac19ad18c065cdc0ec883fae03da01e" isNormal="1">
            <s:text>
              <s:r>
                <s:t xml:space="preserve">Administrator:
7/16 上客供价格贴纸 1320pcs</s:t>
              </s:r>
            </s:text>
          </item>
        </commentChain>
      </unresolved>
      <resolved/>
    </commentChains>
    <commentChains s:ref="AA185" rgbClr="FF0000">
      <unresolved>
        <commentChain chainId="0d71d1e851280bc6894698012d648c15a6cf666c">
          <item id="56ccc885541080fe9e9e8dee6409bab190f0eebc" isNormal="1">
            <s:text>
              <s:r>
                <s:t xml:space="preserve">Administrator:
3002076 7/30 900pcs 华兴三B2
</s:t>
              </s:r>
            </s:text>
          </item>
        </commentChain>
      </unresolved>
      <resolved/>
    </commentChains>
    <commentChains s:ref="AC185" rgbClr="FF0000">
      <unresolved>
        <commentChain chainId="9d8bef9095e7a609accf494a5750d1ee50f8a4fc">
          <item id="6ddaa178765294ad113ed3af1a0d90e18d747590" isNormal="1">
            <s:text>
              <s:r>
                <s:t xml:space="preserve">Administrator:
7/16 上客供价格贴纸 990pcs</s:t>
              </s:r>
            </s:text>
          </item>
        </commentChain>
      </unresolved>
      <resolved/>
    </commentChains>
    <commentChains s:ref="AA186" rgbClr="FF0000">
      <unresolved>
        <commentChain chainId="41c343daae2ca5e54d671e6dc0149faf14f30ae2">
          <item id="64ad00ae7aee6f320c9773af49f0625e5797498c" isNormal="1">
            <s:text>
              <s:r>
                <s:t xml:space="preserve">Administrator:
3002076 7/30 600pcs 华兴三B1
</s:t>
              </s:r>
            </s:text>
          </item>
        </commentChain>
      </unresolved>
      <resolved/>
    </commentChains>
    <commentChains s:ref="AC186" rgbClr="FF0000">
      <unresolved>
        <commentChain chainId="bfe795f721b0d630abfdbccc3aa3c346b597768c">
          <item id="8f6ce5ad702e876e4874bb7a45d8361c5c61753c" isNormal="1">
            <s:text>
              <s:r>
                <s:t xml:space="preserve">Administrator:
7/16 上客供价格贴纸 660pcs</s:t>
              </s:r>
            </s:text>
          </item>
        </commentChain>
      </unresolved>
      <resolved/>
    </commentChains>
    <commentChains s:ref="AA187" rgbClr="FF0000">
      <unresolved>
        <commentChain chainId="45b4ac694392c6e15cc523fd1598333724b6d333">
          <item id="43bdc1e5e51a353c9789b803677c78a55ed640af" isNormal="1">
            <s:text>
              <s:r>
                <s:t xml:space="preserve">Administrator:
3002076 7/30 804pcs 华兴三B2
</s:t>
              </s:r>
            </s:text>
          </item>
        </commentChain>
      </unresolved>
      <resolved/>
    </commentChains>
    <commentChains s:ref="AC187" rgbClr="FF0000">
      <unresolved>
        <commentChain chainId="178a41973defc57032db6117ab925d302c8f36a3">
          <item id="71c75a276bc6b72f87d18bd349cf07d4bbe4334d" isNormal="1">
            <s:text>
              <s:r>
                <s:t xml:space="preserve">Administrator:
7/16 上客供价格贴纸 885pcs</s:t>
              </s:r>
            </s:text>
          </item>
        </commentChain>
      </unresolved>
      <resolved/>
    </commentChains>
    <commentChains s:ref="AA188" rgbClr="FF0000">
      <unresolved>
        <commentChain chainId="0a8c33e2fdd2d3d2c720864d74228dedd1283735">
          <item id="5e95d8c88f866784c3e30537d22085f93f62b071" isNormal="1">
            <s:text>
              <s:r>
                <s:t xml:space="preserve">Administrator:
3002076 7/30 996pcs 华兴三B2
</s:t>
              </s:r>
            </s:text>
          </item>
        </commentChain>
      </unresolved>
      <resolved/>
    </commentChains>
    <commentChains s:ref="AC188" rgbClr="FF0000">
      <unresolved>
        <commentChain chainId="fd7caa2f7568a7be560647252678a30189887661">
          <item id="cea95c88293f7fe1b32c3e33bd5583ce93153108" isNormal="1">
            <s:text>
              <s:r>
                <s:t xml:space="preserve">Administrator:
7/16 上客供价格贴纸 1096pcs</s:t>
              </s:r>
            </s:text>
          </item>
        </commentChain>
      </unresolved>
      <resolved/>
    </commentChains>
    <commentChains s:ref="AA189" rgbClr="FF0000">
      <unresolved>
        <commentChain chainId="73dae4939d43fbeeaf92524bc715526e79346411">
          <item id="9dd615803b37a3d55f06f1afcf5961eb807164c0" isNormal="1">
            <s:text>
              <s:r>
                <s:t xml:space="preserve">Administrator:
3002076 7/30 600pcs 华兴三B2
</s:t>
              </s:r>
            </s:text>
          </item>
        </commentChain>
      </unresolved>
      <resolved/>
    </commentChains>
    <commentChains s:ref="AC189" rgbClr="FF0000">
      <unresolved>
        <commentChain chainId="bd481b6ef647072e0a684677a8a43ffc007c1472">
          <item id="93d6a113e0b12e19134f6678af2e4bd2ea0529ec" isNormal="1">
            <s:text>
              <s:r>
                <s:t xml:space="preserve">Administrator:
7/16 上客供价格贴纸 660pcs</s:t>
              </s:r>
            </s:text>
          </item>
        </commentChain>
      </unresolved>
      <resolved/>
    </commentChains>
    <commentChains s:ref="AA190" rgbClr="FF0000">
      <unresolved>
        <commentChain chainId="403c7d676401b8da472f1df94acf076e496bcb85">
          <item id="e84e680292f4c08a9cf112a03e85d864f832b48d" isNormal="1">
            <s:text>
              <s:r>
                <s:t xml:space="preserve">Administrator:
3002076 7/30 600pcs 华兴三B2
</s:t>
              </s:r>
            </s:text>
          </item>
        </commentChain>
      </unresolved>
      <resolved/>
    </commentChains>
    <commentChains s:ref="AC190" rgbClr="FF0000">
      <unresolved>
        <commentChain chainId="5b4ed91fefbc290dc24fa2c17aac03bfa2fef40e">
          <item id="acca9b4bb04de2454f032c1f20ec5e891e5c7e09" isNormal="1">
            <s:text>
              <s:r>
                <s:t xml:space="preserve">Administrator:
7/16 上客供价格贴纸 660pcs</s:t>
              </s:r>
            </s:text>
          </item>
        </commentChain>
      </unresolved>
      <resolved/>
    </commentChains>
    <commentChains s:ref="AA191" rgbClr="FF0000">
      <unresolved>
        <commentChain chainId="6893583e4aa301cd57e7456c70c4186a8b952429">
          <item id="1678078f9744c71e88c7d1380c69cc07461589b6" isNormal="1">
            <s:text>
              <s:r>
                <s:t xml:space="preserve">Administrator:
3002076 7/30 900pcs 华兴三B1
</s:t>
              </s:r>
            </s:text>
          </item>
        </commentChain>
      </unresolved>
      <resolved/>
    </commentChains>
    <commentChains s:ref="AC191" rgbClr="FF0000">
      <unresolved>
        <commentChain chainId="76696d50b59abc13c0087cd04aa0f985caa88b85">
          <item id="3165b8f89840ab47e166f61dd8676d22b98612c9" isNormal="1">
            <s:text>
              <s:r>
                <s:t xml:space="preserve">Administrator:
7/16 上客供价格贴纸 990pcs</s:t>
              </s:r>
            </s:text>
          </item>
        </commentChain>
      </unresolved>
      <resolved/>
    </commentChains>
    <commentChains s:ref="AA192" rgbClr="FF0000">
      <unresolved>
        <commentChain chainId="b355429a529d678c55cf8fac2a2c8f25b0afa8a6">
          <item id="37deb7415d0f18f8a7147e5826417a267f3b00b5" isNormal="1">
            <s:text>
              <s:r>
                <s:t xml:space="preserve">Administrator:
3002063 7/31 996pcs 华兴一B6</s:t>
              </s:r>
            </s:text>
          </item>
        </commentChain>
      </unresolved>
      <resolved/>
    </commentChains>
    <commentChains s:ref="AC192" rgbClr="FF0000">
      <unresolved>
        <commentChain chainId="07fe25f67332d00791d1428fa3d517c06e28c606">
          <item id="f62a68893ddb2bb61c3fc60c0a8ab5a73b503ce9" isNormal="1">
            <s:text>
              <s:r>
                <s:t xml:space="preserve">Administrator:
7/16 上客供价格贴纸 1096pcs</s:t>
              </s:r>
            </s:text>
          </item>
        </commentChain>
      </unresolved>
      <resolved/>
    </commentChains>
    <commentChains s:ref="AA193" rgbClr="FF0000">
      <unresolved>
        <commentChain chainId="c16e0ba9f203388467c2e35b743532f31b0636cf">
          <item id="55b9792a5cc288a98e405c1fbaa8c5661536694a" isNormal="1">
            <s:text>
              <s:r>
                <s:t xml:space="preserve">Administrator:
3002267 8/4 520pcs 莫海军B4楼A6区</s:t>
              </s:r>
            </s:text>
          </item>
        </commentChain>
      </unresolved>
      <resolved/>
    </commentChains>
    <commentChains s:ref="AC193" rgbClr="FF0000">
      <unresolved>
        <commentChain chainId="cfbaf531d7a707804352091a3dfd1a9f92680fcd">
          <item id="3ffe0e631141ca10e881146699a60de678482702" isNormal="1">
            <s:text>
              <s:r>
                <s:t xml:space="preserve">Administrator:
7/5 上进口商贴纸 1508pcs</s:t>
              </s:r>
            </s:text>
          </item>
        </commentChain>
      </unresolved>
      <resolved/>
    </commentChains>
    <commentChains s:ref="AA194" rgbClr="FF0000">
      <unresolved>
        <commentChain chainId="7ba0373262372c0cd30e88e0e040ecd5033a3496">
          <item id="f66352f8ec9d6d9eedf3396e4b1ef3db9d312724" isNormal="1">
            <s:text>
              <s:r>
                <s:t xml:space="preserve">Administrator:
3002267 8/4 468pcs 莫海军B4楼A6区</s:t>
              </s:r>
            </s:text>
          </item>
        </commentChain>
      </unresolved>
      <resolved/>
    </commentChains>
    <commentChains s:ref="AA195" rgbClr="FF0000">
      <unresolved>
        <commentChain chainId="59785ad9a1037d952068675cce3f6cdc28309454">
          <item id="286c6da068f2e1aabb487142bc813481cffd2d07" isNormal="1">
            <s:text>
              <s:r>
                <s:t xml:space="preserve">Administrator:
3002267 8/4 364pcs 莫海军B4楼A6区
</s:t>
              </s:r>
            </s:text>
          </item>
        </commentChain>
      </unresolved>
      <resolved/>
    </commentChains>
    <commentChains s:ref="AA196" rgbClr="FF0000">
      <unresolved>
        <commentChain chainId="8580435744e1bd13e7b2bc136a5372391cf24053">
          <item id="cdfbbced982ac11b09e3740356e8fbc2a2ae8dd6" isNormal="1">
            <s:text>
              <s:r>
                <s:t xml:space="preserve">Administrator:
3002267 8/4 156pcs 莫海军B4楼A6区
</s:t>
              </s:r>
            </s:text>
          </item>
        </commentChain>
      </unresolved>
      <resolved/>
    </commentChains>
    <commentChains s:ref="AA197" rgbClr="FF0000">
      <unresolved>
        <commentChain chainId="abd76ce7ee88def14ac45309dab44a08130aa3ea">
          <item id="efa36bef1da22c937b9b31f39e099a746c9f37f0" isNormal="1">
            <s:text>
              <s:r>
                <s:t xml:space="preserve">Administrator:
3002183 8/2 2004pcs 华兴三B9
3002290 8/8  12pcs  华兴三B9</s:t>
              </s:r>
            </s:text>
          </item>
        </commentChain>
      </unresolved>
      <resolved/>
    </commentChains>
    <commentChains s:ref="AC197" rgbClr="FF0000">
      <unresolved>
        <commentChain chainId="2e1fa985506af281bf346cde527279fe2e3731b3">
          <item id="59051f9c82c24eeb62cbd7b0f34434426a5864c3" isNormal="1">
            <s:text>
              <s:r>
                <s:t xml:space="preserve">Administrator:
7/10 上客供价格贴纸 2019pcs</s:t>
              </s:r>
            </s:text>
          </item>
        </commentChain>
      </unresolved>
      <resolved/>
    </commentChains>
    <commentChains s:ref="AA198" rgbClr="FF0000">
      <unresolved>
        <commentChain chainId="d2160404913bf54f5a9cbe3474dbd4720ca6f852">
          <item id="a151ce7c96fc552b360964cd1f508bae3d64a7ff" isNormal="1">
            <s:text>
              <s:r>
                <s:t xml:space="preserve">Administrator:
3002183 8/2 996pcs 华兴三B9</s:t>
              </s:r>
            </s:text>
          </item>
        </commentChain>
      </unresolved>
      <resolved/>
    </commentChains>
    <commentChains s:ref="AC198" rgbClr="FF0000">
      <unresolved>
        <commentChain chainId="f3c939ee8321a3290e8bd838d69c58d5b6a4614a">
          <item id="f39fa35f12719e0a88d67bca3c5af16e3187e02f" isNormal="1">
            <s:text>
              <s:r>
                <s:t xml:space="preserve">Administrator:
7/10 上客供价格贴纸 1017pcs</s:t>
              </s:r>
            </s:text>
          </item>
        </commentChain>
      </unresolved>
      <resolved/>
    </commentChains>
    <commentChains s:ref="AA199" rgbClr="FF0000">
      <unresolved>
        <commentChain chainId="be838d2ad4f99978d01c27faeecc78fd90b7d978">
          <item id="80db29c1573cd7cef0345ca10f2b865291a69484" isNormal="1">
            <s:text>
              <s:r>
                <s:t xml:space="preserve">Administrator:
3002189 8/2 4992pcs 华兴一F3
3002355 8/6   13pcs 华兴一F3</s:t>
              </s:r>
            </s:text>
          </item>
        </commentChain>
      </unresolved>
      <resolved/>
    </commentChains>
    <commentChains s:ref="AC199" rgbClr="FF0000">
      <unresolved>
        <commentChain chainId="6cc7450f5833ac7f5c2153964373f29fcfc54511">
          <item id="5e13520004f8d75a1420dd8ab62182e0a98e9845" isNormal="1">
            <s:text>
              <s:r>
                <s:t xml:space="preserve">Administrator:
7/17 上客供外箱条码贴纸 395pcs</s:t>
              </s:r>
            </s:text>
          </item>
        </commentChain>
      </unresolved>
      <resolved/>
    </commentChains>
    <commentChains s:ref="AA200" rgbClr="FF0000">
      <unresolved>
        <commentChain chainId="89658bd7132c5218a1b206ad47f9b41dfe5ce5c3">
          <item id="c28643466b232700ee28db93b6129988437a0672" isNormal="1">
            <s:text>
              <s:r>
                <s:t xml:space="preserve">Administrator:
3002355 8/6 2916pcs 华兴一F4</s:t>
              </s:r>
            </s:text>
          </item>
        </commentChain>
      </unresolved>
      <resolved/>
    </commentChains>
    <commentChains s:ref="AC200" rgbClr="FF0000">
      <unresolved>
        <commentChain chainId="98aa1ede599dff5629d225178e4316cc8cba9318">
          <item id="a39c1792c9ec4a63f365f8f960930cc4a627a51b" isNormal="1">
            <s:text>
              <s:r>
                <s:t xml:space="preserve">Administrator:
7/16 上Slime bag荷兰语警语贴纸 2916pcs
     上德意荷警语贴纸 2916pcs</s:t>
              </s:r>
            </s:text>
          </item>
        </commentChain>
      </unresolved>
      <resolved/>
    </commentChains>
    <commentChains s:ref="AA201" rgbClr="FF0000">
      <unresolved>
        <commentChain chainId="8d7c970ac542258feeaef806f565a523c65fea92">
          <item id="6391d55d3c30d7d6bfa9aea4b19046c2d3ef6705" isNormal="1">
            <s:text>
              <s:r>
                <s:t xml:space="preserve">Administrator:
3002377 8/5 1350pcs 华兴三B10</s:t>
              </s:r>
            </s:text>
          </item>
        </commentChain>
      </unresolved>
      <resolved/>
    </commentChains>
    <commentChains s:ref="AC201" rgbClr="FF0000">
      <unresolved>
        <commentChain chainId="bc8b61f2a35234d0d862c53657e88228b356e561">
          <item id="df86e133661663f66c6f4da9e1fa0605386c3a7d" isNormal="1">
            <s:text>
              <s:r>
                <s:t xml:space="preserve">Administrator:
7/22 上UPC贴纸 1350pcs</s:t>
              </s:r>
            </s:text>
          </item>
        </commentChain>
      </unresolved>
      <resolved/>
    </commentChains>
    <commentChains s:ref="AA202" rgbClr="FF0000">
      <unresolved>
        <commentChain chainId="35c22da17339b1b26068618bdfe63205325e35b7">
          <item id="ebe323c9d01cf606531baf71ebe1018b03d31828" isNormal="1">
            <s:text>
              <s:r>
                <s:t xml:space="preserve">Administrator:
4000299 8/9 104pcs 华兴三B14</s:t>
              </s:r>
            </s:text>
          </item>
        </commentChain>
      </unresolved>
      <resolved/>
    </commentChains>
    <commentChains s:ref="AC202" rgbClr="FF0000">
      <unresolved>
        <commentChain chainId="00523bf5e48bca8e6739bef788662a5942859d77">
          <item id="11861cad05e5d49d5af25cc923f2e099e1b4cbdc" isNormal="1">
            <s:text>
              <s:r>
                <s:t xml:space="preserve">Administrator:
7/24 上进口商贴纸 104pcs</s:t>
              </s:r>
            </s:text>
          </item>
        </commentChain>
      </unresolved>
      <resolved/>
    </commentChains>
    <commentChains s:ref="AA203" rgbClr="FF0000">
      <unresolved>
        <commentChain chainId="db04bf90d14ec320aaa4cd5248ccc06cb6870d41">
          <item id="d3b290eab4c15187bc8415ad7d4fb2e84ace3589" isNormal="1">
            <s:text>
              <s:r>
                <s:t xml:space="preserve">Administrator:
4000299 8/9 1300pcs 华兴三B14</s:t>
              </s:r>
            </s:text>
          </item>
        </commentChain>
      </unresolved>
      <resolved/>
    </commentChains>
    <commentChains s:ref="AC203" rgbClr="FF0000">
      <unresolved>
        <commentChain chainId="6c7592e8c388c3e944a84f1ed3f24be0ccd29504">
          <item id="47d25b75a4a45974ec5d51dc046e93a65c14a30f" isNormal="1">
            <s:text>
              <s:r>
                <s:t xml:space="preserve">Administrator:
7/23 上UPC贴纸 1300pcs</s:t>
              </s:r>
            </s:text>
          </item>
        </commentChain>
      </unresolved>
      <resolved/>
    </commentChains>
    <commentChains s:ref="AA204" rgbClr="FF0000">
      <unresolved>
        <commentChain chainId="f87560e88f15f3b5e30304b09d8c21bdf625426f">
          <item id="67ea56edcbac6f0904d9e53e149648fc55ab3de0" isNormal="1">
            <s:text>
              <s:r>
                <s:t xml:space="preserve">Administrator:
4000335 8/12 10309pcs 莫海军B4楼B8区</s:t>
              </s:r>
            </s:text>
          </item>
        </commentChain>
      </unresolved>
      <resolved/>
    </commentChains>
    <commentChains s:ref="AA205" rgbClr="FF0000">
      <unresolved>
        <commentChain chainId="daab88ac3a47339c0f1b2f911e7bfe25d8cb6be9">
          <item id="9dba28915181f01d897d84a14330c7dd22a76ce0" isNormal="1">
            <s:text>
              <s:r>
                <s:t xml:space="preserve">Administrator:
4000299 8/9 300pcs 华兴三B14</s:t>
              </s:r>
            </s:text>
          </item>
        </commentChain>
      </unresolved>
      <resolved/>
    </commentChains>
    <commentChains s:ref="AC205" rgbClr="FF0000">
      <unresolved>
        <commentChain chainId="65ceaa8a50e4899261461ac472399c7c2bcdd4d9">
          <item id="e04a47f523cdfc3cb8f2321130da9ab479162d4f" isNormal="1">
            <s:text>
              <s:r>
                <s:t xml:space="preserve">Administrator:
7/26 上客供价格贴纸 315pcs</s:t>
              </s:r>
            </s:text>
          </item>
        </commentChain>
      </unresolved>
      <resolved/>
    </commentChains>
    <commentChains s:ref="AA206" rgbClr="FF0000">
      <unresolved>
        <commentChain chainId="0f407480af7e07e5c59c0c9610fb05640a755717">
          <item id="8e7eaa47609b97e2dca972029d80431232b563b5" isNormal="1">
            <s:text>
              <s:r>
                <s:t xml:space="preserve">Administrator:
4000299 8/9 650pcs 华兴三B14</s:t>
              </s:r>
            </s:text>
          </item>
        </commentChain>
      </unresolved>
      <resolved/>
    </commentChains>
    <commentChains s:ref="AA207" rgbClr="FF0000">
      <unresolved>
        <commentChain chainId="b6de9327f875a2b0dd292b8ca3745cf3fb6d9342">
          <item id="ad81b6bb1b93f5aa0e73108fc0f732b358d9e13d" isNormal="1">
            <s:text>
              <s:r>
                <s:t xml:space="preserve">Administrator:
4000335 8/12 6006pcs 莫海军B4楼A5区
</s:t>
              </s:r>
            </s:text>
          </item>
        </commentChain>
      </unresolved>
      <resolved/>
    </commentChains>
    <commentChains s:ref="AC207" rgbClr="FF0000">
      <unresolved>
        <commentChain chainId="99a27d9376861ab3c768105a6a495efb2fc6e841">
          <item id="f3d2da8611f9ea22b0863fe5b1832ca77e1cbd03" isNormal="1">
            <s:text>
              <s:r>
                <s:t xml:space="preserve">Administrator:
7/23 上客供外箱条码贴纸 467pcs</s:t>
              </s:r>
            </s:text>
          </item>
        </commentChain>
      </unresolved>
      <resolved/>
    </commentChains>
    <commentChains s:ref="AA208" rgbClr="FF0000">
      <unresolved>
        <commentChain chainId="34df764203bd7b549ce12fe6251aa9584ad4f4cc">
          <item id="094aa4a53383f8e20f93e182e1d2c8ec5198079d" isNormal="1">
            <s:text>
              <s:r>
                <s:t xml:space="preserve">Administrator:
4000335 8/12 7007pcs 莫海军B4楼B7区
</s:t>
              </s:r>
            </s:text>
          </item>
        </commentChain>
      </unresolved>
      <resolved/>
    </commentChains>
    <commentChains s:ref="AC208" rgbClr="FF0000">
      <unresolved>
        <commentChain chainId="f1f1c0ecb108f84271c451421d559cebdb0512fb">
          <item id="d8c3088f8ff0398cda5d203ea61a8081316f3b9d" isNormal="1">
            <s:text>
              <s:r>
                <s:t xml:space="preserve">Administrator:
7/23 上客供外箱条码贴纸 544pcs</s:t>
              </s:r>
            </s:text>
          </item>
        </commentChain>
      </unresolved>
      <resolved/>
    </commentChains>
    <commentChains s:ref="AA209" rgbClr="FF0000">
      <unresolved>
        <commentChain chainId="9384acccb349240874da3347df72f33d1e2b2572">
          <item id="6e4141484efb34bdabe2f77c805a1574dd17a18f" isNormal="1">
            <s:text>
              <s:r>
                <s:t xml:space="preserve">Administrator:
4000299 8/9 2052pcs 华兴三B14</s:t>
              </s:r>
            </s:text>
          </item>
        </commentChain>
      </unresolved>
      <resolved/>
    </commentChains>
    <commentChains s:ref="AC209" rgbClr="FF0000">
      <unresolved>
        <commentChain chainId="253cb4db4b4cdea28ccad36aefe90d12cf9eba34">
          <item id="7f37608a2f3cb570bf5dfa8b26f87fba1f9aadc7" isNormal="1">
            <s:text>
              <s:r>
                <s:t xml:space="preserve">Administrator:
8/4 上进口商贴纸 2052pcs
    上UPC贴纸 2052pcs</s:t>
              </s:r>
            </s:text>
          </item>
        </commentChain>
      </unresolved>
      <resolved/>
    </commentChains>
    <commentChains s:ref="AA210" rgbClr="FF0000">
      <unresolved>
        <commentChain chainId="5d5a1e1d33ee0f43bc2d6cdccdfa4aaeaaf07117">
          <item id="fad61a7c6d0b5c7c0c3cc188672230ce279e6f8e" isNormal="1">
            <s:text>
              <s:r>
                <s:t xml:space="preserve">Administrator:
4000299 8/9 1350pcs 华兴三B14</s:t>
              </s:r>
            </s:text>
          </item>
        </commentChain>
      </unresolved>
      <resolved/>
    </commentChains>
    <commentChains s:ref="AC210" rgbClr="FF0000">
      <unresolved>
        <commentChain chainId="e211e24783c50aba39857fcf4578f7129ab05c6c">
          <item id="bc9082418c3fcb9f93ae08d05ced581483730076" isNormal="1">
            <s:text>
              <s:r>
                <s:t xml:space="preserve">Administrator:
7/25 上客人通用进口商贴纸 1350pcs</s:t>
              </s:r>
            </s:text>
          </item>
        </commentChain>
      </unresolved>
      <resolved/>
    </commentChains>
    <commentChains s:ref="AA211" rgbClr="FF0000">
      <unresolved>
        <commentChain chainId="47ebc15d2723e96e687cbdbfc65fd7d4d297b5c6">
          <item id="e48eb58d020e132584803eeb486adadb618513c0" isNormal="1">
            <s:text>
              <s:r>
                <s:t xml:space="preserve">Administrator:
4000299 8/9 300pcs 华兴三B14</s:t>
              </s:r>
            </s:text>
          </item>
        </commentChain>
      </unresolved>
      <resolved/>
    </commentChains>
    <commentChains s:ref="AC211" rgbClr="FF0000">
      <unresolved>
        <commentChain chainId="6a675cdb6071488b22d10d27f689b97a53e15523">
          <item id="c60ddd1671fcc85931c7bc94ba6cec53bc7c7dba" isNormal="1">
            <s:text>
              <s:r>
                <s:t xml:space="preserve">Administrator:
8/2 上客供价格贴纸 315pcs</s:t>
              </s:r>
            </s:text>
          </item>
        </commentChain>
      </unresolved>
      <resolved/>
    </commentChains>
    <commentChains s:ref="AA212" rgbClr="FF0000">
      <unresolved>
        <commentChain chainId="e8955ee771281870bfd825351cb012c9e5fe18fa">
          <item id="0b6e6f7186af9c2dcc79cff7d3b9c8982f34be08" isNormal="1">
            <s:text>
              <s:r>
                <s:t xml:space="preserve">Administrator:
4000085 8/29 260pcs 华兴一F12</s:t>
              </s:r>
            </s:text>
          </item>
        </commentChain>
      </unresolved>
      <resolved/>
    </commentChains>
    <commentChains s:ref="AC212" rgbClr="FF0000">
      <unresolved>
        <commentChain chainId="ddf946c13c1068fbafeeea29f3dfa4771e4ee63c">
          <item id="32a9739cebe6556731ecd9182069bae9702e74c7" isNormal="1">
            <s:text>
              <s:r>
                <s:t xml:space="preserve">Administrator:
7/30 上客户EAN条码贴纸 260pcs</s:t>
              </s:r>
            </s:text>
          </item>
        </commentChain>
      </unresolved>
      <resolved/>
    </commentChains>
    <commentChains s:ref="AA213" rgbClr="FF0000">
      <unresolved>
        <commentChain chainId="f255638ed42cf1884c42bbf53586dc52e21c0280">
          <item id="39ffaa6210ee4011cda178ab8398a5728b8efa25" isNormal="1">
            <s:text>
              <s:r>
                <s:t xml:space="preserve">Administrator:
4000085 8/29 1040pcs 华兴一F12</s:t>
              </s:r>
            </s:text>
          </item>
        </commentChain>
      </unresolved>
      <resolved/>
    </commentChains>
    <commentChains s:ref="AC213" rgbClr="FF0000">
      <unresolved>
        <commentChain chainId="59d32feb3f7cdd80393a132c3f3aa14800e0b299">
          <item id="4bd5bca1b30427d74a1c28dacf36a0f1ece8802e" isNormal="1">
            <s:text>
              <s:r>
                <s:t xml:space="preserve">Administrator:
7/26 上客户EAN条码贴纸 8320pcs</s:t>
              </s:r>
            </s:text>
          </item>
        </commentChain>
      </unresolved>
      <resolved/>
    </commentChains>
    <commentChains s:ref="AA214" rgbClr="FF0000">
      <unresolved>
        <commentChain chainId="5e5345fc451bcc1fb9196b7410d34bd9bc4e92fd">
          <item id="9105989c88bf2536e2b26d95af290767733c9544" isNormal="1">
            <s:text>
              <s:r>
                <s:t xml:space="preserve">Administrator:
4000085 8/29 1040pcs 华兴一F12</s:t>
              </s:r>
            </s:text>
          </item>
        </commentChain>
      </unresolved>
      <resolved/>
    </commentChains>
    <commentChains s:ref="AA215" rgbClr="FF0000">
      <unresolved>
        <commentChain chainId="7bb9a0c84d01e79fc5ae6d39efe22fbe05dc9de3">
          <item id="18400de1d59ccc09cee4f839c29259bc85d39cd7" isNormal="1">
            <s:text>
              <s:r>
                <s:t xml:space="preserve">Administrator:
4000085 8/29 1040pcs 华兴一F12</s:t>
              </s:r>
            </s:text>
          </item>
        </commentChain>
      </unresolved>
      <resolved/>
    </commentChains>
    <commentChains s:ref="AA216" rgbClr="FF0000">
      <unresolved>
        <commentChain chainId="3f0f0237fdea5738c25fc689c687a8bfb16b188e">
          <item id="f6fb2cab9b0c4a88fd5fd09cf628ac2940b88e35" isNormal="1">
            <s:text>
              <s:r>
                <s:t xml:space="preserve">Administrator:
4000085 8/29 1040pcs 华兴一F12</s:t>
              </s:r>
            </s:text>
          </item>
        </commentChain>
      </unresolved>
      <resolved/>
    </commentChains>
    <commentChains s:ref="AA217" rgbClr="FF0000">
      <unresolved>
        <commentChain chainId="149271c1804f8073067449f96e9e0dab3687b417">
          <item id="79ef5202f0de9fb4c6a6f43739562e030e4f4655" isNormal="1">
            <s:text>
              <s:r>
                <s:t xml:space="preserve">Administrator:
4000085 8/29 1040pcs 华兴一F12</s:t>
              </s:r>
            </s:text>
          </item>
        </commentChain>
      </unresolved>
      <resolved/>
    </commentChains>
    <commentChains s:ref="AA218" rgbClr="FF0000">
      <unresolved>
        <commentChain chainId="9ff40c30a1da49ce29090b71d62523478565ae68">
          <item id="aed69f75b025ed89142ab03dcf66ea0ca8dfe212" isNormal="1">
            <s:text>
              <s:r>
                <s:t xml:space="preserve">Administrator:
4000085 8/29 1040pcs 华兴一F12</s:t>
              </s:r>
            </s:text>
          </item>
        </commentChain>
      </unresolved>
      <resolved/>
    </commentChains>
    <commentChains s:ref="AA219" rgbClr="FF0000">
      <unresolved>
        <commentChain chainId="bf1c67b8efcea8a90a78d0eaf6c7029fcf86a664">
          <item id="221e152ea83a020d2edc2a40ae3ff82ad128be9d" isNormal="1">
            <s:text>
              <s:r>
                <s:t xml:space="preserve">Administrator:
4000085 8/29 1040pcs 华兴一F12</s:t>
              </s:r>
            </s:text>
          </item>
        </commentChain>
      </unresolved>
      <resolved/>
    </commentChains>
    <commentChains s:ref="AA220" rgbClr="FF0000">
      <unresolved>
        <commentChain chainId="c96d217dfe6e07ce08b0967f498e07932153ee52">
          <item id="f6f1827eb9c1227782f6467f56193852355e64b8" isNormal="1">
            <s:text>
              <s:r>
                <s:t xml:space="preserve">Administrator:
4000085 8/29 1040pcs 华兴一F12</s:t>
              </s:r>
            </s:text>
          </item>
        </commentChain>
      </unresolved>
      <resolved/>
    </commentChains>
    <commentChains s:ref="AA221" rgbClr="FF0000">
      <unresolved>
        <commentChain chainId="90ce7f171d209cbcea32b00c349010683317d214">
          <item id="3854f9d38d934a4c96aba11136cb601b6bf71203" isNormal="1">
            <s:text>
              <s:r>
                <s:t xml:space="preserve">Administrator:
4000099 8/30 3690pcs</s:t>
              </s:r>
            </s:text>
          </item>
        </commentChain>
      </unresolved>
      <resolved/>
    </commentChains>
    <commentChains s:ref="AA222" rgbClr="FF0000">
      <unresolved>
        <commentChain chainId="cfc8d49bee8932ceda685e5b7aba5ce8060782b9">
          <item id="0eadb58a5e94769c341e317721d71682bc95c44e" isNormal="1">
            <s:text>
              <s:r>
                <s:t xml:space="preserve">Administrator:
4000026 9/4 972pcs 华兴三B14
4000486 9/9  54pcs 华兴三B14</s:t>
              </s:r>
            </s:text>
          </item>
        </commentChain>
      </unresolved>
      <resolved/>
    </commentChains>
    <commentChains s:ref="AA223" rgbClr="FF0000">
      <unresolved>
        <commentChain chainId="a220913e521130eb0c657c327dcb8e8453e9be14">
          <item id="ae2b3dd9732ea80d9cefa84a5a4f982be825e6f2" isNormal="1">
            <s:text>
              <s:r>
                <s:t xml:space="preserve">Administrator:
3002082 7/29 783pcs 华兴三B16
8/29 退回返工
4000047 9/2 783pcs 华兴三A2</s:t>
              </s:r>
            </s:text>
          </item>
        </commentChain>
      </unresolved>
      <resolved/>
    </commentChains>
    <commentChains s:ref="AA224" rgbClr="FF0000">
      <unresolved>
        <commentChain chainId="03d47225bdc692caea81a776f9fec34b811d87a0">
          <item id="221f107a78e704708fc92521b5c6e6b0792e4e0f" isNormal="1">
            <s:text>
              <s:r>
                <s:t xml:space="preserve">Administrator:
3002082 7/29 1269pcs 华兴三A32
8/29 退回返工
4000047 9/2 1242pcs 华兴三A2
4000380 9/4  27pcs  华兴三A2</s:t>
              </s:r>
            </s:text>
          </item>
        </commentChain>
      </unresolved>
      <resolved/>
    </commentChains>
    <commentChains s:ref="AA225" rgbClr="FF0000">
      <unresolved>
        <commentChain chainId="dede3ece2510bcee7433eb4224e822fbb52295fd">
          <item id="f5caf6d3625e86d95fd84b69877c43366a6fc672" isNormal="1">
            <s:text>
              <s:r>
                <s:t xml:space="preserve">Administrator:
3002082 7/29 756pcs 华兴三B15
8/29 退回返工
4000047 9/2 756pcs 华兴三A2</s:t>
              </s:r>
            </s:text>
          </item>
        </commentChain>
      </unresolved>
      <resolved/>
    </commentChains>
    <commentChains s:ref="AA226" rgbClr="FF0000">
      <unresolved>
        <commentChain chainId="ee062455a6a1b4c75a8d4fe911375dbd71f4cc25">
          <item id="bbaf88becb13a1977b36b3f632d876a86864f3af" isNormal="1">
            <s:text>
              <s:r>
                <s:t xml:space="preserve">Administrator:
3002082 7/29 1728pcs 华兴三A32
8/29 退回返工
4000047 9/2 1728pcs 华兴三B1</s:t>
              </s:r>
            </s:text>
          </item>
        </commentChain>
      </unresolved>
      <resolved/>
    </commentChains>
    <commentChains s:ref="AA227" rgbClr="FF0000">
      <unresolved>
        <commentChain chainId="22cb95eb0237fb27248aa5400818c6b9f54ba7e2">
          <item id="c7ada6e7d0b85fe1d6c8a7552e83296156f9b705" isNormal="1">
            <s:text>
              <s:r>
                <s:t xml:space="preserve">Administrator:
3002082 7/29 2160pcs 华兴三A32
8/29 退回返工
4000047 9/2 2079pcs 华兴三A1
4000380 9/4  81pcs  华兴三B1</s:t>
              </s:r>
            </s:text>
          </item>
        </commentChain>
      </unresolved>
      <resolved/>
    </commentChains>
    <commentChains s:ref="AA228" rgbClr="FF0000">
      <unresolved>
        <commentChain chainId="dca710d47b2b8fdeb0ecb66c5fa48bcb4150aba7">
          <item id="255357f619d9864b4349e0c7d8e8b17c63ea0158" isNormal="1">
            <s:text>
              <s:r>
                <s:t xml:space="preserve">Administrator:
3002088 7/29  27pcs 华兴三A21
3002082 7/29 864pcs 华兴三A32
8/29 退回返工
4000047 9/2 918pcs 华兴三A2</s:t>
              </s:r>
            </s:text>
          </item>
        </commentChain>
      </unresolved>
      <resolved/>
    </commentChains>
    <commentChains s:ref="AA229" rgbClr="FF0000">
      <unresolved>
        <commentChain chainId="cbfc9c514e00dca464a5c93e1a2165c52ee499a0">
          <item id="999904d2d000db02dd666feb6a0957cd0a2c7029" isNormal="1">
            <s:text>
              <s:r>
                <s:t xml:space="preserve">Administrator:
3002082 7/29 918pcs 华兴三A32
8/29 退回返工
4000047 9/2 918pcs 华兴三A2</s:t>
              </s:r>
            </s:text>
          </item>
        </commentChain>
      </unresolved>
      <resolved/>
    </commentChains>
    <commentChains s:ref="AA230" rgbClr="FF0000">
      <unresolved>
        <commentChain chainId="33e3fa2860db9c96cce5bc3ef3f48fbf7dbb05b3">
          <item id="cc4e2c89f4212131c12fbc606c9ae1dd015c8e2d" isNormal="1">
            <s:text>
              <s:r>
                <s:t xml:space="preserve">Administrator:
3002082 7/29 1728pcs 华兴三A32
8/29 退回返工
4000047 9/2 1728pcs 华兴三B1 </s:t>
              </s:r>
            </s:text>
          </item>
        </commentChain>
      </unresolved>
      <resolved/>
    </commentChains>
    <commentChains s:ref="AA231" rgbClr="FF0000">
      <unresolved>
        <commentChain chainId="97aec55ce497f591fbfdedf171019e43eb191d83">
          <item id="bb640aae8476268c2b1dac32545544dabf27e132" isNormal="1">
            <s:text>
              <s:r>
                <s:t xml:space="preserve">Administrator:
3002082 7/29 918pcs 华兴三A32
8/29 退回返工
4000047 9/2 837pcs 华兴三A2
4000380 9/4  81pcs 华兴三A2</s:t>
              </s:r>
            </s:text>
          </item>
        </commentChain>
      </unresolved>
      <resolved/>
    </commentChains>
    <commentChains s:ref="AA232" rgbClr="FF0000">
      <unresolved>
        <commentChain chainId="26c8a2fb56138633a8e9d52e9d5bfb03b7342b2d">
          <item id="bd910099fe72914d1f3b3eb37f6294dfd7d32962" isNormal="1">
            <s:text>
              <s:r>
                <s:t xml:space="preserve">Administrator:
4000500 9/8 7007pcs 华兴一F5</s:t>
              </s:r>
            </s:text>
          </item>
        </commentChain>
      </unresolved>
      <resolved/>
    </commentChains>
    <commentChains s:ref="AC232" rgbClr="FF0000">
      <unresolved>
        <commentChain chainId="5c93e4df13bded7a510272ac0b89727e13b9ba7b">
          <item id="31f9d3df3189343a294f4f83c55b00f66825efc1" isNormal="1">
            <s:text>
              <s:r>
                <s:t xml:space="preserve">Administrator:
8/14 上客供外箱条码贴纸 544pcs</s:t>
              </s:r>
            </s:text>
          </item>
        </commentChain>
      </unresolved>
      <resolved/>
    </commentChains>
    <commentChains s:ref="AA233" rgbClr="FF0000">
      <unresolved>
        <commentChain chainId="b194a1ceca7a472b962777db8b2e80672783a923">
          <item id="f47988f7eab6bae425dc117724eca3f51e71609c" isNormal="1">
            <s:text>
              <s:r>
                <s:t xml:space="preserve">Administrator:
4000500 9/8 9009pcs 华兴一F5</s:t>
              </s:r>
            </s:text>
          </item>
        </commentChain>
      </unresolved>
      <resolved/>
    </commentChains>
    <commentChains s:ref="AC233" rgbClr="FF0000">
      <unresolved>
        <commentChain chainId="a86225af970d399ca310a5b380ebe3182f585b75">
          <item id="9081f7d9662236aef691ce66db81f7979426c55e" isNormal="1">
            <s:text>
              <s:r>
                <s:t xml:space="preserve">Administrator:
8/14 上客供外箱条码贴纸 700pcs</s:t>
              </s:r>
            </s:text>
          </item>
        </commentChain>
      </unresolved>
      <resolved/>
    </commentChains>
    <commentChains s:ref="AA234" rgbClr="FF0000">
      <unresolved>
        <commentChain chainId="c581bd89fbdc7f71b6e941994e7f524d56bd2086">
          <item id="ede88b95918beb226b96762ab218abc401440200" isNormal="1">
            <s:text>
              <s:r>
                <s:t xml:space="preserve">Administrator:
4000394 9/12 5421pcs 莫海军B4楼B3区
</s:t>
              </s:r>
            </s:text>
          </item>
        </commentChain>
      </unresolved>
      <resolved/>
    </commentChains>
    <commentChains s:ref="AC234" rgbClr="FF0000">
      <unresolved>
        <commentChain chainId="f68e69e493b160f5f8a45c8254ea11f2cd3afa70">
          <item id="086f952adfa9185f78432dbb3e341f60264ef62e" isNormal="1">
            <s:text>
              <s:r>
                <s:t xml:space="preserve">Administrator:
8/21 上客供外箱条码贴纸 421pcs</s:t>
              </s:r>
            </s:text>
          </item>
        </commentChain>
      </unresolved>
      <resolved/>
    </commentChains>
    <commentChains s:ref="AA235" rgbClr="FF0000">
      <unresolved>
        <commentChain chainId="474ba9a8727deccc7fac288ff4c714af890def93">
          <item id="d083a7653a86228d433511f712e37dd65137d53e" isNormal="1">
            <s:text>
              <s:r>
                <s:t xml:space="preserve">Administrator:
4000394 9/12 5018pcs 莫海军B4楼A1区
</s:t>
              </s:r>
            </s:text>
          </item>
        </commentChain>
      </unresolved>
      <resolved/>
    </commentChains>
    <commentChains s:ref="AC235" rgbClr="FF0000">
      <unresolved>
        <commentChain chainId="d890cf4c8fd2274ad561260ad80ae5c108e74e35">
          <item id="9600677b6c9d435346b1ac8c81d84d87457db2db" isNormal="1">
            <s:text>
              <s:r>
                <s:t xml:space="preserve">Administrator:
8/21 上客供外箱条码贴纸 390pcs</s:t>
              </s:r>
            </s:text>
          </item>
        </commentChain>
      </unresolved>
      <resolved/>
    </commentChains>
    <commentChains s:ref="AA236" rgbClr="FF0000">
      <unresolved>
        <commentChain chainId="b5b52930cdc463546b3b5540ef8b93baccc8de78">
          <item id="c36907cc70dca9eca64cbb54ffffd566c04e7788" isNormal="1">
            <s:text>
              <s:r>
                <s:t xml:space="preserve">Administrator:
4000394 9/12 312pcs 莫海军B4楼B8区
</s:t>
              </s:r>
            </s:text>
          </item>
        </commentChain>
      </unresolved>
      <resolved/>
    </commentChains>
    <commentChains s:ref="AC236" rgbClr="FF0000">
      <unresolved>
        <commentChain chainId="1e85537f3484f75d6ace65157aeaf70a31df0bf5">
          <item id="6109ea02989deb5751a4691cbb5de76ea3fa7aa9" isNormal="1">
            <s:text>
              <s:r>
                <s:t xml:space="preserve">Administrator:
8/11 上客户通用贴纸 312pcs</s:t>
              </s:r>
            </s:text>
          </item>
        </commentChain>
      </unresolved>
      <resolved/>
    </commentChains>
    <commentChains s:ref="AA237" rgbClr="FF0000">
      <unresolved>
        <commentChain chainId="73ab5af4421c7938c382831e6104e2b0b065c92d">
          <item id="19e0b60329ac21f650750d1b5584080c0e67e2f0" isNormal="1">
            <s:text>
              <s:r>
                <s:t xml:space="preserve">Administrator:
4000394 9/12 7890pcs 送永捷</s:t>
              </s:r>
            </s:text>
          </item>
        </commentChain>
      </unresolved>
      <resolved/>
    </commentChains>
    <commentChains s:ref="AA238" rgbClr="FF0000">
      <unresolved>
        <commentChain chainId="aec148debd92c31c979a518f23a0aaaaa2db516a">
          <item id="f2c4ce3ef43b160b24ee672ef933abdccdb728b3" isNormal="1">
            <s:text>
              <s:r>
                <s:t xml:space="preserve">Administrator:
5000095 9/15   54pcs 华兴三B10
4000442 9/15 3564pcs 华兴三B10</s:t>
              </s:r>
            </s:text>
          </item>
        </commentChain>
      </unresolved>
      <resolved/>
    </commentChains>
    <commentChains s:ref="AA239" rgbClr="FF0000">
      <unresolved>
        <commentChain chainId="15535bc6a35f4f15210c6a476cfb58b377e0b770">
          <item id="5e150fe484ac6cb8cbf7ca402347fa7edc4f9fad" isNormal="1">
            <s:text>
              <s:r>
                <s:t xml:space="preserve">Administrator:
5000110 9/17 300pcs 华兴三B17</s:t>
              </s:r>
            </s:text>
          </item>
        </commentChain>
      </unresolved>
      <resolved/>
    </commentChains>
    <commentChains s:ref="AC239" rgbClr="FF0000">
      <unresolved>
        <commentChain chainId="5e4f614e5fc9ba4cb6ba706b09e332f2ec34c187">
          <item id="17143a8974094123ef0661a530f1a8abf6f3a436" isNormal="1">
            <s:text>
              <s:r>
                <s:t xml:space="preserve">Administrator:
8/14 上客供价格贴纸 315pcs</s:t>
              </s:r>
            </s:text>
          </item>
        </commentChain>
      </unresolved>
      <resolved/>
    </commentChains>
    <commentChains s:ref="AA240" rgbClr="FF0000">
      <unresolved>
        <commentChain chainId="6851f87d894c1d58a599f45812174b137f9c49c2">
          <item id="08236254362710ad1fb09efb2205bc713e22b527" isNormal="1">
            <s:text>
              <s:r>
                <s:t xml:space="preserve">Administrator:
5000110 9/17 2496pcs 华兴一F3
5000305 9/19  104pcs 华兴一F3</s:t>
              </s:r>
            </s:text>
          </item>
        </commentChain>
      </unresolved>
      <resolved/>
    </commentChains>
    <commentChains s:ref="AC240" rgbClr="FF0000">
      <unresolved>
        <commentChain chainId="43677832fd9c633eac697ce1644cdcb0aecfa5c4">
          <item id="27cacdf51f6e44ee9d268bb232e7928703cdb759" isNormal="1">
            <s:text>
              <s:r>
                <s:t xml:space="preserve">Administrator:
8/13 上日语贴纸 2600pcs</s:t>
              </s:r>
            </s:text>
          </item>
        </commentChain>
      </unresolved>
      <resolved/>
    </commentChains>
    <commentChains s:ref="AA241" rgbClr="FF0000">
      <unresolved>
        <commentChain chainId="bdd5e298143ba9bfbeb62ba10ac4953174b8021e">
          <item id="fdc0329579c6b8ef055d77e1b9235179a3ae61c2" isNormal="1">
            <s:text>
              <s:r>
                <s:t xml:space="preserve">Administrator:
5000367 9/25 1040pcs 莫海军B4楼B10区</s:t>
              </s:r>
            </s:text>
          </item>
        </commentChain>
      </unresolved>
      <resolved/>
    </commentChains>
    <commentChains s:ref="AA242" rgbClr="FF0000">
      <unresolved>
        <commentChain chainId="8f973f311b38fa15b96b7da87fc98c496b353c3d">
          <item id="9955104ae628165a748c6c847bfffe98cde40270" isNormal="1">
            <s:text>
              <s:r>
                <s:t xml:space="preserve">Administrator:
5000392 9/27 13824pcs  B栋四楼A6
5000408 9/27   24pcs   B栋四楼A6</s:t>
              </s:r>
            </s:text>
          </item>
        </commentChain>
      </unresolved>
      <resolved/>
    </commentChains>
    <commentChains s:ref="AC242" rgbClr="FF0000">
      <unresolved>
        <commentChain chainId="3dcff2457aec1cf3a7862e49dc135bbdf7fbdcd7">
          <item id="05b438138fe6fe1d677f4f31e072daf50cc0cd5e" isNormal="1">
            <s:text>
              <s:r>
                <s:t xml:space="preserve">Administrator:
9/9 上客供RFID贴纸 13824pcs</s:t>
              </s:r>
            </s:text>
          </item>
        </commentChain>
      </unresolved>
      <resolved/>
    </commentChains>
    <commentChains s:ref="AA243" rgbClr="FF0000">
      <unresolved>
        <commentChain chainId="8b1c3a11aef0af4aa98e5f8bb7be7ea0be0183be">
          <item id="16abb90235a19d74bdee737a5d5e63b451733c58" isNormal="1">
            <s:text>
              <s:r>
                <s:t xml:space="preserve">Administrator:
5000386 9/26 10368pcs 莫海军B4楼A6区</s:t>
              </s:r>
            </s:text>
          </item>
        </commentChain>
      </unresolved>
      <resolved/>
    </commentChains>
    <commentChains s:ref="AC243" rgbClr="FF0000">
      <unresolved>
        <commentChain chainId="6274f3afa6dbe2936dece16661f9a36e23fa2b7d">
          <item id="500ece96e817734de811a8ddd3c70b9666c2a3ae" isNormal="1">
            <s:text>
              <s:r>
                <s:t xml:space="preserve">Administrator:
9/9 上客供RFID贴纸 10368pcs</s:t>
              </s:r>
            </s:text>
          </item>
        </commentChain>
      </unresolved>
      <resolved/>
    </commentChains>
    <commentChains s:ref="AA244" rgbClr="FF0000">
      <unresolved>
        <commentChain chainId="147669d138205a65fb38bdd9539cbe3eae625bd1">
          <item id="26a29ab0b1a1ad6d9d970b00b6102fb58a12d0f8" isNormal="1">
            <s:text>
              <s:r>
                <s:t xml:space="preserve">Administrator:
5000392 9/27 8640pcs 华兴三B5
5000413 9/27 1728pcs 华兴三B5</s:t>
              </s:r>
            </s:text>
          </item>
        </commentChain>
      </unresolved>
      <resolved/>
    </commentChains>
    <commentChains s:ref="AC244" rgbClr="FF0000">
      <unresolved>
        <commentChain chainId="f4d8ad551d80e0f92733c252bee824582fd80d7e">
          <item id="6c59f7f46279c01783820fa3f3bc81953b46e7d6" isNormal="1">
            <s:text>
              <s:r>
                <s:t xml:space="preserve">Administrator:
9/9 上客供RFID贴纸 10368pcs</s:t>
              </s:r>
            </s:text>
          </item>
        </commentChain>
      </unresolved>
      <resolved/>
    </commentChains>
    <commentChains s:ref="AA245" rgbClr="FF0000">
      <unresolved>
        <commentChain chainId="f30a266486894d026627dd7263d43cd77893af24">
          <item id="ed934abccd0c979b6e60563caf3fdb1e425dc45a" isNormal="1">
            <s:text>
              <s:r>
                <s:t xml:space="preserve">Administrator:
5000428 9/29 3312pcs  华兴三A8
5000425 9/29 15120pcs 华兴三A8</s:t>
              </s:r>
            </s:text>
          </item>
        </commentChain>
      </unresolved>
      <resolved/>
    </commentChains>
    <commentChains s:ref="AC245" rgbClr="FF0000">
      <unresolved>
        <commentChain chainId="4e7c34f4f666aac147ac8c55b138019accbd8065">
          <item id="3c33e884b81d7e80565d48fb260c921e9164deb0" isNormal="1">
            <s:text>
              <s:r>
                <s:t xml:space="preserve">Administrator:
9/9 上客供RFID贴纸 18432pcs</s:t>
              </s:r>
            </s:text>
          </item>
        </commentChain>
      </unresolved>
      <resolved/>
    </commentChains>
    <commentChains s:ref="AA246" rgbClr="FF0000">
      <unresolved>
        <commentChain chainId="78f6dd1303621ac0ddca4c289cc33d5e513f58c5">
          <item id="f5a6f8606f9c1e2d3e73c4a90e3b8f8c3f0f68e6" isNormal="1">
            <s:text>
              <s:r>
                <s:t xml:space="preserve">Administrator:
5000457 9/30   12pcs  莫海军B4楼B7区
5000433 9/30 12660pcs 莫海军B4楼A5区
</s:t>
              </s:r>
            </s:text>
          </item>
        </commentChain>
      </unresolved>
      <resolved/>
    </commentChains>
    <commentChains s:ref="AC246" rgbClr="FF0000">
      <unresolved>
        <commentChain chainId="375c888718a81aa2bd3c22236635c8f07cb646d4">
          <item id="ac7663ef34212de767c304da9b2a0503e1d9f182" isNormal="1">
            <s:text>
              <s:r>
                <s:t xml:space="preserve">Administrator:
9/9 上客供RFID贴纸 12672pcs</s:t>
              </s:r>
            </s:text>
          </item>
        </commentChain>
      </unresolved>
      <resolved/>
    </commentChains>
    <commentChains s:ref="AA247" rgbClr="FF0000">
      <unresolved>
        <commentChain chainId="7434dd4141092986b8129769580e61ae317f1183">
          <item id="9b1ddcb2e47a6fe822660d7200d6d86b5efde847" isNormal="1">
            <s:text>
              <s:r>
                <s:t xml:space="preserve">Administrator:
5000433 9/30 9216pcs 莫海军B4楼B8区
</s:t>
              </s:r>
            </s:text>
          </item>
        </commentChain>
      </unresolved>
      <resolved/>
    </commentChains>
    <commentChains s:ref="AC247" rgbClr="FF0000">
      <unresolved>
        <commentChain chainId="51d6c77c59301b1c6e233e838378b93dcbd30cbd">
          <item id="0fa6dd1cbc1c026a82d58f55ade13eebd96b7e01" isNormal="1">
            <s:text>
              <s:r>
                <s:t xml:space="preserve">Administrator:
9/9 上客供RFID贴纸 9216pcs</s:t>
              </s:r>
            </s:text>
          </item>
        </commentChain>
      </unresolved>
      <resolved/>
    </commentChains>
    <commentChains s:ref="AA248" rgbClr="FF0000">
      <unresolved>
        <commentChain chainId="7fcf2e5c24e51f4fd02cf837a465a07c396a1c1b">
          <item id="5fa59a12cd57c9bb722a70df5c2029df3caa2bed" isNormal="1">
            <s:text>
              <s:r>
                <s:t xml:space="preserve">Administrator:
5000457 9/30   12pcs  莫海军B4楼C6区
5000433 9/30 12660pcs 莫海军B4楼A5区
</s:t>
              </s:r>
            </s:text>
          </item>
        </commentChain>
      </unresolved>
      <resolved/>
    </commentChains>
    <commentChains s:ref="AC248" rgbClr="FF0000">
      <unresolved>
        <commentChain chainId="602840eebe04be902eee914626610902d1237b45">
          <item id="efddee9194284fedc2d863735110dae0e5ef26ad" isNormal="1">
            <s:text>
              <s:r>
                <s:t xml:space="preserve">Administrator:
9/9 上客供RFID贴纸 12672pcs</s:t>
              </s:r>
            </s:text>
          </item>
        </commentChain>
      </unresolved>
      <resolved/>
    </commentChains>
    <commentChains s:ref="AA249" rgbClr="FF0000">
      <unresolved>
        <commentChain chainId="339eaef81e8e83449ca34e74c22ee7ab0f1358cb">
          <item id="f3c66cee602b2c9b619311aad8f7ec21eb1dd6e1" isNormal="1">
            <s:text>
              <s:r>
                <s:t xml:space="preserve">Administrator:
5000488 10/10 300pcs 华兴三B13</s:t>
              </s:r>
            </s:text>
          </item>
        </commentChain>
      </unresolved>
      <resolved/>
    </commentChains>
    <commentChains s:ref="AC249" rgbClr="FF0000">
      <unresolved>
        <commentChain chainId="89c731417c81d992b366793af8ba39caea4aa7db">
          <item id="fa49b5a96ee5bbe32761dccddda3dbdee56e4121" isNormal="1">
            <s:text>
              <s:r>
                <s:t xml:space="preserve">Administrator:
9/12 上客供价格贴纸 315pcs</s:t>
              </s:r>
            </s:text>
          </item>
        </commentChain>
      </unresolved>
      <resolved/>
    </commentChains>
    <commentChains s:ref="AA250" rgbClr="FF0000">
      <unresolved>
        <commentChain chainId="1950ab46602bfd5df05ade2438a9a342e7f7b0c3">
          <item id="2c2961cf92f0c8486cb7b9ff2588f52dd8485e7f" isNormal="1">
            <s:text>
              <s:r>
                <s:t xml:space="preserve">Administrator:
5000553 10/15 513pcs 华兴三B13
5000598 10/17  27pcs 华兴三B13
</s:t>
              </s:r>
            </s:text>
          </item>
        </commentChain>
      </unresolved>
      <resolved/>
    </commentChains>
    <commentChains s:ref="AC250" rgbClr="FF0000">
      <unresolved>
        <commentChain chainId="89a67daed04d863399d908d0dfb8cc067f06259b">
          <item id="fbeafd741117a20dab6ed0445df65ef12b891574" isNormal="1">
            <s:text>
              <s:r>
                <s:t xml:space="preserve">Administrator:
9/13 上警告语/进口商贴纸 540pcs
9/20 上警告语贴纸 540pcs</s:t>
              </s:r>
            </s:text>
          </item>
        </commentChain>
      </unresolved>
      <resolved/>
    </commentChains>
    <commentChains s:ref="AA251" rgbClr="FF0000">
      <unresolved>
        <commentChain chainId="073cbe61ed1d698b93f63cf0913d1fba6559bf6e">
          <item id="4305a0dc3533cb1be10b656acf820ab3b869ab14" isNormal="1">
            <s:text>
              <s:r>
                <s:t xml:space="preserve">Administrator:
5000575 10/15 2292pcs 莫海军B4楼B1区
5000598 10/17  12pcs  莫海军B4楼B1区</s:t>
              </s:r>
            </s:text>
          </item>
        </commentChain>
      </unresolved>
      <resolved/>
    </commentChains>
    <commentChains s:ref="AC251" rgbClr="FF0000">
      <unresolved>
        <commentChain chainId="1651708cc6f4544b533b156c0cfd0e5e79bdb999">
          <item id="b312c449ab6f52f12d1c44baa26c9134e22c13ec" isNormal="1">
            <s:text>
              <s:r>
                <s:t xml:space="preserve">Administrator:
9/29 上客供RFID贴纸 2304pcs</s:t>
              </s:r>
            </s:text>
          </item>
        </commentChain>
      </unresolved>
      <resolved/>
    </commentChains>
    <commentChains s:ref="AA252" rgbClr="FF0000">
      <unresolved>
        <commentChain chainId="263fbd75d8f08c017e70a568988411b310e45f78">
          <item id="620e9ea1046f6b5dd5e493f75140bc209c431d86" isNormal="1">
            <s:text>
              <s:r>
                <s:t xml:space="preserve">Administrator:
5000575 10/15 1152pcs 莫海军B4楼A1区</s:t>
              </s:r>
            </s:text>
          </item>
        </commentChain>
      </unresolved>
      <resolved/>
    </commentChains>
    <commentChains s:ref="AC252" rgbClr="FF0000">
      <unresolved>
        <commentChain chainId="3356415e5677d6d79e2fd6324114cd58cab7f8c7">
          <item id="e8143a707c44eb162d7888ad9fd235ad6d871574" isNormal="1">
            <s:text>
              <s:r>
                <s:t xml:space="preserve">Administrator:
9/29 上客供RFID贴纸 1152pcs</s:t>
              </s:r>
            </s:text>
          </item>
        </commentChain>
      </unresolved>
      <resolved/>
    </commentChains>
    <commentChains s:ref="AA253" rgbClr="FF0000">
      <unresolved>
        <commentChain chainId="a412e5cfdef6797683f06de4d52064a4f1a53ed1">
          <item id="4810892ecf4c8bc30dc1aee957bb7de008000e7c" isNormal="1">
            <s:text>
              <s:r>
                <s:t xml:space="preserve">Administrator:
5000575 10/15 486pcs 莫海军B4楼B9区
5000598 10/17  54pcs 莫海军B4楼B9区
</s:t>
              </s:r>
            </s:text>
          </item>
        </commentChain>
      </unresolved>
      <resolved/>
    </commentChains>
    <commentChains s:ref="AA254" rgbClr="FF0000">
      <unresolved>
        <commentChain chainId="ac2fc95a950cecc057b987a34b9e3f7baf9ce8d6">
          <item id="6b7da9df7412bf92a42282078eee89a9296668a6" isNormal="1">
            <s:text>
              <s:r>
                <s:t xml:space="preserve">Administrator:
5000598 10/17 650pcs 华兴三A27</s:t>
              </s:r>
            </s:text>
          </item>
        </commentChain>
      </unresolved>
      <resolved/>
    </commentChains>
    <commentChains s:ref="AC254" rgbClr="FF0000">
      <unresolved>
        <commentChain chainId="76797b6fc0bd5c5d115675b6fd21ac594268e9ab">
          <item id="735f50216126c2a272184afa9ddf68a81a18d4dc" isNormal="1">
            <s:text>
              <s:r>
                <s:t xml:space="preserve">Administrator:
9/25 上挪威语警语贴纸 650pcs</s:t>
              </s:r>
            </s:text>
          </item>
        </commentChain>
      </unresolved>
      <resolved/>
    </commentChains>
    <commentChains s:ref="AA255" rgbClr="FF0000">
      <unresolved>
        <commentChain chainId="ab38440efe78330952dcd20958815365ccaa7a35">
          <item id="b7c2f67926d388f5a65b2358519a80e869fb625b" isNormal="1">
            <s:text>
              <s:r>
                <s:t xml:space="preserve">Administrator:
5000619 10/18 1248pcs 华兴三A32</s:t>
              </s:r>
            </s:text>
          </item>
        </commentChain>
      </unresolved>
      <resolved/>
    </commentChains>
    <commentChains s:ref="AA256" rgbClr="FF0000">
      <unresolved>
        <commentChain chainId="0421feab19a340dc8e463ec24dd6f3bb8a0ba5d9">
          <item id="3e337e0cf96ac2e0b01bf1e066266dbd9a99c4b4" isNormal="1">
            <s:text>
              <s:r>
                <s:t xml:space="preserve">Administrator:
5000619 10/18 767pcs 华兴三A32</s:t>
              </s:r>
            </s:text>
          </item>
        </commentChain>
      </unresolved>
      <resolved/>
    </commentChains>
    <commentChains s:ref="AA257" rgbClr="FF0000">
      <unresolved>
        <commentChain chainId="1d0bc8bb7e1cf6125e4a869736839e5f564acb0d">
          <item id="32fc42942f77d9663dd782f7db1ad7ed9072604e" isNormal="1">
            <s:text>
              <s:r>
                <s:t xml:space="preserve">Administrator:
5000180 10/24 3900pcs 华兴三B14</s:t>
              </s:r>
            </s:text>
          </item>
        </commentChain>
      </unresolved>
      <resolved/>
    </commentChains>
    <commentChains s:ref="AC257" rgbClr="FF0000">
      <unresolved>
        <commentChain chainId="f71af316dcf1970c1e98b0a660fb3a9063282781">
          <item id="ef36f0185e5eabaac0969a424c9da309bb5a06ae" isNormal="1">
            <s:text>
              <s:r>
                <s:t xml:space="preserve">Administrator:
9/23 上8+贴纸 4550pcs
     上3C贴纸 4500pcs
10/17 上客供防串码贴纸1拖13 5200pcs
10/21 上8+贴纸 4000pcs(湖南损耗补数）</s:t>
              </s:r>
            </s:text>
          </item>
        </commentChain>
      </unresolved>
      <resolved/>
    </commentChains>
    <commentChains s:ref="AA258" rgbClr="FF0000">
      <unresolved>
        <commentChain chainId="f9764ef14c32df3c8403fe81c2df111d23ece8af">
          <item id="9eafd558d8ea5dab249b8441ae1584be4acb5723" isNormal="1">
            <s:text>
              <s:r>
                <s:t xml:space="preserve">Administrator:
5000180 10/24 650pcs 华兴三A27</s:t>
              </s:r>
            </s:text>
          </item>
        </commentChain>
      </unresolved>
      <resolved/>
    </commentChains>
    <commentChains s:ref="AA259" rgbClr="FF0000">
      <unresolved>
        <commentChain chainId="c242f64a761dd87211f3cdd8e0593da6153fd0c6">
          <item id="4d4ffbe05d174551b3652e8853d95d0092ecb905" isNormal="1">
            <s:text>
              <s:r>
                <s:t xml:space="preserve">Administrator:
5000210 10/28 65pcs 华兴三B14</s:t>
              </s:r>
            </s:text>
          </item>
        </commentChain>
      </unresolved>
      <resolved/>
    </commentChains>
    <commentChains s:ref="AA260" rgbClr="FF0000">
      <unresolved>
        <commentChain chainId="f8f862feab41efa9ce199ea4ed68d5d706a8c6bc">
          <item id="5719e1358cadcf995301acf213a04c9e2bd2b6f5" isNormal="1">
            <s:text>
              <s:r>
                <s:t xml:space="preserve">Administrator:
1200261 10/31 2080pcs 华兴三B14</s:t>
              </s:r>
            </s:text>
          </item>
        </commentChain>
      </unresolved>
      <resolved/>
    </commentChains>
    <commentChains s:ref="AA261" rgbClr="FF0000">
      <unresolved>
        <commentChain chainId="d3ba19bb5a2d1677153d397c8122a35420d40039">
          <item id="4a383d3c4fd8e3262890d38db38b8c7db64c0dc2" isNormal="1">
            <s:text>
              <s:r>
                <s:t xml:space="preserve">Administrator:
1200261 10/31 540pcs 华兴三B13</s:t>
              </s:r>
            </s:text>
          </item>
        </commentChain>
      </unresolved>
      <resolved/>
    </commentChains>
    <commentChains s:ref="AA262" rgbClr="FF0000">
      <unresolved>
        <commentChain chainId="a194ce8b3bf87d17ab789c316265a818046d0866">
          <item id="cc0206d0dafc2fcfea322666e7da1eae7775e7ab" isNormal="1">
            <s:text>
              <s:r>
                <s:t xml:space="preserve">Administrator:
1200310 11/5 611pcs 华兴三B7
1200319 11/6  39pcs 华兴三B7</s:t>
              </s:r>
            </s:text>
          </item>
        </commentChain>
      </unresolved>
      <resolved/>
    </commentChains>
    <commentChains s:ref="AC262" rgbClr="FF0000">
      <unresolved>
        <commentChain chainId="94383f219010d0b4a56bcc41256aaa12dd5cbc9b">
          <item id="60d27143107ea2178f4fc28c04ebeab49bb2eb2f" isNormal="1">
            <s:text>
              <s:r>
                <s:t xml:space="preserve">Administrator:
10/13 上8+贴纸 650pcs
      上3C贴纸 650pcs
10/17 上客供防串码贴纸1拖13 5200pcs
</s:t>
              </s:r>
            </s:text>
          </item>
        </commentChain>
      </unresolved>
      <resolved/>
    </commentChains>
    <commentChains s:ref="AA263" rgbClr="FF0000">
      <unresolved>
        <commentChain chainId="515330d6aad67851a8cdedca722a91f450e14635">
          <item id="dc039ed0d7a87dd3f6d37f15651e838df550bedf" isNormal="1">
            <s:text>
              <s:r>
                <s:t xml:space="preserve">Administrator:
1200300 11/5 5760pcs 华兴三B9</s:t>
              </s:r>
            </s:text>
          </item>
        </commentChain>
      </unresolved>
      <resolved/>
    </commentChains>
    <commentChains s:ref="AC263" rgbClr="FF0000">
      <unresolved>
        <commentChain chainId="fb1c6505abad9015514a8c5367b24870b2a11996">
          <item id="7ebebab0a02690703820a2c09d7a78a4a7ddc2c6" isNormal="1">
            <s:text>
              <s:r>
                <s:t xml:space="preserve">Administrator:
10/17 上客供价格贴纸 5760pcs
10/21 上德语警告语贴纸 5760pcs</s:t>
              </s:r>
            </s:text>
          </item>
        </commentChain>
      </unresolved>
      <resolved/>
    </commentChains>
    <commentChains s:ref="AA264" rgbClr="FF0000">
      <unresolved>
        <commentChain chainId="eac944a4e3760aef9a2d2cd17de0f8a408bdb6c9">
          <item id="40ac42b45ee5771057dbee4ff4a5ef3ebe574eb8" isNormal="1">
            <s:text>
              <s:r>
                <s:t xml:space="preserve">Administrator:
1200278 11/4 2304pcs 华兴三B4</s:t>
              </s:r>
            </s:text>
          </item>
        </commentChain>
      </unresolved>
      <resolved/>
    </commentChains>
    <commentChains s:ref="AC264" rgbClr="FF0000">
      <unresolved>
        <commentChain chainId="eae320e886d543f68d87e2c0a8b1dd9126c400ee">
          <item id="af3538a446fde5f9a8c3aa62d14417bcb61afdee" isNormal="1">
            <s:text>
              <s:r>
                <s:t xml:space="preserve">Administrator:
10/17 上客供RFID贴纸 2304pcs</s:t>
              </s:r>
            </s:text>
          </item>
        </commentChain>
      </unresolved>
      <resolved/>
    </commentChains>
    <commentChains s:ref="AA265" rgbClr="FF0000">
      <unresolved>
        <commentChain chainId="30f9bc23098c2c08d300224886cd682615a5f665">
          <item id="36ae4d00d0aff574ee05b2052b6b4b68c9082c9a" isNormal="1">
            <s:text>
              <s:r>
                <s:t xml:space="preserve">Administrator:
1200278 11/4 2280pcs 华兴三B4
1200300 11/5  24pcs  华兴三B4</s:t>
              </s:r>
            </s:text>
          </item>
        </commentChain>
      </unresolved>
      <resolved/>
    </commentChains>
    <commentChains s:ref="AC265" rgbClr="FF0000">
      <unresolved>
        <commentChain chainId="91d3103462859363778d4e65aaea57de581ba241">
          <item id="45c48d3f93977c7dfb7efc0af9ad1eba3c4d1a60" isNormal="1">
            <s:text>
              <s:r>
                <s:t xml:space="preserve">Administrator:
10/17 上客供RFID贴纸 2304pcs</s:t>
              </s:r>
            </s:text>
          </item>
        </commentChain>
      </unresolved>
      <resolved/>
    </commentChains>
    <commentChains s:ref="AA266" rgbClr="FF0000">
      <unresolved>
        <commentChain chainId="7dfb4a0782e2b25329f69e6403c6a41ed1ea4561">
          <item id="1f13e6daf932473227e892d628eb04e9be337d55" isNormal="1">
            <s:text>
              <s:r>
                <s:t xml:space="preserve">Administrator:
1200278 11/4 2304pcs 华兴三B4</s:t>
              </s:r>
            </s:text>
          </item>
        </commentChain>
      </unresolved>
      <resolved/>
    </commentChains>
    <commentChains s:ref="AC266" rgbClr="FF0000">
      <unresolved>
        <commentChain chainId="d21201673c325242116dce1d76932e162296f32e">
          <item id="980169af1a83ba163dd12f45d0a9308182cf1426" isNormal="1">
            <s:text>
              <s:r>
                <s:t xml:space="preserve">Administrator:
10/17 上客供RFID贴纸 2304pcs</s:t>
              </s:r>
            </s:text>
          </item>
        </commentChain>
      </unresolved>
      <resolved/>
    </commentChains>
    <commentChains s:ref="AA267" rgbClr="FF0000">
      <unresolved>
        <commentChain chainId="b5ebe051f811b5f1d9d565078716e79eec14bef8">
          <item id="54db5a9324981952dbcbb0f376092d8725924a51" isNormal="1">
            <s:text>
              <s:r>
                <s:t xml:space="preserve">Administrator:
1200278 11/4 2280pcs 华兴三B4
1200300 11/5  24pcs  华兴三B4</s:t>
              </s:r>
            </s:text>
          </item>
        </commentChain>
      </unresolved>
      <resolved/>
    </commentChains>
    <commentChains s:ref="AC267" rgbClr="FF0000">
      <unresolved>
        <commentChain chainId="e10851a9f340661bbc4706461cc09192e6c00f1a">
          <item id="b08ed7098ae35bbd920219ea9faa44da89028244" isNormal="1">
            <s:text>
              <s:r>
                <s:t xml:space="preserve">Administrator:
10/30 上客供RFID贴纸 2304pcs</s:t>
              </s:r>
            </s:text>
          </item>
        </commentChain>
      </unresolved>
      <resolved/>
    </commentChains>
    <commentChains s:ref="AA268" rgbClr="FF0000">
      <unresolved>
        <commentChain chainId="a2988f3a4c4a6fb22c29a8588f5f1ab8e9b621f8">
          <item id="ffbd6bd4a7c8b209b398fbdd4de49965c7f63ac7" isNormal="1">
            <s:text>
              <s:r>
                <s:t xml:space="preserve">Administrator:
1200363 11/12 2700pcs 华兴三A27
1200377 11/13 108pcs  华兴三A27</s:t>
              </s:r>
            </s:text>
          </item>
        </commentChain>
      </unresolved>
      <resolved/>
    </commentChains>
    <commentChains s:ref="AC268" rgbClr="FF0000">
      <unresolved>
        <commentChain chainId="3e40fea422a373f53e4c52c61fb5d08dae72264d">
          <item id="d8841e93eb350e22a1a26fa2309a606f56a096f6" isNormal="1">
            <s:text>
              <s:r>
                <s:t xml:space="preserve">Administrator:
10/23 上DE警语贴纸 2808pcs
      上PDQ条码贴纸 104pcs</s:t>
              </s:r>
            </s:text>
          </item>
        </commentChain>
      </unresolved>
      <resolved/>
    </commentChains>
    <commentChains s:ref="AA269" rgbClr="FF0000">
      <unresolved>
        <commentChain chainId="96029bd4f368474fa971dd7165fda33af1b8dc60">
          <item id="b2a6a9bd4cdd354f8bf133c944b0fafbc43714b4" isNormal="1">
            <s:text>
              <s:r>
                <s:t xml:space="preserve">Administrator:
1200363 11/12 1027pcs 华兴三B8
1200377 11/13  13pcs  华兴三B8</s:t>
              </s:r>
            </s:text>
          </item>
        </commentChain>
      </unresolved>
      <resolved/>
    </commentChains>
    <commentChains s:ref="AA270" rgbClr="FF0000">
      <unresolved>
        <commentChain chainId="184182958c0047016c75282d069f0c090a9b6a31">
          <item id="ca66f2963e29b1e42762264820c844a6c4a8f26d" isNormal="1">
            <s:text>
              <s:r>
                <s:t xml:space="preserve">Administrator:
1200377 11/13 8100pcs 华兴三A31
1200400 11/14   54pcs 华兴三A31</s:t>
              </s:r>
            </s:text>
          </item>
        </commentChain>
      </unresolved>
      <resolved/>
    </commentChains>
    <commentChains s:ref="AC270" rgbClr="FF0000">
      <unresolved>
        <commentChain chainId="6ce3157e579f4dafad68f31f45d0c18a76e1de9b">
          <item id="0a7d7bd91e58b62c6d582918ccff45ea2b2abd43" isNormal="1">
            <s:text>
              <s:r>
                <s:t xml:space="preserve">Administrator:
10/21 上进口商贴纸 16308pcs
      上UPC贴纸 8154pcs</s:t>
              </s:r>
            </s:text>
          </item>
        </commentChain>
      </unresolved>
      <resolved/>
    </commentChains>
    <commentChains s:ref="AA271" rgbClr="FF0000">
      <unresolved>
        <commentChain chainId="12653ecddeae1177b779ae579c4cac2ba267c17c">
          <item id="605208bfe1fb2e71ab9a6afa841dc51529716b17" isNormal="1">
            <s:text>
              <s:r>
                <s:t xml:space="preserve">Administrator:
1200476 11/20 1157pcs B4楼A9区</s:t>
              </s:r>
            </s:text>
          </item>
        </commentChain>
      </unresolved>
      <resolved/>
    </commentChains>
    <commentChains s:ref="AC271" rgbClr="FF0000">
      <unresolved>
        <commentChain chainId="284262bb95c1c7383d0ba599b3f3b9eab635742d">
          <item id="76cd1979e0243aa8ab8168dacf986d05bc86ad04" isNormal="1">
            <s:text>
              <s:r>
                <s:t xml:space="preserve">Administrator:
11/7 上多语警语可折叠贴纸 1157pcs
11/10 上多语通用化学品警语说明书 1157pcs</s:t>
              </s:r>
            </s:text>
          </item>
        </commentChain>
      </unresolved>
      <resolved/>
    </commentChains>
    <commentChains s:ref="AA272" rgbClr="FF0000">
      <unresolved>
        <commentChain chainId="3a7c8ef5f9df91e21bf96ae28acf2ea1ef4ecd37">
          <item id="ad55acf1ca75c748fb2d5dc3e04935db0a31beb7" isNormal="1">
            <s:text>
              <s:r>
                <s:t xml:space="preserve">Administrator:
1200492 11/25 1534pcs 华兴三B14
1200523 11/26  39pcs  华兴三B14</s:t>
              </s:r>
            </s:text>
          </item>
        </commentChain>
      </unresolved>
      <resolved/>
    </commentChains>
    <commentChains s:ref="AA273" rgbClr="FF0000">
      <unresolved>
        <commentChain chainId="7697b69ec4772e909b4765b727aa99ae8c8707e7">
          <item id="a844c1d86356bdaf966c781d49e392c9762b296b" isNormal="1">
            <s:text>
              <s:r>
                <s:t xml:space="preserve">Administrator:
1200492 11/25 1134pcs 华兴三B14
1200523 11/26  108pcs 华兴三B14</s:t>
              </s:r>
            </s:text>
          </item>
        </commentChain>
      </unresolved>
      <resolved/>
    </commentChains>
    <commentChains s:ref="AC273" rgbClr="FF0000">
      <unresolved>
        <commentChain chainId="de30d4399fbee379550533f61257ee47fbca7563">
          <item id="dad11f6e53d85d311885f549e0a87f3cedd4fcec" isNormal="1">
            <s:text>
              <s:r>
                <s:t xml:space="preserve">Administrator:
10/22 上PDQ贴纸 621pcs</s:t>
              </s:r>
            </s:text>
          </item>
        </commentChain>
      </unresolved>
      <resolved/>
    </commentChains>
    <commentChains s:ref="AA274" rgbClr="FF0000">
      <unresolved>
        <commentChain chainId="c38ae4513c375fb25b690a9cd03a46ac15955048">
          <item id="6ab9e73e18e679aedec7a8961c0e6115ee0f60a1" isNormal="1">
            <s:text>
              <s:r>
                <s:t xml:space="preserve">Administrator:
1200559 11/27 360pcs 华兴三B13</s:t>
              </s:r>
            </s:text>
          </item>
        </commentChain>
      </unresolved>
      <resolved/>
    </commentChains>
    <commentChains s:ref="AC274" rgbClr="FF0000">
      <unresolved>
        <commentChain chainId="b1b5416a654f6889ac03fd59087554d83ae40749">
          <item id="8a153cfb2fd0f164a1b782b63776ca9892a94d3b" isNormal="1">
            <s:text>
              <s:r>
                <s:t xml:space="preserve">Administrator:
11/14 上进口商贴纸 360pcs
11/19 上QR code贴纸 360pcs</s:t>
              </s:r>
            </s:text>
          </item>
        </commentChain>
      </unresolved>
      <resolved/>
    </commentChains>
    <commentChains s:ref="AA275" rgbClr="FF0000">
      <unresolved>
        <commentChain chainId="5da5e4178ba30c462e19c82473640dbb0ec39c06">
          <item id="58d593974f15fa9970a2788a0d559e87a25b52c5" isNormal="1">
            <s:text>
              <s:r>
                <s:t xml:space="preserve">Administrator:
1200546 11/28 130pcs 华兴三B13</s:t>
              </s:r>
            </s:text>
          </item>
        </commentChain>
      </unresolved>
      <resolved/>
    </commentChains>
    <commentChains s:ref="AA276" rgbClr="FF0000">
      <unresolved>
        <commentChain chainId="cc41c1195c5579354f5d6ed336e3558c8cdecd6d">
          <item id="602ef7314f2bc25edaa1e8e899b8c44545b6493b" isNormal="1">
            <s:text>
              <s:r>
                <s:t xml:space="preserve">Administrator:
1200546 11/28 299pcs 华兴三B14</s:t>
              </s:r>
            </s:text>
          </item>
        </commentChain>
      </unresolved>
      <resolved/>
    </commentChains>
    <commentChains s:ref="AA277" rgbClr="FF0000">
      <unresolved>
        <commentChain chainId="112fdd40e68bf0b2c29078a89ae70b699d4af90f">
          <item id="2d93b16d34f86041e75713a2d7c0992bf4920a25" isNormal="1">
            <s:text>
              <s:r>
                <s:t xml:space="preserve">Administrator:
1200535 11/28 8034pcs 华兴一F12
1200174 11/29  13pcs</s:t>
              </s:r>
            </s:text>
          </item>
        </commentChain>
      </unresolved>
      <resolved/>
    </commentChains>
    <commentChains s:ref="AA278" rgbClr="FF0000">
      <unresolved>
        <commentChain chainId="eacd51937556bc5623e00381cc185dfa5e82b208">
          <item id="f0e7a50cf02942d0c539e18abd517168244f1533" isNormal="1">
            <s:text>
              <s:r>
                <s:t xml:space="preserve">Administrator:
1200567 11/29 2340pcs
1200174 11/29 5642pcs</s:t>
              </s:r>
            </s:text>
          </item>
        </commentChain>
      </unresolved>
      <resolved/>
    </commentChains>
    <commentChains s:ref="AA279" rgbClr="FF0000">
      <unresolved>
        <commentChain chainId="8a69f04b0ad2e25464f481863aaf019d39d92908">
          <item id="03a2d97682da2a3a07e4bcb3382d0770bb7ca994" isNormal="1">
            <s:text>
              <s:r>
                <s:t xml:space="preserve">Administrator:
1200567 11/29 52pcs
1200174 11/29 13pcs</s:t>
              </s:r>
            </s:text>
          </item>
        </commentChain>
      </unresolved>
      <resolved/>
    </commentChains>
    <commentChains s:ref="AA280" rgbClr="FF0000">
      <unresolved>
        <commentChain chainId="58f50cd452139479a831985778c446eac755cc81">
          <item id="e5bf98dd618bcef99d76890a03a1151e4247e6e9" isNormal="1">
            <s:text>
              <s:r>
                <s:t xml:space="preserve">Administrator:
1200523 11/26 481pcs 华兴三B14</s:t>
              </s:r>
            </s:text>
          </item>
        </commentChain>
      </unresolved>
      <resolved/>
    </commentChains>
    <commentChains s:ref="AA281" rgbClr="FF0000">
      <unresolved>
        <commentChain chainId="e576a52e1f18565f38e29bc294d639b57ab915f9">
          <item id="b62998703f19911c36e89159f5022570d24bec0f" isNormal="1">
            <s:text>
              <s:r>
                <s:t xml:space="preserve">Administrator:
4001147 12/3 338pcs 华兴三B15
 </s:t>
              </s:r>
            </s:text>
          </item>
        </commentChain>
      </unresolved>
      <resolved/>
    </commentChains>
    <commentChains s:ref="AA282" rgbClr="FF0000">
      <unresolved>
        <commentChain chainId="bcf722db8c69474b7b49937cbeaa25686c70d0be">
          <item id="72dd1e128b6e724abdd157eeaeab1ef06bd03b5a" isNormal="1">
            <s:text>
              <s:r>
                <s:t xml:space="preserve">Administrator:
4001147 12/3 468pcs 华兴三B15
 </s:t>
              </s:r>
            </s:text>
          </item>
        </commentChain>
      </unresolved>
      <resolved/>
    </commentChains>
    <commentChains s:ref="AC282" rgbClr="FF0000">
      <unresolved>
        <commentChain chainId="774c8a7b2301f273cf1ac0a439110e83771857ff">
          <item id="340a1848fa4595c08edc88c6d40d413b6b984158" isNormal="1">
            <s:text>
              <s:r>
                <s:t xml:space="preserve">Administrator:
11/21 上客供UCC贴纸 36pcs</s:t>
              </s:r>
            </s:text>
          </item>
        </commentChain>
      </unresolved>
      <resolved/>
    </commentChains>
    <commentChains s:ref="AA283" rgbClr="FF0000">
      <unresolved>
        <commentChain chainId="4710af2e01ee7ee6f4209d9207e86abbf33b638a">
          <item id="042101c2afc7f789986de79ee36ef7d0c164eb62" isNormal="1">
            <s:text>
              <s:r>
                <s:t xml:space="preserve">Administrator:
4001147 12/3 403pcs 华兴三B15
 </s:t>
              </s:r>
            </s:text>
          </item>
        </commentChain>
      </unresolved>
      <resolved/>
    </commentChains>
    <commentChains s:ref="AC283" rgbClr="FF0000">
      <unresolved>
        <commentChain chainId="2941942810e040408633627f2d4831f18458122f">
          <item id="acf405c363aebc57ae3727a201c9f832af03bc6a" isNormal="1">
            <s:text>
              <s:r>
                <s:t xml:space="preserve">Administrator:
11/21 上客供UCC贴纸 31pcs</s:t>
              </s:r>
            </s:text>
          </item>
        </commentChain>
      </unresolved>
      <resolved/>
    </commentChains>
    <commentChains s:ref="AA284" rgbClr="FF0000">
      <unresolved>
        <commentChain chainId="86dfdad3a8a0448b717bf6e9863f862166ae3181">
          <item id="4cc59a74982825ef693e799e0ee70537ec5fd0e1" isNormal="1">
            <s:text>
              <s:r>
                <s:t xml:space="preserve">Administrator:
4001147 12/3 286pcs 华兴三B15
 </s:t>
              </s:r>
            </s:text>
          </item>
        </commentChain>
      </unresolved>
      <resolved/>
    </commentChains>
    <commentChains s:ref="AC284" rgbClr="FF0000">
      <unresolved>
        <commentChain chainId="654cc3f34c726caae50f4160bdfe7f45180b0413">
          <item id="c2358389185487dda2fc3284d956ac6ed9ba8399" isNormal="1">
            <s:text>
              <s:r>
                <s:t xml:space="preserve">Administrator:
11/21 上客供UCC贴纸 22pcs</s:t>
              </s:r>
            </s:text>
          </item>
        </commentChain>
      </unresolved>
      <resolved/>
    </commentChains>
    <commentChains s:ref="AA285" rgbClr="FF0000">
      <unresolved>
        <commentChain chainId="bac17f3e61f17260de50e3dff593665ecc888705">
          <item id="97054de6ed500441d30307ce10ae459ba1bf4630" isNormal="1">
            <s:text>
              <s:r>
                <s:t xml:space="preserve">Administrator:
4001147 12/3 351pcs 华兴三B15
 </s:t>
              </s:r>
            </s:text>
          </item>
        </commentChain>
      </unresolved>
      <resolved/>
    </commentChains>
    <commentChains s:ref="AA286" rgbClr="FF0000">
      <unresolved>
        <commentChain chainId="6c9e1980335cf9ffe85c5ac07e407ad82bb7d495">
          <item id="faba2ea756ee95a8f6399a99c968031f84377619" isNormal="1">
            <s:text>
              <s:r>
                <s:t xml:space="preserve">Administrator:
1200188 12/6 312pcs 华兴三B17</s:t>
              </s:r>
            </s:text>
          </item>
        </commentChain>
      </unresolved>
      <resolved/>
    </commentChains>
    <commentChains s:ref="AC286" rgbClr="FF0000">
      <unresolved>
        <commentChain chainId="aabefe6f3f3bc334e315c46ebce5ef4aa0d1c82b">
          <item id="99081969e1e3c114c652f9e7a7af5118e9337866" isNormal="1">
            <s:text>
              <s:r>
                <s:t xml:space="preserve">Administrator:
11/13 上多语警语可折叠贴纸 906pcs
11/17 上多语通用化学品警语多语说明书 906pcs</s:t>
              </s:r>
            </s:text>
          </item>
        </commentChain>
      </unresolved>
      <resolved/>
    </commentChains>
    <commentChains s:ref="AA287" rgbClr="FF0000">
      <unresolved>
        <commentChain chainId="16ac0d386d8c6a77e4d68f70cddc7bdd0bfb42fb">
          <item id="249477fbf528c041867334f95e13e587df6730c5" isNormal="1">
            <s:text>
              <s:r>
                <s:t xml:space="preserve">Administrator:
1200183 12/5 594pcs 华兴三B8</s:t>
              </s:r>
            </s:text>
          </item>
        </commentChain>
      </unresolved>
      <resolved/>
    </commentChains>
    <commentChains s:ref="AC287" rgbClr="FF0000">
      <unresolved>
        <commentChain chainId="6d0395280d4ece83d9b4cee07e0b7ac1c4946b2a">
          <item id="d1434f31c72d471b2b91528b5519b041de755802" isNormal="1">
            <s:text>
              <s:r>
                <s:t xml:space="preserve">Administrator:
11/13 上多语警语可折叠贴纸 906pcs
11/17 上多语通用化学品警语多语说明书 906pcs</s:t>
              </s:r>
            </s:text>
          </item>
        </commentChain>
      </unresolved>
      <resolved/>
    </commentChains>
    <commentChains s:ref="AA288" rgbClr="FF0000">
      <unresolved>
        <commentChain chainId="8d3482ce64698bdf941619ac133460558f51d5d0">
          <item id="253f92a77ee71856530e0f6eda1df4063dddb6df" isNormal="1">
            <s:text>
              <s:r>
                <s:t xml:space="preserve">Administrator:
1200201 12/6 611pcs B4楼B1区</s:t>
              </s:r>
            </s:text>
          </item>
        </commentChain>
      </unresolved>
      <resolved/>
    </commentChains>
    <commentChains s:ref="AC288" rgbClr="FF0000">
      <unresolved>
        <commentChain chainId="6ac5f4bf98a14e3081b67f4d8d6a8ef0f1cc254c">
          <item id="3a0aec132485f5edad7b5641f9792c3b2a5fe09b" isNormal="1">
            <s:text>
              <s:r>
                <s:t xml:space="preserve">Administrator:
11/24 上德意警告语贴纸 611pcs</s:t>
              </s:r>
            </s:text>
          </item>
        </commentChain>
      </unresolved>
      <resolved/>
    </commentChains>
    <commentChains s:ref="AA289" rgbClr="FF0000">
      <unresolved>
        <commentChain chainId="8515b702ceb14a313480e756e5d3612d8238491f">
          <item id="5ffb432329c870284617ab4cd1873f99cec94d13" isNormal="1">
            <s:text>
              <s:r>
                <s:t xml:space="preserve">Administrator:
1200183 12/5 330pcs 华兴三B8</s:t>
              </s:r>
            </s:text>
          </item>
        </commentChain>
      </unresolved>
      <resolved/>
    </commentChains>
    <commentChains s:ref="AC289" rgbClr="FF0000">
      <unresolved>
        <commentChain chainId="c75a30587f4a71c3f3cafe7aab4928582edcd6e7">
          <item id="cd1201b705f18697058a3ad55a22fe7e596c68ea" isNormal="1">
            <s:text>
              <s:r>
                <s:t xml:space="preserve">Administrator:
11/22 上slime袋子警告语贴纸 330pcs
11/24 上可折叠贴纸 330pcs</s:t>
              </s:r>
            </s:text>
          </item>
        </commentChain>
      </unresolved>
      <resolved/>
    </commentChains>
    <commentChains s:ref="AA290" rgbClr="FF0000">
      <unresolved>
        <commentChain chainId="e98092268451d5285bde1d5b8132afcaef592615">
          <item id="a6882673a88aae4c7b408fbb9e58e5ce700b96cd" isNormal="1">
            <s:text>
              <s:r>
                <s:t xml:space="preserve">Administrator:
1200251 12/11 4896pcs 华兴三B17</s:t>
              </s:r>
            </s:text>
          </item>
        </commentChain>
      </unresolved>
      <resolved/>
    </commentChains>
    <commentChains s:ref="AA291" rgbClr="FF0000">
      <unresolved>
        <commentChain chainId="c9096aebf1725f48026bd6fa1297aab2a1186dc6">
          <item id="1ca285314729203e0d028b338686251062857c42" isNormal="1">
            <s:text>
              <s:r>
                <s:t xml:space="preserve">Administrator:
1200188 12/6 7506pcs 华兴三A15</s:t>
              </s:r>
            </s:text>
          </item>
        </commentChain>
      </unresolved>
      <resolved/>
    </commentChains>
    <commentChains s:ref="AC291" rgbClr="FF0000">
      <unresolved>
        <commentChain chainId="ca742aecf328b11ac18466d23636cbdee02a401b">
          <item id="4943f0f5b01e66dd131292b4c1d62b21ae20edb4" isNormal="1">
            <s:text>
              <s:r>
                <s:t xml:space="preserve">Administrator:
11/6 上UPC贴纸 7506pcs
     上进口商贴纸 15012pcs</s:t>
              </s:r>
            </s:text>
          </item>
        </commentChain>
      </unresolved>
      <resolved/>
    </commentChains>
    <commentChains s:ref="AA292" rgbClr="FF0000">
      <unresolved>
        <commentChain chainId="88a2f74a6b292719637be5b045e6603036794b6e">
          <item id="95fd74c1496f3b9ef2209c628dd89e154e155730" isNormal="1">
            <s:text>
              <s:r>
                <s:t xml:space="preserve">Administrator:
1200766 12/12 2600pcs B4楼A7区
1200787 12/13   26pcs B4楼A7区</s:t>
              </s:r>
            </s:text>
          </item>
        </commentChain>
      </unresolved>
      <resolved/>
    </commentChains>
    <commentChains s:ref="AA293" rgbClr="FF0000">
      <unresolved>
        <commentChain chainId="0ee2f967bc65351093569dccf2792d984c6ce7b2">
          <item id="88744510f26ddbc33e4abff3af6c8a8861c8d23a" isNormal="1">
            <s:text>
              <s:r>
                <s:t xml:space="preserve">Administrator:
1200951 12/16 972pcs B4楼B9区</s:t>
              </s:r>
            </s:text>
          </item>
        </commentChain>
      </unresolved>
      <resolved/>
    </commentChains>
    <commentChains s:ref="AC293" rgbClr="FF0000">
      <unresolved>
        <commentChain chainId="ec1b2be43f6902e5f8588ad77e1a366f90e99771">
          <item id="9113286a05561ea9b1f42d3c671124055ffac781" isNormal="1">
            <s:text>
              <s:r>
                <s:t xml:space="preserve">Administrator:
12/2 上客供价格贴纸 1006pcs</s:t>
              </s:r>
            </s:text>
          </item>
        </commentChain>
      </unresolved>
      <resolved/>
    </commentChains>
    <commentChains s:ref="AA294" rgbClr="FF0000">
      <unresolved>
        <commentChain chainId="21fd3023ba8f3aefab190bdd21c5b2f5e655b298">
          <item id="9e2a356191374a4c352b5b6235a45a548190c558" isNormal="1">
            <s:text>
              <s:r>
                <s:t xml:space="preserve">Administrator:
1201008 12/19 2916pcs 华兴三A27</s:t>
              </s:r>
            </s:text>
          </item>
        </commentChain>
      </unresolved>
      <resolved/>
    </commentChains>
    <commentChains s:ref="AC294" rgbClr="FF0000">
      <unresolved>
        <commentChain chainId="61f50c2cc79bf4474cd02bf988738afc0cf0188a">
          <item id="a6fafa52d1c853aa3bdb4f5cacf195e39ba606af" isNormal="1">
            <s:text>
              <s:r>
                <s:t xml:space="preserve">Administrator:
12/6 上进口商贴纸 7614pcs
180717/180735/180758共用</s:t>
              </s:r>
            </s:text>
          </item>
        </commentChain>
      </unresolved>
      <resolved/>
    </commentChains>
    <commentChains s:ref="AA295" rgbClr="FF0000">
      <unresolved>
        <commentChain chainId="bb987661c7ff9b55dd15e6bd09266a381b83789d">
          <item id="cc30087b817b6eac12bae5bab36b9116cee6d020" isNormal="1">
            <s:text>
              <s:r>
                <s:t xml:space="preserve">Administrator:
1200988 12/19 1080pcs B4楼B9区</s:t>
              </s:r>
            </s:text>
          </item>
        </commentChain>
      </unresolved>
      <resolved/>
    </commentChains>
    <commentChains s:ref="AC295" rgbClr="FF0000">
      <unresolved>
        <commentChain chainId="f2398e63a98c73edf117b379bd0cb80b8251e05b">
          <item id="a214cf7c2f296656a89e80511fe5951e449fc858" isNormal="1">
            <s:text>
              <s:r>
                <s:t xml:space="preserve">Administrator:
12/6 上进口商贴纸 7614pcs
180717/180735/180758共用</s:t>
              </s:r>
            </s:text>
          </item>
        </commentChain>
      </unresolved>
      <resolved/>
    </commentChains>
    <commentChains s:ref="AA296" rgbClr="FF0000">
      <unresolved>
        <commentChain chainId="fdf61859d512039de5a099c809bb8ba57e414b51">
          <item id="56b9b8428d7ec95028ff0f46ee54e26508f6539a" isNormal="1">
            <s:text>
              <s:r>
                <s:t xml:space="preserve">Administrator:
1200988 12/19 1080pcs B4楼B9区</s:t>
              </s:r>
            </s:text>
          </item>
        </commentChain>
      </unresolved>
      <resolved/>
    </commentChains>
    <commentChains s:ref="AC296" rgbClr="FF0000">
      <unresolved>
        <commentChain chainId="b1b4cefae415d72c20a81b36b5cf6cc55ab7cd3c">
          <item id="78dd13f184b3afd84ea80050d49aa2a6f25c22b6" isNormal="1">
            <s:text>
              <s:r>
                <s:t xml:space="preserve">Administrator:
12/6 上进口商贴纸 7614pcs
180717/180735/180758共用</s:t>
              </s:r>
            </s:text>
          </item>
        </commentChain>
      </unresolved>
      <resolved/>
    </commentChains>
    <commentChains s:ref="AA297" rgbClr="FF0000">
      <unresolved>
        <commentChain chainId="cbfe743c78ec5a554509190481c2d6e3f1896b6d">
          <item id="b29e22f14eb746b6afd9d185ba9ec56582b908c8" isNormal="1">
            <s:text>
              <s:r>
                <s:t xml:space="preserve">Administrator:
1201008 12/19 2600pcs 华兴三A27</s:t>
              </s:r>
            </s:text>
          </item>
        </commentChain>
      </unresolved>
      <resolved/>
    </commentChains>
    <commentChains s:ref="AC297" rgbClr="FF0000">
      <unresolved>
        <commentChain chainId="060c9d23780b3c02c1b0ffb72f5f957f41fa1076">
          <item id="5509b6c616ee2bbcd3c78e6696f63007ba117e66" isNormal="1">
            <s:text>
              <s:r>
                <s:t xml:space="preserve">Administrator:
11/24 上8+贴纸 2600pcs
      上年龄贴纸 2600pcs
12/8  上客供防串码贴纸1拖13 2600pcs</s:t>
              </s:r>
            </s:text>
          </item>
        </commentChain>
      </unresolved>
      <resolved/>
    </commentChains>
    <commentChains s:ref="AC298" rgbClr="FF0000">
      <unresolved>
        <commentChain chainId="3511c20cac19a6310365fac1a58e5063f938c9cf">
          <item id="336d5d74fc27c84913e667ed398ee387825f9992" isNormal="1">
            <s:text>
              <s:r>
                <s:t xml:space="preserve">Administrator:
12/17 上客供RFID贴纸 9216pcs</s:t>
              </s:r>
            </s:text>
          </item>
        </commentChain>
      </unresolved>
      <resolved/>
    </commentChains>
    <commentChains s:ref="AA299" rgbClr="FF0000">
      <unresolved>
        <commentChain chainId="2d3e29bb83177978b69eb502aeba31296a2ae469">
          <item id="c187b58357a517ef29fa71a6e899a9f76ee61e36" isNormal="1">
            <s:text>
              <s:r>
                <s:t xml:space="preserve">Administrator:
1600978 1/4 1782pcs</s:t>
              </s:r>
            </s:text>
          </item>
        </commentChain>
      </unresolved>
      <resolved/>
    </commentChains>
    <commentChains s:ref="AC299" rgbClr="FF0000">
      <unresolved>
        <commentChain chainId="1a1681892683a4c4c712843b5cb2cd00c1c7d43d">
          <item id="661bb53115304542ff327725bceb08615dad7b10" isNormal="1">
            <s:text>
              <s:r>
                <s:t xml:space="preserve">Administrator:
12/16 上进口商贴纸 1782pcs
      上UPC贴纸 1782pcs</s:t>
              </s:r>
            </s:text>
          </item>
        </commentChain>
      </unresolved>
      <resolved/>
    </commentChains>
    <commentChains s:ref="AC300" rgbClr="FF0000">
      <unresolved>
        <commentChain chainId="b3b7436c7b2384c829e54ce03c42e9f4d2604a1d">
          <item id="71064f56b4bc8167d8ecb4656e3291c1cd496f6f" isNormal="1">
            <s:text>
              <s:r>
                <s:t xml:space="preserve">Administrator:
12/22 上进口商贴纸 10000pcs
      上UPC贴纸 10000pcs
185782/187691共用</s:t>
              </s:r>
            </s:text>
          </item>
        </commentChain>
      </unresolved>
      <resolved/>
    </commentChains>
    <commentChains s:ref="AA301" rgbClr="FF0000">
      <unresolved>
        <commentChain chainId="f14cfce880602c92fe9a49db4294493e8a365736">
          <item id="f795f03045d8c2cb90126f9efd1386204b263677" isNormal="1">
            <s:text>
              <s:r>
                <s:t xml:space="preserve">Administrator:
1600978 1/4 2080pcs</s:t>
              </s:r>
            </s:text>
          </item>
        </commentChain>
      </unresolved>
      <resolved/>
    </commentChains>
    <commentChains s:ref="AC302" rgbClr="FF0000">
      <unresolved>
        <commentChain chainId="7e26fc32cf804b245e671528cad1c5fbcf889a55">
          <item id="a86592ea6818481c8268d4ddbef29c4a982f527a" isNormal="1">
            <s:text>
              <s:r>
                <s:t xml:space="preserve">Administrator:
12/22 上进口商贴纸 10000pcs
      上UPC贴纸 10000pcs
185782/187691共用</s:t>
              </s:r>
            </s:text>
          </item>
        </commentChain>
      </unresolved>
      <resolved/>
    </commentChains>
    <commentChains s:ref="AC306" rgbClr="FF0000">
      <unresolved>
        <commentChain chainId="06775c8128a772b619dbc6d11b58b7e4cf9fc933">
          <item id="bea2d990b242cae1f85545532f441b6036d8ec54" isNormal="1">
            <s:text>
              <s:r>
                <s:t xml:space="preserve">Administrator:
12/31 上进口商贴纸 2538pcs
      上UPC贴纸 1269pcs</s:t>
              </s:r>
            </s:text>
          </item>
        </commentChain>
      </unresolved>
      <resolved/>
    </commentChains>
  </commentList>
  <commentList sheetStid="1">
    <commentChains s:ref="AC4" rgbClr="FF0000">
      <unresolved>
        <commentChain chainId="803c58b41f17c6508967c94abeeab63ece9ce891">
          <item id="446503a064971d642869933223fbe2f5560c4646" isNormal="1">
            <s:text>
              <s:r>
                <s:t xml:space="preserve">Administrator:
1200951 12/16 972pcs B4楼B9区</s:t>
              </s:r>
            </s:text>
          </item>
        </commentChain>
      </unresolved>
      <resolved/>
    </commentChains>
    <commentChains s:ref="AE4" rgbClr="FF0000">
      <unresolved>
        <commentChain chainId="3b2b03efd726b38873dec6492174881e8054aa05">
          <item id="86d85312f9d1cf16d5038b6f9a2893dcb5c4e849" isNormal="1">
            <s:text>
              <s:r>
                <s:t xml:space="preserve">Administrator:
12/2 上客供价格贴纸 1006pcs</s:t>
              </s:r>
            </s:text>
          </item>
        </commentChain>
      </unresolved>
      <resolved/>
    </commentChains>
    <commentChains s:ref="AC5" rgbClr="FF0000">
      <unresolved>
        <commentChain chainId="caf6a3bafc9d4d4c62cbad50386df5dfd59af15f">
          <item id="e5226600dce6ff881cd6af9c08822725516347b9" isNormal="1">
            <s:text>
              <s:r>
                <s:t xml:space="preserve">Administrator:
1201008 12/19 2916pcs 华兴三A27</s:t>
              </s:r>
            </s:text>
          </item>
        </commentChain>
      </unresolved>
      <resolved/>
    </commentChains>
    <commentChains s:ref="AE5" rgbClr="FF0000">
      <unresolved>
        <commentChain chainId="57c8528577c1c482bc9d7b9134aa4aa22639fb90">
          <item id="5468d5c6a6c5cd347f7363c5afdf8ae2baa95dde" isNormal="1">
            <s:text>
              <s:r>
                <s:t xml:space="preserve">Administrator:
12/6 上进口商贴纸 7614pcs
180717/180735/180758共用</s:t>
              </s:r>
            </s:text>
          </item>
        </commentChain>
      </unresolved>
      <resolved/>
    </commentChains>
    <commentChains s:ref="AC6" rgbClr="FF0000">
      <unresolved>
        <commentChain chainId="d06d7b1da26635d3007ab818e359e0246b2fe1c7">
          <item id="52d0796248d9832d7436fa3502aafc192e3ad9e7" isNormal="1">
            <s:text>
              <s:r>
                <s:t xml:space="preserve">Administrator:
1200988 12/19 1080pcs B4楼B9区</s:t>
              </s:r>
            </s:text>
          </item>
        </commentChain>
      </unresolved>
      <resolved/>
    </commentChains>
    <commentChains s:ref="AE6" rgbClr="FF0000">
      <unresolved>
        <commentChain chainId="693dc020deceb20eed8213272735acabb91a5f26">
          <item id="900bd54941a5f12752fcff4d90ec2e5a21463fe3" isNormal="1">
            <s:text>
              <s:r>
                <s:t xml:space="preserve">Administrator:
12/6 上进口商贴纸 7614pcs
180717/180735/180758共用</s:t>
              </s:r>
            </s:text>
          </item>
        </commentChain>
      </unresolved>
      <resolved/>
    </commentChains>
    <commentChains s:ref="AC7" rgbClr="FF0000">
      <unresolved>
        <commentChain chainId="b974dac4c7abc8e2db3c40918a99061d149e5cb0">
          <item id="644bd7476fb665f65bfd3ccc1f3706610448a48f" isNormal="1">
            <s:text>
              <s:r>
                <s:t xml:space="preserve">Administrator:
1200988 12/19 1080pcs B4楼B9区</s:t>
              </s:r>
            </s:text>
          </item>
        </commentChain>
      </unresolved>
      <resolved/>
    </commentChains>
    <commentChains s:ref="AE7" rgbClr="FF0000">
      <unresolved>
        <commentChain chainId="1842aa6481badb5542305618f7b536cb5834fb0b">
          <item id="9de38fe3e6e9f17e2317b8deebc17880c0bfd0a6" isNormal="1">
            <s:text>
              <s:r>
                <s:t xml:space="preserve">Administrator:
12/6 上进口商贴纸 7614pcs
180717/180735/180758共用</s:t>
              </s:r>
            </s:text>
          </item>
        </commentChain>
      </unresolved>
      <resolved/>
    </commentChains>
    <commentChains s:ref="AC8" rgbClr="FF0000">
      <unresolved>
        <commentChain chainId="6e1bcb169c00a50feb8f315c727a6a0524abd4c9">
          <item id="1219d72a3353c8f21e857c78f1379e7a67b87c00" isNormal="1">
            <s:text>
              <s:r>
                <s:t xml:space="preserve">Administrator:
1201008 12/19 2600pcs 华兴三A27</s:t>
              </s:r>
            </s:text>
          </item>
        </commentChain>
      </unresolved>
      <resolved/>
    </commentChains>
    <commentChains s:ref="AE8" rgbClr="FF0000">
      <unresolved>
        <commentChain chainId="4f65dc0d0e3a3ecd1dd1bb2faf88d39db03a0555">
          <item id="12a6abfb452a8e4380a614da46fb50844db700db" isNormal="1">
            <s:text>
              <s:r>
                <s:t xml:space="preserve">Administrator:
11/24 上8+贴纸 2600pcs
      上年龄贴纸 2600pcs
12/8  上客供防串码贴纸1拖13 2600pcs</s:t>
              </s:r>
            </s:text>
          </item>
        </commentChain>
      </unresolved>
      <resolved/>
    </commentChains>
    <commentChains s:ref="AC9" rgbClr="FF0000">
      <unresolved>
        <commentChain chainId="473cb2d4fb49fa0d8326ab22b1b147d5a0eb36b4">
          <item id="d72e23b63ce60b097cbf8d6787c706f71dfd5a93" isNormal="1">
            <s:text>
              <s:r>
                <s:t xml:space="preserve">Administrator:
1601031 1/6 9180pcs B4楼A3区
1601044 1/8  36pcs  B4楼A3区</s:t>
              </s:r>
            </s:text>
          </item>
        </commentChain>
      </unresolved>
      <resolved/>
    </commentChains>
    <commentChains s:ref="AE9" rgbClr="FF0000">
      <unresolved>
        <commentChain chainId="bc04f4fc54b92572667ed1bebee54c62cb2656ce">
          <item id="cc6ae0748e4a862841617d3ed09cfdd5b12a8edc" isNormal="1">
            <s:text>
              <s:r>
                <s:t xml:space="preserve">Administrator:
12/17 上客供RFID贴纸 9216pcs</s:t>
              </s:r>
            </s:text>
          </item>
        </commentChain>
      </unresolved>
      <resolved/>
    </commentChains>
    <commentChains s:ref="AC10" rgbClr="FF0000">
      <unresolved>
        <commentChain chainId="277069d209fff728246819004bcb0992bab269dd">
          <item id="e10d9efc7169f4de9ae94d83134122417924900d" isNormal="1">
            <s:text>
              <s:r>
                <s:t xml:space="preserve">Administrator:
1600978 1/4 1782pcs 华兴三B16</s:t>
              </s:r>
            </s:text>
          </item>
        </commentChain>
      </unresolved>
      <resolved/>
    </commentChains>
    <commentChains s:ref="AE10" rgbClr="FF0000">
      <unresolved>
        <commentChain chainId="f82311a999e00f56ba7d936cb3a99837f559239c">
          <item id="ebd8fadcdef5a96e508e7df5ec6b3f2dee595204" isNormal="1">
            <s:text>
              <s:r>
                <s:t xml:space="preserve">Administrator:
12/16 上进口商贴纸 1782pcs
      上UPC贴纸 1782pcs</s:t>
              </s:r>
            </s:text>
          </item>
        </commentChain>
      </unresolved>
      <resolved/>
    </commentChains>
    <commentChains s:ref="AC11" rgbClr="FF0000">
      <unresolved>
        <commentChain chainId="31348d679c158876b4d5cfac9afe608b7966e5a5">
          <item id="e07d92ff8db08c48406b6554c072870728dc3fe5" isNormal="1">
            <s:text>
              <s:r>
                <s:t xml:space="preserve">Administrator:
1601031 1/6 4976pcs B4楼B9区
1601044 1/8   24pcs B4楼B9区</s:t>
              </s:r>
            </s:text>
          </item>
        </commentChain>
      </unresolved>
      <resolved/>
    </commentChains>
    <commentChains s:ref="AE11" rgbClr="FF0000">
      <unresolved>
        <commentChain chainId="a2db578fb9d8d4dedefc1a4b0a4cbc7c676c8f93">
          <item id="f2de8ef6ce1afaa154d94c56a09d742a8f263b3f" isNormal="1">
            <s:text>
              <s:r>
                <s:t xml:space="preserve">Administrator:
12/22 上进口商贴纸 10000pcs
      上UPC贴纸 10000pcs
185782/187691共用</s:t>
              </s:r>
            </s:text>
          </item>
        </commentChain>
      </unresolved>
      <resolved/>
    </commentChains>
    <commentChains s:ref="AC12" rgbClr="FF0000">
      <unresolved>
        <commentChain chainId="dbd661e847091856b7d811d45dba2d0da1a0f502">
          <item id="f7f84a07909651462c084185ca5b6cb778968478" isNormal="1">
            <s:text>
              <s:r>
                <s:t xml:space="preserve">Administrator:
1600978 1/4 2080pcs 华兴三A27</s:t>
              </s:r>
            </s:text>
          </item>
        </commentChain>
      </unresolved>
      <resolved/>
    </commentChains>
    <commentChains s:ref="AC13" rgbClr="FF0000">
      <unresolved>
        <commentChain chainId="374cfd002866572d2d4b90cf30da78bd1bb0c807">
          <item id="d8a30275abe0be262b3e06e2abffd1b2fc1e274e" isNormal="1">
            <s:text>
              <s:r>
                <s:t xml:space="preserve">Administrator:
1601177 1/16 25272pcs 华兴一F12</s:t>
              </s:r>
            </s:text>
          </item>
        </commentChain>
      </unresolved>
      <resolved/>
    </commentChains>
    <commentChains s:ref="AC14" rgbClr="FF0000">
      <unresolved>
        <commentChain chainId="36ad8fa8e048c3b8b3a97f7c18a6c85c6e3d090d">
          <item id="94220aeacd5527c60b42ca82eba5c46e52be5bf0" isNormal="1">
            <s:text>
              <s:r>
                <s:t xml:space="preserve">Administrator:
1601177 1/16 1807pcs 华兴三A16</s:t>
              </s:r>
            </s:text>
          </item>
        </commentChain>
      </unresolved>
      <resolved/>
    </commentChains>
    <commentChains s:ref="AE14" rgbClr="FF0000">
      <unresolved>
        <commentChain chainId="2b67498e0f7a79c93b025f9dc5ff16dd7f648a46">
          <item id="b2bde17362f2978076406645c5b97fa5d4d6d401" isNormal="1">
            <s:text>
              <s:r>
                <s:t xml:space="preserve">Administrator:
12/25 上PDQ UPC贴纸 310pcs
188208/187984共用</s:t>
              </s:r>
            </s:text>
          </item>
        </commentChain>
      </unresolved>
      <resolved/>
    </commentChains>
    <commentChains s:ref="AC15" rgbClr="FF0000">
      <unresolved>
        <commentChain chainId="c85178c4969e6abdf53cf00caaaa9c0fd7a44835">
          <item id="b58c76a6265d918f3ef93a41acf2a2cc71560504" isNormal="1">
            <s:text>
              <s:r>
                <s:t xml:space="preserve">Administrator:
1601180 1/17 2171pcs 华兴华登仓库
1601210 1/20  27pcs  华兴华登仓库</s:t>
              </s:r>
            </s:text>
          </item>
        </commentChain>
      </unresolved>
      <resolved/>
    </commentChains>
    <commentChains s:ref="AE15" rgbClr="FF0000">
      <unresolved>
        <commentChain chainId="9fdec33e2208b3aef8d87005bc49af6324266992">
          <item id="9c29376ef24173f5520a0a7e9d68e0ee4be6852a" isNormal="1">
            <s:text>
              <s:r>
                <s:t xml:space="preserve">Administrator:
12/25 上PDQ UPC贴纸 310pcs
188208/187984共用</s:t>
              </s:r>
            </s:text>
          </item>
        </commentChain>
      </unresolved>
      <resolved/>
    </commentChains>
    <commentChains s:ref="AC16" rgbClr="FF0000">
      <unresolved>
        <commentChain chainId="bf4fbb0269357ae5c20675b8b9e3f8131db4fbf0">
          <item id="d1a11f49944d163866e9c8560db45555c21f7015" isNormal="1">
            <s:text>
              <s:r>
                <s:t xml:space="preserve">Administrator:
1601180 1/17 1242pcs 华兴华登仓库
1601210 1/20  52pcs  华兴华登仓库</s:t>
              </s:r>
            </s:text>
          </item>
        </commentChain>
      </unresolved>
      <resolved/>
    </commentChains>
    <commentChains s:ref="AE16" rgbClr="FF0000">
      <unresolved>
        <commentChain chainId="7a91ebe7e2f87cd01fe739e63d6ada8a33218960">
          <item id="69b7efc979214103a1514cb81aa1fc5a377e92df" isNormal="1">
            <s:text>
              <s:r>
                <s:t xml:space="preserve">Administrator:
12/31 上进口商贴纸 2538pcs
      上UPC贴纸 1269pcs</s:t>
              </s:r>
            </s:text>
          </item>
        </commentChain>
      </unresolved>
      <resolved/>
    </commentChains>
    <commentChains s:ref="AC17" rgbClr="FF0000">
      <unresolved>
        <commentChain chainId="d644ede7f2f18b9e67885f4a3195bed6e42cd6a1">
          <item id="6683bd55faa580472462ffa33a052351efb5e23e" isNormal="1">
            <s:text>
              <s:r>
                <s:t xml:space="preserve">Administrator:
1601226 1/19 486pcs 华兴三B17
1601215 1/20  54pcs 华兴三B17</s:t>
              </s:r>
            </s:text>
          </item>
        </commentChain>
      </unresolved>
      <resolved/>
    </commentChains>
    <commentChains s:ref="AE17" rgbClr="FF0000">
      <unresolved>
        <commentChain chainId="4f3d0d7e5ef3774625920dd9fb81ef99f91724fd">
          <item id="133a1d63265c1e43fe90aaf8953cdb56b58abf19" isNormal="1">
            <s:text>
              <s:r>
                <s:t xml:space="preserve">Administrator:
1/9 上UPC贴纸 1080pcs
188248/189691共用</s:t>
              </s:r>
            </s:text>
          </item>
        </commentChain>
      </unresolved>
      <resolved/>
    </commentChains>
    <commentChains s:ref="AC18" rgbClr="FF0000">
      <unresolved>
        <commentChain chainId="1d1bc5fe1dea2dc95da0d47d28876cef20542f1e">
          <item id="86da69b14804304c2627867ccbd4418cfc6f7e2d" isNormal="1">
            <s:text>
              <s:r>
                <s:t xml:space="preserve">Administrator:
1601226 1/19 540pcs 华兴三B17</s:t>
              </s:r>
            </s:text>
          </item>
        </commentChain>
      </unresolved>
      <resolved/>
    </commentChains>
    <commentChains s:ref="AE18" rgbClr="FF0000">
      <unresolved>
        <commentChain chainId="4a93c85e722965263989379500d2a65a2cf1d72b">
          <item id="919092a5dde75079050fd276c370deec011c35a6" isNormal="1">
            <s:text>
              <s:r>
                <s:t xml:space="preserve">Administrator:
1/9 上UPC贴纸 1080pcs
188248/189691共用</s:t>
              </s:r>
            </s:text>
          </item>
        </commentChain>
      </unresolved>
      <resolved/>
    </commentChains>
    <commentChains s:ref="AC19" rgbClr="FF0000">
      <unresolved>
        <commentChain chainId="f52d21473387142d0a6a5dd765bf33d52e800110">
          <item id="c8d64dfa8663509bceae753e1b4b5b2102d0fe42" isNormal="1">
            <s:text>
              <s:r>
                <s:t xml:space="preserve">Administrator:
1405559 2/7 12pcs B4楼B1区</s:t>
              </s:r>
            </s:text>
          </item>
        </commentChain>
      </unresolved>
      <resolved/>
    </commentChains>
    <commentChains s:ref="AE19" rgbClr="FF0000">
      <unresolved>
        <commentChain chainId="25bda7fcc01567e91803612412f8f26e1ec13b2b">
          <item id="fd78be1b40719ca7b5f74286f9923e2aaf9c8051" isNormal="1">
            <s:text>
              <s:r>
                <s:t xml:space="preserve">Administrator:
1/19 上空白UPC贴纸 24pcs
1/28 上客供亚马逊外箱贴纸 1pcs</s:t>
              </s:r>
            </s:text>
          </item>
        </commentChain>
      </unresolved>
      <resolved/>
    </commentChains>
    <commentChains s:ref="AC20" rgbClr="FF0000">
      <unresolved>
        <commentChain chainId="7f920eaa01c7a095f227215d1b7bdfb11ddbf40a">
          <item id="86b69159eb907336f72a06dcfc0895c2a654aa45" isNormal="1">
            <s:text>
              <s:r>
                <s:t xml:space="preserve">Administrator:
1405527 2/7 1188pcs  华兴三B14
1405534 2/9  12pcs   华兴三B13</s:t>
              </s:r>
            </s:text>
          </item>
        </commentChain>
      </unresolved>
      <resolved/>
    </commentChains>
    <commentChains s:ref="AC21" rgbClr="FF0000">
      <unresolved>
        <commentChain chainId="d3050e18157aa7cd70489361267491749963659e">
          <item id="cbeb27bf9b40181f0a977c2cfc512332aa934178" isNormal="1">
            <s:text>
              <s:r>
                <s:t xml:space="preserve">Administrator:
1405554 2/7 676pcs B4楼A2区</s:t>
              </s:r>
            </s:text>
          </item>
        </commentChain>
      </unresolved>
      <resolved/>
    </commentChains>
    <commentChains s:ref="AE21" rgbClr="FF0000">
      <unresolved>
        <commentChain chainId="c4620a2b7168a42bc26afcf0b7cffa2b921396dd">
          <item id="bffe250dc009ca838006911e7a1635ee0fbe6fb9" isNormal="1">
            <s:text>
              <s:r>
                <s:t xml:space="preserve">Administrator:
1/19 上进口商贴纸 676pcs
     上EAN条码贴纸 676pcs
     上收藏指南空白贴纸 676pcs
     上PDQ空白贴纸 52pcs
     上外箱贴纸 52pcs
1/26 上QR code贴纸 676pcs
2/9  收到外箱贴纸 52pcs
</s:t>
              </s:r>
            </s:text>
          </item>
        </commentChain>
      </unresolved>
      <resolved/>
    </commentChains>
    <commentChains s:ref="AC22" rgbClr="FF0000">
      <unresolved>
        <commentChain chainId="c7316446e45cefafee72d1747f73c8ce9d9dcda6">
          <item id="958e8f65734594d26173db16d6eafe5badd2d2d2" isNormal="1">
            <s:text>
              <s:r>
                <s:t xml:space="preserve">Administrator:
1601180 1/17 5000pcs 华兴华登仓库</s:t>
              </s:r>
            </s:text>
          </item>
        </commentChain>
      </unresolved>
      <resolved/>
    </commentChains>
    <commentChains s:ref="AE22" rgbClr="FF0000">
      <unresolved>
        <commentChain chainId="817aa0f21445ce92697d81135fcaa3517cbb0aee">
          <item id="93bdc43021b93cf02eb541ed89aff3bfe4b4140d" isNormal="1">
            <s:text>
              <s:r>
                <s:t xml:space="preserve">Administrator:
12/22 上进口商贴纸 10000pcs
      上UPC贴纸 10000pcs
185782/187691共用</s:t>
              </s:r>
            </s:text>
          </item>
        </commentChain>
      </unresolved>
      <resolved/>
    </commentChains>
    <commentChains s:ref="AC23" rgbClr="FF0000">
      <unresolved>
        <commentChain chainId="132adb68c28ed550749b2b588c8a95fa087a7c9e">
          <item id="4fc25a4466fc9609db24b13d07eb15e8e9cc7592" isNormal="1">
            <s:text>
              <s:r>
                <s:t xml:space="preserve">Administrator:
4/1 1405431 4404pcs新仓库A3
</s:t>
              </s:r>
            </s:text>
          </item>
        </commentChain>
      </unresolved>
      <resolved/>
    </commentChains>
    <commentChains s:ref="AE23" rgbClr="FF0000">
      <unresolved>
        <commentChain chainId="69876d092ae1df465c6e138b3e56bfcf991b5902">
          <item id="aa682ad520e004b8ec8b8d162d03d3c58b30f7a4" isNormal="1">
            <s:text>
              <s:r>
                <s:t xml:space="preserve">Administrator:
3/9 上空白贴纸 18000pcs
193766/193767共用
3/10 上客供价格贴纸4845pcs</s:t>
              </s:r>
            </s:text>
          </item>
        </commentChain>
      </unresolved>
      <resolved/>
    </commentChains>
    <commentChains s:ref="AC24" rgbClr="FF0000">
      <unresolved>
        <commentChain chainId="08ea6b01908d5c5488def5b4b9ad64d41bc6ac7b">
          <item id="2c8ce65c29fc7828675774255bfe633a1b69116c" isNormal="1">
            <s:text>
              <s:r>
                <s:t xml:space="preserve">Administrator:
3/31 1405458 4596pcs新仓库A3</s:t>
              </s:r>
            </s:text>
          </item>
        </commentChain>
      </unresolved>
      <resolved/>
    </commentChains>
    <commentChains s:ref="AE24" rgbClr="FF0000">
      <unresolved>
        <commentChain chainId="a2b7ad7e602216536520907c7ef67dfc1440c76a">
          <item id="3261ef7773c9f9700ea2a759dbdaae12e392f80e" isNormal="1">
            <s:text>
              <s:r>
                <s:t xml:space="preserve">Administrator:
3/9 上空白贴纸 18000pcs
193766/193767共用
3/10 上客供价格贴纸5056pcs</s:t>
              </s:r>
            </s:text>
          </item>
        </commentChain>
      </unresolved>
      <resolved/>
    </commentChains>
    <commentChains s:ref="AC25" rgbClr="FF0000">
      <unresolved>
        <commentChain chainId="b732cc047345388f892196428cbc34a66a632233">
          <item id="e15fb5443d11ae1ed7daa5386de75bb2031e646c" isNormal="1">
            <s:text>
              <s:r>
                <s:t xml:space="preserve">Administrator:
.4/1 1405431 996pcs新仓库A3
</s:t>
              </s:r>
            </s:text>
          </item>
        </commentChain>
      </unresolved>
      <resolved/>
    </commentChains>
    <commentChains s:ref="AE25" rgbClr="FF0000">
      <unresolved>
        <commentChain chainId="1a62039f34ff35c9a0b1a7ae0629ad226d1600a4">
          <item id="fb4d85db24714ff6db782d4090ec843936702d6a" isNormal="1">
            <s:text>
              <s:r>
                <s:t xml:space="preserve">Administrator:
3/10 上客供价格贴纸 1096pcs
3/23上空白贴纸4392pcs 193770/193771 共用
</s:t>
              </s:r>
            </s:text>
          </item>
        </commentChain>
      </unresolved>
      <resolved/>
    </commentChains>
    <commentChains s:ref="AC26" rgbClr="FF0000">
      <unresolved>
        <commentChain chainId="af02b5cd84e998d2a62fb4dc3b1208b3d87d9675">
          <item id="f0a77b41143c53e31302dfdafaa03570fec44a9b" isNormal="1">
            <s:text>
              <s:r>
                <s:t xml:space="preserve">Administrator:
4/1 1405431 1200pcs新仓库A3</s:t>
              </s:r>
            </s:text>
          </item>
        </commentChain>
      </unresolved>
      <resolved/>
    </commentChains>
    <commentChains s:ref="AE26" rgbClr="FF0000">
      <unresolved>
        <commentChain chainId="8cf9f830e7b6d67f56f4c59eb1ea416895348103">
          <item id="81cd985a54267be35c2888d2eee194b53e25a85d" isNormal="1">
            <s:text>
              <s:r>
                <s:t xml:space="preserve">Administrator:
3/10 上客供价格贴纸 1320pcs
3/23上空白贴纸4392pcs 193770/193771 共用
</s:t>
              </s:r>
            </s:text>
          </item>
        </commentChain>
      </unresolved>
      <resolved/>
    </commentChains>
    <commentChains s:ref="AC27" rgbClr="FF0000">
      <unresolved>
        <commentChain chainId="9d0661b9ac8e4c5d41b860c80329b203a4fc1787">
          <item id="0fd1648e7f43a4fca99846dbdbbc94c7d4c9536b" isNormal="1">
            <s:text>
              <s:r>
                <s:t xml:space="preserve">Administrator:
4/3 1405388 2379pcs新仓库A6
4/8 1405420 26pcs 新仓库A4</s:t>
              </s:r>
            </s:text>
          </item>
        </commentChain>
      </unresolved>
      <resolved/>
    </commentChains>
    <commentChains s:ref="AE27" rgbClr="FF0000">
      <unresolved>
        <commentChain chainId="89d7a4fb3928c7b23670094df6d877adeb38c68e">
          <item id="25bf120fe92ac52397d21ef1d3286b042795f984" isNormal="1">
            <s:text>
              <s:r>
                <s:t xml:space="preserve">Administrator:
3/21 上德意警告语贴纸36*13mm 2405pcs</s:t>
              </s:r>
            </s:text>
          </item>
        </commentChain>
      </unresolved>
      <resolved/>
    </commentChains>
    <commentChains s:ref="AC28" rgbClr="FF0000">
      <unresolved>
        <commentChain chainId="cba1e0d8b3eb62a93edc9e26e0d2bf206b465b56">
          <item id="83fc9cf1dacf325fc3ad87f760ef22cb99d505e3" isNormal="1">
            <s:text>
              <s:r>
                <s:t xml:space="preserve">Administrator:
4/8 1405348 4536PCS 华兴三楼B14区
4/10 1405339  54PCS 华兴三楼B14区
</s:t>
              </s:r>
            </s:text>
          </item>
        </commentChain>
      </unresolved>
      <resolved/>
    </commentChains>
    <commentChains s:ref="AE28" rgbClr="FF0000">
      <unresolved>
        <commentChain chainId="5cc31959537d58e1ac22927194f779447187716e">
          <item id="2ea11bd7621451c73a36fc7a634a535c0223eece" isNormal="1">
            <s:text>
              <s:r>
                <s:t xml:space="preserve">Administrator:
3/27 上客户货号贴纸（含法国） 4590pcs</s:t>
              </s:r>
            </s:text>
          </item>
        </commentChain>
      </unresolved>
      <resolved/>
    </commentChains>
    <commentChains s:ref="AC29" rgbClr="FF0000">
      <unresolved>
        <commentChain chainId="e894c54cf9f60dd32d9a55a8eca318110a957f35">
          <item id="ac304d7dad87990cbbe873088aca5ec279848da7" isNormal="1">
            <s:text>
              <s:r>
                <s:t xml:space="preserve">Administrator:
1405868 4/16 540pcs</s:t>
              </s:r>
            </s:text>
          </item>
        </commentChain>
      </unresolved>
      <resolved/>
    </commentChains>
    <commentChains s:ref="AE29" rgbClr="FF0000">
      <unresolved>
        <commentChain chainId="7734c14a0d7cac9afe53c08da584a8eec7b39d4b">
          <item id="78e7372d08cdd8ae29461eb6f45a471f1455d9d3" isNormal="1">
            <s:text>
              <s:r>
                <s:t xml:space="preserve">Administrator:
4/7上进口商贴纸540pcs</s:t>
              </s:r>
            </s:text>
          </item>
        </commentChain>
      </unresolved>
      <resolved/>
    </commentChains>
    <commentChains s:ref="AC30" rgbClr="FF0000">
      <unresolved>
        <commentChain chainId="9ca1c5bf7e0f525baa9a7984cdd02039b2ae1a85">
          <item id="d9d19bc8ea0e43772b10a6b8808fa1125d0c1972" isNormal="1">
            <s:text>
              <s:r>
                <s:t xml:space="preserve">Administrator:
4/29 1403684 996pcs新仓库c1
</s:t>
              </s:r>
            </s:text>
          </item>
        </commentChain>
      </unresolved>
      <resolved/>
    </commentChains>
    <commentChains s:ref="AE30" rgbClr="FF0000">
      <unresolved>
        <commentChain chainId="4605106c73d95bfe11920a7e4dabb42c82a24865">
          <item id="0a496c02f0344d19c10e1beff0828bbc4e7f994d" isNormal="1">
            <s:text>
              <s:r>
                <s:t xml:space="preserve">Administrator:
4/9 上空白贴纸9192pcs
4500195559/4500195560共用</s:t>
              </s:r>
            </s:text>
          </item>
        </commentChain>
      </unresolved>
      <resolved/>
    </commentChains>
    <commentChains s:ref="AC31" rgbClr="FF0000">
      <unresolved>
        <commentChain chainId="0cc9dcc50c2737f952a3ab24cba0e415da920e06">
          <item id="377ddf04ae9bc6bb98ea597762cddebadb4571d5" isNormal="1">
            <s:text>
              <s:r>
                <s:t xml:space="preserve">Administrator:
4/29 1403684 1200pcs新仓库A3</s:t>
              </s:r>
            </s:text>
          </item>
        </commentChain>
      </unresolved>
      <resolved/>
    </commentChains>
    <commentChains s:ref="AE31" rgbClr="FF0000">
      <unresolved>
        <commentChain chainId="e02a360719ec6fded535792c31c1e5ce9d8cd590">
          <item id="fc6e2d1209b5b283738fc95e826551dc20af97d2" isNormal="1">
            <s:text>
              <s:r>
                <s:t xml:space="preserve">Administrator:
3/18 上客供价格贴纸 1320pcs
4/9 上空白贴纸9192pcs
4500195559/4500195560共用
</s:t>
              </s:r>
            </s:text>
          </item>
        </commentChain>
      </unresolved>
      <resolved/>
    </commentChains>
    <commentChains s:ref="AC32" rgbClr="FF0000">
      <unresolved>
        <commentChain chainId="d3954e7e5a9e67f69125622f122eba1e8862e80a">
          <item id="d76470389d7ae9ca824aa2766f5c5811e193ec68" isNormal="1">
            <s:text>
              <s:r>
                <s:t xml:space="preserve">Administrator:
5/2 1403733 1026pcs</s:t>
              </s:r>
            </s:text>
          </item>
        </commentChain>
      </unresolved>
      <resolved/>
    </commentChains>
    <commentChains s:ref="AC33" rgbClr="FF0000">
      <unresolved>
        <commentChain chainId="ac848a39833dde14dc236759e02f37c2b9e6dafb">
          <item id="ce4d56a65e31dafc1e9c940c7acea397258536d9" isNormal="1">
            <s:text>
              <s:r>
                <s:t xml:space="preserve">Administrator:
5/2 1403733 208pcs</s:t>
              </s:r>
            </s:text>
          </item>
        </commentChain>
      </unresolved>
      <resolved/>
    </commentChains>
    <commentChains s:ref="AC34" rgbClr="FF0000">
      <unresolved>
        <commentChain chainId="a353e5555721eaa953e0143c19e78bb73fd218fc">
          <item id="f303fc22f35d9a3fc3a381992f635ff8ba9c206c" isNormal="1">
            <s:text>
              <s:r>
                <s:t xml:space="preserve">Administrator:
5/2 1403733 1196pcs</s:t>
              </s:r>
            </s:text>
          </item>
        </commentChain>
      </unresolved>
      <resolved/>
    </commentChains>
    <commentChains s:ref="AE34" rgbClr="FF0000">
      <unresolved>
        <commentChain chainId="2e77450f84a3ade81b21b0dbd495baa671717eac">
          <item id="f7043fcdc93dbd7244cceae287ab986b8c3e6ade" isNormal="1">
            <s:text>
              <s:r>
                <s:t xml:space="preserve">Administrator:
4/9上通用贴纸208pcs</s:t>
              </s:r>
            </s:text>
          </item>
        </commentChain>
      </unresolved>
      <resolved/>
    </commentChains>
    <commentChains s:ref="AC35" rgbClr="FF0000">
      <unresolved>
        <commentChain chainId="8be24ed1f176176fb2176829dffc4c8b48654fa1">
          <item id="dbae5b65e97403ddf5a3ae47ec315d74706c5f6d" isNormal="1">
            <s:text>
              <s:r>
                <s:t xml:space="preserve">Administrator:
5/16 1403600 520pcs</s:t>
              </s:r>
            </s:text>
          </item>
        </commentChain>
      </unresolved>
      <resolved/>
    </commentChains>
    <commentChains s:ref="AE35" rgbClr="FF0000">
      <unresolved>
        <commentChain chainId="b1f548bda57e079f0140984faa812bd615cad296">
          <item id="2f324ce24c3921cf9534f07dbda4406e5b0ce0e0" isNormal="1">
            <s:text>
              <s:r>
                <s:t xml:space="preserve">DELL:
4/30 上法国sorting logo贴纸 520pcs</s:t>
              </s:r>
            </s:text>
          </item>
        </commentChain>
      </unresolved>
      <resolved/>
    </commentChains>
    <commentChains s:ref="AC36" rgbClr="FF0000">
      <unresolved>
        <commentChain chainId="83f68d0270ca0045b301ea3c58d8e49a412f5475">
          <item id="12b7d744dc1c2d3a906b748f1040bf1aa89cedbd" isNormal="1">
            <s:text>
              <s:r>
                <s:t xml:space="preserve">Administrator:
5/23 1403355 996pcs</s:t>
              </s:r>
            </s:text>
          </item>
        </commentChain>
      </unresolved>
      <resolved/>
    </commentChains>
    <commentChains s:ref="AE36" rgbClr="FF0000">
      <unresolved>
        <commentChain chainId="959cb64a49a217e15bfa8adebb19844168d9e101">
          <item id="26373e12bb11223416aba87be6aa6c02d5132202" isNormal="1">
            <s:text>
              <s:r>
                <s:t xml:space="preserve">Administrator:
4/20 上客供价格贴纸 1096pcs</s:t>
              </s:r>
            </s:text>
          </item>
        </commentChain>
      </unresolved>
      <resolved/>
    </commentChains>
    <commentChains s:ref="AC37" rgbClr="FF0000">
      <unresolved>
        <commentChain chainId="32a384abd7eb825a9ac72a47ca7462a893230c0f">
          <item id="26c9b5a583a13ae6f73b1282b88be42083914659" isNormal="1">
            <s:text>
              <s:r>
                <s:t xml:space="preserve">Administrator:
5/23 1403355 1200pcs
</s:t>
              </s:r>
            </s:text>
          </item>
        </commentChain>
      </unresolved>
      <resolved/>
    </commentChains>
    <commentChains s:ref="AE37" rgbClr="FF0000">
      <unresolved>
        <commentChain chainId="a75bb9050caa8564f50f91cd7778e54cd7361769">
          <item id="02c3c2fe3ee12fd02886a079fa335b5ce9e2e6d1" isNormal="1">
            <s:text>
              <s:r>
                <s:t xml:space="preserve">Administrator:
4/20 上客供价格贴纸 1320pcs</s:t>
              </s:r>
            </s:text>
          </item>
        </commentChain>
      </unresolved>
      <resolved/>
    </commentChains>
    <commentChains s:ref="AC38" rgbClr="FF0000">
      <unresolved>
        <commentChain chainId="2508293df4b6d4aea2cf7fd84dacc28331e005f3">
          <item id="c090ce8bbb25950f132a9317b77bf84c64fbf0cd" isNormal="1">
            <s:text>
              <s:r>
                <s:t xml:space="preserve">Administrator:
5/23 1403355 270pcs
</s:t>
              </s:r>
            </s:text>
          </item>
        </commentChain>
      </unresolved>
      <resolved/>
    </commentChains>
    <commentChains s:ref="AE38" rgbClr="FF0000">
      <unresolved>
        <commentChain chainId="0dcc5b5daea14c938520ec39e34caab359f12fe3">
          <item id="10f74588c8da8ec2c954e8b12133c0df4cc372b0" isNormal="1">
            <s:text>
              <s:r>
                <s:t xml:space="preserve">Administrator:
5/16 上PDQ贴纸270pcs</s:t>
              </s:r>
            </s:text>
          </item>
        </commentChain>
      </unresolved>
      <resolved/>
    </commentChains>
    <commentChains s:ref="AC39" rgbClr="FF0000">
      <unresolved>
        <commentChain chainId="e1a61370952b52f0526a70a0c58f315bdfaa47da">
          <item id="7c0afa00eced2bbfaab2dfd8de11a933e9b10565" isNormal="1">
            <s:text>
              <s:r>
                <s:t xml:space="preserve">Administrator:
5/23 1403355 270pcs
</s:t>
              </s:r>
            </s:text>
          </item>
        </commentChain>
      </unresolved>
      <resolved/>
    </commentChains>
    <commentChains s:ref="AC40" rgbClr="FF0000">
      <unresolved>
        <commentChain chainId="d150ee6c7c74d6f003b4cac886239428619c2f83">
          <item id="ed70df6e0df48146166a6334569df7b4627412a7" userID="1850010794" userName="龙丽娟" dateTime="2026-06-01T05:41:05" isNormal="0">
            <s:text>
              <s:r>
                <s:t xml:space="preserve">5/26 1403339 2052pcs新2A9</s:t>
              </s:r>
            </s:text>
          </item>
        </commentChain>
      </unresolved>
      <resolved/>
    </commentChains>
    <commentChains s:ref="AC41" rgbClr="FF0000">
      <unresolved>
        <commentChain chainId="9049c8335960346e564c426d899c1197720426d9">
          <item id="fcd76912f1633a5dc01b5c8d532dbe7eb8c31a32" userID="1850010794" userName="龙丽娟" dateTime="2026-06-01T05:57:59" isNormal="0">
            <s:text>
              <s:r>
                <s:t xml:space="preserve">5/28 2800057 3618pcs应兴仓库A7</s:t>
              </s:r>
            </s:text>
          </item>
        </commentChain>
      </unresolved>
      <resolved/>
    </commentChains>
    <commentChains s:ref="AC42" rgbClr="FF0000">
      <unresolved>
        <commentChain chainId="e7ee8d7ba582c58a32bf5dbd9ef6b05bb170c989">
          <item id="5f8f3771c7d706f1631f93c13eb1a25820d9b046" userID="1850010794" userName="龙丽娟" dateTime="2026-06-07T07:52:40" isNormal="0">
            <s:text>
              <s:r>
                <s:t xml:space="preserve">6/5 2801113 270PCS顶B1</s:t>
              </s:r>
            </s:text>
          </item>
        </commentChain>
      </unresolved>
      <resolved/>
    </commentChains>
    <commentChains s:ref="AC43" rgbClr="FF0000">
      <unresolved>
        <commentChain chainId="ce1f57324a1599a9daa1d061756f8243d18e5fd9">
          <item id="9fae1978b3342ee68b52667d9fb8763489348292" userID="1850010794" userName="龙丽娟" dateTime="2026-06-10T09:00:41" isNormal="0">
            <s:text>
              <s:r>
                <s:t xml:space="preserve">191728 6/8 4590pcs 顶均A12</s:t>
              </s:r>
            </s:text>
          </item>
        </commentChain>
      </unresolved>
      <resolved/>
    </commentChains>
    <commentChains s:ref="AE43" rgbClr="FF0000">
      <unresolved>
        <commentChain chainId="cbbf4717bce2acc4d7c2dd712366f99b3b180519">
          <item id="2f8cad6f7b9fdae46fe3620afe2c0cd1f316e753" isNormal="1">
            <s:text>
              <s:r>
                <s:t xml:space="preserve">Administrator:
3/27 上客户货号贴纸（含法国） 4590pcs</s:t>
              </s:r>
            </s:text>
          </item>
        </commentChain>
      </unresolved>
      <resolved/>
    </commentChains>
    <commentChains s:ref="AC44" rgbClr="FF0000">
      <unresolved>
        <commentChain chainId="37f1d65a7676c37c26d9ec1deb93d869d1d329bc">
          <item id="078017050f5ec41629c94468bffdb3c68a655c77" userID="1850010794" userName="龙丽娟" dateTime="2026-06-10T09:01:14" isNormal="0">
            <s:text>
              <s:r>
                <s:t xml:space="preserve">2801135 6/6 216pcs顶均A8</s:t>
              </s:r>
            </s:text>
          </item>
        </commentChain>
      </unresolved>
      <resolved/>
    </commentChains>
    <commentChains s:ref="AC45" rgbClr="FF0000">
      <unresolved>
        <commentChain chainId="430c2a105715448e0608f3357f218e268adb24e1">
          <item id="dbfd06b9b3264da0649aa226fbf361f838454aeb" userID="1850010794" userName="龙丽娟" dateTime="2026-06-10T09:01:14" isNormal="0">
            <s:text>
              <s:r>
                <s:t xml:space="preserve">2801266 6/15 2600pcs顶均A6</s:t>
              </s:r>
            </s:text>
          </item>
        </commentChain>
      </unresolved>
      <resolved/>
    </commentChains>
    <commentChains s:ref="AC46" rgbClr="FF0000">
      <unresolved>
        <commentChain chainId="f54e8ac899224db631bec8d2f031da83919d2700">
          <item id="c4179872251477c1d49786fcd63cb9e4cd9d039b" userID="1850010794" userName="龙丽娟" dateTime="2026-06-23T05:46:36" isNormal="0">
            <s:text>
              <s:r>
                <s:t xml:space="preserve">6/17 2201078 216pcs欣泰a6</s:t>
              </s:r>
            </s:text>
          </item>
        </commentChain>
      </unresolved>
      <resolved/>
    </commentChains>
    <commentChains s:ref="AC47" rgbClr="FF0000">
      <unresolved>
        <commentChain chainId="57fd6fe8055dfe8158ddb26a8786d4a3a474dd07">
          <item id="0fe28beffb1d933b4316d351a8281a11528e5a75" userID="1850010794" userName="龙丽娟" dateTime="2026-06-25T07:12:42" isNormal="0">
            <s:text>
              <s:r>
                <s:t xml:space="preserve">6/23 欣泰</s:t>
              </s:r>
            </s:text>
          </item>
        </commentChain>
      </unresolved>
      <resolved/>
    </commentChains>
    <commentChains s:ref="AC48" rgbClr="FF0000">
      <unresolved>
        <commentChain chainId="bac04eb2ac89c8a241229b1a204a46d2e61fca7d">
          <item id="0ebf8860d8af0e33da0e592a685703c2beffba47" userID="1850010794" userName="龙丽娟" dateTime="2026-06-25T07:12:56" isNormal="0">
            <s:text>
              <s:r>
                <s:t xml:space="preserve">6/23 欣泰</s:t>
              </s:r>
            </s:text>
          </item>
        </commentChain>
      </unresolved>
      <resolved/>
    </commentChains>
    <commentChains s:ref="AC54" rgbClr="FF0000">
      <unresolved>
        <commentChain chainId="21f8815db1836dccb50f2b04ef2e701420208cb1">
          <item id="828df36b7f999ee9aa94d3985a050427e4edf128" userID="1850010794" userName="龙丽娟" dateTime="2026-07-14T13:07:26" isNormal="0">
            <s:text>
              <s:r>
                <s:t xml:space="preserve">7/9 2201269 756pcs欣泰B4</s:t>
              </s:r>
            </s:text>
          </item>
        </commentChain>
      </unresolved>
      <resolved/>
    </commentChains>
    <commentChains s:ref="AE54" rgbClr="FF0000">
      <unresolved>
        <commentChain chainId="785fd1d139f1893c8d34e601d69b18df3d160dc0">
          <item id="bd3e2ff3656f068573f525e310411028b545e696" userID="1850010794" userName="龙丽娟" dateTime="2026-06-30T06:50:11" isNormal="0">
            <s:text>
              <s:r>
                <s:t xml:space="preserve">6/26上upc贴纸756pcs</s:t>
              </s:r>
            </s:text>
          </item>
        </commentChain>
      </unresolved>
      <resolved/>
    </commentChains>
    <commentChains s:ref="AC55" rgbClr="FF0000">
      <unresolved>
        <commentChain chainId="a51233572eafdf2c5a57c3a823ae14309a1dbeaa">
          <item id="280143a71286f31dece6b8ac8b1426d41c3492a6" userID="1850010794" userName="龙丽娟" dateTime="2026-07-14T13:26:08" isNormal="0">
            <s:text>
              <s:r>
                <s:t xml:space="preserve">7/8 2201252 11070pcs顶均c2</s:t>
              </s:r>
            </s:text>
          </item>
        </commentChain>
      </unresolved>
      <resolved/>
    </commentChains>
    <commentChains s:ref="AE55" rgbClr="FF0000">
      <unresolved>
        <commentChain chainId="0c92ba8d24ba35f48cdecceb38097219b6fdce1b">
          <item id="857d5f1b0930eca9175d3bc980f26ae19e4c56ec" userID="1850010794" userName="龙丽娟" dateTime="2026-06-23T07:22:06" isNormal="0">
            <s:text>
              <s:r>
                <s:t xml:space="preserve">6/26上UPC贴纸11070pcs/上进口商贴纸22140pcs</s:t>
              </s:r>
            </s:text>
          </item>
        </commentChain>
      </unresolved>
      <resolved/>
    </commentChains>
    <commentChains s:ref="AE56" rgbClr="FF0000">
      <unresolved>
        <commentChain chainId="f2b99b7734fb07b81f7d0d321d1de3934a9e4d5b">
          <item id="7ffc6fe8b686fad7159dd56bb08ca384c49b6637" userID="1850010794" userName="龙丽娟" dateTime="2026-06-29T05:54:08" isNormal="0">
            <s:text>
              <s:r>
                <s:t xml:space="preserve">6/24上客供亚马逊外箱贴纸1pcs</s:t>
              </s:r>
            </s:text>
          </item>
        </commentChain>
      </unresolved>
      <resolved/>
    </commentChains>
    <commentChains s:ref="AE57" rgbClr="FF0000">
      <unresolved>
        <commentChain chainId="7b87a38aa68eb2780fa739877615627b97712e2d">
          <item id="814069b0ae8b57f7f1940cb3a0ba4302846b83e2" userID="1850010794" userName="龙丽娟" dateTime="2026-06-29T05:54:08" isNormal="0">
            <s:text>
              <s:r>
                <s:t xml:space="preserve">6/24上客供亚马逊外箱贴纸1pcs</s:t>
              </s:r>
            </s:text>
          </item>
        </commentChain>
      </unresolved>
      <resolved/>
    </commentChains>
    <commentChains s:ref="AC58" rgbClr="FF0000">
      <unresolved>
        <commentChain chainId="80ad9a161963f485ffe78d9e71f0da7d0080f543">
          <item id="2e680671421ba076cfc1ab6db113ed28d518ebca" userID="1850010794" userName="龙丽娟" dateTime="2026-07-04T09:18:14" isNormal="0">
            <s:text>
              <s:r>
                <s:t xml:space="preserve">7/2 2201171 36PCS顶均c5</s:t>
              </s:r>
            </s:text>
          </item>
        </commentChain>
      </unresolved>
      <resolved/>
    </commentChains>
    <commentChains s:ref="AE58" rgbClr="FF0000">
      <unresolved>
        <commentChain chainId="bac313d86b0317c8e042720757e5e97887f7d36f">
          <item id="9e6b7e8fa36f7d4dbcc20ac821943c8300545694" userID="1850010794" userName="龙丽娟" dateTime="2026-06-29T05:54:08" isNormal="0">
            <s:text>
              <s:r>
                <s:t xml:space="preserve">6/24上客供亚马逊外箱贴纸3pcs</s:t>
              </s:r>
            </s:text>
          </item>
        </commentChain>
      </unresolved>
      <resolved/>
    </commentChains>
    <commentChains s:ref="AE59" rgbClr="FF0000">
      <unresolved>
        <commentChain chainId="3f3bb15a619cbd239ea38cd728b51ef7316b351b">
          <item id="7c7c541b8c7c2bf1a7ca0350d180e9849476ad5e" userID="1850010794" userName="龙丽娟" dateTime="2026-06-29T05:54:08" isNormal="0">
            <s:text>
              <s:r>
                <s:t xml:space="preserve">6/24上客供亚马逊外箱贴纸1pcs</s:t>
              </s:r>
            </s:text>
          </item>
        </commentChain>
      </unresolved>
      <resolved/>
    </commentChains>
    <commentChains s:ref="AE60" rgbClr="FF0000">
      <unresolved>
        <commentChain chainId="6d05b7df859d442e95699e45d9c9bf64b6010a6a">
          <item id="7f21de8c2d85ff22ebf1410a97b12019d47a2487" userID="1850010794" userName="龙丽娟" dateTime="2026-06-29T05:54:08" isNormal="0">
            <s:text>
              <s:r>
                <s:t xml:space="preserve">6/24上客供亚马逊外箱贴纸1pcs</s:t>
              </s:r>
            </s:text>
          </item>
        </commentChain>
      </unresolved>
      <resolved/>
    </commentChains>
    <commentChains s:ref="AE61" rgbClr="FF0000">
      <unresolved>
        <commentChain chainId="d0f6001a4fe92387f1c86de12bd45a214c68a2dc">
          <item id="b426114c90cc5c2999d1d1e26b9642309f5f5dcb" userID="1850010794" userName="龙丽娟" dateTime="2026-06-29T05:54:08" isNormal="0">
            <s:text>
              <s:r>
                <s:t xml:space="preserve">6/24上客供亚马逊外箱贴纸1pcs</s:t>
              </s:r>
            </s:text>
          </item>
        </commentChain>
      </unresolved>
      <resolved/>
    </commentChains>
    <commentChains s:ref="AE63" rgbClr="FF0000">
      <unresolved>
        <commentChain chainId="509107eaa8f550bc309d5e06dfe01dd1bbbba18f">
          <item id="cc038a2cd62da867b160a4ef2e363d7bce3fe93b" userID="1850010794" userName="龙丽娟" dateTime="2026-07-12T11:41:39" isNormal="0">
            <s:text>
              <s:r>
                <s:t xml:space="preserve">7/6上进口商/upc贴纸各540pcs</s:t>
              </s:r>
            </s:text>
          </item>
        </commentChain>
      </unresolved>
      <resolved/>
    </commentChains>
    <commentChains s:ref="AE64" rgbClr="FF0000">
      <unresolved>
        <commentChain chainId="2b6be41a29facc152e0bca2f83b812a1350fc9c5">
          <item id="46d10dd19d47d337d3c194de4b714a2a136f1a1c" userID="1850010794" userName="龙丽娟" dateTime="2026-06-23T03:31:14" isNormal="0">
            <s:text>
              <s:r>
                <s:t xml:space="preserve">6/22上客供价格贴纸1610pcs</s:t>
              </s:r>
            </s:text>
          </item>
          <item id="1f05fb3efb58d7bcac53c7a2465f87c29ad9bfc5" userID="1850010794" userName="龙丽娟" dateTime="2026-07-12T11:23:41" isNormal="0">
            <s:text>
              <s:r>
                <s:t xml:space="preserve">7/6上进口商贴纸1512pcs</s:t>
              </s:r>
            </s:text>
          </item>
        </commentChain>
      </unresolved>
      <resolved/>
    </commentChains>
    <commentChains s:ref="AC70" rgbClr="FF0000">
      <unresolved>
        <commentChain chainId="f168f2faa24988de090456da9f2bf54c0b2f5877">
          <item id="16a7d8b345684e5c9c340a7366836b3deb741505" userID="1850010794" userName="龙丽娟" dateTime="2026-08-07T12:38:47" isNormal="0">
            <s:text>
              <s:r>
                <s:t xml:space="preserve">8/1 1001590 507pcs欣泰c3</s:t>
              </s:r>
            </s:text>
          </item>
        </commentChain>
      </unresolved>
      <resolved/>
    </commentChains>
    <commentChains s:ref="AE70" rgbClr="FF0000">
      <unresolved>
        <commentChain chainId="dd5c54c28a5fe43574207db940d7025236f8db5b">
          <item id="93b3fa92b97aa9b4585f71f902b845e78cb0c67a" userID="1850010794" userName="龙丽娟" dateTime="2026-07-20T14:31:12" isNormal="0">
            <s:text>
              <s:r>
                <s:t xml:space="preserve">7/20上pdq/地址贴纸39pcs</s:t>
              </s:r>
            </s:text>
          </item>
          <item id="ff45f4c2f83b503d1e4b67d5c1282391206ca004" userID="1850010794" userName="龙丽娟" dateTime="2026-07-21T07:36:24" isNormal="0">
            <s:text>
              <s:r>
                <s:t xml:space="preserve">7/16 上德意警告语贴纸 507pcs</s:t>
              </s:r>
            </s:text>
          </item>
        </commentChain>
      </unresolved>
      <resolved/>
    </commentChains>
    <commentChains s:ref="AE71" rgbClr="FF0000">
      <unresolved>
        <commentChain chainId="e85e3775a7fcdce2eb58fa450638e840bbcae345">
          <item id="df901efde3b8cba92f48edbd16be91511f743254" userID="1850010794" userName="龙丽娟" dateTime="2026-07-23T12:30:28" isNormal="0">
            <s:text>
              <s:r>
                <s:t xml:space="preserve">7/18上进口商/upc贴纸540pcs</s:t>
              </s:r>
            </s:text>
          </item>
        </commentChain>
      </unresolved>
      <resolved/>
    </commentChains>
    <commentChains s:ref="AC77" rgbClr="FF0000">
      <unresolved>
        <commentChain chainId="40ebec9f46c44268893090064b70705a2bc28700">
          <item id="6d10909963f04481dcc439b408edfe10e3726b56" userID="1850010794" userName="龙丽娟" dateTime="2026-08-14T01:53:34" isNormal="0">
            <s:text>
              <s:r>
                <s:t xml:space="preserve">8/13 1001441 1344pcs</s:t>
              </s:r>
            </s:text>
          </item>
        </commentChain>
      </unresolved>
      <resolved/>
    </commentChains>
    <commentChains s:ref="AC80" rgbClr="FF0000">
      <unresolved>
        <commentChain chainId="0e501e24a9716f0f95560a6d9d6537c800e11c2e">
          <item id="f456175daffb241802fb76bdaf3c47112459fdad" userID="1850010794" userName="龙丽娟" dateTime="2026-08-14T01:54:02" isNormal="0">
            <s:text>
              <s:r>
                <s:t xml:space="preserve">8/13 1001441 1212pcs</s:t>
              </s:r>
            </s:text>
          </item>
        </commentChain>
      </unresolved>
      <resolved/>
    </commentChains>
    <commentChains s:ref="AC82" rgbClr="FF0000">
      <unresolved>
        <commentChain chainId="5aa4e235355789340a4941a8329bf41cf3a7a519">
          <item id="222e99e0f6291dded7f277aa7012c2b57a5d60ca" userID="1850010794" userName="龙丽娟" dateTime="2026-08-14T01:00:29" isNormal="0">
            <s:text>
              <s:r>
                <s:t xml:space="preserve">8/13 1001438 1080PCS</s:t>
              </s:r>
            </s:text>
          </item>
        </commentChain>
      </unresolved>
      <resolved/>
    </commentChains>
    <commentChains s:ref="AC83" rgbClr="FF0000">
      <unresolved>
        <commentChain chainId="ef7fd706a9d8ef837c0d0a5d1077da5ffaedfab7">
          <item id="ca63cd68f4a9600f46ad9de123a66c0d0403d3a3" userID="1850010794" userName="龙丽娟" dateTime="2026-08-14T02:38:10" isNormal="0">
            <s:text>
              <s:r>
                <s:t xml:space="preserve">8/13 1001421 1026pcs</s:t>
              </s:r>
            </s:text>
          </item>
        </commentChain>
      </unresolved>
      <resolved/>
    </commentChains>
    <commentChains s:ref="AC84" rgbClr="FF0000">
      <unresolved>
        <commentChain chainId="6aa69d682a580896217a837150c63a27f10e81a6">
          <item id="2ddef08ae9cef71d9b30b9186fd26ef220b9300f" userID="1850010794" userName="龙丽娟" dateTime="2026-08-14T00:59:54" isNormal="0">
            <s:text>
              <s:r>
                <s:t xml:space="preserve">8/13 1001438 2916PCS</s:t>
              </s:r>
            </s:text>
          </item>
        </commentChain>
      </unresolved>
      <resolved/>
    </commentChains>
    <commentChains s:ref="AE85" rgbClr="FF0000">
      <unresolved>
        <commentChain chainId="fd9610d91a5b71930c8118ce536f20b08059e7b1">
          <item id="ef314edb7ed20424b82ccbb755138ac9608d5740" userID="1850010794" userName="龙丽娟" dateTime="2026-07-24T12:26:54" isNormal="0">
            <s:text>
              <s:r>
                <s:t xml:space="preserve">7/21上PDQ+约旦的通用280pcs</s:t>
              </s:r>
            </s:text>
          </item>
        </commentChain>
      </unresolved>
      <resolved/>
    </commentChains>
    <commentChains s:ref="AE86" rgbClr="FF0000">
      <unresolved>
        <commentChain chainId="bcea2d8b2d99f2384aafb4f203b466d2a52c5eb1">
          <item id="99182541b6c47a2c4042282aad2df21e7fb3a710" userID="1850010794" userName="龙丽娟" dateTime="2026-07-24T12:26:54" isNormal="0">
            <s:text>
              <s:r>
                <s:t xml:space="preserve">7/21上PDQ+约旦的通用168pcs</s:t>
              </s:r>
            </s:text>
          </item>
        </commentChain>
      </unresolved>
      <resolved/>
    </commentChains>
    <commentChains s:ref="AE89" rgbClr="FF0000">
      <unresolved>
        <commentChain chainId="fa202b12da0176b4c03e2d80d200dbf5a14d2414">
          <item id="b1b4806d97ce09c522c41906ab3ba477c45691db" userID="1850010794" userName="龙丽娟" dateTime="2026-07-20T14:22:16" isNormal="0">
            <s:text>
              <s:r>
                <s:t xml:space="preserve">7/20上客户进口商贴纸478pcs（两个单）</s:t>
              </s:r>
            </s:text>
          </item>
        </commentChain>
      </unresolved>
      <resolved/>
    </commentChains>
    <commentChains s:ref="AE90" rgbClr="FF0000">
      <unresolved>
        <commentChain chainId="0e73480e406310290348b1b7d2f8868bbcc5aa99">
          <item id="7e5b7e5fec84853835fa62b780bc9b8ccc5c2114" userID="1850010794" userName="龙丽娟" dateTime="2026-07-20T14:22:16" isNormal="0">
            <s:text>
              <s:r>
                <s:t xml:space="preserve">7/20上客户进口商贴纸478pcs（两个单）</s:t>
              </s:r>
            </s:text>
          </item>
        </commentChain>
      </unresolved>
      <resolved/>
    </commentChains>
    <commentChains s:ref="AE106" rgbClr="FF0000">
      <unresolved>
        <commentChain chainId="033e95cfe80208c2fe341394b39ca2e188f7bca7">
          <item id="721eaedf4c1fa6c5cd2c380627e3d372eb2e9d4a" userID="1850010794" userName="龙丽娟" dateTime="2026-08-14T08:15:24" isNormal="0">
            <s:text>
              <s:r>
                <s:t xml:space="preserve">8/13 收到亚马逊外箱贴纸3pcs</s:t>
              </s:r>
            </s:text>
          </item>
        </commentChain>
      </unresolved>
      <resolved/>
    </commentChains>
    <commentChains s:ref="AE107" rgbClr="FF0000">
      <unresolved>
        <commentChain chainId="bea3049b109c34778fe37398824b496c2e1419cf">
          <item id="fc0a248c8858883e7c15dbf58e6619aa2e09b8fb" userID="1850010794" userName="龙丽娟" dateTime="2026-08-14T08:15:24" isNormal="0">
            <s:text>
              <s:r>
                <s:t xml:space="preserve">8/13 收到亚马逊外箱贴纸1pcs</s:t>
              </s:r>
            </s:text>
          </item>
        </commentChain>
      </unresolved>
      <resolved/>
    </commentChains>
    <commentChains s:ref="AE108" rgbClr="FF0000">
      <unresolved>
        <commentChain chainId="d97c53473d1b272d48e2256a4c2954466f9f5b10">
          <item id="3e114df15329ce665549e5fc654b1897f915324d" userID="1850010794" userName="龙丽娟" dateTime="2026-08-14T08:15:24" isNormal="0">
            <s:text>
              <s:r>
                <s:t xml:space="preserve">8/13 收到亚马逊外箱贴纸1pcs</s:t>
              </s:r>
            </s:text>
          </item>
        </commentChain>
      </unresolved>
      <resolved/>
    </commentChains>
    <commentChains s:ref="AE109" rgbClr="FF0000">
      <unresolved>
        <commentChain chainId="ad11670a335a687a8414db7d37f55f4e2c7f5ffe">
          <item id="28253fbae73b349d994ac690a6358347a040d05f" userID="1850010794" userName="龙丽娟" dateTime="2026-08-14T08:15:24" isNormal="0">
            <s:text>
              <s:r>
                <s:t xml:space="preserve">8/13 收到亚马逊外箱贴纸1pcs</s:t>
              </s:r>
            </s:text>
          </item>
        </commentChain>
      </unresolved>
      <resolved/>
    </commentChains>
    <commentChains s:ref="AE110" rgbClr="FF0000">
      <unresolved>
        <commentChain chainId="a69e79bf3e36ad7f42db488487f51363b8b2bf80">
          <item id="cfaf26b4e029a9420a9667421ed345a90ae96f64" userID="1850010794" userName="龙丽娟" dateTime="2026-08-14T08:15:24" isNormal="0">
            <s:text>
              <s:r>
                <s:t xml:space="preserve">8/13 收到亚马逊外箱贴纸1pcs</s:t>
              </s:r>
            </s:text>
          </item>
        </commentChain>
      </unresolved>
      <resolved/>
    </commentChains>
  </commentList>
  <commentList sheetStid="4">
    <commentChains s:ref="AB2" rgbClr="FF0000">
      <unresolved>
        <commentChain chainId="dcbc4c88383fd6ca86f2b46c878fb2e6c7c0f3c0">
          <item id="30a4a06a4361ba06d7528fb54d4f1115a3e047f1" isNormal="1">
            <s:text>
              <s:r>
                <s:t xml:space="preserve">Administrator:
2/13 上进口商贴纸 2028pcs
     上PDQ EAN条码贴纸 156pcs</s:t>
              </s:r>
            </s:text>
          </item>
        </commentChain>
      </unresolved>
      <resolved/>
    </commentChains>
    <commentChains s:ref="AB4" rgbClr="FF0000">
      <unresolved>
        <commentChain chainId="05fd82d9e51e3ebbf384a3cbc153317b63f32e35">
          <item id="9e3452f8355e614eecfd94733a19b066700d3dda" isNormal="1">
            <s:text>
              <s:r>
                <s:t xml:space="preserve">Administrator:
7/3 上客供RFID贴纸 204pcs</s:t>
              </s:r>
            </s:text>
          </item>
        </commentChain>
      </unresolved>
      <resolved/>
    </commentChains>
    <commentChains s:ref="AB5" rgbClr="FF0000">
      <unresolved>
        <commentChain chainId="650e8a6ab47c159aa0c82398e19b34dd5d9f7d44">
          <item id="1eabd70bc697bb7e0c46de1f6e911fb49f89cd40" isNormal="1">
            <s:text>
              <s:r>
                <s:t xml:space="preserve">Administrator:
7/3 上客供RFID贴纸 156pcs</s:t>
              </s:r>
            </s:text>
          </item>
        </commentChain>
      </unresolved>
      <resolved/>
    </commentChains>
    <commentChains s:ref="AB6" rgbClr="FF0000">
      <unresolved>
        <commentChain chainId="6c5e4482141b9fde8986f2612a8b58c79084a7db">
          <item id="337905a717faaa6ab38443c4747fd6fdea1f2d43" isNormal="1">
            <s:text>
              <s:r>
                <s:t xml:space="preserve">Administrator:
7/3 上客供RFID贴纸 180pcs</s:t>
              </s:r>
            </s:text>
          </item>
        </commentChain>
      </unresolved>
      <resolved/>
    </commentChains>
    <commentChains s:ref="AB7" rgbClr="FF0000">
      <unresolved>
        <commentChain chainId="030b63da323d787424e61e2d808f97e91751b42d">
          <item id="9a3e29439fea53a97b479cce7c5daa089faa098e" isNormal="1">
            <s:text>
              <s:r>
                <s:t xml:space="preserve">Administrator:
7/3 上客供RFID贴纸 84pcs</s:t>
              </s:r>
            </s:text>
          </item>
        </commentChain>
      </unresolved>
      <resolved/>
    </commentChains>
  </commentList>
</comments>
</file>

<file path=customXml/item3.xml><?xml version="1.0" encoding="utf-8"?>
<autofilters xmlns="https://web.wps.cn/et/2018/main">
  <sheetItem sheetStid="5">
    <filterData filterID="1765212680"/>
  </sheetItem>
  <sheetItem sheetStid="1">
    <filterData filterID="1474966847">
      <hiddenRange rowFrom="2" rowTo="2"/>
      <hiddenRange rowFrom="4" rowTo="135"/>
    </filterData>
    <filterData filterID="1474709007">
      <hiddenRange rowFrom="2" rowTo="60"/>
      <hiddenRange rowFrom="62" rowTo="111"/>
      <hiddenRange rowFrom="114" rowTo="135"/>
    </filterData>
    <filterData filterID="1848489229"/>
    <filterData filterID="1475153551"/>
    <filterData filterID="1765212680">
      <hiddenRange rowFrom="2" rowTo="84"/>
      <hiddenRange rowFrom="86" rowTo="135"/>
    </filterData>
    <filterData filterID="1828143256">
      <hiddenRange rowFrom="2" rowTo="68"/>
      <hiddenRange rowFrom="70" rowTo="135"/>
    </filterData>
    <filterData filterID="1479941211"/>
    <filterData filterID="1850010794">
      <hiddenRange rowFrom="2" rowTo="54"/>
      <hiddenRange rowFrom="61" rowTo="135"/>
    </filterData>
    <autofilterInfo filterID="1850010794">
      <autoFilter xmlns="http://schemas.openxmlformats.org/spreadsheetml/2006/main" ref="A2:CD136">
        <filterColumn colId="3">
          <customFilters>
            <customFilter operator="equal" val="4500206381"/>
          </customFilters>
        </filterColumn>
      </autoFilter>
    </autofilterInfo>
    <autofilterInfo filterID="1474709007">
      <autoFilter xmlns="http://schemas.openxmlformats.org/spreadsheetml/2006/main" ref="A2:CD136">
        <filterColumn colId="3">
          <customFilters>
            <customFilter operator="equal" val="4500211355"/>
          </customFilters>
        </filterColumn>
      </autoFilter>
    </autofilterInfo>
    <autofilterInfo filterID="1828143256">
      <autoFilter xmlns="http://schemas.openxmlformats.org/spreadsheetml/2006/main" ref="A2:CD136">
        <filterColumn colId="3">
          <customFilters>
            <customFilter operator="equal" val="4500211896"/>
          </customFilters>
        </filterColumn>
      </autoFilter>
    </autofilterInfo>
    <autofilterInfo filterID="1474966847">
      <autoFilter xmlns="http://schemas.openxmlformats.org/spreadsheetml/2006/main" ref="A2:CD136">
        <filterColumn colId="3">
          <customFilters>
            <customFilter operator="equal" val="4500182578"/>
          </customFilters>
        </filterColumn>
      </autoFilter>
    </autofilterInfo>
    <autofilterInfo filterID="1765212680">
      <autoFilter xmlns="http://schemas.openxmlformats.org/spreadsheetml/2006/main" ref="A2:CD136">
        <filterColumn colId="3">
          <customFilters>
            <customFilter operator="equal" val="4500211382"/>
          </customFilters>
        </filterColumn>
      </autoFilter>
    </autofilterInfo>
  </sheetItem>
  <sheetItem sheetStid="6">
    <filterData filterID="1850010794">
      <hiddenRange rowFrom="2" rowTo="12"/>
      <hiddenRange rowFrom="14" rowTo="57"/>
    </filterData>
    <filterData filterID="1594138801"/>
    <filterData filterID="1475153551">
      <hiddenRange rowFrom="2" rowTo="16"/>
      <hiddenRange rowFrom="18" rowTo="57"/>
    </filterData>
    <filterData filterID="1765212680">
      <hiddenRange rowFrom="2" rowTo="9"/>
      <hiddenRange rowFrom="11" rowTo="57"/>
    </filterData>
    <autofilterInfo filterID="1475153551">
      <autoFilter xmlns="http://schemas.openxmlformats.org/spreadsheetml/2006/main" ref="A2:CF58">
        <filterColumn colId="0">
          <colorFilter dxfId="3"/>
        </filterColumn>
      </autoFilter>
    </autofilterInfo>
    <autofilterInfo filterID="1850010794">
      <autoFilter xmlns="http://schemas.openxmlformats.org/spreadsheetml/2006/main" ref="A2:CF58">
        <filterColumn colId="3">
          <customFilters>
            <customFilter operator="equal" val="4500213935"/>
          </customFilters>
        </filterColumn>
      </autoFilter>
    </autofilterInfo>
    <autofilterInfo filterID="1765212680">
      <autoFilter xmlns="http://schemas.openxmlformats.org/spreadsheetml/2006/main" ref="A2:CF58">
        <filterColumn colId="3">
          <customFilters>
            <customFilter operator="equal" val="4500215101"/>
          </customFilters>
        </filterColumn>
      </autoFilter>
    </autofilterInfo>
  </sheetItem>
  <sheetItem sheetStid="3">
    <filterData filterID="1765212680">
      <hiddenRange rowFrom="3" rowTo="91"/>
    </filterData>
  </sheetItem>
  <sheetItem sheetStid="4">
    <filterData filterID="1765212680">
      <hiddenRange rowFrom="1" rowTo="2"/>
      <hiddenRange rowFrom="7" rowTo="11"/>
    </filterData>
    <autofilterInfo filterID="1765212680">
      <autoFilter xmlns="http://schemas.openxmlformats.org/spreadsheetml/2006/main" ref="A1:CA12">
        <filterColumn colId="3">
          <customFilters>
            <customFilter operator="equal" val="4500170460"/>
          </customFilters>
        </filterColumn>
      </autoFilter>
    </autofilterInfo>
  </sheetItem>
</autofilters>
</file>

<file path=customXml/item4.xml><?xml version="1.0" encoding="utf-8"?>
<woProps xmlns="https://web.wps.cn/et/2018/main" xmlns:s="http://schemas.openxmlformats.org/spreadsheetml/2006/main">
  <woSheetsProps>
    <woSheetProps sheetStid="5" interlineOnOff="0" interlineColor="0" isDbSheet="0" isDashBoardSheet="0" isDbDashBoardSheet="0" isFlexPaperSheet="0">
      <cellprotection/>
      <appEtDbRelations/>
    </woSheetProps>
    <woSheetProps sheetStid="1" interlineOnOff="0" interlineColor="0" isDbSheet="0" isDashBoardSheet="0" isDbDashBoardSheet="0" isFlexPaperSheet="0">
      <hyperlinks>
        <hyperlink ref="X89">
          <hypersublink pos="289" length="13" display="care@zuru.com" address="mailto:care@zuru.com" subaddress="" screenTip="" linkrunstype="LRTURL"/>
          <hypersublink pos="489" length="13" display="care@zuru.com" address="mailto:care@zuru.com" subaddress="" screenTip="" linkrunstype="LRTURL"/>
          <hypersublink pos="848" length="13" display="care@zuru.com" address="mailto:care@zuru.com" subaddress="" screenTip="" linkrunstype="LRTURL"/>
        </hyperlink>
        <hyperlink ref="X90">
          <hypersublink pos="289" length="13" display="care@zuru.com" address="mailto:care@zuru.com" subaddress="" screenTip="" linkrunstype="LRTURL"/>
          <hypersublink pos="489" length="13" display="care@zuru.com" address="mailto:care@zuru.com" subaddress="" screenTip="" linkrunstype="LRTURL"/>
          <hypersublink pos="848" length="13" display="care@zuru.com" address="mailto:care@zuru.com" subaddress="" screenTip="" linkrunstype="LRTURL"/>
        </hyperlink>
      </hyperlinks>
      <cellprotection/>
      <appEtDbRelations/>
    </woSheetProps>
    <woSheetProps sheetStid="6"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fileId="526432811860" isFilterShared="0" woEtMtcEnabled="0" coreConquerUserId=""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5"/>
  <pixelatorList sheetStid="1"/>
  <pixelatorList sheetStid="6"/>
  <pixelatorList sheetStid="2"/>
  <pixelatorList sheetStid="3"/>
  <pixelatorList sheetStid="4"/>
  <pixelatorList sheetStid="7"/>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6</vt:i4>
      </vt:variant>
    </vt:vector>
  </HeadingPairs>
  <TitlesOfParts>
    <vt:vector size="6" baseType="lpstr">
      <vt:lpstr>77685旧排期 </vt:lpstr>
      <vt:lpstr>77685排期</vt:lpstr>
      <vt:lpstr>77907排期</vt:lpstr>
      <vt:lpstr>生产MA</vt:lpstr>
      <vt:lpstr>包材MA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.念.</cp:lastModifiedBy>
  <dcterms:created xsi:type="dcterms:W3CDTF">2025-03-13T17:46:00Z</dcterms:created>
  <dcterms:modified xsi:type="dcterms:W3CDTF">2026-09-19T11:16:00Z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ICV">
    <vt:lpwstr>BCEA6947E7AE428A9176B7AAD05AE252_13</vt:lpwstr>
  </property>
  <property fmtid="{D5CDD505-2E9C-101B-9397-08002B2CF9AE}" pid="4" name="KSOReadingLayout">
    <vt:bool>true</vt:bool>
  </property>
  <property fmtid="{D5CDD505-2E9C-101B-9397-08002B2CF9AE}" pid="5" name="CalculationRule">
    <vt:i4>0</vt:i4>
  </property>
</Properties>
</file>